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Análises_objetivo_03/analises_finais_gineco/"/>
    </mc:Choice>
  </mc:AlternateContent>
  <xr:revisionPtr revIDLastSave="23" documentId="8_{1254D90A-96F6-409F-BE86-7864E958B1D9}" xr6:coauthVersionLast="47" xr6:coauthVersionMax="47" xr10:uidLastSave="{FC366A6F-A30C-4753-B619-35062B09C6B7}"/>
  <bookViews>
    <workbookView xWindow="-108" yWindow="-108" windowWidth="23256" windowHeight="12456" xr2:uid="{1A751624-106C-4D62-BEB7-397CEF418ABD}"/>
  </bookViews>
  <sheets>
    <sheet name="ITUIUTABA" sheetId="1" r:id="rId1"/>
    <sheet name="PATROCÍNIO-MONTE CARMELO" sheetId="2" r:id="rId2"/>
    <sheet name="UBERLÂNDIA-ARAGUAR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" i="3" l="1"/>
  <c r="P13" i="3"/>
  <c r="O13" i="3"/>
  <c r="N13" i="3"/>
  <c r="M13" i="3"/>
  <c r="L13" i="3"/>
  <c r="K13" i="3"/>
  <c r="P13" i="2"/>
  <c r="O13" i="2"/>
  <c r="N13" i="2"/>
  <c r="M13" i="2"/>
  <c r="L13" i="2"/>
  <c r="K13" i="2"/>
  <c r="M15" i="1"/>
  <c r="P13" i="1"/>
  <c r="O13" i="1"/>
  <c r="N13" i="1"/>
  <c r="M13" i="1"/>
  <c r="L13" i="1"/>
  <c r="K13" i="1"/>
  <c r="H21" i="1"/>
  <c r="G21" i="1"/>
  <c r="F21" i="1"/>
  <c r="E21" i="1"/>
  <c r="D21" i="1"/>
  <c r="C21" i="1"/>
  <c r="H20" i="1"/>
  <c r="G20" i="1"/>
  <c r="F20" i="1"/>
  <c r="E20" i="1"/>
  <c r="D20" i="1"/>
  <c r="C20" i="1"/>
  <c r="H19" i="1"/>
  <c r="G19" i="1"/>
  <c r="F19" i="1"/>
  <c r="E19" i="1"/>
  <c r="D19" i="1"/>
  <c r="C19" i="1"/>
  <c r="H18" i="1"/>
  <c r="G18" i="1"/>
  <c r="F18" i="1"/>
  <c r="E18" i="1"/>
  <c r="D18" i="1"/>
  <c r="C18" i="1"/>
  <c r="H17" i="1"/>
  <c r="G17" i="1"/>
  <c r="F17" i="1"/>
  <c r="E17" i="1"/>
  <c r="D17" i="1"/>
  <c r="C17" i="1"/>
  <c r="H16" i="1"/>
  <c r="G16" i="1"/>
  <c r="F16" i="1"/>
  <c r="E16" i="1"/>
  <c r="D16" i="1"/>
  <c r="C16" i="1"/>
  <c r="H15" i="1"/>
  <c r="G15" i="1"/>
  <c r="F15" i="1"/>
  <c r="E15" i="1"/>
  <c r="D15" i="1"/>
  <c r="C15" i="1"/>
  <c r="H14" i="1"/>
  <c r="G14" i="1"/>
  <c r="F14" i="1"/>
  <c r="E14" i="1"/>
  <c r="D14" i="1"/>
  <c r="C14" i="1"/>
  <c r="H13" i="1"/>
  <c r="G13" i="1"/>
  <c r="F13" i="1"/>
  <c r="E13" i="1"/>
  <c r="D13" i="1"/>
  <c r="C13" i="1"/>
  <c r="H21" i="2"/>
  <c r="G21" i="2"/>
  <c r="F21" i="2"/>
  <c r="E21" i="2"/>
  <c r="D21" i="2"/>
  <c r="C21" i="2"/>
  <c r="H20" i="2"/>
  <c r="G20" i="2"/>
  <c r="F20" i="2"/>
  <c r="E20" i="2"/>
  <c r="D20" i="2"/>
  <c r="C20" i="2"/>
  <c r="H19" i="2"/>
  <c r="G19" i="2"/>
  <c r="F19" i="2"/>
  <c r="E19" i="2"/>
  <c r="D19" i="2"/>
  <c r="C19" i="2"/>
  <c r="H18" i="2"/>
  <c r="G18" i="2"/>
  <c r="F18" i="2"/>
  <c r="E18" i="2"/>
  <c r="D18" i="2"/>
  <c r="C18" i="2"/>
  <c r="H17" i="2"/>
  <c r="G17" i="2"/>
  <c r="F17" i="2"/>
  <c r="E17" i="2"/>
  <c r="D17" i="2"/>
  <c r="C17" i="2"/>
  <c r="H16" i="2"/>
  <c r="G16" i="2"/>
  <c r="F16" i="2"/>
  <c r="E16" i="2"/>
  <c r="D16" i="2"/>
  <c r="C16" i="2"/>
  <c r="H15" i="2"/>
  <c r="G15" i="2"/>
  <c r="F15" i="2"/>
  <c r="E15" i="2"/>
  <c r="D15" i="2"/>
  <c r="C15" i="2"/>
  <c r="H14" i="2"/>
  <c r="G14" i="2"/>
  <c r="F14" i="2"/>
  <c r="E14" i="2"/>
  <c r="D14" i="2"/>
  <c r="C14" i="2"/>
  <c r="H13" i="2"/>
  <c r="G13" i="2"/>
  <c r="F13" i="2"/>
  <c r="E13" i="2"/>
  <c r="D13" i="2"/>
  <c r="C13" i="2"/>
  <c r="H21" i="3"/>
  <c r="G21" i="3"/>
  <c r="F21" i="3"/>
  <c r="E21" i="3"/>
  <c r="D21" i="3"/>
  <c r="C21" i="3"/>
  <c r="H20" i="3"/>
  <c r="G20" i="3"/>
  <c r="F20" i="3"/>
  <c r="E20" i="3"/>
  <c r="D20" i="3"/>
  <c r="C20" i="3"/>
  <c r="H19" i="3"/>
  <c r="G19" i="3"/>
  <c r="F19" i="3"/>
  <c r="E19" i="3"/>
  <c r="D19" i="3"/>
  <c r="C19" i="3"/>
  <c r="H18" i="3"/>
  <c r="G18" i="3"/>
  <c r="F18" i="3"/>
  <c r="E18" i="3"/>
  <c r="D18" i="3"/>
  <c r="C18" i="3"/>
  <c r="H17" i="3"/>
  <c r="G17" i="3"/>
  <c r="F17" i="3"/>
  <c r="E17" i="3"/>
  <c r="D17" i="3"/>
  <c r="C17" i="3"/>
  <c r="H16" i="3"/>
  <c r="G16" i="3"/>
  <c r="F16" i="3"/>
  <c r="E16" i="3"/>
  <c r="D16" i="3"/>
  <c r="C16" i="3"/>
  <c r="H15" i="3"/>
  <c r="G15" i="3"/>
  <c r="F15" i="3"/>
  <c r="E15" i="3"/>
  <c r="D15" i="3"/>
  <c r="C15" i="3"/>
  <c r="H14" i="3"/>
  <c r="G14" i="3"/>
  <c r="F14" i="3"/>
  <c r="E14" i="3"/>
  <c r="D14" i="3"/>
  <c r="C14" i="3"/>
  <c r="H13" i="3"/>
  <c r="G13" i="3"/>
  <c r="F13" i="3"/>
  <c r="E13" i="3"/>
  <c r="D13" i="3"/>
  <c r="C13" i="3"/>
  <c r="P3" i="1"/>
  <c r="P4" i="1" s="1"/>
  <c r="P5" i="1" s="1"/>
  <c r="P6" i="1" s="1"/>
  <c r="P7" i="1" s="1"/>
  <c r="P8" i="1" s="1"/>
  <c r="P9" i="1" s="1"/>
  <c r="P10" i="1" s="1"/>
  <c r="O3" i="1"/>
  <c r="O4" i="1" s="1"/>
  <c r="O5" i="1" s="1"/>
  <c r="O6" i="1" s="1"/>
  <c r="O7" i="1" s="1"/>
  <c r="O8" i="1" s="1"/>
  <c r="O9" i="1" s="1"/>
  <c r="O10" i="1" s="1"/>
  <c r="N3" i="1"/>
  <c r="N4" i="1" s="1"/>
  <c r="N5" i="1" s="1"/>
  <c r="N6" i="1" s="1"/>
  <c r="N7" i="1" s="1"/>
  <c r="N8" i="1" s="1"/>
  <c r="N9" i="1" s="1"/>
  <c r="N10" i="1" s="1"/>
  <c r="M3" i="1"/>
  <c r="M4" i="1" s="1"/>
  <c r="M5" i="1" s="1"/>
  <c r="M6" i="1" s="1"/>
  <c r="M7" i="1" s="1"/>
  <c r="M8" i="1" s="1"/>
  <c r="M9" i="1" s="1"/>
  <c r="M10" i="1" s="1"/>
  <c r="L3" i="1"/>
  <c r="L4" i="1" s="1"/>
  <c r="L5" i="1" s="1"/>
  <c r="L6" i="1" s="1"/>
  <c r="L7" i="1" s="1"/>
  <c r="L8" i="1" s="1"/>
  <c r="L9" i="1" s="1"/>
  <c r="L10" i="1" s="1"/>
  <c r="K3" i="1"/>
  <c r="K4" i="1" s="1"/>
  <c r="K5" i="1" s="1"/>
  <c r="K6" i="1" s="1"/>
  <c r="K7" i="1" s="1"/>
  <c r="K8" i="1" s="1"/>
  <c r="K9" i="1" s="1"/>
  <c r="K10" i="1" s="1"/>
  <c r="J3" i="1"/>
  <c r="J4" i="1" s="1"/>
  <c r="J5" i="1" s="1"/>
  <c r="J6" i="1" s="1"/>
  <c r="J7" i="1" s="1"/>
  <c r="J8" i="1" s="1"/>
  <c r="J9" i="1" s="1"/>
  <c r="J10" i="1" s="1"/>
  <c r="P3" i="2"/>
  <c r="P4" i="2" s="1"/>
  <c r="P5" i="2" s="1"/>
  <c r="P6" i="2" s="1"/>
  <c r="P7" i="2" s="1"/>
  <c r="P8" i="2" s="1"/>
  <c r="P9" i="2" s="1"/>
  <c r="P10" i="2" s="1"/>
  <c r="O3" i="2"/>
  <c r="O4" i="2" s="1"/>
  <c r="O5" i="2" s="1"/>
  <c r="O6" i="2" s="1"/>
  <c r="O7" i="2" s="1"/>
  <c r="O8" i="2" s="1"/>
  <c r="O9" i="2" s="1"/>
  <c r="O10" i="2" s="1"/>
  <c r="N3" i="2"/>
  <c r="N4" i="2" s="1"/>
  <c r="N5" i="2" s="1"/>
  <c r="N6" i="2" s="1"/>
  <c r="N7" i="2" s="1"/>
  <c r="N8" i="2" s="1"/>
  <c r="N9" i="2" s="1"/>
  <c r="N10" i="2" s="1"/>
  <c r="M3" i="2"/>
  <c r="M4" i="2" s="1"/>
  <c r="M5" i="2" s="1"/>
  <c r="M6" i="2" s="1"/>
  <c r="M7" i="2" s="1"/>
  <c r="M8" i="2" s="1"/>
  <c r="M9" i="2" s="1"/>
  <c r="M10" i="2" s="1"/>
  <c r="L3" i="2"/>
  <c r="L4" i="2" s="1"/>
  <c r="L5" i="2" s="1"/>
  <c r="L6" i="2" s="1"/>
  <c r="L7" i="2" s="1"/>
  <c r="L8" i="2" s="1"/>
  <c r="L9" i="2" s="1"/>
  <c r="L10" i="2" s="1"/>
  <c r="K3" i="2"/>
  <c r="K4" i="2" s="1"/>
  <c r="K5" i="2" s="1"/>
  <c r="K6" i="2" s="1"/>
  <c r="K7" i="2" s="1"/>
  <c r="K8" i="2" s="1"/>
  <c r="K9" i="2" s="1"/>
  <c r="K10" i="2" s="1"/>
  <c r="J3" i="2"/>
  <c r="J4" i="2" s="1"/>
  <c r="J5" i="2" s="1"/>
  <c r="J6" i="2" s="1"/>
  <c r="J7" i="2" s="1"/>
  <c r="J8" i="2" s="1"/>
  <c r="J9" i="2" s="1"/>
  <c r="J10" i="2" s="1"/>
  <c r="N21" i="2" s="1"/>
  <c r="P3" i="3"/>
  <c r="P4" i="3" s="1"/>
  <c r="P5" i="3" s="1"/>
  <c r="P6" i="3" s="1"/>
  <c r="P7" i="3" s="1"/>
  <c r="P8" i="3" s="1"/>
  <c r="P9" i="3" s="1"/>
  <c r="P10" i="3" s="1"/>
  <c r="O3" i="3"/>
  <c r="O4" i="3" s="1"/>
  <c r="O5" i="3" s="1"/>
  <c r="O6" i="3" s="1"/>
  <c r="O7" i="3" s="1"/>
  <c r="O8" i="3" s="1"/>
  <c r="O9" i="3" s="1"/>
  <c r="O10" i="3" s="1"/>
  <c r="N3" i="3"/>
  <c r="N4" i="3" s="1"/>
  <c r="N5" i="3" s="1"/>
  <c r="N6" i="3" s="1"/>
  <c r="N7" i="3" s="1"/>
  <c r="N8" i="3" s="1"/>
  <c r="N9" i="3" s="1"/>
  <c r="N10" i="3" s="1"/>
  <c r="M3" i="3"/>
  <c r="M4" i="3" s="1"/>
  <c r="M5" i="3" s="1"/>
  <c r="M6" i="3" s="1"/>
  <c r="M7" i="3" s="1"/>
  <c r="M8" i="3" s="1"/>
  <c r="M9" i="3" s="1"/>
  <c r="M10" i="3" s="1"/>
  <c r="L3" i="3"/>
  <c r="L4" i="3" s="1"/>
  <c r="L5" i="3" s="1"/>
  <c r="L6" i="3" s="1"/>
  <c r="L7" i="3" s="1"/>
  <c r="L8" i="3" s="1"/>
  <c r="L9" i="3" s="1"/>
  <c r="L10" i="3" s="1"/>
  <c r="K3" i="3"/>
  <c r="K4" i="3" s="1"/>
  <c r="K5" i="3" s="1"/>
  <c r="K6" i="3" s="1"/>
  <c r="K7" i="3" s="1"/>
  <c r="K8" i="3" s="1"/>
  <c r="K9" i="3" s="1"/>
  <c r="K10" i="3" s="1"/>
  <c r="J3" i="3"/>
  <c r="J4" i="3" s="1"/>
  <c r="J5" i="3" s="1"/>
  <c r="J6" i="3" s="1"/>
  <c r="J7" i="3" s="1"/>
  <c r="J8" i="3" s="1"/>
  <c r="J9" i="3" s="1"/>
  <c r="J10" i="3" s="1"/>
  <c r="K17" i="3" l="1"/>
  <c r="K14" i="3"/>
  <c r="M19" i="3"/>
  <c r="M14" i="3"/>
  <c r="O19" i="3"/>
  <c r="P21" i="3"/>
  <c r="K18" i="3"/>
  <c r="M18" i="3"/>
  <c r="M15" i="3"/>
  <c r="O20" i="3"/>
  <c r="O15" i="3"/>
  <c r="K21" i="3"/>
  <c r="K15" i="2"/>
  <c r="L19" i="2"/>
  <c r="L14" i="2"/>
  <c r="K19" i="2"/>
  <c r="P21" i="2"/>
  <c r="L15" i="2"/>
  <c r="N19" i="2"/>
  <c r="M16" i="2"/>
  <c r="N20" i="2"/>
  <c r="L18" i="2"/>
  <c r="N15" i="2"/>
  <c r="N16" i="2"/>
  <c r="O21" i="2"/>
  <c r="M20" i="2"/>
  <c r="O17" i="2"/>
  <c r="O16" i="1"/>
  <c r="N15" i="1"/>
  <c r="K14" i="1"/>
  <c r="N19" i="1"/>
  <c r="K18" i="1"/>
  <c r="L18" i="1"/>
  <c r="M19" i="1"/>
  <c r="P21" i="1"/>
  <c r="L14" i="1"/>
  <c r="O20" i="1"/>
  <c r="L14" i="3"/>
  <c r="N15" i="3"/>
  <c r="P16" i="3"/>
  <c r="L18" i="3"/>
  <c r="N19" i="3"/>
  <c r="P20" i="3"/>
  <c r="N14" i="3"/>
  <c r="P15" i="3"/>
  <c r="L17" i="3"/>
  <c r="N18" i="3"/>
  <c r="P19" i="3"/>
  <c r="L21" i="3"/>
  <c r="O14" i="3"/>
  <c r="K16" i="3"/>
  <c r="M17" i="3"/>
  <c r="O18" i="3"/>
  <c r="K20" i="3"/>
  <c r="M21" i="3"/>
  <c r="P14" i="3"/>
  <c r="L16" i="3"/>
  <c r="N17" i="3"/>
  <c r="P18" i="3"/>
  <c r="L20" i="3"/>
  <c r="N21" i="3"/>
  <c r="K15" i="3"/>
  <c r="M16" i="3"/>
  <c r="O17" i="3"/>
  <c r="K19" i="3"/>
  <c r="M20" i="3"/>
  <c r="O21" i="3"/>
  <c r="L15" i="3"/>
  <c r="N16" i="3"/>
  <c r="P17" i="3"/>
  <c r="L19" i="3"/>
  <c r="N20" i="3"/>
  <c r="P17" i="2"/>
  <c r="K14" i="2"/>
  <c r="M15" i="2"/>
  <c r="O16" i="2"/>
  <c r="K18" i="2"/>
  <c r="M19" i="2"/>
  <c r="O20" i="2"/>
  <c r="M14" i="2"/>
  <c r="O15" i="2"/>
  <c r="K17" i="2"/>
  <c r="M18" i="2"/>
  <c r="O19" i="2"/>
  <c r="K21" i="2"/>
  <c r="P20" i="2"/>
  <c r="N14" i="2"/>
  <c r="P15" i="2"/>
  <c r="L17" i="2"/>
  <c r="N18" i="2"/>
  <c r="P19" i="2"/>
  <c r="L21" i="2"/>
  <c r="P16" i="2"/>
  <c r="O14" i="2"/>
  <c r="K16" i="2"/>
  <c r="M17" i="2"/>
  <c r="O18" i="2"/>
  <c r="K20" i="2"/>
  <c r="M21" i="2"/>
  <c r="P14" i="2"/>
  <c r="L16" i="2"/>
  <c r="N17" i="2"/>
  <c r="P18" i="2"/>
  <c r="L20" i="2"/>
  <c r="K21" i="1"/>
  <c r="N14" i="1"/>
  <c r="P15" i="1"/>
  <c r="L17" i="1"/>
  <c r="N18" i="1"/>
  <c r="P19" i="1"/>
  <c r="L21" i="1"/>
  <c r="P16" i="1"/>
  <c r="M14" i="1"/>
  <c r="O19" i="1"/>
  <c r="O14" i="1"/>
  <c r="K16" i="1"/>
  <c r="M17" i="1"/>
  <c r="O18" i="1"/>
  <c r="K20" i="1"/>
  <c r="M21" i="1"/>
  <c r="P20" i="1"/>
  <c r="O15" i="1"/>
  <c r="P14" i="1"/>
  <c r="L16" i="1"/>
  <c r="N17" i="1"/>
  <c r="P18" i="1"/>
  <c r="L20" i="1"/>
  <c r="N21" i="1"/>
  <c r="M18" i="1"/>
  <c r="K15" i="1"/>
  <c r="M16" i="1"/>
  <c r="O17" i="1"/>
  <c r="K19" i="1"/>
  <c r="M20" i="1"/>
  <c r="O21" i="1"/>
  <c r="K17" i="1"/>
  <c r="L15" i="1"/>
  <c r="N16" i="1"/>
  <c r="P17" i="1"/>
  <c r="L19" i="1"/>
  <c r="N20" i="1"/>
  <c r="M22" i="3" l="1"/>
  <c r="M23" i="3" s="1"/>
  <c r="K22" i="3"/>
  <c r="K23" i="3" s="1"/>
  <c r="O22" i="3"/>
  <c r="O23" i="3" s="1"/>
  <c r="K22" i="2"/>
  <c r="K23" i="2" s="1"/>
  <c r="L22" i="2"/>
  <c r="L23" i="2" s="1"/>
  <c r="P22" i="2"/>
  <c r="P23" i="2" s="1"/>
  <c r="O22" i="1"/>
  <c r="O23" i="1" s="1"/>
  <c r="P22" i="1"/>
  <c r="P23" i="1" s="1"/>
  <c r="P22" i="3"/>
  <c r="P23" i="3" s="1"/>
  <c r="N22" i="3"/>
  <c r="N23" i="3" s="1"/>
  <c r="L22" i="3"/>
  <c r="L23" i="3" s="1"/>
  <c r="O22" i="2"/>
  <c r="O23" i="2" s="1"/>
  <c r="M22" i="2"/>
  <c r="M23" i="2" s="1"/>
  <c r="N22" i="2"/>
  <c r="N23" i="2" s="1"/>
  <c r="N22" i="1"/>
  <c r="N23" i="1" s="1"/>
  <c r="M22" i="1"/>
  <c r="M23" i="1" s="1"/>
  <c r="L22" i="1"/>
  <c r="L23" i="1" s="1"/>
  <c r="K22" i="1"/>
  <c r="K23" i="1" s="1"/>
</calcChain>
</file>

<file path=xl/sharedStrings.xml><?xml version="1.0" encoding="utf-8"?>
<sst xmlns="http://schemas.openxmlformats.org/spreadsheetml/2006/main" count="174" uniqueCount="49">
  <si>
    <t>ITUIUTABA</t>
  </si>
  <si>
    <t>CACHOEIRA DOURADA</t>
  </si>
  <si>
    <t>CAMPINA VERDE</t>
  </si>
  <si>
    <t>CANÁPOLIS</t>
  </si>
  <si>
    <t>CAPINÓPOLIS</t>
  </si>
  <si>
    <t>CENTRALINA</t>
  </si>
  <si>
    <t>GURINHATÃ</t>
  </si>
  <si>
    <t>IPIAÇU</t>
  </si>
  <si>
    <t>SANTA VITÓRIA</t>
  </si>
  <si>
    <t>ABADIA DOS DOURADOS</t>
  </si>
  <si>
    <t>COROMANDEL</t>
  </si>
  <si>
    <t>DOURADOQUARA</t>
  </si>
  <si>
    <t>ESTRELA DO SUL</t>
  </si>
  <si>
    <t>GRUPIARA</t>
  </si>
  <si>
    <t>IRAÍ DE MINAS</t>
  </si>
  <si>
    <t>MONTE CARMELO</t>
  </si>
  <si>
    <t>PATROCÍNIO</t>
  </si>
  <si>
    <t>ROMARIA</t>
  </si>
  <si>
    <t>ARAGUARI</t>
  </si>
  <si>
    <t>ARAPORÃ</t>
  </si>
  <si>
    <t>CASCALHO RICO</t>
  </si>
  <si>
    <t>INDIANÓPOLIS</t>
  </si>
  <si>
    <t>MONTE ALEGRE DE MINAS</t>
  </si>
  <si>
    <t>NOVA PONTE</t>
  </si>
  <si>
    <t>PRATA</t>
  </si>
  <si>
    <t>TUPACIGUARA</t>
  </si>
  <si>
    <t>UBERLÂNDIA</t>
  </si>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</sst>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2" fontId="1" fillId="2" borderId="1" xfId="0" applyNumberFormat="1" applyFont="1" applyFill="1" applyBorder="1" applyAlignment="1">
      <alignment vertical="center"/>
    </xf>
    <xf numFmtId="2" fontId="1" fillId="3" borderId="1" xfId="0" applyNumberFormat="1" applyFont="1" applyFill="1" applyBorder="1" applyAlignment="1">
      <alignment vertical="center" wrapText="1"/>
    </xf>
    <xf numFmtId="2" fontId="1" fillId="4" borderId="1" xfId="0" applyNumberFormat="1" applyFont="1" applyFill="1" applyBorder="1" applyAlignment="1">
      <alignment vertical="center" wrapText="1"/>
    </xf>
    <xf numFmtId="2" fontId="1" fillId="5" borderId="1" xfId="0" applyNumberFormat="1" applyFont="1" applyFill="1" applyBorder="1" applyAlignment="1">
      <alignment vertical="center"/>
    </xf>
    <xf numFmtId="2" fontId="1" fillId="6" borderId="1" xfId="0" applyNumberFormat="1" applyFont="1" applyFill="1" applyBorder="1" applyAlignment="1">
      <alignment horizontal="left" vertical="center" wrapText="1"/>
    </xf>
    <xf numFmtId="2" fontId="1" fillId="7" borderId="1" xfId="0" applyNumberFormat="1" applyFont="1" applyFill="1" applyBorder="1" applyAlignment="1">
      <alignment vertical="center" wrapText="1"/>
    </xf>
    <xf numFmtId="2" fontId="1" fillId="6" borderId="1" xfId="0" applyNumberFormat="1" applyFont="1" applyFill="1" applyBorder="1" applyAlignment="1">
      <alignment vertical="center" wrapText="1"/>
    </xf>
    <xf numFmtId="0" fontId="0" fillId="0" borderId="1" xfId="0" applyBorder="1"/>
    <xf numFmtId="2" fontId="0" fillId="0" borderId="1" xfId="0" applyNumberFormat="1" applyBorder="1"/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0" fillId="8" borderId="1" xfId="0" applyFill="1" applyBorder="1"/>
    <xf numFmtId="0" fontId="0" fillId="8" borderId="1" xfId="0" applyFill="1" applyBorder="1" applyAlignment="1">
      <alignment horizontal="left" indent="2"/>
    </xf>
    <xf numFmtId="0" fontId="1" fillId="7" borderId="1" xfId="0" applyFont="1" applyFill="1" applyBorder="1" applyAlignment="1">
      <alignment horizontal="left" indent="2"/>
    </xf>
    <xf numFmtId="0" fontId="1" fillId="7" borderId="1" xfId="0" applyFont="1" applyFill="1" applyBorder="1"/>
    <xf numFmtId="2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ITUIUTABA!$J$1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ITUIUTABA!$I$2:$I$10</c:f>
              <c:numCache>
                <c:formatCode>0.00</c:formatCode>
                <c:ptCount val="9"/>
                <c:pt idx="0">
                  <c:v>1.3812224834583374E-2</c:v>
                </c:pt>
                <c:pt idx="1">
                  <c:v>3.5287187638058777E-2</c:v>
                </c:pt>
                <c:pt idx="2">
                  <c:v>6.3297567118780068E-2</c:v>
                </c:pt>
                <c:pt idx="3">
                  <c:v>0.11581956765705059</c:v>
                </c:pt>
                <c:pt idx="4">
                  <c:v>0.17803043767487445</c:v>
                </c:pt>
                <c:pt idx="5">
                  <c:v>0.26077175806263236</c:v>
                </c:pt>
                <c:pt idx="6">
                  <c:v>0.36110843104297535</c:v>
                </c:pt>
                <c:pt idx="7">
                  <c:v>0.46265367369634436</c:v>
                </c:pt>
                <c:pt idx="8">
                  <c:v>1</c:v>
                </c:pt>
              </c:numCache>
            </c:numRef>
          </c:xVal>
          <c:yVal>
            <c:numRef>
              <c:f>ITUIUTABA!$J$2:$J$10</c:f>
              <c:numCache>
                <c:formatCode>0.00</c:formatCode>
                <c:ptCount val="9"/>
                <c:pt idx="0">
                  <c:v>1.3812224834583374E-2</c:v>
                </c:pt>
                <c:pt idx="1">
                  <c:v>3.5287187638058777E-2</c:v>
                </c:pt>
                <c:pt idx="2">
                  <c:v>6.3297567118780068E-2</c:v>
                </c:pt>
                <c:pt idx="3">
                  <c:v>0.11581956765705059</c:v>
                </c:pt>
                <c:pt idx="4">
                  <c:v>0.17803043767487445</c:v>
                </c:pt>
                <c:pt idx="5">
                  <c:v>0.26077175806263236</c:v>
                </c:pt>
                <c:pt idx="6">
                  <c:v>0.36110843104297535</c:v>
                </c:pt>
                <c:pt idx="7">
                  <c:v>0.46265367369634436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DA-4DB8-A6C8-3011EF60C675}"/>
            </c:ext>
          </c:extLst>
        </c:ser>
        <c:ser>
          <c:idx val="1"/>
          <c:order val="1"/>
          <c:tx>
            <c:strRef>
              <c:f>ITUIUTABA!$K$1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ITUIUTABA!$I$2:$I$10</c:f>
              <c:numCache>
                <c:formatCode>0.00</c:formatCode>
                <c:ptCount val="9"/>
                <c:pt idx="0">
                  <c:v>1.3812224834583374E-2</c:v>
                </c:pt>
                <c:pt idx="1">
                  <c:v>3.5287187638058777E-2</c:v>
                </c:pt>
                <c:pt idx="2">
                  <c:v>6.3297567118780068E-2</c:v>
                </c:pt>
                <c:pt idx="3">
                  <c:v>0.11581956765705059</c:v>
                </c:pt>
                <c:pt idx="4">
                  <c:v>0.17803043767487445</c:v>
                </c:pt>
                <c:pt idx="5">
                  <c:v>0.26077175806263236</c:v>
                </c:pt>
                <c:pt idx="6">
                  <c:v>0.36110843104297535</c:v>
                </c:pt>
                <c:pt idx="7">
                  <c:v>0.46265367369634436</c:v>
                </c:pt>
                <c:pt idx="8">
                  <c:v>1</c:v>
                </c:pt>
              </c:numCache>
            </c:numRef>
          </c:xVal>
          <c:yVal>
            <c:numRef>
              <c:f>ITUIUTABA!$K$2:$K$10</c:f>
              <c:numCache>
                <c:formatCode>0.00</c:formatCode>
                <c:ptCount val="9"/>
                <c:pt idx="0">
                  <c:v>1.8656716417910446E-2</c:v>
                </c:pt>
                <c:pt idx="1">
                  <c:v>3.7313432835820892E-2</c:v>
                </c:pt>
                <c:pt idx="2">
                  <c:v>7.0895522388059698E-2</c:v>
                </c:pt>
                <c:pt idx="3">
                  <c:v>0.11940298507462686</c:v>
                </c:pt>
                <c:pt idx="4">
                  <c:v>0.36940298507462688</c:v>
                </c:pt>
                <c:pt idx="5">
                  <c:v>0.57089552238805974</c:v>
                </c:pt>
                <c:pt idx="6">
                  <c:v>0.64925373134328357</c:v>
                </c:pt>
                <c:pt idx="7">
                  <c:v>0.81343283582089554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DA-4DB8-A6C8-3011EF60C675}"/>
            </c:ext>
          </c:extLst>
        </c:ser>
        <c:ser>
          <c:idx val="2"/>
          <c:order val="2"/>
          <c:tx>
            <c:strRef>
              <c:f>ITUIUTABA!$L$1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ITUIUTABA!$I$2:$I$10</c:f>
              <c:numCache>
                <c:formatCode>0.00</c:formatCode>
                <c:ptCount val="9"/>
                <c:pt idx="0">
                  <c:v>1.3812224834583374E-2</c:v>
                </c:pt>
                <c:pt idx="1">
                  <c:v>3.5287187638058777E-2</c:v>
                </c:pt>
                <c:pt idx="2">
                  <c:v>6.3297567118780068E-2</c:v>
                </c:pt>
                <c:pt idx="3">
                  <c:v>0.11581956765705059</c:v>
                </c:pt>
                <c:pt idx="4">
                  <c:v>0.17803043767487445</c:v>
                </c:pt>
                <c:pt idx="5">
                  <c:v>0.26077175806263236</c:v>
                </c:pt>
                <c:pt idx="6">
                  <c:v>0.36110843104297535</c:v>
                </c:pt>
                <c:pt idx="7">
                  <c:v>0.46265367369634436</c:v>
                </c:pt>
                <c:pt idx="8">
                  <c:v>1</c:v>
                </c:pt>
              </c:numCache>
            </c:numRef>
          </c:xVal>
          <c:yVal>
            <c:numRef>
              <c:f>ITUIUTABA!$L$2:$L$10</c:f>
              <c:numCache>
                <c:formatCode>0.00</c:formatCode>
                <c:ptCount val="9"/>
                <c:pt idx="0">
                  <c:v>2.030456852791878E-2</c:v>
                </c:pt>
                <c:pt idx="1">
                  <c:v>4.060913705583756E-2</c:v>
                </c:pt>
                <c:pt idx="2">
                  <c:v>6.5989847715736044E-2</c:v>
                </c:pt>
                <c:pt idx="3">
                  <c:v>0.10152284263959391</c:v>
                </c:pt>
                <c:pt idx="4">
                  <c:v>0.34517766497461932</c:v>
                </c:pt>
                <c:pt idx="5">
                  <c:v>0.4974619289340102</c:v>
                </c:pt>
                <c:pt idx="6">
                  <c:v>0.53807106598984777</c:v>
                </c:pt>
                <c:pt idx="7">
                  <c:v>0.76142131979695438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8DA-4DB8-A6C8-3011EF60C675}"/>
            </c:ext>
          </c:extLst>
        </c:ser>
        <c:ser>
          <c:idx val="3"/>
          <c:order val="3"/>
          <c:tx>
            <c:strRef>
              <c:f>ITUIUTABA!$M$1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ITUIUTABA!$I$2:$I$10</c:f>
              <c:numCache>
                <c:formatCode>0.00</c:formatCode>
                <c:ptCount val="9"/>
                <c:pt idx="0">
                  <c:v>1.3812224834583374E-2</c:v>
                </c:pt>
                <c:pt idx="1">
                  <c:v>3.5287187638058777E-2</c:v>
                </c:pt>
                <c:pt idx="2">
                  <c:v>6.3297567118780068E-2</c:v>
                </c:pt>
                <c:pt idx="3">
                  <c:v>0.11581956765705059</c:v>
                </c:pt>
                <c:pt idx="4">
                  <c:v>0.17803043767487445</c:v>
                </c:pt>
                <c:pt idx="5">
                  <c:v>0.26077175806263236</c:v>
                </c:pt>
                <c:pt idx="6">
                  <c:v>0.36110843104297535</c:v>
                </c:pt>
                <c:pt idx="7">
                  <c:v>0.46265367369634436</c:v>
                </c:pt>
                <c:pt idx="8">
                  <c:v>1</c:v>
                </c:pt>
              </c:numCache>
            </c:numRef>
          </c:xVal>
          <c:yVal>
            <c:numRef>
              <c:f>ITUIUTABA!$M$2:$M$10</c:f>
              <c:numCache>
                <c:formatCode>0.00</c:formatCode>
                <c:ptCount val="9"/>
                <c:pt idx="0">
                  <c:v>0</c:v>
                </c:pt>
                <c:pt idx="1">
                  <c:v>4.0322580645161289E-3</c:v>
                </c:pt>
                <c:pt idx="2">
                  <c:v>1.2096774193548387E-2</c:v>
                </c:pt>
                <c:pt idx="3">
                  <c:v>6.0483870967741937E-2</c:v>
                </c:pt>
                <c:pt idx="4">
                  <c:v>0.20564516129032259</c:v>
                </c:pt>
                <c:pt idx="5">
                  <c:v>0.342741935483871</c:v>
                </c:pt>
                <c:pt idx="6">
                  <c:v>0.35080645161290325</c:v>
                </c:pt>
                <c:pt idx="7">
                  <c:v>0.592741935483871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8DA-4DB8-A6C8-3011EF60C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1757248"/>
        <c:axId val="2021774048"/>
      </c:scatterChart>
      <c:valAx>
        <c:axId val="202175724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1774048"/>
        <c:crosses val="autoZero"/>
        <c:crossBetween val="midCat"/>
      </c:valAx>
      <c:valAx>
        <c:axId val="20217740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1757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ITUIUTABA!$J$1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ITUIUTABA!$I$2:$I$10</c:f>
              <c:numCache>
                <c:formatCode>0.00</c:formatCode>
                <c:ptCount val="9"/>
                <c:pt idx="0">
                  <c:v>1.3812224834583374E-2</c:v>
                </c:pt>
                <c:pt idx="1">
                  <c:v>3.5287187638058777E-2</c:v>
                </c:pt>
                <c:pt idx="2">
                  <c:v>6.3297567118780068E-2</c:v>
                </c:pt>
                <c:pt idx="3">
                  <c:v>0.11581956765705059</c:v>
                </c:pt>
                <c:pt idx="4">
                  <c:v>0.17803043767487445</c:v>
                </c:pt>
                <c:pt idx="5">
                  <c:v>0.26077175806263236</c:v>
                </c:pt>
                <c:pt idx="6">
                  <c:v>0.36110843104297535</c:v>
                </c:pt>
                <c:pt idx="7">
                  <c:v>0.46265367369634436</c:v>
                </c:pt>
                <c:pt idx="8">
                  <c:v>1</c:v>
                </c:pt>
              </c:numCache>
            </c:numRef>
          </c:xVal>
          <c:yVal>
            <c:numRef>
              <c:f>ITUIUTABA!$J$2:$J$10</c:f>
              <c:numCache>
                <c:formatCode>0.00</c:formatCode>
                <c:ptCount val="9"/>
                <c:pt idx="0">
                  <c:v>1.3812224834583374E-2</c:v>
                </c:pt>
                <c:pt idx="1">
                  <c:v>3.5287187638058777E-2</c:v>
                </c:pt>
                <c:pt idx="2">
                  <c:v>6.3297567118780068E-2</c:v>
                </c:pt>
                <c:pt idx="3">
                  <c:v>0.11581956765705059</c:v>
                </c:pt>
                <c:pt idx="4">
                  <c:v>0.17803043767487445</c:v>
                </c:pt>
                <c:pt idx="5">
                  <c:v>0.26077175806263236</c:v>
                </c:pt>
                <c:pt idx="6">
                  <c:v>0.36110843104297535</c:v>
                </c:pt>
                <c:pt idx="7">
                  <c:v>0.46265367369634436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81-4258-BCE5-0B18E1CEF8D3}"/>
            </c:ext>
          </c:extLst>
        </c:ser>
        <c:ser>
          <c:idx val="1"/>
          <c:order val="1"/>
          <c:tx>
            <c:strRef>
              <c:f>ITUIUTABA!$N$1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ITUIUTABA!$I$2:$I$10</c:f>
              <c:numCache>
                <c:formatCode>0.00</c:formatCode>
                <c:ptCount val="9"/>
                <c:pt idx="0">
                  <c:v>1.3812224834583374E-2</c:v>
                </c:pt>
                <c:pt idx="1">
                  <c:v>3.5287187638058777E-2</c:v>
                </c:pt>
                <c:pt idx="2">
                  <c:v>6.3297567118780068E-2</c:v>
                </c:pt>
                <c:pt idx="3">
                  <c:v>0.11581956765705059</c:v>
                </c:pt>
                <c:pt idx="4">
                  <c:v>0.17803043767487445</c:v>
                </c:pt>
                <c:pt idx="5">
                  <c:v>0.26077175806263236</c:v>
                </c:pt>
                <c:pt idx="6">
                  <c:v>0.36110843104297535</c:v>
                </c:pt>
                <c:pt idx="7">
                  <c:v>0.46265367369634436</c:v>
                </c:pt>
                <c:pt idx="8">
                  <c:v>1</c:v>
                </c:pt>
              </c:numCache>
            </c:numRef>
          </c:xVal>
          <c:yVal>
            <c:numRef>
              <c:f>ITUIUTABA!$N$2:$N$10</c:f>
              <c:numCache>
                <c:formatCode>0.00</c:formatCode>
                <c:ptCount val="9"/>
                <c:pt idx="0">
                  <c:v>3.1847133757961785E-3</c:v>
                </c:pt>
                <c:pt idx="1">
                  <c:v>6.369426751592357E-3</c:v>
                </c:pt>
                <c:pt idx="2">
                  <c:v>1.9108280254777073E-2</c:v>
                </c:pt>
                <c:pt idx="3">
                  <c:v>5.7324840764331211E-2</c:v>
                </c:pt>
                <c:pt idx="4">
                  <c:v>0.15605095541401276</c:v>
                </c:pt>
                <c:pt idx="5">
                  <c:v>0.28980891719745228</c:v>
                </c:pt>
                <c:pt idx="6">
                  <c:v>0.33121019108280259</c:v>
                </c:pt>
                <c:pt idx="7">
                  <c:v>0.57006369426751591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81-4258-BCE5-0B18E1CEF8D3}"/>
            </c:ext>
          </c:extLst>
        </c:ser>
        <c:ser>
          <c:idx val="2"/>
          <c:order val="2"/>
          <c:tx>
            <c:strRef>
              <c:f>ITUIUTABA!$O$1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ITUIUTABA!$I$2:$I$10</c:f>
              <c:numCache>
                <c:formatCode>0.00</c:formatCode>
                <c:ptCount val="9"/>
                <c:pt idx="0">
                  <c:v>1.3812224834583374E-2</c:v>
                </c:pt>
                <c:pt idx="1">
                  <c:v>3.5287187638058777E-2</c:v>
                </c:pt>
                <c:pt idx="2">
                  <c:v>6.3297567118780068E-2</c:v>
                </c:pt>
                <c:pt idx="3">
                  <c:v>0.11581956765705059</c:v>
                </c:pt>
                <c:pt idx="4">
                  <c:v>0.17803043767487445</c:v>
                </c:pt>
                <c:pt idx="5">
                  <c:v>0.26077175806263236</c:v>
                </c:pt>
                <c:pt idx="6">
                  <c:v>0.36110843104297535</c:v>
                </c:pt>
                <c:pt idx="7">
                  <c:v>0.46265367369634436</c:v>
                </c:pt>
                <c:pt idx="8">
                  <c:v>1</c:v>
                </c:pt>
              </c:numCache>
            </c:numRef>
          </c:xVal>
          <c:yVal>
            <c:numRef>
              <c:f>ITUIUTABA!$O$2:$O$10</c:f>
              <c:numCache>
                <c:formatCode>0.00</c:formatCode>
                <c:ptCount val="9"/>
                <c:pt idx="0">
                  <c:v>3.968253968253968E-3</c:v>
                </c:pt>
                <c:pt idx="1">
                  <c:v>3.968253968253968E-3</c:v>
                </c:pt>
                <c:pt idx="2">
                  <c:v>2.7777777777777776E-2</c:v>
                </c:pt>
                <c:pt idx="3">
                  <c:v>7.5396825396825393E-2</c:v>
                </c:pt>
                <c:pt idx="4">
                  <c:v>0.18253968253968253</c:v>
                </c:pt>
                <c:pt idx="5">
                  <c:v>0.31746031746031744</c:v>
                </c:pt>
                <c:pt idx="6">
                  <c:v>0.34126984126984128</c:v>
                </c:pt>
                <c:pt idx="7">
                  <c:v>0.53174603174603174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081-4258-BCE5-0B18E1CEF8D3}"/>
            </c:ext>
          </c:extLst>
        </c:ser>
        <c:ser>
          <c:idx val="3"/>
          <c:order val="3"/>
          <c:tx>
            <c:strRef>
              <c:f>ITUIUTABA!$P$1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ITUIUTABA!$I$2:$I$10</c:f>
              <c:numCache>
                <c:formatCode>0.00</c:formatCode>
                <c:ptCount val="9"/>
                <c:pt idx="0">
                  <c:v>1.3812224834583374E-2</c:v>
                </c:pt>
                <c:pt idx="1">
                  <c:v>3.5287187638058777E-2</c:v>
                </c:pt>
                <c:pt idx="2">
                  <c:v>6.3297567118780068E-2</c:v>
                </c:pt>
                <c:pt idx="3">
                  <c:v>0.11581956765705059</c:v>
                </c:pt>
                <c:pt idx="4">
                  <c:v>0.17803043767487445</c:v>
                </c:pt>
                <c:pt idx="5">
                  <c:v>0.26077175806263236</c:v>
                </c:pt>
                <c:pt idx="6">
                  <c:v>0.36110843104297535</c:v>
                </c:pt>
                <c:pt idx="7">
                  <c:v>0.46265367369634436</c:v>
                </c:pt>
                <c:pt idx="8">
                  <c:v>1</c:v>
                </c:pt>
              </c:numCache>
            </c:numRef>
          </c:xVal>
          <c:yVal>
            <c:numRef>
              <c:f>ITUIUTABA!$P$2:$P$10</c:f>
              <c:numCache>
                <c:formatCode>0.00</c:formatCode>
                <c:ptCount val="9"/>
                <c:pt idx="0">
                  <c:v>0</c:v>
                </c:pt>
                <c:pt idx="1">
                  <c:v>7.8125E-3</c:v>
                </c:pt>
                <c:pt idx="2">
                  <c:v>6.25E-2</c:v>
                </c:pt>
                <c:pt idx="3">
                  <c:v>9.375E-2</c:v>
                </c:pt>
                <c:pt idx="4">
                  <c:v>0.2578125</c:v>
                </c:pt>
                <c:pt idx="5">
                  <c:v>0.328125</c:v>
                </c:pt>
                <c:pt idx="6">
                  <c:v>0.3359375</c:v>
                </c:pt>
                <c:pt idx="7">
                  <c:v>0.6015625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081-4258-BCE5-0B18E1CEF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204752"/>
        <c:axId val="653198032"/>
      </c:scatterChart>
      <c:valAx>
        <c:axId val="65320475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3198032"/>
        <c:crosses val="autoZero"/>
        <c:crossBetween val="midCat"/>
      </c:valAx>
      <c:valAx>
        <c:axId val="6531980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3204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'PATROCÍNIO-MONTE CARMELO'!$J$1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'PATROCÍNIO-MONTE CARMELO'!$I$2:$I$10</c:f>
              <c:numCache>
                <c:formatCode>0.00</c:formatCode>
                <c:ptCount val="9"/>
                <c:pt idx="0">
                  <c:v>7.032784140209157E-3</c:v>
                </c:pt>
                <c:pt idx="1">
                  <c:v>1.6749798302186453E-2</c:v>
                </c:pt>
                <c:pt idx="2">
                  <c:v>3.454487332362477E-2</c:v>
                </c:pt>
                <c:pt idx="3">
                  <c:v>7.0175616637151966E-2</c:v>
                </c:pt>
                <c:pt idx="4">
                  <c:v>0.10603469709808855</c:v>
                </c:pt>
                <c:pt idx="5">
                  <c:v>0.14691719480203169</c:v>
                </c:pt>
                <c:pt idx="6">
                  <c:v>0.28878052740806892</c:v>
                </c:pt>
                <c:pt idx="7">
                  <c:v>0.53258878509415097</c:v>
                </c:pt>
                <c:pt idx="8">
                  <c:v>1</c:v>
                </c:pt>
              </c:numCache>
            </c:numRef>
          </c:xVal>
          <c:yVal>
            <c:numRef>
              <c:f>'PATROCÍNIO-MONTE CARMELO'!$J$2:$J$10</c:f>
              <c:numCache>
                <c:formatCode>0.00</c:formatCode>
                <c:ptCount val="9"/>
                <c:pt idx="0">
                  <c:v>7.032784140209157E-3</c:v>
                </c:pt>
                <c:pt idx="1">
                  <c:v>1.6749798302186453E-2</c:v>
                </c:pt>
                <c:pt idx="2">
                  <c:v>3.454487332362477E-2</c:v>
                </c:pt>
                <c:pt idx="3">
                  <c:v>7.0175616637151966E-2</c:v>
                </c:pt>
                <c:pt idx="4">
                  <c:v>0.10603469709808855</c:v>
                </c:pt>
                <c:pt idx="5">
                  <c:v>0.14691719480203169</c:v>
                </c:pt>
                <c:pt idx="6">
                  <c:v>0.28878052740806892</c:v>
                </c:pt>
                <c:pt idx="7">
                  <c:v>0.53258878509415097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03-46DC-8A8D-14E6F82CC631}"/>
            </c:ext>
          </c:extLst>
        </c:ser>
        <c:ser>
          <c:idx val="1"/>
          <c:order val="1"/>
          <c:tx>
            <c:strRef>
              <c:f>'PATROCÍNIO-MONTE CARMELO'!$K$1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'PATROCÍNIO-MONTE CARMELO'!$I$2:$I$10</c:f>
              <c:numCache>
                <c:formatCode>0.00</c:formatCode>
                <c:ptCount val="9"/>
                <c:pt idx="0">
                  <c:v>7.032784140209157E-3</c:v>
                </c:pt>
                <c:pt idx="1">
                  <c:v>1.6749798302186453E-2</c:v>
                </c:pt>
                <c:pt idx="2">
                  <c:v>3.454487332362477E-2</c:v>
                </c:pt>
                <c:pt idx="3">
                  <c:v>7.0175616637151966E-2</c:v>
                </c:pt>
                <c:pt idx="4">
                  <c:v>0.10603469709808855</c:v>
                </c:pt>
                <c:pt idx="5">
                  <c:v>0.14691719480203169</c:v>
                </c:pt>
                <c:pt idx="6">
                  <c:v>0.28878052740806892</c:v>
                </c:pt>
                <c:pt idx="7">
                  <c:v>0.53258878509415097</c:v>
                </c:pt>
                <c:pt idx="8">
                  <c:v>1</c:v>
                </c:pt>
              </c:numCache>
            </c:numRef>
          </c:xVal>
          <c:yVal>
            <c:numRef>
              <c:f>'PATROCÍNIO-MONTE CARMELO'!$K$2:$K$10</c:f>
              <c:numCache>
                <c:formatCode>0.00</c:formatCode>
                <c:ptCount val="9"/>
                <c:pt idx="0">
                  <c:v>2.5641025641025641E-3</c:v>
                </c:pt>
                <c:pt idx="1">
                  <c:v>1.7948717948717951E-2</c:v>
                </c:pt>
                <c:pt idx="2">
                  <c:v>2.3076923076923078E-2</c:v>
                </c:pt>
                <c:pt idx="3">
                  <c:v>4.3589743589743588E-2</c:v>
                </c:pt>
                <c:pt idx="4">
                  <c:v>6.9230769230769235E-2</c:v>
                </c:pt>
                <c:pt idx="5">
                  <c:v>8.461538461538462E-2</c:v>
                </c:pt>
                <c:pt idx="6">
                  <c:v>0.26410256410256411</c:v>
                </c:pt>
                <c:pt idx="7">
                  <c:v>0.47179487179487178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03-46DC-8A8D-14E6F82CC631}"/>
            </c:ext>
          </c:extLst>
        </c:ser>
        <c:ser>
          <c:idx val="2"/>
          <c:order val="2"/>
          <c:tx>
            <c:strRef>
              <c:f>'PATROCÍNIO-MONTE CARMELO'!$L$1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'PATROCÍNIO-MONTE CARMELO'!$I$2:$I$10</c:f>
              <c:numCache>
                <c:formatCode>0.00</c:formatCode>
                <c:ptCount val="9"/>
                <c:pt idx="0">
                  <c:v>7.032784140209157E-3</c:v>
                </c:pt>
                <c:pt idx="1">
                  <c:v>1.6749798302186453E-2</c:v>
                </c:pt>
                <c:pt idx="2">
                  <c:v>3.454487332362477E-2</c:v>
                </c:pt>
                <c:pt idx="3">
                  <c:v>7.0175616637151966E-2</c:v>
                </c:pt>
                <c:pt idx="4">
                  <c:v>0.10603469709808855</c:v>
                </c:pt>
                <c:pt idx="5">
                  <c:v>0.14691719480203169</c:v>
                </c:pt>
                <c:pt idx="6">
                  <c:v>0.28878052740806892</c:v>
                </c:pt>
                <c:pt idx="7">
                  <c:v>0.53258878509415097</c:v>
                </c:pt>
                <c:pt idx="8">
                  <c:v>1</c:v>
                </c:pt>
              </c:numCache>
            </c:numRef>
          </c:xVal>
          <c:yVal>
            <c:numRef>
              <c:f>'PATROCÍNIO-MONTE CARMELO'!$L$2:$L$10</c:f>
              <c:numCache>
                <c:formatCode>0.00</c:formatCode>
                <c:ptCount val="9"/>
                <c:pt idx="0">
                  <c:v>7.1684587813620072E-3</c:v>
                </c:pt>
                <c:pt idx="1">
                  <c:v>1.4336917562724014E-2</c:v>
                </c:pt>
                <c:pt idx="2">
                  <c:v>1.4336917562724014E-2</c:v>
                </c:pt>
                <c:pt idx="3">
                  <c:v>3.5842293906810041E-2</c:v>
                </c:pt>
                <c:pt idx="4">
                  <c:v>6.4516129032258063E-2</c:v>
                </c:pt>
                <c:pt idx="5">
                  <c:v>8.2437275985663083E-2</c:v>
                </c:pt>
                <c:pt idx="6">
                  <c:v>0.13261648745519714</c:v>
                </c:pt>
                <c:pt idx="7">
                  <c:v>0.29390681003584229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E03-46DC-8A8D-14E6F82CC631}"/>
            </c:ext>
          </c:extLst>
        </c:ser>
        <c:ser>
          <c:idx val="3"/>
          <c:order val="3"/>
          <c:tx>
            <c:strRef>
              <c:f>'PATROCÍNIO-MONTE CARMELO'!$M$1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'PATROCÍNIO-MONTE CARMELO'!$I$2:$I$10</c:f>
              <c:numCache>
                <c:formatCode>0.00</c:formatCode>
                <c:ptCount val="9"/>
                <c:pt idx="0">
                  <c:v>7.032784140209157E-3</c:v>
                </c:pt>
                <c:pt idx="1">
                  <c:v>1.6749798302186453E-2</c:v>
                </c:pt>
                <c:pt idx="2">
                  <c:v>3.454487332362477E-2</c:v>
                </c:pt>
                <c:pt idx="3">
                  <c:v>7.0175616637151966E-2</c:v>
                </c:pt>
                <c:pt idx="4">
                  <c:v>0.10603469709808855</c:v>
                </c:pt>
                <c:pt idx="5">
                  <c:v>0.14691719480203169</c:v>
                </c:pt>
                <c:pt idx="6">
                  <c:v>0.28878052740806892</c:v>
                </c:pt>
                <c:pt idx="7">
                  <c:v>0.53258878509415097</c:v>
                </c:pt>
                <c:pt idx="8">
                  <c:v>1</c:v>
                </c:pt>
              </c:numCache>
            </c:numRef>
          </c:xVal>
          <c:yVal>
            <c:numRef>
              <c:f>'PATROCÍNIO-MONTE CARMELO'!$M$2:$M$10</c:f>
              <c:numCache>
                <c:formatCode>0.00</c:formatCode>
                <c:ptCount val="9"/>
                <c:pt idx="0">
                  <c:v>7.3800738007380072E-3</c:v>
                </c:pt>
                <c:pt idx="1">
                  <c:v>1.4760147601476014E-2</c:v>
                </c:pt>
                <c:pt idx="2">
                  <c:v>1.4760147601476014E-2</c:v>
                </c:pt>
                <c:pt idx="3">
                  <c:v>2.2140221402214021E-2</c:v>
                </c:pt>
                <c:pt idx="4">
                  <c:v>2.5830258302583023E-2</c:v>
                </c:pt>
                <c:pt idx="5">
                  <c:v>2.9520295202952025E-2</c:v>
                </c:pt>
                <c:pt idx="6">
                  <c:v>0.13284132841328414</c:v>
                </c:pt>
                <c:pt idx="7">
                  <c:v>0.35055350553505538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E03-46DC-8A8D-14E6F82CC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137072"/>
        <c:axId val="525148112"/>
      </c:scatterChart>
      <c:valAx>
        <c:axId val="52513707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5148112"/>
        <c:crosses val="autoZero"/>
        <c:crossBetween val="midCat"/>
      </c:valAx>
      <c:valAx>
        <c:axId val="5251481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5137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'PATROCÍNIO-MONTE CARMELO'!$J$1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'PATROCÍNIO-MONTE CARMELO'!$I$2:$I$10</c:f>
              <c:numCache>
                <c:formatCode>0.00</c:formatCode>
                <c:ptCount val="9"/>
                <c:pt idx="0">
                  <c:v>7.032784140209157E-3</c:v>
                </c:pt>
                <c:pt idx="1">
                  <c:v>1.6749798302186453E-2</c:v>
                </c:pt>
                <c:pt idx="2">
                  <c:v>3.454487332362477E-2</c:v>
                </c:pt>
                <c:pt idx="3">
                  <c:v>7.0175616637151966E-2</c:v>
                </c:pt>
                <c:pt idx="4">
                  <c:v>0.10603469709808855</c:v>
                </c:pt>
                <c:pt idx="5">
                  <c:v>0.14691719480203169</c:v>
                </c:pt>
                <c:pt idx="6">
                  <c:v>0.28878052740806892</c:v>
                </c:pt>
                <c:pt idx="7">
                  <c:v>0.53258878509415097</c:v>
                </c:pt>
                <c:pt idx="8">
                  <c:v>1</c:v>
                </c:pt>
              </c:numCache>
            </c:numRef>
          </c:xVal>
          <c:yVal>
            <c:numRef>
              <c:f>'PATROCÍNIO-MONTE CARMELO'!$J$2:$J$10</c:f>
              <c:numCache>
                <c:formatCode>0.00</c:formatCode>
                <c:ptCount val="9"/>
                <c:pt idx="0">
                  <c:v>7.032784140209157E-3</c:v>
                </c:pt>
                <c:pt idx="1">
                  <c:v>1.6749798302186453E-2</c:v>
                </c:pt>
                <c:pt idx="2">
                  <c:v>3.454487332362477E-2</c:v>
                </c:pt>
                <c:pt idx="3">
                  <c:v>7.0175616637151966E-2</c:v>
                </c:pt>
                <c:pt idx="4">
                  <c:v>0.10603469709808855</c:v>
                </c:pt>
                <c:pt idx="5">
                  <c:v>0.14691719480203169</c:v>
                </c:pt>
                <c:pt idx="6">
                  <c:v>0.28878052740806892</c:v>
                </c:pt>
                <c:pt idx="7">
                  <c:v>0.53258878509415097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4-43A4-A5E5-2C1FD63E0727}"/>
            </c:ext>
          </c:extLst>
        </c:ser>
        <c:ser>
          <c:idx val="1"/>
          <c:order val="1"/>
          <c:tx>
            <c:strRef>
              <c:f>'PATROCÍNIO-MONTE CARMELO'!$N$1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'PATROCÍNIO-MONTE CARMELO'!$I$2:$I$10</c:f>
              <c:numCache>
                <c:formatCode>0.00</c:formatCode>
                <c:ptCount val="9"/>
                <c:pt idx="0">
                  <c:v>7.032784140209157E-3</c:v>
                </c:pt>
                <c:pt idx="1">
                  <c:v>1.6749798302186453E-2</c:v>
                </c:pt>
                <c:pt idx="2">
                  <c:v>3.454487332362477E-2</c:v>
                </c:pt>
                <c:pt idx="3">
                  <c:v>7.0175616637151966E-2</c:v>
                </c:pt>
                <c:pt idx="4">
                  <c:v>0.10603469709808855</c:v>
                </c:pt>
                <c:pt idx="5">
                  <c:v>0.14691719480203169</c:v>
                </c:pt>
                <c:pt idx="6">
                  <c:v>0.28878052740806892</c:v>
                </c:pt>
                <c:pt idx="7">
                  <c:v>0.53258878509415097</c:v>
                </c:pt>
                <c:pt idx="8">
                  <c:v>1</c:v>
                </c:pt>
              </c:numCache>
            </c:numRef>
          </c:xVal>
          <c:yVal>
            <c:numRef>
              <c:f>'PATROCÍNIO-MONTE CARMELO'!$N$2:$N$10</c:f>
              <c:numCache>
                <c:formatCode>0.00</c:formatCode>
                <c:ptCount val="9"/>
                <c:pt idx="0">
                  <c:v>0</c:v>
                </c:pt>
                <c:pt idx="1">
                  <c:v>3.1746031746031746E-3</c:v>
                </c:pt>
                <c:pt idx="2">
                  <c:v>6.3492063492063492E-3</c:v>
                </c:pt>
                <c:pt idx="3">
                  <c:v>2.222222222222222E-2</c:v>
                </c:pt>
                <c:pt idx="4">
                  <c:v>2.8571428571428567E-2</c:v>
                </c:pt>
                <c:pt idx="5">
                  <c:v>2.8571428571428567E-2</c:v>
                </c:pt>
                <c:pt idx="6">
                  <c:v>0.19682539682539685</c:v>
                </c:pt>
                <c:pt idx="7">
                  <c:v>0.38730158730158731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CD4-43A4-A5E5-2C1FD63E0727}"/>
            </c:ext>
          </c:extLst>
        </c:ser>
        <c:ser>
          <c:idx val="2"/>
          <c:order val="2"/>
          <c:tx>
            <c:strRef>
              <c:f>'PATROCÍNIO-MONTE CARMELO'!$O$1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'PATROCÍNIO-MONTE CARMELO'!$I$2:$I$10</c:f>
              <c:numCache>
                <c:formatCode>0.00</c:formatCode>
                <c:ptCount val="9"/>
                <c:pt idx="0">
                  <c:v>7.032784140209157E-3</c:v>
                </c:pt>
                <c:pt idx="1">
                  <c:v>1.6749798302186453E-2</c:v>
                </c:pt>
                <c:pt idx="2">
                  <c:v>3.454487332362477E-2</c:v>
                </c:pt>
                <c:pt idx="3">
                  <c:v>7.0175616637151966E-2</c:v>
                </c:pt>
                <c:pt idx="4">
                  <c:v>0.10603469709808855</c:v>
                </c:pt>
                <c:pt idx="5">
                  <c:v>0.14691719480203169</c:v>
                </c:pt>
                <c:pt idx="6">
                  <c:v>0.28878052740806892</c:v>
                </c:pt>
                <c:pt idx="7">
                  <c:v>0.53258878509415097</c:v>
                </c:pt>
                <c:pt idx="8">
                  <c:v>1</c:v>
                </c:pt>
              </c:numCache>
            </c:numRef>
          </c:xVal>
          <c:yVal>
            <c:numRef>
              <c:f>'PATROCÍNIO-MONTE CARMELO'!$O$2:$O$10</c:f>
              <c:numCache>
                <c:formatCode>0.00</c:formatCode>
                <c:ptCount val="9"/>
                <c:pt idx="0">
                  <c:v>0</c:v>
                </c:pt>
                <c:pt idx="1">
                  <c:v>1.1627906976744186E-2</c:v>
                </c:pt>
                <c:pt idx="2">
                  <c:v>2.3255813953488372E-2</c:v>
                </c:pt>
                <c:pt idx="3">
                  <c:v>3.1007751937984496E-2</c:v>
                </c:pt>
                <c:pt idx="4">
                  <c:v>3.1007751937984496E-2</c:v>
                </c:pt>
                <c:pt idx="5">
                  <c:v>3.875968992248062E-2</c:v>
                </c:pt>
                <c:pt idx="6">
                  <c:v>0.16666666666666669</c:v>
                </c:pt>
                <c:pt idx="7">
                  <c:v>0.43023255813953493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CD4-43A4-A5E5-2C1FD63E0727}"/>
            </c:ext>
          </c:extLst>
        </c:ser>
        <c:ser>
          <c:idx val="3"/>
          <c:order val="3"/>
          <c:tx>
            <c:strRef>
              <c:f>'PATROCÍNIO-MONTE CARMELO'!$P$1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'PATROCÍNIO-MONTE CARMELO'!$I$2:$I$10</c:f>
              <c:numCache>
                <c:formatCode>0.00</c:formatCode>
                <c:ptCount val="9"/>
                <c:pt idx="0">
                  <c:v>7.032784140209157E-3</c:v>
                </c:pt>
                <c:pt idx="1">
                  <c:v>1.6749798302186453E-2</c:v>
                </c:pt>
                <c:pt idx="2">
                  <c:v>3.454487332362477E-2</c:v>
                </c:pt>
                <c:pt idx="3">
                  <c:v>7.0175616637151966E-2</c:v>
                </c:pt>
                <c:pt idx="4">
                  <c:v>0.10603469709808855</c:v>
                </c:pt>
                <c:pt idx="5">
                  <c:v>0.14691719480203169</c:v>
                </c:pt>
                <c:pt idx="6">
                  <c:v>0.28878052740806892</c:v>
                </c:pt>
                <c:pt idx="7">
                  <c:v>0.53258878509415097</c:v>
                </c:pt>
                <c:pt idx="8">
                  <c:v>1</c:v>
                </c:pt>
              </c:numCache>
            </c:numRef>
          </c:xVal>
          <c:yVal>
            <c:numRef>
              <c:f>'PATROCÍNIO-MONTE CARMELO'!$P$2:$P$10</c:f>
              <c:numCache>
                <c:formatCode>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1.4598540145985401E-2</c:v>
                </c:pt>
                <c:pt idx="4">
                  <c:v>1.4598540145985401E-2</c:v>
                </c:pt>
                <c:pt idx="5">
                  <c:v>2.1897810218978103E-2</c:v>
                </c:pt>
                <c:pt idx="6">
                  <c:v>0.16788321167883211</c:v>
                </c:pt>
                <c:pt idx="7">
                  <c:v>0.41605839416058393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CD4-43A4-A5E5-2C1FD63E0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500496"/>
        <c:axId val="650506736"/>
      </c:scatterChart>
      <c:valAx>
        <c:axId val="65050049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0506736"/>
        <c:crosses val="autoZero"/>
        <c:crossBetween val="midCat"/>
      </c:valAx>
      <c:valAx>
        <c:axId val="6505067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0500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'UBERLÂNDIA-ARAGUARI'!$J$1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'UBERLÂNDIA-ARAGUARI'!$I$2:$I$10</c:f>
              <c:numCache>
                <c:formatCode>0.00</c:formatCode>
                <c:ptCount val="9"/>
                <c:pt idx="0">
                  <c:v>3.3308291385391294E-3</c:v>
                </c:pt>
                <c:pt idx="1">
                  <c:v>1.0824123004905151E-2</c:v>
                </c:pt>
                <c:pt idx="2">
                  <c:v>1.8335635692170518E-2</c:v>
                </c:pt>
                <c:pt idx="3">
                  <c:v>3.5532059230458442E-2</c:v>
                </c:pt>
                <c:pt idx="4">
                  <c:v>5.8411683193995076E-2</c:v>
                </c:pt>
                <c:pt idx="5">
                  <c:v>8.570347690121434E-2</c:v>
                </c:pt>
                <c:pt idx="6">
                  <c:v>0.11589634991281758</c:v>
                </c:pt>
                <c:pt idx="7">
                  <c:v>0.24274328288148872</c:v>
                </c:pt>
                <c:pt idx="8">
                  <c:v>1</c:v>
                </c:pt>
              </c:numCache>
            </c:numRef>
          </c:xVal>
          <c:yVal>
            <c:numRef>
              <c:f>'UBERLÂNDIA-ARAGUARI'!$J$2:$J$10</c:f>
              <c:numCache>
                <c:formatCode>0.00</c:formatCode>
                <c:ptCount val="9"/>
                <c:pt idx="0">
                  <c:v>3.3308291385391294E-3</c:v>
                </c:pt>
                <c:pt idx="1">
                  <c:v>1.0824123004905151E-2</c:v>
                </c:pt>
                <c:pt idx="2">
                  <c:v>1.8335635692170518E-2</c:v>
                </c:pt>
                <c:pt idx="3">
                  <c:v>3.5532059230458442E-2</c:v>
                </c:pt>
                <c:pt idx="4">
                  <c:v>5.8411683193995076E-2</c:v>
                </c:pt>
                <c:pt idx="5">
                  <c:v>8.570347690121434E-2</c:v>
                </c:pt>
                <c:pt idx="6">
                  <c:v>0.11589634991281758</c:v>
                </c:pt>
                <c:pt idx="7">
                  <c:v>0.24274328288148872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80-442C-B0D3-45630A033163}"/>
            </c:ext>
          </c:extLst>
        </c:ser>
        <c:ser>
          <c:idx val="1"/>
          <c:order val="1"/>
          <c:tx>
            <c:strRef>
              <c:f>'UBERLÂNDIA-ARAGUARI'!$K$1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'UBERLÂNDIA-ARAGUARI'!$I$2:$I$10</c:f>
              <c:numCache>
                <c:formatCode>0.00</c:formatCode>
                <c:ptCount val="9"/>
                <c:pt idx="0">
                  <c:v>3.3308291385391294E-3</c:v>
                </c:pt>
                <c:pt idx="1">
                  <c:v>1.0824123004905151E-2</c:v>
                </c:pt>
                <c:pt idx="2">
                  <c:v>1.8335635692170518E-2</c:v>
                </c:pt>
                <c:pt idx="3">
                  <c:v>3.5532059230458442E-2</c:v>
                </c:pt>
                <c:pt idx="4">
                  <c:v>5.8411683193995076E-2</c:v>
                </c:pt>
                <c:pt idx="5">
                  <c:v>8.570347690121434E-2</c:v>
                </c:pt>
                <c:pt idx="6">
                  <c:v>0.11589634991281758</c:v>
                </c:pt>
                <c:pt idx="7">
                  <c:v>0.24274328288148872</c:v>
                </c:pt>
                <c:pt idx="8">
                  <c:v>1</c:v>
                </c:pt>
              </c:numCache>
            </c:numRef>
          </c:xVal>
          <c:yVal>
            <c:numRef>
              <c:f>'UBERLÂNDIA-ARAGUARI'!$K$2:$K$10</c:f>
              <c:numCache>
                <c:formatCode>0.00</c:formatCode>
                <c:ptCount val="9"/>
                <c:pt idx="0">
                  <c:v>0</c:v>
                </c:pt>
                <c:pt idx="1">
                  <c:v>1.3461538461538462E-2</c:v>
                </c:pt>
                <c:pt idx="2">
                  <c:v>2.8205128205128206E-2</c:v>
                </c:pt>
                <c:pt idx="3">
                  <c:v>4.2948717948717949E-2</c:v>
                </c:pt>
                <c:pt idx="4">
                  <c:v>7.6282051282051289E-2</c:v>
                </c:pt>
                <c:pt idx="5">
                  <c:v>9.7435897435897451E-2</c:v>
                </c:pt>
                <c:pt idx="6">
                  <c:v>0.12692307692307694</c:v>
                </c:pt>
                <c:pt idx="7">
                  <c:v>0.20384615384615387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80-442C-B0D3-45630A033163}"/>
            </c:ext>
          </c:extLst>
        </c:ser>
        <c:ser>
          <c:idx val="2"/>
          <c:order val="2"/>
          <c:tx>
            <c:strRef>
              <c:f>'UBERLÂNDIA-ARAGUARI'!$L$1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'UBERLÂNDIA-ARAGUARI'!$I$2:$I$10</c:f>
              <c:numCache>
                <c:formatCode>0.00</c:formatCode>
                <c:ptCount val="9"/>
                <c:pt idx="0">
                  <c:v>3.3308291385391294E-3</c:v>
                </c:pt>
                <c:pt idx="1">
                  <c:v>1.0824123004905151E-2</c:v>
                </c:pt>
                <c:pt idx="2">
                  <c:v>1.8335635692170518E-2</c:v>
                </c:pt>
                <c:pt idx="3">
                  <c:v>3.5532059230458442E-2</c:v>
                </c:pt>
                <c:pt idx="4">
                  <c:v>5.8411683193995076E-2</c:v>
                </c:pt>
                <c:pt idx="5">
                  <c:v>8.570347690121434E-2</c:v>
                </c:pt>
                <c:pt idx="6">
                  <c:v>0.11589634991281758</c:v>
                </c:pt>
                <c:pt idx="7">
                  <c:v>0.24274328288148872</c:v>
                </c:pt>
                <c:pt idx="8">
                  <c:v>1</c:v>
                </c:pt>
              </c:numCache>
            </c:numRef>
          </c:xVal>
          <c:yVal>
            <c:numRef>
              <c:f>'UBERLÂNDIA-ARAGUARI'!$L$2:$L$10</c:f>
              <c:numCache>
                <c:formatCode>0.00</c:formatCode>
                <c:ptCount val="9"/>
                <c:pt idx="0">
                  <c:v>0</c:v>
                </c:pt>
                <c:pt idx="1">
                  <c:v>2.113821138211382E-2</c:v>
                </c:pt>
                <c:pt idx="2">
                  <c:v>3.0894308943089428E-2</c:v>
                </c:pt>
                <c:pt idx="3">
                  <c:v>6.6666666666666666E-2</c:v>
                </c:pt>
                <c:pt idx="4">
                  <c:v>0.11382113821138212</c:v>
                </c:pt>
                <c:pt idx="5">
                  <c:v>0.14471544715447154</c:v>
                </c:pt>
                <c:pt idx="6">
                  <c:v>0.20650406504065041</c:v>
                </c:pt>
                <c:pt idx="7">
                  <c:v>0.24715447154471545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680-442C-B0D3-45630A033163}"/>
            </c:ext>
          </c:extLst>
        </c:ser>
        <c:ser>
          <c:idx val="3"/>
          <c:order val="3"/>
          <c:tx>
            <c:strRef>
              <c:f>'UBERLÂNDIA-ARAGUARI'!$M$1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'UBERLÂNDIA-ARAGUARI'!$I$2:$I$10</c:f>
              <c:numCache>
                <c:formatCode>0.00</c:formatCode>
                <c:ptCount val="9"/>
                <c:pt idx="0">
                  <c:v>3.3308291385391294E-3</c:v>
                </c:pt>
                <c:pt idx="1">
                  <c:v>1.0824123004905151E-2</c:v>
                </c:pt>
                <c:pt idx="2">
                  <c:v>1.8335635692170518E-2</c:v>
                </c:pt>
                <c:pt idx="3">
                  <c:v>3.5532059230458442E-2</c:v>
                </c:pt>
                <c:pt idx="4">
                  <c:v>5.8411683193995076E-2</c:v>
                </c:pt>
                <c:pt idx="5">
                  <c:v>8.570347690121434E-2</c:v>
                </c:pt>
                <c:pt idx="6">
                  <c:v>0.11589634991281758</c:v>
                </c:pt>
                <c:pt idx="7">
                  <c:v>0.24274328288148872</c:v>
                </c:pt>
                <c:pt idx="8">
                  <c:v>1</c:v>
                </c:pt>
              </c:numCache>
            </c:numRef>
          </c:xVal>
          <c:yVal>
            <c:numRef>
              <c:f>'UBERLÂNDIA-ARAGUARI'!$M$2:$M$10</c:f>
              <c:numCache>
                <c:formatCode>0.00</c:formatCode>
                <c:ptCount val="9"/>
                <c:pt idx="0">
                  <c:v>2.9325513196480938E-3</c:v>
                </c:pt>
                <c:pt idx="1">
                  <c:v>3.3724340175953077E-2</c:v>
                </c:pt>
                <c:pt idx="2">
                  <c:v>3.6656891495601168E-2</c:v>
                </c:pt>
                <c:pt idx="3">
                  <c:v>4.5454545454545449E-2</c:v>
                </c:pt>
                <c:pt idx="4">
                  <c:v>9.6774193548387094E-2</c:v>
                </c:pt>
                <c:pt idx="5">
                  <c:v>0.1217008797653959</c:v>
                </c:pt>
                <c:pt idx="6">
                  <c:v>0.1744868035190616</c:v>
                </c:pt>
                <c:pt idx="7">
                  <c:v>0.18328445747800587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680-442C-B0D3-45630A033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269904"/>
        <c:axId val="2055277104"/>
      </c:scatterChart>
      <c:valAx>
        <c:axId val="20552699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277104"/>
        <c:crosses val="autoZero"/>
        <c:crossBetween val="midCat"/>
      </c:valAx>
      <c:valAx>
        <c:axId val="20552771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269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'UBERLÂNDIA-ARAGUARI'!$J$1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'UBERLÂNDIA-ARAGUARI'!$I$2:$I$10</c:f>
              <c:numCache>
                <c:formatCode>0.00</c:formatCode>
                <c:ptCount val="9"/>
                <c:pt idx="0">
                  <c:v>3.3308291385391294E-3</c:v>
                </c:pt>
                <c:pt idx="1">
                  <c:v>1.0824123004905151E-2</c:v>
                </c:pt>
                <c:pt idx="2">
                  <c:v>1.8335635692170518E-2</c:v>
                </c:pt>
                <c:pt idx="3">
                  <c:v>3.5532059230458442E-2</c:v>
                </c:pt>
                <c:pt idx="4">
                  <c:v>5.8411683193995076E-2</c:v>
                </c:pt>
                <c:pt idx="5">
                  <c:v>8.570347690121434E-2</c:v>
                </c:pt>
                <c:pt idx="6">
                  <c:v>0.11589634991281758</c:v>
                </c:pt>
                <c:pt idx="7">
                  <c:v>0.24274328288148872</c:v>
                </c:pt>
                <c:pt idx="8">
                  <c:v>1</c:v>
                </c:pt>
              </c:numCache>
            </c:numRef>
          </c:xVal>
          <c:yVal>
            <c:numRef>
              <c:f>'UBERLÂNDIA-ARAGUARI'!$J$2:$J$10</c:f>
              <c:numCache>
                <c:formatCode>0.00</c:formatCode>
                <c:ptCount val="9"/>
                <c:pt idx="0">
                  <c:v>3.3308291385391294E-3</c:v>
                </c:pt>
                <c:pt idx="1">
                  <c:v>1.0824123004905151E-2</c:v>
                </c:pt>
                <c:pt idx="2">
                  <c:v>1.8335635692170518E-2</c:v>
                </c:pt>
                <c:pt idx="3">
                  <c:v>3.5532059230458442E-2</c:v>
                </c:pt>
                <c:pt idx="4">
                  <c:v>5.8411683193995076E-2</c:v>
                </c:pt>
                <c:pt idx="5">
                  <c:v>8.570347690121434E-2</c:v>
                </c:pt>
                <c:pt idx="6">
                  <c:v>0.11589634991281758</c:v>
                </c:pt>
                <c:pt idx="7">
                  <c:v>0.24274328288148872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3A-4FD5-A4B1-96BA8FC028F1}"/>
            </c:ext>
          </c:extLst>
        </c:ser>
        <c:ser>
          <c:idx val="1"/>
          <c:order val="1"/>
          <c:tx>
            <c:strRef>
              <c:f>'UBERLÂNDIA-ARAGUARI'!$N$1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'UBERLÂNDIA-ARAGUARI'!$I$2:$I$10</c:f>
              <c:numCache>
                <c:formatCode>0.00</c:formatCode>
                <c:ptCount val="9"/>
                <c:pt idx="0">
                  <c:v>3.3308291385391294E-3</c:v>
                </c:pt>
                <c:pt idx="1">
                  <c:v>1.0824123004905151E-2</c:v>
                </c:pt>
                <c:pt idx="2">
                  <c:v>1.8335635692170518E-2</c:v>
                </c:pt>
                <c:pt idx="3">
                  <c:v>3.5532059230458442E-2</c:v>
                </c:pt>
                <c:pt idx="4">
                  <c:v>5.8411683193995076E-2</c:v>
                </c:pt>
                <c:pt idx="5">
                  <c:v>8.570347690121434E-2</c:v>
                </c:pt>
                <c:pt idx="6">
                  <c:v>0.11589634991281758</c:v>
                </c:pt>
                <c:pt idx="7">
                  <c:v>0.24274328288148872</c:v>
                </c:pt>
                <c:pt idx="8">
                  <c:v>1</c:v>
                </c:pt>
              </c:numCache>
            </c:numRef>
          </c:xVal>
          <c:yVal>
            <c:numRef>
              <c:f>'UBERLÂNDIA-ARAGUARI'!$N$2:$N$10</c:f>
              <c:numCache>
                <c:formatCode>0.00</c:formatCode>
                <c:ptCount val="9"/>
                <c:pt idx="0">
                  <c:v>0</c:v>
                </c:pt>
                <c:pt idx="1">
                  <c:v>1.8691588785046728E-2</c:v>
                </c:pt>
                <c:pt idx="2">
                  <c:v>2.1495327102803736E-2</c:v>
                </c:pt>
                <c:pt idx="3">
                  <c:v>2.803738317757009E-2</c:v>
                </c:pt>
                <c:pt idx="4">
                  <c:v>7.9439252336448593E-2</c:v>
                </c:pt>
                <c:pt idx="5">
                  <c:v>0.11775700934579439</c:v>
                </c:pt>
                <c:pt idx="6">
                  <c:v>0.1485981308411215</c:v>
                </c:pt>
                <c:pt idx="7">
                  <c:v>0.21869158878504674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3A-4FD5-A4B1-96BA8FC028F1}"/>
            </c:ext>
          </c:extLst>
        </c:ser>
        <c:ser>
          <c:idx val="2"/>
          <c:order val="2"/>
          <c:tx>
            <c:strRef>
              <c:f>'UBERLÂNDIA-ARAGUARI'!$O$1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'UBERLÂNDIA-ARAGUARI'!$I$2:$I$10</c:f>
              <c:numCache>
                <c:formatCode>0.00</c:formatCode>
                <c:ptCount val="9"/>
                <c:pt idx="0">
                  <c:v>3.3308291385391294E-3</c:v>
                </c:pt>
                <c:pt idx="1">
                  <c:v>1.0824123004905151E-2</c:v>
                </c:pt>
                <c:pt idx="2">
                  <c:v>1.8335635692170518E-2</c:v>
                </c:pt>
                <c:pt idx="3">
                  <c:v>3.5532059230458442E-2</c:v>
                </c:pt>
                <c:pt idx="4">
                  <c:v>5.8411683193995076E-2</c:v>
                </c:pt>
                <c:pt idx="5">
                  <c:v>8.570347690121434E-2</c:v>
                </c:pt>
                <c:pt idx="6">
                  <c:v>0.11589634991281758</c:v>
                </c:pt>
                <c:pt idx="7">
                  <c:v>0.24274328288148872</c:v>
                </c:pt>
                <c:pt idx="8">
                  <c:v>1</c:v>
                </c:pt>
              </c:numCache>
            </c:numRef>
          </c:xVal>
          <c:yVal>
            <c:numRef>
              <c:f>'UBERLÂNDIA-ARAGUARI'!$O$2:$O$10</c:f>
              <c:numCache>
                <c:formatCode>0.00</c:formatCode>
                <c:ptCount val="9"/>
                <c:pt idx="0">
                  <c:v>0</c:v>
                </c:pt>
                <c:pt idx="1">
                  <c:v>1.9933554817275746E-2</c:v>
                </c:pt>
                <c:pt idx="2">
                  <c:v>2.2148394241417495E-2</c:v>
                </c:pt>
                <c:pt idx="3">
                  <c:v>3.5437430786267994E-2</c:v>
                </c:pt>
                <c:pt idx="4">
                  <c:v>7.0874861572535988E-2</c:v>
                </c:pt>
                <c:pt idx="5">
                  <c:v>0.12956810631229235</c:v>
                </c:pt>
                <c:pt idx="6">
                  <c:v>0.16611295681063121</c:v>
                </c:pt>
                <c:pt idx="7">
                  <c:v>0.32558139534883718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3A-4FD5-A4B1-96BA8FC028F1}"/>
            </c:ext>
          </c:extLst>
        </c:ser>
        <c:ser>
          <c:idx val="3"/>
          <c:order val="3"/>
          <c:tx>
            <c:strRef>
              <c:f>'UBERLÂNDIA-ARAGUARI'!$P$1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'UBERLÂNDIA-ARAGUARI'!$I$2:$I$10</c:f>
              <c:numCache>
                <c:formatCode>0.00</c:formatCode>
                <c:ptCount val="9"/>
                <c:pt idx="0">
                  <c:v>3.3308291385391294E-3</c:v>
                </c:pt>
                <c:pt idx="1">
                  <c:v>1.0824123004905151E-2</c:v>
                </c:pt>
                <c:pt idx="2">
                  <c:v>1.8335635692170518E-2</c:v>
                </c:pt>
                <c:pt idx="3">
                  <c:v>3.5532059230458442E-2</c:v>
                </c:pt>
                <c:pt idx="4">
                  <c:v>5.8411683193995076E-2</c:v>
                </c:pt>
                <c:pt idx="5">
                  <c:v>8.570347690121434E-2</c:v>
                </c:pt>
                <c:pt idx="6">
                  <c:v>0.11589634991281758</c:v>
                </c:pt>
                <c:pt idx="7">
                  <c:v>0.24274328288148872</c:v>
                </c:pt>
                <c:pt idx="8">
                  <c:v>1</c:v>
                </c:pt>
              </c:numCache>
            </c:numRef>
          </c:xVal>
          <c:yVal>
            <c:numRef>
              <c:f>'UBERLÂNDIA-ARAGUARI'!$P$2:$P$10</c:f>
              <c:numCache>
                <c:formatCode>0.00</c:formatCode>
                <c:ptCount val="9"/>
                <c:pt idx="0">
                  <c:v>0</c:v>
                </c:pt>
                <c:pt idx="1">
                  <c:v>1.3035381750465549E-2</c:v>
                </c:pt>
                <c:pt idx="2">
                  <c:v>1.4897579143389199E-2</c:v>
                </c:pt>
                <c:pt idx="3">
                  <c:v>2.7932960893854747E-2</c:v>
                </c:pt>
                <c:pt idx="4">
                  <c:v>6.3314711359404086E-2</c:v>
                </c:pt>
                <c:pt idx="5">
                  <c:v>8.3798882681564241E-2</c:v>
                </c:pt>
                <c:pt idx="6">
                  <c:v>0.10614525139664804</c:v>
                </c:pt>
                <c:pt idx="7">
                  <c:v>0.28677839851024212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33A-4FD5-A4B1-96BA8FC02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286480"/>
        <c:axId val="893277360"/>
      </c:scatterChart>
      <c:valAx>
        <c:axId val="89328648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277360"/>
        <c:crosses val="autoZero"/>
        <c:crossBetween val="midCat"/>
      </c:valAx>
      <c:valAx>
        <c:axId val="8932773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28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91440</xdr:colOff>
      <xdr:row>0</xdr:row>
      <xdr:rowOff>64770</xdr:rowOff>
    </xdr:from>
    <xdr:to>
      <xdr:col>23</xdr:col>
      <xdr:colOff>396240</xdr:colOff>
      <xdr:row>12</xdr:row>
      <xdr:rowOff>148590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6CCCC07-F8DE-1970-0445-6DCD9EA345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99060</xdr:colOff>
      <xdr:row>13</xdr:row>
      <xdr:rowOff>11430</xdr:rowOff>
    </xdr:from>
    <xdr:to>
      <xdr:col>23</xdr:col>
      <xdr:colOff>403860</xdr:colOff>
      <xdr:row>28</xdr:row>
      <xdr:rowOff>11430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9AE32B0-E462-55A5-AA81-D14A24C38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213360</xdr:colOff>
      <xdr:row>0</xdr:row>
      <xdr:rowOff>80010</xdr:rowOff>
    </xdr:from>
    <xdr:to>
      <xdr:col>23</xdr:col>
      <xdr:colOff>518160</xdr:colOff>
      <xdr:row>12</xdr:row>
      <xdr:rowOff>163830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C4CD9B0-1686-B3F2-0273-E959C3C70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220980</xdr:colOff>
      <xdr:row>13</xdr:row>
      <xdr:rowOff>64770</xdr:rowOff>
    </xdr:from>
    <xdr:to>
      <xdr:col>23</xdr:col>
      <xdr:colOff>525780</xdr:colOff>
      <xdr:row>28</xdr:row>
      <xdr:rowOff>64770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B6DD1E9-F8ED-DDC8-0F64-8CF2198BF2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121920</xdr:colOff>
      <xdr:row>0</xdr:row>
      <xdr:rowOff>72390</xdr:rowOff>
    </xdr:from>
    <xdr:to>
      <xdr:col>23</xdr:col>
      <xdr:colOff>426720</xdr:colOff>
      <xdr:row>12</xdr:row>
      <xdr:rowOff>156210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712C98D5-FAF3-7E35-8E7A-B4C3B5CC99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91440</xdr:colOff>
      <xdr:row>13</xdr:row>
      <xdr:rowOff>26670</xdr:rowOff>
    </xdr:from>
    <xdr:to>
      <xdr:col>23</xdr:col>
      <xdr:colOff>396240</xdr:colOff>
      <xdr:row>28</xdr:row>
      <xdr:rowOff>26670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C3D5A607-B05F-AA5A-3435-558ED04964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7DA75-511A-471B-BCCB-3E3154806241}">
  <dimension ref="A1:P23"/>
  <sheetViews>
    <sheetView tabSelected="1" workbookViewId="0">
      <selection activeCell="A12" sqref="A12"/>
    </sheetView>
  </sheetViews>
  <sheetFormatPr defaultRowHeight="14.4" x14ac:dyDescent="0.3"/>
  <sheetData>
    <row r="1" spans="1:16" ht="36.6" customHeight="1" x14ac:dyDescent="0.3">
      <c r="A1" s="1" t="s">
        <v>27</v>
      </c>
      <c r="B1" s="2" t="s">
        <v>28</v>
      </c>
      <c r="C1" s="3" t="s">
        <v>29</v>
      </c>
      <c r="D1" s="3" t="s">
        <v>30</v>
      </c>
      <c r="E1" s="3" t="s">
        <v>31</v>
      </c>
      <c r="F1" s="2" t="s">
        <v>32</v>
      </c>
      <c r="G1" s="3" t="s">
        <v>33</v>
      </c>
      <c r="H1" s="3" t="s">
        <v>34</v>
      </c>
      <c r="I1" s="4" t="s">
        <v>28</v>
      </c>
      <c r="J1" s="5" t="s">
        <v>28</v>
      </c>
      <c r="K1" s="6" t="s">
        <v>29</v>
      </c>
      <c r="L1" s="6" t="s">
        <v>30</v>
      </c>
      <c r="M1" s="6" t="s">
        <v>31</v>
      </c>
      <c r="N1" s="7" t="s">
        <v>32</v>
      </c>
      <c r="O1" s="6" t="s">
        <v>33</v>
      </c>
      <c r="P1" s="6" t="s">
        <v>34</v>
      </c>
    </row>
    <row r="2" spans="1:16" x14ac:dyDescent="0.3">
      <c r="A2" s="9" t="s">
        <v>1</v>
      </c>
      <c r="B2" s="16">
        <v>1.3812224834583374E-2</v>
      </c>
      <c r="C2" s="16">
        <v>1.8656716417910446E-2</v>
      </c>
      <c r="D2" s="16">
        <v>2.030456852791878E-2</v>
      </c>
      <c r="E2" s="16">
        <v>0</v>
      </c>
      <c r="F2" s="16">
        <v>3.1847133757961785E-3</v>
      </c>
      <c r="G2" s="16">
        <v>3.968253968253968E-3</v>
      </c>
      <c r="H2" s="16">
        <v>0</v>
      </c>
      <c r="I2" s="9">
        <v>1.3812224834583374E-2</v>
      </c>
      <c r="J2" s="17">
        <v>1.3812224834583374E-2</v>
      </c>
      <c r="K2" s="17">
        <v>1.8656716417910446E-2</v>
      </c>
      <c r="L2" s="17">
        <v>2.030456852791878E-2</v>
      </c>
      <c r="M2" s="17">
        <v>0</v>
      </c>
      <c r="N2" s="17">
        <v>3.1847133757961785E-3</v>
      </c>
      <c r="O2" s="17">
        <v>3.968253968253968E-3</v>
      </c>
      <c r="P2" s="17">
        <v>0</v>
      </c>
    </row>
    <row r="3" spans="1:16" x14ac:dyDescent="0.3">
      <c r="A3" s="9" t="s">
        <v>7</v>
      </c>
      <c r="B3" s="16">
        <v>2.1474962803475401E-2</v>
      </c>
      <c r="C3" s="16">
        <v>1.8656716417910446E-2</v>
      </c>
      <c r="D3" s="16">
        <v>2.030456852791878E-2</v>
      </c>
      <c r="E3" s="16">
        <v>4.0322580645161289E-3</v>
      </c>
      <c r="F3" s="16">
        <v>3.1847133757961785E-3</v>
      </c>
      <c r="G3" s="16">
        <v>0</v>
      </c>
      <c r="H3" s="16">
        <v>7.8125E-3</v>
      </c>
      <c r="I3" s="9">
        <v>3.5287187638058777E-2</v>
      </c>
      <c r="J3" s="9">
        <f t="shared" ref="J3:P10" si="0">J2+B3</f>
        <v>3.5287187638058777E-2</v>
      </c>
      <c r="K3" s="9">
        <f t="shared" si="0"/>
        <v>3.7313432835820892E-2</v>
      </c>
      <c r="L3" s="9">
        <f t="shared" si="0"/>
        <v>4.060913705583756E-2</v>
      </c>
      <c r="M3" s="9">
        <f t="shared" si="0"/>
        <v>4.0322580645161289E-3</v>
      </c>
      <c r="N3" s="9">
        <f t="shared" si="0"/>
        <v>6.369426751592357E-3</v>
      </c>
      <c r="O3" s="9">
        <f t="shared" si="0"/>
        <v>3.968253968253968E-3</v>
      </c>
      <c r="P3" s="9">
        <f t="shared" si="0"/>
        <v>7.8125E-3</v>
      </c>
    </row>
    <row r="4" spans="1:16" x14ac:dyDescent="0.3">
      <c r="A4" s="9" t="s">
        <v>6</v>
      </c>
      <c r="B4" s="16">
        <v>2.8010379480721284E-2</v>
      </c>
      <c r="C4" s="16">
        <v>3.3582089552238806E-2</v>
      </c>
      <c r="D4" s="16">
        <v>2.5380710659898477E-2</v>
      </c>
      <c r="E4" s="16">
        <v>8.0645161290322578E-3</v>
      </c>
      <c r="F4" s="16">
        <v>1.2738853503184714E-2</v>
      </c>
      <c r="G4" s="16">
        <v>2.3809523809523808E-2</v>
      </c>
      <c r="H4" s="16">
        <v>5.46875E-2</v>
      </c>
      <c r="I4" s="9">
        <v>6.3297567118780068E-2</v>
      </c>
      <c r="J4" s="9">
        <f t="shared" si="0"/>
        <v>6.3297567118780068E-2</v>
      </c>
      <c r="K4" s="9">
        <f t="shared" si="0"/>
        <v>7.0895522388059698E-2</v>
      </c>
      <c r="L4" s="9">
        <f t="shared" si="0"/>
        <v>6.5989847715736044E-2</v>
      </c>
      <c r="M4" s="9">
        <f t="shared" si="0"/>
        <v>1.2096774193548387E-2</v>
      </c>
      <c r="N4" s="9">
        <f t="shared" si="0"/>
        <v>1.9108280254777073E-2</v>
      </c>
      <c r="O4" s="9">
        <f t="shared" si="0"/>
        <v>2.7777777777777776E-2</v>
      </c>
      <c r="P4" s="9">
        <f t="shared" si="0"/>
        <v>6.25E-2</v>
      </c>
    </row>
    <row r="5" spans="1:16" x14ac:dyDescent="0.3">
      <c r="A5" s="9" t="s">
        <v>5</v>
      </c>
      <c r="B5" s="16">
        <v>5.2522000538270525E-2</v>
      </c>
      <c r="C5" s="16">
        <v>4.8507462686567165E-2</v>
      </c>
      <c r="D5" s="16">
        <v>3.553299492385787E-2</v>
      </c>
      <c r="E5" s="16">
        <v>4.8387096774193547E-2</v>
      </c>
      <c r="F5" s="16">
        <v>3.8216560509554139E-2</v>
      </c>
      <c r="G5" s="16">
        <v>4.7619047619047616E-2</v>
      </c>
      <c r="H5" s="16">
        <v>3.125E-2</v>
      </c>
      <c r="I5" s="9">
        <v>0.11581956765705059</v>
      </c>
      <c r="J5" s="9">
        <f t="shared" si="0"/>
        <v>0.11581956765705059</v>
      </c>
      <c r="K5" s="9">
        <f t="shared" si="0"/>
        <v>0.11940298507462686</v>
      </c>
      <c r="L5" s="9">
        <f t="shared" si="0"/>
        <v>0.10152284263959391</v>
      </c>
      <c r="M5" s="9">
        <f t="shared" si="0"/>
        <v>6.0483870967741937E-2</v>
      </c>
      <c r="N5" s="9">
        <f t="shared" si="0"/>
        <v>5.7324840764331211E-2</v>
      </c>
      <c r="O5" s="9">
        <f t="shared" si="0"/>
        <v>7.5396825396825393E-2</v>
      </c>
      <c r="P5" s="9">
        <f t="shared" si="0"/>
        <v>9.375E-2</v>
      </c>
    </row>
    <row r="6" spans="1:16" x14ac:dyDescent="0.3">
      <c r="A6" s="9" t="s">
        <v>3</v>
      </c>
      <c r="B6" s="16">
        <v>6.2210870017823862E-2</v>
      </c>
      <c r="C6" s="16">
        <v>0.25</v>
      </c>
      <c r="D6" s="16">
        <v>0.24365482233502539</v>
      </c>
      <c r="E6" s="16">
        <v>0.14516129032258066</v>
      </c>
      <c r="F6" s="16">
        <v>9.8726114649681534E-2</v>
      </c>
      <c r="G6" s="16">
        <v>0.10714285714285714</v>
      </c>
      <c r="H6" s="16">
        <v>0.1640625</v>
      </c>
      <c r="I6" s="9">
        <v>0.17803043767487445</v>
      </c>
      <c r="J6" s="9">
        <f t="shared" si="0"/>
        <v>0.17803043767487445</v>
      </c>
      <c r="K6" s="9">
        <f t="shared" si="0"/>
        <v>0.36940298507462688</v>
      </c>
      <c r="L6" s="9">
        <f t="shared" si="0"/>
        <v>0.34517766497461932</v>
      </c>
      <c r="M6" s="9">
        <f t="shared" si="0"/>
        <v>0.20564516129032259</v>
      </c>
      <c r="N6" s="9">
        <f t="shared" si="0"/>
        <v>0.15605095541401276</v>
      </c>
      <c r="O6" s="9">
        <f t="shared" si="0"/>
        <v>0.18253968253968253</v>
      </c>
      <c r="P6" s="9">
        <f t="shared" si="0"/>
        <v>0.2578125</v>
      </c>
    </row>
    <row r="7" spans="1:16" x14ac:dyDescent="0.3">
      <c r="A7" s="9" t="s">
        <v>4</v>
      </c>
      <c r="B7" s="16">
        <v>8.2741320387757902E-2</v>
      </c>
      <c r="C7" s="16">
        <v>0.20149253731343283</v>
      </c>
      <c r="D7" s="16">
        <v>0.15228426395939088</v>
      </c>
      <c r="E7" s="16">
        <v>0.13709677419354838</v>
      </c>
      <c r="F7" s="16">
        <v>0.13375796178343949</v>
      </c>
      <c r="G7" s="16">
        <v>0.13492063492063491</v>
      </c>
      <c r="H7" s="16">
        <v>7.03125E-2</v>
      </c>
      <c r="I7" s="9">
        <v>0.26077175806263236</v>
      </c>
      <c r="J7" s="9">
        <f t="shared" si="0"/>
        <v>0.26077175806263236</v>
      </c>
      <c r="K7" s="9">
        <f t="shared" si="0"/>
        <v>0.57089552238805974</v>
      </c>
      <c r="L7" s="9">
        <f t="shared" si="0"/>
        <v>0.4974619289340102</v>
      </c>
      <c r="M7" s="9">
        <f t="shared" si="0"/>
        <v>0.342741935483871</v>
      </c>
      <c r="N7" s="9">
        <f t="shared" si="0"/>
        <v>0.28980891719745228</v>
      </c>
      <c r="O7" s="9">
        <f t="shared" si="0"/>
        <v>0.31746031746031744</v>
      </c>
      <c r="P7" s="9">
        <f t="shared" si="0"/>
        <v>0.328125</v>
      </c>
    </row>
    <row r="8" spans="1:16" x14ac:dyDescent="0.3">
      <c r="A8" s="9" t="s">
        <v>2</v>
      </c>
      <c r="B8" s="16">
        <v>0.10033667298034298</v>
      </c>
      <c r="C8" s="16">
        <v>7.8358208955223885E-2</v>
      </c>
      <c r="D8" s="16">
        <v>4.060913705583756E-2</v>
      </c>
      <c r="E8" s="16">
        <v>8.0645161290322578E-3</v>
      </c>
      <c r="F8" s="16">
        <v>4.1401273885350316E-2</v>
      </c>
      <c r="G8" s="16">
        <v>2.3809523809523808E-2</v>
      </c>
      <c r="H8" s="16">
        <v>7.8125E-3</v>
      </c>
      <c r="I8" s="9">
        <v>0.36110843104297535</v>
      </c>
      <c r="J8" s="9">
        <f t="shared" si="0"/>
        <v>0.36110843104297535</v>
      </c>
      <c r="K8" s="9">
        <f t="shared" si="0"/>
        <v>0.64925373134328357</v>
      </c>
      <c r="L8" s="9">
        <f t="shared" si="0"/>
        <v>0.53807106598984777</v>
      </c>
      <c r="M8" s="9">
        <f t="shared" si="0"/>
        <v>0.35080645161290325</v>
      </c>
      <c r="N8" s="9">
        <f t="shared" si="0"/>
        <v>0.33121019108280259</v>
      </c>
      <c r="O8" s="9">
        <f t="shared" si="0"/>
        <v>0.34126984126984128</v>
      </c>
      <c r="P8" s="9">
        <f t="shared" si="0"/>
        <v>0.3359375</v>
      </c>
    </row>
    <row r="9" spans="1:16" x14ac:dyDescent="0.3">
      <c r="A9" s="9" t="s">
        <v>8</v>
      </c>
      <c r="B9" s="16">
        <v>0.10154524265336902</v>
      </c>
      <c r="C9" s="16">
        <v>0.16417910447761194</v>
      </c>
      <c r="D9" s="16">
        <v>0.2233502538071066</v>
      </c>
      <c r="E9" s="16">
        <v>0.24193548387096775</v>
      </c>
      <c r="F9" s="16">
        <v>0.23885350318471338</v>
      </c>
      <c r="G9" s="16">
        <v>0.19047619047619047</v>
      </c>
      <c r="H9" s="16">
        <v>0.265625</v>
      </c>
      <c r="I9" s="9">
        <v>0.46265367369634436</v>
      </c>
      <c r="J9" s="9">
        <f t="shared" si="0"/>
        <v>0.46265367369634436</v>
      </c>
      <c r="K9" s="9">
        <f t="shared" si="0"/>
        <v>0.81343283582089554</v>
      </c>
      <c r="L9" s="9">
        <f t="shared" si="0"/>
        <v>0.76142131979695438</v>
      </c>
      <c r="M9" s="9">
        <f t="shared" si="0"/>
        <v>0.592741935483871</v>
      </c>
      <c r="N9" s="9">
        <f t="shared" si="0"/>
        <v>0.57006369426751591</v>
      </c>
      <c r="O9" s="9">
        <f t="shared" si="0"/>
        <v>0.53174603174603174</v>
      </c>
      <c r="P9" s="9">
        <f t="shared" si="0"/>
        <v>0.6015625</v>
      </c>
    </row>
    <row r="10" spans="1:16" x14ac:dyDescent="0.3">
      <c r="A10" s="9" t="s">
        <v>0</v>
      </c>
      <c r="B10" s="16">
        <v>0.53734632630365564</v>
      </c>
      <c r="C10" s="16">
        <v>0.18656716417910449</v>
      </c>
      <c r="D10" s="16">
        <v>0.23857868020304568</v>
      </c>
      <c r="E10" s="16">
        <v>0.40725806451612906</v>
      </c>
      <c r="F10" s="16">
        <v>0.42993630573248409</v>
      </c>
      <c r="G10" s="16">
        <v>0.46825396825396826</v>
      </c>
      <c r="H10" s="16">
        <v>0.3984375</v>
      </c>
      <c r="I10" s="9">
        <v>1</v>
      </c>
      <c r="J10" s="9">
        <f t="shared" si="0"/>
        <v>1</v>
      </c>
      <c r="K10" s="9">
        <f t="shared" si="0"/>
        <v>1</v>
      </c>
      <c r="L10" s="9">
        <f t="shared" si="0"/>
        <v>1</v>
      </c>
      <c r="M10" s="9">
        <f t="shared" si="0"/>
        <v>1</v>
      </c>
      <c r="N10" s="9">
        <f t="shared" si="0"/>
        <v>1</v>
      </c>
      <c r="O10" s="9">
        <f t="shared" si="0"/>
        <v>1</v>
      </c>
      <c r="P10" s="9">
        <f t="shared" si="0"/>
        <v>1</v>
      </c>
    </row>
    <row r="12" spans="1:16" ht="28.8" x14ac:dyDescent="0.3">
      <c r="B12" s="10" t="s">
        <v>27</v>
      </c>
      <c r="C12" s="11" t="s">
        <v>35</v>
      </c>
      <c r="D12" s="11" t="s">
        <v>36</v>
      </c>
      <c r="E12" s="11" t="s">
        <v>37</v>
      </c>
      <c r="F12" s="11" t="s">
        <v>38</v>
      </c>
      <c r="G12" s="11" t="s">
        <v>39</v>
      </c>
      <c r="H12" s="11" t="s">
        <v>40</v>
      </c>
      <c r="J12" s="8"/>
      <c r="K12" s="12" t="s">
        <v>41</v>
      </c>
      <c r="L12" s="12" t="s">
        <v>42</v>
      </c>
      <c r="M12" s="12" t="s">
        <v>43</v>
      </c>
      <c r="N12" s="12" t="s">
        <v>44</v>
      </c>
      <c r="O12" s="12" t="s">
        <v>45</v>
      </c>
      <c r="P12" s="12" t="s">
        <v>46</v>
      </c>
    </row>
    <row r="13" spans="1:16" x14ac:dyDescent="0.3">
      <c r="B13" s="9" t="s">
        <v>1</v>
      </c>
      <c r="C13" s="9">
        <f>C2-B2</f>
        <v>4.8444915833270718E-3</v>
      </c>
      <c r="D13" s="9">
        <f>D2-B2</f>
        <v>6.4923436933354058E-3</v>
      </c>
      <c r="E13" s="9">
        <f>E2-B2</f>
        <v>-1.3812224834583374E-2</v>
      </c>
      <c r="F13" s="9">
        <f>F2-B2</f>
        <v>-1.0627511458787195E-2</v>
      </c>
      <c r="G13" s="9">
        <f>G2-B2</f>
        <v>-9.8439708663294063E-3</v>
      </c>
      <c r="H13" s="9">
        <f>H2-B2</f>
        <v>-1.3812224834583374E-2</v>
      </c>
      <c r="J13" s="9" t="s">
        <v>1</v>
      </c>
      <c r="K13" s="8">
        <f>($J2-0) * ((K2+0))</f>
        <v>2.5769076183924201E-4</v>
      </c>
      <c r="L13" s="8">
        <f t="shared" ref="L13:P13" si="1">($J2-0) * ((L2+0))</f>
        <v>2.8045126567681977E-4</v>
      </c>
      <c r="M13" s="8">
        <f t="shared" si="1"/>
        <v>0</v>
      </c>
      <c r="N13" s="8">
        <f t="shared" si="1"/>
        <v>4.3987977180201831E-5</v>
      </c>
      <c r="O13" s="8">
        <f t="shared" si="1"/>
        <v>5.4810416010251481E-5</v>
      </c>
      <c r="P13" s="8">
        <f t="shared" si="1"/>
        <v>0</v>
      </c>
    </row>
    <row r="14" spans="1:16" x14ac:dyDescent="0.3">
      <c r="B14" s="9" t="s">
        <v>7</v>
      </c>
      <c r="C14" s="9">
        <f t="shared" ref="C14:C21" si="2">C3-B3</f>
        <v>-2.8182463855649549E-3</v>
      </c>
      <c r="D14" s="9">
        <f t="shared" ref="D14:D21" si="3">D3-B3</f>
        <v>-1.1703942755566209E-3</v>
      </c>
      <c r="E14" s="9">
        <f t="shared" ref="E14:E21" si="4">E3-B3</f>
        <v>-1.7442704738959272E-2</v>
      </c>
      <c r="F14" s="9">
        <f t="shared" ref="F14:F21" si="5">F3-B3</f>
        <v>-1.8290249427679223E-2</v>
      </c>
      <c r="G14" s="9">
        <f t="shared" ref="G14:G21" si="6">G3-B3</f>
        <v>-2.1474962803475401E-2</v>
      </c>
      <c r="H14" s="9">
        <f t="shared" ref="H14:H21" si="7">H3-B3</f>
        <v>-1.3662462803475401E-2</v>
      </c>
      <c r="J14" s="9" t="s">
        <v>7</v>
      </c>
      <c r="K14" s="8">
        <f>($J3-$J2) * ((K3+K2))</f>
        <v>1.2019568733288471E-3</v>
      </c>
      <c r="L14" s="8">
        <f t="shared" ref="L14:P14" si="8">($J3-$J2) * ((L3+L2))</f>
        <v>1.3081195616330196E-3</v>
      </c>
      <c r="M14" s="8">
        <f t="shared" si="8"/>
        <v>8.6592591949497598E-5</v>
      </c>
      <c r="N14" s="8">
        <f t="shared" si="8"/>
        <v>2.0517480385486058E-4</v>
      </c>
      <c r="O14" s="8">
        <f t="shared" si="8"/>
        <v>1.7043621272599526E-4</v>
      </c>
      <c r="P14" s="8">
        <f t="shared" si="8"/>
        <v>1.677731469021516E-4</v>
      </c>
    </row>
    <row r="15" spans="1:16" x14ac:dyDescent="0.3">
      <c r="B15" s="9" t="s">
        <v>6</v>
      </c>
      <c r="C15" s="9">
        <f t="shared" si="2"/>
        <v>5.5717100715175216E-3</v>
      </c>
      <c r="D15" s="9">
        <f t="shared" si="3"/>
        <v>-2.6296688208228072E-3</v>
      </c>
      <c r="E15" s="9">
        <f t="shared" si="4"/>
        <v>-1.9945863351689026E-2</v>
      </c>
      <c r="F15" s="9">
        <f t="shared" si="5"/>
        <v>-1.527152597753657E-2</v>
      </c>
      <c r="G15" s="9">
        <f t="shared" si="6"/>
        <v>-4.2008556711974759E-3</v>
      </c>
      <c r="H15" s="9">
        <f t="shared" si="7"/>
        <v>2.6677120519278716E-2</v>
      </c>
      <c r="J15" s="9" t="s">
        <v>6</v>
      </c>
      <c r="K15" s="8">
        <f t="shared" ref="K15:P21" si="9">($J4-$J3) * ((K4+K3))</f>
        <v>3.0309738990332738E-3</v>
      </c>
      <c r="L15" s="8">
        <f t="shared" si="9"/>
        <v>2.9858780157114065E-3</v>
      </c>
      <c r="M15" s="8">
        <f t="shared" si="9"/>
        <v>4.517803142051821E-4</v>
      </c>
      <c r="N15" s="8">
        <f t="shared" si="9"/>
        <v>7.1364024154703929E-4</v>
      </c>
      <c r="O15" s="8">
        <f t="shared" si="9"/>
        <v>8.8921839621337428E-4</v>
      </c>
      <c r="P15" s="8">
        <f t="shared" si="9"/>
        <v>1.9694798072382156E-3</v>
      </c>
    </row>
    <row r="16" spans="1:16" x14ac:dyDescent="0.3">
      <c r="B16" s="9" t="s">
        <v>5</v>
      </c>
      <c r="C16" s="9">
        <f t="shared" si="2"/>
        <v>-4.0145378517033592E-3</v>
      </c>
      <c r="D16" s="9">
        <f t="shared" si="3"/>
        <v>-1.6989005614412654E-2</v>
      </c>
      <c r="E16" s="9">
        <f t="shared" si="4"/>
        <v>-4.1349037640769776E-3</v>
      </c>
      <c r="F16" s="9">
        <f t="shared" si="5"/>
        <v>-1.4305440028716386E-2</v>
      </c>
      <c r="G16" s="9">
        <f t="shared" si="6"/>
        <v>-4.9029529192229082E-3</v>
      </c>
      <c r="H16" s="9">
        <f t="shared" si="7"/>
        <v>-2.1272000538270525E-2</v>
      </c>
      <c r="J16" s="9" t="s">
        <v>5</v>
      </c>
      <c r="K16" s="8">
        <f t="shared" si="9"/>
        <v>9.9948583113873002E-3</v>
      </c>
      <c r="L16" s="8">
        <f t="shared" si="9"/>
        <v>8.7981016130097827E-3</v>
      </c>
      <c r="M16" s="8">
        <f t="shared" si="9"/>
        <v>3.8120806842293123E-3</v>
      </c>
      <c r="N16" s="8">
        <f t="shared" si="9"/>
        <v>4.0144204233073019E-3</v>
      </c>
      <c r="O16" s="8">
        <f t="shared" si="9"/>
        <v>5.4189365634723556E-3</v>
      </c>
      <c r="P16" s="8">
        <f t="shared" si="9"/>
        <v>8.2065625841047686E-3</v>
      </c>
    </row>
    <row r="17" spans="2:16" x14ac:dyDescent="0.3">
      <c r="B17" s="9" t="s">
        <v>3</v>
      </c>
      <c r="C17" s="9">
        <f t="shared" si="2"/>
        <v>0.18778912998217615</v>
      </c>
      <c r="D17" s="9">
        <f t="shared" si="3"/>
        <v>0.18144395231720153</v>
      </c>
      <c r="E17" s="9">
        <f t="shared" si="4"/>
        <v>8.29504203047568E-2</v>
      </c>
      <c r="F17" s="9">
        <f t="shared" si="5"/>
        <v>3.6515244631857673E-2</v>
      </c>
      <c r="G17" s="9">
        <f t="shared" si="6"/>
        <v>4.4931987125033275E-2</v>
      </c>
      <c r="H17" s="9">
        <f t="shared" si="7"/>
        <v>0.10185162998217615</v>
      </c>
      <c r="J17" s="9" t="s">
        <v>3</v>
      </c>
      <c r="K17" s="8">
        <f t="shared" si="9"/>
        <v>3.0409044672891513E-2</v>
      </c>
      <c r="L17" s="8">
        <f t="shared" si="9"/>
        <v>2.7789627216083752E-2</v>
      </c>
      <c r="M17" s="8">
        <f t="shared" si="9"/>
        <v>1.6556118633775704E-2</v>
      </c>
      <c r="N17" s="8">
        <f t="shared" si="9"/>
        <v>1.3274293921000631E-2</v>
      </c>
      <c r="O17" s="8">
        <f t="shared" si="9"/>
        <v>1.6046454568089483E-2</v>
      </c>
      <c r="P17" s="8">
        <f t="shared" si="9"/>
        <v>2.1871008990641198E-2</v>
      </c>
    </row>
    <row r="18" spans="2:16" x14ac:dyDescent="0.3">
      <c r="B18" s="9" t="s">
        <v>4</v>
      </c>
      <c r="C18" s="9">
        <f t="shared" si="2"/>
        <v>0.11875121692567493</v>
      </c>
      <c r="D18" s="9">
        <f t="shared" si="3"/>
        <v>6.9542943571632973E-2</v>
      </c>
      <c r="E18" s="9">
        <f t="shared" si="4"/>
        <v>5.4355453805790474E-2</v>
      </c>
      <c r="F18" s="9">
        <f t="shared" si="5"/>
        <v>5.1016641395681586E-2</v>
      </c>
      <c r="G18" s="9">
        <f t="shared" si="6"/>
        <v>5.2179314532877011E-2</v>
      </c>
      <c r="H18" s="9">
        <f t="shared" si="7"/>
        <v>-1.2428820387757902E-2</v>
      </c>
      <c r="J18" s="9" t="s">
        <v>4</v>
      </c>
      <c r="K18" s="8">
        <f t="shared" si="9"/>
        <v>7.7801540066100724E-2</v>
      </c>
      <c r="L18" s="8">
        <f t="shared" si="9"/>
        <v>6.9721112611004138E-2</v>
      </c>
      <c r="M18" s="8">
        <f t="shared" si="9"/>
        <v>4.5374272470705961E-2</v>
      </c>
      <c r="N18" s="8">
        <f t="shared" si="9"/>
        <v>3.6891034567790158E-2</v>
      </c>
      <c r="O18" s="8">
        <f t="shared" si="9"/>
        <v>4.1370660193878958E-2</v>
      </c>
      <c r="P18" s="8">
        <f t="shared" si="9"/>
        <v>4.8481242414701906E-2</v>
      </c>
    </row>
    <row r="19" spans="2:16" x14ac:dyDescent="0.3">
      <c r="B19" s="9" t="s">
        <v>2</v>
      </c>
      <c r="C19" s="9">
        <f t="shared" si="2"/>
        <v>-2.197846402511909E-2</v>
      </c>
      <c r="D19" s="9">
        <f t="shared" si="3"/>
        <v>-5.9727535924505415E-2</v>
      </c>
      <c r="E19" s="9">
        <f t="shared" si="4"/>
        <v>-9.227215685131071E-2</v>
      </c>
      <c r="F19" s="9">
        <f t="shared" si="5"/>
        <v>-5.8935399094992659E-2</v>
      </c>
      <c r="G19" s="9">
        <f t="shared" si="6"/>
        <v>-7.6527149170819167E-2</v>
      </c>
      <c r="H19" s="9">
        <f t="shared" si="7"/>
        <v>-9.2524172980342975E-2</v>
      </c>
      <c r="J19" s="9" t="s">
        <v>2</v>
      </c>
      <c r="K19" s="8">
        <f t="shared" si="9"/>
        <v>0.12242571665885132</v>
      </c>
      <c r="L19" s="8">
        <f t="shared" si="9"/>
        <v>0.1039019354720303</v>
      </c>
      <c r="M19" s="8">
        <f t="shared" si="9"/>
        <v>6.9588337712173362E-2</v>
      </c>
      <c r="N19" s="8">
        <f t="shared" si="9"/>
        <v>6.2310991182060148E-2</v>
      </c>
      <c r="O19" s="8">
        <f t="shared" si="9"/>
        <v>6.6094792518797366E-2</v>
      </c>
      <c r="P19" s="8">
        <f t="shared" si="9"/>
        <v>6.6629821901009023E-2</v>
      </c>
    </row>
    <row r="20" spans="2:16" x14ac:dyDescent="0.3">
      <c r="B20" s="9" t="s">
        <v>8</v>
      </c>
      <c r="C20" s="9">
        <f t="shared" si="2"/>
        <v>6.2633861824242923E-2</v>
      </c>
      <c r="D20" s="9">
        <f t="shared" si="3"/>
        <v>0.12180501115373758</v>
      </c>
      <c r="E20" s="9">
        <f t="shared" si="4"/>
        <v>0.14039024121759874</v>
      </c>
      <c r="F20" s="9">
        <f t="shared" si="5"/>
        <v>0.13730826053134437</v>
      </c>
      <c r="G20" s="9">
        <f t="shared" si="6"/>
        <v>8.8930947822821446E-2</v>
      </c>
      <c r="H20" s="9">
        <f t="shared" si="7"/>
        <v>0.16407975734663099</v>
      </c>
      <c r="J20" s="9" t="s">
        <v>8</v>
      </c>
      <c r="K20" s="8">
        <f t="shared" si="9"/>
        <v>0.1485288623885099</v>
      </c>
      <c r="L20" s="8">
        <f t="shared" si="9"/>
        <v>0.13195726964092624</v>
      </c>
      <c r="M20" s="8">
        <f t="shared" si="9"/>
        <v>9.5812849922936885E-2</v>
      </c>
      <c r="N20" s="8">
        <f t="shared" si="9"/>
        <v>9.1520075385042768E-2</v>
      </c>
      <c r="O20" s="8">
        <f t="shared" si="9"/>
        <v>8.8650608665639605E-2</v>
      </c>
      <c r="P20" s="8">
        <f t="shared" si="9"/>
        <v>9.5198664987533446E-2</v>
      </c>
    </row>
    <row r="21" spans="2:16" x14ac:dyDescent="0.3">
      <c r="B21" s="9" t="s">
        <v>0</v>
      </c>
      <c r="C21" s="9">
        <f t="shared" si="2"/>
        <v>-0.35077916212455118</v>
      </c>
      <c r="D21" s="9">
        <f t="shared" si="3"/>
        <v>-0.29876764610060996</v>
      </c>
      <c r="E21" s="9">
        <f t="shared" si="4"/>
        <v>-0.13008826178752658</v>
      </c>
      <c r="F21" s="9">
        <f t="shared" si="5"/>
        <v>-0.10741002057117155</v>
      </c>
      <c r="G21" s="9">
        <f t="shared" si="6"/>
        <v>-6.9092358049687386E-2</v>
      </c>
      <c r="H21" s="9">
        <f t="shared" si="7"/>
        <v>-0.13890882630365564</v>
      </c>
      <c r="J21" s="9" t="s">
        <v>0</v>
      </c>
      <c r="K21" s="8">
        <f t="shared" si="9"/>
        <v>0.97444147232677847</v>
      </c>
      <c r="L21" s="8">
        <f t="shared" si="9"/>
        <v>0.94649327526583005</v>
      </c>
      <c r="M21" s="8">
        <f t="shared" si="9"/>
        <v>0.85585402778203223</v>
      </c>
      <c r="N21" s="8">
        <f t="shared" si="9"/>
        <v>0.84366795817739559</v>
      </c>
      <c r="O21" s="8">
        <f t="shared" si="9"/>
        <v>0.8230781029889328</v>
      </c>
      <c r="P21" s="8">
        <f t="shared" si="9"/>
        <v>0.86059372572069848</v>
      </c>
    </row>
    <row r="22" spans="2:16" x14ac:dyDescent="0.3">
      <c r="J22" s="13" t="s">
        <v>47</v>
      </c>
      <c r="K22" s="12">
        <f>SUM(K13:K21)</f>
        <v>1.3680921159587207</v>
      </c>
      <c r="L22" s="12">
        <f t="shared" ref="L22:P22" si="10">SUM(L13:L21)</f>
        <v>1.2932357706619055</v>
      </c>
      <c r="M22" s="12">
        <f t="shared" si="10"/>
        <v>1.0875360601120081</v>
      </c>
      <c r="N22" s="12">
        <f t="shared" si="10"/>
        <v>1.0526415766791786</v>
      </c>
      <c r="O22" s="12">
        <f t="shared" si="10"/>
        <v>1.0417740205237602</v>
      </c>
      <c r="P22" s="12">
        <f t="shared" si="10"/>
        <v>1.1031182795528292</v>
      </c>
    </row>
    <row r="23" spans="2:16" x14ac:dyDescent="0.3">
      <c r="J23" s="14" t="s">
        <v>48</v>
      </c>
      <c r="K23" s="15">
        <f>1-K22</f>
        <v>-0.36809211595872071</v>
      </c>
      <c r="L23" s="15">
        <f t="shared" ref="L23:P23" si="11">1-L22</f>
        <v>-0.29323577066190554</v>
      </c>
      <c r="M23" s="15">
        <f t="shared" si="11"/>
        <v>-8.7536060112008096E-2</v>
      </c>
      <c r="N23" s="15">
        <f t="shared" si="11"/>
        <v>-5.264157667917857E-2</v>
      </c>
      <c r="O23" s="15">
        <f t="shared" si="11"/>
        <v>-4.1774020523760225E-2</v>
      </c>
      <c r="P23" s="15">
        <f t="shared" si="11"/>
        <v>-0.10311827955282915</v>
      </c>
    </row>
  </sheetData>
  <sortState xmlns:xlrd2="http://schemas.microsoft.com/office/spreadsheetml/2017/richdata2" ref="A2:P11">
    <sortCondition ref="B1:B11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98B9E-713D-48FA-98B7-17B158F22FF0}">
  <dimension ref="A1:P23"/>
  <sheetViews>
    <sheetView workbookViewId="0">
      <selection activeCell="A12" sqref="A12"/>
    </sheetView>
  </sheetViews>
  <sheetFormatPr defaultRowHeight="14.4" x14ac:dyDescent="0.3"/>
  <sheetData>
    <row r="1" spans="1:16" ht="36.6" customHeight="1" x14ac:dyDescent="0.3">
      <c r="A1" s="1" t="s">
        <v>27</v>
      </c>
      <c r="B1" s="2" t="s">
        <v>28</v>
      </c>
      <c r="C1" s="3" t="s">
        <v>29</v>
      </c>
      <c r="D1" s="3" t="s">
        <v>30</v>
      </c>
      <c r="E1" s="3" t="s">
        <v>31</v>
      </c>
      <c r="F1" s="2" t="s">
        <v>32</v>
      </c>
      <c r="G1" s="3" t="s">
        <v>33</v>
      </c>
      <c r="H1" s="3" t="s">
        <v>34</v>
      </c>
      <c r="I1" s="4" t="s">
        <v>28</v>
      </c>
      <c r="J1" s="5" t="s">
        <v>28</v>
      </c>
      <c r="K1" s="6" t="s">
        <v>29</v>
      </c>
      <c r="L1" s="6" t="s">
        <v>30</v>
      </c>
      <c r="M1" s="6" t="s">
        <v>31</v>
      </c>
      <c r="N1" s="7" t="s">
        <v>32</v>
      </c>
      <c r="O1" s="6" t="s">
        <v>33</v>
      </c>
      <c r="P1" s="6" t="s">
        <v>34</v>
      </c>
    </row>
    <row r="2" spans="1:16" x14ac:dyDescent="0.3">
      <c r="A2" s="9" t="s">
        <v>13</v>
      </c>
      <c r="B2" s="16">
        <v>7.032784140209157E-3</v>
      </c>
      <c r="C2" s="16">
        <v>2.5641025641025641E-3</v>
      </c>
      <c r="D2" s="16">
        <v>7.1684587813620072E-3</v>
      </c>
      <c r="E2" s="16">
        <v>7.3800738007380072E-3</v>
      </c>
      <c r="F2" s="16">
        <v>0</v>
      </c>
      <c r="G2" s="16">
        <v>0</v>
      </c>
      <c r="H2" s="16">
        <v>0</v>
      </c>
      <c r="I2" s="9">
        <v>7.032784140209157E-3</v>
      </c>
      <c r="J2" s="17">
        <v>7.032784140209157E-3</v>
      </c>
      <c r="K2" s="17">
        <v>2.5641025641025641E-3</v>
      </c>
      <c r="L2" s="17">
        <v>7.1684587813620072E-3</v>
      </c>
      <c r="M2" s="17">
        <v>7.3800738007380072E-3</v>
      </c>
      <c r="N2" s="17">
        <v>0</v>
      </c>
      <c r="O2" s="17">
        <v>0</v>
      </c>
      <c r="P2" s="17">
        <v>0</v>
      </c>
    </row>
    <row r="3" spans="1:16" x14ac:dyDescent="0.3">
      <c r="A3" s="9" t="s">
        <v>11</v>
      </c>
      <c r="B3" s="16">
        <v>9.7170141619772974E-3</v>
      </c>
      <c r="C3" s="16">
        <v>1.5384615384615385E-2</v>
      </c>
      <c r="D3" s="16">
        <v>7.1684587813620072E-3</v>
      </c>
      <c r="E3" s="16">
        <v>7.3800738007380072E-3</v>
      </c>
      <c r="F3" s="16">
        <v>3.1746031746031746E-3</v>
      </c>
      <c r="G3" s="16">
        <v>1.1627906976744186E-2</v>
      </c>
      <c r="H3" s="16">
        <v>0</v>
      </c>
      <c r="I3" s="9">
        <v>1.6749798302186453E-2</v>
      </c>
      <c r="J3" s="9">
        <f t="shared" ref="J3:P10" si="0">J2+B3</f>
        <v>1.6749798302186453E-2</v>
      </c>
      <c r="K3" s="9">
        <f t="shared" si="0"/>
        <v>1.7948717948717951E-2</v>
      </c>
      <c r="L3" s="9">
        <f t="shared" si="0"/>
        <v>1.4336917562724014E-2</v>
      </c>
      <c r="M3" s="9">
        <f t="shared" si="0"/>
        <v>1.4760147601476014E-2</v>
      </c>
      <c r="N3" s="9">
        <f t="shared" si="0"/>
        <v>3.1746031746031746E-3</v>
      </c>
      <c r="O3" s="9">
        <f t="shared" si="0"/>
        <v>1.1627906976744186E-2</v>
      </c>
      <c r="P3" s="9">
        <f t="shared" si="0"/>
        <v>0</v>
      </c>
    </row>
    <row r="4" spans="1:16" x14ac:dyDescent="0.3">
      <c r="A4" s="9" t="s">
        <v>17</v>
      </c>
      <c r="B4" s="16">
        <v>1.779507502143832E-2</v>
      </c>
      <c r="C4" s="16">
        <v>5.1282051282051282E-3</v>
      </c>
      <c r="D4" s="16">
        <v>0</v>
      </c>
      <c r="E4" s="16">
        <v>0</v>
      </c>
      <c r="F4" s="16">
        <v>3.1746031746031746E-3</v>
      </c>
      <c r="G4" s="16">
        <v>1.1627906976744186E-2</v>
      </c>
      <c r="H4" s="16">
        <v>0</v>
      </c>
      <c r="I4" s="9">
        <v>3.454487332362477E-2</v>
      </c>
      <c r="J4" s="9">
        <f t="shared" si="0"/>
        <v>3.454487332362477E-2</v>
      </c>
      <c r="K4" s="9">
        <f t="shared" si="0"/>
        <v>2.3076923076923078E-2</v>
      </c>
      <c r="L4" s="9">
        <f t="shared" si="0"/>
        <v>1.4336917562724014E-2</v>
      </c>
      <c r="M4" s="9">
        <f t="shared" si="0"/>
        <v>1.4760147601476014E-2</v>
      </c>
      <c r="N4" s="9">
        <f t="shared" si="0"/>
        <v>6.3492063492063492E-3</v>
      </c>
      <c r="O4" s="9">
        <f t="shared" si="0"/>
        <v>2.3255813953488372E-2</v>
      </c>
      <c r="P4" s="9">
        <f t="shared" si="0"/>
        <v>0</v>
      </c>
    </row>
    <row r="5" spans="1:16" x14ac:dyDescent="0.3">
      <c r="A5" s="9" t="s">
        <v>9</v>
      </c>
      <c r="B5" s="16">
        <v>3.5630743313527197E-2</v>
      </c>
      <c r="C5" s="16">
        <v>2.0512820512820513E-2</v>
      </c>
      <c r="D5" s="16">
        <v>2.1505376344086023E-2</v>
      </c>
      <c r="E5" s="16">
        <v>7.3800738007380072E-3</v>
      </c>
      <c r="F5" s="16">
        <v>1.5873015873015872E-2</v>
      </c>
      <c r="G5" s="16">
        <v>7.7519379844961239E-3</v>
      </c>
      <c r="H5" s="16">
        <v>1.4598540145985401E-2</v>
      </c>
      <c r="I5" s="9">
        <v>7.0175616637151966E-2</v>
      </c>
      <c r="J5" s="9">
        <f t="shared" si="0"/>
        <v>7.0175616637151966E-2</v>
      </c>
      <c r="K5" s="9">
        <f t="shared" si="0"/>
        <v>4.3589743589743588E-2</v>
      </c>
      <c r="L5" s="9">
        <f t="shared" si="0"/>
        <v>3.5842293906810041E-2</v>
      </c>
      <c r="M5" s="9">
        <f t="shared" si="0"/>
        <v>2.2140221402214021E-2</v>
      </c>
      <c r="N5" s="9">
        <f t="shared" si="0"/>
        <v>2.222222222222222E-2</v>
      </c>
      <c r="O5" s="9">
        <f t="shared" si="0"/>
        <v>3.1007751937984496E-2</v>
      </c>
      <c r="P5" s="9">
        <f t="shared" si="0"/>
        <v>1.4598540145985401E-2</v>
      </c>
    </row>
    <row r="6" spans="1:16" x14ac:dyDescent="0.3">
      <c r="A6" s="9" t="s">
        <v>14</v>
      </c>
      <c r="B6" s="16">
        <v>3.5859080460936589E-2</v>
      </c>
      <c r="C6" s="16">
        <v>2.564102564102564E-2</v>
      </c>
      <c r="D6" s="16">
        <v>2.8673835125448029E-2</v>
      </c>
      <c r="E6" s="16">
        <v>3.6900369003690036E-3</v>
      </c>
      <c r="F6" s="16">
        <v>6.3492063492063492E-3</v>
      </c>
      <c r="G6" s="16">
        <v>0</v>
      </c>
      <c r="H6" s="16">
        <v>0</v>
      </c>
      <c r="I6" s="9">
        <v>0.10603469709808855</v>
      </c>
      <c r="J6" s="9">
        <f t="shared" si="0"/>
        <v>0.10603469709808855</v>
      </c>
      <c r="K6" s="9">
        <f t="shared" si="0"/>
        <v>6.9230769230769235E-2</v>
      </c>
      <c r="L6" s="9">
        <f t="shared" si="0"/>
        <v>6.4516129032258063E-2</v>
      </c>
      <c r="M6" s="9">
        <f t="shared" si="0"/>
        <v>2.5830258302583023E-2</v>
      </c>
      <c r="N6" s="9">
        <f t="shared" si="0"/>
        <v>2.8571428571428567E-2</v>
      </c>
      <c r="O6" s="9">
        <f t="shared" si="0"/>
        <v>3.1007751937984496E-2</v>
      </c>
      <c r="P6" s="9">
        <f t="shared" si="0"/>
        <v>1.4598540145985401E-2</v>
      </c>
    </row>
    <row r="7" spans="1:16" x14ac:dyDescent="0.3">
      <c r="A7" s="9" t="s">
        <v>12</v>
      </c>
      <c r="B7" s="16">
        <v>4.088249770394313E-2</v>
      </c>
      <c r="C7" s="16">
        <v>1.5384615384615385E-2</v>
      </c>
      <c r="D7" s="16">
        <v>1.7921146953405017E-2</v>
      </c>
      <c r="E7" s="16">
        <v>3.6900369003690036E-3</v>
      </c>
      <c r="F7" s="16">
        <v>0</v>
      </c>
      <c r="G7" s="16">
        <v>7.7519379844961239E-3</v>
      </c>
      <c r="H7" s="16">
        <v>7.2992700729927005E-3</v>
      </c>
      <c r="I7" s="9">
        <v>0.14691719480203169</v>
      </c>
      <c r="J7" s="9">
        <f t="shared" si="0"/>
        <v>0.14691719480203169</v>
      </c>
      <c r="K7" s="9">
        <f t="shared" si="0"/>
        <v>8.461538461538462E-2</v>
      </c>
      <c r="L7" s="9">
        <f t="shared" si="0"/>
        <v>8.2437275985663083E-2</v>
      </c>
      <c r="M7" s="9">
        <f t="shared" si="0"/>
        <v>2.9520295202952025E-2</v>
      </c>
      <c r="N7" s="9">
        <f t="shared" si="0"/>
        <v>2.8571428571428567E-2</v>
      </c>
      <c r="O7" s="9">
        <f t="shared" si="0"/>
        <v>3.875968992248062E-2</v>
      </c>
      <c r="P7" s="9">
        <f t="shared" si="0"/>
        <v>2.1897810218978103E-2</v>
      </c>
    </row>
    <row r="8" spans="1:16" x14ac:dyDescent="0.3">
      <c r="A8" s="9" t="s">
        <v>10</v>
      </c>
      <c r="B8" s="16">
        <v>0.14186333260603723</v>
      </c>
      <c r="C8" s="16">
        <v>0.17948717948717949</v>
      </c>
      <c r="D8" s="16">
        <v>5.0179211469534052E-2</v>
      </c>
      <c r="E8" s="16">
        <v>0.10332103321033211</v>
      </c>
      <c r="F8" s="16">
        <v>0.16825396825396827</v>
      </c>
      <c r="G8" s="16">
        <v>0.12790697674418605</v>
      </c>
      <c r="H8" s="16">
        <v>0.145985401459854</v>
      </c>
      <c r="I8" s="9">
        <v>0.28878052740806892</v>
      </c>
      <c r="J8" s="9">
        <f t="shared" si="0"/>
        <v>0.28878052740806892</v>
      </c>
      <c r="K8" s="9">
        <f t="shared" si="0"/>
        <v>0.26410256410256411</v>
      </c>
      <c r="L8" s="9">
        <f t="shared" si="0"/>
        <v>0.13261648745519714</v>
      </c>
      <c r="M8" s="9">
        <f t="shared" si="0"/>
        <v>0.13284132841328414</v>
      </c>
      <c r="N8" s="9">
        <f t="shared" si="0"/>
        <v>0.19682539682539685</v>
      </c>
      <c r="O8" s="9">
        <f t="shared" si="0"/>
        <v>0.16666666666666669</v>
      </c>
      <c r="P8" s="9">
        <f t="shared" si="0"/>
        <v>0.16788321167883211</v>
      </c>
    </row>
    <row r="9" spans="1:16" x14ac:dyDescent="0.3">
      <c r="A9" s="9" t="s">
        <v>15</v>
      </c>
      <c r="B9" s="16">
        <v>0.24380825768608208</v>
      </c>
      <c r="C9" s="16">
        <v>0.2076923076923077</v>
      </c>
      <c r="D9" s="16">
        <v>0.16129032258064516</v>
      </c>
      <c r="E9" s="16">
        <v>0.21771217712177121</v>
      </c>
      <c r="F9" s="16">
        <v>0.19047619047619047</v>
      </c>
      <c r="G9" s="16">
        <v>0.26356589147286824</v>
      </c>
      <c r="H9" s="16">
        <v>0.24817518248175183</v>
      </c>
      <c r="I9" s="9">
        <v>0.53258878509415097</v>
      </c>
      <c r="J9" s="9">
        <f t="shared" si="0"/>
        <v>0.53258878509415097</v>
      </c>
      <c r="K9" s="9">
        <f t="shared" si="0"/>
        <v>0.47179487179487178</v>
      </c>
      <c r="L9" s="9">
        <f t="shared" si="0"/>
        <v>0.29390681003584229</v>
      </c>
      <c r="M9" s="9">
        <f t="shared" si="0"/>
        <v>0.35055350553505538</v>
      </c>
      <c r="N9" s="9">
        <f t="shared" si="0"/>
        <v>0.38730158730158731</v>
      </c>
      <c r="O9" s="9">
        <f t="shared" si="0"/>
        <v>0.43023255813953493</v>
      </c>
      <c r="P9" s="9">
        <f t="shared" si="0"/>
        <v>0.41605839416058393</v>
      </c>
    </row>
    <row r="10" spans="1:16" x14ac:dyDescent="0.3">
      <c r="A10" s="9" t="s">
        <v>16</v>
      </c>
      <c r="B10" s="16">
        <v>0.46741121490584897</v>
      </c>
      <c r="C10" s="16">
        <v>0.52820512820512822</v>
      </c>
      <c r="D10" s="16">
        <v>0.70609318996415771</v>
      </c>
      <c r="E10" s="16">
        <v>0.64944649446494462</v>
      </c>
      <c r="F10" s="16">
        <v>0.61269841269841274</v>
      </c>
      <c r="G10" s="16">
        <v>0.56976744186046513</v>
      </c>
      <c r="H10" s="16">
        <v>0.58394160583941601</v>
      </c>
      <c r="I10" s="9">
        <v>1</v>
      </c>
      <c r="J10" s="9">
        <f t="shared" si="0"/>
        <v>1</v>
      </c>
      <c r="K10" s="9">
        <f t="shared" si="0"/>
        <v>1</v>
      </c>
      <c r="L10" s="9">
        <f t="shared" si="0"/>
        <v>1</v>
      </c>
      <c r="M10" s="9">
        <f t="shared" si="0"/>
        <v>1</v>
      </c>
      <c r="N10" s="9">
        <f t="shared" si="0"/>
        <v>1</v>
      </c>
      <c r="O10" s="9">
        <f t="shared" si="0"/>
        <v>1</v>
      </c>
      <c r="P10" s="9">
        <f t="shared" si="0"/>
        <v>1</v>
      </c>
    </row>
    <row r="12" spans="1:16" ht="28.8" x14ac:dyDescent="0.3">
      <c r="B12" s="10" t="s">
        <v>27</v>
      </c>
      <c r="C12" s="11" t="s">
        <v>35</v>
      </c>
      <c r="D12" s="11" t="s">
        <v>36</v>
      </c>
      <c r="E12" s="11" t="s">
        <v>37</v>
      </c>
      <c r="F12" s="11" t="s">
        <v>38</v>
      </c>
      <c r="G12" s="11" t="s">
        <v>39</v>
      </c>
      <c r="H12" s="11" t="s">
        <v>40</v>
      </c>
      <c r="J12" s="8"/>
      <c r="K12" s="12" t="s">
        <v>41</v>
      </c>
      <c r="L12" s="12" t="s">
        <v>42</v>
      </c>
      <c r="M12" s="12" t="s">
        <v>43</v>
      </c>
      <c r="N12" s="12" t="s">
        <v>44</v>
      </c>
      <c r="O12" s="12" t="s">
        <v>45</v>
      </c>
      <c r="P12" s="12" t="s">
        <v>46</v>
      </c>
    </row>
    <row r="13" spans="1:16" x14ac:dyDescent="0.3">
      <c r="B13" s="9" t="s">
        <v>13</v>
      </c>
      <c r="C13" s="9">
        <f>C2-B2</f>
        <v>-4.4686815761065934E-3</v>
      </c>
      <c r="D13" s="9">
        <f>D2-B2</f>
        <v>1.3567464115285012E-4</v>
      </c>
      <c r="E13" s="9">
        <f>E2-B2</f>
        <v>3.4728966052885012E-4</v>
      </c>
      <c r="F13" s="9">
        <f>F2-B2</f>
        <v>-7.032784140209157E-3</v>
      </c>
      <c r="G13" s="9">
        <f>G2-B2</f>
        <v>-7.032784140209157E-3</v>
      </c>
      <c r="H13" s="9">
        <f>H2-B2</f>
        <v>-7.032784140209157E-3</v>
      </c>
      <c r="J13" s="9" t="s">
        <v>13</v>
      </c>
      <c r="K13" s="8">
        <f>($J2-0) * ((K2+0))</f>
        <v>1.8032779846690147E-5</v>
      </c>
      <c r="L13" s="8">
        <f t="shared" ref="L13:P13" si="1">($J2-0) * ((L2+0))</f>
        <v>5.0414223227305783E-5</v>
      </c>
      <c r="M13" s="8">
        <f t="shared" si="1"/>
        <v>5.1902465979403371E-5</v>
      </c>
      <c r="N13" s="8">
        <f t="shared" si="1"/>
        <v>0</v>
      </c>
      <c r="O13" s="8">
        <f t="shared" si="1"/>
        <v>0</v>
      </c>
      <c r="P13" s="8">
        <f t="shared" si="1"/>
        <v>0</v>
      </c>
    </row>
    <row r="14" spans="1:16" x14ac:dyDescent="0.3">
      <c r="B14" s="9" t="s">
        <v>11</v>
      </c>
      <c r="C14" s="9">
        <f t="shared" ref="C14:C21" si="2">C3-B3</f>
        <v>5.6676012226380881E-3</v>
      </c>
      <c r="D14" s="9">
        <f t="shared" ref="D14:D21" si="3">D3-B3</f>
        <v>-2.5485553806152902E-3</v>
      </c>
      <c r="E14" s="9">
        <f t="shared" ref="E14:E21" si="4">E3-B3</f>
        <v>-2.3369403612392902E-3</v>
      </c>
      <c r="F14" s="9">
        <f t="shared" ref="F14:F21" si="5">F3-B3</f>
        <v>-6.5424109873741228E-3</v>
      </c>
      <c r="G14" s="9">
        <f t="shared" ref="G14:G21" si="6">G3-B3</f>
        <v>1.9108928147668885E-3</v>
      </c>
      <c r="H14" s="9">
        <f t="shared" ref="H14:H21" si="7">H3-B3</f>
        <v>-9.7170141619772974E-3</v>
      </c>
      <c r="J14" s="9" t="s">
        <v>11</v>
      </c>
      <c r="K14" s="8">
        <f>($J3-$J2) * ((K3+K2))</f>
        <v>1.9932336742517533E-4</v>
      </c>
      <c r="L14" s="8">
        <f t="shared" ref="L14:P14" si="8">($J3-$J2) * ((L3+L2))</f>
        <v>2.0896804649413541E-4</v>
      </c>
      <c r="M14" s="8">
        <f t="shared" si="8"/>
        <v>2.1513684491462646E-4</v>
      </c>
      <c r="N14" s="8">
        <f t="shared" si="8"/>
        <v>3.0847664006277132E-5</v>
      </c>
      <c r="O14" s="8">
        <f t="shared" si="8"/>
        <v>1.1298853676717786E-4</v>
      </c>
      <c r="P14" s="8">
        <f t="shared" si="8"/>
        <v>0</v>
      </c>
    </row>
    <row r="15" spans="1:16" x14ac:dyDescent="0.3">
      <c r="B15" s="9" t="s">
        <v>17</v>
      </c>
      <c r="C15" s="9">
        <f t="shared" si="2"/>
        <v>-1.2666869893233193E-2</v>
      </c>
      <c r="D15" s="9">
        <f t="shared" si="3"/>
        <v>-1.779507502143832E-2</v>
      </c>
      <c r="E15" s="9">
        <f t="shared" si="4"/>
        <v>-1.779507502143832E-2</v>
      </c>
      <c r="F15" s="9">
        <f t="shared" si="5"/>
        <v>-1.4620471846835147E-2</v>
      </c>
      <c r="G15" s="9">
        <f t="shared" si="6"/>
        <v>-6.1671680446941345E-3</v>
      </c>
      <c r="H15" s="9">
        <f t="shared" si="7"/>
        <v>-1.779507502143832E-2</v>
      </c>
      <c r="J15" s="9" t="s">
        <v>17</v>
      </c>
      <c r="K15" s="8">
        <f t="shared" ref="K15:P21" si="9">($J4-$J3) * ((K4+K3))</f>
        <v>7.3005435985387982E-4</v>
      </c>
      <c r="L15" s="8">
        <f t="shared" si="9"/>
        <v>5.1025304720970089E-4</v>
      </c>
      <c r="M15" s="8">
        <f t="shared" si="9"/>
        <v>5.2531586779153703E-4</v>
      </c>
      <c r="N15" s="8">
        <f t="shared" si="9"/>
        <v>1.6947690496607923E-4</v>
      </c>
      <c r="O15" s="8">
        <f t="shared" si="9"/>
        <v>6.2075843098040643E-4</v>
      </c>
      <c r="P15" s="8">
        <f t="shared" si="9"/>
        <v>0</v>
      </c>
    </row>
    <row r="16" spans="1:16" x14ac:dyDescent="0.3">
      <c r="B16" s="9" t="s">
        <v>9</v>
      </c>
      <c r="C16" s="9">
        <f t="shared" si="2"/>
        <v>-1.5117922800706684E-2</v>
      </c>
      <c r="D16" s="9">
        <f t="shared" si="3"/>
        <v>-1.4125366969441173E-2</v>
      </c>
      <c r="E16" s="9">
        <f t="shared" si="4"/>
        <v>-2.8250669512789189E-2</v>
      </c>
      <c r="F16" s="9">
        <f t="shared" si="5"/>
        <v>-1.9757727440511325E-2</v>
      </c>
      <c r="G16" s="9">
        <f t="shared" si="6"/>
        <v>-2.7878805329031073E-2</v>
      </c>
      <c r="H16" s="9">
        <f t="shared" si="7"/>
        <v>-2.1032203167541796E-2</v>
      </c>
      <c r="J16" s="9" t="s">
        <v>9</v>
      </c>
      <c r="K16" s="8">
        <f t="shared" si="9"/>
        <v>2.3753828875684798E-3</v>
      </c>
      <c r="L16" s="8">
        <f t="shared" si="9"/>
        <v>1.7879226035461676E-3</v>
      </c>
      <c r="M16" s="8">
        <f t="shared" si="9"/>
        <v>1.314787576144915E-3</v>
      </c>
      <c r="N16" s="8">
        <f t="shared" si="9"/>
        <v>1.0180212375293482E-3</v>
      </c>
      <c r="O16" s="8">
        <f t="shared" si="9"/>
        <v>1.9334511875557393E-3</v>
      </c>
      <c r="P16" s="8">
        <f t="shared" si="9"/>
        <v>5.2015683669382764E-4</v>
      </c>
    </row>
    <row r="17" spans="2:16" x14ac:dyDescent="0.3">
      <c r="B17" s="9" t="s">
        <v>14</v>
      </c>
      <c r="C17" s="9">
        <f t="shared" si="2"/>
        <v>-1.0218054819910949E-2</v>
      </c>
      <c r="D17" s="9">
        <f t="shared" si="3"/>
        <v>-7.1852453354885604E-3</v>
      </c>
      <c r="E17" s="9">
        <f t="shared" si="4"/>
        <v>-3.2169043560567587E-2</v>
      </c>
      <c r="F17" s="9">
        <f t="shared" si="5"/>
        <v>-2.9509874111730242E-2</v>
      </c>
      <c r="G17" s="9">
        <f t="shared" si="6"/>
        <v>-3.5859080460936589E-2</v>
      </c>
      <c r="H17" s="9">
        <f t="shared" si="7"/>
        <v>-3.5859080460936589E-2</v>
      </c>
      <c r="J17" s="9" t="s">
        <v>14</v>
      </c>
      <c r="K17" s="8">
        <f t="shared" si="9"/>
        <v>4.0456398468748968E-3</v>
      </c>
      <c r="L17" s="8">
        <f t="shared" si="9"/>
        <v>3.5987607631047468E-3</v>
      </c>
      <c r="M17" s="8">
        <f t="shared" si="9"/>
        <v>1.7201772914840424E-3</v>
      </c>
      <c r="N17" s="8">
        <f t="shared" si="9"/>
        <v>1.8214136107142388E-3</v>
      </c>
      <c r="O17" s="8">
        <f t="shared" si="9"/>
        <v>2.2238189433138964E-3</v>
      </c>
      <c r="P17" s="8">
        <f t="shared" si="9"/>
        <v>1.0469804514142067E-3</v>
      </c>
    </row>
    <row r="18" spans="2:16" x14ac:dyDescent="0.3">
      <c r="B18" s="9" t="s">
        <v>12</v>
      </c>
      <c r="C18" s="9">
        <f t="shared" si="2"/>
        <v>-2.5497882319327744E-2</v>
      </c>
      <c r="D18" s="9">
        <f t="shared" si="3"/>
        <v>-2.2961350750538113E-2</v>
      </c>
      <c r="E18" s="9">
        <f t="shared" si="4"/>
        <v>-3.7192460803574127E-2</v>
      </c>
      <c r="F18" s="9">
        <f t="shared" si="5"/>
        <v>-4.088249770394313E-2</v>
      </c>
      <c r="G18" s="9">
        <f t="shared" si="6"/>
        <v>-3.3130559719447006E-2</v>
      </c>
      <c r="H18" s="9">
        <f t="shared" si="7"/>
        <v>-3.3583227630950431E-2</v>
      </c>
      <c r="J18" s="9" t="s">
        <v>12</v>
      </c>
      <c r="K18" s="8">
        <f t="shared" si="9"/>
        <v>6.2896150313758682E-3</v>
      </c>
      <c r="L18" s="8">
        <f t="shared" si="9"/>
        <v>6.0078222432317883E-3</v>
      </c>
      <c r="M18" s="8">
        <f t="shared" si="9"/>
        <v>2.2628688766020187E-3</v>
      </c>
      <c r="N18" s="8">
        <f t="shared" si="9"/>
        <v>2.3361427259396077E-3</v>
      </c>
      <c r="O18" s="8">
        <f t="shared" si="9"/>
        <v>2.8522672816704516E-3</v>
      </c>
      <c r="P18" s="8">
        <f t="shared" si="9"/>
        <v>1.4920619599979247E-3</v>
      </c>
    </row>
    <row r="19" spans="2:16" x14ac:dyDescent="0.3">
      <c r="B19" s="9" t="s">
        <v>10</v>
      </c>
      <c r="C19" s="9">
        <f t="shared" si="2"/>
        <v>3.7623846881142259E-2</v>
      </c>
      <c r="D19" s="9">
        <f t="shared" si="3"/>
        <v>-9.1684121136503177E-2</v>
      </c>
      <c r="E19" s="9">
        <f t="shared" si="4"/>
        <v>-3.8542299395705124E-2</v>
      </c>
      <c r="F19" s="9">
        <f t="shared" si="5"/>
        <v>2.6390635647931038E-2</v>
      </c>
      <c r="G19" s="9">
        <f t="shared" si="6"/>
        <v>-1.3956355861851177E-2</v>
      </c>
      <c r="H19" s="9">
        <f t="shared" si="7"/>
        <v>4.1220688538167738E-3</v>
      </c>
      <c r="J19" s="9" t="s">
        <v>10</v>
      </c>
      <c r="K19" s="8">
        <f t="shared" si="9"/>
        <v>4.947029034466939E-2</v>
      </c>
      <c r="L19" s="8">
        <f t="shared" si="9"/>
        <v>3.0508243571190804E-2</v>
      </c>
      <c r="M19" s="8">
        <f t="shared" si="9"/>
        <v>2.303316101352634E-2</v>
      </c>
      <c r="N19" s="8">
        <f t="shared" si="9"/>
        <v>3.1975544809614745E-2</v>
      </c>
      <c r="O19" s="8">
        <f t="shared" si="9"/>
        <v>2.9142467550852615E-2</v>
      </c>
      <c r="P19" s="8">
        <f t="shared" si="9"/>
        <v>2.6922968231802683E-2</v>
      </c>
    </row>
    <row r="20" spans="2:16" x14ac:dyDescent="0.3">
      <c r="B20" s="9" t="s">
        <v>15</v>
      </c>
      <c r="C20" s="9">
        <f t="shared" si="2"/>
        <v>-3.6115949993774377E-2</v>
      </c>
      <c r="D20" s="9">
        <f t="shared" si="3"/>
        <v>-8.2517935105436924E-2</v>
      </c>
      <c r="E20" s="9">
        <f t="shared" si="4"/>
        <v>-2.609608056431087E-2</v>
      </c>
      <c r="F20" s="9">
        <f t="shared" si="5"/>
        <v>-5.3332067209891615E-2</v>
      </c>
      <c r="G20" s="9">
        <f t="shared" si="6"/>
        <v>1.9757633786786161E-2</v>
      </c>
      <c r="H20" s="9">
        <f t="shared" si="7"/>
        <v>4.3669247956697466E-3</v>
      </c>
      <c r="J20" s="9" t="s">
        <v>15</v>
      </c>
      <c r="K20" s="8">
        <f t="shared" si="9"/>
        <v>0.17941787168180912</v>
      </c>
      <c r="L20" s="8">
        <f t="shared" si="9"/>
        <v>0.10398990202381278</v>
      </c>
      <c r="M20" s="8">
        <f t="shared" si="9"/>
        <v>0.1178556522393976</v>
      </c>
      <c r="N20" s="8">
        <f t="shared" si="9"/>
        <v>0.14241498226742572</v>
      </c>
      <c r="O20" s="8">
        <f t="shared" si="9"/>
        <v>0.14552896001417304</v>
      </c>
      <c r="P20" s="8">
        <f t="shared" si="9"/>
        <v>0.14236978551012089</v>
      </c>
    </row>
    <row r="21" spans="2:16" x14ac:dyDescent="0.3">
      <c r="B21" s="9" t="s">
        <v>16</v>
      </c>
      <c r="C21" s="9">
        <f t="shared" si="2"/>
        <v>6.0793913299279245E-2</v>
      </c>
      <c r="D21" s="9">
        <f t="shared" si="3"/>
        <v>0.23868197505830874</v>
      </c>
      <c r="E21" s="9">
        <f t="shared" si="4"/>
        <v>0.18203527955909565</v>
      </c>
      <c r="F21" s="9">
        <f t="shared" si="5"/>
        <v>0.14528719779256377</v>
      </c>
      <c r="G21" s="9">
        <f t="shared" si="6"/>
        <v>0.10235622695461616</v>
      </c>
      <c r="H21" s="9">
        <f t="shared" si="7"/>
        <v>0.11653039093356704</v>
      </c>
      <c r="J21" s="9" t="s">
        <v>16</v>
      </c>
      <c r="K21" s="8">
        <f t="shared" si="9"/>
        <v>0.68793342911783939</v>
      </c>
      <c r="L21" s="8">
        <f t="shared" si="9"/>
        <v>0.60478655405380455</v>
      </c>
      <c r="M21" s="8">
        <f t="shared" si="9"/>
        <v>0.63126385481749347</v>
      </c>
      <c r="N21" s="8">
        <f t="shared" si="9"/>
        <v>0.64844032036144772</v>
      </c>
      <c r="O21" s="8">
        <f t="shared" si="9"/>
        <v>0.66850673759790036</v>
      </c>
      <c r="P21" s="8">
        <f t="shared" si="9"/>
        <v>0.66188157439222417</v>
      </c>
    </row>
    <row r="22" spans="2:16" x14ac:dyDescent="0.3">
      <c r="J22" s="13" t="s">
        <v>47</v>
      </c>
      <c r="K22" s="12">
        <f>SUM(K13:K21)</f>
        <v>0.93047963941726286</v>
      </c>
      <c r="L22" s="12">
        <f t="shared" ref="L22:P22" si="10">SUM(L13:L21)</f>
        <v>0.751448840575622</v>
      </c>
      <c r="M22" s="12">
        <f t="shared" si="10"/>
        <v>0.77824285699333395</v>
      </c>
      <c r="N22" s="12">
        <f t="shared" si="10"/>
        <v>0.82820674958164375</v>
      </c>
      <c r="O22" s="12">
        <f t="shared" si="10"/>
        <v>0.85092144954321369</v>
      </c>
      <c r="P22" s="12">
        <f t="shared" si="10"/>
        <v>0.83423352738225365</v>
      </c>
    </row>
    <row r="23" spans="2:16" x14ac:dyDescent="0.3">
      <c r="J23" s="14" t="s">
        <v>48</v>
      </c>
      <c r="K23" s="15">
        <f>1-K22</f>
        <v>6.952036058273714E-2</v>
      </c>
      <c r="L23" s="15">
        <f t="shared" ref="L23:P23" si="11">1-L22</f>
        <v>0.248551159424378</v>
      </c>
      <c r="M23" s="15">
        <f t="shared" si="11"/>
        <v>0.22175714300666605</v>
      </c>
      <c r="N23" s="15">
        <f t="shared" si="11"/>
        <v>0.17179325041835625</v>
      </c>
      <c r="O23" s="15">
        <f t="shared" si="11"/>
        <v>0.14907855045678631</v>
      </c>
      <c r="P23" s="15">
        <f t="shared" si="11"/>
        <v>0.16576647261774635</v>
      </c>
    </row>
  </sheetData>
  <sortState xmlns:xlrd2="http://schemas.microsoft.com/office/spreadsheetml/2017/richdata2" ref="A2:P11">
    <sortCondition ref="B1:B11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39E19-CC8E-4485-AE27-62FCD7DAE61B}">
  <dimension ref="A1:P23"/>
  <sheetViews>
    <sheetView workbookViewId="0">
      <selection activeCell="A12" sqref="A12"/>
    </sheetView>
  </sheetViews>
  <sheetFormatPr defaultRowHeight="14.4" x14ac:dyDescent="0.3"/>
  <sheetData>
    <row r="1" spans="1:16" ht="36.6" customHeight="1" x14ac:dyDescent="0.3">
      <c r="A1" s="1" t="s">
        <v>27</v>
      </c>
      <c r="B1" s="2" t="s">
        <v>28</v>
      </c>
      <c r="C1" s="3" t="s">
        <v>29</v>
      </c>
      <c r="D1" s="3" t="s">
        <v>30</v>
      </c>
      <c r="E1" s="3" t="s">
        <v>31</v>
      </c>
      <c r="F1" s="2" t="s">
        <v>32</v>
      </c>
      <c r="G1" s="3" t="s">
        <v>33</v>
      </c>
      <c r="H1" s="3" t="s">
        <v>34</v>
      </c>
      <c r="I1" s="4" t="s">
        <v>28</v>
      </c>
      <c r="J1" s="5" t="s">
        <v>28</v>
      </c>
      <c r="K1" s="6" t="s">
        <v>29</v>
      </c>
      <c r="L1" s="6" t="s">
        <v>30</v>
      </c>
      <c r="M1" s="6" t="s">
        <v>31</v>
      </c>
      <c r="N1" s="7" t="s">
        <v>32</v>
      </c>
      <c r="O1" s="6" t="s">
        <v>33</v>
      </c>
      <c r="P1" s="6" t="s">
        <v>34</v>
      </c>
    </row>
    <row r="2" spans="1:16" x14ac:dyDescent="0.3">
      <c r="A2" s="9" t="s">
        <v>20</v>
      </c>
      <c r="B2" s="16">
        <v>3.3308291385391294E-3</v>
      </c>
      <c r="C2" s="16">
        <v>0</v>
      </c>
      <c r="D2" s="16">
        <v>0</v>
      </c>
      <c r="E2" s="16">
        <v>2.9325513196480938E-3</v>
      </c>
      <c r="F2" s="16">
        <v>0</v>
      </c>
      <c r="G2" s="16">
        <v>0</v>
      </c>
      <c r="H2" s="16">
        <v>0</v>
      </c>
      <c r="I2" s="9">
        <v>3.3308291385391294E-3</v>
      </c>
      <c r="J2" s="17">
        <v>3.3308291385391294E-3</v>
      </c>
      <c r="K2" s="17">
        <v>0</v>
      </c>
      <c r="L2" s="17">
        <v>0</v>
      </c>
      <c r="M2" s="17">
        <v>2.9325513196480938E-3</v>
      </c>
      <c r="N2" s="17">
        <v>0</v>
      </c>
      <c r="O2" s="17">
        <v>0</v>
      </c>
      <c r="P2" s="17">
        <v>0</v>
      </c>
    </row>
    <row r="3" spans="1:16" x14ac:dyDescent="0.3">
      <c r="A3" s="9" t="s">
        <v>19</v>
      </c>
      <c r="B3" s="16">
        <v>7.4932938663660204E-3</v>
      </c>
      <c r="C3" s="16">
        <v>1.3461538461538462E-2</v>
      </c>
      <c r="D3" s="16">
        <v>2.113821138211382E-2</v>
      </c>
      <c r="E3" s="16">
        <v>3.0791788856304986E-2</v>
      </c>
      <c r="F3" s="16">
        <v>1.8691588785046728E-2</v>
      </c>
      <c r="G3" s="16">
        <v>1.9933554817275746E-2</v>
      </c>
      <c r="H3" s="16">
        <v>1.3035381750465549E-2</v>
      </c>
      <c r="I3" s="9">
        <v>1.0824123004905151E-2</v>
      </c>
      <c r="J3" s="9">
        <f t="shared" ref="J3:P10" si="0">J2+B3</f>
        <v>1.0824123004905151E-2</v>
      </c>
      <c r="K3" s="9">
        <f t="shared" si="0"/>
        <v>1.3461538461538462E-2</v>
      </c>
      <c r="L3" s="9">
        <f t="shared" si="0"/>
        <v>2.113821138211382E-2</v>
      </c>
      <c r="M3" s="9">
        <f t="shared" si="0"/>
        <v>3.3724340175953077E-2</v>
      </c>
      <c r="N3" s="9">
        <f t="shared" si="0"/>
        <v>1.8691588785046728E-2</v>
      </c>
      <c r="O3" s="9">
        <f t="shared" si="0"/>
        <v>1.9933554817275746E-2</v>
      </c>
      <c r="P3" s="9">
        <f t="shared" si="0"/>
        <v>1.3035381750465549E-2</v>
      </c>
    </row>
    <row r="4" spans="1:16" x14ac:dyDescent="0.3">
      <c r="A4" s="9" t="s">
        <v>21</v>
      </c>
      <c r="B4" s="16">
        <v>7.5115126872653658E-3</v>
      </c>
      <c r="C4" s="16">
        <v>1.4743589743589743E-2</v>
      </c>
      <c r="D4" s="16">
        <v>9.7560975609756097E-3</v>
      </c>
      <c r="E4" s="16">
        <v>2.9325513196480938E-3</v>
      </c>
      <c r="F4" s="16">
        <v>2.8037383177570091E-3</v>
      </c>
      <c r="G4" s="16">
        <v>2.2148394241417496E-3</v>
      </c>
      <c r="H4" s="16">
        <v>1.8621973929236499E-3</v>
      </c>
      <c r="I4" s="9">
        <v>1.8335635692170518E-2</v>
      </c>
      <c r="J4" s="9">
        <f t="shared" si="0"/>
        <v>1.8335635692170518E-2</v>
      </c>
      <c r="K4" s="9">
        <f t="shared" si="0"/>
        <v>2.8205128205128206E-2</v>
      </c>
      <c r="L4" s="9">
        <f t="shared" si="0"/>
        <v>3.0894308943089428E-2</v>
      </c>
      <c r="M4" s="9">
        <f t="shared" si="0"/>
        <v>3.6656891495601168E-2</v>
      </c>
      <c r="N4" s="9">
        <f t="shared" si="0"/>
        <v>2.1495327102803736E-2</v>
      </c>
      <c r="O4" s="9">
        <f t="shared" si="0"/>
        <v>2.2148394241417495E-2</v>
      </c>
      <c r="P4" s="9">
        <f t="shared" si="0"/>
        <v>1.4897579143389199E-2</v>
      </c>
    </row>
    <row r="5" spans="1:16" x14ac:dyDescent="0.3">
      <c r="A5" s="9" t="s">
        <v>23</v>
      </c>
      <c r="B5" s="16">
        <v>1.7196423538287924E-2</v>
      </c>
      <c r="C5" s="16">
        <v>1.4743589743589743E-2</v>
      </c>
      <c r="D5" s="16">
        <v>3.5772357723577237E-2</v>
      </c>
      <c r="E5" s="16">
        <v>8.7976539589442824E-3</v>
      </c>
      <c r="F5" s="16">
        <v>6.5420560747663555E-3</v>
      </c>
      <c r="G5" s="16">
        <v>1.3289036544850499E-2</v>
      </c>
      <c r="H5" s="16">
        <v>1.3035381750465549E-2</v>
      </c>
      <c r="I5" s="9">
        <v>3.5532059230458442E-2</v>
      </c>
      <c r="J5" s="9">
        <f t="shared" si="0"/>
        <v>3.5532059230458442E-2</v>
      </c>
      <c r="K5" s="9">
        <f t="shared" si="0"/>
        <v>4.2948717948717949E-2</v>
      </c>
      <c r="L5" s="9">
        <f t="shared" si="0"/>
        <v>6.6666666666666666E-2</v>
      </c>
      <c r="M5" s="9">
        <f t="shared" si="0"/>
        <v>4.5454545454545449E-2</v>
      </c>
      <c r="N5" s="9">
        <f t="shared" si="0"/>
        <v>2.803738317757009E-2</v>
      </c>
      <c r="O5" s="9">
        <f t="shared" si="0"/>
        <v>3.5437430786267994E-2</v>
      </c>
      <c r="P5" s="9">
        <f t="shared" si="0"/>
        <v>2.7932960893854747E-2</v>
      </c>
    </row>
    <row r="6" spans="1:16" x14ac:dyDescent="0.3">
      <c r="A6" s="9" t="s">
        <v>22</v>
      </c>
      <c r="B6" s="16">
        <v>2.2879623963536638E-2</v>
      </c>
      <c r="C6" s="16">
        <v>3.3333333333333333E-2</v>
      </c>
      <c r="D6" s="16">
        <v>4.715447154471545E-2</v>
      </c>
      <c r="E6" s="16">
        <v>5.1319648093841645E-2</v>
      </c>
      <c r="F6" s="16">
        <v>5.1401869158878503E-2</v>
      </c>
      <c r="G6" s="16">
        <v>3.5437430786267994E-2</v>
      </c>
      <c r="H6" s="16">
        <v>3.5381750465549346E-2</v>
      </c>
      <c r="I6" s="9">
        <v>5.8411683193995076E-2</v>
      </c>
      <c r="J6" s="9">
        <f t="shared" si="0"/>
        <v>5.8411683193995076E-2</v>
      </c>
      <c r="K6" s="9">
        <f t="shared" si="0"/>
        <v>7.6282051282051289E-2</v>
      </c>
      <c r="L6" s="9">
        <f t="shared" si="0"/>
        <v>0.11382113821138212</v>
      </c>
      <c r="M6" s="9">
        <f t="shared" si="0"/>
        <v>9.6774193548387094E-2</v>
      </c>
      <c r="N6" s="9">
        <f t="shared" si="0"/>
        <v>7.9439252336448593E-2</v>
      </c>
      <c r="O6" s="9">
        <f t="shared" si="0"/>
        <v>7.0874861572535988E-2</v>
      </c>
      <c r="P6" s="9">
        <f t="shared" si="0"/>
        <v>6.3314711359404086E-2</v>
      </c>
    </row>
    <row r="7" spans="1:16" x14ac:dyDescent="0.3">
      <c r="A7" s="9" t="s">
        <v>25</v>
      </c>
      <c r="B7" s="16">
        <v>2.7291793707219261E-2</v>
      </c>
      <c r="C7" s="16">
        <v>2.1153846153846155E-2</v>
      </c>
      <c r="D7" s="16">
        <v>3.0894308943089432E-2</v>
      </c>
      <c r="E7" s="16">
        <v>2.4926686217008796E-2</v>
      </c>
      <c r="F7" s="16">
        <v>3.8317757009345796E-2</v>
      </c>
      <c r="G7" s="16">
        <v>5.8693244739756366E-2</v>
      </c>
      <c r="H7" s="16">
        <v>2.0484171322160148E-2</v>
      </c>
      <c r="I7" s="9">
        <v>8.570347690121434E-2</v>
      </c>
      <c r="J7" s="9">
        <f t="shared" si="0"/>
        <v>8.570347690121434E-2</v>
      </c>
      <c r="K7" s="9">
        <f t="shared" si="0"/>
        <v>9.7435897435897451E-2</v>
      </c>
      <c r="L7" s="9">
        <f t="shared" si="0"/>
        <v>0.14471544715447154</v>
      </c>
      <c r="M7" s="9">
        <f t="shared" si="0"/>
        <v>0.1217008797653959</v>
      </c>
      <c r="N7" s="9">
        <f t="shared" si="0"/>
        <v>0.11775700934579439</v>
      </c>
      <c r="O7" s="9">
        <f t="shared" si="0"/>
        <v>0.12956810631229235</v>
      </c>
      <c r="P7" s="9">
        <f t="shared" si="0"/>
        <v>8.3798882681564241E-2</v>
      </c>
    </row>
    <row r="8" spans="1:16" x14ac:dyDescent="0.3">
      <c r="A8" s="9" t="s">
        <v>24</v>
      </c>
      <c r="B8" s="16">
        <v>3.0192873011603245E-2</v>
      </c>
      <c r="C8" s="16">
        <v>2.9487179487179487E-2</v>
      </c>
      <c r="D8" s="16">
        <v>6.1788617886178863E-2</v>
      </c>
      <c r="E8" s="16">
        <v>5.2785923753665691E-2</v>
      </c>
      <c r="F8" s="16">
        <v>3.0841121495327101E-2</v>
      </c>
      <c r="G8" s="16">
        <v>3.6544850498338874E-2</v>
      </c>
      <c r="H8" s="16">
        <v>2.23463687150838E-2</v>
      </c>
      <c r="I8" s="9">
        <v>0.11589634991281758</v>
      </c>
      <c r="J8" s="9">
        <f t="shared" si="0"/>
        <v>0.11589634991281758</v>
      </c>
      <c r="K8" s="9">
        <f t="shared" si="0"/>
        <v>0.12692307692307694</v>
      </c>
      <c r="L8" s="9">
        <f t="shared" si="0"/>
        <v>0.20650406504065041</v>
      </c>
      <c r="M8" s="9">
        <f t="shared" si="0"/>
        <v>0.1744868035190616</v>
      </c>
      <c r="N8" s="9">
        <f t="shared" si="0"/>
        <v>0.1485981308411215</v>
      </c>
      <c r="O8" s="9">
        <f t="shared" si="0"/>
        <v>0.16611295681063121</v>
      </c>
      <c r="P8" s="9">
        <f t="shared" si="0"/>
        <v>0.10614525139664804</v>
      </c>
    </row>
    <row r="9" spans="1:16" x14ac:dyDescent="0.3">
      <c r="A9" s="9" t="s">
        <v>18</v>
      </c>
      <c r="B9" s="16">
        <v>0.12684693296867114</v>
      </c>
      <c r="C9" s="16">
        <v>7.6923076923076927E-2</v>
      </c>
      <c r="D9" s="16">
        <v>4.065040650406504E-2</v>
      </c>
      <c r="E9" s="16">
        <v>8.7976539589442824E-3</v>
      </c>
      <c r="F9" s="16">
        <v>7.0093457943925228E-2</v>
      </c>
      <c r="G9" s="16">
        <v>0.15946843853820597</v>
      </c>
      <c r="H9" s="16">
        <v>0.18063314711359404</v>
      </c>
      <c r="I9" s="9">
        <v>0.24274328288148872</v>
      </c>
      <c r="J9" s="9">
        <f t="shared" si="0"/>
        <v>0.24274328288148872</v>
      </c>
      <c r="K9" s="9">
        <f t="shared" si="0"/>
        <v>0.20384615384615387</v>
      </c>
      <c r="L9" s="9">
        <f t="shared" si="0"/>
        <v>0.24715447154471545</v>
      </c>
      <c r="M9" s="9">
        <f t="shared" si="0"/>
        <v>0.18328445747800587</v>
      </c>
      <c r="N9" s="9">
        <f t="shared" si="0"/>
        <v>0.21869158878504674</v>
      </c>
      <c r="O9" s="9">
        <f t="shared" si="0"/>
        <v>0.32558139534883718</v>
      </c>
      <c r="P9" s="9">
        <f t="shared" si="0"/>
        <v>0.28677839851024212</v>
      </c>
    </row>
    <row r="10" spans="1:16" x14ac:dyDescent="0.3">
      <c r="A10" s="9" t="s">
        <v>26</v>
      </c>
      <c r="B10" s="16">
        <v>0.75725671711851128</v>
      </c>
      <c r="C10" s="16">
        <v>0.7961538461538461</v>
      </c>
      <c r="D10" s="16">
        <v>0.75284552845528452</v>
      </c>
      <c r="E10" s="16">
        <v>0.81671554252199419</v>
      </c>
      <c r="F10" s="16">
        <v>0.78130841121495331</v>
      </c>
      <c r="G10" s="16">
        <v>0.67441860465116277</v>
      </c>
      <c r="H10" s="16">
        <v>0.71322160148975788</v>
      </c>
      <c r="I10" s="9">
        <v>1</v>
      </c>
      <c r="J10" s="9">
        <f t="shared" si="0"/>
        <v>1</v>
      </c>
      <c r="K10" s="9">
        <f t="shared" si="0"/>
        <v>1</v>
      </c>
      <c r="L10" s="9">
        <f t="shared" si="0"/>
        <v>1</v>
      </c>
      <c r="M10" s="9">
        <f t="shared" si="0"/>
        <v>1</v>
      </c>
      <c r="N10" s="9">
        <f t="shared" si="0"/>
        <v>1</v>
      </c>
      <c r="O10" s="9">
        <f t="shared" si="0"/>
        <v>1</v>
      </c>
      <c r="P10" s="9">
        <f t="shared" si="0"/>
        <v>1</v>
      </c>
    </row>
    <row r="12" spans="1:16" ht="28.8" x14ac:dyDescent="0.3">
      <c r="B12" s="10" t="s">
        <v>27</v>
      </c>
      <c r="C12" s="11" t="s">
        <v>35</v>
      </c>
      <c r="D12" s="11" t="s">
        <v>36</v>
      </c>
      <c r="E12" s="11" t="s">
        <v>37</v>
      </c>
      <c r="F12" s="11" t="s">
        <v>38</v>
      </c>
      <c r="G12" s="11" t="s">
        <v>39</v>
      </c>
      <c r="H12" s="11" t="s">
        <v>40</v>
      </c>
      <c r="J12" s="8"/>
      <c r="K12" s="12" t="s">
        <v>41</v>
      </c>
      <c r="L12" s="12" t="s">
        <v>42</v>
      </c>
      <c r="M12" s="12" t="s">
        <v>43</v>
      </c>
      <c r="N12" s="12" t="s">
        <v>44</v>
      </c>
      <c r="O12" s="12" t="s">
        <v>45</v>
      </c>
      <c r="P12" s="12" t="s">
        <v>46</v>
      </c>
    </row>
    <row r="13" spans="1:16" x14ac:dyDescent="0.3">
      <c r="B13" s="9" t="s">
        <v>20</v>
      </c>
      <c r="C13" s="9">
        <f>C2-B2</f>
        <v>-3.3308291385391294E-3</v>
      </c>
      <c r="D13" s="9">
        <f>D2-B2</f>
        <v>-3.3308291385391294E-3</v>
      </c>
      <c r="E13" s="9">
        <f>E2-B2</f>
        <v>-3.9827781889103554E-4</v>
      </c>
      <c r="F13" s="9">
        <f>F2-B2</f>
        <v>-3.3308291385391294E-3</v>
      </c>
      <c r="G13" s="9">
        <f>G2-B2</f>
        <v>-3.3308291385391294E-3</v>
      </c>
      <c r="H13" s="9">
        <f>H2-B2</f>
        <v>-3.3308291385391294E-3</v>
      </c>
      <c r="J13" s="9" t="s">
        <v>20</v>
      </c>
      <c r="K13" s="8">
        <f>($J2-0) * ((K2+0))</f>
        <v>0</v>
      </c>
      <c r="L13" s="8">
        <f t="shared" ref="L13:P13" si="1">($J2-0) * ((L2+0))</f>
        <v>0</v>
      </c>
      <c r="M13" s="8">
        <f t="shared" si="1"/>
        <v>9.7678273857452471E-6</v>
      </c>
      <c r="N13" s="8">
        <f t="shared" si="1"/>
        <v>0</v>
      </c>
      <c r="O13" s="8">
        <f t="shared" si="1"/>
        <v>0</v>
      </c>
      <c r="P13" s="8">
        <f t="shared" si="1"/>
        <v>0</v>
      </c>
    </row>
    <row r="14" spans="1:16" x14ac:dyDescent="0.3">
      <c r="B14" s="9" t="s">
        <v>19</v>
      </c>
      <c r="C14" s="9">
        <f t="shared" ref="C14:C21" si="2">C3-B3</f>
        <v>5.9682445951724419E-3</v>
      </c>
      <c r="D14" s="9">
        <f t="shared" ref="D14:D21" si="3">D3-B3</f>
        <v>1.36449175157478E-2</v>
      </c>
      <c r="E14" s="9">
        <f t="shared" ref="E14:E21" si="4">E3-B3</f>
        <v>2.3298494989938967E-2</v>
      </c>
      <c r="F14" s="9">
        <f t="shared" ref="F14:F21" si="5">F3-B3</f>
        <v>1.1198294918680707E-2</v>
      </c>
      <c r="G14" s="9">
        <f t="shared" ref="G14:G21" si="6">G3-B3</f>
        <v>1.2440260950909726E-2</v>
      </c>
      <c r="H14" s="9">
        <f t="shared" ref="H14:H21" si="7">H3-B3</f>
        <v>5.5420878840995291E-3</v>
      </c>
      <c r="J14" s="9" t="s">
        <v>19</v>
      </c>
      <c r="K14" s="8">
        <f>($J3-$J2) * ((K3+K2))</f>
        <v>1.0087126358569645E-4</v>
      </c>
      <c r="L14" s="8">
        <f t="shared" ref="L14:P14" si="8">($J3-$J2) * ((L3+L2))</f>
        <v>1.5839482969554191E-4</v>
      </c>
      <c r="M14" s="8">
        <f t="shared" si="8"/>
        <v>2.7468086020403302E-4</v>
      </c>
      <c r="N14" s="8">
        <f t="shared" si="8"/>
        <v>1.4006156759562656E-4</v>
      </c>
      <c r="O14" s="8">
        <f t="shared" si="8"/>
        <v>1.4936798404716319E-4</v>
      </c>
      <c r="P14" s="8">
        <f t="shared" si="8"/>
        <v>9.7677946116503074E-5</v>
      </c>
    </row>
    <row r="15" spans="1:16" x14ac:dyDescent="0.3">
      <c r="B15" s="9" t="s">
        <v>21</v>
      </c>
      <c r="C15" s="9">
        <f t="shared" si="2"/>
        <v>7.2320770563243774E-3</v>
      </c>
      <c r="D15" s="9">
        <f t="shared" si="3"/>
        <v>2.2445848737102439E-3</v>
      </c>
      <c r="E15" s="9">
        <f t="shared" si="4"/>
        <v>-4.578961367617272E-3</v>
      </c>
      <c r="F15" s="9">
        <f t="shared" si="5"/>
        <v>-4.7077743695083567E-3</v>
      </c>
      <c r="G15" s="9">
        <f t="shared" si="6"/>
        <v>-5.2966732631236167E-3</v>
      </c>
      <c r="H15" s="9">
        <f t="shared" si="7"/>
        <v>-5.6493152943417162E-3</v>
      </c>
      <c r="J15" s="9" t="s">
        <v>21</v>
      </c>
      <c r="K15" s="8">
        <f t="shared" ref="K15:P21" si="9">($J4-$J3) * ((K4+K3))</f>
        <v>3.1297969530272367E-4</v>
      </c>
      <c r="L15" s="8">
        <f t="shared" si="9"/>
        <v>3.9084293657315732E-4</v>
      </c>
      <c r="M15" s="8">
        <f t="shared" si="9"/>
        <v>5.2866951464624278E-4</v>
      </c>
      <c r="N15" s="8">
        <f t="shared" si="9"/>
        <v>3.0186452855365494E-4</v>
      </c>
      <c r="O15" s="8">
        <f t="shared" si="9"/>
        <v>3.1609909425922914E-4</v>
      </c>
      <c r="P15" s="8">
        <f t="shared" si="9"/>
        <v>2.0981879014707729E-4</v>
      </c>
    </row>
    <row r="16" spans="1:16" x14ac:dyDescent="0.3">
      <c r="B16" s="9" t="s">
        <v>23</v>
      </c>
      <c r="C16" s="9">
        <f t="shared" si="2"/>
        <v>-2.4528337946981803E-3</v>
      </c>
      <c r="D16" s="9">
        <f t="shared" si="3"/>
        <v>1.8575934185289314E-2</v>
      </c>
      <c r="E16" s="9">
        <f t="shared" si="4"/>
        <v>-8.3987695793436411E-3</v>
      </c>
      <c r="F16" s="9">
        <f t="shared" si="5"/>
        <v>-1.0654367463521568E-2</v>
      </c>
      <c r="G16" s="9">
        <f t="shared" si="6"/>
        <v>-3.9073869934374249E-3</v>
      </c>
      <c r="H16" s="9">
        <f t="shared" si="7"/>
        <v>-4.161041787822374E-3</v>
      </c>
      <c r="J16" s="9" t="s">
        <v>23</v>
      </c>
      <c r="K16" s="8">
        <f t="shared" si="9"/>
        <v>1.2235916748397175E-3</v>
      </c>
      <c r="L16" s="8">
        <f t="shared" si="9"/>
        <v>1.6776998573939438E-3</v>
      </c>
      <c r="M16" s="8">
        <f t="shared" si="9"/>
        <v>1.4120230471321459E-3</v>
      </c>
      <c r="N16" s="8">
        <f t="shared" si="9"/>
        <v>8.517854649806167E-4</v>
      </c>
      <c r="O16" s="8">
        <f t="shared" si="9"/>
        <v>9.9027023697782052E-4</v>
      </c>
      <c r="P16" s="8">
        <f t="shared" si="9"/>
        <v>7.3653210685404506E-4</v>
      </c>
    </row>
    <row r="17" spans="2:16" x14ac:dyDescent="0.3">
      <c r="B17" s="9" t="s">
        <v>22</v>
      </c>
      <c r="C17" s="9">
        <f t="shared" si="2"/>
        <v>1.0453709369796695E-2</v>
      </c>
      <c r="D17" s="9">
        <f t="shared" si="3"/>
        <v>2.4274847581178812E-2</v>
      </c>
      <c r="E17" s="9">
        <f t="shared" si="4"/>
        <v>2.8440024130305008E-2</v>
      </c>
      <c r="F17" s="9">
        <f t="shared" si="5"/>
        <v>2.8522245195341866E-2</v>
      </c>
      <c r="G17" s="9">
        <f t="shared" si="6"/>
        <v>1.2557806822731356E-2</v>
      </c>
      <c r="H17" s="9">
        <f t="shared" si="7"/>
        <v>1.2502126502012708E-2</v>
      </c>
      <c r="J17" s="9" t="s">
        <v>22</v>
      </c>
      <c r="K17" s="8">
        <f t="shared" si="9"/>
        <v>2.7279551648832141E-3</v>
      </c>
      <c r="L17" s="8">
        <f t="shared" si="9"/>
        <v>4.1294931056139288E-3</v>
      </c>
      <c r="M17" s="8">
        <f t="shared" si="9"/>
        <v>3.2541400651950928E-3</v>
      </c>
      <c r="N17" s="8">
        <f t="shared" si="9"/>
        <v>2.459025005426834E-3</v>
      </c>
      <c r="O17" s="8">
        <f t="shared" si="9"/>
        <v>2.4323852718710045E-3</v>
      </c>
      <c r="P17" s="8">
        <f t="shared" si="9"/>
        <v>2.0877124287025975E-3</v>
      </c>
    </row>
    <row r="18" spans="2:16" x14ac:dyDescent="0.3">
      <c r="B18" s="9" t="s">
        <v>25</v>
      </c>
      <c r="C18" s="9">
        <f t="shared" si="2"/>
        <v>-6.1379475533731055E-3</v>
      </c>
      <c r="D18" s="9">
        <f t="shared" si="3"/>
        <v>3.6025152358701712E-3</v>
      </c>
      <c r="E18" s="9">
        <f t="shared" si="4"/>
        <v>-2.3651074902104642E-3</v>
      </c>
      <c r="F18" s="9">
        <f t="shared" si="5"/>
        <v>1.1025963302126535E-2</v>
      </c>
      <c r="G18" s="9">
        <f t="shared" si="6"/>
        <v>3.1401451032537109E-2</v>
      </c>
      <c r="H18" s="9">
        <f t="shared" si="7"/>
        <v>-6.8076223850591124E-3</v>
      </c>
      <c r="J18" s="9" t="s">
        <v>25</v>
      </c>
      <c r="K18" s="8">
        <f t="shared" si="9"/>
        <v>4.7410744196515519E-3</v>
      </c>
      <c r="L18" s="8">
        <f t="shared" si="9"/>
        <v>7.0559271535737614E-3</v>
      </c>
      <c r="M18" s="8">
        <f t="shared" si="9"/>
        <v>5.9625766310493697E-3</v>
      </c>
      <c r="N18" s="8">
        <f t="shared" si="9"/>
        <v>5.3818396936666018E-3</v>
      </c>
      <c r="O18" s="8">
        <f t="shared" si="9"/>
        <v>5.4704481295755111E-3</v>
      </c>
      <c r="P18" s="8">
        <f t="shared" si="9"/>
        <v>4.0149938600937086E-3</v>
      </c>
    </row>
    <row r="19" spans="2:16" x14ac:dyDescent="0.3">
      <c r="B19" s="9" t="s">
        <v>24</v>
      </c>
      <c r="C19" s="9">
        <f t="shared" si="2"/>
        <v>-7.0569352442375818E-4</v>
      </c>
      <c r="D19" s="9">
        <f t="shared" si="3"/>
        <v>3.1595744874575615E-2</v>
      </c>
      <c r="E19" s="9">
        <f t="shared" si="4"/>
        <v>2.2593050742062446E-2</v>
      </c>
      <c r="F19" s="9">
        <f t="shared" si="5"/>
        <v>6.4824848372385668E-4</v>
      </c>
      <c r="G19" s="9">
        <f t="shared" si="6"/>
        <v>6.3519774867356292E-3</v>
      </c>
      <c r="H19" s="9">
        <f t="shared" si="7"/>
        <v>-7.8465042965194451E-3</v>
      </c>
      <c r="J19" s="9" t="s">
        <v>24</v>
      </c>
      <c r="K19" s="8">
        <f t="shared" si="9"/>
        <v>6.7740420218340616E-3</v>
      </c>
      <c r="L19" s="8">
        <f t="shared" si="9"/>
        <v>1.0604326130904552E-2</v>
      </c>
      <c r="M19" s="8">
        <f t="shared" si="9"/>
        <v>8.9427571090085842E-3</v>
      </c>
      <c r="N19" s="8">
        <f t="shared" si="9"/>
        <v>8.0420269236513298E-3</v>
      </c>
      <c r="O19" s="8">
        <f t="shared" si="9"/>
        <v>8.9274607908062728E-3</v>
      </c>
      <c r="P19" s="8">
        <f t="shared" si="9"/>
        <v>5.7349591195224028E-3</v>
      </c>
    </row>
    <row r="20" spans="2:16" x14ac:dyDescent="0.3">
      <c r="B20" s="9" t="s">
        <v>18</v>
      </c>
      <c r="C20" s="9">
        <f t="shared" si="2"/>
        <v>-4.9923856045594212E-2</v>
      </c>
      <c r="D20" s="9">
        <f t="shared" si="3"/>
        <v>-8.6196526464606099E-2</v>
      </c>
      <c r="E20" s="9">
        <f t="shared" si="4"/>
        <v>-0.11804927900972685</v>
      </c>
      <c r="F20" s="9">
        <f t="shared" si="5"/>
        <v>-5.6753475024745911E-2</v>
      </c>
      <c r="G20" s="9">
        <f t="shared" si="6"/>
        <v>3.2621505569534831E-2</v>
      </c>
      <c r="H20" s="9">
        <f t="shared" si="7"/>
        <v>5.3786214144922906E-2</v>
      </c>
      <c r="J20" s="9" t="s">
        <v>18</v>
      </c>
      <c r="K20" s="8">
        <f t="shared" si="9"/>
        <v>4.1957062443483538E-2</v>
      </c>
      <c r="L20" s="8">
        <f t="shared" si="9"/>
        <v>5.7545193980909348E-2</v>
      </c>
      <c r="M20" s="8">
        <f t="shared" si="9"/>
        <v>4.5382187161811964E-2</v>
      </c>
      <c r="N20" s="8">
        <f t="shared" si="9"/>
        <v>4.6589574445502581E-2</v>
      </c>
      <c r="O20" s="8">
        <f t="shared" si="9"/>
        <v>6.2369920529446267E-2</v>
      </c>
      <c r="P20" s="8">
        <f t="shared" si="9"/>
        <v>4.9841159881544903E-2</v>
      </c>
    </row>
    <row r="21" spans="2:16" x14ac:dyDescent="0.3">
      <c r="B21" s="9" t="s">
        <v>26</v>
      </c>
      <c r="C21" s="9">
        <f t="shared" si="2"/>
        <v>3.8897129035334821E-2</v>
      </c>
      <c r="D21" s="9">
        <f t="shared" si="3"/>
        <v>-4.4111886632267616E-3</v>
      </c>
      <c r="E21" s="9">
        <f t="shared" si="4"/>
        <v>5.9458825403482907E-2</v>
      </c>
      <c r="F21" s="9">
        <f t="shared" si="5"/>
        <v>2.4051694096442033E-2</v>
      </c>
      <c r="G21" s="9">
        <f t="shared" si="6"/>
        <v>-8.2838112467348513E-2</v>
      </c>
      <c r="H21" s="9">
        <f t="shared" si="7"/>
        <v>-4.4035115628753396E-2</v>
      </c>
      <c r="J21" s="9" t="s">
        <v>26</v>
      </c>
      <c r="K21" s="8">
        <f t="shared" si="9"/>
        <v>0.91162058637728471</v>
      </c>
      <c r="L21" s="8">
        <f t="shared" si="9"/>
        <v>0.94441610086162298</v>
      </c>
      <c r="M21" s="8">
        <f t="shared" si="9"/>
        <v>0.89605010368715343</v>
      </c>
      <c r="N21" s="8">
        <f t="shared" si="9"/>
        <v>0.92286239170330719</v>
      </c>
      <c r="O21" s="8">
        <f t="shared" si="9"/>
        <v>1.0038054157152358</v>
      </c>
      <c r="P21" s="8">
        <f t="shared" si="9"/>
        <v>0.97442158571488136</v>
      </c>
    </row>
    <row r="22" spans="2:16" x14ac:dyDescent="0.3">
      <c r="J22" s="13" t="s">
        <v>47</v>
      </c>
      <c r="K22" s="12">
        <f>SUM(K13:K21)</f>
        <v>0.96945816306086519</v>
      </c>
      <c r="L22" s="12">
        <f t="shared" ref="L22:P22" si="10">SUM(L13:L21)</f>
        <v>1.0259779788562873</v>
      </c>
      <c r="M22" s="12">
        <f t="shared" si="10"/>
        <v>0.96181690590358659</v>
      </c>
      <c r="N22" s="12">
        <f t="shared" si="10"/>
        <v>0.98662856933268439</v>
      </c>
      <c r="O22" s="12">
        <f t="shared" si="10"/>
        <v>1.084461367752219</v>
      </c>
      <c r="P22" s="12">
        <f t="shared" si="10"/>
        <v>1.0371444398478626</v>
      </c>
    </row>
    <row r="23" spans="2:16" x14ac:dyDescent="0.3">
      <c r="J23" s="14" t="s">
        <v>48</v>
      </c>
      <c r="K23" s="15">
        <f>1-K22</f>
        <v>3.0541836939134814E-2</v>
      </c>
      <c r="L23" s="15">
        <f t="shared" ref="L23:P23" si="11">1-L22</f>
        <v>-2.5977978856287276E-2</v>
      </c>
      <c r="M23" s="15">
        <f t="shared" si="11"/>
        <v>3.8183094096413406E-2</v>
      </c>
      <c r="N23" s="15">
        <f t="shared" si="11"/>
        <v>1.3371430667315609E-2</v>
      </c>
      <c r="O23" s="15">
        <f t="shared" si="11"/>
        <v>-8.4461367752219019E-2</v>
      </c>
      <c r="P23" s="15">
        <f t="shared" si="11"/>
        <v>-3.7144439847862643E-2</v>
      </c>
    </row>
  </sheetData>
  <sortState xmlns:xlrd2="http://schemas.microsoft.com/office/spreadsheetml/2017/richdata2" ref="A2:P11">
    <sortCondition ref="B1:B11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ITUIUTABA</vt:lpstr>
      <vt:lpstr>PATROCÍNIO-MONTE CARMELO</vt:lpstr>
      <vt:lpstr>UBERLÂNDIA-ARAGUARI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2025-04-25T00:57:24Z</dcterms:created>
  <dcterms:modified xsi:type="dcterms:W3CDTF">2025-11-26T01:31:12Z</dcterms:modified>
</cp:coreProperties>
</file>