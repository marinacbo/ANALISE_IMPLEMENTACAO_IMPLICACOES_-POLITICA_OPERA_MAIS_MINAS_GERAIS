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gineco/"/>
    </mc:Choice>
  </mc:AlternateContent>
  <xr:revisionPtr revIDLastSave="114" documentId="8_{C85AFD57-E648-4AD8-82FB-DA0D0F4ED4DA}" xr6:coauthVersionLast="47" xr6:coauthVersionMax="47" xr10:uidLastSave="{22F98A06-C221-4E5B-B255-AEDDEBF3D2BD}"/>
  <bookViews>
    <workbookView xWindow="-108" yWindow="-108" windowWidth="23256" windowHeight="12456" xr2:uid="{5B7693AA-BCBE-454C-B67C-0D85F527A365}"/>
  </bookViews>
  <sheets>
    <sheet name="Belo Horizonte" sheetId="1" r:id="rId1"/>
    <sheet name="Betim" sheetId="2" r:id="rId2"/>
    <sheet name="Contagem" sheetId="3" r:id="rId3"/>
    <sheet name="Curvelo" sheetId="4" r:id="rId4"/>
    <sheet name="Guanhães" sheetId="5" r:id="rId5"/>
    <sheet name="Itabira" sheetId="6" r:id="rId6"/>
    <sheet name="J Monlevade" sheetId="7" r:id="rId7"/>
    <sheet name="Ouro Preto" sheetId="8" r:id="rId8"/>
    <sheet name="Sete Lagoas" sheetId="9" r:id="rId9"/>
    <sheet name="Vespasiano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0" l="1"/>
  <c r="O11" i="10"/>
  <c r="N11" i="10"/>
  <c r="M11" i="10"/>
  <c r="L11" i="10"/>
  <c r="K11" i="10"/>
  <c r="P28" i="9"/>
  <c r="O28" i="9"/>
  <c r="N28" i="9"/>
  <c r="M28" i="9"/>
  <c r="L28" i="9"/>
  <c r="K28" i="9"/>
  <c r="P10" i="8"/>
  <c r="O10" i="8"/>
  <c r="P8" i="8"/>
  <c r="O8" i="8"/>
  <c r="N8" i="8"/>
  <c r="M8" i="8"/>
  <c r="L8" i="8"/>
  <c r="K8" i="8"/>
  <c r="P8" i="7"/>
  <c r="O8" i="7"/>
  <c r="N8" i="7"/>
  <c r="M8" i="7"/>
  <c r="L8" i="7"/>
  <c r="K8" i="7"/>
  <c r="P17" i="6"/>
  <c r="O17" i="6"/>
  <c r="N17" i="6"/>
  <c r="M17" i="6"/>
  <c r="L17" i="6"/>
  <c r="K17" i="6"/>
  <c r="P13" i="5"/>
  <c r="O13" i="5"/>
  <c r="N13" i="5"/>
  <c r="M13" i="5"/>
  <c r="L13" i="5"/>
  <c r="K13" i="5"/>
  <c r="H12" i="10"/>
  <c r="H13" i="10"/>
  <c r="H14" i="10"/>
  <c r="H15" i="10"/>
  <c r="H16" i="10"/>
  <c r="H17" i="10"/>
  <c r="H11" i="10"/>
  <c r="G12" i="10"/>
  <c r="G13" i="10"/>
  <c r="G14" i="10"/>
  <c r="G15" i="10"/>
  <c r="G16" i="10"/>
  <c r="G17" i="10"/>
  <c r="G11" i="10"/>
  <c r="F12" i="10"/>
  <c r="F13" i="10"/>
  <c r="F14" i="10"/>
  <c r="F15" i="10"/>
  <c r="F16" i="10"/>
  <c r="F17" i="10"/>
  <c r="F11" i="10"/>
  <c r="E12" i="10"/>
  <c r="E13" i="10"/>
  <c r="E14" i="10"/>
  <c r="E15" i="10"/>
  <c r="E16" i="10"/>
  <c r="E17" i="10"/>
  <c r="E11" i="10"/>
  <c r="C9" i="8"/>
  <c r="C10" i="8"/>
  <c r="C8" i="8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28" i="9"/>
  <c r="D12" i="10"/>
  <c r="D13" i="10"/>
  <c r="D14" i="10"/>
  <c r="D15" i="10"/>
  <c r="D16" i="10"/>
  <c r="D17" i="10"/>
  <c r="D11" i="10"/>
  <c r="C12" i="10"/>
  <c r="C13" i="10"/>
  <c r="C14" i="10"/>
  <c r="C15" i="10"/>
  <c r="C16" i="10"/>
  <c r="C17" i="10"/>
  <c r="C11" i="10"/>
  <c r="P3" i="10"/>
  <c r="P4" i="10" s="1"/>
  <c r="P5" i="10" s="1"/>
  <c r="P6" i="10" s="1"/>
  <c r="P7" i="10" s="1"/>
  <c r="P8" i="10" s="1"/>
  <c r="O3" i="10"/>
  <c r="O4" i="10" s="1"/>
  <c r="O5" i="10" s="1"/>
  <c r="O6" i="10" s="1"/>
  <c r="O7" i="10" s="1"/>
  <c r="O8" i="10" s="1"/>
  <c r="N3" i="10"/>
  <c r="N4" i="10" s="1"/>
  <c r="N5" i="10" s="1"/>
  <c r="N6" i="10" s="1"/>
  <c r="N7" i="10" s="1"/>
  <c r="N8" i="10" s="1"/>
  <c r="M3" i="10"/>
  <c r="M4" i="10" s="1"/>
  <c r="M5" i="10" s="1"/>
  <c r="M6" i="10" s="1"/>
  <c r="M7" i="10" s="1"/>
  <c r="M8" i="10" s="1"/>
  <c r="L3" i="10"/>
  <c r="L4" i="10" s="1"/>
  <c r="L5" i="10" s="1"/>
  <c r="L6" i="10" s="1"/>
  <c r="L7" i="10" s="1"/>
  <c r="L8" i="10" s="1"/>
  <c r="K3" i="10"/>
  <c r="K4" i="10" s="1"/>
  <c r="K5" i="10" s="1"/>
  <c r="K6" i="10" s="1"/>
  <c r="K7" i="10" s="1"/>
  <c r="K8" i="10" s="1"/>
  <c r="J3" i="10"/>
  <c r="J4" i="10" s="1"/>
  <c r="J5" i="10" s="1"/>
  <c r="J6" i="10" s="1"/>
  <c r="J7" i="10" s="1"/>
  <c r="J8" i="10" s="1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28" i="9"/>
  <c r="E41" i="9"/>
  <c r="E42" i="9"/>
  <c r="E43" i="9"/>
  <c r="E44" i="9"/>
  <c r="E45" i="9"/>
  <c r="E46" i="9"/>
  <c r="E47" i="9"/>
  <c r="E48" i="9"/>
  <c r="E49" i="9"/>
  <c r="E50" i="9"/>
  <c r="E51" i="9"/>
  <c r="E29" i="9"/>
  <c r="E30" i="9"/>
  <c r="E31" i="9"/>
  <c r="E32" i="9"/>
  <c r="E33" i="9"/>
  <c r="E34" i="9"/>
  <c r="E35" i="9"/>
  <c r="E36" i="9"/>
  <c r="E37" i="9"/>
  <c r="E38" i="9"/>
  <c r="E39" i="9"/>
  <c r="E40" i="9"/>
  <c r="E28" i="9"/>
  <c r="D41" i="9"/>
  <c r="D42" i="9"/>
  <c r="D43" i="9"/>
  <c r="D44" i="9"/>
  <c r="D45" i="9"/>
  <c r="D46" i="9"/>
  <c r="D47" i="9"/>
  <c r="D48" i="9"/>
  <c r="D49" i="9"/>
  <c r="D50" i="9"/>
  <c r="D51" i="9"/>
  <c r="D29" i="9"/>
  <c r="D30" i="9"/>
  <c r="D31" i="9"/>
  <c r="D32" i="9"/>
  <c r="D33" i="9"/>
  <c r="D34" i="9"/>
  <c r="D35" i="9"/>
  <c r="D36" i="9"/>
  <c r="D37" i="9"/>
  <c r="D38" i="9"/>
  <c r="D39" i="9"/>
  <c r="D40" i="9"/>
  <c r="D28" i="9"/>
  <c r="P3" i="9"/>
  <c r="P4" i="9" s="1"/>
  <c r="P5" i="9" s="1"/>
  <c r="P6" i="9" s="1"/>
  <c r="P7" i="9" s="1"/>
  <c r="P8" i="9" s="1"/>
  <c r="P9" i="9" s="1"/>
  <c r="P10" i="9" s="1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O3" i="9"/>
  <c r="O4" i="9" s="1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N3" i="9"/>
  <c r="N4" i="9" s="1"/>
  <c r="N5" i="9" s="1"/>
  <c r="N6" i="9" s="1"/>
  <c r="N7" i="9" s="1"/>
  <c r="N8" i="9" s="1"/>
  <c r="N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M3" i="9"/>
  <c r="M4" i="9" s="1"/>
  <c r="M5" i="9" s="1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L3" i="9"/>
  <c r="L4" i="9" s="1"/>
  <c r="L5" i="9" s="1"/>
  <c r="L6" i="9" s="1"/>
  <c r="L7" i="9" s="1"/>
  <c r="L8" i="9" s="1"/>
  <c r="L9" i="9" s="1"/>
  <c r="L10" i="9" s="1"/>
  <c r="L11" i="9" s="1"/>
  <c r="L12" i="9" s="1"/>
  <c r="L13" i="9" s="1"/>
  <c r="L14" i="9" s="1"/>
  <c r="L15" i="9" s="1"/>
  <c r="L16" i="9" s="1"/>
  <c r="L17" i="9" s="1"/>
  <c r="L18" i="9" s="1"/>
  <c r="L19" i="9" s="1"/>
  <c r="L20" i="9" s="1"/>
  <c r="L21" i="9" s="1"/>
  <c r="L22" i="9" s="1"/>
  <c r="L23" i="9" s="1"/>
  <c r="L24" i="9" s="1"/>
  <c r="L25" i="9" s="1"/>
  <c r="K3" i="9"/>
  <c r="K4" i="9" s="1"/>
  <c r="K5" i="9" s="1"/>
  <c r="K6" i="9" s="1"/>
  <c r="K7" i="9" s="1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J3" i="9"/>
  <c r="J4" i="9" s="1"/>
  <c r="J5" i="9" s="1"/>
  <c r="J6" i="9" s="1"/>
  <c r="J7" i="9" s="1"/>
  <c r="J8" i="9" s="1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3" i="9" s="1"/>
  <c r="J24" i="9" s="1"/>
  <c r="J25" i="9" s="1"/>
  <c r="H10" i="8"/>
  <c r="G10" i="8"/>
  <c r="F10" i="8"/>
  <c r="E10" i="8"/>
  <c r="D10" i="8"/>
  <c r="H9" i="8"/>
  <c r="G9" i="8"/>
  <c r="F9" i="8"/>
  <c r="E9" i="8"/>
  <c r="D9" i="8"/>
  <c r="H8" i="8"/>
  <c r="G8" i="8"/>
  <c r="F8" i="8"/>
  <c r="E8" i="8"/>
  <c r="D8" i="8"/>
  <c r="P3" i="8"/>
  <c r="P4" i="8" s="1"/>
  <c r="O3" i="8"/>
  <c r="O4" i="8" s="1"/>
  <c r="N3" i="8"/>
  <c r="N4" i="8" s="1"/>
  <c r="M3" i="8"/>
  <c r="M4" i="8" s="1"/>
  <c r="L3" i="8"/>
  <c r="L4" i="8" s="1"/>
  <c r="K3" i="8"/>
  <c r="K4" i="8" s="1"/>
  <c r="J3" i="8"/>
  <c r="J4" i="8" s="1"/>
  <c r="H9" i="7"/>
  <c r="H10" i="7"/>
  <c r="H11" i="7"/>
  <c r="G9" i="7"/>
  <c r="G10" i="7"/>
  <c r="G11" i="7"/>
  <c r="F9" i="7"/>
  <c r="F10" i="7"/>
  <c r="F11" i="7"/>
  <c r="E9" i="7"/>
  <c r="E10" i="7"/>
  <c r="E11" i="7"/>
  <c r="D9" i="7"/>
  <c r="D10" i="7"/>
  <c r="D11" i="7"/>
  <c r="H8" i="7"/>
  <c r="G8" i="7"/>
  <c r="F8" i="7"/>
  <c r="E8" i="7"/>
  <c r="D8" i="7"/>
  <c r="C9" i="7"/>
  <c r="C10" i="7"/>
  <c r="C11" i="7"/>
  <c r="C8" i="7"/>
  <c r="P3" i="7"/>
  <c r="P4" i="7" s="1"/>
  <c r="P5" i="7" s="1"/>
  <c r="O3" i="7"/>
  <c r="O4" i="7" s="1"/>
  <c r="O5" i="7" s="1"/>
  <c r="N3" i="7"/>
  <c r="N4" i="7" s="1"/>
  <c r="N5" i="7" s="1"/>
  <c r="M3" i="7"/>
  <c r="M4" i="7" s="1"/>
  <c r="M5" i="7" s="1"/>
  <c r="L3" i="7"/>
  <c r="L4" i="7" s="1"/>
  <c r="L5" i="7" s="1"/>
  <c r="K3" i="7"/>
  <c r="K4" i="7" s="1"/>
  <c r="K5" i="7" s="1"/>
  <c r="J3" i="7"/>
  <c r="J4" i="7" s="1"/>
  <c r="J5" i="7" s="1"/>
  <c r="H29" i="6"/>
  <c r="G29" i="6"/>
  <c r="F29" i="6"/>
  <c r="E29" i="6"/>
  <c r="D29" i="6"/>
  <c r="C29" i="6"/>
  <c r="H28" i="6"/>
  <c r="G28" i="6"/>
  <c r="F28" i="6"/>
  <c r="E28" i="6"/>
  <c r="D28" i="6"/>
  <c r="C28" i="6"/>
  <c r="H27" i="6"/>
  <c r="G27" i="6"/>
  <c r="F27" i="6"/>
  <c r="E27" i="6"/>
  <c r="D27" i="6"/>
  <c r="C27" i="6"/>
  <c r="H26" i="6"/>
  <c r="G26" i="6"/>
  <c r="F26" i="6"/>
  <c r="E26" i="6"/>
  <c r="D26" i="6"/>
  <c r="C26" i="6"/>
  <c r="H25" i="6"/>
  <c r="G25" i="6"/>
  <c r="F25" i="6"/>
  <c r="E25" i="6"/>
  <c r="D25" i="6"/>
  <c r="C25" i="6"/>
  <c r="H24" i="6"/>
  <c r="G24" i="6"/>
  <c r="F24" i="6"/>
  <c r="E24" i="6"/>
  <c r="D24" i="6"/>
  <c r="C24" i="6"/>
  <c r="H23" i="6"/>
  <c r="G23" i="6"/>
  <c r="F23" i="6"/>
  <c r="E23" i="6"/>
  <c r="D23" i="6"/>
  <c r="C23" i="6"/>
  <c r="H22" i="6"/>
  <c r="G22" i="6"/>
  <c r="F22" i="6"/>
  <c r="E22" i="6"/>
  <c r="D22" i="6"/>
  <c r="C22" i="6"/>
  <c r="H21" i="6"/>
  <c r="G21" i="6"/>
  <c r="F21" i="6"/>
  <c r="E21" i="6"/>
  <c r="D21" i="6"/>
  <c r="C21" i="6"/>
  <c r="H20" i="6"/>
  <c r="G20" i="6"/>
  <c r="F20" i="6"/>
  <c r="E20" i="6"/>
  <c r="D20" i="6"/>
  <c r="C20" i="6"/>
  <c r="H19" i="6"/>
  <c r="G19" i="6"/>
  <c r="F19" i="6"/>
  <c r="E19" i="6"/>
  <c r="D19" i="6"/>
  <c r="C19" i="6"/>
  <c r="H18" i="6"/>
  <c r="G18" i="6"/>
  <c r="F18" i="6"/>
  <c r="E18" i="6"/>
  <c r="D18" i="6"/>
  <c r="C18" i="6"/>
  <c r="H17" i="6"/>
  <c r="G17" i="6"/>
  <c r="F17" i="6"/>
  <c r="E17" i="6"/>
  <c r="D17" i="6"/>
  <c r="C17" i="6"/>
  <c r="K3" i="6"/>
  <c r="K4" i="6" s="1"/>
  <c r="K5" i="6" s="1"/>
  <c r="K6" i="6" s="1"/>
  <c r="K7" i="6" s="1"/>
  <c r="K8" i="6" s="1"/>
  <c r="K9" i="6" s="1"/>
  <c r="K10" i="6" s="1"/>
  <c r="K11" i="6" s="1"/>
  <c r="K12" i="6" s="1"/>
  <c r="K13" i="6" s="1"/>
  <c r="K14" i="6" s="1"/>
  <c r="L3" i="6"/>
  <c r="L4" i="6" s="1"/>
  <c r="L5" i="6" s="1"/>
  <c r="L6" i="6" s="1"/>
  <c r="L7" i="6" s="1"/>
  <c r="L8" i="6" s="1"/>
  <c r="L9" i="6" s="1"/>
  <c r="L10" i="6" s="1"/>
  <c r="L11" i="6" s="1"/>
  <c r="L12" i="6" s="1"/>
  <c r="L13" i="6" s="1"/>
  <c r="L14" i="6" s="1"/>
  <c r="M3" i="6"/>
  <c r="M4" i="6" s="1"/>
  <c r="M5" i="6" s="1"/>
  <c r="M6" i="6" s="1"/>
  <c r="M7" i="6" s="1"/>
  <c r="M8" i="6" s="1"/>
  <c r="M9" i="6" s="1"/>
  <c r="M10" i="6" s="1"/>
  <c r="M11" i="6" s="1"/>
  <c r="M12" i="6" s="1"/>
  <c r="M13" i="6" s="1"/>
  <c r="M14" i="6" s="1"/>
  <c r="N3" i="6"/>
  <c r="N4" i="6" s="1"/>
  <c r="N5" i="6" s="1"/>
  <c r="N6" i="6" s="1"/>
  <c r="N7" i="6" s="1"/>
  <c r="N8" i="6" s="1"/>
  <c r="N9" i="6" s="1"/>
  <c r="N10" i="6" s="1"/>
  <c r="N11" i="6" s="1"/>
  <c r="N12" i="6" s="1"/>
  <c r="N13" i="6" s="1"/>
  <c r="N14" i="6" s="1"/>
  <c r="O3" i="6"/>
  <c r="O4" i="6" s="1"/>
  <c r="O5" i="6" s="1"/>
  <c r="O6" i="6" s="1"/>
  <c r="O7" i="6" s="1"/>
  <c r="O8" i="6" s="1"/>
  <c r="O9" i="6" s="1"/>
  <c r="O10" i="6" s="1"/>
  <c r="O11" i="6" s="1"/>
  <c r="O12" i="6" s="1"/>
  <c r="O13" i="6" s="1"/>
  <c r="O14" i="6" s="1"/>
  <c r="P3" i="6"/>
  <c r="P4" i="6" s="1"/>
  <c r="P5" i="6" s="1"/>
  <c r="P6" i="6" s="1"/>
  <c r="P7" i="6" s="1"/>
  <c r="P8" i="6" s="1"/>
  <c r="P9" i="6" s="1"/>
  <c r="P10" i="6" s="1"/>
  <c r="P11" i="6" s="1"/>
  <c r="P12" i="6" s="1"/>
  <c r="P13" i="6" s="1"/>
  <c r="P14" i="6" s="1"/>
  <c r="J3" i="6"/>
  <c r="H14" i="5"/>
  <c r="H15" i="5"/>
  <c r="H16" i="5"/>
  <c r="H17" i="5"/>
  <c r="H18" i="5"/>
  <c r="H19" i="5"/>
  <c r="H20" i="5"/>
  <c r="H21" i="5"/>
  <c r="H13" i="5"/>
  <c r="G14" i="5"/>
  <c r="G15" i="5"/>
  <c r="G16" i="5"/>
  <c r="G17" i="5"/>
  <c r="G18" i="5"/>
  <c r="G19" i="5"/>
  <c r="G20" i="5"/>
  <c r="G21" i="5"/>
  <c r="G13" i="5"/>
  <c r="F14" i="5"/>
  <c r="F15" i="5"/>
  <c r="F16" i="5"/>
  <c r="F17" i="5"/>
  <c r="F18" i="5"/>
  <c r="F19" i="5"/>
  <c r="F20" i="5"/>
  <c r="F21" i="5"/>
  <c r="F13" i="5"/>
  <c r="E14" i="5"/>
  <c r="E15" i="5"/>
  <c r="E16" i="5"/>
  <c r="E17" i="5"/>
  <c r="E18" i="5"/>
  <c r="E19" i="5"/>
  <c r="E20" i="5"/>
  <c r="E21" i="5"/>
  <c r="E13" i="5"/>
  <c r="D14" i="5"/>
  <c r="D15" i="5"/>
  <c r="D16" i="5"/>
  <c r="D17" i="5"/>
  <c r="D18" i="5"/>
  <c r="D19" i="5"/>
  <c r="D20" i="5"/>
  <c r="D21" i="5"/>
  <c r="D13" i="5"/>
  <c r="C14" i="5"/>
  <c r="C15" i="5"/>
  <c r="C16" i="5"/>
  <c r="C17" i="5"/>
  <c r="C18" i="5"/>
  <c r="C19" i="5"/>
  <c r="C20" i="5"/>
  <c r="C21" i="5"/>
  <c r="C13" i="5"/>
  <c r="P3" i="5"/>
  <c r="P4" i="5" s="1"/>
  <c r="P5" i="5" s="1"/>
  <c r="P6" i="5" s="1"/>
  <c r="P7" i="5" s="1"/>
  <c r="P8" i="5" s="1"/>
  <c r="P9" i="5" s="1"/>
  <c r="P10" i="5" s="1"/>
  <c r="O3" i="5"/>
  <c r="N3" i="5"/>
  <c r="N4" i="5" s="1"/>
  <c r="N5" i="5" s="1"/>
  <c r="N6" i="5" s="1"/>
  <c r="N7" i="5" s="1"/>
  <c r="N8" i="5" s="1"/>
  <c r="N9" i="5" s="1"/>
  <c r="N10" i="5" s="1"/>
  <c r="M3" i="5"/>
  <c r="M4" i="5" s="1"/>
  <c r="M5" i="5" s="1"/>
  <c r="M6" i="5" s="1"/>
  <c r="M7" i="5" s="1"/>
  <c r="M8" i="5" s="1"/>
  <c r="M9" i="5" s="1"/>
  <c r="M10" i="5" s="1"/>
  <c r="L3" i="5"/>
  <c r="L4" i="5" s="1"/>
  <c r="L5" i="5" s="1"/>
  <c r="L6" i="5" s="1"/>
  <c r="L7" i="5" s="1"/>
  <c r="L8" i="5" s="1"/>
  <c r="L9" i="5" s="1"/>
  <c r="L10" i="5" s="1"/>
  <c r="K3" i="5"/>
  <c r="K4" i="5" s="1"/>
  <c r="K5" i="5" s="1"/>
  <c r="K6" i="5" s="1"/>
  <c r="K7" i="5" s="1"/>
  <c r="K8" i="5" s="1"/>
  <c r="K9" i="5" s="1"/>
  <c r="K10" i="5" s="1"/>
  <c r="J3" i="5"/>
  <c r="J4" i="5" s="1"/>
  <c r="P3" i="3"/>
  <c r="P4" i="3" s="1"/>
  <c r="O3" i="3"/>
  <c r="O4" i="3" s="1"/>
  <c r="M15" i="10" l="1"/>
  <c r="K14" i="10"/>
  <c r="L10" i="8"/>
  <c r="K9" i="8"/>
  <c r="M10" i="8"/>
  <c r="N10" i="8"/>
  <c r="K11" i="7"/>
  <c r="O10" i="7"/>
  <c r="M11" i="7"/>
  <c r="P17" i="10"/>
  <c r="O51" i="9"/>
  <c r="L9" i="8"/>
  <c r="M9" i="8"/>
  <c r="N9" i="8"/>
  <c r="N11" i="8" s="1"/>
  <c r="N12" i="8" s="1"/>
  <c r="O9" i="8"/>
  <c r="P9" i="8"/>
  <c r="K10" i="8"/>
  <c r="O9" i="7"/>
  <c r="P11" i="7"/>
  <c r="P18" i="6"/>
  <c r="K18" i="6"/>
  <c r="P15" i="5"/>
  <c r="P14" i="5"/>
  <c r="K15" i="5"/>
  <c r="L15" i="5"/>
  <c r="K14" i="5"/>
  <c r="M15" i="5"/>
  <c r="L14" i="5"/>
  <c r="N15" i="5"/>
  <c r="M14" i="5"/>
  <c r="N14" i="5"/>
  <c r="O14" i="5"/>
  <c r="P12" i="10"/>
  <c r="L14" i="10"/>
  <c r="N15" i="10"/>
  <c r="P16" i="10"/>
  <c r="K13" i="10"/>
  <c r="M14" i="10"/>
  <c r="O15" i="10"/>
  <c r="K17" i="10"/>
  <c r="L17" i="10"/>
  <c r="N14" i="10"/>
  <c r="K12" i="10"/>
  <c r="M13" i="10"/>
  <c r="O14" i="10"/>
  <c r="K16" i="10"/>
  <c r="M17" i="10"/>
  <c r="O16" i="10"/>
  <c r="P15" i="10"/>
  <c r="L12" i="10"/>
  <c r="N13" i="10"/>
  <c r="P14" i="10"/>
  <c r="L16" i="10"/>
  <c r="N17" i="10"/>
  <c r="O12" i="10"/>
  <c r="L13" i="10"/>
  <c r="M12" i="10"/>
  <c r="O13" i="10"/>
  <c r="K15" i="10"/>
  <c r="M16" i="10"/>
  <c r="O17" i="10"/>
  <c r="N12" i="10"/>
  <c r="P13" i="10"/>
  <c r="L15" i="10"/>
  <c r="N16" i="10"/>
  <c r="O31" i="9"/>
  <c r="O47" i="9"/>
  <c r="L29" i="9"/>
  <c r="N30" i="9"/>
  <c r="P31" i="9"/>
  <c r="L33" i="9"/>
  <c r="N34" i="9"/>
  <c r="L37" i="9"/>
  <c r="P39" i="9"/>
  <c r="L41" i="9"/>
  <c r="N42" i="9"/>
  <c r="P43" i="9"/>
  <c r="L45" i="9"/>
  <c r="N46" i="9"/>
  <c r="P47" i="9"/>
  <c r="L49" i="9"/>
  <c r="N50" i="9"/>
  <c r="P51" i="9"/>
  <c r="M29" i="9"/>
  <c r="O30" i="9"/>
  <c r="K32" i="9"/>
  <c r="M33" i="9"/>
  <c r="O34" i="9"/>
  <c r="K36" i="9"/>
  <c r="M37" i="9"/>
  <c r="O38" i="9"/>
  <c r="K40" i="9"/>
  <c r="M41" i="9"/>
  <c r="O42" i="9"/>
  <c r="K44" i="9"/>
  <c r="M45" i="9"/>
  <c r="O46" i="9"/>
  <c r="K48" i="9"/>
  <c r="M49" i="9"/>
  <c r="O50" i="9"/>
  <c r="N29" i="9"/>
  <c r="P30" i="9"/>
  <c r="L32" i="9"/>
  <c r="N33" i="9"/>
  <c r="P34" i="9"/>
  <c r="L36" i="9"/>
  <c r="N37" i="9"/>
  <c r="P38" i="9"/>
  <c r="L40" i="9"/>
  <c r="N41" i="9"/>
  <c r="P42" i="9"/>
  <c r="L44" i="9"/>
  <c r="N45" i="9"/>
  <c r="P46" i="9"/>
  <c r="L48" i="9"/>
  <c r="N49" i="9"/>
  <c r="P50" i="9"/>
  <c r="O29" i="9"/>
  <c r="K31" i="9"/>
  <c r="O33" i="9"/>
  <c r="K35" i="9"/>
  <c r="O37" i="9"/>
  <c r="K39" i="9"/>
  <c r="O41" i="9"/>
  <c r="O45" i="9"/>
  <c r="K51" i="9"/>
  <c r="P29" i="9"/>
  <c r="L31" i="9"/>
  <c r="N32" i="9"/>
  <c r="P33" i="9"/>
  <c r="L35" i="9"/>
  <c r="N36" i="9"/>
  <c r="P37" i="9"/>
  <c r="L39" i="9"/>
  <c r="N40" i="9"/>
  <c r="P41" i="9"/>
  <c r="L43" i="9"/>
  <c r="N44" i="9"/>
  <c r="P45" i="9"/>
  <c r="L47" i="9"/>
  <c r="N48" i="9"/>
  <c r="P49" i="9"/>
  <c r="L51" i="9"/>
  <c r="K33" i="9"/>
  <c r="M46" i="9"/>
  <c r="N38" i="9"/>
  <c r="M32" i="9"/>
  <c r="M36" i="9"/>
  <c r="M40" i="9"/>
  <c r="K43" i="9"/>
  <c r="M44" i="9"/>
  <c r="K47" i="9"/>
  <c r="M48" i="9"/>
  <c r="O49" i="9"/>
  <c r="K30" i="9"/>
  <c r="M31" i="9"/>
  <c r="O32" i="9"/>
  <c r="K34" i="9"/>
  <c r="M35" i="9"/>
  <c r="O36" i="9"/>
  <c r="K38" i="9"/>
  <c r="M39" i="9"/>
  <c r="O40" i="9"/>
  <c r="K42" i="9"/>
  <c r="M43" i="9"/>
  <c r="O44" i="9"/>
  <c r="K46" i="9"/>
  <c r="M47" i="9"/>
  <c r="O48" i="9"/>
  <c r="K50" i="9"/>
  <c r="M51" i="9"/>
  <c r="L30" i="9"/>
  <c r="N31" i="9"/>
  <c r="P32" i="9"/>
  <c r="L34" i="9"/>
  <c r="N35" i="9"/>
  <c r="P36" i="9"/>
  <c r="L38" i="9"/>
  <c r="N39" i="9"/>
  <c r="P40" i="9"/>
  <c r="L42" i="9"/>
  <c r="N43" i="9"/>
  <c r="P44" i="9"/>
  <c r="L46" i="9"/>
  <c r="N47" i="9"/>
  <c r="P48" i="9"/>
  <c r="L50" i="9"/>
  <c r="N51" i="9"/>
  <c r="K29" i="9"/>
  <c r="M30" i="9"/>
  <c r="M34" i="9"/>
  <c r="O35" i="9"/>
  <c r="M38" i="9"/>
  <c r="O39" i="9"/>
  <c r="K41" i="9"/>
  <c r="M42" i="9"/>
  <c r="O43" i="9"/>
  <c r="K45" i="9"/>
  <c r="K49" i="9"/>
  <c r="M50" i="9"/>
  <c r="K37" i="9"/>
  <c r="P35" i="9"/>
  <c r="M9" i="7"/>
  <c r="N9" i="7"/>
  <c r="P10" i="7"/>
  <c r="P9" i="7"/>
  <c r="L11" i="7"/>
  <c r="L10" i="7"/>
  <c r="N11" i="7"/>
  <c r="K9" i="7"/>
  <c r="M10" i="7"/>
  <c r="O11" i="7"/>
  <c r="K10" i="7"/>
  <c r="L9" i="7"/>
  <c r="N10" i="7"/>
  <c r="L18" i="6"/>
  <c r="N18" i="6"/>
  <c r="O18" i="6"/>
  <c r="M18" i="6"/>
  <c r="M12" i="7"/>
  <c r="J4" i="6"/>
  <c r="J5" i="5"/>
  <c r="O4" i="5"/>
  <c r="O15" i="5" s="1"/>
  <c r="H17" i="4"/>
  <c r="H18" i="4"/>
  <c r="H19" i="4"/>
  <c r="H20" i="4"/>
  <c r="H21" i="4"/>
  <c r="H22" i="4"/>
  <c r="H23" i="4"/>
  <c r="H24" i="4"/>
  <c r="H25" i="4"/>
  <c r="H26" i="4"/>
  <c r="H16" i="4"/>
  <c r="G17" i="4"/>
  <c r="G18" i="4"/>
  <c r="G19" i="4"/>
  <c r="G20" i="4"/>
  <c r="G21" i="4"/>
  <c r="G22" i="4"/>
  <c r="G23" i="4"/>
  <c r="G24" i="4"/>
  <c r="G25" i="4"/>
  <c r="G26" i="4"/>
  <c r="G16" i="4"/>
  <c r="F17" i="4"/>
  <c r="F18" i="4"/>
  <c r="F19" i="4"/>
  <c r="F20" i="4"/>
  <c r="F21" i="4"/>
  <c r="F22" i="4"/>
  <c r="F23" i="4"/>
  <c r="F24" i="4"/>
  <c r="F25" i="4"/>
  <c r="F26" i="4"/>
  <c r="F16" i="4"/>
  <c r="E17" i="4"/>
  <c r="E18" i="4"/>
  <c r="E19" i="4"/>
  <c r="E20" i="4"/>
  <c r="E21" i="4"/>
  <c r="E22" i="4"/>
  <c r="E23" i="4"/>
  <c r="E24" i="4"/>
  <c r="E25" i="4"/>
  <c r="E26" i="4"/>
  <c r="E16" i="4"/>
  <c r="D17" i="4"/>
  <c r="D18" i="4"/>
  <c r="D19" i="4"/>
  <c r="D20" i="4"/>
  <c r="D21" i="4"/>
  <c r="D22" i="4"/>
  <c r="D23" i="4"/>
  <c r="D24" i="4"/>
  <c r="D25" i="4"/>
  <c r="D26" i="4"/>
  <c r="D16" i="4"/>
  <c r="C17" i="4"/>
  <c r="C18" i="4"/>
  <c r="C19" i="4"/>
  <c r="C20" i="4"/>
  <c r="C21" i="4"/>
  <c r="C22" i="4"/>
  <c r="C23" i="4"/>
  <c r="C24" i="4"/>
  <c r="C25" i="4"/>
  <c r="C26" i="4"/>
  <c r="C16" i="4"/>
  <c r="K3" i="4"/>
  <c r="K4" i="4" s="1"/>
  <c r="K5" i="4" s="1"/>
  <c r="K6" i="4" s="1"/>
  <c r="K7" i="4" s="1"/>
  <c r="K8" i="4" s="1"/>
  <c r="K9" i="4" s="1"/>
  <c r="K10" i="4" s="1"/>
  <c r="K11" i="4" s="1"/>
  <c r="K12" i="4" s="1"/>
  <c r="L3" i="4"/>
  <c r="L4" i="4" s="1"/>
  <c r="L5" i="4" s="1"/>
  <c r="L6" i="4" s="1"/>
  <c r="L7" i="4" s="1"/>
  <c r="L8" i="4" s="1"/>
  <c r="L9" i="4" s="1"/>
  <c r="L10" i="4" s="1"/>
  <c r="L11" i="4" s="1"/>
  <c r="L12" i="4" s="1"/>
  <c r="M3" i="4"/>
  <c r="M4" i="4" s="1"/>
  <c r="M5" i="4" s="1"/>
  <c r="M6" i="4" s="1"/>
  <c r="M7" i="4" s="1"/>
  <c r="M8" i="4" s="1"/>
  <c r="M9" i="4" s="1"/>
  <c r="M10" i="4" s="1"/>
  <c r="M11" i="4" s="1"/>
  <c r="M12" i="4" s="1"/>
  <c r="N3" i="4"/>
  <c r="N4" i="4" s="1"/>
  <c r="N5" i="4" s="1"/>
  <c r="N6" i="4" s="1"/>
  <c r="N7" i="4" s="1"/>
  <c r="N8" i="4" s="1"/>
  <c r="N9" i="4" s="1"/>
  <c r="N10" i="4" s="1"/>
  <c r="N11" i="4" s="1"/>
  <c r="N12" i="4" s="1"/>
  <c r="O3" i="4"/>
  <c r="O4" i="4" s="1"/>
  <c r="O5" i="4" s="1"/>
  <c r="O6" i="4" s="1"/>
  <c r="O7" i="4" s="1"/>
  <c r="O8" i="4" s="1"/>
  <c r="O9" i="4" s="1"/>
  <c r="O10" i="4" s="1"/>
  <c r="O11" i="4" s="1"/>
  <c r="O12" i="4" s="1"/>
  <c r="P3" i="4"/>
  <c r="P4" i="4" s="1"/>
  <c r="P5" i="4" s="1"/>
  <c r="P6" i="4" s="1"/>
  <c r="P7" i="4" s="1"/>
  <c r="P8" i="4" s="1"/>
  <c r="P9" i="4" s="1"/>
  <c r="P10" i="4" s="1"/>
  <c r="P11" i="4" s="1"/>
  <c r="P12" i="4" s="1"/>
  <c r="H9" i="3"/>
  <c r="H10" i="3"/>
  <c r="H8" i="3"/>
  <c r="G9" i="3"/>
  <c r="G10" i="3"/>
  <c r="G8" i="3"/>
  <c r="F9" i="3"/>
  <c r="F10" i="3"/>
  <c r="F8" i="3"/>
  <c r="E9" i="3"/>
  <c r="E10" i="3"/>
  <c r="E8" i="3"/>
  <c r="D9" i="3"/>
  <c r="D10" i="3"/>
  <c r="D8" i="3"/>
  <c r="C9" i="3"/>
  <c r="C10" i="3"/>
  <c r="C8" i="3"/>
  <c r="K16" i="5" l="1"/>
  <c r="L16" i="5"/>
  <c r="P16" i="5"/>
  <c r="N16" i="5"/>
  <c r="M16" i="5"/>
  <c r="O16" i="4"/>
  <c r="P16" i="4"/>
  <c r="N16" i="4"/>
  <c r="M16" i="4"/>
  <c r="L16" i="4"/>
  <c r="K16" i="4"/>
  <c r="L19" i="6"/>
  <c r="K19" i="6"/>
  <c r="O19" i="6"/>
  <c r="P19" i="6"/>
  <c r="N19" i="6"/>
  <c r="M19" i="6"/>
  <c r="L8" i="3"/>
  <c r="K8" i="3"/>
  <c r="P8" i="3"/>
  <c r="M8" i="3"/>
  <c r="O8" i="3"/>
  <c r="N8" i="3"/>
  <c r="M18" i="10"/>
  <c r="M19" i="10" s="1"/>
  <c r="K11" i="8"/>
  <c r="K12" i="8" s="1"/>
  <c r="P12" i="7"/>
  <c r="P13" i="7" s="1"/>
  <c r="L12" i="7"/>
  <c r="L13" i="7" s="1"/>
  <c r="K12" i="7"/>
  <c r="K13" i="7" s="1"/>
  <c r="N12" i="7"/>
  <c r="N13" i="7" s="1"/>
  <c r="O12" i="7"/>
  <c r="O13" i="7" s="1"/>
  <c r="O18" i="10"/>
  <c r="O19" i="10" s="1"/>
  <c r="L18" i="10"/>
  <c r="L19" i="10" s="1"/>
  <c r="N18" i="10"/>
  <c r="N19" i="10" s="1"/>
  <c r="K18" i="10"/>
  <c r="K19" i="10" s="1"/>
  <c r="P18" i="10"/>
  <c r="P19" i="10" s="1"/>
  <c r="K52" i="9"/>
  <c r="K53" i="9" s="1"/>
  <c r="N52" i="9"/>
  <c r="N53" i="9" s="1"/>
  <c r="P52" i="9"/>
  <c r="P53" i="9" s="1"/>
  <c r="M52" i="9"/>
  <c r="M53" i="9" s="1"/>
  <c r="O52" i="9"/>
  <c r="O53" i="9" s="1"/>
  <c r="L52" i="9"/>
  <c r="L53" i="9" s="1"/>
  <c r="M11" i="8"/>
  <c r="M12" i="8" s="1"/>
  <c r="P11" i="8"/>
  <c r="P12" i="8" s="1"/>
  <c r="O11" i="8"/>
  <c r="O12" i="8" s="1"/>
  <c r="L11" i="8"/>
  <c r="L12" i="8" s="1"/>
  <c r="M13" i="7"/>
  <c r="J5" i="6"/>
  <c r="O5" i="5"/>
  <c r="O6" i="5" s="1"/>
  <c r="O7" i="5" s="1"/>
  <c r="O8" i="5" s="1"/>
  <c r="O9" i="5" s="1"/>
  <c r="O10" i="5" s="1"/>
  <c r="J6" i="5"/>
  <c r="J3" i="4"/>
  <c r="H18" i="2"/>
  <c r="H19" i="2"/>
  <c r="H20" i="2"/>
  <c r="H21" i="2"/>
  <c r="H22" i="2"/>
  <c r="H23" i="2"/>
  <c r="H24" i="2"/>
  <c r="H25" i="2"/>
  <c r="H26" i="2"/>
  <c r="H27" i="2"/>
  <c r="H28" i="2"/>
  <c r="H29" i="2"/>
  <c r="H17" i="2"/>
  <c r="G18" i="2"/>
  <c r="G19" i="2"/>
  <c r="G20" i="2"/>
  <c r="G21" i="2"/>
  <c r="G22" i="2"/>
  <c r="G23" i="2"/>
  <c r="G24" i="2"/>
  <c r="G25" i="2"/>
  <c r="G26" i="2"/>
  <c r="G27" i="2"/>
  <c r="G28" i="2"/>
  <c r="G29" i="2"/>
  <c r="G17" i="2"/>
  <c r="F18" i="2"/>
  <c r="F19" i="2"/>
  <c r="F20" i="2"/>
  <c r="F21" i="2"/>
  <c r="F22" i="2"/>
  <c r="F23" i="2"/>
  <c r="F24" i="2"/>
  <c r="F25" i="2"/>
  <c r="F26" i="2"/>
  <c r="F27" i="2"/>
  <c r="F28" i="2"/>
  <c r="F29" i="2"/>
  <c r="F17" i="2"/>
  <c r="E18" i="2"/>
  <c r="E19" i="2"/>
  <c r="E20" i="2"/>
  <c r="E21" i="2"/>
  <c r="E22" i="2"/>
  <c r="E23" i="2"/>
  <c r="E24" i="2"/>
  <c r="E25" i="2"/>
  <c r="E26" i="2"/>
  <c r="E27" i="2"/>
  <c r="E28" i="2"/>
  <c r="E29" i="2"/>
  <c r="E17" i="2"/>
  <c r="D18" i="2"/>
  <c r="D19" i="2"/>
  <c r="D20" i="2"/>
  <c r="D21" i="2"/>
  <c r="D22" i="2"/>
  <c r="D23" i="2"/>
  <c r="D24" i="2"/>
  <c r="D25" i="2"/>
  <c r="D26" i="2"/>
  <c r="D27" i="2"/>
  <c r="D28" i="2"/>
  <c r="D29" i="2"/>
  <c r="D17" i="2"/>
  <c r="C18" i="2"/>
  <c r="C19" i="2"/>
  <c r="C20" i="2"/>
  <c r="C21" i="2"/>
  <c r="C22" i="2"/>
  <c r="C23" i="2"/>
  <c r="C24" i="2"/>
  <c r="C25" i="2"/>
  <c r="C26" i="2"/>
  <c r="C27" i="2"/>
  <c r="C28" i="2"/>
  <c r="C29" i="2"/>
  <c r="C17" i="2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H29" i="1"/>
  <c r="G29" i="1"/>
  <c r="F29" i="1"/>
  <c r="E29" i="1"/>
  <c r="D29" i="1"/>
  <c r="C29" i="1"/>
  <c r="H28" i="1"/>
  <c r="G28" i="1"/>
  <c r="F28" i="1"/>
  <c r="E28" i="1"/>
  <c r="D28" i="1"/>
  <c r="C28" i="1"/>
  <c r="H27" i="1"/>
  <c r="G27" i="1"/>
  <c r="F27" i="1"/>
  <c r="E27" i="1"/>
  <c r="D27" i="1"/>
  <c r="C27" i="1"/>
  <c r="H26" i="1"/>
  <c r="G26" i="1"/>
  <c r="F26" i="1"/>
  <c r="E26" i="1"/>
  <c r="D26" i="1"/>
  <c r="C26" i="1"/>
  <c r="H25" i="1"/>
  <c r="G25" i="1"/>
  <c r="F25" i="1"/>
  <c r="E25" i="1"/>
  <c r="D25" i="1"/>
  <c r="C25" i="1"/>
  <c r="H24" i="1"/>
  <c r="G24" i="1"/>
  <c r="F24" i="1"/>
  <c r="E24" i="1"/>
  <c r="D24" i="1"/>
  <c r="C24" i="1"/>
  <c r="H23" i="1"/>
  <c r="G23" i="1"/>
  <c r="F23" i="1"/>
  <c r="E23" i="1"/>
  <c r="D23" i="1"/>
  <c r="C23" i="1"/>
  <c r="H22" i="1"/>
  <c r="G22" i="1"/>
  <c r="F22" i="1"/>
  <c r="E22" i="1"/>
  <c r="D22" i="1"/>
  <c r="C22" i="1"/>
  <c r="H21" i="1"/>
  <c r="G21" i="1"/>
  <c r="F21" i="1"/>
  <c r="E21" i="1"/>
  <c r="D21" i="1"/>
  <c r="C21" i="1"/>
  <c r="H20" i="1"/>
  <c r="G20" i="1"/>
  <c r="F20" i="1"/>
  <c r="E20" i="1"/>
  <c r="D20" i="1"/>
  <c r="C20" i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O16" i="5" l="1"/>
  <c r="M17" i="5"/>
  <c r="N17" i="5"/>
  <c r="L17" i="5"/>
  <c r="K17" i="5"/>
  <c r="P17" i="5"/>
  <c r="O17" i="5"/>
  <c r="P17" i="4"/>
  <c r="O17" i="4"/>
  <c r="N17" i="4"/>
  <c r="M17" i="4"/>
  <c r="L17" i="4"/>
  <c r="K17" i="4"/>
  <c r="N20" i="6"/>
  <c r="M20" i="6"/>
  <c r="L20" i="6"/>
  <c r="K20" i="6"/>
  <c r="P20" i="6"/>
  <c r="O20" i="6"/>
  <c r="P17" i="2"/>
  <c r="O17" i="2"/>
  <c r="M17" i="2"/>
  <c r="N17" i="2"/>
  <c r="L17" i="2"/>
  <c r="K17" i="2"/>
  <c r="P17" i="1"/>
  <c r="O17" i="1"/>
  <c r="K17" i="1"/>
  <c r="N17" i="1"/>
  <c r="M17" i="1"/>
  <c r="L17" i="1"/>
  <c r="J6" i="6"/>
  <c r="J7" i="5"/>
  <c r="J4" i="4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J3" i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O3" i="2"/>
  <c r="O4" i="2" s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N3" i="2"/>
  <c r="N4" i="2" s="1"/>
  <c r="N5" i="2" s="1"/>
  <c r="N6" i="2" s="1"/>
  <c r="N7" i="2" s="1"/>
  <c r="N8" i="2" s="1"/>
  <c r="N9" i="2" s="1"/>
  <c r="N10" i="2" s="1"/>
  <c r="N11" i="2" s="1"/>
  <c r="N12" i="2" s="1"/>
  <c r="N13" i="2" s="1"/>
  <c r="N14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J3" i="2"/>
  <c r="O18" i="5" l="1"/>
  <c r="N18" i="5"/>
  <c r="M18" i="5"/>
  <c r="L18" i="5"/>
  <c r="K18" i="5"/>
  <c r="P18" i="5"/>
  <c r="K18" i="4"/>
  <c r="L18" i="4"/>
  <c r="P18" i="4"/>
  <c r="O18" i="4"/>
  <c r="N18" i="4"/>
  <c r="M18" i="4"/>
  <c r="P21" i="6"/>
  <c r="O21" i="6"/>
  <c r="N21" i="6"/>
  <c r="M21" i="6"/>
  <c r="K21" i="6"/>
  <c r="L21" i="6"/>
  <c r="P18" i="2"/>
  <c r="O18" i="2"/>
  <c r="N18" i="2"/>
  <c r="M18" i="2"/>
  <c r="K18" i="2"/>
  <c r="L18" i="2"/>
  <c r="N18" i="1"/>
  <c r="P18" i="1"/>
  <c r="O18" i="1"/>
  <c r="L18" i="1"/>
  <c r="K18" i="1"/>
  <c r="M18" i="1"/>
  <c r="J7" i="6"/>
  <c r="J8" i="5"/>
  <c r="J5" i="4"/>
  <c r="J4" i="1"/>
  <c r="J4" i="2"/>
  <c r="M3" i="3"/>
  <c r="M4" i="3" s="1"/>
  <c r="J3" i="3"/>
  <c r="N3" i="3"/>
  <c r="K3" i="3"/>
  <c r="K4" i="3" s="1"/>
  <c r="L3" i="3"/>
  <c r="L4" i="3" s="1"/>
  <c r="P19" i="5" l="1"/>
  <c r="O19" i="5"/>
  <c r="N19" i="5"/>
  <c r="M19" i="5"/>
  <c r="L19" i="5"/>
  <c r="K19" i="5"/>
  <c r="M19" i="4"/>
  <c r="L19" i="4"/>
  <c r="K19" i="4"/>
  <c r="P19" i="4"/>
  <c r="N19" i="4"/>
  <c r="O19" i="4"/>
  <c r="P22" i="6"/>
  <c r="O22" i="6"/>
  <c r="M22" i="6"/>
  <c r="N22" i="6"/>
  <c r="L22" i="6"/>
  <c r="K22" i="6"/>
  <c r="N9" i="3"/>
  <c r="M9" i="3"/>
  <c r="L9" i="3"/>
  <c r="K9" i="3"/>
  <c r="P9" i="3"/>
  <c r="O9" i="3"/>
  <c r="L19" i="2"/>
  <c r="K19" i="2"/>
  <c r="P19" i="2"/>
  <c r="M19" i="2"/>
  <c r="O19" i="2"/>
  <c r="N19" i="2"/>
  <c r="L19" i="1"/>
  <c r="O19" i="1"/>
  <c r="K19" i="1"/>
  <c r="N19" i="1"/>
  <c r="M19" i="1"/>
  <c r="P19" i="1"/>
  <c r="J8" i="6"/>
  <c r="J9" i="5"/>
  <c r="J6" i="4"/>
  <c r="J5" i="1"/>
  <c r="J5" i="2"/>
  <c r="J4" i="3"/>
  <c r="N4" i="3"/>
  <c r="K20" i="5" l="1"/>
  <c r="P20" i="5"/>
  <c r="L20" i="5"/>
  <c r="O20" i="5"/>
  <c r="N20" i="5"/>
  <c r="M20" i="5"/>
  <c r="O20" i="4"/>
  <c r="N20" i="4"/>
  <c r="M20" i="4"/>
  <c r="L20" i="4"/>
  <c r="K20" i="4"/>
  <c r="P20" i="4"/>
  <c r="L23" i="6"/>
  <c r="O23" i="6"/>
  <c r="K23" i="6"/>
  <c r="P23" i="6"/>
  <c r="N23" i="6"/>
  <c r="M23" i="6"/>
  <c r="P10" i="3"/>
  <c r="P11" i="3" s="1"/>
  <c r="P12" i="3" s="1"/>
  <c r="O10" i="3"/>
  <c r="O11" i="3" s="1"/>
  <c r="O12" i="3" s="1"/>
  <c r="N10" i="3"/>
  <c r="N11" i="3" s="1"/>
  <c r="N12" i="3" s="1"/>
  <c r="M10" i="3"/>
  <c r="M11" i="3" s="1"/>
  <c r="M12" i="3" s="1"/>
  <c r="L10" i="3"/>
  <c r="L11" i="3" s="1"/>
  <c r="L12" i="3" s="1"/>
  <c r="K10" i="3"/>
  <c r="K11" i="3" s="1"/>
  <c r="K12" i="3" s="1"/>
  <c r="N20" i="2"/>
  <c r="K20" i="2"/>
  <c r="M20" i="2"/>
  <c r="L20" i="2"/>
  <c r="P20" i="2"/>
  <c r="O20" i="2"/>
  <c r="N20" i="1"/>
  <c r="M20" i="1"/>
  <c r="L20" i="1"/>
  <c r="K20" i="1"/>
  <c r="P20" i="1"/>
  <c r="O20" i="1"/>
  <c r="J9" i="6"/>
  <c r="J10" i="5"/>
  <c r="J7" i="4"/>
  <c r="J6" i="1"/>
  <c r="J6" i="2"/>
  <c r="M21" i="5" l="1"/>
  <c r="M22" i="5" s="1"/>
  <c r="M23" i="5" s="1"/>
  <c r="L21" i="5"/>
  <c r="K21" i="5"/>
  <c r="K22" i="5" s="1"/>
  <c r="K23" i="5" s="1"/>
  <c r="N21" i="5"/>
  <c r="N22" i="5" s="1"/>
  <c r="N23" i="5" s="1"/>
  <c r="P21" i="5"/>
  <c r="P22" i="5" s="1"/>
  <c r="P23" i="5" s="1"/>
  <c r="O21" i="5"/>
  <c r="O22" i="5" s="1"/>
  <c r="O23" i="5" s="1"/>
  <c r="P21" i="4"/>
  <c r="O21" i="4"/>
  <c r="N21" i="4"/>
  <c r="M21" i="4"/>
  <c r="L21" i="4"/>
  <c r="K21" i="4"/>
  <c r="N24" i="6"/>
  <c r="M24" i="6"/>
  <c r="L24" i="6"/>
  <c r="K24" i="6"/>
  <c r="P24" i="6"/>
  <c r="O24" i="6"/>
  <c r="P21" i="2"/>
  <c r="O21" i="2"/>
  <c r="N21" i="2"/>
  <c r="M21" i="2"/>
  <c r="L21" i="2"/>
  <c r="K21" i="2"/>
  <c r="P21" i="1"/>
  <c r="O21" i="1"/>
  <c r="L21" i="1"/>
  <c r="K21" i="1"/>
  <c r="N21" i="1"/>
  <c r="M21" i="1"/>
  <c r="J10" i="6"/>
  <c r="L22" i="5"/>
  <c r="L23" i="5" s="1"/>
  <c r="J8" i="4"/>
  <c r="J7" i="1"/>
  <c r="J7" i="2"/>
  <c r="K22" i="4" l="1"/>
  <c r="L22" i="4"/>
  <c r="P22" i="4"/>
  <c r="O22" i="4"/>
  <c r="N22" i="4"/>
  <c r="M22" i="4"/>
  <c r="P25" i="6"/>
  <c r="O25" i="6"/>
  <c r="N25" i="6"/>
  <c r="K25" i="6"/>
  <c r="M25" i="6"/>
  <c r="L25" i="6"/>
  <c r="O22" i="2"/>
  <c r="P22" i="2"/>
  <c r="N22" i="2"/>
  <c r="M22" i="2"/>
  <c r="K22" i="2"/>
  <c r="L22" i="2"/>
  <c r="P22" i="1"/>
  <c r="M22" i="1"/>
  <c r="O22" i="1"/>
  <c r="L22" i="1"/>
  <c r="N22" i="1"/>
  <c r="K22" i="1"/>
  <c r="J11" i="6"/>
  <c r="J9" i="4"/>
  <c r="J8" i="1"/>
  <c r="J8" i="2"/>
  <c r="M23" i="4" l="1"/>
  <c r="L23" i="4"/>
  <c r="K23" i="4"/>
  <c r="N23" i="4"/>
  <c r="P23" i="4"/>
  <c r="O23" i="4"/>
  <c r="M26" i="6"/>
  <c r="P26" i="6"/>
  <c r="O26" i="6"/>
  <c r="N26" i="6"/>
  <c r="L26" i="6"/>
  <c r="K26" i="6"/>
  <c r="L23" i="2"/>
  <c r="K23" i="2"/>
  <c r="P23" i="2"/>
  <c r="M23" i="2"/>
  <c r="O23" i="2"/>
  <c r="N23" i="2"/>
  <c r="L23" i="1"/>
  <c r="P23" i="1"/>
  <c r="K23" i="1"/>
  <c r="N23" i="1"/>
  <c r="O23" i="1"/>
  <c r="M23" i="1"/>
  <c r="J12" i="6"/>
  <c r="J10" i="4"/>
  <c r="J9" i="1"/>
  <c r="J9" i="2"/>
  <c r="O24" i="4" l="1"/>
  <c r="P24" i="4"/>
  <c r="N24" i="4"/>
  <c r="M24" i="4"/>
  <c r="L24" i="4"/>
  <c r="K24" i="4"/>
  <c r="L27" i="6"/>
  <c r="K27" i="6"/>
  <c r="O27" i="6"/>
  <c r="P27" i="6"/>
  <c r="N27" i="6"/>
  <c r="M27" i="6"/>
  <c r="N24" i="2"/>
  <c r="K24" i="2"/>
  <c r="M24" i="2"/>
  <c r="L24" i="2"/>
  <c r="O24" i="2"/>
  <c r="P24" i="2"/>
  <c r="N24" i="1"/>
  <c r="M24" i="1"/>
  <c r="L24" i="1"/>
  <c r="K24" i="1"/>
  <c r="P24" i="1"/>
  <c r="O24" i="1"/>
  <c r="J13" i="6"/>
  <c r="J11" i="4"/>
  <c r="J10" i="1"/>
  <c r="J10" i="2"/>
  <c r="P25" i="4" l="1"/>
  <c r="O25" i="4"/>
  <c r="N25" i="4"/>
  <c r="M25" i="4"/>
  <c r="L25" i="4"/>
  <c r="K25" i="4"/>
  <c r="N28" i="6"/>
  <c r="M28" i="6"/>
  <c r="L28" i="6"/>
  <c r="K28" i="6"/>
  <c r="P28" i="6"/>
  <c r="O28" i="6"/>
  <c r="P25" i="2"/>
  <c r="M25" i="2"/>
  <c r="O25" i="2"/>
  <c r="N25" i="2"/>
  <c r="L25" i="2"/>
  <c r="K25" i="2"/>
  <c r="P25" i="1"/>
  <c r="O25" i="1"/>
  <c r="N25" i="1"/>
  <c r="M25" i="1"/>
  <c r="L25" i="1"/>
  <c r="K25" i="1"/>
  <c r="J14" i="6"/>
  <c r="J12" i="4"/>
  <c r="J11" i="1"/>
  <c r="J11" i="2"/>
  <c r="K26" i="4" l="1"/>
  <c r="L26" i="4"/>
  <c r="P26" i="4"/>
  <c r="O26" i="4"/>
  <c r="N26" i="4"/>
  <c r="M26" i="4"/>
  <c r="P29" i="6"/>
  <c r="P30" i="6" s="1"/>
  <c r="P31" i="6" s="1"/>
  <c r="O29" i="6"/>
  <c r="O30" i="6" s="1"/>
  <c r="O31" i="6" s="1"/>
  <c r="N29" i="6"/>
  <c r="N30" i="6" s="1"/>
  <c r="N31" i="6" s="1"/>
  <c r="M29" i="6"/>
  <c r="M30" i="6" s="1"/>
  <c r="M31" i="6" s="1"/>
  <c r="L29" i="6"/>
  <c r="L30" i="6" s="1"/>
  <c r="L31" i="6" s="1"/>
  <c r="K29" i="6"/>
  <c r="K30" i="6" s="1"/>
  <c r="K31" i="6" s="1"/>
  <c r="O26" i="2"/>
  <c r="P26" i="2"/>
  <c r="N26" i="2"/>
  <c r="M26" i="2"/>
  <c r="K26" i="2"/>
  <c r="L26" i="2"/>
  <c r="M26" i="1"/>
  <c r="P26" i="1"/>
  <c r="N26" i="1"/>
  <c r="O26" i="1"/>
  <c r="L26" i="1"/>
  <c r="K26" i="1"/>
  <c r="J12" i="1"/>
  <c r="J12" i="2"/>
  <c r="L27" i="2" l="1"/>
  <c r="K27" i="2"/>
  <c r="P27" i="2"/>
  <c r="O27" i="2"/>
  <c r="N27" i="2"/>
  <c r="M27" i="2"/>
  <c r="L27" i="1"/>
  <c r="K27" i="1"/>
  <c r="P27" i="1"/>
  <c r="O27" i="1"/>
  <c r="N27" i="1"/>
  <c r="M27" i="1"/>
  <c r="N27" i="4"/>
  <c r="N28" i="4" s="1"/>
  <c r="L27" i="4"/>
  <c r="L28" i="4" s="1"/>
  <c r="O27" i="4"/>
  <c r="O28" i="4" s="1"/>
  <c r="K27" i="4"/>
  <c r="K28" i="4" s="1"/>
  <c r="M27" i="4"/>
  <c r="M28" i="4" s="1"/>
  <c r="P27" i="4"/>
  <c r="P28" i="4" s="1"/>
  <c r="J13" i="1"/>
  <c r="J13" i="2"/>
  <c r="N28" i="2" l="1"/>
  <c r="M28" i="2"/>
  <c r="L28" i="2"/>
  <c r="K28" i="2"/>
  <c r="O28" i="2"/>
  <c r="P28" i="2"/>
  <c r="N28" i="1"/>
  <c r="M28" i="1"/>
  <c r="L28" i="1"/>
  <c r="K28" i="1"/>
  <c r="P28" i="1"/>
  <c r="O28" i="1"/>
  <c r="J14" i="1"/>
  <c r="J14" i="2"/>
  <c r="P29" i="2" l="1"/>
  <c r="P30" i="2" s="1"/>
  <c r="P31" i="2" s="1"/>
  <c r="M29" i="2"/>
  <c r="M30" i="2" s="1"/>
  <c r="M31" i="2" s="1"/>
  <c r="O29" i="2"/>
  <c r="N29" i="2"/>
  <c r="N30" i="2" s="1"/>
  <c r="N31" i="2" s="1"/>
  <c r="L29" i="2"/>
  <c r="L30" i="2" s="1"/>
  <c r="L31" i="2" s="1"/>
  <c r="K29" i="2"/>
  <c r="K30" i="2" s="1"/>
  <c r="K31" i="2" s="1"/>
  <c r="P29" i="1"/>
  <c r="P30" i="1" s="1"/>
  <c r="P31" i="1" s="1"/>
  <c r="O29" i="1"/>
  <c r="O30" i="1" s="1"/>
  <c r="O31" i="1" s="1"/>
  <c r="N29" i="1"/>
  <c r="N30" i="1" s="1"/>
  <c r="N31" i="1" s="1"/>
  <c r="M29" i="1"/>
  <c r="M30" i="1" s="1"/>
  <c r="M31" i="1" s="1"/>
  <c r="L29" i="1"/>
  <c r="L30" i="1" s="1"/>
  <c r="L31" i="1" s="1"/>
  <c r="K29" i="1"/>
  <c r="K30" i="1" s="1"/>
  <c r="K31" i="1" s="1"/>
  <c r="O30" i="2"/>
  <c r="O31" i="2" s="1"/>
</calcChain>
</file>

<file path=xl/sharedStrings.xml><?xml version="1.0" encoding="utf-8"?>
<sst xmlns="http://schemas.openxmlformats.org/spreadsheetml/2006/main" count="612" uniqueCount="124">
  <si>
    <t>Prod 2019</t>
  </si>
  <si>
    <t>Prod 2020</t>
  </si>
  <si>
    <t>Prod 2021</t>
  </si>
  <si>
    <t>Prod 2022</t>
  </si>
  <si>
    <t>Prod 2023-1-2</t>
  </si>
  <si>
    <t>Prod 2023-3</t>
  </si>
  <si>
    <t>TAQUARAÇU DE MINAS</t>
  </si>
  <si>
    <t>MOEDA</t>
  </si>
  <si>
    <t>NOVA UNIÃO</t>
  </si>
  <si>
    <t>BELO VALE</t>
  </si>
  <si>
    <t>RIO ACIMA</t>
  </si>
  <si>
    <t>RAPOSOS</t>
  </si>
  <si>
    <t>JABOTICATUBAS</t>
  </si>
  <si>
    <t>CAETÉ</t>
  </si>
  <si>
    <t>NOVA LIMA</t>
  </si>
  <si>
    <t>SABARÁ</t>
  </si>
  <si>
    <t>SANTA LUZIA</t>
  </si>
  <si>
    <t>RIBEIRÃO DAS NEVES</t>
  </si>
  <si>
    <t>BELO HORIZONTE</t>
  </si>
  <si>
    <t>BETIM</t>
  </si>
  <si>
    <t>BONFIM</t>
  </si>
  <si>
    <t>BRUMADINHO</t>
  </si>
  <si>
    <t>CRUCILÂNDIA</t>
  </si>
  <si>
    <t>ESMERALDAS</t>
  </si>
  <si>
    <t>FLORESTAL</t>
  </si>
  <si>
    <t>IGARAPÉ</t>
  </si>
  <si>
    <t>JUATUBA</t>
  </si>
  <si>
    <t>MÁRIO CAMPOS</t>
  </si>
  <si>
    <t>MATEUS LEME</t>
  </si>
  <si>
    <t>PIEDADE DOS GERAIS</t>
  </si>
  <si>
    <t>RIO MANSO</t>
  </si>
  <si>
    <t>SÃO JOAQUIM DE BICAS</t>
  </si>
  <si>
    <t>CONTAGEM</t>
  </si>
  <si>
    <t>IBIRITÉ</t>
  </si>
  <si>
    <t>SARZEDO</t>
  </si>
  <si>
    <t>CURVELO</t>
  </si>
  <si>
    <t>AUGUSTO DE LIMA</t>
  </si>
  <si>
    <t>BUENÓPOLIS</t>
  </si>
  <si>
    <t>CORINTO</t>
  </si>
  <si>
    <t>FELIXLÂNDIA</t>
  </si>
  <si>
    <t>INIMUTABA</t>
  </si>
  <si>
    <t>MONJOLOS</t>
  </si>
  <si>
    <t>MORRO DA GARÇA</t>
  </si>
  <si>
    <t>PRESIDENTE JUSCELINO</t>
  </si>
  <si>
    <t>SANTO HIPÓLITO</t>
  </si>
  <si>
    <t>TRÊS MARIAS</t>
  </si>
  <si>
    <t>GUANHÃES</t>
  </si>
  <si>
    <t>CARMÉSIA</t>
  </si>
  <si>
    <t>DOM JOAQUIM</t>
  </si>
  <si>
    <t>DORES DE GUANHÃES</t>
  </si>
  <si>
    <t>MATERLÂNDIA</t>
  </si>
  <si>
    <t>RIO VERMELHO</t>
  </si>
  <si>
    <t>SABINÓPOLIS</t>
  </si>
  <si>
    <t>SENHORA DO PORTO</t>
  </si>
  <si>
    <t>VIRGINÓPOLIS</t>
  </si>
  <si>
    <t>ITABIRA</t>
  </si>
  <si>
    <t>BARÃO DE COCAIS</t>
  </si>
  <si>
    <t>BOM JESUS DO AMPARO</t>
  </si>
  <si>
    <t>CATAS ALTAS</t>
  </si>
  <si>
    <t>FERROS</t>
  </si>
  <si>
    <t>ITAMBÉ DO MATO DENTRO</t>
  </si>
  <si>
    <t>MORRO DO PILAR</t>
  </si>
  <si>
    <t>PASSABÉM</t>
  </si>
  <si>
    <t>SANTA BÁRBARA</t>
  </si>
  <si>
    <t>SANTA MARIA DE ITABIRA</t>
  </si>
  <si>
    <t>SANTO ANTÔNIO DO RIO ABAIXO</t>
  </si>
  <si>
    <t>SÃO GONÇALO DO RIO ABAIXO</t>
  </si>
  <si>
    <t>SÃO SEBASTIÃO DO RIO PRETO</t>
  </si>
  <si>
    <t>JOÃO MONLEVADE</t>
  </si>
  <si>
    <t>BELA VISTA DE MINAS</t>
  </si>
  <si>
    <t>NOVA ERA</t>
  </si>
  <si>
    <t>RIO PIRACICABA</t>
  </si>
  <si>
    <t>OURO PRETO</t>
  </si>
  <si>
    <t>ITABIRITO</t>
  </si>
  <si>
    <t>MARIANA</t>
  </si>
  <si>
    <t>SETE LAGOAS</t>
  </si>
  <si>
    <t>ABAETÉ</t>
  </si>
  <si>
    <t>ARAÇAÍ</t>
  </si>
  <si>
    <t>BALDIM</t>
  </si>
  <si>
    <t>BIQUINHAS</t>
  </si>
  <si>
    <t>CACHOEIRA DA PRATA</t>
  </si>
  <si>
    <t>CAETANÓPOLIS</t>
  </si>
  <si>
    <t>CAPIM BRANCO</t>
  </si>
  <si>
    <t>CEDRO DO ABAETÉ</t>
  </si>
  <si>
    <t>CORDISBURGO</t>
  </si>
  <si>
    <t>FORTUNA DE MINAS</t>
  </si>
  <si>
    <t>FUNILÂNDIA</t>
  </si>
  <si>
    <t>INHAÚMA</t>
  </si>
  <si>
    <t>JEQUITIBÁ</t>
  </si>
  <si>
    <t>MARAVILHAS</t>
  </si>
  <si>
    <t>MORADA NOVA DE MINAS</t>
  </si>
  <si>
    <t>PAINEIRAS</t>
  </si>
  <si>
    <t>PAPAGAIOS</t>
  </si>
  <si>
    <t>PARAOPEBA</t>
  </si>
  <si>
    <t>PEQUI</t>
  </si>
  <si>
    <t>POMPÉU</t>
  </si>
  <si>
    <t>PRUDENTE DE MORAIS</t>
  </si>
  <si>
    <t>QUARTEL GERAL</t>
  </si>
  <si>
    <t>SANTANA DE PIRAPAMA</t>
  </si>
  <si>
    <t>VESPASIANO</t>
  </si>
  <si>
    <t>CONFINS</t>
  </si>
  <si>
    <t>LAGOA SANTA</t>
  </si>
  <si>
    <t>MATOZINHOS</t>
  </si>
  <si>
    <t>PEDRO LEOPOLDO</t>
  </si>
  <si>
    <t>SANTANA DO RIACHO</t>
  </si>
  <si>
    <t>SÃO JOSÉ DA LAPA</t>
  </si>
  <si>
    <t>Pop</t>
  </si>
  <si>
    <t>MUNICÍPIO</t>
  </si>
  <si>
    <t xml:space="preserve"> 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</si>
  <si>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</si>
  <si>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</si>
  <si>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</si>
  <si>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</si>
  <si>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</si>
  <si>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</si>
  <si>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</si>
  <si>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</si>
  <si>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</si>
  <si>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</si>
  <si>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</si>
  <si>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</si>
  <si>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GINI (1-ÁREA)</t>
  </si>
  <si>
    <t>SOMA_ÁREAS</t>
  </si>
  <si>
    <t xml:space="preserve">  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</si>
</sst>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indent="2"/>
    </xf>
    <xf numFmtId="164" fontId="0" fillId="0" borderId="0" xfId="0" applyNumberForma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2" fontId="0" fillId="0" borderId="0" xfId="0" applyNumberFormat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/>
    </xf>
    <xf numFmtId="0" fontId="0" fillId="0" borderId="0" xfId="0" applyAlignment="1">
      <alignment horizontal="left" indent="2"/>
    </xf>
    <xf numFmtId="2" fontId="0" fillId="0" borderId="2" xfId="0" applyNumberForma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2" fontId="0" fillId="0" borderId="1" xfId="1" applyNumberFormat="1" applyFont="1" applyBorder="1"/>
    <xf numFmtId="0" fontId="0" fillId="4" borderId="1" xfId="0" applyFill="1" applyBorder="1"/>
    <xf numFmtId="0" fontId="0" fillId="4" borderId="1" xfId="0" applyFill="1" applyBorder="1" applyAlignment="1">
      <alignment horizontal="left" indent="2"/>
    </xf>
    <xf numFmtId="0" fontId="2" fillId="0" borderId="0" xfId="0" applyFont="1" applyAlignment="1">
      <alignment horizontal="left" indent="2"/>
    </xf>
    <xf numFmtId="0" fontId="2" fillId="0" borderId="0" xfId="0" applyFont="1"/>
    <xf numFmtId="0" fontId="2" fillId="10" borderId="1" xfId="0" applyFont="1" applyFill="1" applyBorder="1" applyAlignment="1">
      <alignment horizontal="left" indent="2"/>
    </xf>
    <xf numFmtId="0" fontId="2" fillId="10" borderId="1" xfId="0" applyFont="1" applyFill="1" applyBorder="1"/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'Belo Horizonte'!$J$1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Horizonte'!$I$2:$I$14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Horizonte'!$J$2:$J$14</c:f>
              <c:numCache>
                <c:formatCode>0.000</c:formatCode>
                <c:ptCount val="13"/>
                <c:pt idx="0" formatCode="0.0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CD-40C7-9B88-5924F261EA5C}"/>
            </c:ext>
          </c:extLst>
        </c:ser>
        <c:ser>
          <c:idx val="1"/>
          <c:order val="1"/>
          <c:tx>
            <c:strRef>
              <c:f>'Belo Horizonte'!$K$1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Horizonte'!$I$2:$I$14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Horizonte'!$K$2:$K$14</c:f>
              <c:numCache>
                <c:formatCode>0.000</c:formatCode>
                <c:ptCount val="13"/>
                <c:pt idx="0" formatCode="0.00">
                  <c:v>0</c:v>
                </c:pt>
                <c:pt idx="1">
                  <c:v>0</c:v>
                </c:pt>
                <c:pt idx="2">
                  <c:v>8.4602368866328254E-4</c:v>
                </c:pt>
                <c:pt idx="3">
                  <c:v>2.7495769881556685E-3</c:v>
                </c:pt>
                <c:pt idx="4">
                  <c:v>8.6717428087986458E-3</c:v>
                </c:pt>
                <c:pt idx="5">
                  <c:v>1.4170896785109983E-2</c:v>
                </c:pt>
                <c:pt idx="6">
                  <c:v>1.4805414551607445E-2</c:v>
                </c:pt>
                <c:pt idx="7">
                  <c:v>2.8553299492385789E-2</c:v>
                </c:pt>
                <c:pt idx="8">
                  <c:v>7.1700507614213205E-2</c:v>
                </c:pt>
                <c:pt idx="9">
                  <c:v>9.6446700507614225E-2</c:v>
                </c:pt>
                <c:pt idx="10">
                  <c:v>0.11104060913705585</c:v>
                </c:pt>
                <c:pt idx="11">
                  <c:v>0.17851099830795264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CD-40C7-9B88-5924F261EA5C}"/>
            </c:ext>
          </c:extLst>
        </c:ser>
        <c:ser>
          <c:idx val="2"/>
          <c:order val="2"/>
          <c:tx>
            <c:strRef>
              <c:f>'Belo Horizonte'!$L$1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Horizonte'!$I$2:$I$14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Horizonte'!$L$2:$L$14</c:f>
              <c:numCache>
                <c:formatCode>0.000</c:formatCode>
                <c:ptCount val="13"/>
                <c:pt idx="0" formatCode="0.00">
                  <c:v>1.8214936247723133E-3</c:v>
                </c:pt>
                <c:pt idx="1">
                  <c:v>3.187613843351548E-3</c:v>
                </c:pt>
                <c:pt idx="2">
                  <c:v>3.187613843351548E-3</c:v>
                </c:pt>
                <c:pt idx="3">
                  <c:v>5.4644808743169399E-3</c:v>
                </c:pt>
                <c:pt idx="4">
                  <c:v>1.0018214936247723E-2</c:v>
                </c:pt>
                <c:pt idx="5">
                  <c:v>1.6848816029143898E-2</c:v>
                </c:pt>
                <c:pt idx="6">
                  <c:v>1.8214936247723135E-2</c:v>
                </c:pt>
                <c:pt idx="7">
                  <c:v>2.9599271402550094E-2</c:v>
                </c:pt>
                <c:pt idx="8">
                  <c:v>8.1056466302367944E-2</c:v>
                </c:pt>
                <c:pt idx="9">
                  <c:v>9.7449908925318768E-2</c:v>
                </c:pt>
                <c:pt idx="10">
                  <c:v>0.13570127504553736</c:v>
                </c:pt>
                <c:pt idx="11">
                  <c:v>0.20719489981785066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CD-40C7-9B88-5924F261EA5C}"/>
            </c:ext>
          </c:extLst>
        </c:ser>
        <c:ser>
          <c:idx val="3"/>
          <c:order val="3"/>
          <c:tx>
            <c:strRef>
              <c:f>'Belo Horizonte'!$M$1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Horizonte'!$I$2:$I$14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Horizonte'!$M$2:$M$14</c:f>
              <c:numCache>
                <c:formatCode>0.000</c:formatCode>
                <c:ptCount val="13"/>
                <c:pt idx="0" formatCode="0.00">
                  <c:v>1.5594541910331384E-3</c:v>
                </c:pt>
                <c:pt idx="1">
                  <c:v>2.7290448343079924E-3</c:v>
                </c:pt>
                <c:pt idx="2">
                  <c:v>3.8986354775828462E-3</c:v>
                </c:pt>
                <c:pt idx="3">
                  <c:v>3.8986354775828462E-3</c:v>
                </c:pt>
                <c:pt idx="4">
                  <c:v>5.4580896686159848E-3</c:v>
                </c:pt>
                <c:pt idx="5">
                  <c:v>9.7465886939571145E-3</c:v>
                </c:pt>
                <c:pt idx="6">
                  <c:v>1.2475633528265107E-2</c:v>
                </c:pt>
                <c:pt idx="7">
                  <c:v>2.3001949317738791E-2</c:v>
                </c:pt>
                <c:pt idx="8">
                  <c:v>5.9649122807017549E-2</c:v>
                </c:pt>
                <c:pt idx="9">
                  <c:v>8.031189083820664E-2</c:v>
                </c:pt>
                <c:pt idx="10">
                  <c:v>0.15672514619883043</c:v>
                </c:pt>
                <c:pt idx="11">
                  <c:v>0.22183235867446396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7CD-40C7-9B88-5924F261E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459552"/>
        <c:axId val="618457632"/>
      </c:scatterChart>
      <c:valAx>
        <c:axId val="6184595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457632"/>
        <c:crosses val="autoZero"/>
        <c:crossBetween val="midCat"/>
      </c:valAx>
      <c:valAx>
        <c:axId val="6184576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459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'Belo Horizonte'!$J$1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Horizonte'!$I$2:$I$14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Horizonte'!$J$2:$J$14</c:f>
              <c:numCache>
                <c:formatCode>0.000</c:formatCode>
                <c:ptCount val="13"/>
                <c:pt idx="0" formatCode="0.0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3F-417F-8B03-812DCB054BBB}"/>
            </c:ext>
          </c:extLst>
        </c:ser>
        <c:ser>
          <c:idx val="1"/>
          <c:order val="1"/>
          <c:tx>
            <c:strRef>
              <c:f>'Belo Horizonte'!$N$1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Horizonte'!$I$2:$I$14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Horizonte'!$N$2:$N$14</c:f>
              <c:numCache>
                <c:formatCode>0.000</c:formatCode>
                <c:ptCount val="13"/>
                <c:pt idx="0" formatCode="0.00">
                  <c:v>3.4423407917383823E-4</c:v>
                </c:pt>
                <c:pt idx="1">
                  <c:v>5.1635111876075738E-4</c:v>
                </c:pt>
                <c:pt idx="2">
                  <c:v>1.8932874354561104E-3</c:v>
                </c:pt>
                <c:pt idx="3">
                  <c:v>2.2375215146299486E-3</c:v>
                </c:pt>
                <c:pt idx="4">
                  <c:v>6.7125645438898453E-3</c:v>
                </c:pt>
                <c:pt idx="5">
                  <c:v>1.3080895008605853E-2</c:v>
                </c:pt>
                <c:pt idx="6">
                  <c:v>1.53184165232358E-2</c:v>
                </c:pt>
                <c:pt idx="7">
                  <c:v>2.3924268502581753E-2</c:v>
                </c:pt>
                <c:pt idx="8">
                  <c:v>6.5920826161790014E-2</c:v>
                </c:pt>
                <c:pt idx="9">
                  <c:v>8.2099827882960413E-2</c:v>
                </c:pt>
                <c:pt idx="10">
                  <c:v>0.16110154905335627</c:v>
                </c:pt>
                <c:pt idx="11">
                  <c:v>0.23511187607573147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3F-417F-8B03-812DCB054BBB}"/>
            </c:ext>
          </c:extLst>
        </c:ser>
        <c:ser>
          <c:idx val="2"/>
          <c:order val="2"/>
          <c:tx>
            <c:strRef>
              <c:f>'Belo Horizonte'!$O$1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Horizonte'!$I$2:$I$14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Horizonte'!$O$2:$O$14</c:f>
              <c:numCache>
                <c:formatCode>0.000</c:formatCode>
                <c:ptCount val="13"/>
                <c:pt idx="0" formatCode="0.00">
                  <c:v>4.6339202965708991E-4</c:v>
                </c:pt>
                <c:pt idx="1">
                  <c:v>1.1584800741427249E-3</c:v>
                </c:pt>
                <c:pt idx="2">
                  <c:v>2.5486561631139944E-3</c:v>
                </c:pt>
                <c:pt idx="3">
                  <c:v>2.5486561631139944E-3</c:v>
                </c:pt>
                <c:pt idx="4">
                  <c:v>7.6459684893419831E-3</c:v>
                </c:pt>
                <c:pt idx="5">
                  <c:v>1.0889712696941611E-2</c:v>
                </c:pt>
                <c:pt idx="6">
                  <c:v>1.2743280815569972E-2</c:v>
                </c:pt>
                <c:pt idx="7">
                  <c:v>1.9462465245597776E-2</c:v>
                </c:pt>
                <c:pt idx="8">
                  <c:v>5.5607043558850787E-2</c:v>
                </c:pt>
                <c:pt idx="9">
                  <c:v>6.5338276181649668E-2</c:v>
                </c:pt>
                <c:pt idx="10">
                  <c:v>0.18605189990732157</c:v>
                </c:pt>
                <c:pt idx="11">
                  <c:v>0.25393883225208524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3F-417F-8B03-812DCB054BBB}"/>
            </c:ext>
          </c:extLst>
        </c:ser>
        <c:ser>
          <c:idx val="3"/>
          <c:order val="3"/>
          <c:tx>
            <c:strRef>
              <c:f>'Belo Horizonte'!$P$1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Horizonte'!$I$2:$I$14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Horizonte'!$P$2:$P$14</c:f>
              <c:numCache>
                <c:formatCode>0.000</c:formatCode>
                <c:ptCount val="13"/>
                <c:pt idx="0" formatCode="0.00">
                  <c:v>1.3239187996469551E-3</c:v>
                </c:pt>
                <c:pt idx="1">
                  <c:v>1.3239187996469551E-3</c:v>
                </c:pt>
                <c:pt idx="2">
                  <c:v>1.3239187996469551E-3</c:v>
                </c:pt>
                <c:pt idx="3">
                  <c:v>1.76522506619594E-3</c:v>
                </c:pt>
                <c:pt idx="4">
                  <c:v>7.5022065313327451E-3</c:v>
                </c:pt>
                <c:pt idx="5">
                  <c:v>1.500441306266549E-2</c:v>
                </c:pt>
                <c:pt idx="6">
                  <c:v>1.8093556928508385E-2</c:v>
                </c:pt>
                <c:pt idx="7">
                  <c:v>2.5595763459841131E-2</c:v>
                </c:pt>
                <c:pt idx="8">
                  <c:v>6.4430714916151807E-2</c:v>
                </c:pt>
                <c:pt idx="9">
                  <c:v>7.9876434245366279E-2</c:v>
                </c:pt>
                <c:pt idx="10">
                  <c:v>0.17299205648720212</c:v>
                </c:pt>
                <c:pt idx="11">
                  <c:v>0.24051191526919682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3F-417F-8B03-812DCB054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139344"/>
        <c:axId val="766136944"/>
      </c:scatterChart>
      <c:valAx>
        <c:axId val="76613934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6136944"/>
        <c:crosses val="autoZero"/>
        <c:crossBetween val="midCat"/>
      </c:valAx>
      <c:valAx>
        <c:axId val="7661369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6139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Betim!$J$1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Betim!$I$2:$I$14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Betim!$J$2:$J$14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42-485D-84FA-02F4E0811B3D}"/>
            </c:ext>
          </c:extLst>
        </c:ser>
        <c:ser>
          <c:idx val="1"/>
          <c:order val="1"/>
          <c:tx>
            <c:strRef>
              <c:f>Betim!$K$1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Betim!$I$2:$I$14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Betim!$K$2:$K$14</c:f>
              <c:numCache>
                <c:formatCode>0.00</c:formatCode>
                <c:ptCount val="13"/>
                <c:pt idx="0">
                  <c:v>4.11522633744856E-3</c:v>
                </c:pt>
                <c:pt idx="1">
                  <c:v>6.17283950617284E-3</c:v>
                </c:pt>
                <c:pt idx="2">
                  <c:v>1.2345679012345678E-2</c:v>
                </c:pt>
                <c:pt idx="3">
                  <c:v>2.2633744855967079E-2</c:v>
                </c:pt>
                <c:pt idx="4">
                  <c:v>3.0864197530864199E-2</c:v>
                </c:pt>
                <c:pt idx="5">
                  <c:v>4.3209876543209874E-2</c:v>
                </c:pt>
                <c:pt idx="6">
                  <c:v>0.10699588477366255</c:v>
                </c:pt>
                <c:pt idx="7">
                  <c:v>0.12551440329218105</c:v>
                </c:pt>
                <c:pt idx="8">
                  <c:v>0.1831275720164609</c:v>
                </c:pt>
                <c:pt idx="9">
                  <c:v>0.29629629629629628</c:v>
                </c:pt>
                <c:pt idx="10">
                  <c:v>0.30864197530864196</c:v>
                </c:pt>
                <c:pt idx="11">
                  <c:v>0.46913580246913578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42-485D-84FA-02F4E0811B3D}"/>
            </c:ext>
          </c:extLst>
        </c:ser>
        <c:ser>
          <c:idx val="2"/>
          <c:order val="2"/>
          <c:tx>
            <c:strRef>
              <c:f>Betim!$L$1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Betim!$I$2:$I$14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Betim!$L$2:$L$14</c:f>
              <c:numCache>
                <c:formatCode>0.00</c:formatCode>
                <c:ptCount val="13"/>
                <c:pt idx="0">
                  <c:v>1.7621145374449341E-2</c:v>
                </c:pt>
                <c:pt idx="1">
                  <c:v>3.0837004405286347E-2</c:v>
                </c:pt>
                <c:pt idx="2">
                  <c:v>3.9647577092511016E-2</c:v>
                </c:pt>
                <c:pt idx="3">
                  <c:v>5.7268722466960353E-2</c:v>
                </c:pt>
                <c:pt idx="4">
                  <c:v>8.3700440528634359E-2</c:v>
                </c:pt>
                <c:pt idx="5">
                  <c:v>0.10572687224669604</c:v>
                </c:pt>
                <c:pt idx="6">
                  <c:v>0.13656387665198239</c:v>
                </c:pt>
                <c:pt idx="7">
                  <c:v>0.1762114537444934</c:v>
                </c:pt>
                <c:pt idx="8">
                  <c:v>0.20264317180616742</c:v>
                </c:pt>
                <c:pt idx="9">
                  <c:v>0.32599118942731281</c:v>
                </c:pt>
                <c:pt idx="10">
                  <c:v>0.36563876651982385</c:v>
                </c:pt>
                <c:pt idx="11">
                  <c:v>0.50660792951541855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42-485D-84FA-02F4E0811B3D}"/>
            </c:ext>
          </c:extLst>
        </c:ser>
        <c:ser>
          <c:idx val="3"/>
          <c:order val="3"/>
          <c:tx>
            <c:strRef>
              <c:f>Betim!$M$1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Betim!$I$2:$I$14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Betim!$M$2:$M$14</c:f>
              <c:numCache>
                <c:formatCode>0.00</c:formatCode>
                <c:ptCount val="13"/>
                <c:pt idx="0">
                  <c:v>2.5380710659898475E-3</c:v>
                </c:pt>
                <c:pt idx="1">
                  <c:v>2.5380710659898475E-3</c:v>
                </c:pt>
                <c:pt idx="2">
                  <c:v>7.6142131979695426E-3</c:v>
                </c:pt>
                <c:pt idx="3">
                  <c:v>1.5228426395939087E-2</c:v>
                </c:pt>
                <c:pt idx="4">
                  <c:v>2.2842639593908629E-2</c:v>
                </c:pt>
                <c:pt idx="5">
                  <c:v>2.5380710659898477E-2</c:v>
                </c:pt>
                <c:pt idx="6">
                  <c:v>3.5532994923857864E-2</c:v>
                </c:pt>
                <c:pt idx="7">
                  <c:v>5.8375634517766492E-2</c:v>
                </c:pt>
                <c:pt idx="8">
                  <c:v>0.10659898477157359</c:v>
                </c:pt>
                <c:pt idx="9">
                  <c:v>0.22081218274111675</c:v>
                </c:pt>
                <c:pt idx="10">
                  <c:v>0.26649746192893398</c:v>
                </c:pt>
                <c:pt idx="11">
                  <c:v>0.31725888324873092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42-485D-84FA-02F4E0811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577232"/>
        <c:axId val="764579152"/>
      </c:scatterChart>
      <c:valAx>
        <c:axId val="7645772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579152"/>
        <c:crosses val="autoZero"/>
        <c:crossBetween val="midCat"/>
      </c:valAx>
      <c:valAx>
        <c:axId val="7645791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577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Betim!$J$1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Betim!$I$2:$I$14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Betim!$J$2:$J$14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0A-41D9-8CBF-06E9B1C64726}"/>
            </c:ext>
          </c:extLst>
        </c:ser>
        <c:ser>
          <c:idx val="1"/>
          <c:order val="1"/>
          <c:tx>
            <c:strRef>
              <c:f>Betim!$N$1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Betim!$I$2:$I$14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Betim!$N$2:$N$14</c:f>
              <c:numCache>
                <c:formatCode>0.00</c:formatCode>
                <c:ptCount val="13"/>
                <c:pt idx="0">
                  <c:v>4.0683482506102524E-3</c:v>
                </c:pt>
                <c:pt idx="1">
                  <c:v>4.0683482506102524E-3</c:v>
                </c:pt>
                <c:pt idx="2">
                  <c:v>9.7640358014646055E-3</c:v>
                </c:pt>
                <c:pt idx="3">
                  <c:v>1.4646053702196907E-2</c:v>
                </c:pt>
                <c:pt idx="4">
                  <c:v>1.7900732302685109E-2</c:v>
                </c:pt>
                <c:pt idx="5">
                  <c:v>2.034174125305126E-2</c:v>
                </c:pt>
                <c:pt idx="6">
                  <c:v>3.9056143205858422E-2</c:v>
                </c:pt>
                <c:pt idx="7">
                  <c:v>0.11228641171684295</c:v>
                </c:pt>
                <c:pt idx="8">
                  <c:v>0.14320585842148087</c:v>
                </c:pt>
                <c:pt idx="9">
                  <c:v>0.19202603742880389</c:v>
                </c:pt>
                <c:pt idx="10">
                  <c:v>0.20504475183075671</c:v>
                </c:pt>
                <c:pt idx="11">
                  <c:v>0.29536208299430433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0A-41D9-8CBF-06E9B1C64726}"/>
            </c:ext>
          </c:extLst>
        </c:ser>
        <c:ser>
          <c:idx val="2"/>
          <c:order val="2"/>
          <c:tx>
            <c:strRef>
              <c:f>Betim!$O$1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Betim!$I$2:$I$14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Betim!$O$2:$O$14</c:f>
              <c:numCache>
                <c:formatCode>0.00</c:formatCode>
                <c:ptCount val="13"/>
                <c:pt idx="0">
                  <c:v>7.18562874251497E-3</c:v>
                </c:pt>
                <c:pt idx="1">
                  <c:v>2.3952095808383232E-2</c:v>
                </c:pt>
                <c:pt idx="2">
                  <c:v>2.9940119760479042E-2</c:v>
                </c:pt>
                <c:pt idx="3">
                  <c:v>4.431137724550898E-2</c:v>
                </c:pt>
                <c:pt idx="4">
                  <c:v>5.2694610778443111E-2</c:v>
                </c:pt>
                <c:pt idx="5">
                  <c:v>7.3053892215568864E-2</c:v>
                </c:pt>
                <c:pt idx="6">
                  <c:v>9.580838323353294E-2</c:v>
                </c:pt>
                <c:pt idx="7">
                  <c:v>0.244311377245509</c:v>
                </c:pt>
                <c:pt idx="8">
                  <c:v>0.27664670658682639</c:v>
                </c:pt>
                <c:pt idx="9">
                  <c:v>0.34011976047904197</c:v>
                </c:pt>
                <c:pt idx="10">
                  <c:v>0.3664670658682635</c:v>
                </c:pt>
                <c:pt idx="11">
                  <c:v>0.54850299401197611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10A-41D9-8CBF-06E9B1C64726}"/>
            </c:ext>
          </c:extLst>
        </c:ser>
        <c:ser>
          <c:idx val="3"/>
          <c:order val="3"/>
          <c:tx>
            <c:strRef>
              <c:f>Betim!$P$1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Betim!$I$2:$I$14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Betim!$P$2:$P$14</c:f>
              <c:numCache>
                <c:formatCode>0.00</c:formatCode>
                <c:ptCount val="13"/>
                <c:pt idx="0">
                  <c:v>6.9444444444444441E-3</c:v>
                </c:pt>
                <c:pt idx="1">
                  <c:v>3.2407407407407406E-2</c:v>
                </c:pt>
                <c:pt idx="2">
                  <c:v>4.3981481481481483E-2</c:v>
                </c:pt>
                <c:pt idx="3">
                  <c:v>5.3240740740740741E-2</c:v>
                </c:pt>
                <c:pt idx="4">
                  <c:v>6.0185185185185189E-2</c:v>
                </c:pt>
                <c:pt idx="5">
                  <c:v>7.407407407407407E-2</c:v>
                </c:pt>
                <c:pt idx="6">
                  <c:v>9.722222222222221E-2</c:v>
                </c:pt>
                <c:pt idx="7">
                  <c:v>0.19444444444444442</c:v>
                </c:pt>
                <c:pt idx="8">
                  <c:v>0.26388888888888884</c:v>
                </c:pt>
                <c:pt idx="9">
                  <c:v>0.34953703703703698</c:v>
                </c:pt>
                <c:pt idx="10">
                  <c:v>0.39814814814814808</c:v>
                </c:pt>
                <c:pt idx="11">
                  <c:v>0.44212962962962954</c:v>
                </c:pt>
                <c:pt idx="12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0A-41D9-8CBF-06E9B1C64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333520"/>
        <c:axId val="893350320"/>
      </c:scatterChart>
      <c:valAx>
        <c:axId val="89333352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50320"/>
        <c:crosses val="autoZero"/>
        <c:crossBetween val="midCat"/>
      </c:valAx>
      <c:valAx>
        <c:axId val="8933503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33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Contagem!$J$1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Contagem!$I$2:$I$4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Contagem!$J$2:$J$4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87-4000-B74B-74123789E878}"/>
            </c:ext>
          </c:extLst>
        </c:ser>
        <c:ser>
          <c:idx val="1"/>
          <c:order val="1"/>
          <c:tx>
            <c:strRef>
              <c:f>Contagem!$K$1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Contagem!$I$2:$I$4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Contagem!$K$2:$K$4</c:f>
              <c:numCache>
                <c:formatCode>0.00</c:formatCode>
                <c:ptCount val="3"/>
                <c:pt idx="0">
                  <c:v>7.9365079365079361E-3</c:v>
                </c:pt>
                <c:pt idx="1">
                  <c:v>0.17687074829931973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87-4000-B74B-74123789E878}"/>
            </c:ext>
          </c:extLst>
        </c:ser>
        <c:ser>
          <c:idx val="2"/>
          <c:order val="2"/>
          <c:tx>
            <c:strRef>
              <c:f>Contagem!$L$1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Contagem!$I$2:$I$4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Contagem!$L$2:$L$4</c:f>
              <c:numCache>
                <c:formatCode>0.00</c:formatCode>
                <c:ptCount val="3"/>
                <c:pt idx="0">
                  <c:v>1.8404907975460124E-2</c:v>
                </c:pt>
                <c:pt idx="1">
                  <c:v>0.31595092024539878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87-4000-B74B-74123789E878}"/>
            </c:ext>
          </c:extLst>
        </c:ser>
        <c:ser>
          <c:idx val="3"/>
          <c:order val="3"/>
          <c:tx>
            <c:strRef>
              <c:f>Contagem!$M$1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Contagem!$I$2:$I$4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Contagem!$M$2:$M$4</c:f>
              <c:numCache>
                <c:formatCode>0.00</c:formatCode>
                <c:ptCount val="3"/>
                <c:pt idx="0">
                  <c:v>1.8808777429467086E-2</c:v>
                </c:pt>
                <c:pt idx="1">
                  <c:v>0.33228840125391851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87-4000-B74B-74123789E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366160"/>
        <c:axId val="893373360"/>
      </c:scatterChart>
      <c:valAx>
        <c:axId val="89336616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73360"/>
        <c:crosses val="autoZero"/>
        <c:crossBetween val="midCat"/>
      </c:valAx>
      <c:valAx>
        <c:axId val="8933733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66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Contagem!$J$1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Contagem!$I$2:$I$4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Contagem!$J$2:$J$4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EF-4686-8A60-E9EA35E78F4F}"/>
            </c:ext>
          </c:extLst>
        </c:ser>
        <c:ser>
          <c:idx val="1"/>
          <c:order val="1"/>
          <c:tx>
            <c:strRef>
              <c:f>Contagem!$N$1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Contagem!$I$2:$I$4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Contagem!$N$2:$N$4</c:f>
              <c:numCache>
                <c:formatCode>0.00</c:formatCode>
                <c:ptCount val="3"/>
                <c:pt idx="0">
                  <c:v>1.2056737588652482E-2</c:v>
                </c:pt>
                <c:pt idx="1">
                  <c:v>0.20070921985815601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EF-4686-8A60-E9EA35E78F4F}"/>
            </c:ext>
          </c:extLst>
        </c:ser>
        <c:ser>
          <c:idx val="2"/>
          <c:order val="2"/>
          <c:tx>
            <c:strRef>
              <c:f>Contagem!$O$1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Contagem!$I$2:$I$4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Contagem!$O$2:$O$4</c:f>
              <c:numCache>
                <c:formatCode>0.00</c:formatCode>
                <c:ptCount val="3"/>
                <c:pt idx="0">
                  <c:v>1.0092514718250631E-2</c:v>
                </c:pt>
                <c:pt idx="1">
                  <c:v>0.11942809083263246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EF-4686-8A60-E9EA35E78F4F}"/>
            </c:ext>
          </c:extLst>
        </c:ser>
        <c:ser>
          <c:idx val="3"/>
          <c:order val="3"/>
          <c:tx>
            <c:strRef>
              <c:f>Contagem!$P$1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Contagem!$I$2:$I$4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Contagem!$P$2:$P$4</c:f>
              <c:numCache>
                <c:formatCode>0.00</c:formatCode>
                <c:ptCount val="3"/>
                <c:pt idx="0">
                  <c:v>2.4353120243531201E-2</c:v>
                </c:pt>
                <c:pt idx="1">
                  <c:v>0.21004566210045661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EF-4686-8A60-E9EA35E78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63168"/>
        <c:axId val="562863648"/>
      </c:scatterChart>
      <c:valAx>
        <c:axId val="5628631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63648"/>
        <c:crosses val="autoZero"/>
        <c:crossBetween val="midCat"/>
      </c:valAx>
      <c:valAx>
        <c:axId val="5628636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63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Curvelo!$J$1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Curvelo!$I$2:$I$12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Curvelo!$J$2:$J$12</c:f>
              <c:numCache>
                <c:formatCode>0.00</c:formatCode>
                <c:ptCount val="11"/>
                <c:pt idx="0">
                  <c:v>1.16619943932719E-2</c:v>
                </c:pt>
                <c:pt idx="1">
                  <c:v>2.4546789480710159E-2</c:v>
                </c:pt>
                <c:pt idx="2">
                  <c:v>4.0800961153384038E-2</c:v>
                </c:pt>
                <c:pt idx="3">
                  <c:v>5.9874516085969803E-2</c:v>
                </c:pt>
                <c:pt idx="4">
                  <c:v>8.5681484448004247E-2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00-44B9-8BE9-FE87050ABDE6}"/>
            </c:ext>
          </c:extLst>
        </c:ser>
        <c:ser>
          <c:idx val="1"/>
          <c:order val="1"/>
          <c:tx>
            <c:strRef>
              <c:f>Curvelo!$K$1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Curvelo!$I$2:$I$12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Curvelo!$K$2:$K$12</c:f>
              <c:numCache>
                <c:formatCode>0.00</c:formatCode>
                <c:ptCount val="11"/>
                <c:pt idx="0">
                  <c:v>1.3793103448275862E-2</c:v>
                </c:pt>
                <c:pt idx="1">
                  <c:v>4.4827586206896551E-2</c:v>
                </c:pt>
                <c:pt idx="2">
                  <c:v>6.2068965517241378E-2</c:v>
                </c:pt>
                <c:pt idx="3">
                  <c:v>7.2413793103448282E-2</c:v>
                </c:pt>
                <c:pt idx="4">
                  <c:v>0.10344827586206898</c:v>
                </c:pt>
                <c:pt idx="5">
                  <c:v>0.1620689655172414</c:v>
                </c:pt>
                <c:pt idx="6">
                  <c:v>0.21379310344827587</c:v>
                </c:pt>
                <c:pt idx="7">
                  <c:v>0.30689655172413793</c:v>
                </c:pt>
                <c:pt idx="8">
                  <c:v>0.40689655172413797</c:v>
                </c:pt>
                <c:pt idx="9">
                  <c:v>0.59655172413793101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00-44B9-8BE9-FE87050ABDE6}"/>
            </c:ext>
          </c:extLst>
        </c:ser>
        <c:ser>
          <c:idx val="2"/>
          <c:order val="2"/>
          <c:tx>
            <c:strRef>
              <c:f>Curvelo!$L$1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Curvelo!$I$2:$I$12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Curvelo!$L$2:$L$12</c:f>
              <c:numCache>
                <c:formatCode>0.00</c:formatCode>
                <c:ptCount val="11"/>
                <c:pt idx="0">
                  <c:v>7.2992700729927005E-3</c:v>
                </c:pt>
                <c:pt idx="1">
                  <c:v>1.4598540145985401E-2</c:v>
                </c:pt>
                <c:pt idx="2">
                  <c:v>1.4598540145985401E-2</c:v>
                </c:pt>
                <c:pt idx="3">
                  <c:v>5.8394160583941604E-2</c:v>
                </c:pt>
                <c:pt idx="4">
                  <c:v>6.569343065693431E-2</c:v>
                </c:pt>
                <c:pt idx="5">
                  <c:v>0.13138686131386862</c:v>
                </c:pt>
                <c:pt idx="6">
                  <c:v>0.16058394160583941</c:v>
                </c:pt>
                <c:pt idx="7">
                  <c:v>0.20437956204379562</c:v>
                </c:pt>
                <c:pt idx="8">
                  <c:v>0.30656934306569344</c:v>
                </c:pt>
                <c:pt idx="9">
                  <c:v>0.43795620437956206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D00-44B9-8BE9-FE87050ABDE6}"/>
            </c:ext>
          </c:extLst>
        </c:ser>
        <c:ser>
          <c:idx val="3"/>
          <c:order val="3"/>
          <c:tx>
            <c:strRef>
              <c:f>Curvelo!$M$1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Curvelo!$I$2:$I$12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Curvelo!$M$2:$M$12</c:f>
              <c:numCache>
                <c:formatCode>0.00</c:formatCode>
                <c:ptCount val="11"/>
                <c:pt idx="0">
                  <c:v>2.1126760563380281E-2</c:v>
                </c:pt>
                <c:pt idx="1">
                  <c:v>2.1126760563380281E-2</c:v>
                </c:pt>
                <c:pt idx="2">
                  <c:v>2.8169014084507043E-2</c:v>
                </c:pt>
                <c:pt idx="3">
                  <c:v>5.6338028169014086E-2</c:v>
                </c:pt>
                <c:pt idx="4">
                  <c:v>9.8591549295774655E-2</c:v>
                </c:pt>
                <c:pt idx="5">
                  <c:v>0.13380281690140847</c:v>
                </c:pt>
                <c:pt idx="6">
                  <c:v>0.16901408450704228</c:v>
                </c:pt>
                <c:pt idx="7">
                  <c:v>0.20422535211267609</c:v>
                </c:pt>
                <c:pt idx="8">
                  <c:v>0.34507042253521131</c:v>
                </c:pt>
                <c:pt idx="9">
                  <c:v>0.41549295774647893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D00-44B9-8BE9-FE87050AB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356080"/>
        <c:axId val="893355600"/>
      </c:scatterChart>
      <c:valAx>
        <c:axId val="89335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55600"/>
        <c:crosses val="autoZero"/>
        <c:crossBetween val="midCat"/>
      </c:valAx>
      <c:valAx>
        <c:axId val="89335560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56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Curvelo!$J$1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Curvelo!$I$2:$I$12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Curvelo!$J$2:$J$12</c:f>
              <c:numCache>
                <c:formatCode>0.00</c:formatCode>
                <c:ptCount val="11"/>
                <c:pt idx="0">
                  <c:v>1.16619943932719E-2</c:v>
                </c:pt>
                <c:pt idx="1">
                  <c:v>2.4546789480710159E-2</c:v>
                </c:pt>
                <c:pt idx="2">
                  <c:v>4.0800961153384038E-2</c:v>
                </c:pt>
                <c:pt idx="3">
                  <c:v>5.9874516085969803E-2</c:v>
                </c:pt>
                <c:pt idx="4">
                  <c:v>8.5681484448004247E-2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23-45AC-B0DD-A9CAF7C6860A}"/>
            </c:ext>
          </c:extLst>
        </c:ser>
        <c:ser>
          <c:idx val="1"/>
          <c:order val="1"/>
          <c:tx>
            <c:strRef>
              <c:f>Curvelo!$N$1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Curvelo!$I$2:$I$12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Curvelo!$N$2:$N$12</c:f>
              <c:numCache>
                <c:formatCode>0.00</c:formatCode>
                <c:ptCount val="11"/>
                <c:pt idx="0">
                  <c:v>1.107011070110701E-2</c:v>
                </c:pt>
                <c:pt idx="1">
                  <c:v>5.5350553505535055E-2</c:v>
                </c:pt>
                <c:pt idx="2">
                  <c:v>8.1180811808118078E-2</c:v>
                </c:pt>
                <c:pt idx="3">
                  <c:v>0.14760147601476015</c:v>
                </c:pt>
                <c:pt idx="4">
                  <c:v>0.16974169741697417</c:v>
                </c:pt>
                <c:pt idx="5">
                  <c:v>0.2140221402214022</c:v>
                </c:pt>
                <c:pt idx="6">
                  <c:v>0.24354243542435422</c:v>
                </c:pt>
                <c:pt idx="7">
                  <c:v>0.28044280442804426</c:v>
                </c:pt>
                <c:pt idx="8">
                  <c:v>0.45387453874538741</c:v>
                </c:pt>
                <c:pt idx="9">
                  <c:v>0.60885608856088558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23-45AC-B0DD-A9CAF7C6860A}"/>
            </c:ext>
          </c:extLst>
        </c:ser>
        <c:ser>
          <c:idx val="2"/>
          <c:order val="2"/>
          <c:tx>
            <c:strRef>
              <c:f>Curvelo!$O$1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Curvelo!$I$2:$I$12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Curvelo!$O$2:$O$12</c:f>
              <c:numCache>
                <c:formatCode>0.00</c:formatCode>
                <c:ptCount val="11"/>
                <c:pt idx="0">
                  <c:v>1.5789473684210527E-2</c:v>
                </c:pt>
                <c:pt idx="1">
                  <c:v>3.6842105263157898E-2</c:v>
                </c:pt>
                <c:pt idx="2">
                  <c:v>8.9473684210526316E-2</c:v>
                </c:pt>
                <c:pt idx="3">
                  <c:v>0.11052631578947368</c:v>
                </c:pt>
                <c:pt idx="4">
                  <c:v>0.13157894736842105</c:v>
                </c:pt>
                <c:pt idx="5">
                  <c:v>0.17368421052631577</c:v>
                </c:pt>
                <c:pt idx="6">
                  <c:v>0.19999999999999998</c:v>
                </c:pt>
                <c:pt idx="7">
                  <c:v>0.24736842105263157</c:v>
                </c:pt>
                <c:pt idx="8">
                  <c:v>0.36315789473684212</c:v>
                </c:pt>
                <c:pt idx="9">
                  <c:v>0.53157894736842104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23-45AC-B0DD-A9CAF7C6860A}"/>
            </c:ext>
          </c:extLst>
        </c:ser>
        <c:ser>
          <c:idx val="3"/>
          <c:order val="3"/>
          <c:tx>
            <c:strRef>
              <c:f>Curvelo!$P$1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Curvelo!$I$2:$I$12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Curvelo!$P$2:$P$12</c:f>
              <c:numCache>
                <c:formatCode>0.00</c:formatCode>
                <c:ptCount val="11"/>
                <c:pt idx="0">
                  <c:v>2.3809523809523808E-2</c:v>
                </c:pt>
                <c:pt idx="1">
                  <c:v>6.3492063492063489E-2</c:v>
                </c:pt>
                <c:pt idx="2">
                  <c:v>9.5238095238095233E-2</c:v>
                </c:pt>
                <c:pt idx="3">
                  <c:v>0.12698412698412698</c:v>
                </c:pt>
                <c:pt idx="4">
                  <c:v>0.16666666666666666</c:v>
                </c:pt>
                <c:pt idx="5">
                  <c:v>0.20634920634920634</c:v>
                </c:pt>
                <c:pt idx="6">
                  <c:v>0.23015873015873015</c:v>
                </c:pt>
                <c:pt idx="7">
                  <c:v>0.2857142857142857</c:v>
                </c:pt>
                <c:pt idx="8">
                  <c:v>0.37301587301587302</c:v>
                </c:pt>
                <c:pt idx="9">
                  <c:v>0.58730158730158732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23-45AC-B0DD-A9CAF7C68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155568"/>
        <c:axId val="627167568"/>
      </c:scatterChart>
      <c:valAx>
        <c:axId val="6271555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7167568"/>
        <c:crosses val="autoZero"/>
        <c:crossBetween val="midCat"/>
      </c:valAx>
      <c:valAx>
        <c:axId val="6271675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7155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Guanhães!$J$1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Guanhães!$I$2:$I$10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Guanhães!$J$2:$J$10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FC-47D7-AB7E-F30127459873}"/>
            </c:ext>
          </c:extLst>
        </c:ser>
        <c:ser>
          <c:idx val="1"/>
          <c:order val="1"/>
          <c:tx>
            <c:strRef>
              <c:f>Guanhães!$K$1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Guanhães!$I$2:$I$10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Guanhães!$K$2:$K$10</c:f>
              <c:numCache>
                <c:formatCode>0.00</c:formatCode>
                <c:ptCount val="9"/>
                <c:pt idx="0">
                  <c:v>9.8360655737704916E-2</c:v>
                </c:pt>
                <c:pt idx="1">
                  <c:v>0.11475409836065574</c:v>
                </c:pt>
                <c:pt idx="2">
                  <c:v>0.16393442622950821</c:v>
                </c:pt>
                <c:pt idx="3">
                  <c:v>0.24590163934426229</c:v>
                </c:pt>
                <c:pt idx="4">
                  <c:v>0.32786885245901637</c:v>
                </c:pt>
                <c:pt idx="5">
                  <c:v>0.49180327868852458</c:v>
                </c:pt>
                <c:pt idx="6">
                  <c:v>0.52459016393442626</c:v>
                </c:pt>
                <c:pt idx="7">
                  <c:v>0.63934426229508201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FC-47D7-AB7E-F30127459873}"/>
            </c:ext>
          </c:extLst>
        </c:ser>
        <c:ser>
          <c:idx val="2"/>
          <c:order val="2"/>
          <c:tx>
            <c:strRef>
              <c:f>Guanhães!$L$1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Guanhães!$I$2:$I$10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Guanhães!$L$2:$L$10</c:f>
              <c:numCache>
                <c:formatCode>0.00</c:formatCode>
                <c:ptCount val="9"/>
                <c:pt idx="0">
                  <c:v>0</c:v>
                </c:pt>
                <c:pt idx="1">
                  <c:v>2.564102564102564E-2</c:v>
                </c:pt>
                <c:pt idx="2">
                  <c:v>7.6923076923076927E-2</c:v>
                </c:pt>
                <c:pt idx="3">
                  <c:v>0.15384615384615385</c:v>
                </c:pt>
                <c:pt idx="4">
                  <c:v>0.20512820512820512</c:v>
                </c:pt>
                <c:pt idx="5">
                  <c:v>0.30769230769230771</c:v>
                </c:pt>
                <c:pt idx="6">
                  <c:v>0.35897435897435898</c:v>
                </c:pt>
                <c:pt idx="7">
                  <c:v>0.51282051282051277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FC-47D7-AB7E-F30127459873}"/>
            </c:ext>
          </c:extLst>
        </c:ser>
        <c:ser>
          <c:idx val="3"/>
          <c:order val="3"/>
          <c:tx>
            <c:strRef>
              <c:f>Guanhães!$M$1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Guanhães!$I$2:$I$10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Guanhães!$M$2:$M$10</c:f>
              <c:numCache>
                <c:formatCode>0.00</c:formatCode>
                <c:ptCount val="9"/>
                <c:pt idx="0">
                  <c:v>0</c:v>
                </c:pt>
                <c:pt idx="1">
                  <c:v>2.1276595744680851E-2</c:v>
                </c:pt>
                <c:pt idx="2">
                  <c:v>4.2553191489361701E-2</c:v>
                </c:pt>
                <c:pt idx="3">
                  <c:v>4.2553191489361701E-2</c:v>
                </c:pt>
                <c:pt idx="4">
                  <c:v>6.3829787234042548E-2</c:v>
                </c:pt>
                <c:pt idx="5">
                  <c:v>0.1702127659574468</c:v>
                </c:pt>
                <c:pt idx="6">
                  <c:v>0.27659574468085107</c:v>
                </c:pt>
                <c:pt idx="7">
                  <c:v>0.65957446808510634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FC-47D7-AB7E-F30127459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210384"/>
        <c:axId val="2055201264"/>
      </c:scatterChart>
      <c:valAx>
        <c:axId val="20552103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01264"/>
        <c:crosses val="autoZero"/>
        <c:crossBetween val="midCat"/>
      </c:valAx>
      <c:valAx>
        <c:axId val="205520126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1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Guanhães!$J$1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Guanhães!$I$2:$I$10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Guanhães!$J$2:$J$10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AD-4376-85DF-67645756760E}"/>
            </c:ext>
          </c:extLst>
        </c:ser>
        <c:ser>
          <c:idx val="1"/>
          <c:order val="1"/>
          <c:tx>
            <c:strRef>
              <c:f>Guanhães!$N$1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Guanhães!$I$2:$I$10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Guanhães!$N$2:$N$10</c:f>
              <c:numCache>
                <c:formatCode>0.00</c:formatCode>
                <c:ptCount val="9"/>
                <c:pt idx="0">
                  <c:v>3.0303030303030304E-2</c:v>
                </c:pt>
                <c:pt idx="1">
                  <c:v>7.575757575757576E-2</c:v>
                </c:pt>
                <c:pt idx="2">
                  <c:v>0.12878787878787878</c:v>
                </c:pt>
                <c:pt idx="3">
                  <c:v>0.13636363636363635</c:v>
                </c:pt>
                <c:pt idx="4">
                  <c:v>0.15151515151515149</c:v>
                </c:pt>
                <c:pt idx="5">
                  <c:v>0.29545454545454541</c:v>
                </c:pt>
                <c:pt idx="6">
                  <c:v>0.40151515151515149</c:v>
                </c:pt>
                <c:pt idx="7">
                  <c:v>0.51515151515151514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AD-4376-85DF-67645756760E}"/>
            </c:ext>
          </c:extLst>
        </c:ser>
        <c:ser>
          <c:idx val="2"/>
          <c:order val="2"/>
          <c:tx>
            <c:strRef>
              <c:f>Guanhães!$O$1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Guanhães!$I$2:$I$10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Guanhães!$O$2:$O$10</c:f>
              <c:numCache>
                <c:formatCode>0.00</c:formatCode>
                <c:ptCount val="9"/>
                <c:pt idx="0">
                  <c:v>0</c:v>
                </c:pt>
                <c:pt idx="1">
                  <c:v>1.0101010101010102E-2</c:v>
                </c:pt>
                <c:pt idx="2">
                  <c:v>6.0606060606060608E-2</c:v>
                </c:pt>
                <c:pt idx="3">
                  <c:v>0.10101010101010102</c:v>
                </c:pt>
                <c:pt idx="4">
                  <c:v>0.13131313131313133</c:v>
                </c:pt>
                <c:pt idx="5">
                  <c:v>0.37373737373737376</c:v>
                </c:pt>
                <c:pt idx="6">
                  <c:v>0.41414141414141414</c:v>
                </c:pt>
                <c:pt idx="7">
                  <c:v>0.55555555555555558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AD-4376-85DF-67645756760E}"/>
            </c:ext>
          </c:extLst>
        </c:ser>
        <c:ser>
          <c:idx val="3"/>
          <c:order val="3"/>
          <c:tx>
            <c:strRef>
              <c:f>Guanhães!$P$1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Guanhães!$I$2:$I$10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Guanhães!$P$2:$P$10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6.0606060606060608E-2</c:v>
                </c:pt>
                <c:pt idx="3">
                  <c:v>0.19696969696969696</c:v>
                </c:pt>
                <c:pt idx="4">
                  <c:v>0.25757575757575757</c:v>
                </c:pt>
                <c:pt idx="5">
                  <c:v>0.39393939393939392</c:v>
                </c:pt>
                <c:pt idx="6">
                  <c:v>0.45454545454545453</c:v>
                </c:pt>
                <c:pt idx="7">
                  <c:v>0.59090909090909083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AD-4376-85DF-676457567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63856"/>
        <c:axId val="923850416"/>
      </c:scatterChart>
      <c:valAx>
        <c:axId val="9238638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850416"/>
        <c:crosses val="autoZero"/>
        <c:crossBetween val="midCat"/>
      </c:valAx>
      <c:valAx>
        <c:axId val="92385041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863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Itabira!$J$1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Itabira!$I$2:$I$14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Itabira!$J$2:$J$14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89-4274-9D76-1EBD3252E9EE}"/>
            </c:ext>
          </c:extLst>
        </c:ser>
        <c:ser>
          <c:idx val="1"/>
          <c:order val="1"/>
          <c:tx>
            <c:strRef>
              <c:f>Itabira!$K$1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Itabira!$I$2:$I$14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Itabira!$K$2:$K$14</c:f>
              <c:numCache>
                <c:formatCode>0.00</c:formatCode>
                <c:ptCount val="13"/>
                <c:pt idx="0">
                  <c:v>7.6335877862595417E-3</c:v>
                </c:pt>
                <c:pt idx="1">
                  <c:v>2.5445292620865138E-2</c:v>
                </c:pt>
                <c:pt idx="2">
                  <c:v>5.5979643765903309E-2</c:v>
                </c:pt>
                <c:pt idx="3">
                  <c:v>6.3613231552162849E-2</c:v>
                </c:pt>
                <c:pt idx="4">
                  <c:v>8.3969465648854963E-2</c:v>
                </c:pt>
                <c:pt idx="5">
                  <c:v>9.4147582697201027E-2</c:v>
                </c:pt>
                <c:pt idx="6">
                  <c:v>9.9236641221374058E-2</c:v>
                </c:pt>
                <c:pt idx="7">
                  <c:v>0.12213740458015268</c:v>
                </c:pt>
                <c:pt idx="8">
                  <c:v>0.2340966921119593</c:v>
                </c:pt>
                <c:pt idx="9">
                  <c:v>0.25190839694656492</c:v>
                </c:pt>
                <c:pt idx="10">
                  <c:v>0.36895674300254455</c:v>
                </c:pt>
                <c:pt idx="11">
                  <c:v>0.4274809160305344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89-4274-9D76-1EBD3252E9EE}"/>
            </c:ext>
          </c:extLst>
        </c:ser>
        <c:ser>
          <c:idx val="2"/>
          <c:order val="2"/>
          <c:tx>
            <c:strRef>
              <c:f>Itabira!$L$1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Itabira!$I$2:$I$14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Itabira!$L$2:$L$14</c:f>
              <c:numCache>
                <c:formatCode>0.00</c:formatCode>
                <c:ptCount val="13"/>
                <c:pt idx="0">
                  <c:v>8.4033613445378148E-3</c:v>
                </c:pt>
                <c:pt idx="1">
                  <c:v>8.4033613445378148E-3</c:v>
                </c:pt>
                <c:pt idx="2">
                  <c:v>1.680672268907563E-2</c:v>
                </c:pt>
                <c:pt idx="3">
                  <c:v>1.680672268907563E-2</c:v>
                </c:pt>
                <c:pt idx="4">
                  <c:v>1.680672268907563E-2</c:v>
                </c:pt>
                <c:pt idx="5">
                  <c:v>2.5210084033613446E-2</c:v>
                </c:pt>
                <c:pt idx="6">
                  <c:v>4.2016806722689079E-2</c:v>
                </c:pt>
                <c:pt idx="7">
                  <c:v>7.5630252100840345E-2</c:v>
                </c:pt>
                <c:pt idx="8">
                  <c:v>0.1092436974789916</c:v>
                </c:pt>
                <c:pt idx="9">
                  <c:v>0.1092436974789916</c:v>
                </c:pt>
                <c:pt idx="10">
                  <c:v>0.37815126050420167</c:v>
                </c:pt>
                <c:pt idx="11">
                  <c:v>0.50420168067226889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89-4274-9D76-1EBD3252E9EE}"/>
            </c:ext>
          </c:extLst>
        </c:ser>
        <c:ser>
          <c:idx val="3"/>
          <c:order val="3"/>
          <c:tx>
            <c:strRef>
              <c:f>Itabira!$M$1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Itabira!$I$2:$I$14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Itabira!$M$2:$M$14</c:f>
              <c:numCache>
                <c:formatCode>0.00</c:formatCode>
                <c:ptCount val="13"/>
                <c:pt idx="0">
                  <c:v>8.1967213114754103E-3</c:v>
                </c:pt>
                <c:pt idx="1">
                  <c:v>8.1967213114754103E-3</c:v>
                </c:pt>
                <c:pt idx="2">
                  <c:v>8.1967213114754103E-3</c:v>
                </c:pt>
                <c:pt idx="3">
                  <c:v>1.6393442622950821E-2</c:v>
                </c:pt>
                <c:pt idx="4">
                  <c:v>1.6393442622950821E-2</c:v>
                </c:pt>
                <c:pt idx="5">
                  <c:v>1.6393442622950821E-2</c:v>
                </c:pt>
                <c:pt idx="6">
                  <c:v>4.9180327868852458E-2</c:v>
                </c:pt>
                <c:pt idx="7">
                  <c:v>8.1967213114754106E-2</c:v>
                </c:pt>
                <c:pt idx="8">
                  <c:v>9.0163934426229511E-2</c:v>
                </c:pt>
                <c:pt idx="9">
                  <c:v>9.0163934426229511E-2</c:v>
                </c:pt>
                <c:pt idx="10">
                  <c:v>0.26229508196721313</c:v>
                </c:pt>
                <c:pt idx="11">
                  <c:v>0.40163934426229508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89-4274-9D76-1EBD3252E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450432"/>
        <c:axId val="618434112"/>
      </c:scatterChart>
      <c:valAx>
        <c:axId val="6184504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434112"/>
        <c:crosses val="autoZero"/>
        <c:crossBetween val="midCat"/>
      </c:valAx>
      <c:valAx>
        <c:axId val="61843411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45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Itabira!$J$1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Itabira!$I$2:$I$14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Itabira!$J$2:$J$14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AC-43AD-8550-C889620817D8}"/>
            </c:ext>
          </c:extLst>
        </c:ser>
        <c:ser>
          <c:idx val="1"/>
          <c:order val="1"/>
          <c:tx>
            <c:strRef>
              <c:f>Itabira!$N$1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Itabira!$I$2:$I$14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Itabira!$N$2:$N$14</c:f>
              <c:numCache>
                <c:formatCode>0.00</c:formatCode>
                <c:ptCount val="13"/>
                <c:pt idx="0">
                  <c:v>5.4054054054054057E-3</c:v>
                </c:pt>
                <c:pt idx="1">
                  <c:v>5.4054054054054057E-3</c:v>
                </c:pt>
                <c:pt idx="2">
                  <c:v>1.0810810810810811E-2</c:v>
                </c:pt>
                <c:pt idx="3">
                  <c:v>1.0810810810810811E-2</c:v>
                </c:pt>
                <c:pt idx="4">
                  <c:v>1.3513513513513514E-2</c:v>
                </c:pt>
                <c:pt idx="5">
                  <c:v>2.1621621621621623E-2</c:v>
                </c:pt>
                <c:pt idx="6">
                  <c:v>4.3243243243243246E-2</c:v>
                </c:pt>
                <c:pt idx="7">
                  <c:v>8.6486486486486491E-2</c:v>
                </c:pt>
                <c:pt idx="8">
                  <c:v>0.12432432432432433</c:v>
                </c:pt>
                <c:pt idx="9">
                  <c:v>0.12972972972972974</c:v>
                </c:pt>
                <c:pt idx="10">
                  <c:v>0.25945945945945947</c:v>
                </c:pt>
                <c:pt idx="11">
                  <c:v>0.38918918918918921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AC-43AD-8550-C889620817D8}"/>
            </c:ext>
          </c:extLst>
        </c:ser>
        <c:ser>
          <c:idx val="2"/>
          <c:order val="2"/>
          <c:tx>
            <c:strRef>
              <c:f>Itabira!$O$1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Itabira!$I$2:$I$14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Itabira!$O$2:$O$14</c:f>
              <c:numCache>
                <c:formatCode>0.00</c:formatCode>
                <c:ptCount val="13"/>
                <c:pt idx="0">
                  <c:v>0</c:v>
                </c:pt>
                <c:pt idx="1">
                  <c:v>4.0000000000000001E-3</c:v>
                </c:pt>
                <c:pt idx="2">
                  <c:v>0.02</c:v>
                </c:pt>
                <c:pt idx="3">
                  <c:v>0.02</c:v>
                </c:pt>
                <c:pt idx="4">
                  <c:v>4.8000000000000001E-2</c:v>
                </c:pt>
                <c:pt idx="5">
                  <c:v>4.8000000000000001E-2</c:v>
                </c:pt>
                <c:pt idx="6">
                  <c:v>7.2000000000000008E-2</c:v>
                </c:pt>
                <c:pt idx="7">
                  <c:v>0.11200000000000002</c:v>
                </c:pt>
                <c:pt idx="8">
                  <c:v>0.13200000000000001</c:v>
                </c:pt>
                <c:pt idx="9">
                  <c:v>0.18</c:v>
                </c:pt>
                <c:pt idx="10">
                  <c:v>0.312</c:v>
                </c:pt>
                <c:pt idx="11">
                  <c:v>0.44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AC-43AD-8550-C889620817D8}"/>
            </c:ext>
          </c:extLst>
        </c:ser>
        <c:ser>
          <c:idx val="3"/>
          <c:order val="3"/>
          <c:tx>
            <c:strRef>
              <c:f>Itabira!$P$1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Itabira!$I$2:$I$14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Itabira!$P$2:$P$14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1.7857142857142856E-2</c:v>
                </c:pt>
                <c:pt idx="3">
                  <c:v>1.7857142857142856E-2</c:v>
                </c:pt>
                <c:pt idx="4">
                  <c:v>3.5714285714285712E-2</c:v>
                </c:pt>
                <c:pt idx="5">
                  <c:v>4.4642857142857137E-2</c:v>
                </c:pt>
                <c:pt idx="6">
                  <c:v>7.1428571428571425E-2</c:v>
                </c:pt>
                <c:pt idx="7">
                  <c:v>9.8214285714285712E-2</c:v>
                </c:pt>
                <c:pt idx="8">
                  <c:v>0.14285714285714285</c:v>
                </c:pt>
                <c:pt idx="9">
                  <c:v>0.15178571428571427</c:v>
                </c:pt>
                <c:pt idx="10">
                  <c:v>0.3482142857142857</c:v>
                </c:pt>
                <c:pt idx="11">
                  <c:v>0.4464285714285714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5AC-43AD-8550-C88962081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53296"/>
        <c:axId val="923863856"/>
      </c:scatterChart>
      <c:valAx>
        <c:axId val="9238532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863856"/>
        <c:crosses val="autoZero"/>
        <c:crossBetween val="midCat"/>
      </c:valAx>
      <c:valAx>
        <c:axId val="9238638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853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 Monlevade'!$J$1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 Monlevade'!$I$2:$I$5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Monlevade'!$J$2:$J$5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CD-4971-AAC3-4FE020712805}"/>
            </c:ext>
          </c:extLst>
        </c:ser>
        <c:ser>
          <c:idx val="1"/>
          <c:order val="1"/>
          <c:tx>
            <c:strRef>
              <c:f>'J Monlevade'!$K$1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 Monlevade'!$I$2:$I$5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Monlevade'!$K$2:$K$5</c:f>
              <c:numCache>
                <c:formatCode>0.00</c:formatCode>
                <c:ptCount val="4"/>
                <c:pt idx="0">
                  <c:v>9.8214285714285712E-2</c:v>
                </c:pt>
                <c:pt idx="1">
                  <c:v>0.30357142857142855</c:v>
                </c:pt>
                <c:pt idx="2">
                  <c:v>0.45535714285714279</c:v>
                </c:pt>
                <c:pt idx="3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CD-4971-AAC3-4FE020712805}"/>
            </c:ext>
          </c:extLst>
        </c:ser>
        <c:ser>
          <c:idx val="2"/>
          <c:order val="2"/>
          <c:tx>
            <c:strRef>
              <c:f>'J Monlevade'!$L$1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 Monlevade'!$I$2:$I$5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Monlevade'!$L$2:$L$5</c:f>
              <c:numCache>
                <c:formatCode>0.00</c:formatCode>
                <c:ptCount val="4"/>
                <c:pt idx="0">
                  <c:v>0.17741935483870969</c:v>
                </c:pt>
                <c:pt idx="1">
                  <c:v>0.25806451612903225</c:v>
                </c:pt>
                <c:pt idx="2">
                  <c:v>0.35483870967741937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CD-4971-AAC3-4FE020712805}"/>
            </c:ext>
          </c:extLst>
        </c:ser>
        <c:ser>
          <c:idx val="3"/>
          <c:order val="3"/>
          <c:tx>
            <c:strRef>
              <c:f>'J Monlevade'!$M$1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 Monlevade'!$I$2:$I$5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Monlevade'!$M$2:$M$5</c:f>
              <c:numCache>
                <c:formatCode>0.00</c:formatCode>
                <c:ptCount val="4"/>
                <c:pt idx="0">
                  <c:v>0.11627906976744186</c:v>
                </c:pt>
                <c:pt idx="1">
                  <c:v>0.20930232558139533</c:v>
                </c:pt>
                <c:pt idx="2">
                  <c:v>0.2558139534883721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CD-4971-AAC3-4FE020712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524144"/>
        <c:axId val="655540944"/>
      </c:scatterChart>
      <c:valAx>
        <c:axId val="65552414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40944"/>
        <c:crosses val="autoZero"/>
        <c:crossBetween val="midCat"/>
      </c:valAx>
      <c:valAx>
        <c:axId val="6555409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24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 Monlevade'!$J$1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 Monlevade'!$I$2:$I$5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Monlevade'!$J$2:$J$5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0E-451D-8367-8951B58BE445}"/>
            </c:ext>
          </c:extLst>
        </c:ser>
        <c:ser>
          <c:idx val="1"/>
          <c:order val="1"/>
          <c:tx>
            <c:strRef>
              <c:f>'J Monlevade'!$N$1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 Monlevade'!$I$2:$I$5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Monlevade'!$N$2:$N$5</c:f>
              <c:numCache>
                <c:formatCode>0.00</c:formatCode>
                <c:ptCount val="4"/>
                <c:pt idx="0">
                  <c:v>0.23076923076923078</c:v>
                </c:pt>
                <c:pt idx="1">
                  <c:v>0.32051282051282054</c:v>
                </c:pt>
                <c:pt idx="2">
                  <c:v>0.44871794871794873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0E-451D-8367-8951B58BE445}"/>
            </c:ext>
          </c:extLst>
        </c:ser>
        <c:ser>
          <c:idx val="2"/>
          <c:order val="2"/>
          <c:tx>
            <c:strRef>
              <c:f>'J Monlevade'!$O$1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 Monlevade'!$I$2:$I$5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Monlevade'!$O$2:$O$5</c:f>
              <c:numCache>
                <c:formatCode>0.00</c:formatCode>
                <c:ptCount val="4"/>
                <c:pt idx="0">
                  <c:v>0.10294117647058823</c:v>
                </c:pt>
                <c:pt idx="1">
                  <c:v>0.38235294117647056</c:v>
                </c:pt>
                <c:pt idx="2">
                  <c:v>0.41176470588235292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0E-451D-8367-8951B58BE445}"/>
            </c:ext>
          </c:extLst>
        </c:ser>
        <c:ser>
          <c:idx val="3"/>
          <c:order val="3"/>
          <c:tx>
            <c:strRef>
              <c:f>'J Monlevade'!$P$1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 Monlevade'!$I$2:$I$5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Monlevade'!$P$2:$P$5</c:f>
              <c:numCache>
                <c:formatCode>0.00</c:formatCode>
                <c:ptCount val="4"/>
                <c:pt idx="0">
                  <c:v>0.14285714285714285</c:v>
                </c:pt>
                <c:pt idx="1">
                  <c:v>0.54285714285714293</c:v>
                </c:pt>
                <c:pt idx="2">
                  <c:v>0.65714285714285725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D0E-451D-8367-8951B58BE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64336"/>
        <c:axId val="923856656"/>
      </c:scatterChart>
      <c:valAx>
        <c:axId val="92386433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856656"/>
        <c:crosses val="autoZero"/>
        <c:crossBetween val="midCat"/>
      </c:valAx>
      <c:valAx>
        <c:axId val="9238566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864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'Ouro Preto'!$J$1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'Ouro Preto'!$I$2:$I$4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Preto'!$J$2:$J$4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18-4FCF-B022-439929B2A3FF}"/>
            </c:ext>
          </c:extLst>
        </c:ser>
        <c:ser>
          <c:idx val="1"/>
          <c:order val="1"/>
          <c:tx>
            <c:strRef>
              <c:f>'Ouro Preto'!$K$1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'Ouro Preto'!$I$2:$I$4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Preto'!$K$2:$K$4</c:f>
              <c:numCache>
                <c:formatCode>0.00</c:formatCode>
                <c:ptCount val="3"/>
                <c:pt idx="0">
                  <c:v>0.35398230088495575</c:v>
                </c:pt>
                <c:pt idx="1">
                  <c:v>0.61504424778761058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18-4FCF-B022-439929B2A3FF}"/>
            </c:ext>
          </c:extLst>
        </c:ser>
        <c:ser>
          <c:idx val="2"/>
          <c:order val="2"/>
          <c:tx>
            <c:strRef>
              <c:f>'Ouro Preto'!$L$1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'Ouro Preto'!$I$2:$I$4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Preto'!$L$2:$L$4</c:f>
              <c:numCache>
                <c:formatCode>0.00</c:formatCode>
                <c:ptCount val="3"/>
                <c:pt idx="0">
                  <c:v>0.24516129032258063</c:v>
                </c:pt>
                <c:pt idx="1">
                  <c:v>0.49677419354838703</c:v>
                </c:pt>
                <c:pt idx="2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18-4FCF-B022-439929B2A3FF}"/>
            </c:ext>
          </c:extLst>
        </c:ser>
        <c:ser>
          <c:idx val="3"/>
          <c:order val="3"/>
          <c:tx>
            <c:strRef>
              <c:f>'Ouro Preto'!$M$1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'Ouro Preto'!$I$2:$I$4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Preto'!$M$2:$M$4</c:f>
              <c:numCache>
                <c:formatCode>0.00</c:formatCode>
                <c:ptCount val="3"/>
                <c:pt idx="0">
                  <c:v>2.564102564102564E-2</c:v>
                </c:pt>
                <c:pt idx="1">
                  <c:v>0.30769230769230771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18-4FCF-B022-439929B2A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101904"/>
        <c:axId val="766103824"/>
      </c:scatterChart>
      <c:valAx>
        <c:axId val="7661019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6103824"/>
        <c:crosses val="autoZero"/>
        <c:crossBetween val="midCat"/>
      </c:valAx>
      <c:valAx>
        <c:axId val="7661038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6101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'Ouro Preto'!$J$1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'Ouro Preto'!$I$2:$I$4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Preto'!$J$2:$J$4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5E-4CCF-82CC-2D534D3BAB84}"/>
            </c:ext>
          </c:extLst>
        </c:ser>
        <c:ser>
          <c:idx val="1"/>
          <c:order val="1"/>
          <c:tx>
            <c:strRef>
              <c:f>'Ouro Preto'!$N$1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'Ouro Preto'!$I$2:$I$4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Preto'!$N$2:$N$4</c:f>
              <c:numCache>
                <c:formatCode>0.00</c:formatCode>
                <c:ptCount val="3"/>
                <c:pt idx="0">
                  <c:v>0.22222222222222221</c:v>
                </c:pt>
                <c:pt idx="1">
                  <c:v>0.46666666666666667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5E-4CCF-82CC-2D534D3BAB84}"/>
            </c:ext>
          </c:extLst>
        </c:ser>
        <c:ser>
          <c:idx val="2"/>
          <c:order val="2"/>
          <c:tx>
            <c:strRef>
              <c:f>'Ouro Preto'!$O$1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'Ouro Preto'!$I$2:$I$4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Preto'!$O$2:$O$4</c:f>
              <c:numCache>
                <c:formatCode>0.00</c:formatCode>
                <c:ptCount val="3"/>
                <c:pt idx="0">
                  <c:v>0.38071065989847713</c:v>
                </c:pt>
                <c:pt idx="1">
                  <c:v>0.60406091370558368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5E-4CCF-82CC-2D534D3BAB84}"/>
            </c:ext>
          </c:extLst>
        </c:ser>
        <c:ser>
          <c:idx val="3"/>
          <c:order val="3"/>
          <c:tx>
            <c:strRef>
              <c:f>'Ouro Preto'!$P$1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'Ouro Preto'!$I$2:$I$4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Preto'!$P$2:$P$4</c:f>
              <c:numCache>
                <c:formatCode>0.00</c:formatCode>
                <c:ptCount val="3"/>
                <c:pt idx="0">
                  <c:v>0.41666666666666669</c:v>
                </c:pt>
                <c:pt idx="1">
                  <c:v>0.5625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5E-4CCF-82CC-2D534D3BA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110192"/>
        <c:axId val="525115472"/>
      </c:scatterChart>
      <c:valAx>
        <c:axId val="5251101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15472"/>
        <c:crosses val="autoZero"/>
        <c:crossBetween val="midCat"/>
      </c:valAx>
      <c:valAx>
        <c:axId val="5251154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1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'Sete Lagoas'!$J$1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'Sete Lagoas'!$I$2:$I$25</c:f>
              <c:numCache>
                <c:formatCode>0.00</c:formatCode>
                <c:ptCount val="24"/>
                <c:pt idx="0">
                  <c:v>2.5259791463947689E-3</c:v>
                </c:pt>
                <c:pt idx="1">
                  <c:v>7.7097276555179468E-3</c:v>
                </c:pt>
                <c:pt idx="2">
                  <c:v>1.3161449604519527E-2</c:v>
                </c:pt>
                <c:pt idx="3">
                  <c:v>1.9720209370723683E-2</c:v>
                </c:pt>
                <c:pt idx="4">
                  <c:v>2.7583692278630875E-2</c:v>
                </c:pt>
                <c:pt idx="5">
                  <c:v>3.5497694769465966E-2</c:v>
                </c:pt>
                <c:pt idx="6">
                  <c:v>4.5236991756521974E-2</c:v>
                </c:pt>
                <c:pt idx="7">
                  <c:v>5.4989467765211339E-2</c:v>
                </c:pt>
                <c:pt idx="8">
                  <c:v>6.4779284335195239E-2</c:v>
                </c:pt>
                <c:pt idx="9">
                  <c:v>7.6207692594927393E-2</c:v>
                </c:pt>
                <c:pt idx="10">
                  <c:v>9.0159883497448759E-2</c:v>
                </c:pt>
                <c:pt idx="11">
                  <c:v>0.10671712767616508</c:v>
                </c:pt>
                <c:pt idx="12">
                  <c:v>0.12380592572742707</c:v>
                </c:pt>
                <c:pt idx="13">
                  <c:v>0.14162615947934076</c:v>
                </c:pt>
                <c:pt idx="14">
                  <c:v>0.16118163107964739</c:v>
                </c:pt>
                <c:pt idx="15">
                  <c:v>0.18085132086744318</c:v>
                </c:pt>
                <c:pt idx="16">
                  <c:v>0.20258792054807157</c:v>
                </c:pt>
                <c:pt idx="17">
                  <c:v>0.22659790146045522</c:v>
                </c:pt>
                <c:pt idx="18">
                  <c:v>0.2526682027548548</c:v>
                </c:pt>
                <c:pt idx="19">
                  <c:v>0.28764093316259176</c:v>
                </c:pt>
                <c:pt idx="20">
                  <c:v>0.33873819653874959</c:v>
                </c:pt>
                <c:pt idx="21">
                  <c:v>0.39333009715135447</c:v>
                </c:pt>
                <c:pt idx="22">
                  <c:v>0.46416294542347492</c:v>
                </c:pt>
                <c:pt idx="23">
                  <c:v>1</c:v>
                </c:pt>
              </c:numCache>
            </c:numRef>
          </c:xVal>
          <c:yVal>
            <c:numRef>
              <c:f>'Sete Lagoas'!$J$2:$J$25</c:f>
              <c:numCache>
                <c:formatCode>0.00</c:formatCode>
                <c:ptCount val="24"/>
                <c:pt idx="0">
                  <c:v>2.5259791463947689E-3</c:v>
                </c:pt>
                <c:pt idx="1">
                  <c:v>7.7097276555179468E-3</c:v>
                </c:pt>
                <c:pt idx="2">
                  <c:v>1.3161449604519527E-2</c:v>
                </c:pt>
                <c:pt idx="3">
                  <c:v>1.9720209370723683E-2</c:v>
                </c:pt>
                <c:pt idx="4">
                  <c:v>2.7583692278630875E-2</c:v>
                </c:pt>
                <c:pt idx="5">
                  <c:v>3.5497694769465966E-2</c:v>
                </c:pt>
                <c:pt idx="6">
                  <c:v>4.5236991756521974E-2</c:v>
                </c:pt>
                <c:pt idx="7">
                  <c:v>5.4989467765211339E-2</c:v>
                </c:pt>
                <c:pt idx="8">
                  <c:v>6.4779284335195239E-2</c:v>
                </c:pt>
                <c:pt idx="9">
                  <c:v>7.6207692594927393E-2</c:v>
                </c:pt>
                <c:pt idx="10">
                  <c:v>9.0159883497448759E-2</c:v>
                </c:pt>
                <c:pt idx="11">
                  <c:v>0.10671712767616508</c:v>
                </c:pt>
                <c:pt idx="12">
                  <c:v>0.12380592572742707</c:v>
                </c:pt>
                <c:pt idx="13">
                  <c:v>0.14162615947934076</c:v>
                </c:pt>
                <c:pt idx="14">
                  <c:v>0.16118163107964739</c:v>
                </c:pt>
                <c:pt idx="15">
                  <c:v>0.18085132086744318</c:v>
                </c:pt>
                <c:pt idx="16">
                  <c:v>0.20258792054807157</c:v>
                </c:pt>
                <c:pt idx="17">
                  <c:v>0.22659790146045522</c:v>
                </c:pt>
                <c:pt idx="18">
                  <c:v>0.2526682027548548</c:v>
                </c:pt>
                <c:pt idx="19">
                  <c:v>0.28764093316259176</c:v>
                </c:pt>
                <c:pt idx="20">
                  <c:v>0.33873819653874959</c:v>
                </c:pt>
                <c:pt idx="21">
                  <c:v>0.39333009715135447</c:v>
                </c:pt>
                <c:pt idx="22">
                  <c:v>0.46416294542347492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CE-4305-A0B9-BB0CBBE7071D}"/>
            </c:ext>
          </c:extLst>
        </c:ser>
        <c:ser>
          <c:idx val="1"/>
          <c:order val="1"/>
          <c:tx>
            <c:strRef>
              <c:f>'Sete Lagoas'!$K$1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'Sete Lagoas'!$I$2:$I$25</c:f>
              <c:numCache>
                <c:formatCode>0.00</c:formatCode>
                <c:ptCount val="24"/>
                <c:pt idx="0">
                  <c:v>2.5259791463947689E-3</c:v>
                </c:pt>
                <c:pt idx="1">
                  <c:v>7.7097276555179468E-3</c:v>
                </c:pt>
                <c:pt idx="2">
                  <c:v>1.3161449604519527E-2</c:v>
                </c:pt>
                <c:pt idx="3">
                  <c:v>1.9720209370723683E-2</c:v>
                </c:pt>
                <c:pt idx="4">
                  <c:v>2.7583692278630875E-2</c:v>
                </c:pt>
                <c:pt idx="5">
                  <c:v>3.5497694769465966E-2</c:v>
                </c:pt>
                <c:pt idx="6">
                  <c:v>4.5236991756521974E-2</c:v>
                </c:pt>
                <c:pt idx="7">
                  <c:v>5.4989467765211339E-2</c:v>
                </c:pt>
                <c:pt idx="8">
                  <c:v>6.4779284335195239E-2</c:v>
                </c:pt>
                <c:pt idx="9">
                  <c:v>7.6207692594927393E-2</c:v>
                </c:pt>
                <c:pt idx="10">
                  <c:v>9.0159883497448759E-2</c:v>
                </c:pt>
                <c:pt idx="11">
                  <c:v>0.10671712767616508</c:v>
                </c:pt>
                <c:pt idx="12">
                  <c:v>0.12380592572742707</c:v>
                </c:pt>
                <c:pt idx="13">
                  <c:v>0.14162615947934076</c:v>
                </c:pt>
                <c:pt idx="14">
                  <c:v>0.16118163107964739</c:v>
                </c:pt>
                <c:pt idx="15">
                  <c:v>0.18085132086744318</c:v>
                </c:pt>
                <c:pt idx="16">
                  <c:v>0.20258792054807157</c:v>
                </c:pt>
                <c:pt idx="17">
                  <c:v>0.22659790146045522</c:v>
                </c:pt>
                <c:pt idx="18">
                  <c:v>0.2526682027548548</c:v>
                </c:pt>
                <c:pt idx="19">
                  <c:v>0.28764093316259176</c:v>
                </c:pt>
                <c:pt idx="20">
                  <c:v>0.33873819653874959</c:v>
                </c:pt>
                <c:pt idx="21">
                  <c:v>0.39333009715135447</c:v>
                </c:pt>
                <c:pt idx="22">
                  <c:v>0.46416294542347492</c:v>
                </c:pt>
                <c:pt idx="23">
                  <c:v>1</c:v>
                </c:pt>
              </c:numCache>
            </c:numRef>
          </c:xVal>
          <c:yVal>
            <c:numRef>
              <c:f>'Sete Lagoas'!$K$2:$K$25</c:f>
              <c:numCache>
                <c:formatCode>0.00</c:formatCode>
                <c:ptCount val="24"/>
                <c:pt idx="0">
                  <c:v>7.3529411764705881E-3</c:v>
                </c:pt>
                <c:pt idx="1">
                  <c:v>1.8742462816561705E-2</c:v>
                </c:pt>
                <c:pt idx="2">
                  <c:v>3.013198445665282E-2</c:v>
                </c:pt>
                <c:pt idx="3">
                  <c:v>3.013198445665282E-2</c:v>
                </c:pt>
                <c:pt idx="4">
                  <c:v>3.696569744070749E-2</c:v>
                </c:pt>
                <c:pt idx="5">
                  <c:v>4.6077314752780381E-2</c:v>
                </c:pt>
                <c:pt idx="6">
                  <c:v>5.063312340881683E-2</c:v>
                </c:pt>
                <c:pt idx="7">
                  <c:v>5.974474072088972E-2</c:v>
                </c:pt>
                <c:pt idx="8">
                  <c:v>6.2022645048907941E-2</c:v>
                </c:pt>
                <c:pt idx="9">
                  <c:v>6.4300549376926169E-2</c:v>
                </c:pt>
                <c:pt idx="10">
                  <c:v>8.2523784001071951E-2</c:v>
                </c:pt>
                <c:pt idx="11">
                  <c:v>9.1635401313144849E-2</c:v>
                </c:pt>
                <c:pt idx="12">
                  <c:v>9.8469114297199511E-2</c:v>
                </c:pt>
                <c:pt idx="13">
                  <c:v>0.11441444459332707</c:v>
                </c:pt>
                <c:pt idx="14">
                  <c:v>0.12124815757738175</c:v>
                </c:pt>
                <c:pt idx="15">
                  <c:v>0.12124815757738175</c:v>
                </c:pt>
                <c:pt idx="16">
                  <c:v>0.14858300951360043</c:v>
                </c:pt>
                <c:pt idx="17">
                  <c:v>0.164528339809728</c:v>
                </c:pt>
                <c:pt idx="18">
                  <c:v>0.18958528741792846</c:v>
                </c:pt>
                <c:pt idx="19">
                  <c:v>0.21692013935414714</c:v>
                </c:pt>
                <c:pt idx="20">
                  <c:v>0.25792241725847515</c:v>
                </c:pt>
                <c:pt idx="21">
                  <c:v>0.27614565188262091</c:v>
                </c:pt>
                <c:pt idx="22">
                  <c:v>0.38776296395551385</c:v>
                </c:pt>
                <c:pt idx="23">
                  <c:v>1.0027971325204341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CE-4305-A0B9-BB0CBBE7071D}"/>
            </c:ext>
          </c:extLst>
        </c:ser>
        <c:ser>
          <c:idx val="2"/>
          <c:order val="2"/>
          <c:tx>
            <c:strRef>
              <c:f>'Sete Lagoas'!$L$1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'Sete Lagoas'!$I$2:$I$25</c:f>
              <c:numCache>
                <c:formatCode>0.00</c:formatCode>
                <c:ptCount val="24"/>
                <c:pt idx="0">
                  <c:v>2.5259791463947689E-3</c:v>
                </c:pt>
                <c:pt idx="1">
                  <c:v>7.7097276555179468E-3</c:v>
                </c:pt>
                <c:pt idx="2">
                  <c:v>1.3161449604519527E-2</c:v>
                </c:pt>
                <c:pt idx="3">
                  <c:v>1.9720209370723683E-2</c:v>
                </c:pt>
                <c:pt idx="4">
                  <c:v>2.7583692278630875E-2</c:v>
                </c:pt>
                <c:pt idx="5">
                  <c:v>3.5497694769465966E-2</c:v>
                </c:pt>
                <c:pt idx="6">
                  <c:v>4.5236991756521974E-2</c:v>
                </c:pt>
                <c:pt idx="7">
                  <c:v>5.4989467765211339E-2</c:v>
                </c:pt>
                <c:pt idx="8">
                  <c:v>6.4779284335195239E-2</c:v>
                </c:pt>
                <c:pt idx="9">
                  <c:v>7.6207692594927393E-2</c:v>
                </c:pt>
                <c:pt idx="10">
                  <c:v>9.0159883497448759E-2</c:v>
                </c:pt>
                <c:pt idx="11">
                  <c:v>0.10671712767616508</c:v>
                </c:pt>
                <c:pt idx="12">
                  <c:v>0.12380592572742707</c:v>
                </c:pt>
                <c:pt idx="13">
                  <c:v>0.14162615947934076</c:v>
                </c:pt>
                <c:pt idx="14">
                  <c:v>0.16118163107964739</c:v>
                </c:pt>
                <c:pt idx="15">
                  <c:v>0.18085132086744318</c:v>
                </c:pt>
                <c:pt idx="16">
                  <c:v>0.20258792054807157</c:v>
                </c:pt>
                <c:pt idx="17">
                  <c:v>0.22659790146045522</c:v>
                </c:pt>
                <c:pt idx="18">
                  <c:v>0.2526682027548548</c:v>
                </c:pt>
                <c:pt idx="19">
                  <c:v>0.28764093316259176</c:v>
                </c:pt>
                <c:pt idx="20">
                  <c:v>0.33873819653874959</c:v>
                </c:pt>
                <c:pt idx="21">
                  <c:v>0.39333009715135447</c:v>
                </c:pt>
                <c:pt idx="22">
                  <c:v>0.46416294542347492</c:v>
                </c:pt>
                <c:pt idx="23">
                  <c:v>1</c:v>
                </c:pt>
              </c:numCache>
            </c:numRef>
          </c:xVal>
          <c:yVal>
            <c:numRef>
              <c:f>'Sete Lagoas'!$L$2:$L$25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4.3478260869565218E-3</c:v>
                </c:pt>
                <c:pt idx="5">
                  <c:v>1.0869565217391304E-2</c:v>
                </c:pt>
                <c:pt idx="6">
                  <c:v>1.5217391304347825E-2</c:v>
                </c:pt>
                <c:pt idx="7">
                  <c:v>1.9565217391304346E-2</c:v>
                </c:pt>
                <c:pt idx="8">
                  <c:v>2.8260869565217388E-2</c:v>
                </c:pt>
                <c:pt idx="9">
                  <c:v>3.9130434782608692E-2</c:v>
                </c:pt>
                <c:pt idx="10">
                  <c:v>6.7391304347826086E-2</c:v>
                </c:pt>
                <c:pt idx="11">
                  <c:v>7.6086956521739135E-2</c:v>
                </c:pt>
                <c:pt idx="12">
                  <c:v>8.043478260869566E-2</c:v>
                </c:pt>
                <c:pt idx="13">
                  <c:v>8.2608695652173922E-2</c:v>
                </c:pt>
                <c:pt idx="14">
                  <c:v>9.5652173913043481E-2</c:v>
                </c:pt>
                <c:pt idx="15">
                  <c:v>9.5652173913043481E-2</c:v>
                </c:pt>
                <c:pt idx="16">
                  <c:v>0.10869565217391304</c:v>
                </c:pt>
                <c:pt idx="17">
                  <c:v>0.11956521739130435</c:v>
                </c:pt>
                <c:pt idx="18">
                  <c:v>0.14130434782608697</c:v>
                </c:pt>
                <c:pt idx="19">
                  <c:v>0.14347826086956522</c:v>
                </c:pt>
                <c:pt idx="20">
                  <c:v>0.19347826086956521</c:v>
                </c:pt>
                <c:pt idx="21">
                  <c:v>0.20869565217391303</c:v>
                </c:pt>
                <c:pt idx="22">
                  <c:v>0.23913043478260868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CE-4305-A0B9-BB0CBBE7071D}"/>
            </c:ext>
          </c:extLst>
        </c:ser>
        <c:ser>
          <c:idx val="3"/>
          <c:order val="3"/>
          <c:tx>
            <c:strRef>
              <c:f>'Sete Lagoas'!$M$1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'Sete Lagoas'!$I$2:$I$25</c:f>
              <c:numCache>
                <c:formatCode>0.00</c:formatCode>
                <c:ptCount val="24"/>
                <c:pt idx="0">
                  <c:v>2.5259791463947689E-3</c:v>
                </c:pt>
                <c:pt idx="1">
                  <c:v>7.7097276555179468E-3</c:v>
                </c:pt>
                <c:pt idx="2">
                  <c:v>1.3161449604519527E-2</c:v>
                </c:pt>
                <c:pt idx="3">
                  <c:v>1.9720209370723683E-2</c:v>
                </c:pt>
                <c:pt idx="4">
                  <c:v>2.7583692278630875E-2</c:v>
                </c:pt>
                <c:pt idx="5">
                  <c:v>3.5497694769465966E-2</c:v>
                </c:pt>
                <c:pt idx="6">
                  <c:v>4.5236991756521974E-2</c:v>
                </c:pt>
                <c:pt idx="7">
                  <c:v>5.4989467765211339E-2</c:v>
                </c:pt>
                <c:pt idx="8">
                  <c:v>6.4779284335195239E-2</c:v>
                </c:pt>
                <c:pt idx="9">
                  <c:v>7.6207692594927393E-2</c:v>
                </c:pt>
                <c:pt idx="10">
                  <c:v>9.0159883497448759E-2</c:v>
                </c:pt>
                <c:pt idx="11">
                  <c:v>0.10671712767616508</c:v>
                </c:pt>
                <c:pt idx="12">
                  <c:v>0.12380592572742707</c:v>
                </c:pt>
                <c:pt idx="13">
                  <c:v>0.14162615947934076</c:v>
                </c:pt>
                <c:pt idx="14">
                  <c:v>0.16118163107964739</c:v>
                </c:pt>
                <c:pt idx="15">
                  <c:v>0.18085132086744318</c:v>
                </c:pt>
                <c:pt idx="16">
                  <c:v>0.20258792054807157</c:v>
                </c:pt>
                <c:pt idx="17">
                  <c:v>0.22659790146045522</c:v>
                </c:pt>
                <c:pt idx="18">
                  <c:v>0.2526682027548548</c:v>
                </c:pt>
                <c:pt idx="19">
                  <c:v>0.28764093316259176</c:v>
                </c:pt>
                <c:pt idx="20">
                  <c:v>0.33873819653874959</c:v>
                </c:pt>
                <c:pt idx="21">
                  <c:v>0.39333009715135447</c:v>
                </c:pt>
                <c:pt idx="22">
                  <c:v>0.46416294542347492</c:v>
                </c:pt>
                <c:pt idx="23">
                  <c:v>1</c:v>
                </c:pt>
              </c:numCache>
            </c:numRef>
          </c:xVal>
          <c:yVal>
            <c:numRef>
              <c:f>'Sete Lagoas'!$M$2:$M$25</c:f>
              <c:numCache>
                <c:formatCode>0.00</c:formatCode>
                <c:ptCount val="24"/>
                <c:pt idx="0">
                  <c:v>0</c:v>
                </c:pt>
                <c:pt idx="1">
                  <c:v>4.0983606557377051E-3</c:v>
                </c:pt>
                <c:pt idx="2">
                  <c:v>1.6393442622950821E-2</c:v>
                </c:pt>
                <c:pt idx="3">
                  <c:v>1.6393442622950821E-2</c:v>
                </c:pt>
                <c:pt idx="4">
                  <c:v>2.8688524590163935E-2</c:v>
                </c:pt>
                <c:pt idx="5">
                  <c:v>2.8688524590163935E-2</c:v>
                </c:pt>
                <c:pt idx="6">
                  <c:v>3.6885245901639344E-2</c:v>
                </c:pt>
                <c:pt idx="7">
                  <c:v>4.5081967213114756E-2</c:v>
                </c:pt>
                <c:pt idx="8">
                  <c:v>4.9180327868852458E-2</c:v>
                </c:pt>
                <c:pt idx="9">
                  <c:v>5.3278688524590161E-2</c:v>
                </c:pt>
                <c:pt idx="10">
                  <c:v>6.9672131147540978E-2</c:v>
                </c:pt>
                <c:pt idx="11">
                  <c:v>8.6065573770491802E-2</c:v>
                </c:pt>
                <c:pt idx="12">
                  <c:v>9.0163934426229511E-2</c:v>
                </c:pt>
                <c:pt idx="13">
                  <c:v>9.8360655737704916E-2</c:v>
                </c:pt>
                <c:pt idx="14">
                  <c:v>9.8360655737704916E-2</c:v>
                </c:pt>
                <c:pt idx="15">
                  <c:v>0.10655737704918032</c:v>
                </c:pt>
                <c:pt idx="16">
                  <c:v>0.13524590163934425</c:v>
                </c:pt>
                <c:pt idx="17">
                  <c:v>0.14344262295081966</c:v>
                </c:pt>
                <c:pt idx="18">
                  <c:v>0.15983606557377047</c:v>
                </c:pt>
                <c:pt idx="19">
                  <c:v>0.17213114754098358</c:v>
                </c:pt>
                <c:pt idx="20">
                  <c:v>0.32377049180327866</c:v>
                </c:pt>
                <c:pt idx="21">
                  <c:v>0.34836065573770492</c:v>
                </c:pt>
                <c:pt idx="22">
                  <c:v>0.44672131147540983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CE-4305-A0B9-BB0CBBE70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360400"/>
        <c:axId val="893361360"/>
      </c:scatterChart>
      <c:valAx>
        <c:axId val="893360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61360"/>
        <c:crosses val="autoZero"/>
        <c:crossBetween val="midCat"/>
      </c:valAx>
      <c:valAx>
        <c:axId val="8933613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6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'Sete Lagoas'!$J$1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'Sete Lagoas'!$I$2:$I$25</c:f>
              <c:numCache>
                <c:formatCode>0.00</c:formatCode>
                <c:ptCount val="24"/>
                <c:pt idx="0">
                  <c:v>2.5259791463947689E-3</c:v>
                </c:pt>
                <c:pt idx="1">
                  <c:v>7.7097276555179468E-3</c:v>
                </c:pt>
                <c:pt idx="2">
                  <c:v>1.3161449604519527E-2</c:v>
                </c:pt>
                <c:pt idx="3">
                  <c:v>1.9720209370723683E-2</c:v>
                </c:pt>
                <c:pt idx="4">
                  <c:v>2.7583692278630875E-2</c:v>
                </c:pt>
                <c:pt idx="5">
                  <c:v>3.5497694769465966E-2</c:v>
                </c:pt>
                <c:pt idx="6">
                  <c:v>4.5236991756521974E-2</c:v>
                </c:pt>
                <c:pt idx="7">
                  <c:v>5.4989467765211339E-2</c:v>
                </c:pt>
                <c:pt idx="8">
                  <c:v>6.4779284335195239E-2</c:v>
                </c:pt>
                <c:pt idx="9">
                  <c:v>7.6207692594927393E-2</c:v>
                </c:pt>
                <c:pt idx="10">
                  <c:v>9.0159883497448759E-2</c:v>
                </c:pt>
                <c:pt idx="11">
                  <c:v>0.10671712767616508</c:v>
                </c:pt>
                <c:pt idx="12">
                  <c:v>0.12380592572742707</c:v>
                </c:pt>
                <c:pt idx="13">
                  <c:v>0.14162615947934076</c:v>
                </c:pt>
                <c:pt idx="14">
                  <c:v>0.16118163107964739</c:v>
                </c:pt>
                <c:pt idx="15">
                  <c:v>0.18085132086744318</c:v>
                </c:pt>
                <c:pt idx="16">
                  <c:v>0.20258792054807157</c:v>
                </c:pt>
                <c:pt idx="17">
                  <c:v>0.22659790146045522</c:v>
                </c:pt>
                <c:pt idx="18">
                  <c:v>0.2526682027548548</c:v>
                </c:pt>
                <c:pt idx="19">
                  <c:v>0.28764093316259176</c:v>
                </c:pt>
                <c:pt idx="20">
                  <c:v>0.33873819653874959</c:v>
                </c:pt>
                <c:pt idx="21">
                  <c:v>0.39333009715135447</c:v>
                </c:pt>
                <c:pt idx="22">
                  <c:v>0.46416294542347492</c:v>
                </c:pt>
                <c:pt idx="23">
                  <c:v>1</c:v>
                </c:pt>
              </c:numCache>
            </c:numRef>
          </c:xVal>
          <c:yVal>
            <c:numRef>
              <c:f>'Sete Lagoas'!$J$2:$J$25</c:f>
              <c:numCache>
                <c:formatCode>0.00</c:formatCode>
                <c:ptCount val="24"/>
                <c:pt idx="0">
                  <c:v>2.5259791463947689E-3</c:v>
                </c:pt>
                <c:pt idx="1">
                  <c:v>7.7097276555179468E-3</c:v>
                </c:pt>
                <c:pt idx="2">
                  <c:v>1.3161449604519527E-2</c:v>
                </c:pt>
                <c:pt idx="3">
                  <c:v>1.9720209370723683E-2</c:v>
                </c:pt>
                <c:pt idx="4">
                  <c:v>2.7583692278630875E-2</c:v>
                </c:pt>
                <c:pt idx="5">
                  <c:v>3.5497694769465966E-2</c:v>
                </c:pt>
                <c:pt idx="6">
                  <c:v>4.5236991756521974E-2</c:v>
                </c:pt>
                <c:pt idx="7">
                  <c:v>5.4989467765211339E-2</c:v>
                </c:pt>
                <c:pt idx="8">
                  <c:v>6.4779284335195239E-2</c:v>
                </c:pt>
                <c:pt idx="9">
                  <c:v>7.6207692594927393E-2</c:v>
                </c:pt>
                <c:pt idx="10">
                  <c:v>9.0159883497448759E-2</c:v>
                </c:pt>
                <c:pt idx="11">
                  <c:v>0.10671712767616508</c:v>
                </c:pt>
                <c:pt idx="12">
                  <c:v>0.12380592572742707</c:v>
                </c:pt>
                <c:pt idx="13">
                  <c:v>0.14162615947934076</c:v>
                </c:pt>
                <c:pt idx="14">
                  <c:v>0.16118163107964739</c:v>
                </c:pt>
                <c:pt idx="15">
                  <c:v>0.18085132086744318</c:v>
                </c:pt>
                <c:pt idx="16">
                  <c:v>0.20258792054807157</c:v>
                </c:pt>
                <c:pt idx="17">
                  <c:v>0.22659790146045522</c:v>
                </c:pt>
                <c:pt idx="18">
                  <c:v>0.2526682027548548</c:v>
                </c:pt>
                <c:pt idx="19">
                  <c:v>0.28764093316259176</c:v>
                </c:pt>
                <c:pt idx="20">
                  <c:v>0.33873819653874959</c:v>
                </c:pt>
                <c:pt idx="21">
                  <c:v>0.39333009715135447</c:v>
                </c:pt>
                <c:pt idx="22">
                  <c:v>0.46416294542347492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00-44EE-A884-8EFA50B87F99}"/>
            </c:ext>
          </c:extLst>
        </c:ser>
        <c:ser>
          <c:idx val="1"/>
          <c:order val="1"/>
          <c:tx>
            <c:strRef>
              <c:f>'Sete Lagoas'!$N$1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'Sete Lagoas'!$I$2:$I$25</c:f>
              <c:numCache>
                <c:formatCode>0.00</c:formatCode>
                <c:ptCount val="24"/>
                <c:pt idx="0">
                  <c:v>2.5259791463947689E-3</c:v>
                </c:pt>
                <c:pt idx="1">
                  <c:v>7.7097276555179468E-3</c:v>
                </c:pt>
                <c:pt idx="2">
                  <c:v>1.3161449604519527E-2</c:v>
                </c:pt>
                <c:pt idx="3">
                  <c:v>1.9720209370723683E-2</c:v>
                </c:pt>
                <c:pt idx="4">
                  <c:v>2.7583692278630875E-2</c:v>
                </c:pt>
                <c:pt idx="5">
                  <c:v>3.5497694769465966E-2</c:v>
                </c:pt>
                <c:pt idx="6">
                  <c:v>4.5236991756521974E-2</c:v>
                </c:pt>
                <c:pt idx="7">
                  <c:v>5.4989467765211339E-2</c:v>
                </c:pt>
                <c:pt idx="8">
                  <c:v>6.4779284335195239E-2</c:v>
                </c:pt>
                <c:pt idx="9">
                  <c:v>7.6207692594927393E-2</c:v>
                </c:pt>
                <c:pt idx="10">
                  <c:v>9.0159883497448759E-2</c:v>
                </c:pt>
                <c:pt idx="11">
                  <c:v>0.10671712767616508</c:v>
                </c:pt>
                <c:pt idx="12">
                  <c:v>0.12380592572742707</c:v>
                </c:pt>
                <c:pt idx="13">
                  <c:v>0.14162615947934076</c:v>
                </c:pt>
                <c:pt idx="14">
                  <c:v>0.16118163107964739</c:v>
                </c:pt>
                <c:pt idx="15">
                  <c:v>0.18085132086744318</c:v>
                </c:pt>
                <c:pt idx="16">
                  <c:v>0.20258792054807157</c:v>
                </c:pt>
                <c:pt idx="17">
                  <c:v>0.22659790146045522</c:v>
                </c:pt>
                <c:pt idx="18">
                  <c:v>0.2526682027548548</c:v>
                </c:pt>
                <c:pt idx="19">
                  <c:v>0.28764093316259176</c:v>
                </c:pt>
                <c:pt idx="20">
                  <c:v>0.33873819653874959</c:v>
                </c:pt>
                <c:pt idx="21">
                  <c:v>0.39333009715135447</c:v>
                </c:pt>
                <c:pt idx="22">
                  <c:v>0.46416294542347492</c:v>
                </c:pt>
                <c:pt idx="23">
                  <c:v>1</c:v>
                </c:pt>
              </c:numCache>
            </c:numRef>
          </c:xVal>
          <c:yVal>
            <c:numRef>
              <c:f>'Sete Lagoas'!$N$2:$N$25</c:f>
              <c:numCache>
                <c:formatCode>0.00</c:formatCode>
                <c:ptCount val="24"/>
                <c:pt idx="0">
                  <c:v>6.8965517241379309E-3</c:v>
                </c:pt>
                <c:pt idx="1">
                  <c:v>8.2037412666215916E-3</c:v>
                </c:pt>
                <c:pt idx="2">
                  <c:v>1.3432499436556233E-2</c:v>
                </c:pt>
                <c:pt idx="3">
                  <c:v>1.3432499436556233E-2</c:v>
                </c:pt>
                <c:pt idx="4">
                  <c:v>1.8661257606490872E-2</c:v>
                </c:pt>
                <c:pt idx="5">
                  <c:v>1.8661257606490872E-2</c:v>
                </c:pt>
                <c:pt idx="6">
                  <c:v>2.2582826233941852E-2</c:v>
                </c:pt>
                <c:pt idx="7">
                  <c:v>2.7811584403876492E-2</c:v>
                </c:pt>
                <c:pt idx="8">
                  <c:v>3.1733153031327468E-2</c:v>
                </c:pt>
                <c:pt idx="9">
                  <c:v>4.741942754113139E-2</c:v>
                </c:pt>
                <c:pt idx="10">
                  <c:v>6.4412891593418967E-2</c:v>
                </c:pt>
                <c:pt idx="11">
                  <c:v>7.2256028848320927E-2</c:v>
                </c:pt>
                <c:pt idx="12">
                  <c:v>8.2713545188190213E-2</c:v>
                </c:pt>
                <c:pt idx="13">
                  <c:v>9.0556682443092174E-2</c:v>
                </c:pt>
                <c:pt idx="14">
                  <c:v>0.11539328375028171</c:v>
                </c:pt>
                <c:pt idx="15">
                  <c:v>0.1454586432274059</c:v>
                </c:pt>
                <c:pt idx="16">
                  <c:v>0.15983772819472616</c:v>
                </c:pt>
                <c:pt idx="17">
                  <c:v>0.16506648636466081</c:v>
                </c:pt>
                <c:pt idx="18">
                  <c:v>0.1885958981293667</c:v>
                </c:pt>
                <c:pt idx="19">
                  <c:v>0.20036060401171962</c:v>
                </c:pt>
                <c:pt idx="20">
                  <c:v>0.23173315303132747</c:v>
                </c:pt>
                <c:pt idx="21">
                  <c:v>0.31539328375028169</c:v>
                </c:pt>
                <c:pt idx="22">
                  <c:v>0.38598151904439937</c:v>
                </c:pt>
                <c:pt idx="23">
                  <c:v>1.0068965517241379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00-44EE-A884-8EFA50B87F99}"/>
            </c:ext>
          </c:extLst>
        </c:ser>
        <c:ser>
          <c:idx val="2"/>
          <c:order val="2"/>
          <c:tx>
            <c:strRef>
              <c:f>'Sete Lagoas'!$O$1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'Sete Lagoas'!$I$2:$I$25</c:f>
              <c:numCache>
                <c:formatCode>0.00</c:formatCode>
                <c:ptCount val="24"/>
                <c:pt idx="0">
                  <c:v>2.5259791463947689E-3</c:v>
                </c:pt>
                <c:pt idx="1">
                  <c:v>7.7097276555179468E-3</c:v>
                </c:pt>
                <c:pt idx="2">
                  <c:v>1.3161449604519527E-2</c:v>
                </c:pt>
                <c:pt idx="3">
                  <c:v>1.9720209370723683E-2</c:v>
                </c:pt>
                <c:pt idx="4">
                  <c:v>2.7583692278630875E-2</c:v>
                </c:pt>
                <c:pt idx="5">
                  <c:v>3.5497694769465966E-2</c:v>
                </c:pt>
                <c:pt idx="6">
                  <c:v>4.5236991756521974E-2</c:v>
                </c:pt>
                <c:pt idx="7">
                  <c:v>5.4989467765211339E-2</c:v>
                </c:pt>
                <c:pt idx="8">
                  <c:v>6.4779284335195239E-2</c:v>
                </c:pt>
                <c:pt idx="9">
                  <c:v>7.6207692594927393E-2</c:v>
                </c:pt>
                <c:pt idx="10">
                  <c:v>9.0159883497448759E-2</c:v>
                </c:pt>
                <c:pt idx="11">
                  <c:v>0.10671712767616508</c:v>
                </c:pt>
                <c:pt idx="12">
                  <c:v>0.12380592572742707</c:v>
                </c:pt>
                <c:pt idx="13">
                  <c:v>0.14162615947934076</c:v>
                </c:pt>
                <c:pt idx="14">
                  <c:v>0.16118163107964739</c:v>
                </c:pt>
                <c:pt idx="15">
                  <c:v>0.18085132086744318</c:v>
                </c:pt>
                <c:pt idx="16">
                  <c:v>0.20258792054807157</c:v>
                </c:pt>
                <c:pt idx="17">
                  <c:v>0.22659790146045522</c:v>
                </c:pt>
                <c:pt idx="18">
                  <c:v>0.2526682027548548</c:v>
                </c:pt>
                <c:pt idx="19">
                  <c:v>0.28764093316259176</c:v>
                </c:pt>
                <c:pt idx="20">
                  <c:v>0.33873819653874959</c:v>
                </c:pt>
                <c:pt idx="21">
                  <c:v>0.39333009715135447</c:v>
                </c:pt>
                <c:pt idx="22">
                  <c:v>0.46416294542347492</c:v>
                </c:pt>
                <c:pt idx="23">
                  <c:v>1</c:v>
                </c:pt>
              </c:numCache>
            </c:numRef>
          </c:xVal>
          <c:yVal>
            <c:numRef>
              <c:f>'Sete Lagoas'!$O$2:$O$25</c:f>
              <c:numCache>
                <c:formatCode>0.00</c:formatCode>
                <c:ptCount val="24"/>
                <c:pt idx="0">
                  <c:v>1.0526315789473684E-2</c:v>
                </c:pt>
                <c:pt idx="1">
                  <c:v>1.6868810504061423E-2</c:v>
                </c:pt>
                <c:pt idx="2">
                  <c:v>2.3211305218649159E-2</c:v>
                </c:pt>
                <c:pt idx="3">
                  <c:v>2.7439635028374317E-2</c:v>
                </c:pt>
                <c:pt idx="4">
                  <c:v>5.2809613886725268E-2</c:v>
                </c:pt>
                <c:pt idx="5">
                  <c:v>6.1266273506175584E-2</c:v>
                </c:pt>
                <c:pt idx="6">
                  <c:v>6.1266273506175584E-2</c:v>
                </c:pt>
                <c:pt idx="7">
                  <c:v>6.7608768220763324E-2</c:v>
                </c:pt>
                <c:pt idx="8">
                  <c:v>7.1837098030488489E-2</c:v>
                </c:pt>
                <c:pt idx="9">
                  <c:v>7.3951262935351064E-2</c:v>
                </c:pt>
                <c:pt idx="10">
                  <c:v>8.6636252364526545E-2</c:v>
                </c:pt>
                <c:pt idx="11">
                  <c:v>0.11200623122287749</c:v>
                </c:pt>
                <c:pt idx="12">
                  <c:v>0.12046289084232781</c:v>
                </c:pt>
                <c:pt idx="13">
                  <c:v>0.13526204517636586</c:v>
                </c:pt>
                <c:pt idx="14">
                  <c:v>0.17331701346389228</c:v>
                </c:pt>
                <c:pt idx="15">
                  <c:v>0.18600200289306776</c:v>
                </c:pt>
                <c:pt idx="16">
                  <c:v>0.20502948703683097</c:v>
                </c:pt>
                <c:pt idx="17">
                  <c:v>0.21560031156114387</c:v>
                </c:pt>
                <c:pt idx="18">
                  <c:v>0.23039946589518193</c:v>
                </c:pt>
                <c:pt idx="19">
                  <c:v>0.26422610437298322</c:v>
                </c:pt>
                <c:pt idx="20">
                  <c:v>0.31919439189941029</c:v>
                </c:pt>
                <c:pt idx="21">
                  <c:v>0.39107599866473797</c:v>
                </c:pt>
                <c:pt idx="22">
                  <c:v>0.45027261600089019</c:v>
                </c:pt>
                <c:pt idx="23">
                  <c:v>1.0084121508846111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00-44EE-A884-8EFA50B87F99}"/>
            </c:ext>
          </c:extLst>
        </c:ser>
        <c:ser>
          <c:idx val="3"/>
          <c:order val="3"/>
          <c:tx>
            <c:strRef>
              <c:f>'Sete Lagoas'!$P$1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'Sete Lagoas'!$I$2:$I$25</c:f>
              <c:numCache>
                <c:formatCode>0.00</c:formatCode>
                <c:ptCount val="24"/>
                <c:pt idx="0">
                  <c:v>2.5259791463947689E-3</c:v>
                </c:pt>
                <c:pt idx="1">
                  <c:v>7.7097276555179468E-3</c:v>
                </c:pt>
                <c:pt idx="2">
                  <c:v>1.3161449604519527E-2</c:v>
                </c:pt>
                <c:pt idx="3">
                  <c:v>1.9720209370723683E-2</c:v>
                </c:pt>
                <c:pt idx="4">
                  <c:v>2.7583692278630875E-2</c:v>
                </c:pt>
                <c:pt idx="5">
                  <c:v>3.5497694769465966E-2</c:v>
                </c:pt>
                <c:pt idx="6">
                  <c:v>4.5236991756521974E-2</c:v>
                </c:pt>
                <c:pt idx="7">
                  <c:v>5.4989467765211339E-2</c:v>
                </c:pt>
                <c:pt idx="8">
                  <c:v>6.4779284335195239E-2</c:v>
                </c:pt>
                <c:pt idx="9">
                  <c:v>7.6207692594927393E-2</c:v>
                </c:pt>
                <c:pt idx="10">
                  <c:v>9.0159883497448759E-2</c:v>
                </c:pt>
                <c:pt idx="11">
                  <c:v>0.10671712767616508</c:v>
                </c:pt>
                <c:pt idx="12">
                  <c:v>0.12380592572742707</c:v>
                </c:pt>
                <c:pt idx="13">
                  <c:v>0.14162615947934076</c:v>
                </c:pt>
                <c:pt idx="14">
                  <c:v>0.16118163107964739</c:v>
                </c:pt>
                <c:pt idx="15">
                  <c:v>0.18085132086744318</c:v>
                </c:pt>
                <c:pt idx="16">
                  <c:v>0.20258792054807157</c:v>
                </c:pt>
                <c:pt idx="17">
                  <c:v>0.22659790146045522</c:v>
                </c:pt>
                <c:pt idx="18">
                  <c:v>0.2526682027548548</c:v>
                </c:pt>
                <c:pt idx="19">
                  <c:v>0.28764093316259176</c:v>
                </c:pt>
                <c:pt idx="20">
                  <c:v>0.33873819653874959</c:v>
                </c:pt>
                <c:pt idx="21">
                  <c:v>0.39333009715135447</c:v>
                </c:pt>
                <c:pt idx="22">
                  <c:v>0.46416294542347492</c:v>
                </c:pt>
                <c:pt idx="23">
                  <c:v>1</c:v>
                </c:pt>
              </c:numCache>
            </c:numRef>
          </c:xVal>
          <c:yVal>
            <c:numRef>
              <c:f>'Sete Lagoas'!$P$2:$P$25</c:f>
              <c:numCache>
                <c:formatCode>0.00</c:formatCode>
                <c:ptCount val="24"/>
                <c:pt idx="0">
                  <c:v>0</c:v>
                </c:pt>
                <c:pt idx="1">
                  <c:v>2.0242914979757085E-2</c:v>
                </c:pt>
                <c:pt idx="2">
                  <c:v>2.8340080971659919E-2</c:v>
                </c:pt>
                <c:pt idx="3">
                  <c:v>3.643724696356275E-2</c:v>
                </c:pt>
                <c:pt idx="4">
                  <c:v>4.0485829959514164E-2</c:v>
                </c:pt>
                <c:pt idx="5">
                  <c:v>4.0485829959514164E-2</c:v>
                </c:pt>
                <c:pt idx="6">
                  <c:v>4.4534412955465577E-2</c:v>
                </c:pt>
                <c:pt idx="7">
                  <c:v>5.6680161943319832E-2</c:v>
                </c:pt>
                <c:pt idx="8">
                  <c:v>6.8825910931174086E-2</c:v>
                </c:pt>
                <c:pt idx="9">
                  <c:v>8.0971659919028341E-2</c:v>
                </c:pt>
                <c:pt idx="10">
                  <c:v>9.3117408906882596E-2</c:v>
                </c:pt>
                <c:pt idx="11">
                  <c:v>0.10931174089068826</c:v>
                </c:pt>
                <c:pt idx="12">
                  <c:v>0.10931174089068826</c:v>
                </c:pt>
                <c:pt idx="13">
                  <c:v>0.145748987854251</c:v>
                </c:pt>
                <c:pt idx="14">
                  <c:v>0.16194331983805665</c:v>
                </c:pt>
                <c:pt idx="15">
                  <c:v>0.18623481781376516</c:v>
                </c:pt>
                <c:pt idx="16">
                  <c:v>0.19433198380566799</c:v>
                </c:pt>
                <c:pt idx="17">
                  <c:v>0.20647773279352225</c:v>
                </c:pt>
                <c:pt idx="18">
                  <c:v>0.21457489878542507</c:v>
                </c:pt>
                <c:pt idx="19">
                  <c:v>0.25506072874493924</c:v>
                </c:pt>
                <c:pt idx="20">
                  <c:v>0.30769230769230765</c:v>
                </c:pt>
                <c:pt idx="21">
                  <c:v>0.38866396761133598</c:v>
                </c:pt>
                <c:pt idx="22">
                  <c:v>0.64372469635627527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C00-44EE-A884-8EFA50B8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454624"/>
        <c:axId val="905465664"/>
      </c:scatterChart>
      <c:valAx>
        <c:axId val="9054546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5465664"/>
        <c:crosses val="autoZero"/>
        <c:crossBetween val="midCat"/>
      </c:valAx>
      <c:valAx>
        <c:axId val="90546566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5454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Vespasiano!$J$1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Vespasiano!$I$2:$I$8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Vespasiano!$J$2:$J$8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E3-4EA9-A506-FEC14DB8E87D}"/>
            </c:ext>
          </c:extLst>
        </c:ser>
        <c:ser>
          <c:idx val="1"/>
          <c:order val="1"/>
          <c:tx>
            <c:strRef>
              <c:f>Vespasiano!$K$1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Vespasiano!$I$2:$I$8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Vespasiano!$K$2:$K$8</c:f>
              <c:numCache>
                <c:formatCode>0.00</c:formatCode>
                <c:ptCount val="7"/>
                <c:pt idx="0">
                  <c:v>1.8218623481781375E-2</c:v>
                </c:pt>
                <c:pt idx="1">
                  <c:v>4.0485829959514164E-2</c:v>
                </c:pt>
                <c:pt idx="2">
                  <c:v>8.9068825910931168E-2</c:v>
                </c:pt>
                <c:pt idx="3">
                  <c:v>0.24696356275303644</c:v>
                </c:pt>
                <c:pt idx="4">
                  <c:v>0.33400809716599189</c:v>
                </c:pt>
                <c:pt idx="5">
                  <c:v>0.44736842105263158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E3-4EA9-A506-FEC14DB8E87D}"/>
            </c:ext>
          </c:extLst>
        </c:ser>
        <c:ser>
          <c:idx val="2"/>
          <c:order val="2"/>
          <c:tx>
            <c:strRef>
              <c:f>Vespasiano!$L$1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Vespasiano!$I$2:$I$8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Vespasiano!$L$2:$L$8</c:f>
              <c:numCache>
                <c:formatCode>0.00</c:formatCode>
                <c:ptCount val="7"/>
                <c:pt idx="0">
                  <c:v>5.1150895140664966E-3</c:v>
                </c:pt>
                <c:pt idx="1">
                  <c:v>2.5575447570332484E-2</c:v>
                </c:pt>
                <c:pt idx="2">
                  <c:v>6.6496163682864456E-2</c:v>
                </c:pt>
                <c:pt idx="3">
                  <c:v>0.18925831202046037</c:v>
                </c:pt>
                <c:pt idx="4">
                  <c:v>0.33759590792838878</c:v>
                </c:pt>
                <c:pt idx="5">
                  <c:v>0.53708439897698212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E3-4EA9-A506-FEC14DB8E87D}"/>
            </c:ext>
          </c:extLst>
        </c:ser>
        <c:ser>
          <c:idx val="3"/>
          <c:order val="3"/>
          <c:tx>
            <c:strRef>
              <c:f>Vespasiano!$M$1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Vespasiano!$I$2:$I$8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Vespasiano!$M$2:$M$8</c:f>
              <c:numCache>
                <c:formatCode>0.00</c:formatCode>
                <c:ptCount val="7"/>
                <c:pt idx="0">
                  <c:v>6.4308681672025723E-3</c:v>
                </c:pt>
                <c:pt idx="1">
                  <c:v>1.2861736334405145E-2</c:v>
                </c:pt>
                <c:pt idx="2">
                  <c:v>5.7877813504823156E-2</c:v>
                </c:pt>
                <c:pt idx="3">
                  <c:v>0.21864951768488747</c:v>
                </c:pt>
                <c:pt idx="4">
                  <c:v>0.4437299035369775</c:v>
                </c:pt>
                <c:pt idx="5">
                  <c:v>0.7138263665594855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E3-4EA9-A506-FEC14DB8E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300400"/>
        <c:axId val="893301840"/>
      </c:scatterChart>
      <c:valAx>
        <c:axId val="893300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01840"/>
        <c:crosses val="autoZero"/>
        <c:crossBetween val="midCat"/>
      </c:valAx>
      <c:valAx>
        <c:axId val="8933018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0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Vespasiano!$J$1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Vespasiano!$I$2:$I$8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Vespasiano!$J$2:$J$8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16-4A45-B193-4EA37FAC0A41}"/>
            </c:ext>
          </c:extLst>
        </c:ser>
        <c:ser>
          <c:idx val="1"/>
          <c:order val="1"/>
          <c:tx>
            <c:strRef>
              <c:f>Vespasiano!$N$1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Vespasiano!$I$2:$I$8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Vespasiano!$N$2:$N$8</c:f>
              <c:numCache>
                <c:formatCode>0.00</c:formatCode>
                <c:ptCount val="7"/>
                <c:pt idx="0">
                  <c:v>5.1413881748071976E-3</c:v>
                </c:pt>
                <c:pt idx="1">
                  <c:v>7.7120822622107968E-3</c:v>
                </c:pt>
                <c:pt idx="2">
                  <c:v>6.1696658097686374E-2</c:v>
                </c:pt>
                <c:pt idx="3">
                  <c:v>0.20308483290488433</c:v>
                </c:pt>
                <c:pt idx="4">
                  <c:v>0.49100257069408743</c:v>
                </c:pt>
                <c:pt idx="5">
                  <c:v>0.63753213367609263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16-4A45-B193-4EA37FAC0A41}"/>
            </c:ext>
          </c:extLst>
        </c:ser>
        <c:ser>
          <c:idx val="2"/>
          <c:order val="2"/>
          <c:tx>
            <c:strRef>
              <c:f>Vespasiano!$O$1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Vespasiano!$I$2:$I$8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Vespasiano!$O$2:$O$8</c:f>
              <c:numCache>
                <c:formatCode>0.00</c:formatCode>
                <c:ptCount val="7"/>
                <c:pt idx="0">
                  <c:v>9.3676814988290398E-3</c:v>
                </c:pt>
                <c:pt idx="1">
                  <c:v>1.873536299765808E-2</c:v>
                </c:pt>
                <c:pt idx="2">
                  <c:v>5.8548009367681501E-2</c:v>
                </c:pt>
                <c:pt idx="3">
                  <c:v>0.117096018735363</c:v>
                </c:pt>
                <c:pt idx="4">
                  <c:v>0.28103044496487117</c:v>
                </c:pt>
                <c:pt idx="5">
                  <c:v>0.43325526932084307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16-4A45-B193-4EA37FAC0A41}"/>
            </c:ext>
          </c:extLst>
        </c:ser>
        <c:ser>
          <c:idx val="3"/>
          <c:order val="3"/>
          <c:tx>
            <c:strRef>
              <c:f>Vespasiano!$P$1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Vespasiano!$I$2:$I$8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Vespasiano!$P$2:$P$8</c:f>
              <c:numCache>
                <c:formatCode>0.00</c:formatCode>
                <c:ptCount val="7"/>
                <c:pt idx="0">
                  <c:v>1.3636363636363636E-2</c:v>
                </c:pt>
                <c:pt idx="1">
                  <c:v>1.8181818181818181E-2</c:v>
                </c:pt>
                <c:pt idx="2">
                  <c:v>3.1818181818181815E-2</c:v>
                </c:pt>
                <c:pt idx="3">
                  <c:v>9.0909090909090912E-2</c:v>
                </c:pt>
                <c:pt idx="4">
                  <c:v>0.24090909090909091</c:v>
                </c:pt>
                <c:pt idx="5">
                  <c:v>0.41818181818181821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16-4A45-B193-4EA37FAC0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155312"/>
        <c:axId val="525156272"/>
      </c:scatterChart>
      <c:valAx>
        <c:axId val="5251553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56272"/>
        <c:crosses val="autoZero"/>
        <c:crossBetween val="midCat"/>
      </c:valAx>
      <c:valAx>
        <c:axId val="52515627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55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217713</xdr:colOff>
      <xdr:row>0</xdr:row>
      <xdr:rowOff>136071</xdr:rowOff>
    </xdr:from>
    <xdr:to>
      <xdr:col>23</xdr:col>
      <xdr:colOff>522513</xdr:colOff>
      <xdr:row>14</xdr:row>
      <xdr:rowOff>103414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062773-060C-3CEA-48F2-141192BB9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217714</xdr:colOff>
      <xdr:row>15</xdr:row>
      <xdr:rowOff>16329</xdr:rowOff>
    </xdr:from>
    <xdr:to>
      <xdr:col>23</xdr:col>
      <xdr:colOff>522514</xdr:colOff>
      <xdr:row>28</xdr:row>
      <xdr:rowOff>168729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9BD42C-433D-B55F-DE16-F1608FF91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177453</xdr:colOff>
      <xdr:row>0</xdr:row>
      <xdr:rowOff>32358</xdr:rowOff>
    </xdr:from>
    <xdr:to>
      <xdr:col>23</xdr:col>
      <xdr:colOff>511480</xdr:colOff>
      <xdr:row>14</xdr:row>
      <xdr:rowOff>40709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7AD9E7-BB54-A463-D20F-7178A25BDB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177453</xdr:colOff>
      <xdr:row>14</xdr:row>
      <xdr:rowOff>136743</xdr:rowOff>
    </xdr:from>
    <xdr:to>
      <xdr:col>23</xdr:col>
      <xdr:colOff>511480</xdr:colOff>
      <xdr:row>29</xdr:row>
      <xdr:rowOff>61587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FBF387F-121C-0DB1-AF5E-41B7CF45B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536619</xdr:colOff>
      <xdr:row>0</xdr:row>
      <xdr:rowOff>104103</xdr:rowOff>
    </xdr:from>
    <xdr:to>
      <xdr:col>24</xdr:col>
      <xdr:colOff>214648</xdr:colOff>
      <xdr:row>13</xdr:row>
      <xdr:rowOff>174937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A0A9AA-D36E-CAD5-FE87-69D367DD1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558084</xdr:colOff>
      <xdr:row>14</xdr:row>
      <xdr:rowOff>18244</xdr:rowOff>
    </xdr:from>
    <xdr:to>
      <xdr:col>24</xdr:col>
      <xdr:colOff>236113</xdr:colOff>
      <xdr:row>29</xdr:row>
      <xdr:rowOff>24684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4A41FEF-4850-93C4-1BC6-A79AF8187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37171</xdr:colOff>
      <xdr:row>0</xdr:row>
      <xdr:rowOff>54827</xdr:rowOff>
    </xdr:from>
    <xdr:to>
      <xdr:col>23</xdr:col>
      <xdr:colOff>315951</xdr:colOff>
      <xdr:row>14</xdr:row>
      <xdr:rowOff>56686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47DAD6-1379-5CEF-136E-8BCBEB3C0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46464</xdr:colOff>
      <xdr:row>14</xdr:row>
      <xdr:rowOff>82705</xdr:rowOff>
    </xdr:from>
    <xdr:to>
      <xdr:col>23</xdr:col>
      <xdr:colOff>325244</xdr:colOff>
      <xdr:row>29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D517E2-4340-4BF5-21A5-BD598F03C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99060</xdr:colOff>
      <xdr:row>0</xdr:row>
      <xdr:rowOff>80010</xdr:rowOff>
    </xdr:from>
    <xdr:to>
      <xdr:col>23</xdr:col>
      <xdr:colOff>403860</xdr:colOff>
      <xdr:row>14</xdr:row>
      <xdr:rowOff>64770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445BD46-BC6C-59CB-366D-2DB35A723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14</xdr:row>
      <xdr:rowOff>87630</xdr:rowOff>
    </xdr:from>
    <xdr:to>
      <xdr:col>23</xdr:col>
      <xdr:colOff>396240</xdr:colOff>
      <xdr:row>29</xdr:row>
      <xdr:rowOff>87630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F4D1DFA-90FB-EBD7-99E6-10297C5B5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54429</xdr:colOff>
      <xdr:row>0</xdr:row>
      <xdr:rowOff>55205</xdr:rowOff>
    </xdr:from>
    <xdr:to>
      <xdr:col>23</xdr:col>
      <xdr:colOff>381000</xdr:colOff>
      <xdr:row>14</xdr:row>
      <xdr:rowOff>45874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1E02136F-49CE-7F03-52C5-A27AF66E3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69980</xdr:colOff>
      <xdr:row>14</xdr:row>
      <xdr:rowOff>78532</xdr:rowOff>
    </xdr:from>
    <xdr:to>
      <xdr:col>23</xdr:col>
      <xdr:colOff>396551</xdr:colOff>
      <xdr:row>28</xdr:row>
      <xdr:rowOff>30324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2038FB4-1F86-0DAE-34A3-D02D154D3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106680</xdr:colOff>
      <xdr:row>0</xdr:row>
      <xdr:rowOff>49530</xdr:rowOff>
    </xdr:from>
    <xdr:to>
      <xdr:col>23</xdr:col>
      <xdr:colOff>411480</xdr:colOff>
      <xdr:row>14</xdr:row>
      <xdr:rowOff>49530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440BA09-7F1E-DC41-75D5-41CB0329E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121920</xdr:colOff>
      <xdr:row>14</xdr:row>
      <xdr:rowOff>80010</xdr:rowOff>
    </xdr:from>
    <xdr:to>
      <xdr:col>23</xdr:col>
      <xdr:colOff>426720</xdr:colOff>
      <xdr:row>29</xdr:row>
      <xdr:rowOff>80010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F6DE20E-25CE-0E11-2C06-F863E6EC6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45720</xdr:colOff>
      <xdr:row>0</xdr:row>
      <xdr:rowOff>41910</xdr:rowOff>
    </xdr:from>
    <xdr:to>
      <xdr:col>23</xdr:col>
      <xdr:colOff>350520</xdr:colOff>
      <xdr:row>14</xdr:row>
      <xdr:rowOff>80010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1AA0115-68AB-07D9-4A82-5AB610E03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38100</xdr:colOff>
      <xdr:row>14</xdr:row>
      <xdr:rowOff>110490</xdr:rowOff>
    </xdr:from>
    <xdr:to>
      <xdr:col>23</xdr:col>
      <xdr:colOff>342900</xdr:colOff>
      <xdr:row>29</xdr:row>
      <xdr:rowOff>110490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B6AA411-2809-3A6F-DFAA-253F7D367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45357</xdr:colOff>
      <xdr:row>0</xdr:row>
      <xdr:rowOff>75292</xdr:rowOff>
    </xdr:from>
    <xdr:to>
      <xdr:col>23</xdr:col>
      <xdr:colOff>362857</xdr:colOff>
      <xdr:row>14</xdr:row>
      <xdr:rowOff>133349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DE7A2D6-E26B-B429-5016-6DF8EF8C0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45357</xdr:colOff>
      <xdr:row>15</xdr:row>
      <xdr:rowOff>11793</xdr:rowOff>
    </xdr:from>
    <xdr:to>
      <xdr:col>23</xdr:col>
      <xdr:colOff>362857</xdr:colOff>
      <xdr:row>29</xdr:row>
      <xdr:rowOff>33564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E1EDEE1-6F0E-D3A7-F982-B0E8A7770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32425</xdr:colOff>
      <xdr:row>0</xdr:row>
      <xdr:rowOff>30804</xdr:rowOff>
    </xdr:from>
    <xdr:to>
      <xdr:col>23</xdr:col>
      <xdr:colOff>348574</xdr:colOff>
      <xdr:row>13</xdr:row>
      <xdr:rowOff>34047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D222B17-4B78-A402-557D-FD77758AF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24319</xdr:colOff>
      <xdr:row>13</xdr:row>
      <xdr:rowOff>79443</xdr:rowOff>
    </xdr:from>
    <xdr:to>
      <xdr:col>23</xdr:col>
      <xdr:colOff>340468</xdr:colOff>
      <xdr:row>28</xdr:row>
      <xdr:rowOff>25940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722EBBC-352C-5C45-9932-129E595BB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2209-8EAB-427C-A12B-5FDBB2924D4B}">
  <dimension ref="A1:P33"/>
  <sheetViews>
    <sheetView tabSelected="1" zoomScale="70" zoomScaleNormal="70" workbookViewId="0">
      <selection activeCell="A33" sqref="A33"/>
    </sheetView>
  </sheetViews>
  <sheetFormatPr defaultRowHeight="14.4" x14ac:dyDescent="0.3"/>
  <cols>
    <col min="1" max="1" width="16.6640625" customWidth="1"/>
    <col min="2" max="9" width="10.33203125" customWidth="1"/>
    <col min="10" max="10" width="17.33203125" customWidth="1"/>
    <col min="11" max="16" width="12.44140625" customWidth="1"/>
  </cols>
  <sheetData>
    <row r="1" spans="1:16" ht="28.8" x14ac:dyDescent="0.3">
      <c r="A1" s="1" t="s">
        <v>107</v>
      </c>
      <c r="B1" s="10" t="s">
        <v>106</v>
      </c>
      <c r="C1" s="2" t="s">
        <v>0</v>
      </c>
      <c r="D1" s="2" t="s">
        <v>1</v>
      </c>
      <c r="E1" s="2" t="s">
        <v>2</v>
      </c>
      <c r="F1" s="10" t="s">
        <v>3</v>
      </c>
      <c r="G1" s="2" t="s">
        <v>4</v>
      </c>
      <c r="H1" s="2" t="s">
        <v>5</v>
      </c>
      <c r="I1" s="13" t="s">
        <v>106</v>
      </c>
      <c r="J1" s="11" t="s">
        <v>106</v>
      </c>
      <c r="K1" s="12" t="s">
        <v>0</v>
      </c>
      <c r="L1" s="12" t="s">
        <v>1</v>
      </c>
      <c r="M1" s="12" t="s">
        <v>2</v>
      </c>
      <c r="N1" s="11" t="s">
        <v>3</v>
      </c>
      <c r="O1" s="12" t="s">
        <v>4</v>
      </c>
      <c r="P1" s="12" t="s">
        <v>5</v>
      </c>
    </row>
    <row r="2" spans="1:16" x14ac:dyDescent="0.3">
      <c r="A2" s="3" t="s">
        <v>6</v>
      </c>
      <c r="B2" s="27">
        <v>1.1960479324918034E-3</v>
      </c>
      <c r="C2" s="27">
        <v>0</v>
      </c>
      <c r="D2" s="27">
        <v>1.8214936247723133E-3</v>
      </c>
      <c r="E2" s="27">
        <v>1.5594541910331384E-3</v>
      </c>
      <c r="F2" s="27">
        <v>3.4423407917383823E-4</v>
      </c>
      <c r="G2" s="27">
        <v>4.6339202965708991E-4</v>
      </c>
      <c r="H2" s="27">
        <v>1.3239187996469551E-3</v>
      </c>
      <c r="I2" s="7">
        <v>1.1960479324918034E-3</v>
      </c>
      <c r="J2" s="28">
        <v>1.1960479324918034E-3</v>
      </c>
      <c r="K2" s="28">
        <v>0</v>
      </c>
      <c r="L2" s="28">
        <v>1.8214936247723133E-3</v>
      </c>
      <c r="M2" s="28">
        <v>1.5594541910331384E-3</v>
      </c>
      <c r="N2" s="28">
        <v>3.4423407917383823E-4</v>
      </c>
      <c r="O2" s="28">
        <v>4.6339202965708991E-4</v>
      </c>
      <c r="P2" s="28">
        <v>1.3239187996469551E-3</v>
      </c>
    </row>
    <row r="3" spans="1:16" x14ac:dyDescent="0.3">
      <c r="A3" s="3" t="s">
        <v>7</v>
      </c>
      <c r="B3" s="27">
        <v>1.4364187305751074E-3</v>
      </c>
      <c r="C3" s="27">
        <v>0</v>
      </c>
      <c r="D3" s="27">
        <v>1.366120218579235E-3</v>
      </c>
      <c r="E3" s="27">
        <v>1.1695906432748538E-3</v>
      </c>
      <c r="F3" s="27">
        <v>1.7211703958691912E-4</v>
      </c>
      <c r="G3" s="27">
        <v>6.9508804448563486E-4</v>
      </c>
      <c r="H3" s="27">
        <v>0</v>
      </c>
      <c r="I3" s="7">
        <v>2.6324666630669108E-3</v>
      </c>
      <c r="J3" s="7">
        <f t="shared" ref="J3:P3" si="0">J2+B3</f>
        <v>2.6324666630669108E-3</v>
      </c>
      <c r="K3" s="7">
        <f t="shared" si="0"/>
        <v>0</v>
      </c>
      <c r="L3" s="7">
        <f t="shared" si="0"/>
        <v>3.187613843351548E-3</v>
      </c>
      <c r="M3" s="7">
        <f t="shared" si="0"/>
        <v>2.7290448343079924E-3</v>
      </c>
      <c r="N3" s="7">
        <f t="shared" si="0"/>
        <v>5.1635111876075738E-4</v>
      </c>
      <c r="O3" s="7">
        <f t="shared" si="0"/>
        <v>1.1584800741427249E-3</v>
      </c>
      <c r="P3" s="7">
        <f t="shared" si="0"/>
        <v>1.3239187996469551E-3</v>
      </c>
    </row>
    <row r="4" spans="1:16" x14ac:dyDescent="0.3">
      <c r="A4" s="3" t="s">
        <v>8</v>
      </c>
      <c r="B4" s="27">
        <v>1.6660483214976842E-3</v>
      </c>
      <c r="C4" s="27">
        <v>8.4602368866328254E-4</v>
      </c>
      <c r="D4" s="27">
        <v>0</v>
      </c>
      <c r="E4" s="27">
        <v>1.1695906432748538E-3</v>
      </c>
      <c r="F4" s="27">
        <v>1.3769363166953529E-3</v>
      </c>
      <c r="G4" s="27">
        <v>1.3901760889712697E-3</v>
      </c>
      <c r="H4" s="27">
        <v>0</v>
      </c>
      <c r="I4" s="7">
        <v>4.2985149845645946E-3</v>
      </c>
      <c r="J4" s="7">
        <f t="shared" ref="J4:J14" si="1">J3+B4</f>
        <v>4.2985149845645946E-3</v>
      </c>
      <c r="K4" s="7">
        <f t="shared" ref="K4:K14" si="2">K3+C4</f>
        <v>8.4602368866328254E-4</v>
      </c>
      <c r="L4" s="7">
        <f t="shared" ref="L4:L14" si="3">L3+D4</f>
        <v>3.187613843351548E-3</v>
      </c>
      <c r="M4" s="7">
        <f t="shared" ref="M4:M14" si="4">M3+E4</f>
        <v>3.8986354775828462E-3</v>
      </c>
      <c r="N4" s="7">
        <f t="shared" ref="N4:N14" si="5">N3+F4</f>
        <v>1.8932874354561104E-3</v>
      </c>
      <c r="O4" s="7">
        <f t="shared" ref="O4:O14" si="6">O3+G4</f>
        <v>2.5486561631139944E-3</v>
      </c>
      <c r="P4" s="7">
        <f t="shared" ref="P4:P14" si="7">P3+H4</f>
        <v>1.3239187996469551E-3</v>
      </c>
    </row>
    <row r="5" spans="1:16" x14ac:dyDescent="0.3">
      <c r="A5" s="3" t="s">
        <v>9</v>
      </c>
      <c r="B5" s="27">
        <v>2.2420092676296594E-3</v>
      </c>
      <c r="C5" s="27">
        <v>1.9035532994923859E-3</v>
      </c>
      <c r="D5" s="27">
        <v>2.2768670309653918E-3</v>
      </c>
      <c r="E5" s="27">
        <v>0</v>
      </c>
      <c r="F5" s="27">
        <v>3.4423407917383823E-4</v>
      </c>
      <c r="G5" s="27">
        <v>0</v>
      </c>
      <c r="H5" s="27">
        <v>4.4130626654898501E-4</v>
      </c>
      <c r="I5" s="7">
        <v>6.540524252194254E-3</v>
      </c>
      <c r="J5" s="7">
        <f t="shared" si="1"/>
        <v>6.540524252194254E-3</v>
      </c>
      <c r="K5" s="7">
        <f t="shared" si="2"/>
        <v>2.7495769881556685E-3</v>
      </c>
      <c r="L5" s="7">
        <f t="shared" si="3"/>
        <v>5.4644808743169399E-3</v>
      </c>
      <c r="M5" s="7">
        <f t="shared" si="4"/>
        <v>3.8986354775828462E-3</v>
      </c>
      <c r="N5" s="7">
        <f t="shared" si="5"/>
        <v>2.2375215146299486E-3</v>
      </c>
      <c r="O5" s="7">
        <f t="shared" si="6"/>
        <v>2.5486561631139944E-3</v>
      </c>
      <c r="P5" s="7">
        <f t="shared" si="7"/>
        <v>1.76522506619594E-3</v>
      </c>
    </row>
    <row r="6" spans="1:16" x14ac:dyDescent="0.3">
      <c r="A6" s="3" t="s">
        <v>10</v>
      </c>
      <c r="B6" s="27">
        <v>3.055147679986344E-3</v>
      </c>
      <c r="C6" s="27">
        <v>5.9221658206429781E-3</v>
      </c>
      <c r="D6" s="27">
        <v>4.5537340619307837E-3</v>
      </c>
      <c r="E6" s="27">
        <v>1.5594541910331384E-3</v>
      </c>
      <c r="F6" s="27">
        <v>4.4750430292598963E-3</v>
      </c>
      <c r="G6" s="27">
        <v>5.0973123262279887E-3</v>
      </c>
      <c r="H6" s="27">
        <v>5.7369814651368053E-3</v>
      </c>
      <c r="I6" s="7">
        <v>9.5956719321805984E-3</v>
      </c>
      <c r="J6" s="7">
        <f t="shared" si="1"/>
        <v>9.5956719321805984E-3</v>
      </c>
      <c r="K6" s="7">
        <f t="shared" si="2"/>
        <v>8.6717428087986458E-3</v>
      </c>
      <c r="L6" s="7">
        <f t="shared" si="3"/>
        <v>1.0018214936247723E-2</v>
      </c>
      <c r="M6" s="7">
        <f t="shared" si="4"/>
        <v>5.4580896686159848E-3</v>
      </c>
      <c r="N6" s="7">
        <f t="shared" si="5"/>
        <v>6.7125645438898453E-3</v>
      </c>
      <c r="O6" s="7">
        <f t="shared" si="6"/>
        <v>7.6459684893419831E-3</v>
      </c>
      <c r="P6" s="7">
        <f t="shared" si="7"/>
        <v>7.5022065313327451E-3</v>
      </c>
    </row>
    <row r="7" spans="1:16" x14ac:dyDescent="0.3">
      <c r="A7" s="3" t="s">
        <v>11</v>
      </c>
      <c r="B7" s="27">
        <v>4.7902880907881662E-3</v>
      </c>
      <c r="C7" s="27">
        <v>5.499153976311337E-3</v>
      </c>
      <c r="D7" s="27">
        <v>6.8306010928961746E-3</v>
      </c>
      <c r="E7" s="27">
        <v>4.2884990253411305E-3</v>
      </c>
      <c r="F7" s="27">
        <v>6.3683304647160072E-3</v>
      </c>
      <c r="G7" s="27">
        <v>3.2437442075996291E-3</v>
      </c>
      <c r="H7" s="27">
        <v>7.5022065313327451E-3</v>
      </c>
      <c r="I7" s="7">
        <v>1.4385960022968765E-2</v>
      </c>
      <c r="J7" s="7">
        <f t="shared" si="1"/>
        <v>1.4385960022968765E-2</v>
      </c>
      <c r="K7" s="7">
        <f t="shared" si="2"/>
        <v>1.4170896785109983E-2</v>
      </c>
      <c r="L7" s="7">
        <f t="shared" si="3"/>
        <v>1.6848816029143898E-2</v>
      </c>
      <c r="M7" s="7">
        <f t="shared" si="4"/>
        <v>9.7465886939571145E-3</v>
      </c>
      <c r="N7" s="7">
        <f t="shared" si="5"/>
        <v>1.3080895008605853E-2</v>
      </c>
      <c r="O7" s="7">
        <f t="shared" si="6"/>
        <v>1.0889712696941611E-2</v>
      </c>
      <c r="P7" s="7">
        <f t="shared" si="7"/>
        <v>1.500441306266549E-2</v>
      </c>
    </row>
    <row r="8" spans="1:16" x14ac:dyDescent="0.3">
      <c r="A8" s="3" t="s">
        <v>12</v>
      </c>
      <c r="B8" s="27">
        <v>6.004334802846594E-3</v>
      </c>
      <c r="C8" s="27">
        <v>6.3451776649746188E-4</v>
      </c>
      <c r="D8" s="27">
        <v>1.366120218579235E-3</v>
      </c>
      <c r="E8" s="27">
        <v>2.7290448343079924E-3</v>
      </c>
      <c r="F8" s="27">
        <v>2.2375215146299482E-3</v>
      </c>
      <c r="G8" s="27">
        <v>1.8535681186283596E-3</v>
      </c>
      <c r="H8" s="27">
        <v>3.0891438658428951E-3</v>
      </c>
      <c r="I8" s="7">
        <v>2.039029482581536E-2</v>
      </c>
      <c r="J8" s="7">
        <f t="shared" si="1"/>
        <v>2.039029482581536E-2</v>
      </c>
      <c r="K8" s="7">
        <f t="shared" si="2"/>
        <v>1.4805414551607445E-2</v>
      </c>
      <c r="L8" s="7">
        <f t="shared" si="3"/>
        <v>1.8214936247723135E-2</v>
      </c>
      <c r="M8" s="7">
        <f t="shared" si="4"/>
        <v>1.2475633528265107E-2</v>
      </c>
      <c r="N8" s="7">
        <f t="shared" si="5"/>
        <v>1.53184165232358E-2</v>
      </c>
      <c r="O8" s="7">
        <f t="shared" si="6"/>
        <v>1.2743280815569972E-2</v>
      </c>
      <c r="P8" s="7">
        <f t="shared" si="7"/>
        <v>1.8093556928508385E-2</v>
      </c>
    </row>
    <row r="9" spans="1:16" x14ac:dyDescent="0.3">
      <c r="A9" s="3" t="s">
        <v>13</v>
      </c>
      <c r="B9" s="27">
        <v>1.3169300584844215E-2</v>
      </c>
      <c r="C9" s="27">
        <v>1.3747884940778343E-2</v>
      </c>
      <c r="D9" s="27">
        <v>1.1384335154826957E-2</v>
      </c>
      <c r="E9" s="27">
        <v>1.0526315789473684E-2</v>
      </c>
      <c r="F9" s="27">
        <v>8.6058519793459545E-3</v>
      </c>
      <c r="G9" s="27">
        <v>6.7191844300278037E-3</v>
      </c>
      <c r="H9" s="27">
        <v>7.5022065313327451E-3</v>
      </c>
      <c r="I9" s="7">
        <v>3.3559595410659573E-2</v>
      </c>
      <c r="J9" s="7">
        <f t="shared" si="1"/>
        <v>3.3559595410659573E-2</v>
      </c>
      <c r="K9" s="7">
        <f t="shared" si="2"/>
        <v>2.8553299492385789E-2</v>
      </c>
      <c r="L9" s="7">
        <f t="shared" si="3"/>
        <v>2.9599271402550094E-2</v>
      </c>
      <c r="M9" s="7">
        <f t="shared" si="4"/>
        <v>2.3001949317738791E-2</v>
      </c>
      <c r="N9" s="7">
        <f t="shared" si="5"/>
        <v>2.3924268502581753E-2</v>
      </c>
      <c r="O9" s="7">
        <f t="shared" si="6"/>
        <v>1.9462465245597776E-2</v>
      </c>
      <c r="P9" s="7">
        <f t="shared" si="7"/>
        <v>2.5595763459841131E-2</v>
      </c>
    </row>
    <row r="10" spans="1:16" x14ac:dyDescent="0.3">
      <c r="A10" s="3" t="s">
        <v>14</v>
      </c>
      <c r="B10" s="27">
        <v>2.8269115429656995E-2</v>
      </c>
      <c r="C10" s="27">
        <v>4.3147208121827409E-2</v>
      </c>
      <c r="D10" s="27">
        <v>5.145719489981785E-2</v>
      </c>
      <c r="E10" s="27">
        <v>3.6647173489278755E-2</v>
      </c>
      <c r="F10" s="27">
        <v>4.1996557659208261E-2</v>
      </c>
      <c r="G10" s="27">
        <v>3.614457831325301E-2</v>
      </c>
      <c r="H10" s="27">
        <v>3.8834951456310676E-2</v>
      </c>
      <c r="I10" s="7">
        <v>6.1828710840316568E-2</v>
      </c>
      <c r="J10" s="7">
        <f t="shared" si="1"/>
        <v>6.1828710840316568E-2</v>
      </c>
      <c r="K10" s="7">
        <f t="shared" si="2"/>
        <v>7.1700507614213205E-2</v>
      </c>
      <c r="L10" s="7">
        <f t="shared" si="3"/>
        <v>8.1056466302367944E-2</v>
      </c>
      <c r="M10" s="7">
        <f t="shared" si="4"/>
        <v>5.9649122807017549E-2</v>
      </c>
      <c r="N10" s="7">
        <f t="shared" si="5"/>
        <v>6.5920826161790014E-2</v>
      </c>
      <c r="O10" s="7">
        <f t="shared" si="6"/>
        <v>5.5607043558850787E-2</v>
      </c>
      <c r="P10" s="7">
        <f t="shared" si="7"/>
        <v>6.4430714916151807E-2</v>
      </c>
    </row>
    <row r="11" spans="1:16" x14ac:dyDescent="0.3">
      <c r="A11" s="3" t="s">
        <v>15</v>
      </c>
      <c r="B11" s="27">
        <v>4.0026092424313681E-2</v>
      </c>
      <c r="C11" s="27">
        <v>2.4746192893401017E-2</v>
      </c>
      <c r="D11" s="27">
        <v>1.6393442622950821E-2</v>
      </c>
      <c r="E11" s="27">
        <v>2.0662768031189084E-2</v>
      </c>
      <c r="F11" s="27">
        <v>1.6179001721170396E-2</v>
      </c>
      <c r="G11" s="27">
        <v>9.7312326227988882E-3</v>
      </c>
      <c r="H11" s="27">
        <v>1.5445719329214475E-2</v>
      </c>
      <c r="I11" s="7">
        <v>0.10185480326463026</v>
      </c>
      <c r="J11" s="7">
        <f t="shared" si="1"/>
        <v>0.10185480326463026</v>
      </c>
      <c r="K11" s="7">
        <f t="shared" si="2"/>
        <v>9.6446700507614225E-2</v>
      </c>
      <c r="L11" s="7">
        <f t="shared" si="3"/>
        <v>9.7449908925318768E-2</v>
      </c>
      <c r="M11" s="7">
        <f t="shared" si="4"/>
        <v>8.031189083820664E-2</v>
      </c>
      <c r="N11" s="7">
        <f t="shared" si="5"/>
        <v>8.2099827882960413E-2</v>
      </c>
      <c r="O11" s="7">
        <f t="shared" si="6"/>
        <v>6.5338276181649668E-2</v>
      </c>
      <c r="P11" s="7">
        <f t="shared" si="7"/>
        <v>7.9876434245366279E-2</v>
      </c>
    </row>
    <row r="12" spans="1:16" x14ac:dyDescent="0.3">
      <c r="A12" s="3" t="s">
        <v>16</v>
      </c>
      <c r="B12" s="27">
        <v>6.4361603609974574E-2</v>
      </c>
      <c r="C12" s="27">
        <v>1.4593908629441625E-2</v>
      </c>
      <c r="D12" s="27">
        <v>3.825136612021858E-2</v>
      </c>
      <c r="E12" s="27">
        <v>7.641325536062378E-2</v>
      </c>
      <c r="F12" s="27">
        <v>7.9001721170395875E-2</v>
      </c>
      <c r="G12" s="27">
        <v>0.12071362372567192</v>
      </c>
      <c r="H12" s="27">
        <v>9.3115622241835838E-2</v>
      </c>
      <c r="I12" s="7">
        <v>0.16621640687460482</v>
      </c>
      <c r="J12" s="7">
        <f t="shared" si="1"/>
        <v>0.16621640687460482</v>
      </c>
      <c r="K12" s="7">
        <f t="shared" si="2"/>
        <v>0.11104060913705585</v>
      </c>
      <c r="L12" s="7">
        <f t="shared" si="3"/>
        <v>0.13570127504553736</v>
      </c>
      <c r="M12" s="7">
        <f t="shared" si="4"/>
        <v>0.15672514619883043</v>
      </c>
      <c r="N12" s="7">
        <f t="shared" si="5"/>
        <v>0.16110154905335627</v>
      </c>
      <c r="O12" s="7">
        <f t="shared" si="6"/>
        <v>0.18605189990732157</v>
      </c>
      <c r="P12" s="7">
        <f t="shared" si="7"/>
        <v>0.17299205648720212</v>
      </c>
    </row>
    <row r="13" spans="1:16" x14ac:dyDescent="0.3">
      <c r="A13" s="3" t="s">
        <v>17</v>
      </c>
      <c r="B13" s="27">
        <v>9.9113763318371129E-2</v>
      </c>
      <c r="C13" s="27">
        <v>6.7470389170896788E-2</v>
      </c>
      <c r="D13" s="27">
        <v>7.1493624772313302E-2</v>
      </c>
      <c r="E13" s="27">
        <v>6.510721247563353E-2</v>
      </c>
      <c r="F13" s="27">
        <v>7.4010327022375214E-2</v>
      </c>
      <c r="G13" s="27">
        <v>6.7886932344763673E-2</v>
      </c>
      <c r="H13" s="27">
        <v>6.7519858781994707E-2</v>
      </c>
      <c r="I13" s="7">
        <v>0.26533017019297594</v>
      </c>
      <c r="J13" s="7">
        <f t="shared" si="1"/>
        <v>0.26533017019297594</v>
      </c>
      <c r="K13" s="7">
        <f t="shared" si="2"/>
        <v>0.17851099830795264</v>
      </c>
      <c r="L13" s="7">
        <f t="shared" si="3"/>
        <v>0.20719489981785066</v>
      </c>
      <c r="M13" s="7">
        <f t="shared" si="4"/>
        <v>0.22183235867446396</v>
      </c>
      <c r="N13" s="7">
        <f t="shared" si="5"/>
        <v>0.23511187607573147</v>
      </c>
      <c r="O13" s="7">
        <f t="shared" si="6"/>
        <v>0.25393883225208524</v>
      </c>
      <c r="P13" s="7">
        <f t="shared" si="7"/>
        <v>0.24051191526919682</v>
      </c>
    </row>
    <row r="14" spans="1:16" x14ac:dyDescent="0.3">
      <c r="A14" s="3" t="s">
        <v>18</v>
      </c>
      <c r="B14" s="27">
        <v>0.734669829807024</v>
      </c>
      <c r="C14" s="27">
        <v>0.82148900169204742</v>
      </c>
      <c r="D14" s="27">
        <v>0.79280510018214934</v>
      </c>
      <c r="E14" s="27">
        <v>0.77816764132553606</v>
      </c>
      <c r="F14" s="27">
        <v>0.76488812392426853</v>
      </c>
      <c r="G14" s="27">
        <v>0.74606116774791476</v>
      </c>
      <c r="H14" s="27">
        <v>0.7594880847308032</v>
      </c>
      <c r="I14" s="7">
        <v>1</v>
      </c>
      <c r="J14" s="7">
        <f t="shared" si="1"/>
        <v>1</v>
      </c>
      <c r="K14" s="7">
        <f t="shared" si="2"/>
        <v>1</v>
      </c>
      <c r="L14" s="7">
        <f t="shared" si="3"/>
        <v>1</v>
      </c>
      <c r="M14" s="7">
        <f t="shared" si="4"/>
        <v>1</v>
      </c>
      <c r="N14" s="7">
        <f t="shared" si="5"/>
        <v>1</v>
      </c>
      <c r="O14" s="7">
        <f t="shared" si="6"/>
        <v>1</v>
      </c>
      <c r="P14" s="7">
        <f t="shared" si="7"/>
        <v>1</v>
      </c>
    </row>
    <row r="16" spans="1:16" ht="28.8" x14ac:dyDescent="0.3">
      <c r="B16" s="1" t="s">
        <v>107</v>
      </c>
      <c r="C16" s="2" t="s">
        <v>109</v>
      </c>
      <c r="D16" s="2" t="s">
        <v>110</v>
      </c>
      <c r="E16" s="2" t="s">
        <v>111</v>
      </c>
      <c r="F16" s="2" t="s">
        <v>112</v>
      </c>
      <c r="G16" s="2" t="s">
        <v>113</v>
      </c>
      <c r="H16" s="2" t="s">
        <v>114</v>
      </c>
      <c r="I16" s="16"/>
      <c r="J16" s="6"/>
      <c r="K16" s="20" t="s">
        <v>115</v>
      </c>
      <c r="L16" s="20" t="s">
        <v>116</v>
      </c>
      <c r="M16" s="20" t="s">
        <v>117</v>
      </c>
      <c r="N16" s="20" t="s">
        <v>118</v>
      </c>
      <c r="O16" s="20" t="s">
        <v>119</v>
      </c>
      <c r="P16" s="20" t="s">
        <v>120</v>
      </c>
    </row>
    <row r="17" spans="2:16" x14ac:dyDescent="0.3">
      <c r="B17" s="3" t="s">
        <v>6</v>
      </c>
      <c r="C17" s="7">
        <f>C2-$B2</f>
        <v>-1.1960479324918034E-3</v>
      </c>
      <c r="D17" s="7">
        <f t="shared" ref="D17:H17" si="8">D2-$B2</f>
        <v>6.2544569228050991E-4</v>
      </c>
      <c r="E17" s="7">
        <f t="shared" si="8"/>
        <v>3.6340625854133497E-4</v>
      </c>
      <c r="F17" s="7">
        <f t="shared" si="8"/>
        <v>-8.5181385331796521E-4</v>
      </c>
      <c r="G17" s="7">
        <f t="shared" si="8"/>
        <v>-7.3265590283471348E-4</v>
      </c>
      <c r="H17" s="7">
        <f t="shared" si="8"/>
        <v>1.278708671551517E-4</v>
      </c>
      <c r="I17" s="4"/>
      <c r="J17" s="3" t="s">
        <v>6</v>
      </c>
      <c r="K17" s="6">
        <f>($J2-0) * ((K2+0))</f>
        <v>0</v>
      </c>
      <c r="L17" s="6">
        <f t="shared" ref="L17:P17" si="9">($J2-0) * ((L2+0))</f>
        <v>2.1785936839559261E-6</v>
      </c>
      <c r="M17" s="6">
        <f t="shared" si="9"/>
        <v>1.865181961000863E-6</v>
      </c>
      <c r="N17" s="6">
        <f t="shared" si="9"/>
        <v>4.1172045868908899E-7</v>
      </c>
      <c r="O17" s="6">
        <f t="shared" si="9"/>
        <v>5.5423907900454286E-7</v>
      </c>
      <c r="P17" s="6">
        <f t="shared" si="9"/>
        <v>1.5834703431047706E-6</v>
      </c>
    </row>
    <row r="18" spans="2:16" x14ac:dyDescent="0.3">
      <c r="B18" s="3" t="s">
        <v>7</v>
      </c>
      <c r="C18" s="7">
        <f t="shared" ref="C18:H29" si="10">C3-$B3</f>
        <v>-1.4364187305751074E-3</v>
      </c>
      <c r="D18" s="7">
        <f t="shared" si="10"/>
        <v>-7.0298511995872453E-5</v>
      </c>
      <c r="E18" s="7">
        <f t="shared" si="10"/>
        <v>-2.668280873002536E-4</v>
      </c>
      <c r="F18" s="7">
        <f t="shared" si="10"/>
        <v>-1.2643016909881883E-3</v>
      </c>
      <c r="G18" s="7">
        <f t="shared" si="10"/>
        <v>-7.4133068608947257E-4</v>
      </c>
      <c r="H18" s="7">
        <f t="shared" si="10"/>
        <v>-1.4364187305751074E-3</v>
      </c>
      <c r="I18" s="4"/>
      <c r="J18" s="3" t="s">
        <v>7</v>
      </c>
      <c r="K18" s="6">
        <f t="shared" ref="K18:P29" si="11">($J3-$J2) * ((K3+K2))</f>
        <v>0</v>
      </c>
      <c r="L18" s="6">
        <f t="shared" si="11"/>
        <v>7.1951757906767673E-6</v>
      </c>
      <c r="M18" s="6">
        <f t="shared" si="11"/>
        <v>6.1600803260530926E-6</v>
      </c>
      <c r="N18" s="6">
        <f t="shared" si="11"/>
        <v>1.2361606975689395E-6</v>
      </c>
      <c r="O18" s="6">
        <f t="shared" si="11"/>
        <v>2.3296874684953086E-6</v>
      </c>
      <c r="P18" s="6">
        <f t="shared" si="11"/>
        <v>3.8034035231467985E-6</v>
      </c>
    </row>
    <row r="19" spans="2:16" x14ac:dyDescent="0.3">
      <c r="B19" s="3" t="s">
        <v>8</v>
      </c>
      <c r="C19" s="7">
        <f t="shared" si="10"/>
        <v>-8.2002463283440167E-4</v>
      </c>
      <c r="D19" s="7">
        <f t="shared" si="10"/>
        <v>-1.6660483214976842E-3</v>
      </c>
      <c r="E19" s="7">
        <f t="shared" si="10"/>
        <v>-4.9645767822283039E-4</v>
      </c>
      <c r="F19" s="7">
        <f t="shared" si="10"/>
        <v>-2.8911200480233128E-4</v>
      </c>
      <c r="G19" s="7">
        <f t="shared" si="10"/>
        <v>-2.758722325264145E-4</v>
      </c>
      <c r="H19" s="7">
        <f t="shared" si="10"/>
        <v>-1.6660483214976842E-3</v>
      </c>
      <c r="I19" s="4"/>
      <c r="J19" s="3" t="s">
        <v>8</v>
      </c>
      <c r="K19" s="6">
        <f t="shared" si="11"/>
        <v>1.4095163464447408E-6</v>
      </c>
      <c r="L19" s="6">
        <f t="shared" si="11"/>
        <v>1.0621437386597254E-5</v>
      </c>
      <c r="M19" s="6">
        <f t="shared" si="11"/>
        <v>1.1042035659048976E-5</v>
      </c>
      <c r="N19" s="6">
        <f t="shared" si="11"/>
        <v>4.0145742686691178E-6</v>
      </c>
      <c r="O19" s="6">
        <f t="shared" si="11"/>
        <v>6.1762681056447965E-6</v>
      </c>
      <c r="P19" s="6">
        <f t="shared" si="11"/>
        <v>4.4114253879020754E-6</v>
      </c>
    </row>
    <row r="20" spans="2:16" x14ac:dyDescent="0.3">
      <c r="B20" s="3" t="s">
        <v>9</v>
      </c>
      <c r="C20" s="7">
        <f t="shared" si="10"/>
        <v>-3.3845596813727357E-4</v>
      </c>
      <c r="D20" s="7">
        <f t="shared" si="10"/>
        <v>3.4857763335732414E-5</v>
      </c>
      <c r="E20" s="7">
        <f t="shared" si="10"/>
        <v>-2.2420092676296594E-3</v>
      </c>
      <c r="F20" s="7">
        <f t="shared" si="10"/>
        <v>-1.8977751884558212E-3</v>
      </c>
      <c r="G20" s="7">
        <f t="shared" si="10"/>
        <v>-2.2420092676296594E-3</v>
      </c>
      <c r="H20" s="7">
        <f t="shared" si="10"/>
        <v>-1.8007030010806745E-3</v>
      </c>
      <c r="I20" s="4"/>
      <c r="J20" s="3" t="s">
        <v>9</v>
      </c>
      <c r="K20" s="6">
        <f t="shared" si="11"/>
        <v>8.0613700401235645E-6</v>
      </c>
      <c r="L20" s="6">
        <f t="shared" si="11"/>
        <v>1.9398076541422373E-5</v>
      </c>
      <c r="M20" s="6">
        <f t="shared" si="11"/>
        <v>1.748155374370105E-5</v>
      </c>
      <c r="N20" s="6">
        <f t="shared" si="11"/>
        <v>9.2613119489004878E-6</v>
      </c>
      <c r="O20" s="6">
        <f t="shared" si="11"/>
        <v>1.1428221475406048E-5</v>
      </c>
      <c r="P20" s="6">
        <f t="shared" si="11"/>
        <v>6.9258891762610841E-6</v>
      </c>
    </row>
    <row r="21" spans="2:16" x14ac:dyDescent="0.3">
      <c r="B21" s="3" t="s">
        <v>10</v>
      </c>
      <c r="C21" s="7">
        <f t="shared" si="10"/>
        <v>2.8670181406566342E-3</v>
      </c>
      <c r="D21" s="7">
        <f t="shared" si="10"/>
        <v>1.4985863819444397E-3</v>
      </c>
      <c r="E21" s="7">
        <f t="shared" si="10"/>
        <v>-1.4956934889532056E-3</v>
      </c>
      <c r="F21" s="7">
        <f t="shared" si="10"/>
        <v>1.4198953492735524E-3</v>
      </c>
      <c r="G21" s="7">
        <f t="shared" si="10"/>
        <v>2.0421646462416448E-3</v>
      </c>
      <c r="H21" s="7">
        <f t="shared" si="10"/>
        <v>2.6818337851504614E-3</v>
      </c>
      <c r="I21" s="4"/>
      <c r="J21" s="3" t="s">
        <v>10</v>
      </c>
      <c r="K21" s="6">
        <f t="shared" si="11"/>
        <v>3.489381868004708E-5</v>
      </c>
      <c r="L21" s="6">
        <f t="shared" si="11"/>
        <v>4.7301922185580923E-5</v>
      </c>
      <c r="M21" s="6">
        <f t="shared" si="11"/>
        <v>2.8586177122679246E-5</v>
      </c>
      <c r="N21" s="6">
        <f t="shared" si="11"/>
        <v>2.7343834657364876E-5</v>
      </c>
      <c r="O21" s="6">
        <f t="shared" si="11"/>
        <v>3.1146083855282469E-5</v>
      </c>
      <c r="P21" s="6">
        <f t="shared" si="11"/>
        <v>2.8313372144621906E-5</v>
      </c>
    </row>
    <row r="22" spans="2:16" x14ac:dyDescent="0.3">
      <c r="B22" s="3" t="s">
        <v>11</v>
      </c>
      <c r="C22" s="7">
        <f t="shared" si="10"/>
        <v>7.0886588552317078E-4</v>
      </c>
      <c r="D22" s="7">
        <f t="shared" si="10"/>
        <v>2.0403130021080084E-3</v>
      </c>
      <c r="E22" s="7">
        <f t="shared" si="10"/>
        <v>-5.0178906544703569E-4</v>
      </c>
      <c r="F22" s="7">
        <f t="shared" si="10"/>
        <v>1.5780423739278409E-3</v>
      </c>
      <c r="G22" s="7">
        <f t="shared" si="10"/>
        <v>-1.5465438831885371E-3</v>
      </c>
      <c r="H22" s="7">
        <f t="shared" si="10"/>
        <v>2.7119184405445789E-3</v>
      </c>
      <c r="I22" s="4"/>
      <c r="J22" s="3" t="s">
        <v>11</v>
      </c>
      <c r="K22" s="6">
        <f t="shared" si="11"/>
        <v>1.0942282440886676E-4</v>
      </c>
      <c r="L22" s="6">
        <f t="shared" si="11"/>
        <v>1.287008184683524E-4</v>
      </c>
      <c r="M22" s="6">
        <f t="shared" si="11"/>
        <v>7.2834789684498444E-5</v>
      </c>
      <c r="N22" s="6">
        <f t="shared" si="11"/>
        <v>9.4816373569817422E-5</v>
      </c>
      <c r="O22" s="6">
        <f t="shared" si="11"/>
        <v>8.8791252841300588E-5</v>
      </c>
      <c r="P22" s="6">
        <f t="shared" si="11"/>
        <v>1.0781319180502936E-4</v>
      </c>
    </row>
    <row r="23" spans="2:16" x14ac:dyDescent="0.3">
      <c r="B23" s="3" t="s">
        <v>12</v>
      </c>
      <c r="C23" s="7">
        <f t="shared" si="10"/>
        <v>-5.3698170363491319E-3</v>
      </c>
      <c r="D23" s="7">
        <f t="shared" si="10"/>
        <v>-4.6382145842673592E-3</v>
      </c>
      <c r="E23" s="7">
        <f t="shared" si="10"/>
        <v>-3.2752899685386016E-3</v>
      </c>
      <c r="F23" s="7">
        <f t="shared" si="10"/>
        <v>-3.7668132882166458E-3</v>
      </c>
      <c r="G23" s="7">
        <f t="shared" si="10"/>
        <v>-4.1507666842182343E-3</v>
      </c>
      <c r="H23" s="7">
        <f t="shared" si="10"/>
        <v>-2.9151909370036988E-3</v>
      </c>
      <c r="I23" s="4"/>
      <c r="J23" s="3" t="s">
        <v>12</v>
      </c>
      <c r="K23" s="6">
        <f t="shared" si="11"/>
        <v>1.7398347461717079E-4</v>
      </c>
      <c r="L23" s="6">
        <f t="shared" si="11"/>
        <v>2.1053450811438427E-4</v>
      </c>
      <c r="M23" s="6">
        <f t="shared" si="11"/>
        <v>1.3342966228547986E-4</v>
      </c>
      <c r="N23" s="6">
        <f t="shared" si="11"/>
        <v>1.7051897460751945E-4</v>
      </c>
      <c r="O23" s="6">
        <f t="shared" si="11"/>
        <v>1.4190040544262108E-4</v>
      </c>
      <c r="P23" s="6">
        <f t="shared" si="11"/>
        <v>1.9873129312157753E-4</v>
      </c>
    </row>
    <row r="24" spans="2:16" x14ac:dyDescent="0.3">
      <c r="B24" s="3" t="s">
        <v>13</v>
      </c>
      <c r="C24" s="7">
        <f t="shared" si="10"/>
        <v>5.785843559341277E-4</v>
      </c>
      <c r="D24" s="7">
        <f t="shared" si="10"/>
        <v>-1.7849654300172574E-3</v>
      </c>
      <c r="E24" s="7">
        <f t="shared" si="10"/>
        <v>-2.6429847953705309E-3</v>
      </c>
      <c r="F24" s="7">
        <f t="shared" si="10"/>
        <v>-4.5634486054982604E-3</v>
      </c>
      <c r="G24" s="7">
        <f t="shared" si="10"/>
        <v>-6.4501161548164111E-3</v>
      </c>
      <c r="H24" s="7">
        <f t="shared" si="10"/>
        <v>-5.6670940535114697E-3</v>
      </c>
      <c r="I24" s="4"/>
      <c r="J24" s="3" t="s">
        <v>13</v>
      </c>
      <c r="K24" s="6">
        <f t="shared" si="11"/>
        <v>5.7100393821765303E-4</v>
      </c>
      <c r="L24" s="6">
        <f t="shared" si="11"/>
        <v>6.2967967277260592E-4</v>
      </c>
      <c r="M24" s="6">
        <f t="shared" si="11"/>
        <v>4.6721495252273818E-4</v>
      </c>
      <c r="N24" s="6">
        <f t="shared" si="11"/>
        <v>5.1679871486135637E-4</v>
      </c>
      <c r="O24" s="6">
        <f t="shared" si="11"/>
        <v>4.2412715043868061E-4</v>
      </c>
      <c r="P24" s="6">
        <f t="shared" si="11"/>
        <v>5.7535779254173751E-4</v>
      </c>
    </row>
    <row r="25" spans="2:16" x14ac:dyDescent="0.3">
      <c r="B25" s="3" t="s">
        <v>14</v>
      </c>
      <c r="C25" s="7">
        <f t="shared" si="10"/>
        <v>1.4878092692170414E-2</v>
      </c>
      <c r="D25" s="7">
        <f t="shared" si="10"/>
        <v>2.3188079470160855E-2</v>
      </c>
      <c r="E25" s="7">
        <f t="shared" si="10"/>
        <v>8.3780580596217596E-3</v>
      </c>
      <c r="F25" s="7">
        <f>F10-$B10</f>
        <v>1.3727442229551266E-2</v>
      </c>
      <c r="G25" s="7">
        <f t="shared" si="10"/>
        <v>7.8754628835960155E-3</v>
      </c>
      <c r="H25" s="7">
        <f t="shared" si="10"/>
        <v>1.0565836026653681E-2</v>
      </c>
      <c r="I25" s="4"/>
      <c r="J25" s="3" t="s">
        <v>14</v>
      </c>
      <c r="K25" s="6">
        <f t="shared" si="11"/>
        <v>2.8340864453590135E-3</v>
      </c>
      <c r="L25" s="6">
        <f t="shared" si="11"/>
        <v>3.1281398221341761E-3</v>
      </c>
      <c r="M25" s="6">
        <f t="shared" si="11"/>
        <v>2.3364726982796425E-3</v>
      </c>
      <c r="N25" s="6">
        <f t="shared" si="11"/>
        <v>2.5398413518555852E-3</v>
      </c>
      <c r="O25" s="6">
        <f t="shared" si="11"/>
        <v>2.1221486096406087E-3</v>
      </c>
      <c r="P25" s="6">
        <f t="shared" si="11"/>
        <v>2.5449689089364637E-3</v>
      </c>
    </row>
    <row r="26" spans="2:16" x14ac:dyDescent="0.3">
      <c r="B26" s="3" t="s">
        <v>15</v>
      </c>
      <c r="C26" s="7">
        <f t="shared" si="10"/>
        <v>-1.5279899530912664E-2</v>
      </c>
      <c r="D26" s="7">
        <f t="shared" si="10"/>
        <v>-2.363264980136286E-2</v>
      </c>
      <c r="E26" s="7">
        <f t="shared" si="10"/>
        <v>-1.9363324393124597E-2</v>
      </c>
      <c r="F26" s="7">
        <f t="shared" si="10"/>
        <v>-2.3847090703143285E-2</v>
      </c>
      <c r="G26" s="7">
        <f t="shared" si="10"/>
        <v>-3.0294859801514792E-2</v>
      </c>
      <c r="H26" s="7">
        <f t="shared" si="10"/>
        <v>-2.4580373095099205E-2</v>
      </c>
      <c r="I26" s="4"/>
      <c r="J26" s="3" t="s">
        <v>15</v>
      </c>
      <c r="K26" s="6">
        <f t="shared" si="11"/>
        <v>6.7302756931745741E-3</v>
      </c>
      <c r="L26" s="6">
        <f t="shared" si="11"/>
        <v>7.1449126731926074E-3</v>
      </c>
      <c r="M26" s="6">
        <f t="shared" si="11"/>
        <v>5.6020924679643716E-3</v>
      </c>
      <c r="N26" s="6">
        <f t="shared" si="11"/>
        <v>5.9246883795025422E-3</v>
      </c>
      <c r="O26" s="6">
        <f t="shared" si="11"/>
        <v>4.8409685462214424E-3</v>
      </c>
      <c r="P26" s="6">
        <f t="shared" si="11"/>
        <v>5.7760512898281449E-3</v>
      </c>
    </row>
    <row r="27" spans="2:16" x14ac:dyDescent="0.3">
      <c r="B27" s="3" t="s">
        <v>16</v>
      </c>
      <c r="C27" s="7">
        <f t="shared" si="10"/>
        <v>-4.9767694980532948E-2</v>
      </c>
      <c r="D27" s="7">
        <f t="shared" si="10"/>
        <v>-2.6110237489755994E-2</v>
      </c>
      <c r="E27" s="7">
        <f t="shared" si="10"/>
        <v>1.2051651750649206E-2</v>
      </c>
      <c r="F27" s="7">
        <f t="shared" si="10"/>
        <v>1.4640117560421301E-2</v>
      </c>
      <c r="G27" s="7">
        <f t="shared" si="10"/>
        <v>5.6352020115697343E-2</v>
      </c>
      <c r="H27" s="7">
        <f t="shared" si="10"/>
        <v>2.8754018631861264E-2</v>
      </c>
      <c r="I27" s="4"/>
      <c r="J27" s="3" t="s">
        <v>16</v>
      </c>
      <c r="K27" s="6">
        <f t="shared" si="11"/>
        <v>1.3354215977450307E-2</v>
      </c>
      <c r="L27" s="6">
        <f t="shared" si="11"/>
        <v>1.5005984083928496E-2</v>
      </c>
      <c r="M27" s="6">
        <f t="shared" si="11"/>
        <v>1.5256083818660639E-2</v>
      </c>
      <c r="N27" s="6">
        <f t="shared" si="11"/>
        <v>1.5652830619775224E-2</v>
      </c>
      <c r="O27" s="6">
        <f t="shared" si="11"/>
        <v>1.6179874864880071E-2</v>
      </c>
      <c r="P27" s="6">
        <f t="shared" si="11"/>
        <v>1.6275021565982092E-2</v>
      </c>
    </row>
    <row r="28" spans="2:16" x14ac:dyDescent="0.3">
      <c r="B28" s="3" t="s">
        <v>17</v>
      </c>
      <c r="C28" s="7">
        <f t="shared" si="10"/>
        <v>-3.164337414747434E-2</v>
      </c>
      <c r="D28" s="7">
        <f t="shared" si="10"/>
        <v>-2.7620138546057826E-2</v>
      </c>
      <c r="E28" s="7">
        <f t="shared" si="10"/>
        <v>-3.4006550842737598E-2</v>
      </c>
      <c r="F28" s="7">
        <f t="shared" si="10"/>
        <v>-2.5103436295995915E-2</v>
      </c>
      <c r="G28" s="7">
        <f t="shared" si="10"/>
        <v>-3.1226830973607456E-2</v>
      </c>
      <c r="H28" s="7">
        <f t="shared" si="10"/>
        <v>-3.1593904536376421E-2</v>
      </c>
      <c r="I28" s="4"/>
      <c r="J28" s="3" t="s">
        <v>17</v>
      </c>
      <c r="K28" s="6">
        <f t="shared" si="11"/>
        <v>2.8698549488758482E-2</v>
      </c>
      <c r="L28" s="6">
        <f t="shared" si="11"/>
        <v>3.3985730318184637E-2</v>
      </c>
      <c r="M28" s="6">
        <f t="shared" si="11"/>
        <v>3.7520258940404831E-2</v>
      </c>
      <c r="N28" s="6">
        <f t="shared" si="11"/>
        <v>3.9270203641805564E-2</v>
      </c>
      <c r="O28" s="6">
        <f t="shared" si="11"/>
        <v>4.3609137289524272E-2</v>
      </c>
      <c r="P28" s="6">
        <f t="shared" si="11"/>
        <v>4.0983934787870151E-2</v>
      </c>
    </row>
    <row r="29" spans="2:16" x14ac:dyDescent="0.3">
      <c r="B29" s="3" t="s">
        <v>18</v>
      </c>
      <c r="C29" s="7">
        <f t="shared" si="10"/>
        <v>8.6819171885023416E-2</v>
      </c>
      <c r="D29" s="7">
        <f t="shared" si="10"/>
        <v>5.8135270375125336E-2</v>
      </c>
      <c r="E29" s="7">
        <f t="shared" si="10"/>
        <v>4.3497811518512064E-2</v>
      </c>
      <c r="F29" s="7">
        <f t="shared" si="10"/>
        <v>3.0218294117244526E-2</v>
      </c>
      <c r="G29" s="7">
        <f t="shared" si="10"/>
        <v>1.1391337940890756E-2</v>
      </c>
      <c r="H29" s="7">
        <f t="shared" si="10"/>
        <v>2.4818254923779204E-2</v>
      </c>
      <c r="I29" s="4"/>
      <c r="J29" s="3" t="s">
        <v>18</v>
      </c>
      <c r="K29" s="6">
        <f t="shared" si="11"/>
        <v>0.86581647455260957</v>
      </c>
      <c r="L29" s="6">
        <f t="shared" si="11"/>
        <v>0.88688967159308785</v>
      </c>
      <c r="M29" s="6">
        <f t="shared" si="11"/>
        <v>0.89764337100008318</v>
      </c>
      <c r="N29" s="6">
        <f t="shared" si="11"/>
        <v>0.90739943178919169</v>
      </c>
      <c r="O29" s="6">
        <f t="shared" si="11"/>
        <v>0.92123102847905791</v>
      </c>
      <c r="P29" s="6">
        <f t="shared" si="11"/>
        <v>0.91136667766440616</v>
      </c>
    </row>
    <row r="30" spans="2:16" x14ac:dyDescent="0.3">
      <c r="J30" s="21" t="s">
        <v>122</v>
      </c>
      <c r="K30" s="20">
        <f>SUM(K17:K29)</f>
        <v>0.91833237709966231</v>
      </c>
      <c r="L30" s="20">
        <f t="shared" ref="L30:P30" si="12">SUM(L17:L29)</f>
        <v>0.94721004869547132</v>
      </c>
      <c r="M30" s="20">
        <f t="shared" si="12"/>
        <v>0.95909689335869786</v>
      </c>
      <c r="N30" s="20">
        <f t="shared" si="12"/>
        <v>0.97161139744720049</v>
      </c>
      <c r="O30" s="20">
        <f t="shared" si="12"/>
        <v>0.98868961109803077</v>
      </c>
      <c r="P30" s="20">
        <f t="shared" si="12"/>
        <v>0.97787359405506635</v>
      </c>
    </row>
    <row r="31" spans="2:16" x14ac:dyDescent="0.3">
      <c r="J31" s="24" t="s">
        <v>121</v>
      </c>
      <c r="K31" s="25">
        <f>1-K30</f>
        <v>8.1667622900337689E-2</v>
      </c>
      <c r="L31" s="25">
        <f t="shared" ref="L31:P31" si="13">1-L30</f>
        <v>5.2789951304528682E-2</v>
      </c>
      <c r="M31" s="25">
        <f t="shared" si="13"/>
        <v>4.0903106641302145E-2</v>
      </c>
      <c r="N31" s="25">
        <f t="shared" si="13"/>
        <v>2.8388602552799513E-2</v>
      </c>
      <c r="O31" s="25">
        <f t="shared" si="13"/>
        <v>1.1310388901969226E-2</v>
      </c>
      <c r="P31" s="25">
        <f t="shared" si="13"/>
        <v>2.2126405944933647E-2</v>
      </c>
    </row>
    <row r="32" spans="2:16" x14ac:dyDescent="0.3">
      <c r="B32" s="22"/>
      <c r="C32" s="23"/>
      <c r="D32" s="23"/>
      <c r="E32" s="23"/>
      <c r="F32" s="23"/>
      <c r="G32" s="23"/>
    </row>
    <row r="33" spans="2:2" x14ac:dyDescent="0.3">
      <c r="B33" s="23"/>
    </row>
  </sheetData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53EB-D70A-4E24-BC32-8125C2093B7E}">
  <dimension ref="A1:P934"/>
  <sheetViews>
    <sheetView zoomScale="73" workbookViewId="0">
      <selection activeCell="J2" sqref="J2:P2"/>
    </sheetView>
  </sheetViews>
  <sheetFormatPr defaultRowHeight="14.4" x14ac:dyDescent="0.3"/>
  <cols>
    <col min="1" max="1" width="32" customWidth="1"/>
    <col min="2" max="6" width="10.6640625" style="5" customWidth="1"/>
    <col min="7" max="7" width="14" style="9" customWidth="1"/>
    <col min="8" max="8" width="10.6640625" style="9" customWidth="1"/>
    <col min="10" max="10" width="14.44140625" customWidth="1"/>
    <col min="11" max="14" width="10.6640625" customWidth="1"/>
    <col min="15" max="15" width="14.33203125" customWidth="1"/>
    <col min="16" max="16" width="10.6640625" customWidth="1"/>
  </cols>
  <sheetData>
    <row r="1" spans="1:16" ht="23.4" customHeight="1" x14ac:dyDescent="0.3">
      <c r="A1" s="1" t="s">
        <v>107</v>
      </c>
      <c r="B1" s="10" t="s">
        <v>106</v>
      </c>
      <c r="C1" s="2" t="s">
        <v>0</v>
      </c>
      <c r="D1" s="2" t="s">
        <v>1</v>
      </c>
      <c r="E1" s="2" t="s">
        <v>2</v>
      </c>
      <c r="F1" s="10" t="s">
        <v>3</v>
      </c>
      <c r="G1" s="2" t="s">
        <v>4</v>
      </c>
      <c r="H1" s="2" t="s">
        <v>5</v>
      </c>
      <c r="I1" s="13" t="s">
        <v>106</v>
      </c>
      <c r="J1" s="11" t="s">
        <v>106</v>
      </c>
      <c r="K1" s="12" t="s">
        <v>0</v>
      </c>
      <c r="L1" s="12" t="s">
        <v>1</v>
      </c>
      <c r="M1" s="12" t="s">
        <v>2</v>
      </c>
      <c r="N1" s="11" t="s">
        <v>3</v>
      </c>
      <c r="O1" s="12" t="s">
        <v>4</v>
      </c>
      <c r="P1" s="12" t="s">
        <v>5</v>
      </c>
    </row>
    <row r="2" spans="1:16" x14ac:dyDescent="0.3">
      <c r="A2" s="3" t="s">
        <v>29</v>
      </c>
      <c r="B2" s="27">
        <v>6.7411848362175977E-3</v>
      </c>
      <c r="C2" s="27">
        <v>4.11522633744856E-3</v>
      </c>
      <c r="D2" s="27">
        <v>1.7621145374449341E-2</v>
      </c>
      <c r="E2" s="27">
        <v>2.5380710659898475E-3</v>
      </c>
      <c r="F2" s="27">
        <v>4.0683482506102524E-3</v>
      </c>
      <c r="G2" s="27">
        <v>7.18562874251497E-3</v>
      </c>
      <c r="H2" s="27">
        <v>6.9444444444444441E-3</v>
      </c>
      <c r="I2" s="8">
        <v>6.7411848362175977E-3</v>
      </c>
      <c r="J2" s="28">
        <v>6.7411848362175977E-3</v>
      </c>
      <c r="K2" s="28">
        <v>4.11522633744856E-3</v>
      </c>
      <c r="L2" s="28">
        <v>1.7621145374449341E-2</v>
      </c>
      <c r="M2" s="28">
        <v>2.5380710659898475E-3</v>
      </c>
      <c r="N2" s="28">
        <v>4.0683482506102524E-3</v>
      </c>
      <c r="O2" s="28">
        <v>7.18562874251497E-3</v>
      </c>
      <c r="P2" s="28">
        <v>6.9444444444444441E-3</v>
      </c>
    </row>
    <row r="3" spans="1:16" x14ac:dyDescent="0.3">
      <c r="A3" s="3" t="s">
        <v>22</v>
      </c>
      <c r="B3" s="27">
        <v>6.7920718095541635E-3</v>
      </c>
      <c r="C3" s="27">
        <v>2.05761316872428E-3</v>
      </c>
      <c r="D3" s="27">
        <v>1.3215859030837005E-2</v>
      </c>
      <c r="E3" s="27">
        <v>0</v>
      </c>
      <c r="F3" s="27">
        <v>0</v>
      </c>
      <c r="G3" s="27">
        <v>1.6766467065868262E-2</v>
      </c>
      <c r="H3" s="27">
        <v>2.5462962962962962E-2</v>
      </c>
      <c r="I3" s="8">
        <v>1.3533256645771761E-2</v>
      </c>
      <c r="J3" s="8">
        <f t="shared" ref="J3:P3" si="0">J2+B3</f>
        <v>1.3533256645771761E-2</v>
      </c>
      <c r="K3" s="8">
        <f t="shared" si="0"/>
        <v>6.17283950617284E-3</v>
      </c>
      <c r="L3" s="8">
        <f t="shared" si="0"/>
        <v>3.0837004405286347E-2</v>
      </c>
      <c r="M3" s="8">
        <f t="shared" si="0"/>
        <v>2.5380710659898475E-3</v>
      </c>
      <c r="N3" s="8">
        <f t="shared" si="0"/>
        <v>4.0683482506102524E-3</v>
      </c>
      <c r="O3" s="8">
        <f t="shared" si="0"/>
        <v>2.3952095808383232E-2</v>
      </c>
      <c r="P3" s="8">
        <f t="shared" si="0"/>
        <v>3.2407407407407406E-2</v>
      </c>
    </row>
    <row r="4" spans="1:16" x14ac:dyDescent="0.3">
      <c r="A4" s="3" t="s">
        <v>30</v>
      </c>
      <c r="B4" s="27">
        <v>7.9330113169950433E-3</v>
      </c>
      <c r="C4" s="27">
        <v>6.1728395061728392E-3</v>
      </c>
      <c r="D4" s="27">
        <v>8.8105726872246704E-3</v>
      </c>
      <c r="E4" s="27">
        <v>5.076142131979695E-3</v>
      </c>
      <c r="F4" s="27">
        <v>5.6956875508543531E-3</v>
      </c>
      <c r="G4" s="27">
        <v>5.9880239520958087E-3</v>
      </c>
      <c r="H4" s="27">
        <v>1.1574074074074073E-2</v>
      </c>
      <c r="I4" s="8">
        <v>2.1466267962766804E-2</v>
      </c>
      <c r="J4" s="8">
        <f t="shared" ref="J4:J14" si="1">J3+B4</f>
        <v>2.1466267962766804E-2</v>
      </c>
      <c r="K4" s="8">
        <f t="shared" ref="K4:K14" si="2">K3+C4</f>
        <v>1.2345679012345678E-2</v>
      </c>
      <c r="L4" s="8">
        <f t="shared" ref="L4:L14" si="3">L3+D4</f>
        <v>3.9647577092511016E-2</v>
      </c>
      <c r="M4" s="8">
        <f t="shared" ref="M4:M14" si="4">M3+E4</f>
        <v>7.6142131979695426E-3</v>
      </c>
      <c r="N4" s="8">
        <f t="shared" ref="N4:N14" si="5">N3+F4</f>
        <v>9.7640358014646055E-3</v>
      </c>
      <c r="O4" s="8">
        <f t="shared" ref="O4:O14" si="6">O3+G4</f>
        <v>2.9940119760479042E-2</v>
      </c>
      <c r="P4" s="8">
        <f t="shared" ref="P4:P14" si="7">P3+H4</f>
        <v>4.3981481481481483E-2</v>
      </c>
    </row>
    <row r="5" spans="1:16" x14ac:dyDescent="0.3">
      <c r="A5" s="3" t="s">
        <v>20</v>
      </c>
      <c r="B5" s="27">
        <v>9.1757247711090548E-3</v>
      </c>
      <c r="C5" s="27">
        <v>1.0288065843621399E-2</v>
      </c>
      <c r="D5" s="27">
        <v>1.7621145374449341E-2</v>
      </c>
      <c r="E5" s="27">
        <v>7.6142131979695434E-3</v>
      </c>
      <c r="F5" s="27">
        <v>4.8820179007323028E-3</v>
      </c>
      <c r="G5" s="27">
        <v>1.437125748502994E-2</v>
      </c>
      <c r="H5" s="27">
        <v>9.2592592592592587E-3</v>
      </c>
      <c r="I5" s="8">
        <v>3.0641992733875859E-2</v>
      </c>
      <c r="J5" s="8">
        <f t="shared" si="1"/>
        <v>3.0641992733875859E-2</v>
      </c>
      <c r="K5" s="8">
        <f t="shared" si="2"/>
        <v>2.2633744855967079E-2</v>
      </c>
      <c r="L5" s="8">
        <f t="shared" si="3"/>
        <v>5.7268722466960353E-2</v>
      </c>
      <c r="M5" s="8">
        <f t="shared" si="4"/>
        <v>1.5228426395939087E-2</v>
      </c>
      <c r="N5" s="8">
        <f t="shared" si="5"/>
        <v>1.4646053702196907E-2</v>
      </c>
      <c r="O5" s="8">
        <f t="shared" si="6"/>
        <v>4.431137724550898E-2</v>
      </c>
      <c r="P5" s="8">
        <f t="shared" si="7"/>
        <v>5.3240740740740741E-2</v>
      </c>
    </row>
    <row r="6" spans="1:16" x14ac:dyDescent="0.3">
      <c r="A6" s="3" t="s">
        <v>24</v>
      </c>
      <c r="B6" s="27">
        <v>1.0180072929067576E-2</v>
      </c>
      <c r="C6" s="27">
        <v>8.23045267489712E-3</v>
      </c>
      <c r="D6" s="27">
        <v>2.643171806167401E-2</v>
      </c>
      <c r="E6" s="27">
        <v>7.6142131979695434E-3</v>
      </c>
      <c r="F6" s="27">
        <v>3.2546786004882017E-3</v>
      </c>
      <c r="G6" s="27">
        <v>8.3832335329341312E-3</v>
      </c>
      <c r="H6" s="27">
        <v>6.9444444444444441E-3</v>
      </c>
      <c r="I6" s="8">
        <v>4.0822065662943434E-2</v>
      </c>
      <c r="J6" s="8">
        <f t="shared" si="1"/>
        <v>4.0822065662943434E-2</v>
      </c>
      <c r="K6" s="8">
        <f t="shared" si="2"/>
        <v>3.0864197530864199E-2</v>
      </c>
      <c r="L6" s="8">
        <f t="shared" si="3"/>
        <v>8.3700440528634359E-2</v>
      </c>
      <c r="M6" s="8">
        <f t="shared" si="4"/>
        <v>2.2842639593908629E-2</v>
      </c>
      <c r="N6" s="8">
        <f t="shared" si="5"/>
        <v>1.7900732302685109E-2</v>
      </c>
      <c r="O6" s="8">
        <f t="shared" si="6"/>
        <v>5.2694610778443111E-2</v>
      </c>
      <c r="P6" s="8">
        <f t="shared" si="7"/>
        <v>6.0185185185185189E-2</v>
      </c>
    </row>
    <row r="7" spans="1:16" x14ac:dyDescent="0.3">
      <c r="A7" s="3" t="s">
        <v>27</v>
      </c>
      <c r="B7" s="27">
        <v>2.1177015693274751E-2</v>
      </c>
      <c r="C7" s="27">
        <v>1.2345679012345678E-2</v>
      </c>
      <c r="D7" s="27">
        <v>2.2026431718061675E-2</v>
      </c>
      <c r="E7" s="27">
        <v>2.5380710659898475E-3</v>
      </c>
      <c r="F7" s="27">
        <v>2.4410089503661514E-3</v>
      </c>
      <c r="G7" s="27">
        <v>2.0359281437125749E-2</v>
      </c>
      <c r="H7" s="27">
        <v>1.3888888888888888E-2</v>
      </c>
      <c r="I7" s="8">
        <v>6.1999081356218184E-2</v>
      </c>
      <c r="J7" s="8">
        <f t="shared" si="1"/>
        <v>6.1999081356218184E-2</v>
      </c>
      <c r="K7" s="8">
        <f t="shared" si="2"/>
        <v>4.3209876543209874E-2</v>
      </c>
      <c r="L7" s="8">
        <f t="shared" si="3"/>
        <v>0.10572687224669604</v>
      </c>
      <c r="M7" s="8">
        <f t="shared" si="4"/>
        <v>2.5380710659898477E-2</v>
      </c>
      <c r="N7" s="8">
        <f t="shared" si="5"/>
        <v>2.034174125305126E-2</v>
      </c>
      <c r="O7" s="8">
        <f t="shared" si="6"/>
        <v>7.3053892215568864E-2</v>
      </c>
      <c r="P7" s="8">
        <f t="shared" si="7"/>
        <v>7.407407407407407E-2</v>
      </c>
    </row>
    <row r="8" spans="1:16" x14ac:dyDescent="0.3">
      <c r="A8" s="3" t="s">
        <v>26</v>
      </c>
      <c r="B8" s="27">
        <v>3.7258638398506599E-2</v>
      </c>
      <c r="C8" s="27">
        <v>6.3786008230452676E-2</v>
      </c>
      <c r="D8" s="27">
        <v>3.0837004405286344E-2</v>
      </c>
      <c r="E8" s="27">
        <v>1.015228426395939E-2</v>
      </c>
      <c r="F8" s="27">
        <v>1.8714401952807162E-2</v>
      </c>
      <c r="G8" s="27">
        <v>2.2754491017964073E-2</v>
      </c>
      <c r="H8" s="27">
        <v>2.3148148148148147E-2</v>
      </c>
      <c r="I8" s="8">
        <v>9.9257719754724777E-2</v>
      </c>
      <c r="J8" s="8">
        <f t="shared" si="1"/>
        <v>9.9257719754724777E-2</v>
      </c>
      <c r="K8" s="8">
        <f t="shared" si="2"/>
        <v>0.10699588477366255</v>
      </c>
      <c r="L8" s="8">
        <f t="shared" si="3"/>
        <v>0.13656387665198239</v>
      </c>
      <c r="M8" s="8">
        <f t="shared" si="4"/>
        <v>3.5532994923857864E-2</v>
      </c>
      <c r="N8" s="8">
        <f t="shared" si="5"/>
        <v>3.9056143205858422E-2</v>
      </c>
      <c r="O8" s="8">
        <f t="shared" si="6"/>
        <v>9.580838323353294E-2</v>
      </c>
      <c r="P8" s="8">
        <f t="shared" si="7"/>
        <v>9.722222222222221E-2</v>
      </c>
    </row>
    <row r="9" spans="1:16" x14ac:dyDescent="0.3">
      <c r="A9" s="3" t="s">
        <v>28</v>
      </c>
      <c r="B9" s="27">
        <v>4.2358048779181333E-2</v>
      </c>
      <c r="C9" s="27">
        <v>1.8518518518518517E-2</v>
      </c>
      <c r="D9" s="27">
        <v>3.9647577092511016E-2</v>
      </c>
      <c r="E9" s="27">
        <v>2.2842639593908629E-2</v>
      </c>
      <c r="F9" s="27">
        <v>7.3230268510984534E-2</v>
      </c>
      <c r="G9" s="27">
        <v>0.14850299401197606</v>
      </c>
      <c r="H9" s="27">
        <v>9.7222222222222224E-2</v>
      </c>
      <c r="I9" s="8">
        <v>0.14161576853390612</v>
      </c>
      <c r="J9" s="8">
        <f t="shared" si="1"/>
        <v>0.14161576853390612</v>
      </c>
      <c r="K9" s="8">
        <f t="shared" si="2"/>
        <v>0.12551440329218105</v>
      </c>
      <c r="L9" s="8">
        <f t="shared" si="3"/>
        <v>0.1762114537444934</v>
      </c>
      <c r="M9" s="8">
        <f t="shared" si="4"/>
        <v>5.8375634517766492E-2</v>
      </c>
      <c r="N9" s="8">
        <f t="shared" si="5"/>
        <v>0.11228641171684295</v>
      </c>
      <c r="O9" s="8">
        <f t="shared" si="6"/>
        <v>0.244311377245509</v>
      </c>
      <c r="P9" s="8">
        <f t="shared" si="7"/>
        <v>0.19444444444444442</v>
      </c>
    </row>
    <row r="10" spans="1:16" x14ac:dyDescent="0.3">
      <c r="A10" s="3" t="s">
        <v>31</v>
      </c>
      <c r="B10" s="27">
        <v>4.378422316348244E-2</v>
      </c>
      <c r="C10" s="27">
        <v>5.7613168724279837E-2</v>
      </c>
      <c r="D10" s="27">
        <v>2.643171806167401E-2</v>
      </c>
      <c r="E10" s="27">
        <v>4.8223350253807105E-2</v>
      </c>
      <c r="F10" s="27">
        <v>3.0919446704637917E-2</v>
      </c>
      <c r="G10" s="27">
        <v>3.2335329341317366E-2</v>
      </c>
      <c r="H10" s="27">
        <v>6.9444444444444448E-2</v>
      </c>
      <c r="I10" s="8">
        <v>0.18539999169738855</v>
      </c>
      <c r="J10" s="8">
        <f t="shared" si="1"/>
        <v>0.18539999169738855</v>
      </c>
      <c r="K10" s="8">
        <f t="shared" si="2"/>
        <v>0.1831275720164609</v>
      </c>
      <c r="L10" s="8">
        <f t="shared" si="3"/>
        <v>0.20264317180616742</v>
      </c>
      <c r="M10" s="8">
        <f t="shared" si="4"/>
        <v>0.10659898477157359</v>
      </c>
      <c r="N10" s="8">
        <f t="shared" si="5"/>
        <v>0.14320585842148087</v>
      </c>
      <c r="O10" s="8">
        <f t="shared" si="6"/>
        <v>0.27664670658682639</v>
      </c>
      <c r="P10" s="8">
        <f t="shared" si="7"/>
        <v>0.26388888888888884</v>
      </c>
    </row>
    <row r="11" spans="1:16" x14ac:dyDescent="0.3">
      <c r="A11" s="3" t="s">
        <v>21</v>
      </c>
      <c r="B11" s="27">
        <v>5.5182905190873016E-2</v>
      </c>
      <c r="C11" s="27">
        <v>0.11316872427983539</v>
      </c>
      <c r="D11" s="27">
        <v>0.12334801762114538</v>
      </c>
      <c r="E11" s="27">
        <v>0.11421319796954314</v>
      </c>
      <c r="F11" s="27">
        <v>4.8820179007323029E-2</v>
      </c>
      <c r="G11" s="27">
        <v>6.3473053892215567E-2</v>
      </c>
      <c r="H11" s="27">
        <v>8.5648148148148154E-2</v>
      </c>
      <c r="I11" s="8">
        <v>0.24058289688826157</v>
      </c>
      <c r="J11" s="8">
        <f t="shared" si="1"/>
        <v>0.24058289688826157</v>
      </c>
      <c r="K11" s="8">
        <f t="shared" si="2"/>
        <v>0.29629629629629628</v>
      </c>
      <c r="L11" s="8">
        <f t="shared" si="3"/>
        <v>0.32599118942731281</v>
      </c>
      <c r="M11" s="8">
        <f t="shared" si="4"/>
        <v>0.22081218274111675</v>
      </c>
      <c r="N11" s="8">
        <f t="shared" si="5"/>
        <v>0.19202603742880389</v>
      </c>
      <c r="O11" s="8">
        <f t="shared" si="6"/>
        <v>0.34011976047904197</v>
      </c>
      <c r="P11" s="8">
        <f t="shared" si="7"/>
        <v>0.34953703703703698</v>
      </c>
    </row>
    <row r="12" spans="1:16" x14ac:dyDescent="0.3">
      <c r="A12" s="3" t="s">
        <v>25</v>
      </c>
      <c r="B12" s="27">
        <v>5.9673011022386251E-2</v>
      </c>
      <c r="C12" s="27">
        <v>1.2345679012345678E-2</v>
      </c>
      <c r="D12" s="27">
        <v>3.9647577092511016E-2</v>
      </c>
      <c r="E12" s="27">
        <v>4.5685279187817257E-2</v>
      </c>
      <c r="F12" s="27">
        <v>1.3018714401952807E-2</v>
      </c>
      <c r="G12" s="27">
        <v>2.6347305389221556E-2</v>
      </c>
      <c r="H12" s="27">
        <v>4.8611111111111112E-2</v>
      </c>
      <c r="I12" s="8">
        <v>0.30025590791064782</v>
      </c>
      <c r="J12" s="8">
        <f t="shared" si="1"/>
        <v>0.30025590791064782</v>
      </c>
      <c r="K12" s="8">
        <f t="shared" si="2"/>
        <v>0.30864197530864196</v>
      </c>
      <c r="L12" s="8">
        <f t="shared" si="3"/>
        <v>0.36563876651982385</v>
      </c>
      <c r="M12" s="8">
        <f t="shared" si="4"/>
        <v>0.26649746192893398</v>
      </c>
      <c r="N12" s="8">
        <f t="shared" si="5"/>
        <v>0.20504475183075671</v>
      </c>
      <c r="O12" s="8">
        <f t="shared" si="6"/>
        <v>0.3664670658682635</v>
      </c>
      <c r="P12" s="8">
        <f t="shared" si="7"/>
        <v>0.39814814814814808</v>
      </c>
    </row>
    <row r="13" spans="1:16" x14ac:dyDescent="0.3">
      <c r="A13" s="3" t="s">
        <v>23</v>
      </c>
      <c r="B13" s="27">
        <v>9.7103058173184445E-2</v>
      </c>
      <c r="C13" s="27">
        <v>0.16049382716049382</v>
      </c>
      <c r="D13" s="27">
        <v>0.14096916299559473</v>
      </c>
      <c r="E13" s="27">
        <v>5.0761421319796954E-2</v>
      </c>
      <c r="F13" s="27">
        <v>9.0317331163547593E-2</v>
      </c>
      <c r="G13" s="27">
        <v>0.18203592814371258</v>
      </c>
      <c r="H13" s="27">
        <v>4.3981481481481483E-2</v>
      </c>
      <c r="I13" s="8">
        <v>0.39735896608383225</v>
      </c>
      <c r="J13" s="8">
        <f t="shared" si="1"/>
        <v>0.39735896608383225</v>
      </c>
      <c r="K13" s="8">
        <f t="shared" si="2"/>
        <v>0.46913580246913578</v>
      </c>
      <c r="L13" s="8">
        <f t="shared" si="3"/>
        <v>0.50660792951541855</v>
      </c>
      <c r="M13" s="8">
        <f t="shared" si="4"/>
        <v>0.31725888324873092</v>
      </c>
      <c r="N13" s="8">
        <f t="shared" si="5"/>
        <v>0.29536208299430433</v>
      </c>
      <c r="O13" s="8">
        <f t="shared" si="6"/>
        <v>0.54850299401197611</v>
      </c>
      <c r="P13" s="8">
        <f t="shared" si="7"/>
        <v>0.44212962962962954</v>
      </c>
    </row>
    <row r="14" spans="1:16" x14ac:dyDescent="0.3">
      <c r="A14" s="3" t="s">
        <v>19</v>
      </c>
      <c r="B14" s="27">
        <v>0.60264103391616775</v>
      </c>
      <c r="C14" s="27">
        <v>0.53086419753086422</v>
      </c>
      <c r="D14" s="27">
        <v>0.4933920704845815</v>
      </c>
      <c r="E14" s="27">
        <v>0.68274111675126903</v>
      </c>
      <c r="F14" s="27">
        <v>0.70463791700569567</v>
      </c>
      <c r="G14" s="27">
        <v>0.45149700598802395</v>
      </c>
      <c r="H14" s="27">
        <v>0.55787037037037035</v>
      </c>
      <c r="I14" s="8">
        <v>1</v>
      </c>
      <c r="J14" s="8">
        <f t="shared" si="1"/>
        <v>1</v>
      </c>
      <c r="K14" s="8">
        <f t="shared" si="2"/>
        <v>1</v>
      </c>
      <c r="L14" s="8">
        <f t="shared" si="3"/>
        <v>1</v>
      </c>
      <c r="M14" s="8">
        <f t="shared" si="4"/>
        <v>1</v>
      </c>
      <c r="N14" s="8">
        <f t="shared" si="5"/>
        <v>1</v>
      </c>
      <c r="O14" s="8">
        <f t="shared" si="6"/>
        <v>1</v>
      </c>
      <c r="P14" s="8">
        <f t="shared" si="7"/>
        <v>0.99999999999999989</v>
      </c>
    </row>
    <row r="15" spans="1:16" x14ac:dyDescent="0.3">
      <c r="A15" s="14"/>
      <c r="B15" s="15"/>
      <c r="C15" s="9"/>
      <c r="D15" s="9"/>
      <c r="E15" s="9"/>
      <c r="F15" s="9"/>
      <c r="I15" s="5"/>
      <c r="J15" s="5"/>
      <c r="K15" s="5"/>
      <c r="L15" s="5"/>
      <c r="M15" s="5"/>
      <c r="N15" s="5"/>
      <c r="O15" s="5"/>
      <c r="P15" s="5"/>
    </row>
    <row r="16" spans="1:16" x14ac:dyDescent="0.3">
      <c r="B16" s="1" t="s">
        <v>107</v>
      </c>
      <c r="C16" s="2" t="s">
        <v>109</v>
      </c>
      <c r="D16" s="2" t="s">
        <v>110</v>
      </c>
      <c r="E16" s="2" t="s">
        <v>111</v>
      </c>
      <c r="F16" s="2" t="s">
        <v>112</v>
      </c>
      <c r="G16" s="2" t="s">
        <v>113</v>
      </c>
      <c r="H16" s="2" t="s">
        <v>114</v>
      </c>
      <c r="J16" s="6"/>
      <c r="K16" s="20" t="s">
        <v>115</v>
      </c>
      <c r="L16" s="20" t="s">
        <v>116</v>
      </c>
      <c r="M16" s="20" t="s">
        <v>117</v>
      </c>
      <c r="N16" s="20" t="s">
        <v>118</v>
      </c>
      <c r="O16" s="20" t="s">
        <v>119</v>
      </c>
      <c r="P16" s="20" t="s">
        <v>120</v>
      </c>
    </row>
    <row r="17" spans="2:16" x14ac:dyDescent="0.3">
      <c r="B17" s="3" t="s">
        <v>29</v>
      </c>
      <c r="C17" s="8">
        <f>C2-B2</f>
        <v>-2.6259584987690376E-3</v>
      </c>
      <c r="D17" s="8">
        <f>D2-B2</f>
        <v>1.0879960538231743E-2</v>
      </c>
      <c r="E17" s="8">
        <f>E2-B2</f>
        <v>-4.2031137702277501E-3</v>
      </c>
      <c r="F17" s="8">
        <f>F2-B2</f>
        <v>-2.6728365856073452E-3</v>
      </c>
      <c r="G17" s="8">
        <f>G2-B2</f>
        <v>4.4444390629737231E-4</v>
      </c>
      <c r="H17" s="8">
        <f>H2-B2</f>
        <v>2.032596082268464E-4</v>
      </c>
      <c r="J17" s="3" t="s">
        <v>29</v>
      </c>
      <c r="K17" s="6">
        <f>($J2-0) * ((K2+0))</f>
        <v>2.7741501383611516E-5</v>
      </c>
      <c r="L17" s="6">
        <f t="shared" ref="L17:P17" si="8">($J2-0) * ((L2+0))</f>
        <v>1.1878739799502376E-4</v>
      </c>
      <c r="M17" s="6">
        <f t="shared" si="8"/>
        <v>1.7109606183293392E-5</v>
      </c>
      <c r="N17" s="6">
        <f t="shared" si="8"/>
        <v>2.7425487535466224E-5</v>
      </c>
      <c r="O17" s="6">
        <f t="shared" si="8"/>
        <v>4.8439651517731239E-5</v>
      </c>
      <c r="P17" s="6">
        <f t="shared" si="8"/>
        <v>4.6813783584844424E-5</v>
      </c>
    </row>
    <row r="18" spans="2:16" x14ac:dyDescent="0.3">
      <c r="B18" s="3" t="s">
        <v>22</v>
      </c>
      <c r="C18" s="8">
        <f t="shared" ref="C18:C29" si="9">C3-B3</f>
        <v>-4.7344586408298835E-3</v>
      </c>
      <c r="D18" s="8">
        <f t="shared" ref="D18:D29" si="10">D3-B3</f>
        <v>6.4237872212828413E-3</v>
      </c>
      <c r="E18" s="8">
        <f t="shared" ref="E18:E29" si="11">E3-B3</f>
        <v>-6.7920718095541635E-3</v>
      </c>
      <c r="F18" s="8">
        <f t="shared" ref="F18:F29" si="12">F3-B3</f>
        <v>-6.7920718095541635E-3</v>
      </c>
      <c r="G18" s="8">
        <f t="shared" ref="G18:G29" si="13">G3-B3</f>
        <v>9.9743952563140989E-3</v>
      </c>
      <c r="H18" s="8">
        <f t="shared" ref="H18:H29" si="14">H3-B3</f>
        <v>1.8670891153408798E-2</v>
      </c>
      <c r="J18" s="3" t="s">
        <v>22</v>
      </c>
      <c r="K18" s="6">
        <f t="shared" ref="K18:P29" si="15">($J3-$J2) * ((K3+K2))</f>
        <v>6.9877281991297997E-5</v>
      </c>
      <c r="L18" s="6">
        <f t="shared" si="15"/>
        <v>3.2913123306209602E-4</v>
      </c>
      <c r="M18" s="6">
        <f t="shared" si="15"/>
        <v>3.447752187590946E-5</v>
      </c>
      <c r="N18" s="6">
        <f t="shared" si="15"/>
        <v>5.5265026928837788E-5</v>
      </c>
      <c r="O18" s="6">
        <f t="shared" si="15"/>
        <v>2.1148966113581825E-4</v>
      </c>
      <c r="P18" s="6">
        <f t="shared" si="15"/>
        <v>2.6728060361671472E-4</v>
      </c>
    </row>
    <row r="19" spans="2:16" x14ac:dyDescent="0.3">
      <c r="B19" s="3" t="s">
        <v>30</v>
      </c>
      <c r="C19" s="8">
        <f t="shared" si="9"/>
        <v>-1.7601718108222041E-3</v>
      </c>
      <c r="D19" s="8">
        <f t="shared" si="10"/>
        <v>8.7756137022962713E-4</v>
      </c>
      <c r="E19" s="8">
        <f t="shared" si="11"/>
        <v>-2.8568691850153483E-3</v>
      </c>
      <c r="F19" s="8">
        <f t="shared" si="12"/>
        <v>-2.2373237661406902E-3</v>
      </c>
      <c r="G19" s="8">
        <f t="shared" si="13"/>
        <v>-1.9449873648992345E-3</v>
      </c>
      <c r="H19" s="8">
        <f t="shared" si="14"/>
        <v>3.6410627570790301E-3</v>
      </c>
      <c r="J19" s="3" t="s">
        <v>30</v>
      </c>
      <c r="K19" s="6">
        <f t="shared" si="15"/>
        <v>1.4690761698138969E-4</v>
      </c>
      <c r="L19" s="6">
        <f t="shared" si="15"/>
        <v>5.5915498269568597E-4</v>
      </c>
      <c r="M19" s="6">
        <f t="shared" si="15"/>
        <v>8.0538185959340531E-5</v>
      </c>
      <c r="N19" s="6">
        <f t="shared" si="15"/>
        <v>1.0973245922613161E-4</v>
      </c>
      <c r="O19" s="6">
        <f t="shared" si="15"/>
        <v>4.2752755600572088E-4</v>
      </c>
      <c r="P19" s="6">
        <f t="shared" si="15"/>
        <v>6.0599392004823257E-4</v>
      </c>
    </row>
    <row r="20" spans="2:16" x14ac:dyDescent="0.3">
      <c r="B20" s="3" t="s">
        <v>20</v>
      </c>
      <c r="C20" s="8">
        <f t="shared" si="9"/>
        <v>1.1123410725123444E-3</v>
      </c>
      <c r="D20" s="8">
        <f t="shared" si="10"/>
        <v>8.4454206033402861E-3</v>
      </c>
      <c r="E20" s="8">
        <f t="shared" si="11"/>
        <v>-1.5615115731395113E-3</v>
      </c>
      <c r="F20" s="8">
        <f t="shared" si="12"/>
        <v>-4.293706870376752E-3</v>
      </c>
      <c r="G20" s="8">
        <f t="shared" si="13"/>
        <v>5.1955327139208852E-3</v>
      </c>
      <c r="H20" s="8">
        <f t="shared" si="14"/>
        <v>8.3534488150203978E-5</v>
      </c>
      <c r="J20" s="3" t="s">
        <v>20</v>
      </c>
      <c r="K20" s="6">
        <f t="shared" si="15"/>
        <v>3.209615660676007E-4</v>
      </c>
      <c r="L20" s="6">
        <f t="shared" si="15"/>
        <v>8.8927729059206707E-4</v>
      </c>
      <c r="M20" s="6">
        <f t="shared" si="15"/>
        <v>2.0959777395934389E-4</v>
      </c>
      <c r="N20" s="6">
        <f t="shared" si="15"/>
        <v>2.2398026292373607E-4</v>
      </c>
      <c r="O20" s="6">
        <f t="shared" si="15"/>
        <v>6.8131130036977407E-4</v>
      </c>
      <c r="P20" s="6">
        <f t="shared" si="15"/>
        <v>8.9208435274671369E-4</v>
      </c>
    </row>
    <row r="21" spans="2:16" x14ac:dyDescent="0.3">
      <c r="B21" s="3" t="s">
        <v>24</v>
      </c>
      <c r="C21" s="8">
        <f t="shared" si="9"/>
        <v>-1.9496202541704564E-3</v>
      </c>
      <c r="D21" s="8">
        <f t="shared" si="10"/>
        <v>1.6251645132606435E-2</v>
      </c>
      <c r="E21" s="8">
        <f t="shared" si="11"/>
        <v>-2.565859731098033E-3</v>
      </c>
      <c r="F21" s="8">
        <f t="shared" si="12"/>
        <v>-6.9253943285793752E-3</v>
      </c>
      <c r="G21" s="8">
        <f t="shared" si="13"/>
        <v>-1.7968393961334452E-3</v>
      </c>
      <c r="H21" s="8">
        <f t="shared" si="14"/>
        <v>-3.2356284846231324E-3</v>
      </c>
      <c r="J21" s="3" t="s">
        <v>24</v>
      </c>
      <c r="K21" s="6">
        <f t="shared" si="15"/>
        <v>5.4461295505299793E-4</v>
      </c>
      <c r="L21" s="6">
        <f t="shared" si="15"/>
        <v>1.4350763600447681E-3</v>
      </c>
      <c r="M21" s="6">
        <f t="shared" si="15"/>
        <v>3.8756622826399397E-4</v>
      </c>
      <c r="N21" s="6">
        <f t="shared" si="15"/>
        <v>3.3132865513645483E-4</v>
      </c>
      <c r="O21" s="6">
        <f t="shared" si="15"/>
        <v>9.87528032640088E-4</v>
      </c>
      <c r="P21" s="6">
        <f t="shared" si="15"/>
        <v>1.1546841979729425E-3</v>
      </c>
    </row>
    <row r="22" spans="2:16" x14ac:dyDescent="0.3">
      <c r="B22" s="3" t="s">
        <v>27</v>
      </c>
      <c r="C22" s="8">
        <f t="shared" si="9"/>
        <v>-8.8313366809290722E-3</v>
      </c>
      <c r="D22" s="8">
        <f t="shared" si="10"/>
        <v>8.4941602478692466E-4</v>
      </c>
      <c r="E22" s="8">
        <f t="shared" si="11"/>
        <v>-1.8638944627284902E-2</v>
      </c>
      <c r="F22" s="8">
        <f t="shared" si="12"/>
        <v>-1.8736006742908599E-2</v>
      </c>
      <c r="G22" s="8">
        <f t="shared" si="13"/>
        <v>-8.1773425614900183E-4</v>
      </c>
      <c r="H22" s="8">
        <f t="shared" si="14"/>
        <v>-7.2881268043858624E-3</v>
      </c>
      <c r="J22" s="3" t="s">
        <v>27</v>
      </c>
      <c r="K22" s="6">
        <f t="shared" si="15"/>
        <v>1.5686678291314629E-3</v>
      </c>
      <c r="L22" s="6">
        <f t="shared" si="15"/>
        <v>4.0115051753780362E-3</v>
      </c>
      <c r="M22" s="6">
        <f t="shared" si="15"/>
        <v>1.0212266451071581E-3</v>
      </c>
      <c r="N22" s="6">
        <f t="shared" si="15"/>
        <v>8.0986146263947387E-4</v>
      </c>
      <c r="O22" s="6">
        <f t="shared" si="15"/>
        <v>2.6629780213099983E-3</v>
      </c>
      <c r="P22" s="6">
        <f t="shared" si="15"/>
        <v>2.8432104403007764E-3</v>
      </c>
    </row>
    <row r="23" spans="2:16" x14ac:dyDescent="0.3">
      <c r="B23" s="3" t="s">
        <v>26</v>
      </c>
      <c r="C23" s="8">
        <f t="shared" si="9"/>
        <v>2.6527369831946077E-2</v>
      </c>
      <c r="D23" s="8">
        <f t="shared" si="10"/>
        <v>-6.4216339932202555E-3</v>
      </c>
      <c r="E23" s="8">
        <f t="shared" si="11"/>
        <v>-2.7106354134547209E-2</v>
      </c>
      <c r="F23" s="8">
        <f t="shared" si="12"/>
        <v>-1.8544236445699438E-2</v>
      </c>
      <c r="G23" s="8">
        <f t="shared" si="13"/>
        <v>-1.4504147380542527E-2</v>
      </c>
      <c r="H23" s="8">
        <f t="shared" si="14"/>
        <v>-1.4110490250358453E-2</v>
      </c>
      <c r="J23" s="3" t="s">
        <v>26</v>
      </c>
      <c r="K23" s="6">
        <f t="shared" si="15"/>
        <v>5.5964621462777382E-3</v>
      </c>
      <c r="L23" s="6">
        <f t="shared" si="15"/>
        <v>9.0274234005192182E-3</v>
      </c>
      <c r="M23" s="6">
        <f t="shared" si="15"/>
        <v>2.2695617298582695E-3</v>
      </c>
      <c r="N23" s="6">
        <f t="shared" si="15"/>
        <v>2.2130842986907906E-3</v>
      </c>
      <c r="O23" s="6">
        <f t="shared" si="15"/>
        <v>6.2915784601071017E-3</v>
      </c>
      <c r="P23" s="6">
        <f t="shared" si="15"/>
        <v>6.3822667627071476E-3</v>
      </c>
    </row>
    <row r="24" spans="2:16" x14ac:dyDescent="0.3">
      <c r="B24" s="3" t="s">
        <v>28</v>
      </c>
      <c r="C24" s="8">
        <f t="shared" si="9"/>
        <v>-2.3839530260662815E-2</v>
      </c>
      <c r="D24" s="8">
        <f t="shared" si="10"/>
        <v>-2.7104716866703168E-3</v>
      </c>
      <c r="E24" s="8">
        <f t="shared" si="11"/>
        <v>-1.9515409185272704E-2</v>
      </c>
      <c r="F24" s="8">
        <f t="shared" si="12"/>
        <v>3.0872219731803201E-2</v>
      </c>
      <c r="G24" s="8">
        <f t="shared" si="13"/>
        <v>0.10614494523279472</v>
      </c>
      <c r="H24" s="8">
        <f t="shared" si="14"/>
        <v>5.4864173443040891E-2</v>
      </c>
      <c r="J24" s="3" t="s">
        <v>28</v>
      </c>
      <c r="K24" s="6">
        <f t="shared" si="15"/>
        <v>9.8486821235545096E-3</v>
      </c>
      <c r="L24" s="6">
        <f t="shared" si="15"/>
        <v>1.324855270185848E-2</v>
      </c>
      <c r="M24" s="6">
        <f t="shared" si="15"/>
        <v>3.9777863066743895E-3</v>
      </c>
      <c r="N24" s="6">
        <f t="shared" si="15"/>
        <v>6.4105753237817158E-3</v>
      </c>
      <c r="O24" s="6">
        <f t="shared" si="15"/>
        <v>1.4406809405134731E-2</v>
      </c>
      <c r="P24" s="6">
        <f t="shared" si="15"/>
        <v>1.235443089392789E-2</v>
      </c>
    </row>
    <row r="25" spans="2:16" x14ac:dyDescent="0.3">
      <c r="B25" s="3" t="s">
        <v>31</v>
      </c>
      <c r="C25" s="8">
        <f t="shared" si="9"/>
        <v>1.3828945560797397E-2</v>
      </c>
      <c r="D25" s="8">
        <f t="shared" si="10"/>
        <v>-1.735250510180843E-2</v>
      </c>
      <c r="E25" s="8">
        <f t="shared" si="11"/>
        <v>4.4391270903246655E-3</v>
      </c>
      <c r="F25" s="8">
        <f t="shared" si="12"/>
        <v>-1.2864776458844523E-2</v>
      </c>
      <c r="G25" s="8">
        <f t="shared" si="13"/>
        <v>-1.1448893822165074E-2</v>
      </c>
      <c r="H25" s="8">
        <f t="shared" si="14"/>
        <v>2.5660221280962008E-2</v>
      </c>
      <c r="J25" s="3" t="s">
        <v>31</v>
      </c>
      <c r="K25" s="6">
        <f t="shared" si="15"/>
        <v>1.3513649124531615E-2</v>
      </c>
      <c r="L25" s="6">
        <f t="shared" si="15"/>
        <v>1.6587855471627708E-2</v>
      </c>
      <c r="M25" s="6">
        <f t="shared" si="15"/>
        <v>7.2232855472750207E-3</v>
      </c>
      <c r="N25" s="6">
        <f t="shared" si="15"/>
        <v>1.1186530572281108E-2</v>
      </c>
      <c r="O25" s="6">
        <f t="shared" si="15"/>
        <v>2.280974500133516E-2</v>
      </c>
      <c r="P25" s="6">
        <f t="shared" si="15"/>
        <v>2.0067768949929444E-2</v>
      </c>
    </row>
    <row r="26" spans="2:16" x14ac:dyDescent="0.3">
      <c r="B26" s="3" t="s">
        <v>21</v>
      </c>
      <c r="C26" s="8">
        <f t="shared" si="9"/>
        <v>5.7985819088962373E-2</v>
      </c>
      <c r="D26" s="8">
        <f t="shared" si="10"/>
        <v>6.8165112430272359E-2</v>
      </c>
      <c r="E26" s="8">
        <f t="shared" si="11"/>
        <v>5.9030292778670126E-2</v>
      </c>
      <c r="F26" s="8">
        <f t="shared" si="12"/>
        <v>-6.3627261835499868E-3</v>
      </c>
      <c r="G26" s="8">
        <f t="shared" si="13"/>
        <v>8.2901487013425507E-3</v>
      </c>
      <c r="H26" s="8">
        <f t="shared" si="14"/>
        <v>3.0465242957275138E-2</v>
      </c>
      <c r="J26" s="3" t="s">
        <v>21</v>
      </c>
      <c r="K26" s="6">
        <f t="shared" si="15"/>
        <v>2.6456001871344469E-2</v>
      </c>
      <c r="L26" s="6">
        <f t="shared" si="15"/>
        <v>2.917157983658486E-2</v>
      </c>
      <c r="M26" s="6">
        <f t="shared" si="15"/>
        <v>1.8067499415285834E-2</v>
      </c>
      <c r="N26" s="6">
        <f t="shared" si="15"/>
        <v>1.8499069925662883E-2</v>
      </c>
      <c r="O26" s="6">
        <f t="shared" si="15"/>
        <v>3.4034965477005519E-2</v>
      </c>
      <c r="P26" s="6">
        <f t="shared" si="15"/>
        <v>3.3850624711993856E-2</v>
      </c>
    </row>
    <row r="27" spans="2:16" x14ac:dyDescent="0.3">
      <c r="B27" s="3" t="s">
        <v>25</v>
      </c>
      <c r="C27" s="8">
        <f t="shared" si="9"/>
        <v>-4.7327332010040572E-2</v>
      </c>
      <c r="D27" s="8">
        <f t="shared" si="10"/>
        <v>-2.0025433929875235E-2</v>
      </c>
      <c r="E27" s="8">
        <f t="shared" si="11"/>
        <v>-1.3987731834568994E-2</v>
      </c>
      <c r="F27" s="8">
        <f t="shared" si="12"/>
        <v>-4.6654296620433446E-2</v>
      </c>
      <c r="G27" s="8">
        <f t="shared" si="13"/>
        <v>-3.3325705633164698E-2</v>
      </c>
      <c r="H27" s="8">
        <f t="shared" si="14"/>
        <v>-1.1061899911275139E-2</v>
      </c>
      <c r="J27" s="3" t="s">
        <v>25</v>
      </c>
      <c r="K27" s="6">
        <f t="shared" si="15"/>
        <v>3.6098488149344778E-2</v>
      </c>
      <c r="L27" s="6">
        <f t="shared" si="15"/>
        <v>4.1271641984646001E-2</v>
      </c>
      <c r="M27" s="6">
        <f t="shared" si="15"/>
        <v>2.9079233797711067E-2</v>
      </c>
      <c r="N27" s="6">
        <f t="shared" si="15"/>
        <v>2.3694409584153371E-2</v>
      </c>
      <c r="O27" s="6">
        <f t="shared" si="15"/>
        <v>4.216416347689568E-2</v>
      </c>
      <c r="P27" s="6">
        <f t="shared" si="15"/>
        <v>4.4616626296830462E-2</v>
      </c>
    </row>
    <row r="28" spans="2:16" x14ac:dyDescent="0.3">
      <c r="B28" s="3" t="s">
        <v>23</v>
      </c>
      <c r="C28" s="8">
        <f t="shared" si="9"/>
        <v>6.3390768987309373E-2</v>
      </c>
      <c r="D28" s="8">
        <f t="shared" si="10"/>
        <v>4.3866104822410282E-2</v>
      </c>
      <c r="E28" s="8">
        <f t="shared" si="11"/>
        <v>-4.6341636853387491E-2</v>
      </c>
      <c r="F28" s="8">
        <f t="shared" si="12"/>
        <v>-6.7857270096368522E-3</v>
      </c>
      <c r="G28" s="8">
        <f t="shared" si="13"/>
        <v>8.4932869970528138E-2</v>
      </c>
      <c r="H28" s="8">
        <f t="shared" si="14"/>
        <v>-5.3121576691702962E-2</v>
      </c>
      <c r="J28" s="3" t="s">
        <v>23</v>
      </c>
      <c r="K28" s="6">
        <f t="shared" si="15"/>
        <v>7.5524600801365666E-2</v>
      </c>
      <c r="L28" s="6">
        <f t="shared" si="15"/>
        <v>8.469782166647806E-2</v>
      </c>
      <c r="M28" s="6">
        <f t="shared" si="15"/>
        <v>5.6684526344752323E-2</v>
      </c>
      <c r="N28" s="6">
        <f t="shared" si="15"/>
        <v>4.8591033992276988E-2</v>
      </c>
      <c r="O28" s="6">
        <f t="shared" si="15"/>
        <v>8.8846390951272947E-2</v>
      </c>
      <c r="P28" s="6">
        <f t="shared" si="15"/>
        <v>8.1593541937189693E-2</v>
      </c>
    </row>
    <row r="29" spans="2:16" x14ac:dyDescent="0.3">
      <c r="B29" s="3" t="s">
        <v>19</v>
      </c>
      <c r="C29" s="8">
        <f t="shared" si="9"/>
        <v>-7.1776836385303522E-2</v>
      </c>
      <c r="D29" s="8">
        <f t="shared" si="10"/>
        <v>-0.10924896343158624</v>
      </c>
      <c r="E29" s="8">
        <f t="shared" si="11"/>
        <v>8.0100082835101283E-2</v>
      </c>
      <c r="F29" s="8">
        <f t="shared" si="12"/>
        <v>0.10199688308952792</v>
      </c>
      <c r="G29" s="8">
        <f t="shared" si="13"/>
        <v>-0.1511440279281438</v>
      </c>
      <c r="H29" s="8">
        <f t="shared" si="14"/>
        <v>-4.4770663545797396E-2</v>
      </c>
      <c r="J29" s="3" t="s">
        <v>19</v>
      </c>
      <c r="K29" s="6">
        <f t="shared" si="15"/>
        <v>0.88536151896325865</v>
      </c>
      <c r="L29" s="6">
        <f t="shared" si="15"/>
        <v>0.90794376034946866</v>
      </c>
      <c r="M29" s="6">
        <f t="shared" si="15"/>
        <v>0.79383425533627161</v>
      </c>
      <c r="N29" s="6">
        <f t="shared" si="15"/>
        <v>0.78063834499148821</v>
      </c>
      <c r="O29" s="6">
        <f t="shared" si="15"/>
        <v>0.93319144533365861</v>
      </c>
      <c r="P29" s="6">
        <f t="shared" si="15"/>
        <v>0.86908649104113989</v>
      </c>
    </row>
    <row r="30" spans="2:16" x14ac:dyDescent="0.3">
      <c r="G30" s="5"/>
      <c r="J30" s="21" t="s">
        <v>122</v>
      </c>
      <c r="K30" s="20">
        <f>SUM(K17:K29)</f>
        <v>1.0550781719302857</v>
      </c>
      <c r="L30" s="20">
        <f t="shared" ref="L30:P30" si="16">SUM(L17:L29)</f>
        <v>1.1092915678509507</v>
      </c>
      <c r="M30" s="20">
        <f t="shared" si="16"/>
        <v>0.91288666443917754</v>
      </c>
      <c r="N30" s="20">
        <f t="shared" si="16"/>
        <v>0.89279064204272518</v>
      </c>
      <c r="O30" s="20">
        <f t="shared" si="16"/>
        <v>1.1467643723283889</v>
      </c>
      <c r="P30" s="20">
        <f t="shared" si="16"/>
        <v>1.0737618178919885</v>
      </c>
    </row>
    <row r="31" spans="2:16" x14ac:dyDescent="0.3">
      <c r="J31" s="24" t="s">
        <v>121</v>
      </c>
      <c r="K31" s="25">
        <f>1-K30</f>
        <v>-5.5078171930285746E-2</v>
      </c>
      <c r="L31" s="25">
        <f t="shared" ref="L31:P31" si="17">1-L30</f>
        <v>-0.10929156785095073</v>
      </c>
      <c r="M31" s="25">
        <f t="shared" si="17"/>
        <v>8.7113335560822458E-2</v>
      </c>
      <c r="N31" s="25">
        <f t="shared" si="17"/>
        <v>0.10720935795727482</v>
      </c>
      <c r="O31" s="25">
        <f t="shared" si="17"/>
        <v>-0.1467643723283889</v>
      </c>
      <c r="P31" s="25">
        <f t="shared" si="17"/>
        <v>-7.3761817891988546E-2</v>
      </c>
    </row>
    <row r="91" spans="7:8" x14ac:dyDescent="0.3">
      <c r="G91" s="5"/>
      <c r="H91" s="5"/>
    </row>
    <row r="92" spans="7:8" x14ac:dyDescent="0.3">
      <c r="G92" s="5"/>
      <c r="H92" s="5"/>
    </row>
    <row r="93" spans="7:8" x14ac:dyDescent="0.3">
      <c r="G93" s="5"/>
      <c r="H93" s="5"/>
    </row>
    <row r="94" spans="7:8" x14ac:dyDescent="0.3">
      <c r="G94" s="5"/>
      <c r="H94" s="5"/>
    </row>
    <row r="95" spans="7:8" x14ac:dyDescent="0.3">
      <c r="G95" s="5"/>
      <c r="H95" s="5"/>
    </row>
    <row r="96" spans="7:8" x14ac:dyDescent="0.3">
      <c r="G96" s="5"/>
      <c r="H96" s="5"/>
    </row>
    <row r="97" spans="7:8" x14ac:dyDescent="0.3">
      <c r="G97" s="5"/>
      <c r="H97" s="5"/>
    </row>
    <row r="98" spans="7:8" x14ac:dyDescent="0.3">
      <c r="G98" s="5"/>
      <c r="H98" s="5"/>
    </row>
    <row r="99" spans="7:8" x14ac:dyDescent="0.3">
      <c r="G99" s="5"/>
      <c r="H99" s="5"/>
    </row>
    <row r="100" spans="7:8" x14ac:dyDescent="0.3">
      <c r="G100" s="5"/>
      <c r="H100" s="5"/>
    </row>
    <row r="101" spans="7:8" x14ac:dyDescent="0.3">
      <c r="G101" s="5"/>
      <c r="H101" s="5"/>
    </row>
    <row r="102" spans="7:8" x14ac:dyDescent="0.3">
      <c r="G102" s="5"/>
      <c r="H102" s="5"/>
    </row>
    <row r="103" spans="7:8" x14ac:dyDescent="0.3">
      <c r="G103" s="5"/>
      <c r="H103" s="5"/>
    </row>
    <row r="104" spans="7:8" x14ac:dyDescent="0.3">
      <c r="G104" s="5"/>
      <c r="H104" s="5"/>
    </row>
    <row r="105" spans="7:8" x14ac:dyDescent="0.3">
      <c r="G105" s="5"/>
      <c r="H105" s="5"/>
    </row>
    <row r="106" spans="7:8" x14ac:dyDescent="0.3">
      <c r="G106" s="5"/>
      <c r="H106" s="5"/>
    </row>
    <row r="107" spans="7:8" x14ac:dyDescent="0.3">
      <c r="G107" s="5"/>
      <c r="H107" s="5"/>
    </row>
    <row r="108" spans="7:8" x14ac:dyDescent="0.3">
      <c r="G108" s="5"/>
      <c r="H108" s="5"/>
    </row>
    <row r="109" spans="7:8" x14ac:dyDescent="0.3">
      <c r="G109" s="5"/>
      <c r="H109" s="5"/>
    </row>
    <row r="110" spans="7:8" x14ac:dyDescent="0.3">
      <c r="G110" s="5"/>
      <c r="H110" s="5"/>
    </row>
    <row r="111" spans="7:8" x14ac:dyDescent="0.3">
      <c r="G111" s="5"/>
      <c r="H111" s="5"/>
    </row>
    <row r="112" spans="7:8" x14ac:dyDescent="0.3">
      <c r="G112" s="5"/>
      <c r="H112" s="5"/>
    </row>
    <row r="113" spans="7:8" x14ac:dyDescent="0.3">
      <c r="G113" s="5"/>
      <c r="H113" s="5"/>
    </row>
    <row r="114" spans="7:8" x14ac:dyDescent="0.3">
      <c r="G114" s="5"/>
      <c r="H114" s="5"/>
    </row>
    <row r="115" spans="7:8" x14ac:dyDescent="0.3">
      <c r="G115" s="5"/>
      <c r="H115" s="5"/>
    </row>
    <row r="116" spans="7:8" x14ac:dyDescent="0.3">
      <c r="G116" s="5"/>
      <c r="H116" s="5"/>
    </row>
    <row r="117" spans="7:8" x14ac:dyDescent="0.3">
      <c r="G117" s="5"/>
      <c r="H117" s="5"/>
    </row>
    <row r="118" spans="7:8" x14ac:dyDescent="0.3">
      <c r="G118" s="5"/>
      <c r="H118" s="5"/>
    </row>
    <row r="119" spans="7:8" x14ac:dyDescent="0.3">
      <c r="G119" s="5"/>
      <c r="H119" s="5"/>
    </row>
    <row r="120" spans="7:8" x14ac:dyDescent="0.3">
      <c r="G120" s="5"/>
      <c r="H120" s="5"/>
    </row>
    <row r="121" spans="7:8" x14ac:dyDescent="0.3">
      <c r="G121" s="5"/>
      <c r="H121" s="5"/>
    </row>
    <row r="122" spans="7:8" x14ac:dyDescent="0.3">
      <c r="G122" s="5"/>
      <c r="H122" s="5"/>
    </row>
    <row r="123" spans="7:8" x14ac:dyDescent="0.3">
      <c r="G123" s="5"/>
      <c r="H123" s="5"/>
    </row>
    <row r="124" spans="7:8" x14ac:dyDescent="0.3">
      <c r="G124" s="5"/>
      <c r="H124" s="5"/>
    </row>
    <row r="125" spans="7:8" x14ac:dyDescent="0.3">
      <c r="G125" s="5"/>
      <c r="H125" s="5"/>
    </row>
    <row r="126" spans="7:8" x14ac:dyDescent="0.3">
      <c r="G126" s="5"/>
      <c r="H126" s="5"/>
    </row>
    <row r="127" spans="7:8" x14ac:dyDescent="0.3">
      <c r="G127" s="5"/>
      <c r="H127" s="5"/>
    </row>
    <row r="128" spans="7:8" x14ac:dyDescent="0.3">
      <c r="G128" s="5"/>
      <c r="H128" s="5"/>
    </row>
    <row r="129" spans="7:8" x14ac:dyDescent="0.3">
      <c r="G129" s="5"/>
      <c r="H129" s="5"/>
    </row>
    <row r="130" spans="7:8" x14ac:dyDescent="0.3">
      <c r="G130" s="5"/>
      <c r="H130" s="5"/>
    </row>
    <row r="131" spans="7:8" x14ac:dyDescent="0.3">
      <c r="G131" s="5"/>
      <c r="H131" s="5"/>
    </row>
    <row r="132" spans="7:8" x14ac:dyDescent="0.3">
      <c r="G132" s="5"/>
      <c r="H132" s="5"/>
    </row>
    <row r="133" spans="7:8" x14ac:dyDescent="0.3">
      <c r="G133" s="5"/>
      <c r="H133" s="5"/>
    </row>
    <row r="134" spans="7:8" x14ac:dyDescent="0.3">
      <c r="G134" s="5"/>
      <c r="H134" s="5"/>
    </row>
    <row r="135" spans="7:8" x14ac:dyDescent="0.3">
      <c r="G135" s="5"/>
      <c r="H135" s="5"/>
    </row>
    <row r="136" spans="7:8" x14ac:dyDescent="0.3">
      <c r="G136" s="5"/>
      <c r="H136" s="5"/>
    </row>
    <row r="137" spans="7:8" x14ac:dyDescent="0.3">
      <c r="G137" s="5"/>
      <c r="H137" s="5"/>
    </row>
    <row r="138" spans="7:8" x14ac:dyDescent="0.3">
      <c r="G138" s="5"/>
      <c r="H138" s="5"/>
    </row>
    <row r="139" spans="7:8" x14ac:dyDescent="0.3">
      <c r="G139" s="5"/>
      <c r="H139" s="5"/>
    </row>
    <row r="140" spans="7:8" x14ac:dyDescent="0.3">
      <c r="G140" s="5"/>
      <c r="H140" s="5"/>
    </row>
    <row r="141" spans="7:8" x14ac:dyDescent="0.3">
      <c r="G141" s="5"/>
      <c r="H141" s="5"/>
    </row>
    <row r="142" spans="7:8" x14ac:dyDescent="0.3">
      <c r="G142" s="5"/>
      <c r="H142" s="5"/>
    </row>
    <row r="143" spans="7:8" x14ac:dyDescent="0.3">
      <c r="G143" s="5"/>
      <c r="H143" s="5"/>
    </row>
    <row r="144" spans="7:8" x14ac:dyDescent="0.3">
      <c r="G144" s="5"/>
      <c r="H144" s="5"/>
    </row>
    <row r="145" spans="7:8" x14ac:dyDescent="0.3">
      <c r="G145" s="5"/>
      <c r="H145" s="5"/>
    </row>
    <row r="146" spans="7:8" x14ac:dyDescent="0.3">
      <c r="G146" s="5"/>
      <c r="H146" s="5"/>
    </row>
    <row r="147" spans="7:8" x14ac:dyDescent="0.3">
      <c r="G147" s="5"/>
      <c r="H147" s="5"/>
    </row>
    <row r="148" spans="7:8" x14ac:dyDescent="0.3">
      <c r="G148" s="5"/>
      <c r="H148" s="5"/>
    </row>
    <row r="149" spans="7:8" x14ac:dyDescent="0.3">
      <c r="G149" s="5"/>
      <c r="H149" s="5"/>
    </row>
    <row r="150" spans="7:8" x14ac:dyDescent="0.3">
      <c r="G150" s="5"/>
      <c r="H150" s="5"/>
    </row>
    <row r="151" spans="7:8" x14ac:dyDescent="0.3">
      <c r="G151" s="5"/>
      <c r="H151" s="5"/>
    </row>
    <row r="152" spans="7:8" x14ac:dyDescent="0.3">
      <c r="G152" s="5"/>
      <c r="H152" s="5"/>
    </row>
    <row r="153" spans="7:8" x14ac:dyDescent="0.3">
      <c r="G153" s="5"/>
      <c r="H153" s="5"/>
    </row>
    <row r="154" spans="7:8" x14ac:dyDescent="0.3">
      <c r="G154" s="5"/>
      <c r="H154" s="5"/>
    </row>
    <row r="155" spans="7:8" x14ac:dyDescent="0.3">
      <c r="G155" s="5"/>
      <c r="H155" s="5"/>
    </row>
    <row r="156" spans="7:8" x14ac:dyDescent="0.3">
      <c r="G156" s="5"/>
      <c r="H156" s="5"/>
    </row>
    <row r="157" spans="7:8" x14ac:dyDescent="0.3">
      <c r="G157" s="5"/>
      <c r="H157" s="5"/>
    </row>
    <row r="158" spans="7:8" x14ac:dyDescent="0.3">
      <c r="G158" s="5"/>
      <c r="H158" s="5"/>
    </row>
    <row r="159" spans="7:8" x14ac:dyDescent="0.3">
      <c r="G159" s="5"/>
      <c r="H159" s="5"/>
    </row>
    <row r="160" spans="7:8" x14ac:dyDescent="0.3">
      <c r="G160" s="5"/>
      <c r="H160" s="5"/>
    </row>
    <row r="161" spans="7:8" x14ac:dyDescent="0.3">
      <c r="G161" s="5"/>
      <c r="H161" s="5"/>
    </row>
    <row r="162" spans="7:8" x14ac:dyDescent="0.3">
      <c r="G162" s="5"/>
      <c r="H162" s="5"/>
    </row>
    <row r="163" spans="7:8" x14ac:dyDescent="0.3">
      <c r="G163" s="5"/>
      <c r="H163" s="5"/>
    </row>
    <row r="164" spans="7:8" x14ac:dyDescent="0.3">
      <c r="G164" s="5"/>
      <c r="H164" s="5"/>
    </row>
    <row r="165" spans="7:8" x14ac:dyDescent="0.3">
      <c r="G165" s="5"/>
      <c r="H165" s="5"/>
    </row>
    <row r="166" spans="7:8" x14ac:dyDescent="0.3">
      <c r="G166" s="5"/>
      <c r="H166" s="5"/>
    </row>
    <row r="167" spans="7:8" x14ac:dyDescent="0.3">
      <c r="G167" s="5"/>
      <c r="H167" s="5"/>
    </row>
    <row r="168" spans="7:8" x14ac:dyDescent="0.3">
      <c r="G168" s="5"/>
      <c r="H168" s="5"/>
    </row>
    <row r="169" spans="7:8" x14ac:dyDescent="0.3">
      <c r="G169" s="5"/>
      <c r="H169" s="5"/>
    </row>
    <row r="170" spans="7:8" x14ac:dyDescent="0.3">
      <c r="G170" s="5"/>
      <c r="H170" s="5"/>
    </row>
    <row r="171" spans="7:8" x14ac:dyDescent="0.3">
      <c r="G171" s="5"/>
      <c r="H171" s="5"/>
    </row>
    <row r="172" spans="7:8" x14ac:dyDescent="0.3">
      <c r="G172" s="5"/>
      <c r="H172" s="5"/>
    </row>
    <row r="173" spans="7:8" x14ac:dyDescent="0.3">
      <c r="G173" s="5"/>
      <c r="H173" s="5"/>
    </row>
    <row r="174" spans="7:8" x14ac:dyDescent="0.3">
      <c r="G174" s="5"/>
      <c r="H174" s="5"/>
    </row>
    <row r="175" spans="7:8" x14ac:dyDescent="0.3">
      <c r="G175" s="5"/>
      <c r="H175" s="5"/>
    </row>
    <row r="176" spans="7:8" x14ac:dyDescent="0.3">
      <c r="G176" s="5"/>
      <c r="H176" s="5"/>
    </row>
    <row r="177" spans="7:8" x14ac:dyDescent="0.3">
      <c r="G177" s="5"/>
      <c r="H177" s="5"/>
    </row>
    <row r="178" spans="7:8" x14ac:dyDescent="0.3">
      <c r="G178" s="5"/>
      <c r="H178" s="5"/>
    </row>
    <row r="179" spans="7:8" x14ac:dyDescent="0.3">
      <c r="G179" s="5"/>
      <c r="H179" s="5"/>
    </row>
    <row r="180" spans="7:8" x14ac:dyDescent="0.3">
      <c r="G180" s="5"/>
      <c r="H180" s="5"/>
    </row>
    <row r="181" spans="7:8" x14ac:dyDescent="0.3">
      <c r="G181" s="5"/>
      <c r="H181" s="5"/>
    </row>
    <row r="182" spans="7:8" x14ac:dyDescent="0.3">
      <c r="G182" s="5"/>
      <c r="H182" s="5"/>
    </row>
    <row r="183" spans="7:8" x14ac:dyDescent="0.3">
      <c r="G183" s="5"/>
      <c r="H183" s="5"/>
    </row>
    <row r="184" spans="7:8" x14ac:dyDescent="0.3">
      <c r="G184" s="5"/>
      <c r="H184" s="5"/>
    </row>
    <row r="185" spans="7:8" x14ac:dyDescent="0.3">
      <c r="G185" s="5"/>
      <c r="H185" s="5"/>
    </row>
    <row r="186" spans="7:8" x14ac:dyDescent="0.3">
      <c r="G186" s="5"/>
      <c r="H186" s="5"/>
    </row>
    <row r="187" spans="7:8" x14ac:dyDescent="0.3">
      <c r="G187" s="5"/>
      <c r="H187" s="5"/>
    </row>
    <row r="188" spans="7:8" x14ac:dyDescent="0.3">
      <c r="G188" s="5"/>
      <c r="H188" s="5"/>
    </row>
    <row r="189" spans="7:8" x14ac:dyDescent="0.3">
      <c r="G189" s="5"/>
      <c r="H189" s="5"/>
    </row>
    <row r="190" spans="7:8" x14ac:dyDescent="0.3">
      <c r="G190" s="5"/>
      <c r="H190" s="5"/>
    </row>
    <row r="191" spans="7:8" x14ac:dyDescent="0.3">
      <c r="G191" s="5"/>
      <c r="H191" s="5"/>
    </row>
    <row r="192" spans="7:8" x14ac:dyDescent="0.3">
      <c r="G192" s="5"/>
      <c r="H192" s="5"/>
    </row>
    <row r="193" spans="7:8" x14ac:dyDescent="0.3">
      <c r="G193" s="5"/>
      <c r="H193" s="5"/>
    </row>
    <row r="194" spans="7:8" x14ac:dyDescent="0.3">
      <c r="G194" s="5"/>
      <c r="H194" s="5"/>
    </row>
    <row r="195" spans="7:8" x14ac:dyDescent="0.3">
      <c r="G195" s="5"/>
      <c r="H195" s="5"/>
    </row>
    <row r="196" spans="7:8" x14ac:dyDescent="0.3">
      <c r="G196" s="5"/>
      <c r="H196" s="5"/>
    </row>
    <row r="197" spans="7:8" x14ac:dyDescent="0.3">
      <c r="G197" s="5"/>
      <c r="H197" s="5"/>
    </row>
    <row r="198" spans="7:8" x14ac:dyDescent="0.3">
      <c r="G198" s="5"/>
      <c r="H198" s="5"/>
    </row>
    <row r="199" spans="7:8" x14ac:dyDescent="0.3">
      <c r="G199" s="5"/>
      <c r="H199" s="5"/>
    </row>
    <row r="200" spans="7:8" x14ac:dyDescent="0.3">
      <c r="G200" s="5"/>
      <c r="H200" s="5"/>
    </row>
    <row r="201" spans="7:8" x14ac:dyDescent="0.3">
      <c r="G201" s="5"/>
      <c r="H201" s="5"/>
    </row>
    <row r="202" spans="7:8" x14ac:dyDescent="0.3">
      <c r="G202" s="5"/>
      <c r="H202" s="5"/>
    </row>
    <row r="203" spans="7:8" x14ac:dyDescent="0.3">
      <c r="G203" s="5"/>
      <c r="H203" s="5"/>
    </row>
    <row r="204" spans="7:8" x14ac:dyDescent="0.3">
      <c r="G204" s="5"/>
      <c r="H204" s="5"/>
    </row>
    <row r="205" spans="7:8" x14ac:dyDescent="0.3">
      <c r="G205" s="5"/>
      <c r="H205" s="5"/>
    </row>
    <row r="206" spans="7:8" x14ac:dyDescent="0.3">
      <c r="G206" s="5"/>
      <c r="H206" s="5"/>
    </row>
    <row r="207" spans="7:8" x14ac:dyDescent="0.3">
      <c r="G207" s="5"/>
      <c r="H207" s="5"/>
    </row>
    <row r="208" spans="7:8" x14ac:dyDescent="0.3">
      <c r="G208" s="5"/>
      <c r="H208" s="5"/>
    </row>
    <row r="209" spans="7:8" x14ac:dyDescent="0.3">
      <c r="G209" s="5"/>
      <c r="H209" s="5"/>
    </row>
    <row r="210" spans="7:8" x14ac:dyDescent="0.3">
      <c r="G210" s="5"/>
      <c r="H210" s="5"/>
    </row>
    <row r="211" spans="7:8" x14ac:dyDescent="0.3">
      <c r="G211" s="5"/>
      <c r="H211" s="5"/>
    </row>
    <row r="212" spans="7:8" x14ac:dyDescent="0.3">
      <c r="G212" s="5"/>
      <c r="H212" s="5"/>
    </row>
    <row r="213" spans="7:8" x14ac:dyDescent="0.3">
      <c r="G213" s="5"/>
      <c r="H213" s="5"/>
    </row>
    <row r="214" spans="7:8" x14ac:dyDescent="0.3">
      <c r="G214" s="5"/>
      <c r="H214" s="5"/>
    </row>
    <row r="215" spans="7:8" x14ac:dyDescent="0.3">
      <c r="G215" s="5"/>
      <c r="H215" s="5"/>
    </row>
    <row r="216" spans="7:8" x14ac:dyDescent="0.3">
      <c r="G216" s="5"/>
      <c r="H216" s="5"/>
    </row>
    <row r="217" spans="7:8" x14ac:dyDescent="0.3">
      <c r="G217" s="5"/>
      <c r="H217" s="5"/>
    </row>
    <row r="218" spans="7:8" x14ac:dyDescent="0.3">
      <c r="G218" s="5"/>
      <c r="H218" s="5"/>
    </row>
    <row r="219" spans="7:8" x14ac:dyDescent="0.3">
      <c r="G219" s="5"/>
      <c r="H219" s="5"/>
    </row>
    <row r="220" spans="7:8" x14ac:dyDescent="0.3">
      <c r="G220" s="5"/>
      <c r="H220" s="5"/>
    </row>
    <row r="221" spans="7:8" x14ac:dyDescent="0.3">
      <c r="G221" s="5"/>
      <c r="H221" s="5"/>
    </row>
    <row r="222" spans="7:8" x14ac:dyDescent="0.3">
      <c r="G222" s="5"/>
      <c r="H222" s="5"/>
    </row>
    <row r="223" spans="7:8" x14ac:dyDescent="0.3">
      <c r="G223" s="5"/>
      <c r="H223" s="5"/>
    </row>
    <row r="224" spans="7:8" x14ac:dyDescent="0.3">
      <c r="G224" s="5"/>
      <c r="H224" s="5"/>
    </row>
    <row r="225" spans="7:8" x14ac:dyDescent="0.3">
      <c r="G225" s="5"/>
      <c r="H225" s="5"/>
    </row>
    <row r="226" spans="7:8" x14ac:dyDescent="0.3">
      <c r="G226" s="5"/>
      <c r="H226" s="5"/>
    </row>
    <row r="227" spans="7:8" x14ac:dyDescent="0.3">
      <c r="G227" s="5"/>
      <c r="H227" s="5"/>
    </row>
    <row r="228" spans="7:8" x14ac:dyDescent="0.3">
      <c r="G228" s="5"/>
      <c r="H228" s="5"/>
    </row>
    <row r="229" spans="7:8" x14ac:dyDescent="0.3">
      <c r="G229" s="5"/>
      <c r="H229" s="5"/>
    </row>
    <row r="230" spans="7:8" x14ac:dyDescent="0.3">
      <c r="G230" s="5"/>
      <c r="H230" s="5"/>
    </row>
    <row r="231" spans="7:8" x14ac:dyDescent="0.3">
      <c r="G231" s="5"/>
      <c r="H231" s="5"/>
    </row>
    <row r="232" spans="7:8" x14ac:dyDescent="0.3">
      <c r="G232" s="5"/>
      <c r="H232" s="5"/>
    </row>
    <row r="233" spans="7:8" x14ac:dyDescent="0.3">
      <c r="G233" s="5"/>
      <c r="H233" s="5"/>
    </row>
    <row r="234" spans="7:8" x14ac:dyDescent="0.3">
      <c r="G234" s="5"/>
      <c r="H234" s="5"/>
    </row>
    <row r="235" spans="7:8" x14ac:dyDescent="0.3">
      <c r="G235" s="5"/>
      <c r="H235" s="5"/>
    </row>
    <row r="236" spans="7:8" x14ac:dyDescent="0.3">
      <c r="G236" s="5"/>
      <c r="H236" s="5"/>
    </row>
    <row r="237" spans="7:8" x14ac:dyDescent="0.3">
      <c r="G237" s="5"/>
      <c r="H237" s="5"/>
    </row>
    <row r="238" spans="7:8" x14ac:dyDescent="0.3">
      <c r="G238" s="5"/>
      <c r="H238" s="5"/>
    </row>
    <row r="239" spans="7:8" x14ac:dyDescent="0.3">
      <c r="G239" s="5"/>
      <c r="H239" s="5"/>
    </row>
    <row r="240" spans="7:8" x14ac:dyDescent="0.3">
      <c r="G240" s="5"/>
      <c r="H240" s="5"/>
    </row>
    <row r="241" spans="7:8" x14ac:dyDescent="0.3">
      <c r="G241" s="5"/>
      <c r="H241" s="5"/>
    </row>
    <row r="242" spans="7:8" x14ac:dyDescent="0.3">
      <c r="G242" s="5"/>
      <c r="H242" s="5"/>
    </row>
    <row r="243" spans="7:8" x14ac:dyDescent="0.3">
      <c r="G243" s="5"/>
      <c r="H243" s="5"/>
    </row>
    <row r="244" spans="7:8" x14ac:dyDescent="0.3">
      <c r="G244" s="5"/>
      <c r="H244" s="5"/>
    </row>
    <row r="245" spans="7:8" x14ac:dyDescent="0.3">
      <c r="G245" s="5"/>
      <c r="H245" s="5"/>
    </row>
    <row r="246" spans="7:8" x14ac:dyDescent="0.3">
      <c r="G246" s="5"/>
      <c r="H246" s="5"/>
    </row>
    <row r="247" spans="7:8" x14ac:dyDescent="0.3">
      <c r="G247" s="5"/>
      <c r="H247" s="5"/>
    </row>
    <row r="248" spans="7:8" x14ac:dyDescent="0.3">
      <c r="G248" s="5"/>
      <c r="H248" s="5"/>
    </row>
    <row r="249" spans="7:8" x14ac:dyDescent="0.3">
      <c r="G249" s="5"/>
      <c r="H249" s="5"/>
    </row>
    <row r="250" spans="7:8" x14ac:dyDescent="0.3">
      <c r="G250" s="5"/>
      <c r="H250" s="5"/>
    </row>
    <row r="251" spans="7:8" x14ac:dyDescent="0.3">
      <c r="G251" s="5"/>
      <c r="H251" s="5"/>
    </row>
    <row r="252" spans="7:8" x14ac:dyDescent="0.3">
      <c r="G252" s="5"/>
      <c r="H252" s="5"/>
    </row>
    <row r="253" spans="7:8" x14ac:dyDescent="0.3">
      <c r="G253" s="5"/>
      <c r="H253" s="5"/>
    </row>
    <row r="254" spans="7:8" x14ac:dyDescent="0.3">
      <c r="G254" s="5"/>
      <c r="H254" s="5"/>
    </row>
    <row r="255" spans="7:8" x14ac:dyDescent="0.3">
      <c r="G255" s="5"/>
      <c r="H255" s="5"/>
    </row>
    <row r="256" spans="7:8" x14ac:dyDescent="0.3">
      <c r="G256" s="5"/>
      <c r="H256" s="5"/>
    </row>
    <row r="257" spans="7:8" x14ac:dyDescent="0.3">
      <c r="G257" s="5"/>
      <c r="H257" s="5"/>
    </row>
    <row r="258" spans="7:8" x14ac:dyDescent="0.3">
      <c r="G258" s="5"/>
      <c r="H258" s="5"/>
    </row>
    <row r="259" spans="7:8" x14ac:dyDescent="0.3">
      <c r="G259" s="5"/>
      <c r="H259" s="5"/>
    </row>
    <row r="260" spans="7:8" x14ac:dyDescent="0.3">
      <c r="G260" s="5"/>
      <c r="H260" s="5"/>
    </row>
    <row r="261" spans="7:8" x14ac:dyDescent="0.3">
      <c r="G261" s="5"/>
      <c r="H261" s="5"/>
    </row>
    <row r="262" spans="7:8" x14ac:dyDescent="0.3">
      <c r="G262" s="5"/>
      <c r="H262" s="5"/>
    </row>
    <row r="263" spans="7:8" x14ac:dyDescent="0.3">
      <c r="G263" s="5"/>
      <c r="H263" s="5"/>
    </row>
    <row r="264" spans="7:8" x14ac:dyDescent="0.3">
      <c r="G264" s="5"/>
      <c r="H264" s="5"/>
    </row>
    <row r="265" spans="7:8" x14ac:dyDescent="0.3">
      <c r="G265" s="5"/>
      <c r="H265" s="5"/>
    </row>
    <row r="266" spans="7:8" x14ac:dyDescent="0.3">
      <c r="G266" s="5"/>
      <c r="H266" s="5"/>
    </row>
    <row r="267" spans="7:8" x14ac:dyDescent="0.3">
      <c r="G267" s="5"/>
      <c r="H267" s="5"/>
    </row>
    <row r="268" spans="7:8" x14ac:dyDescent="0.3">
      <c r="G268" s="5"/>
      <c r="H268" s="5"/>
    </row>
    <row r="269" spans="7:8" x14ac:dyDescent="0.3">
      <c r="G269" s="5"/>
      <c r="H269" s="5"/>
    </row>
    <row r="270" spans="7:8" x14ac:dyDescent="0.3">
      <c r="G270" s="5"/>
      <c r="H270" s="5"/>
    </row>
    <row r="271" spans="7:8" x14ac:dyDescent="0.3">
      <c r="G271" s="5"/>
      <c r="H271" s="5"/>
    </row>
    <row r="272" spans="7:8" x14ac:dyDescent="0.3">
      <c r="G272" s="5"/>
      <c r="H272" s="5"/>
    </row>
    <row r="273" spans="7:8" x14ac:dyDescent="0.3">
      <c r="G273" s="5"/>
      <c r="H273" s="5"/>
    </row>
    <row r="274" spans="7:8" x14ac:dyDescent="0.3">
      <c r="G274" s="5"/>
      <c r="H274" s="5"/>
    </row>
    <row r="275" spans="7:8" x14ac:dyDescent="0.3">
      <c r="G275" s="5"/>
      <c r="H275" s="5"/>
    </row>
    <row r="276" spans="7:8" x14ac:dyDescent="0.3">
      <c r="G276" s="5"/>
      <c r="H276" s="5"/>
    </row>
    <row r="277" spans="7:8" x14ac:dyDescent="0.3">
      <c r="G277" s="5"/>
      <c r="H277" s="5"/>
    </row>
    <row r="278" spans="7:8" x14ac:dyDescent="0.3">
      <c r="G278" s="5"/>
      <c r="H278" s="5"/>
    </row>
    <row r="279" spans="7:8" x14ac:dyDescent="0.3">
      <c r="G279" s="5"/>
      <c r="H279" s="5"/>
    </row>
    <row r="280" spans="7:8" x14ac:dyDescent="0.3">
      <c r="G280" s="5"/>
      <c r="H280" s="5"/>
    </row>
    <row r="281" spans="7:8" x14ac:dyDescent="0.3">
      <c r="G281" s="5"/>
      <c r="H281" s="5"/>
    </row>
    <row r="282" spans="7:8" x14ac:dyDescent="0.3">
      <c r="G282" s="5"/>
      <c r="H282" s="5"/>
    </row>
    <row r="283" spans="7:8" x14ac:dyDescent="0.3">
      <c r="G283" s="5"/>
      <c r="H283" s="5"/>
    </row>
    <row r="284" spans="7:8" x14ac:dyDescent="0.3">
      <c r="G284" s="5"/>
      <c r="H284" s="5"/>
    </row>
    <row r="285" spans="7:8" x14ac:dyDescent="0.3">
      <c r="G285" s="5"/>
      <c r="H285" s="5"/>
    </row>
    <row r="286" spans="7:8" x14ac:dyDescent="0.3">
      <c r="G286" s="5"/>
      <c r="H286" s="5"/>
    </row>
    <row r="287" spans="7:8" x14ac:dyDescent="0.3">
      <c r="G287" s="5"/>
      <c r="H287" s="5"/>
    </row>
    <row r="288" spans="7:8" x14ac:dyDescent="0.3">
      <c r="G288" s="5"/>
      <c r="H288" s="5"/>
    </row>
    <row r="289" spans="7:8" x14ac:dyDescent="0.3">
      <c r="G289" s="5"/>
      <c r="H289" s="5"/>
    </row>
    <row r="290" spans="7:8" x14ac:dyDescent="0.3">
      <c r="G290" s="5"/>
      <c r="H290" s="5"/>
    </row>
    <row r="291" spans="7:8" x14ac:dyDescent="0.3">
      <c r="G291" s="5"/>
      <c r="H291" s="5"/>
    </row>
    <row r="292" spans="7:8" x14ac:dyDescent="0.3">
      <c r="G292" s="5"/>
      <c r="H292" s="5"/>
    </row>
    <row r="293" spans="7:8" x14ac:dyDescent="0.3">
      <c r="G293" s="5"/>
      <c r="H293" s="5"/>
    </row>
    <row r="294" spans="7:8" x14ac:dyDescent="0.3">
      <c r="G294" s="5"/>
      <c r="H294" s="5"/>
    </row>
    <row r="295" spans="7:8" x14ac:dyDescent="0.3">
      <c r="G295" s="5"/>
      <c r="H295" s="5"/>
    </row>
    <row r="296" spans="7:8" x14ac:dyDescent="0.3">
      <c r="G296" s="5"/>
      <c r="H296" s="5"/>
    </row>
    <row r="297" spans="7:8" x14ac:dyDescent="0.3">
      <c r="G297" s="5"/>
      <c r="H297" s="5"/>
    </row>
    <row r="298" spans="7:8" x14ac:dyDescent="0.3">
      <c r="G298" s="5"/>
      <c r="H298" s="5"/>
    </row>
    <row r="299" spans="7:8" x14ac:dyDescent="0.3">
      <c r="G299" s="5"/>
      <c r="H299" s="5"/>
    </row>
    <row r="300" spans="7:8" x14ac:dyDescent="0.3">
      <c r="G300" s="5"/>
      <c r="H300" s="5"/>
    </row>
    <row r="301" spans="7:8" x14ac:dyDescent="0.3">
      <c r="G301" s="5"/>
      <c r="H301" s="5"/>
    </row>
    <row r="302" spans="7:8" x14ac:dyDescent="0.3">
      <c r="G302" s="5"/>
      <c r="H302" s="5"/>
    </row>
    <row r="303" spans="7:8" x14ac:dyDescent="0.3">
      <c r="G303" s="5"/>
      <c r="H303" s="5"/>
    </row>
    <row r="304" spans="7:8" x14ac:dyDescent="0.3">
      <c r="G304" s="5"/>
      <c r="H304" s="5"/>
    </row>
    <row r="305" spans="7:8" x14ac:dyDescent="0.3">
      <c r="G305" s="5"/>
      <c r="H305" s="5"/>
    </row>
    <row r="306" spans="7:8" x14ac:dyDescent="0.3">
      <c r="G306" s="5"/>
      <c r="H306" s="5"/>
    </row>
    <row r="307" spans="7:8" x14ac:dyDescent="0.3">
      <c r="G307" s="5"/>
      <c r="H307" s="5"/>
    </row>
    <row r="308" spans="7:8" x14ac:dyDescent="0.3">
      <c r="G308" s="5"/>
      <c r="H308" s="5"/>
    </row>
    <row r="309" spans="7:8" x14ac:dyDescent="0.3">
      <c r="G309" s="5"/>
      <c r="H309" s="5"/>
    </row>
    <row r="310" spans="7:8" x14ac:dyDescent="0.3">
      <c r="G310" s="5"/>
      <c r="H310" s="5"/>
    </row>
    <row r="311" spans="7:8" x14ac:dyDescent="0.3">
      <c r="G311" s="5"/>
      <c r="H311" s="5"/>
    </row>
    <row r="312" spans="7:8" x14ac:dyDescent="0.3">
      <c r="G312" s="5"/>
      <c r="H312" s="5"/>
    </row>
    <row r="313" spans="7:8" x14ac:dyDescent="0.3">
      <c r="G313" s="5"/>
      <c r="H313" s="5"/>
    </row>
    <row r="314" spans="7:8" x14ac:dyDescent="0.3">
      <c r="G314" s="5"/>
      <c r="H314" s="5"/>
    </row>
    <row r="315" spans="7:8" x14ac:dyDescent="0.3">
      <c r="G315" s="5"/>
      <c r="H315" s="5"/>
    </row>
    <row r="316" spans="7:8" x14ac:dyDescent="0.3">
      <c r="G316" s="5"/>
      <c r="H316" s="5"/>
    </row>
    <row r="317" spans="7:8" x14ac:dyDescent="0.3">
      <c r="G317" s="5"/>
      <c r="H317" s="5"/>
    </row>
    <row r="318" spans="7:8" x14ac:dyDescent="0.3">
      <c r="G318" s="5"/>
      <c r="H318" s="5"/>
    </row>
    <row r="319" spans="7:8" x14ac:dyDescent="0.3">
      <c r="G319" s="5"/>
      <c r="H319" s="5"/>
    </row>
    <row r="320" spans="7:8" x14ac:dyDescent="0.3">
      <c r="G320" s="5"/>
      <c r="H320" s="5"/>
    </row>
    <row r="321" spans="7:8" x14ac:dyDescent="0.3">
      <c r="G321" s="5"/>
      <c r="H321" s="5"/>
    </row>
    <row r="322" spans="7:8" x14ac:dyDescent="0.3">
      <c r="G322" s="5"/>
      <c r="H322" s="5"/>
    </row>
    <row r="323" spans="7:8" x14ac:dyDescent="0.3">
      <c r="G323" s="5"/>
      <c r="H323" s="5"/>
    </row>
    <row r="324" spans="7:8" x14ac:dyDescent="0.3">
      <c r="G324" s="5"/>
      <c r="H324" s="5"/>
    </row>
    <row r="325" spans="7:8" x14ac:dyDescent="0.3">
      <c r="G325" s="5"/>
      <c r="H325" s="5"/>
    </row>
    <row r="326" spans="7:8" x14ac:dyDescent="0.3">
      <c r="G326" s="5"/>
      <c r="H326" s="5"/>
    </row>
    <row r="327" spans="7:8" x14ac:dyDescent="0.3">
      <c r="G327" s="5"/>
      <c r="H327" s="5"/>
    </row>
    <row r="328" spans="7:8" x14ac:dyDescent="0.3">
      <c r="G328" s="5"/>
      <c r="H328" s="5"/>
    </row>
    <row r="329" spans="7:8" x14ac:dyDescent="0.3">
      <c r="G329" s="5"/>
      <c r="H329" s="5"/>
    </row>
    <row r="330" spans="7:8" x14ac:dyDescent="0.3">
      <c r="G330" s="5"/>
      <c r="H330" s="5"/>
    </row>
    <row r="331" spans="7:8" x14ac:dyDescent="0.3">
      <c r="G331" s="5"/>
      <c r="H331" s="5"/>
    </row>
    <row r="332" spans="7:8" x14ac:dyDescent="0.3">
      <c r="G332" s="5"/>
      <c r="H332" s="5"/>
    </row>
    <row r="333" spans="7:8" x14ac:dyDescent="0.3">
      <c r="G333" s="5"/>
      <c r="H333" s="5"/>
    </row>
    <row r="334" spans="7:8" x14ac:dyDescent="0.3">
      <c r="G334" s="5"/>
      <c r="H334" s="5"/>
    </row>
    <row r="335" spans="7:8" x14ac:dyDescent="0.3">
      <c r="G335" s="5"/>
      <c r="H335" s="5"/>
    </row>
    <row r="336" spans="7:8" x14ac:dyDescent="0.3">
      <c r="G336" s="5"/>
      <c r="H336" s="5"/>
    </row>
    <row r="337" spans="7:8" x14ac:dyDescent="0.3">
      <c r="G337" s="5"/>
      <c r="H337" s="5"/>
    </row>
    <row r="338" spans="7:8" x14ac:dyDescent="0.3">
      <c r="G338" s="5"/>
      <c r="H338" s="5"/>
    </row>
    <row r="339" spans="7:8" x14ac:dyDescent="0.3">
      <c r="G339" s="5"/>
      <c r="H339" s="5"/>
    </row>
    <row r="340" spans="7:8" x14ac:dyDescent="0.3">
      <c r="G340" s="5"/>
      <c r="H340" s="5"/>
    </row>
    <row r="341" spans="7:8" x14ac:dyDescent="0.3">
      <c r="G341" s="5"/>
      <c r="H341" s="5"/>
    </row>
    <row r="342" spans="7:8" x14ac:dyDescent="0.3">
      <c r="G342" s="5"/>
      <c r="H342" s="5"/>
    </row>
    <row r="343" spans="7:8" x14ac:dyDescent="0.3">
      <c r="G343" s="5"/>
      <c r="H343" s="5"/>
    </row>
    <row r="344" spans="7:8" x14ac:dyDescent="0.3">
      <c r="G344" s="5"/>
      <c r="H344" s="5"/>
    </row>
    <row r="345" spans="7:8" x14ac:dyDescent="0.3">
      <c r="G345" s="5"/>
      <c r="H345" s="5"/>
    </row>
    <row r="346" spans="7:8" x14ac:dyDescent="0.3">
      <c r="G346" s="5"/>
      <c r="H346" s="5"/>
    </row>
    <row r="347" spans="7:8" x14ac:dyDescent="0.3">
      <c r="G347" s="5"/>
      <c r="H347" s="5"/>
    </row>
    <row r="348" spans="7:8" x14ac:dyDescent="0.3">
      <c r="G348" s="5"/>
      <c r="H348" s="5"/>
    </row>
    <row r="349" spans="7:8" x14ac:dyDescent="0.3">
      <c r="G349" s="5"/>
      <c r="H349" s="5"/>
    </row>
    <row r="350" spans="7:8" x14ac:dyDescent="0.3">
      <c r="G350" s="5"/>
      <c r="H350" s="5"/>
    </row>
    <row r="351" spans="7:8" x14ac:dyDescent="0.3">
      <c r="G351" s="5"/>
      <c r="H351" s="5"/>
    </row>
    <row r="352" spans="7:8" x14ac:dyDescent="0.3">
      <c r="G352" s="5"/>
      <c r="H352" s="5"/>
    </row>
    <row r="353" spans="7:8" x14ac:dyDescent="0.3">
      <c r="G353" s="5"/>
      <c r="H353" s="5"/>
    </row>
    <row r="354" spans="7:8" x14ac:dyDescent="0.3">
      <c r="G354" s="5"/>
      <c r="H354" s="5"/>
    </row>
    <row r="355" spans="7:8" x14ac:dyDescent="0.3">
      <c r="G355" s="5"/>
      <c r="H355" s="5"/>
    </row>
    <row r="356" spans="7:8" x14ac:dyDescent="0.3">
      <c r="G356" s="5"/>
      <c r="H356" s="5"/>
    </row>
    <row r="357" spans="7:8" x14ac:dyDescent="0.3">
      <c r="G357" s="5"/>
      <c r="H357" s="5"/>
    </row>
    <row r="358" spans="7:8" x14ac:dyDescent="0.3">
      <c r="G358" s="5"/>
      <c r="H358" s="5"/>
    </row>
    <row r="359" spans="7:8" x14ac:dyDescent="0.3">
      <c r="G359" s="5"/>
      <c r="H359" s="5"/>
    </row>
    <row r="360" spans="7:8" x14ac:dyDescent="0.3">
      <c r="G360" s="5"/>
      <c r="H360" s="5"/>
    </row>
    <row r="361" spans="7:8" x14ac:dyDescent="0.3">
      <c r="G361" s="5"/>
      <c r="H361" s="5"/>
    </row>
    <row r="362" spans="7:8" x14ac:dyDescent="0.3">
      <c r="G362" s="5"/>
      <c r="H362" s="5"/>
    </row>
    <row r="363" spans="7:8" x14ac:dyDescent="0.3">
      <c r="G363" s="5"/>
      <c r="H363" s="5"/>
    </row>
    <row r="364" spans="7:8" x14ac:dyDescent="0.3">
      <c r="G364" s="5"/>
      <c r="H364" s="5"/>
    </row>
    <row r="365" spans="7:8" x14ac:dyDescent="0.3">
      <c r="G365" s="5"/>
      <c r="H365" s="5"/>
    </row>
    <row r="366" spans="7:8" x14ac:dyDescent="0.3">
      <c r="G366" s="5"/>
      <c r="H366" s="5"/>
    </row>
    <row r="367" spans="7:8" x14ac:dyDescent="0.3">
      <c r="G367" s="5"/>
      <c r="H367" s="5"/>
    </row>
    <row r="368" spans="7:8" x14ac:dyDescent="0.3">
      <c r="G368" s="5"/>
      <c r="H368" s="5"/>
    </row>
    <row r="369" spans="7:8" x14ac:dyDescent="0.3">
      <c r="G369" s="5"/>
      <c r="H369" s="5"/>
    </row>
    <row r="370" spans="7:8" x14ac:dyDescent="0.3">
      <c r="G370" s="5"/>
      <c r="H370" s="5"/>
    </row>
    <row r="371" spans="7:8" x14ac:dyDescent="0.3">
      <c r="G371" s="5"/>
      <c r="H371" s="5"/>
    </row>
    <row r="372" spans="7:8" x14ac:dyDescent="0.3">
      <c r="G372" s="5"/>
      <c r="H372" s="5"/>
    </row>
    <row r="373" spans="7:8" x14ac:dyDescent="0.3">
      <c r="G373" s="5"/>
      <c r="H373" s="5"/>
    </row>
    <row r="374" spans="7:8" x14ac:dyDescent="0.3">
      <c r="G374" s="5"/>
      <c r="H374" s="5"/>
    </row>
    <row r="375" spans="7:8" x14ac:dyDescent="0.3">
      <c r="G375" s="5"/>
      <c r="H375" s="5"/>
    </row>
    <row r="376" spans="7:8" x14ac:dyDescent="0.3">
      <c r="G376" s="5"/>
      <c r="H376" s="5"/>
    </row>
    <row r="377" spans="7:8" x14ac:dyDescent="0.3">
      <c r="G377" s="5"/>
      <c r="H377" s="5"/>
    </row>
    <row r="378" spans="7:8" x14ac:dyDescent="0.3">
      <c r="G378" s="5"/>
      <c r="H378" s="5"/>
    </row>
    <row r="379" spans="7:8" x14ac:dyDescent="0.3">
      <c r="G379" s="5"/>
      <c r="H379" s="5"/>
    </row>
    <row r="380" spans="7:8" x14ac:dyDescent="0.3">
      <c r="G380" s="5"/>
      <c r="H380" s="5"/>
    </row>
    <row r="381" spans="7:8" x14ac:dyDescent="0.3">
      <c r="G381" s="5"/>
      <c r="H381" s="5"/>
    </row>
    <row r="382" spans="7:8" x14ac:dyDescent="0.3">
      <c r="G382" s="5"/>
      <c r="H382" s="5"/>
    </row>
    <row r="383" spans="7:8" x14ac:dyDescent="0.3">
      <c r="G383" s="5"/>
      <c r="H383" s="5"/>
    </row>
    <row r="384" spans="7:8" x14ac:dyDescent="0.3">
      <c r="G384" s="5"/>
      <c r="H384" s="5"/>
    </row>
    <row r="385" spans="7:8" x14ac:dyDescent="0.3">
      <c r="G385" s="5"/>
      <c r="H385" s="5"/>
    </row>
    <row r="386" spans="7:8" x14ac:dyDescent="0.3">
      <c r="G386" s="5"/>
      <c r="H386" s="5"/>
    </row>
    <row r="387" spans="7:8" x14ac:dyDescent="0.3">
      <c r="G387" s="5"/>
      <c r="H387" s="5"/>
    </row>
    <row r="388" spans="7:8" x14ac:dyDescent="0.3">
      <c r="G388" s="5"/>
      <c r="H388" s="5"/>
    </row>
    <row r="389" spans="7:8" x14ac:dyDescent="0.3">
      <c r="G389" s="5"/>
      <c r="H389" s="5"/>
    </row>
    <row r="390" spans="7:8" x14ac:dyDescent="0.3">
      <c r="G390" s="5"/>
      <c r="H390" s="5"/>
    </row>
    <row r="391" spans="7:8" x14ac:dyDescent="0.3">
      <c r="G391" s="5"/>
      <c r="H391" s="5"/>
    </row>
    <row r="392" spans="7:8" x14ac:dyDescent="0.3">
      <c r="G392" s="5"/>
      <c r="H392" s="5"/>
    </row>
    <row r="393" spans="7:8" x14ac:dyDescent="0.3">
      <c r="G393" s="5"/>
      <c r="H393" s="5"/>
    </row>
    <row r="394" spans="7:8" x14ac:dyDescent="0.3">
      <c r="G394" s="5"/>
      <c r="H394" s="5"/>
    </row>
    <row r="395" spans="7:8" x14ac:dyDescent="0.3">
      <c r="G395" s="5"/>
      <c r="H395" s="5"/>
    </row>
    <row r="396" spans="7:8" x14ac:dyDescent="0.3">
      <c r="G396" s="5"/>
      <c r="H396" s="5"/>
    </row>
    <row r="397" spans="7:8" x14ac:dyDescent="0.3">
      <c r="G397" s="5"/>
      <c r="H397" s="5"/>
    </row>
    <row r="398" spans="7:8" x14ac:dyDescent="0.3">
      <c r="G398" s="5"/>
      <c r="H398" s="5"/>
    </row>
    <row r="399" spans="7:8" x14ac:dyDescent="0.3">
      <c r="G399" s="5"/>
      <c r="H399" s="5"/>
    </row>
    <row r="400" spans="7:8" x14ac:dyDescent="0.3">
      <c r="G400" s="5"/>
      <c r="H400" s="5"/>
    </row>
    <row r="401" spans="7:8" x14ac:dyDescent="0.3">
      <c r="G401" s="5"/>
      <c r="H401" s="5"/>
    </row>
    <row r="402" spans="7:8" x14ac:dyDescent="0.3">
      <c r="G402" s="5"/>
      <c r="H402" s="5"/>
    </row>
    <row r="403" spans="7:8" x14ac:dyDescent="0.3">
      <c r="G403" s="5"/>
      <c r="H403" s="5"/>
    </row>
    <row r="404" spans="7:8" x14ac:dyDescent="0.3">
      <c r="G404" s="5"/>
      <c r="H404" s="5"/>
    </row>
    <row r="405" spans="7:8" x14ac:dyDescent="0.3">
      <c r="G405" s="5"/>
      <c r="H405" s="5"/>
    </row>
    <row r="406" spans="7:8" x14ac:dyDescent="0.3">
      <c r="G406" s="5"/>
      <c r="H406" s="5"/>
    </row>
    <row r="407" spans="7:8" x14ac:dyDescent="0.3">
      <c r="G407" s="5"/>
      <c r="H407" s="5"/>
    </row>
    <row r="408" spans="7:8" x14ac:dyDescent="0.3">
      <c r="G408" s="5"/>
      <c r="H408" s="5"/>
    </row>
    <row r="409" spans="7:8" x14ac:dyDescent="0.3">
      <c r="G409" s="5"/>
      <c r="H409" s="5"/>
    </row>
    <row r="410" spans="7:8" x14ac:dyDescent="0.3">
      <c r="G410" s="5"/>
      <c r="H410" s="5"/>
    </row>
    <row r="411" spans="7:8" x14ac:dyDescent="0.3">
      <c r="G411" s="5"/>
      <c r="H411" s="5"/>
    </row>
    <row r="412" spans="7:8" x14ac:dyDescent="0.3">
      <c r="G412" s="5"/>
      <c r="H412" s="5"/>
    </row>
    <row r="413" spans="7:8" x14ac:dyDescent="0.3">
      <c r="G413" s="5"/>
      <c r="H413" s="5"/>
    </row>
    <row r="414" spans="7:8" x14ac:dyDescent="0.3">
      <c r="G414" s="5"/>
      <c r="H414" s="5"/>
    </row>
    <row r="415" spans="7:8" x14ac:dyDescent="0.3">
      <c r="G415" s="5"/>
      <c r="H415" s="5"/>
    </row>
    <row r="416" spans="7:8" x14ac:dyDescent="0.3">
      <c r="G416" s="5"/>
      <c r="H416" s="5"/>
    </row>
    <row r="417" spans="7:8" x14ac:dyDescent="0.3">
      <c r="G417" s="5"/>
      <c r="H417" s="5"/>
    </row>
    <row r="418" spans="7:8" x14ac:dyDescent="0.3">
      <c r="G418" s="5"/>
      <c r="H418" s="5"/>
    </row>
    <row r="419" spans="7:8" x14ac:dyDescent="0.3">
      <c r="G419" s="5"/>
      <c r="H419" s="5"/>
    </row>
    <row r="420" spans="7:8" x14ac:dyDescent="0.3">
      <c r="G420" s="5"/>
      <c r="H420" s="5"/>
    </row>
    <row r="421" spans="7:8" x14ac:dyDescent="0.3">
      <c r="G421" s="5"/>
      <c r="H421" s="5"/>
    </row>
    <row r="422" spans="7:8" x14ac:dyDescent="0.3">
      <c r="G422" s="5"/>
      <c r="H422" s="5"/>
    </row>
    <row r="423" spans="7:8" x14ac:dyDescent="0.3">
      <c r="G423" s="5"/>
      <c r="H423" s="5"/>
    </row>
    <row r="424" spans="7:8" x14ac:dyDescent="0.3">
      <c r="G424" s="5"/>
      <c r="H424" s="5"/>
    </row>
    <row r="425" spans="7:8" x14ac:dyDescent="0.3">
      <c r="G425" s="5"/>
      <c r="H425" s="5"/>
    </row>
    <row r="426" spans="7:8" x14ac:dyDescent="0.3">
      <c r="G426" s="5"/>
      <c r="H426" s="5"/>
    </row>
    <row r="427" spans="7:8" x14ac:dyDescent="0.3">
      <c r="G427" s="5"/>
      <c r="H427" s="5"/>
    </row>
    <row r="428" spans="7:8" x14ac:dyDescent="0.3">
      <c r="G428" s="5"/>
      <c r="H428" s="5"/>
    </row>
    <row r="429" spans="7:8" x14ac:dyDescent="0.3">
      <c r="G429" s="5"/>
      <c r="H429" s="5"/>
    </row>
    <row r="430" spans="7:8" x14ac:dyDescent="0.3">
      <c r="G430" s="5"/>
      <c r="H430" s="5"/>
    </row>
    <row r="431" spans="7:8" x14ac:dyDescent="0.3">
      <c r="G431" s="5"/>
      <c r="H431" s="5"/>
    </row>
    <row r="432" spans="7:8" x14ac:dyDescent="0.3">
      <c r="G432" s="5"/>
      <c r="H432" s="5"/>
    </row>
    <row r="433" spans="7:8" x14ac:dyDescent="0.3">
      <c r="G433" s="5"/>
      <c r="H433" s="5"/>
    </row>
    <row r="434" spans="7:8" x14ac:dyDescent="0.3">
      <c r="G434" s="5"/>
      <c r="H434" s="5"/>
    </row>
    <row r="435" spans="7:8" x14ac:dyDescent="0.3">
      <c r="G435" s="5"/>
      <c r="H435" s="5"/>
    </row>
    <row r="436" spans="7:8" x14ac:dyDescent="0.3">
      <c r="G436" s="5"/>
      <c r="H436" s="5"/>
    </row>
    <row r="437" spans="7:8" x14ac:dyDescent="0.3">
      <c r="G437" s="5"/>
      <c r="H437" s="5"/>
    </row>
    <row r="438" spans="7:8" x14ac:dyDescent="0.3">
      <c r="G438" s="5"/>
      <c r="H438" s="5"/>
    </row>
    <row r="439" spans="7:8" x14ac:dyDescent="0.3">
      <c r="G439" s="5"/>
      <c r="H439" s="5"/>
    </row>
    <row r="440" spans="7:8" x14ac:dyDescent="0.3">
      <c r="G440" s="5"/>
      <c r="H440" s="5"/>
    </row>
    <row r="441" spans="7:8" x14ac:dyDescent="0.3">
      <c r="G441" s="5"/>
      <c r="H441" s="5"/>
    </row>
    <row r="442" spans="7:8" x14ac:dyDescent="0.3">
      <c r="G442" s="5"/>
      <c r="H442" s="5"/>
    </row>
    <row r="443" spans="7:8" x14ac:dyDescent="0.3">
      <c r="G443" s="5"/>
      <c r="H443" s="5"/>
    </row>
    <row r="444" spans="7:8" x14ac:dyDescent="0.3">
      <c r="G444" s="5"/>
      <c r="H444" s="5"/>
    </row>
    <row r="445" spans="7:8" x14ac:dyDescent="0.3">
      <c r="G445" s="5"/>
      <c r="H445" s="5"/>
    </row>
    <row r="446" spans="7:8" x14ac:dyDescent="0.3">
      <c r="G446" s="5"/>
      <c r="H446" s="5"/>
    </row>
    <row r="447" spans="7:8" x14ac:dyDescent="0.3">
      <c r="G447" s="5"/>
      <c r="H447" s="5"/>
    </row>
    <row r="448" spans="7:8" x14ac:dyDescent="0.3">
      <c r="G448" s="5"/>
      <c r="H448" s="5"/>
    </row>
    <row r="449" spans="7:8" x14ac:dyDescent="0.3">
      <c r="G449" s="5"/>
      <c r="H449" s="5"/>
    </row>
    <row r="450" spans="7:8" x14ac:dyDescent="0.3">
      <c r="G450" s="5"/>
      <c r="H450" s="5"/>
    </row>
    <row r="451" spans="7:8" x14ac:dyDescent="0.3">
      <c r="G451" s="5"/>
      <c r="H451" s="5"/>
    </row>
    <row r="452" spans="7:8" x14ac:dyDescent="0.3">
      <c r="G452" s="5"/>
      <c r="H452" s="5"/>
    </row>
    <row r="453" spans="7:8" x14ac:dyDescent="0.3">
      <c r="G453" s="5"/>
      <c r="H453" s="5"/>
    </row>
    <row r="454" spans="7:8" x14ac:dyDescent="0.3">
      <c r="G454" s="5"/>
      <c r="H454" s="5"/>
    </row>
    <row r="455" spans="7:8" x14ac:dyDescent="0.3">
      <c r="G455" s="5"/>
      <c r="H455" s="5"/>
    </row>
    <row r="456" spans="7:8" x14ac:dyDescent="0.3">
      <c r="G456" s="5"/>
      <c r="H456" s="5"/>
    </row>
    <row r="457" spans="7:8" x14ac:dyDescent="0.3">
      <c r="G457" s="5"/>
      <c r="H457" s="5"/>
    </row>
    <row r="458" spans="7:8" x14ac:dyDescent="0.3">
      <c r="G458" s="5"/>
      <c r="H458" s="5"/>
    </row>
    <row r="459" spans="7:8" x14ac:dyDescent="0.3">
      <c r="G459" s="5"/>
      <c r="H459" s="5"/>
    </row>
    <row r="460" spans="7:8" x14ac:dyDescent="0.3">
      <c r="G460" s="5"/>
      <c r="H460" s="5"/>
    </row>
    <row r="461" spans="7:8" x14ac:dyDescent="0.3">
      <c r="G461" s="5"/>
      <c r="H461" s="5"/>
    </row>
    <row r="462" spans="7:8" x14ac:dyDescent="0.3">
      <c r="G462" s="5"/>
      <c r="H462" s="5"/>
    </row>
    <row r="463" spans="7:8" x14ac:dyDescent="0.3">
      <c r="G463" s="5"/>
      <c r="H463" s="5"/>
    </row>
    <row r="464" spans="7:8" x14ac:dyDescent="0.3">
      <c r="G464" s="5"/>
      <c r="H464" s="5"/>
    </row>
    <row r="465" spans="7:8" x14ac:dyDescent="0.3">
      <c r="G465" s="5"/>
      <c r="H465" s="5"/>
    </row>
    <row r="466" spans="7:8" x14ac:dyDescent="0.3">
      <c r="G466" s="5"/>
      <c r="H466" s="5"/>
    </row>
    <row r="467" spans="7:8" x14ac:dyDescent="0.3">
      <c r="G467" s="5"/>
      <c r="H467" s="5"/>
    </row>
    <row r="468" spans="7:8" x14ac:dyDescent="0.3">
      <c r="G468" s="5"/>
      <c r="H468" s="5"/>
    </row>
    <row r="469" spans="7:8" x14ac:dyDescent="0.3">
      <c r="G469" s="5"/>
      <c r="H469" s="5"/>
    </row>
    <row r="470" spans="7:8" x14ac:dyDescent="0.3">
      <c r="G470" s="5"/>
      <c r="H470" s="5"/>
    </row>
    <row r="471" spans="7:8" x14ac:dyDescent="0.3">
      <c r="G471" s="5"/>
      <c r="H471" s="5"/>
    </row>
    <row r="472" spans="7:8" x14ac:dyDescent="0.3">
      <c r="G472" s="5"/>
      <c r="H472" s="5"/>
    </row>
    <row r="473" spans="7:8" x14ac:dyDescent="0.3">
      <c r="G473" s="5"/>
      <c r="H473" s="5"/>
    </row>
    <row r="474" spans="7:8" x14ac:dyDescent="0.3">
      <c r="G474" s="5"/>
      <c r="H474" s="5"/>
    </row>
    <row r="475" spans="7:8" x14ac:dyDescent="0.3">
      <c r="G475" s="5"/>
      <c r="H475" s="5"/>
    </row>
    <row r="476" spans="7:8" x14ac:dyDescent="0.3">
      <c r="G476" s="5"/>
      <c r="H476" s="5"/>
    </row>
    <row r="477" spans="7:8" x14ac:dyDescent="0.3">
      <c r="G477" s="5"/>
      <c r="H477" s="5"/>
    </row>
    <row r="478" spans="7:8" x14ac:dyDescent="0.3">
      <c r="G478" s="5"/>
      <c r="H478" s="5"/>
    </row>
    <row r="479" spans="7:8" x14ac:dyDescent="0.3">
      <c r="G479" s="5"/>
      <c r="H479" s="5"/>
    </row>
    <row r="480" spans="7:8" x14ac:dyDescent="0.3">
      <c r="G480" s="5"/>
      <c r="H480" s="5"/>
    </row>
    <row r="481" spans="7:8" x14ac:dyDescent="0.3">
      <c r="G481" s="5"/>
      <c r="H481" s="5"/>
    </row>
    <row r="482" spans="7:8" x14ac:dyDescent="0.3">
      <c r="G482" s="5"/>
      <c r="H482" s="5"/>
    </row>
    <row r="483" spans="7:8" x14ac:dyDescent="0.3">
      <c r="G483" s="5"/>
      <c r="H483" s="5"/>
    </row>
    <row r="484" spans="7:8" x14ac:dyDescent="0.3">
      <c r="G484" s="5"/>
      <c r="H484" s="5"/>
    </row>
    <row r="485" spans="7:8" x14ac:dyDescent="0.3">
      <c r="G485" s="5"/>
      <c r="H485" s="5"/>
    </row>
    <row r="486" spans="7:8" x14ac:dyDescent="0.3">
      <c r="G486" s="5"/>
      <c r="H486" s="5"/>
    </row>
    <row r="487" spans="7:8" x14ac:dyDescent="0.3">
      <c r="G487" s="5"/>
      <c r="H487" s="5"/>
    </row>
    <row r="488" spans="7:8" x14ac:dyDescent="0.3">
      <c r="G488" s="5"/>
      <c r="H488" s="5"/>
    </row>
    <row r="489" spans="7:8" x14ac:dyDescent="0.3">
      <c r="G489" s="5"/>
      <c r="H489" s="5"/>
    </row>
    <row r="490" spans="7:8" x14ac:dyDescent="0.3">
      <c r="G490" s="5"/>
      <c r="H490" s="5"/>
    </row>
    <row r="491" spans="7:8" x14ac:dyDescent="0.3">
      <c r="G491" s="5"/>
      <c r="H491" s="5"/>
    </row>
    <row r="492" spans="7:8" x14ac:dyDescent="0.3">
      <c r="G492" s="5"/>
      <c r="H492" s="5"/>
    </row>
    <row r="493" spans="7:8" x14ac:dyDescent="0.3">
      <c r="G493" s="5"/>
      <c r="H493" s="5"/>
    </row>
    <row r="494" spans="7:8" x14ac:dyDescent="0.3">
      <c r="G494" s="5"/>
      <c r="H494" s="5"/>
    </row>
    <row r="495" spans="7:8" x14ac:dyDescent="0.3">
      <c r="G495" s="5"/>
      <c r="H495" s="5"/>
    </row>
    <row r="496" spans="7:8" x14ac:dyDescent="0.3">
      <c r="G496" s="5"/>
      <c r="H496" s="5"/>
    </row>
    <row r="497" spans="7:8" x14ac:dyDescent="0.3">
      <c r="G497" s="5"/>
      <c r="H497" s="5"/>
    </row>
    <row r="498" spans="7:8" x14ac:dyDescent="0.3">
      <c r="G498" s="5"/>
      <c r="H498" s="5"/>
    </row>
    <row r="499" spans="7:8" x14ac:dyDescent="0.3">
      <c r="G499" s="5"/>
      <c r="H499" s="5"/>
    </row>
    <row r="500" spans="7:8" x14ac:dyDescent="0.3">
      <c r="G500" s="5"/>
      <c r="H500" s="5"/>
    </row>
    <row r="501" spans="7:8" x14ac:dyDescent="0.3">
      <c r="G501" s="5"/>
      <c r="H501" s="5"/>
    </row>
    <row r="502" spans="7:8" x14ac:dyDescent="0.3">
      <c r="G502" s="5"/>
      <c r="H502" s="5"/>
    </row>
    <row r="503" spans="7:8" x14ac:dyDescent="0.3">
      <c r="G503" s="5"/>
      <c r="H503" s="5"/>
    </row>
    <row r="504" spans="7:8" x14ac:dyDescent="0.3">
      <c r="G504" s="5"/>
      <c r="H504" s="5"/>
    </row>
    <row r="505" spans="7:8" x14ac:dyDescent="0.3">
      <c r="G505" s="5"/>
      <c r="H505" s="5"/>
    </row>
    <row r="506" spans="7:8" x14ac:dyDescent="0.3">
      <c r="G506" s="5"/>
      <c r="H506" s="5"/>
    </row>
    <row r="507" spans="7:8" x14ac:dyDescent="0.3">
      <c r="G507" s="5"/>
      <c r="H507" s="5"/>
    </row>
    <row r="508" spans="7:8" x14ac:dyDescent="0.3">
      <c r="G508" s="5"/>
      <c r="H508" s="5"/>
    </row>
    <row r="509" spans="7:8" x14ac:dyDescent="0.3">
      <c r="G509" s="5"/>
      <c r="H509" s="5"/>
    </row>
    <row r="510" spans="7:8" x14ac:dyDescent="0.3">
      <c r="G510" s="5"/>
      <c r="H510" s="5"/>
    </row>
    <row r="511" spans="7:8" x14ac:dyDescent="0.3">
      <c r="G511" s="5"/>
      <c r="H511" s="5"/>
    </row>
    <row r="512" spans="7:8" x14ac:dyDescent="0.3">
      <c r="G512" s="5"/>
      <c r="H512" s="5"/>
    </row>
    <row r="513" spans="7:8" x14ac:dyDescent="0.3">
      <c r="G513" s="5"/>
      <c r="H513" s="5"/>
    </row>
    <row r="514" spans="7:8" x14ac:dyDescent="0.3">
      <c r="G514" s="5"/>
      <c r="H514" s="5"/>
    </row>
    <row r="515" spans="7:8" x14ac:dyDescent="0.3">
      <c r="G515" s="5"/>
      <c r="H515" s="5"/>
    </row>
    <row r="516" spans="7:8" x14ac:dyDescent="0.3">
      <c r="G516" s="5"/>
      <c r="H516" s="5"/>
    </row>
    <row r="517" spans="7:8" x14ac:dyDescent="0.3">
      <c r="G517" s="5"/>
      <c r="H517" s="5"/>
    </row>
    <row r="518" spans="7:8" x14ac:dyDescent="0.3">
      <c r="G518" s="5"/>
      <c r="H518" s="5"/>
    </row>
    <row r="519" spans="7:8" x14ac:dyDescent="0.3">
      <c r="G519" s="5"/>
      <c r="H519" s="5"/>
    </row>
    <row r="520" spans="7:8" x14ac:dyDescent="0.3">
      <c r="G520" s="5"/>
      <c r="H520" s="5"/>
    </row>
    <row r="521" spans="7:8" x14ac:dyDescent="0.3">
      <c r="G521" s="5"/>
      <c r="H521" s="5"/>
    </row>
    <row r="522" spans="7:8" x14ac:dyDescent="0.3">
      <c r="G522" s="5"/>
      <c r="H522" s="5"/>
    </row>
    <row r="523" spans="7:8" x14ac:dyDescent="0.3">
      <c r="G523" s="5"/>
      <c r="H523" s="5"/>
    </row>
    <row r="524" spans="7:8" x14ac:dyDescent="0.3">
      <c r="G524" s="5"/>
      <c r="H524" s="5"/>
    </row>
    <row r="525" spans="7:8" x14ac:dyDescent="0.3">
      <c r="G525" s="5"/>
      <c r="H525" s="5"/>
    </row>
    <row r="526" spans="7:8" x14ac:dyDescent="0.3">
      <c r="G526" s="5"/>
      <c r="H526" s="5"/>
    </row>
    <row r="527" spans="7:8" x14ac:dyDescent="0.3">
      <c r="G527" s="5"/>
      <c r="H527" s="5"/>
    </row>
    <row r="528" spans="7:8" x14ac:dyDescent="0.3">
      <c r="G528" s="5"/>
      <c r="H528" s="5"/>
    </row>
    <row r="529" spans="7:8" x14ac:dyDescent="0.3">
      <c r="G529" s="5"/>
      <c r="H529" s="5"/>
    </row>
    <row r="530" spans="7:8" x14ac:dyDescent="0.3">
      <c r="G530" s="5"/>
      <c r="H530" s="5"/>
    </row>
    <row r="531" spans="7:8" x14ac:dyDescent="0.3">
      <c r="G531" s="5"/>
      <c r="H531" s="5"/>
    </row>
    <row r="532" spans="7:8" x14ac:dyDescent="0.3">
      <c r="G532" s="5"/>
      <c r="H532" s="5"/>
    </row>
    <row r="533" spans="7:8" x14ac:dyDescent="0.3">
      <c r="G533" s="5"/>
      <c r="H533" s="5"/>
    </row>
    <row r="534" spans="7:8" x14ac:dyDescent="0.3">
      <c r="G534" s="5"/>
      <c r="H534" s="5"/>
    </row>
    <row r="535" spans="7:8" x14ac:dyDescent="0.3">
      <c r="G535" s="5"/>
      <c r="H535" s="5"/>
    </row>
    <row r="536" spans="7:8" x14ac:dyDescent="0.3">
      <c r="G536" s="5"/>
      <c r="H536" s="5"/>
    </row>
    <row r="537" spans="7:8" x14ac:dyDescent="0.3">
      <c r="G537" s="5"/>
      <c r="H537" s="5"/>
    </row>
    <row r="538" spans="7:8" x14ac:dyDescent="0.3">
      <c r="G538" s="5"/>
      <c r="H538" s="5"/>
    </row>
    <row r="539" spans="7:8" x14ac:dyDescent="0.3">
      <c r="G539" s="5"/>
      <c r="H539" s="5"/>
    </row>
    <row r="540" spans="7:8" x14ac:dyDescent="0.3">
      <c r="G540" s="5"/>
      <c r="H540" s="5"/>
    </row>
    <row r="541" spans="7:8" x14ac:dyDescent="0.3">
      <c r="G541" s="5"/>
      <c r="H541" s="5"/>
    </row>
    <row r="542" spans="7:8" x14ac:dyDescent="0.3">
      <c r="G542" s="5"/>
      <c r="H542" s="5"/>
    </row>
    <row r="543" spans="7:8" x14ac:dyDescent="0.3">
      <c r="G543" s="5"/>
      <c r="H543" s="5"/>
    </row>
    <row r="544" spans="7:8" x14ac:dyDescent="0.3">
      <c r="G544" s="5"/>
      <c r="H544" s="5"/>
    </row>
    <row r="545" spans="7:8" x14ac:dyDescent="0.3">
      <c r="G545" s="5"/>
      <c r="H545" s="5"/>
    </row>
    <row r="546" spans="7:8" x14ac:dyDescent="0.3">
      <c r="G546" s="5"/>
      <c r="H546" s="5"/>
    </row>
    <row r="547" spans="7:8" x14ac:dyDescent="0.3">
      <c r="G547" s="5"/>
      <c r="H547" s="5"/>
    </row>
    <row r="548" spans="7:8" x14ac:dyDescent="0.3">
      <c r="G548" s="5"/>
      <c r="H548" s="5"/>
    </row>
    <row r="549" spans="7:8" x14ac:dyDescent="0.3">
      <c r="G549" s="5"/>
      <c r="H549" s="5"/>
    </row>
    <row r="550" spans="7:8" x14ac:dyDescent="0.3">
      <c r="G550" s="5"/>
      <c r="H550" s="5"/>
    </row>
    <row r="551" spans="7:8" x14ac:dyDescent="0.3">
      <c r="G551" s="5"/>
      <c r="H551" s="5"/>
    </row>
    <row r="552" spans="7:8" x14ac:dyDescent="0.3">
      <c r="G552" s="5"/>
      <c r="H552" s="5"/>
    </row>
    <row r="553" spans="7:8" x14ac:dyDescent="0.3">
      <c r="G553" s="5"/>
      <c r="H553" s="5"/>
    </row>
    <row r="554" spans="7:8" x14ac:dyDescent="0.3">
      <c r="G554" s="5"/>
      <c r="H554" s="5"/>
    </row>
    <row r="555" spans="7:8" x14ac:dyDescent="0.3">
      <c r="G555" s="5"/>
      <c r="H555" s="5"/>
    </row>
    <row r="556" spans="7:8" x14ac:dyDescent="0.3">
      <c r="G556" s="5"/>
      <c r="H556" s="5"/>
    </row>
    <row r="557" spans="7:8" x14ac:dyDescent="0.3">
      <c r="G557" s="5"/>
      <c r="H557" s="5"/>
    </row>
    <row r="558" spans="7:8" x14ac:dyDescent="0.3">
      <c r="G558" s="5"/>
      <c r="H558" s="5"/>
    </row>
    <row r="559" spans="7:8" x14ac:dyDescent="0.3">
      <c r="G559" s="5"/>
      <c r="H559" s="5"/>
    </row>
    <row r="560" spans="7:8" x14ac:dyDescent="0.3">
      <c r="G560" s="5"/>
      <c r="H560" s="5"/>
    </row>
    <row r="561" spans="7:8" x14ac:dyDescent="0.3">
      <c r="G561" s="5"/>
      <c r="H561" s="5"/>
    </row>
    <row r="562" spans="7:8" x14ac:dyDescent="0.3">
      <c r="G562" s="5"/>
      <c r="H562" s="5"/>
    </row>
    <row r="563" spans="7:8" x14ac:dyDescent="0.3">
      <c r="G563" s="5"/>
      <c r="H563" s="5"/>
    </row>
    <row r="564" spans="7:8" x14ac:dyDescent="0.3">
      <c r="G564" s="5"/>
      <c r="H564" s="5"/>
    </row>
    <row r="565" spans="7:8" x14ac:dyDescent="0.3">
      <c r="G565" s="5"/>
      <c r="H565" s="5"/>
    </row>
    <row r="566" spans="7:8" x14ac:dyDescent="0.3">
      <c r="G566" s="5"/>
      <c r="H566" s="5"/>
    </row>
    <row r="567" spans="7:8" x14ac:dyDescent="0.3">
      <c r="G567" s="5"/>
      <c r="H567" s="5"/>
    </row>
    <row r="568" spans="7:8" x14ac:dyDescent="0.3">
      <c r="G568" s="5"/>
      <c r="H568" s="5"/>
    </row>
    <row r="569" spans="7:8" x14ac:dyDescent="0.3">
      <c r="G569" s="5"/>
      <c r="H569" s="5"/>
    </row>
    <row r="570" spans="7:8" x14ac:dyDescent="0.3">
      <c r="G570" s="5"/>
      <c r="H570" s="5"/>
    </row>
    <row r="571" spans="7:8" x14ac:dyDescent="0.3">
      <c r="G571" s="5"/>
      <c r="H571" s="5"/>
    </row>
    <row r="572" spans="7:8" x14ac:dyDescent="0.3">
      <c r="G572" s="5"/>
      <c r="H572" s="5"/>
    </row>
    <row r="573" spans="7:8" x14ac:dyDescent="0.3">
      <c r="G573" s="5"/>
      <c r="H573" s="5"/>
    </row>
    <row r="574" spans="7:8" x14ac:dyDescent="0.3">
      <c r="G574" s="5"/>
      <c r="H574" s="5"/>
    </row>
    <row r="575" spans="7:8" x14ac:dyDescent="0.3">
      <c r="G575" s="5"/>
      <c r="H575" s="5"/>
    </row>
    <row r="576" spans="7:8" x14ac:dyDescent="0.3">
      <c r="G576" s="5"/>
      <c r="H576" s="5"/>
    </row>
    <row r="577" spans="7:8" x14ac:dyDescent="0.3">
      <c r="G577" s="5"/>
      <c r="H577" s="5"/>
    </row>
    <row r="578" spans="7:8" x14ac:dyDescent="0.3">
      <c r="G578" s="5"/>
      <c r="H578" s="5"/>
    </row>
    <row r="579" spans="7:8" x14ac:dyDescent="0.3">
      <c r="G579" s="5"/>
      <c r="H579" s="5"/>
    </row>
    <row r="580" spans="7:8" x14ac:dyDescent="0.3">
      <c r="G580" s="5"/>
      <c r="H580" s="5"/>
    </row>
    <row r="581" spans="7:8" x14ac:dyDescent="0.3">
      <c r="G581" s="5"/>
      <c r="H581" s="5"/>
    </row>
    <row r="582" spans="7:8" x14ac:dyDescent="0.3">
      <c r="G582" s="5"/>
      <c r="H582" s="5"/>
    </row>
    <row r="583" spans="7:8" x14ac:dyDescent="0.3">
      <c r="G583" s="5"/>
      <c r="H583" s="5"/>
    </row>
    <row r="584" spans="7:8" x14ac:dyDescent="0.3">
      <c r="G584" s="5"/>
      <c r="H584" s="5"/>
    </row>
    <row r="585" spans="7:8" x14ac:dyDescent="0.3">
      <c r="G585" s="5"/>
      <c r="H585" s="5"/>
    </row>
    <row r="586" spans="7:8" x14ac:dyDescent="0.3">
      <c r="G586" s="5"/>
      <c r="H586" s="5"/>
    </row>
    <row r="587" spans="7:8" x14ac:dyDescent="0.3">
      <c r="G587" s="5"/>
      <c r="H587" s="5"/>
    </row>
    <row r="588" spans="7:8" x14ac:dyDescent="0.3">
      <c r="G588" s="5"/>
      <c r="H588" s="5"/>
    </row>
    <row r="589" spans="7:8" x14ac:dyDescent="0.3">
      <c r="G589" s="5"/>
      <c r="H589" s="5"/>
    </row>
    <row r="590" spans="7:8" x14ac:dyDescent="0.3">
      <c r="G590" s="5"/>
      <c r="H590" s="5"/>
    </row>
    <row r="591" spans="7:8" x14ac:dyDescent="0.3">
      <c r="G591" s="5"/>
      <c r="H591" s="5"/>
    </row>
    <row r="592" spans="7:8" x14ac:dyDescent="0.3">
      <c r="G592" s="5"/>
      <c r="H592" s="5"/>
    </row>
    <row r="593" spans="7:8" x14ac:dyDescent="0.3">
      <c r="G593" s="5"/>
      <c r="H593" s="5"/>
    </row>
    <row r="594" spans="7:8" x14ac:dyDescent="0.3">
      <c r="G594" s="5"/>
      <c r="H594" s="5"/>
    </row>
    <row r="595" spans="7:8" x14ac:dyDescent="0.3">
      <c r="G595" s="5"/>
      <c r="H595" s="5"/>
    </row>
    <row r="596" spans="7:8" x14ac:dyDescent="0.3">
      <c r="G596" s="5"/>
      <c r="H596" s="5"/>
    </row>
    <row r="597" spans="7:8" x14ac:dyDescent="0.3">
      <c r="G597" s="5"/>
      <c r="H597" s="5"/>
    </row>
    <row r="598" spans="7:8" x14ac:dyDescent="0.3">
      <c r="G598" s="5"/>
      <c r="H598" s="5"/>
    </row>
    <row r="599" spans="7:8" x14ac:dyDescent="0.3">
      <c r="G599" s="5"/>
      <c r="H599" s="5"/>
    </row>
    <row r="600" spans="7:8" x14ac:dyDescent="0.3">
      <c r="G600" s="5"/>
      <c r="H600" s="5"/>
    </row>
    <row r="601" spans="7:8" x14ac:dyDescent="0.3">
      <c r="G601" s="5"/>
      <c r="H601" s="5"/>
    </row>
    <row r="602" spans="7:8" x14ac:dyDescent="0.3">
      <c r="G602" s="5"/>
      <c r="H602" s="5"/>
    </row>
    <row r="603" spans="7:8" x14ac:dyDescent="0.3">
      <c r="G603" s="5"/>
      <c r="H603" s="5"/>
    </row>
    <row r="604" spans="7:8" x14ac:dyDescent="0.3">
      <c r="G604" s="5"/>
      <c r="H604" s="5"/>
    </row>
    <row r="605" spans="7:8" x14ac:dyDescent="0.3">
      <c r="G605" s="5"/>
      <c r="H605" s="5"/>
    </row>
    <row r="606" spans="7:8" x14ac:dyDescent="0.3">
      <c r="G606" s="5"/>
      <c r="H606" s="5"/>
    </row>
    <row r="607" spans="7:8" x14ac:dyDescent="0.3">
      <c r="G607" s="5"/>
      <c r="H607" s="5"/>
    </row>
    <row r="608" spans="7:8" x14ac:dyDescent="0.3">
      <c r="G608" s="5"/>
      <c r="H608" s="5"/>
    </row>
    <row r="609" spans="7:8" x14ac:dyDescent="0.3">
      <c r="G609" s="5"/>
      <c r="H609" s="5"/>
    </row>
    <row r="610" spans="7:8" x14ac:dyDescent="0.3">
      <c r="G610" s="5"/>
      <c r="H610" s="5"/>
    </row>
    <row r="611" spans="7:8" x14ac:dyDescent="0.3">
      <c r="G611" s="5"/>
      <c r="H611" s="5"/>
    </row>
    <row r="612" spans="7:8" x14ac:dyDescent="0.3">
      <c r="G612" s="5"/>
      <c r="H612" s="5"/>
    </row>
    <row r="613" spans="7:8" x14ac:dyDescent="0.3">
      <c r="G613" s="5"/>
      <c r="H613" s="5"/>
    </row>
    <row r="614" spans="7:8" x14ac:dyDescent="0.3">
      <c r="G614" s="5"/>
      <c r="H614" s="5"/>
    </row>
    <row r="615" spans="7:8" x14ac:dyDescent="0.3">
      <c r="G615" s="5"/>
      <c r="H615" s="5"/>
    </row>
    <row r="616" spans="7:8" x14ac:dyDescent="0.3">
      <c r="G616" s="5"/>
      <c r="H616" s="5"/>
    </row>
    <row r="617" spans="7:8" x14ac:dyDescent="0.3">
      <c r="G617" s="5"/>
      <c r="H617" s="5"/>
    </row>
    <row r="618" spans="7:8" x14ac:dyDescent="0.3">
      <c r="G618" s="5"/>
      <c r="H618" s="5"/>
    </row>
    <row r="619" spans="7:8" x14ac:dyDescent="0.3">
      <c r="G619" s="5"/>
      <c r="H619" s="5"/>
    </row>
    <row r="620" spans="7:8" x14ac:dyDescent="0.3">
      <c r="G620" s="5"/>
      <c r="H620" s="5"/>
    </row>
    <row r="621" spans="7:8" x14ac:dyDescent="0.3">
      <c r="G621" s="5"/>
      <c r="H621" s="5"/>
    </row>
    <row r="622" spans="7:8" x14ac:dyDescent="0.3">
      <c r="G622" s="5"/>
      <c r="H622" s="5"/>
    </row>
    <row r="623" spans="7:8" x14ac:dyDescent="0.3">
      <c r="G623" s="5"/>
      <c r="H623" s="5"/>
    </row>
    <row r="624" spans="7:8" x14ac:dyDescent="0.3">
      <c r="G624" s="5"/>
      <c r="H624" s="5"/>
    </row>
    <row r="625" spans="7:8" x14ac:dyDescent="0.3">
      <c r="G625" s="5"/>
      <c r="H625" s="5"/>
    </row>
    <row r="626" spans="7:8" x14ac:dyDescent="0.3">
      <c r="G626" s="5"/>
      <c r="H626" s="5"/>
    </row>
    <row r="627" spans="7:8" x14ac:dyDescent="0.3">
      <c r="G627" s="5"/>
      <c r="H627" s="5"/>
    </row>
    <row r="628" spans="7:8" x14ac:dyDescent="0.3">
      <c r="G628" s="5"/>
      <c r="H628" s="5"/>
    </row>
    <row r="629" spans="7:8" x14ac:dyDescent="0.3">
      <c r="G629" s="5"/>
      <c r="H629" s="5"/>
    </row>
    <row r="630" spans="7:8" x14ac:dyDescent="0.3">
      <c r="G630" s="5"/>
      <c r="H630" s="5"/>
    </row>
    <row r="631" spans="7:8" x14ac:dyDescent="0.3">
      <c r="G631" s="5"/>
      <c r="H631" s="5"/>
    </row>
    <row r="632" spans="7:8" x14ac:dyDescent="0.3">
      <c r="G632" s="5"/>
      <c r="H632" s="5"/>
    </row>
    <row r="633" spans="7:8" x14ac:dyDescent="0.3">
      <c r="G633" s="5"/>
      <c r="H633" s="5"/>
    </row>
    <row r="634" spans="7:8" x14ac:dyDescent="0.3">
      <c r="G634" s="5"/>
      <c r="H634" s="5"/>
    </row>
    <row r="635" spans="7:8" x14ac:dyDescent="0.3">
      <c r="G635" s="5"/>
      <c r="H635" s="5"/>
    </row>
    <row r="636" spans="7:8" x14ac:dyDescent="0.3">
      <c r="G636" s="5"/>
      <c r="H636" s="5"/>
    </row>
    <row r="637" spans="7:8" x14ac:dyDescent="0.3">
      <c r="G637" s="5"/>
      <c r="H637" s="5"/>
    </row>
    <row r="638" spans="7:8" x14ac:dyDescent="0.3">
      <c r="G638" s="5"/>
      <c r="H638" s="5"/>
    </row>
    <row r="639" spans="7:8" x14ac:dyDescent="0.3">
      <c r="G639" s="5"/>
      <c r="H639" s="5"/>
    </row>
    <row r="640" spans="7:8" x14ac:dyDescent="0.3">
      <c r="G640" s="5"/>
      <c r="H640" s="5"/>
    </row>
    <row r="641" spans="7:8" x14ac:dyDescent="0.3">
      <c r="G641" s="5"/>
      <c r="H641" s="5"/>
    </row>
    <row r="642" spans="7:8" x14ac:dyDescent="0.3">
      <c r="G642" s="5"/>
      <c r="H642" s="5"/>
    </row>
    <row r="643" spans="7:8" x14ac:dyDescent="0.3">
      <c r="G643" s="5"/>
      <c r="H643" s="5"/>
    </row>
    <row r="644" spans="7:8" x14ac:dyDescent="0.3">
      <c r="G644" s="5"/>
      <c r="H644" s="5"/>
    </row>
    <row r="645" spans="7:8" x14ac:dyDescent="0.3">
      <c r="G645" s="5"/>
      <c r="H645" s="5"/>
    </row>
    <row r="646" spans="7:8" x14ac:dyDescent="0.3">
      <c r="G646" s="5"/>
      <c r="H646" s="5"/>
    </row>
    <row r="647" spans="7:8" x14ac:dyDescent="0.3">
      <c r="G647" s="5"/>
      <c r="H647" s="5"/>
    </row>
    <row r="648" spans="7:8" x14ac:dyDescent="0.3">
      <c r="G648" s="5"/>
      <c r="H648" s="5"/>
    </row>
    <row r="649" spans="7:8" x14ac:dyDescent="0.3">
      <c r="G649" s="5"/>
      <c r="H649" s="5"/>
    </row>
    <row r="650" spans="7:8" x14ac:dyDescent="0.3">
      <c r="G650" s="5"/>
      <c r="H650" s="5"/>
    </row>
    <row r="651" spans="7:8" x14ac:dyDescent="0.3">
      <c r="G651" s="5"/>
      <c r="H651" s="5"/>
    </row>
    <row r="652" spans="7:8" x14ac:dyDescent="0.3">
      <c r="G652" s="5"/>
      <c r="H652" s="5"/>
    </row>
    <row r="653" spans="7:8" x14ac:dyDescent="0.3">
      <c r="G653" s="5"/>
      <c r="H653" s="5"/>
    </row>
    <row r="654" spans="7:8" x14ac:dyDescent="0.3">
      <c r="G654" s="5"/>
      <c r="H654" s="5"/>
    </row>
    <row r="655" spans="7:8" x14ac:dyDescent="0.3">
      <c r="G655" s="5"/>
      <c r="H655" s="5"/>
    </row>
    <row r="656" spans="7:8" x14ac:dyDescent="0.3">
      <c r="G656" s="5"/>
      <c r="H656" s="5"/>
    </row>
    <row r="657" spans="7:8" x14ac:dyDescent="0.3">
      <c r="G657" s="5"/>
      <c r="H657" s="5"/>
    </row>
    <row r="658" spans="7:8" x14ac:dyDescent="0.3">
      <c r="G658" s="5"/>
      <c r="H658" s="5"/>
    </row>
    <row r="659" spans="7:8" x14ac:dyDescent="0.3">
      <c r="G659" s="5"/>
      <c r="H659" s="5"/>
    </row>
    <row r="660" spans="7:8" x14ac:dyDescent="0.3">
      <c r="G660" s="5"/>
      <c r="H660" s="5"/>
    </row>
    <row r="661" spans="7:8" x14ac:dyDescent="0.3">
      <c r="G661" s="5"/>
      <c r="H661" s="5"/>
    </row>
    <row r="662" spans="7:8" x14ac:dyDescent="0.3">
      <c r="G662" s="5"/>
      <c r="H662" s="5"/>
    </row>
    <row r="663" spans="7:8" x14ac:dyDescent="0.3">
      <c r="G663" s="5"/>
      <c r="H663" s="5"/>
    </row>
    <row r="664" spans="7:8" x14ac:dyDescent="0.3">
      <c r="G664" s="5"/>
      <c r="H664" s="5"/>
    </row>
    <row r="665" spans="7:8" x14ac:dyDescent="0.3">
      <c r="G665" s="5"/>
      <c r="H665" s="5"/>
    </row>
    <row r="666" spans="7:8" x14ac:dyDescent="0.3">
      <c r="G666" s="5"/>
      <c r="H666" s="5"/>
    </row>
    <row r="667" spans="7:8" x14ac:dyDescent="0.3">
      <c r="G667" s="5"/>
      <c r="H667" s="5"/>
    </row>
    <row r="668" spans="7:8" x14ac:dyDescent="0.3">
      <c r="G668" s="5"/>
      <c r="H668" s="5"/>
    </row>
    <row r="669" spans="7:8" x14ac:dyDescent="0.3">
      <c r="G669" s="5"/>
      <c r="H669" s="5"/>
    </row>
    <row r="670" spans="7:8" x14ac:dyDescent="0.3">
      <c r="G670" s="5"/>
      <c r="H670" s="5"/>
    </row>
    <row r="671" spans="7:8" x14ac:dyDescent="0.3">
      <c r="G671" s="5"/>
      <c r="H671" s="5"/>
    </row>
    <row r="672" spans="7:8" x14ac:dyDescent="0.3">
      <c r="G672" s="5"/>
      <c r="H672" s="5"/>
    </row>
    <row r="673" spans="7:8" x14ac:dyDescent="0.3">
      <c r="G673" s="5"/>
      <c r="H673" s="5"/>
    </row>
    <row r="674" spans="7:8" x14ac:dyDescent="0.3">
      <c r="G674" s="5"/>
      <c r="H674" s="5"/>
    </row>
    <row r="675" spans="7:8" x14ac:dyDescent="0.3">
      <c r="G675" s="5"/>
      <c r="H675" s="5"/>
    </row>
    <row r="676" spans="7:8" x14ac:dyDescent="0.3">
      <c r="G676" s="5"/>
      <c r="H676" s="5"/>
    </row>
    <row r="677" spans="7:8" x14ac:dyDescent="0.3">
      <c r="G677" s="5"/>
      <c r="H677" s="5"/>
    </row>
    <row r="678" spans="7:8" x14ac:dyDescent="0.3">
      <c r="G678" s="5"/>
      <c r="H678" s="5"/>
    </row>
    <row r="679" spans="7:8" x14ac:dyDescent="0.3">
      <c r="G679" s="5"/>
      <c r="H679" s="5"/>
    </row>
    <row r="680" spans="7:8" x14ac:dyDescent="0.3">
      <c r="G680" s="5"/>
      <c r="H680" s="5"/>
    </row>
    <row r="681" spans="7:8" x14ac:dyDescent="0.3">
      <c r="G681" s="5"/>
      <c r="H681" s="5"/>
    </row>
    <row r="682" spans="7:8" x14ac:dyDescent="0.3">
      <c r="G682" s="5"/>
      <c r="H682" s="5"/>
    </row>
    <row r="683" spans="7:8" x14ac:dyDescent="0.3">
      <c r="G683" s="5"/>
      <c r="H683" s="5"/>
    </row>
    <row r="684" spans="7:8" x14ac:dyDescent="0.3">
      <c r="G684" s="5"/>
      <c r="H684" s="5"/>
    </row>
    <row r="685" spans="7:8" x14ac:dyDescent="0.3">
      <c r="G685" s="5"/>
      <c r="H685" s="5"/>
    </row>
    <row r="686" spans="7:8" x14ac:dyDescent="0.3">
      <c r="G686" s="5"/>
      <c r="H686" s="5"/>
    </row>
    <row r="687" spans="7:8" x14ac:dyDescent="0.3">
      <c r="G687" s="5"/>
      <c r="H687" s="5"/>
    </row>
    <row r="688" spans="7:8" x14ac:dyDescent="0.3">
      <c r="G688" s="5"/>
      <c r="H688" s="5"/>
    </row>
    <row r="689" spans="7:8" x14ac:dyDescent="0.3">
      <c r="G689" s="5"/>
      <c r="H689" s="5"/>
    </row>
    <row r="690" spans="7:8" x14ac:dyDescent="0.3">
      <c r="G690" s="5"/>
      <c r="H690" s="5"/>
    </row>
    <row r="691" spans="7:8" x14ac:dyDescent="0.3">
      <c r="G691" s="5"/>
      <c r="H691" s="5"/>
    </row>
    <row r="692" spans="7:8" x14ac:dyDescent="0.3">
      <c r="G692" s="5"/>
      <c r="H692" s="5"/>
    </row>
    <row r="693" spans="7:8" x14ac:dyDescent="0.3">
      <c r="G693" s="5"/>
      <c r="H693" s="5"/>
    </row>
    <row r="694" spans="7:8" x14ac:dyDescent="0.3">
      <c r="G694" s="5"/>
      <c r="H694" s="5"/>
    </row>
    <row r="695" spans="7:8" x14ac:dyDescent="0.3">
      <c r="G695" s="5"/>
      <c r="H695" s="5"/>
    </row>
    <row r="696" spans="7:8" x14ac:dyDescent="0.3">
      <c r="G696" s="5"/>
      <c r="H696" s="5"/>
    </row>
    <row r="697" spans="7:8" x14ac:dyDescent="0.3">
      <c r="G697" s="5"/>
      <c r="H697" s="5"/>
    </row>
    <row r="698" spans="7:8" x14ac:dyDescent="0.3">
      <c r="G698" s="5"/>
      <c r="H698" s="5"/>
    </row>
    <row r="699" spans="7:8" x14ac:dyDescent="0.3">
      <c r="G699" s="5"/>
      <c r="H699" s="5"/>
    </row>
    <row r="700" spans="7:8" x14ac:dyDescent="0.3">
      <c r="G700" s="5"/>
      <c r="H700" s="5"/>
    </row>
    <row r="701" spans="7:8" x14ac:dyDescent="0.3">
      <c r="G701" s="5"/>
      <c r="H701" s="5"/>
    </row>
    <row r="702" spans="7:8" x14ac:dyDescent="0.3">
      <c r="G702" s="5"/>
      <c r="H702" s="5"/>
    </row>
    <row r="703" spans="7:8" x14ac:dyDescent="0.3">
      <c r="G703" s="5"/>
      <c r="H703" s="5"/>
    </row>
    <row r="704" spans="7:8" x14ac:dyDescent="0.3">
      <c r="G704" s="5"/>
      <c r="H704" s="5"/>
    </row>
    <row r="705" spans="7:8" x14ac:dyDescent="0.3">
      <c r="G705" s="5"/>
      <c r="H705" s="5"/>
    </row>
    <row r="706" spans="7:8" x14ac:dyDescent="0.3">
      <c r="G706" s="5"/>
      <c r="H706" s="5"/>
    </row>
    <row r="707" spans="7:8" x14ac:dyDescent="0.3">
      <c r="G707" s="5"/>
      <c r="H707" s="5"/>
    </row>
    <row r="708" spans="7:8" x14ac:dyDescent="0.3">
      <c r="G708" s="5"/>
      <c r="H708" s="5"/>
    </row>
    <row r="709" spans="7:8" x14ac:dyDescent="0.3">
      <c r="G709" s="5"/>
      <c r="H709" s="5"/>
    </row>
    <row r="710" spans="7:8" x14ac:dyDescent="0.3">
      <c r="G710" s="5"/>
      <c r="H710" s="5"/>
    </row>
    <row r="711" spans="7:8" x14ac:dyDescent="0.3">
      <c r="G711" s="5"/>
      <c r="H711" s="5"/>
    </row>
    <row r="712" spans="7:8" x14ac:dyDescent="0.3">
      <c r="G712" s="5"/>
      <c r="H712" s="5"/>
    </row>
    <row r="713" spans="7:8" x14ac:dyDescent="0.3">
      <c r="G713" s="5"/>
      <c r="H713" s="5"/>
    </row>
    <row r="714" spans="7:8" x14ac:dyDescent="0.3">
      <c r="G714" s="5"/>
      <c r="H714" s="5"/>
    </row>
    <row r="715" spans="7:8" x14ac:dyDescent="0.3">
      <c r="G715" s="5"/>
      <c r="H715" s="5"/>
    </row>
    <row r="716" spans="7:8" x14ac:dyDescent="0.3">
      <c r="G716" s="5"/>
      <c r="H716" s="5"/>
    </row>
    <row r="717" spans="7:8" x14ac:dyDescent="0.3">
      <c r="G717" s="5"/>
      <c r="H717" s="5"/>
    </row>
    <row r="718" spans="7:8" x14ac:dyDescent="0.3">
      <c r="G718" s="5"/>
      <c r="H718" s="5"/>
    </row>
    <row r="719" spans="7:8" x14ac:dyDescent="0.3">
      <c r="G719" s="5"/>
      <c r="H719" s="5"/>
    </row>
    <row r="720" spans="7:8" x14ac:dyDescent="0.3">
      <c r="G720" s="5"/>
      <c r="H720" s="5"/>
    </row>
    <row r="721" spans="7:8" x14ac:dyDescent="0.3">
      <c r="G721" s="5"/>
      <c r="H721" s="5"/>
    </row>
    <row r="722" spans="7:8" x14ac:dyDescent="0.3">
      <c r="G722" s="5"/>
      <c r="H722" s="5"/>
    </row>
    <row r="723" spans="7:8" x14ac:dyDescent="0.3">
      <c r="G723" s="5"/>
      <c r="H723" s="5"/>
    </row>
    <row r="724" spans="7:8" x14ac:dyDescent="0.3">
      <c r="G724" s="5"/>
      <c r="H724" s="5"/>
    </row>
    <row r="725" spans="7:8" x14ac:dyDescent="0.3">
      <c r="G725" s="5"/>
      <c r="H725" s="5"/>
    </row>
    <row r="726" spans="7:8" x14ac:dyDescent="0.3">
      <c r="G726" s="5"/>
      <c r="H726" s="5"/>
    </row>
    <row r="727" spans="7:8" x14ac:dyDescent="0.3">
      <c r="G727" s="5"/>
      <c r="H727" s="5"/>
    </row>
    <row r="728" spans="7:8" x14ac:dyDescent="0.3">
      <c r="G728" s="5"/>
      <c r="H728" s="5"/>
    </row>
    <row r="729" spans="7:8" x14ac:dyDescent="0.3">
      <c r="G729" s="5"/>
      <c r="H729" s="5"/>
    </row>
    <row r="730" spans="7:8" x14ac:dyDescent="0.3">
      <c r="G730" s="5"/>
      <c r="H730" s="5"/>
    </row>
    <row r="731" spans="7:8" x14ac:dyDescent="0.3">
      <c r="G731" s="5"/>
      <c r="H731" s="5"/>
    </row>
    <row r="732" spans="7:8" x14ac:dyDescent="0.3">
      <c r="G732" s="5"/>
      <c r="H732" s="5"/>
    </row>
    <row r="733" spans="7:8" x14ac:dyDescent="0.3">
      <c r="G733" s="5"/>
      <c r="H733" s="5"/>
    </row>
    <row r="734" spans="7:8" x14ac:dyDescent="0.3">
      <c r="G734" s="5"/>
      <c r="H734" s="5"/>
    </row>
    <row r="735" spans="7:8" x14ac:dyDescent="0.3">
      <c r="G735" s="5"/>
      <c r="H735" s="5"/>
    </row>
    <row r="736" spans="7:8" x14ac:dyDescent="0.3">
      <c r="G736" s="5"/>
      <c r="H736" s="5"/>
    </row>
    <row r="737" spans="7:8" x14ac:dyDescent="0.3">
      <c r="G737" s="5"/>
      <c r="H737" s="5"/>
    </row>
    <row r="738" spans="7:8" x14ac:dyDescent="0.3">
      <c r="G738" s="5"/>
      <c r="H738" s="5"/>
    </row>
    <row r="739" spans="7:8" x14ac:dyDescent="0.3">
      <c r="G739" s="5"/>
      <c r="H739" s="5"/>
    </row>
    <row r="740" spans="7:8" x14ac:dyDescent="0.3">
      <c r="G740" s="5"/>
      <c r="H740" s="5"/>
    </row>
    <row r="741" spans="7:8" x14ac:dyDescent="0.3">
      <c r="G741" s="5"/>
      <c r="H741" s="5"/>
    </row>
    <row r="742" spans="7:8" x14ac:dyDescent="0.3">
      <c r="G742" s="5"/>
      <c r="H742" s="5"/>
    </row>
    <row r="743" spans="7:8" x14ac:dyDescent="0.3">
      <c r="G743" s="5"/>
      <c r="H743" s="5"/>
    </row>
    <row r="744" spans="7:8" x14ac:dyDescent="0.3">
      <c r="G744" s="5"/>
      <c r="H744" s="5"/>
    </row>
    <row r="745" spans="7:8" x14ac:dyDescent="0.3">
      <c r="G745" s="5"/>
      <c r="H745" s="5"/>
    </row>
    <row r="746" spans="7:8" x14ac:dyDescent="0.3">
      <c r="G746" s="5"/>
      <c r="H746" s="5"/>
    </row>
    <row r="747" spans="7:8" x14ac:dyDescent="0.3">
      <c r="G747" s="5"/>
      <c r="H747" s="5"/>
    </row>
    <row r="748" spans="7:8" x14ac:dyDescent="0.3">
      <c r="G748" s="5"/>
      <c r="H748" s="5"/>
    </row>
    <row r="749" spans="7:8" x14ac:dyDescent="0.3">
      <c r="G749" s="5"/>
      <c r="H749" s="5"/>
    </row>
    <row r="750" spans="7:8" x14ac:dyDescent="0.3">
      <c r="G750" s="5"/>
      <c r="H750" s="5"/>
    </row>
    <row r="751" spans="7:8" x14ac:dyDescent="0.3">
      <c r="G751" s="5"/>
      <c r="H751" s="5"/>
    </row>
    <row r="752" spans="7:8" x14ac:dyDescent="0.3">
      <c r="G752" s="5"/>
      <c r="H752" s="5"/>
    </row>
    <row r="753" spans="7:8" x14ac:dyDescent="0.3">
      <c r="G753" s="5"/>
      <c r="H753" s="5"/>
    </row>
    <row r="754" spans="7:8" x14ac:dyDescent="0.3">
      <c r="G754" s="5"/>
      <c r="H754" s="5"/>
    </row>
    <row r="755" spans="7:8" x14ac:dyDescent="0.3">
      <c r="G755" s="5"/>
      <c r="H755" s="5"/>
    </row>
    <row r="756" spans="7:8" x14ac:dyDescent="0.3">
      <c r="G756" s="5"/>
      <c r="H756" s="5"/>
    </row>
    <row r="757" spans="7:8" x14ac:dyDescent="0.3">
      <c r="G757" s="5"/>
      <c r="H757" s="5"/>
    </row>
    <row r="758" spans="7:8" x14ac:dyDescent="0.3">
      <c r="G758" s="5"/>
      <c r="H758" s="5"/>
    </row>
    <row r="759" spans="7:8" x14ac:dyDescent="0.3">
      <c r="G759" s="5"/>
      <c r="H759" s="5"/>
    </row>
    <row r="760" spans="7:8" x14ac:dyDescent="0.3">
      <c r="G760" s="5"/>
      <c r="H760" s="5"/>
    </row>
    <row r="761" spans="7:8" x14ac:dyDescent="0.3">
      <c r="G761" s="5"/>
      <c r="H761" s="5"/>
    </row>
    <row r="762" spans="7:8" x14ac:dyDescent="0.3">
      <c r="G762" s="5"/>
      <c r="H762" s="5"/>
    </row>
    <row r="763" spans="7:8" x14ac:dyDescent="0.3">
      <c r="G763" s="5"/>
      <c r="H763" s="5"/>
    </row>
    <row r="764" spans="7:8" x14ac:dyDescent="0.3">
      <c r="G764" s="5"/>
      <c r="H764" s="5"/>
    </row>
    <row r="765" spans="7:8" x14ac:dyDescent="0.3">
      <c r="G765" s="5"/>
      <c r="H765" s="5"/>
    </row>
    <row r="766" spans="7:8" x14ac:dyDescent="0.3">
      <c r="G766" s="5"/>
      <c r="H766" s="5"/>
    </row>
    <row r="767" spans="7:8" x14ac:dyDescent="0.3">
      <c r="G767" s="5"/>
      <c r="H767" s="5"/>
    </row>
    <row r="768" spans="7:8" x14ac:dyDescent="0.3">
      <c r="G768" s="5"/>
      <c r="H768" s="5"/>
    </row>
    <row r="769" spans="7:8" x14ac:dyDescent="0.3">
      <c r="G769" s="5"/>
      <c r="H769" s="5"/>
    </row>
    <row r="770" spans="7:8" x14ac:dyDescent="0.3">
      <c r="G770" s="5"/>
      <c r="H770" s="5"/>
    </row>
    <row r="771" spans="7:8" x14ac:dyDescent="0.3">
      <c r="G771" s="5"/>
      <c r="H771" s="5"/>
    </row>
    <row r="772" spans="7:8" x14ac:dyDescent="0.3">
      <c r="G772" s="5"/>
      <c r="H772" s="5"/>
    </row>
    <row r="773" spans="7:8" x14ac:dyDescent="0.3">
      <c r="G773" s="5"/>
      <c r="H773" s="5"/>
    </row>
    <row r="774" spans="7:8" x14ac:dyDescent="0.3">
      <c r="G774" s="5"/>
      <c r="H774" s="5"/>
    </row>
    <row r="775" spans="7:8" x14ac:dyDescent="0.3">
      <c r="G775" s="5"/>
      <c r="H775" s="5"/>
    </row>
    <row r="776" spans="7:8" x14ac:dyDescent="0.3">
      <c r="G776" s="5"/>
      <c r="H776" s="5"/>
    </row>
    <row r="777" spans="7:8" x14ac:dyDescent="0.3">
      <c r="G777" s="5"/>
      <c r="H777" s="5"/>
    </row>
    <row r="778" spans="7:8" x14ac:dyDescent="0.3">
      <c r="G778" s="5"/>
      <c r="H778" s="5"/>
    </row>
    <row r="779" spans="7:8" x14ac:dyDescent="0.3">
      <c r="G779" s="5"/>
      <c r="H779" s="5"/>
    </row>
    <row r="780" spans="7:8" x14ac:dyDescent="0.3">
      <c r="G780" s="5"/>
      <c r="H780" s="5"/>
    </row>
    <row r="781" spans="7:8" x14ac:dyDescent="0.3">
      <c r="G781" s="5"/>
      <c r="H781" s="5"/>
    </row>
    <row r="782" spans="7:8" x14ac:dyDescent="0.3">
      <c r="G782" s="5"/>
      <c r="H782" s="5"/>
    </row>
    <row r="783" spans="7:8" x14ac:dyDescent="0.3">
      <c r="G783" s="5"/>
      <c r="H783" s="5"/>
    </row>
    <row r="784" spans="7:8" x14ac:dyDescent="0.3">
      <c r="G784" s="5"/>
      <c r="H784" s="5"/>
    </row>
    <row r="785" spans="7:8" x14ac:dyDescent="0.3">
      <c r="G785" s="5"/>
      <c r="H785" s="5"/>
    </row>
    <row r="786" spans="7:8" x14ac:dyDescent="0.3">
      <c r="G786" s="5"/>
      <c r="H786" s="5"/>
    </row>
    <row r="787" spans="7:8" x14ac:dyDescent="0.3">
      <c r="G787" s="5"/>
      <c r="H787" s="5"/>
    </row>
    <row r="788" spans="7:8" x14ac:dyDescent="0.3">
      <c r="G788" s="5"/>
      <c r="H788" s="5"/>
    </row>
    <row r="789" spans="7:8" x14ac:dyDescent="0.3">
      <c r="G789" s="5"/>
      <c r="H789" s="5"/>
    </row>
    <row r="790" spans="7:8" x14ac:dyDescent="0.3">
      <c r="G790" s="5"/>
      <c r="H790" s="5"/>
    </row>
    <row r="791" spans="7:8" x14ac:dyDescent="0.3">
      <c r="G791" s="5"/>
      <c r="H791" s="5"/>
    </row>
    <row r="792" spans="7:8" x14ac:dyDescent="0.3">
      <c r="G792" s="5"/>
      <c r="H792" s="5"/>
    </row>
    <row r="793" spans="7:8" x14ac:dyDescent="0.3">
      <c r="G793" s="5"/>
      <c r="H793" s="5"/>
    </row>
    <row r="794" spans="7:8" x14ac:dyDescent="0.3">
      <c r="G794" s="5"/>
      <c r="H794" s="5"/>
    </row>
    <row r="795" spans="7:8" x14ac:dyDescent="0.3">
      <c r="G795" s="5"/>
      <c r="H795" s="5"/>
    </row>
    <row r="796" spans="7:8" x14ac:dyDescent="0.3">
      <c r="G796" s="5"/>
      <c r="H796" s="5"/>
    </row>
    <row r="797" spans="7:8" x14ac:dyDescent="0.3">
      <c r="G797" s="5"/>
      <c r="H797" s="5"/>
    </row>
    <row r="798" spans="7:8" x14ac:dyDescent="0.3">
      <c r="G798" s="5"/>
      <c r="H798" s="5"/>
    </row>
    <row r="799" spans="7:8" x14ac:dyDescent="0.3">
      <c r="G799" s="5"/>
      <c r="H799" s="5"/>
    </row>
    <row r="800" spans="7:8" x14ac:dyDescent="0.3">
      <c r="G800" s="5"/>
      <c r="H800" s="5"/>
    </row>
    <row r="801" spans="7:8" x14ac:dyDescent="0.3">
      <c r="G801" s="5"/>
      <c r="H801" s="5"/>
    </row>
    <row r="802" spans="7:8" x14ac:dyDescent="0.3">
      <c r="G802" s="5"/>
      <c r="H802" s="5"/>
    </row>
    <row r="803" spans="7:8" x14ac:dyDescent="0.3">
      <c r="G803" s="5"/>
      <c r="H803" s="5"/>
    </row>
    <row r="804" spans="7:8" x14ac:dyDescent="0.3">
      <c r="G804" s="5"/>
      <c r="H804" s="5"/>
    </row>
    <row r="805" spans="7:8" x14ac:dyDescent="0.3">
      <c r="G805" s="5"/>
      <c r="H805" s="5"/>
    </row>
    <row r="806" spans="7:8" x14ac:dyDescent="0.3">
      <c r="G806" s="5"/>
      <c r="H806" s="5"/>
    </row>
    <row r="807" spans="7:8" x14ac:dyDescent="0.3">
      <c r="G807" s="5"/>
      <c r="H807" s="5"/>
    </row>
    <row r="808" spans="7:8" x14ac:dyDescent="0.3">
      <c r="G808" s="5"/>
      <c r="H808" s="5"/>
    </row>
    <row r="809" spans="7:8" x14ac:dyDescent="0.3">
      <c r="G809" s="5"/>
      <c r="H809" s="5"/>
    </row>
    <row r="810" spans="7:8" x14ac:dyDescent="0.3">
      <c r="G810" s="5"/>
      <c r="H810" s="5"/>
    </row>
    <row r="811" spans="7:8" x14ac:dyDescent="0.3">
      <c r="G811" s="5"/>
      <c r="H811" s="5"/>
    </row>
    <row r="812" spans="7:8" x14ac:dyDescent="0.3">
      <c r="G812" s="5"/>
      <c r="H812" s="5"/>
    </row>
    <row r="813" spans="7:8" x14ac:dyDescent="0.3">
      <c r="G813" s="5"/>
      <c r="H813" s="5"/>
    </row>
    <row r="814" spans="7:8" x14ac:dyDescent="0.3">
      <c r="G814" s="5"/>
      <c r="H814" s="5"/>
    </row>
    <row r="815" spans="7:8" x14ac:dyDescent="0.3">
      <c r="G815" s="5"/>
      <c r="H815" s="5"/>
    </row>
    <row r="816" spans="7:8" x14ac:dyDescent="0.3">
      <c r="G816" s="5"/>
      <c r="H816" s="5"/>
    </row>
    <row r="817" spans="7:8" x14ac:dyDescent="0.3">
      <c r="G817" s="5"/>
      <c r="H817" s="5"/>
    </row>
    <row r="818" spans="7:8" x14ac:dyDescent="0.3">
      <c r="G818" s="5"/>
      <c r="H818" s="5"/>
    </row>
    <row r="819" spans="7:8" x14ac:dyDescent="0.3">
      <c r="G819" s="5"/>
      <c r="H819" s="5"/>
    </row>
    <row r="820" spans="7:8" x14ac:dyDescent="0.3">
      <c r="G820" s="5"/>
      <c r="H820" s="5"/>
    </row>
    <row r="821" spans="7:8" x14ac:dyDescent="0.3">
      <c r="G821" s="5"/>
      <c r="H821" s="5"/>
    </row>
    <row r="822" spans="7:8" x14ac:dyDescent="0.3">
      <c r="G822" s="5"/>
      <c r="H822" s="5"/>
    </row>
    <row r="823" spans="7:8" x14ac:dyDescent="0.3">
      <c r="G823" s="5"/>
      <c r="H823" s="5"/>
    </row>
    <row r="824" spans="7:8" x14ac:dyDescent="0.3">
      <c r="G824" s="5"/>
      <c r="H824" s="5"/>
    </row>
    <row r="825" spans="7:8" x14ac:dyDescent="0.3">
      <c r="G825" s="5"/>
      <c r="H825" s="5"/>
    </row>
    <row r="826" spans="7:8" x14ac:dyDescent="0.3">
      <c r="G826" s="5"/>
      <c r="H826" s="5"/>
    </row>
    <row r="827" spans="7:8" x14ac:dyDescent="0.3">
      <c r="G827" s="5"/>
      <c r="H827" s="5"/>
    </row>
    <row r="828" spans="7:8" x14ac:dyDescent="0.3">
      <c r="G828" s="5"/>
      <c r="H828" s="5"/>
    </row>
    <row r="829" spans="7:8" x14ac:dyDescent="0.3">
      <c r="G829" s="5"/>
      <c r="H829" s="5"/>
    </row>
    <row r="830" spans="7:8" x14ac:dyDescent="0.3">
      <c r="G830" s="5"/>
      <c r="H830" s="5"/>
    </row>
    <row r="831" spans="7:8" x14ac:dyDescent="0.3">
      <c r="G831" s="5"/>
      <c r="H831" s="5"/>
    </row>
    <row r="832" spans="7:8" x14ac:dyDescent="0.3">
      <c r="G832" s="5"/>
      <c r="H832" s="5"/>
    </row>
    <row r="833" spans="7:8" x14ac:dyDescent="0.3">
      <c r="G833" s="5"/>
      <c r="H833" s="5"/>
    </row>
    <row r="834" spans="7:8" x14ac:dyDescent="0.3">
      <c r="G834" s="5"/>
      <c r="H834" s="5"/>
    </row>
    <row r="835" spans="7:8" x14ac:dyDescent="0.3">
      <c r="G835" s="5"/>
      <c r="H835" s="5"/>
    </row>
    <row r="836" spans="7:8" x14ac:dyDescent="0.3">
      <c r="G836" s="5"/>
      <c r="H836" s="5"/>
    </row>
    <row r="837" spans="7:8" x14ac:dyDescent="0.3">
      <c r="G837" s="5"/>
      <c r="H837" s="5"/>
    </row>
    <row r="838" spans="7:8" x14ac:dyDescent="0.3">
      <c r="G838" s="5"/>
      <c r="H838" s="5"/>
    </row>
    <row r="839" spans="7:8" x14ac:dyDescent="0.3">
      <c r="G839" s="5"/>
      <c r="H839" s="5"/>
    </row>
    <row r="840" spans="7:8" x14ac:dyDescent="0.3">
      <c r="G840" s="5"/>
      <c r="H840" s="5"/>
    </row>
    <row r="841" spans="7:8" x14ac:dyDescent="0.3">
      <c r="G841" s="5"/>
      <c r="H841" s="5"/>
    </row>
    <row r="842" spans="7:8" x14ac:dyDescent="0.3">
      <c r="G842" s="5"/>
      <c r="H842" s="5"/>
    </row>
    <row r="843" spans="7:8" x14ac:dyDescent="0.3">
      <c r="G843" s="5"/>
      <c r="H843" s="5"/>
    </row>
    <row r="844" spans="7:8" x14ac:dyDescent="0.3">
      <c r="G844" s="5"/>
      <c r="H844" s="5"/>
    </row>
    <row r="845" spans="7:8" x14ac:dyDescent="0.3">
      <c r="G845" s="5"/>
      <c r="H845" s="5"/>
    </row>
    <row r="846" spans="7:8" x14ac:dyDescent="0.3">
      <c r="G846" s="5"/>
      <c r="H846" s="5"/>
    </row>
    <row r="847" spans="7:8" x14ac:dyDescent="0.3">
      <c r="G847" s="5"/>
      <c r="H847" s="5"/>
    </row>
    <row r="848" spans="7:8" x14ac:dyDescent="0.3">
      <c r="G848" s="5"/>
      <c r="H848" s="5"/>
    </row>
    <row r="849" spans="7:8" x14ac:dyDescent="0.3">
      <c r="G849" s="5"/>
      <c r="H849" s="5"/>
    </row>
    <row r="850" spans="7:8" x14ac:dyDescent="0.3">
      <c r="G850" s="5"/>
      <c r="H850" s="5"/>
    </row>
    <row r="851" spans="7:8" x14ac:dyDescent="0.3">
      <c r="G851" s="5"/>
      <c r="H851" s="5"/>
    </row>
    <row r="852" spans="7:8" x14ac:dyDescent="0.3">
      <c r="G852" s="5"/>
      <c r="H852" s="5"/>
    </row>
    <row r="853" spans="7:8" x14ac:dyDescent="0.3">
      <c r="G853" s="5"/>
      <c r="H853" s="5"/>
    </row>
    <row r="854" spans="7:8" x14ac:dyDescent="0.3">
      <c r="G854" s="5"/>
      <c r="H854" s="5"/>
    </row>
    <row r="855" spans="7:8" x14ac:dyDescent="0.3">
      <c r="G855" s="5"/>
      <c r="H855" s="5"/>
    </row>
    <row r="856" spans="7:8" x14ac:dyDescent="0.3">
      <c r="G856" s="5"/>
      <c r="H856" s="5"/>
    </row>
    <row r="857" spans="7:8" x14ac:dyDescent="0.3">
      <c r="G857" s="5"/>
      <c r="H857" s="5"/>
    </row>
    <row r="858" spans="7:8" x14ac:dyDescent="0.3">
      <c r="G858" s="5"/>
      <c r="H858" s="5"/>
    </row>
    <row r="859" spans="7:8" x14ac:dyDescent="0.3">
      <c r="G859" s="5"/>
      <c r="H859" s="5"/>
    </row>
    <row r="860" spans="7:8" x14ac:dyDescent="0.3">
      <c r="G860" s="5"/>
      <c r="H860" s="5"/>
    </row>
    <row r="861" spans="7:8" x14ac:dyDescent="0.3">
      <c r="G861" s="5"/>
      <c r="H861" s="5"/>
    </row>
    <row r="862" spans="7:8" x14ac:dyDescent="0.3">
      <c r="G862" s="5"/>
      <c r="H862" s="5"/>
    </row>
    <row r="863" spans="7:8" x14ac:dyDescent="0.3">
      <c r="G863" s="5"/>
      <c r="H863" s="5"/>
    </row>
    <row r="864" spans="7:8" x14ac:dyDescent="0.3">
      <c r="G864" s="5"/>
      <c r="H864" s="5"/>
    </row>
    <row r="865" spans="7:8" x14ac:dyDescent="0.3">
      <c r="G865" s="5"/>
      <c r="H865" s="5"/>
    </row>
    <row r="866" spans="7:8" x14ac:dyDescent="0.3">
      <c r="G866" s="5"/>
      <c r="H866" s="5"/>
    </row>
    <row r="867" spans="7:8" x14ac:dyDescent="0.3">
      <c r="G867" s="5"/>
      <c r="H867" s="5"/>
    </row>
    <row r="868" spans="7:8" x14ac:dyDescent="0.3">
      <c r="G868" s="5"/>
      <c r="H868" s="5"/>
    </row>
    <row r="869" spans="7:8" x14ac:dyDescent="0.3">
      <c r="G869" s="5"/>
      <c r="H869" s="5"/>
    </row>
    <row r="870" spans="7:8" x14ac:dyDescent="0.3">
      <c r="G870" s="5"/>
      <c r="H870" s="5"/>
    </row>
    <row r="871" spans="7:8" x14ac:dyDescent="0.3">
      <c r="G871" s="5"/>
      <c r="H871" s="5"/>
    </row>
    <row r="872" spans="7:8" x14ac:dyDescent="0.3">
      <c r="G872" s="5"/>
      <c r="H872" s="5"/>
    </row>
    <row r="873" spans="7:8" x14ac:dyDescent="0.3">
      <c r="G873" s="5"/>
      <c r="H873" s="5"/>
    </row>
    <row r="874" spans="7:8" x14ac:dyDescent="0.3">
      <c r="G874" s="5"/>
      <c r="H874" s="5"/>
    </row>
    <row r="875" spans="7:8" x14ac:dyDescent="0.3">
      <c r="G875" s="5"/>
      <c r="H875" s="5"/>
    </row>
    <row r="876" spans="7:8" x14ac:dyDescent="0.3">
      <c r="G876" s="5"/>
      <c r="H876" s="5"/>
    </row>
    <row r="877" spans="7:8" x14ac:dyDescent="0.3">
      <c r="G877" s="5"/>
      <c r="H877" s="5"/>
    </row>
    <row r="878" spans="7:8" x14ac:dyDescent="0.3">
      <c r="G878" s="5"/>
      <c r="H878" s="5"/>
    </row>
    <row r="879" spans="7:8" x14ac:dyDescent="0.3">
      <c r="G879" s="5"/>
      <c r="H879" s="5"/>
    </row>
    <row r="880" spans="7:8" x14ac:dyDescent="0.3">
      <c r="G880" s="5"/>
      <c r="H880" s="5"/>
    </row>
    <row r="881" spans="7:8" x14ac:dyDescent="0.3">
      <c r="G881" s="5"/>
      <c r="H881" s="5"/>
    </row>
    <row r="882" spans="7:8" x14ac:dyDescent="0.3">
      <c r="G882" s="5"/>
      <c r="H882" s="5"/>
    </row>
    <row r="883" spans="7:8" x14ac:dyDescent="0.3">
      <c r="G883" s="5"/>
      <c r="H883" s="5"/>
    </row>
    <row r="884" spans="7:8" x14ac:dyDescent="0.3">
      <c r="G884" s="5"/>
      <c r="H884" s="5"/>
    </row>
    <row r="885" spans="7:8" x14ac:dyDescent="0.3">
      <c r="G885" s="5"/>
      <c r="H885" s="5"/>
    </row>
    <row r="886" spans="7:8" x14ac:dyDescent="0.3">
      <c r="G886" s="5"/>
      <c r="H886" s="5"/>
    </row>
    <row r="887" spans="7:8" x14ac:dyDescent="0.3">
      <c r="G887" s="5"/>
      <c r="H887" s="5"/>
    </row>
    <row r="888" spans="7:8" x14ac:dyDescent="0.3">
      <c r="G888" s="5"/>
      <c r="H888" s="5"/>
    </row>
    <row r="889" spans="7:8" x14ac:dyDescent="0.3">
      <c r="G889" s="5"/>
      <c r="H889" s="5"/>
    </row>
    <row r="890" spans="7:8" x14ac:dyDescent="0.3">
      <c r="G890" s="5"/>
      <c r="H890" s="5"/>
    </row>
    <row r="891" spans="7:8" x14ac:dyDescent="0.3">
      <c r="G891" s="5"/>
      <c r="H891" s="5"/>
    </row>
    <row r="892" spans="7:8" x14ac:dyDescent="0.3">
      <c r="G892" s="5"/>
      <c r="H892" s="5"/>
    </row>
    <row r="893" spans="7:8" x14ac:dyDescent="0.3">
      <c r="G893" s="5"/>
      <c r="H893" s="5"/>
    </row>
    <row r="894" spans="7:8" x14ac:dyDescent="0.3">
      <c r="G894" s="5"/>
      <c r="H894" s="5"/>
    </row>
    <row r="895" spans="7:8" x14ac:dyDescent="0.3">
      <c r="G895" s="5"/>
      <c r="H895" s="5"/>
    </row>
    <row r="896" spans="7:8" x14ac:dyDescent="0.3">
      <c r="G896" s="5"/>
      <c r="H896" s="5"/>
    </row>
    <row r="897" spans="7:8" x14ac:dyDescent="0.3">
      <c r="G897" s="5"/>
      <c r="H897" s="5"/>
    </row>
    <row r="898" spans="7:8" x14ac:dyDescent="0.3">
      <c r="G898" s="5"/>
      <c r="H898" s="5"/>
    </row>
    <row r="899" spans="7:8" x14ac:dyDescent="0.3">
      <c r="G899" s="5"/>
      <c r="H899" s="5"/>
    </row>
    <row r="900" spans="7:8" x14ac:dyDescent="0.3">
      <c r="G900" s="5"/>
      <c r="H900" s="5"/>
    </row>
    <row r="901" spans="7:8" x14ac:dyDescent="0.3">
      <c r="G901" s="5"/>
      <c r="H901" s="5"/>
    </row>
    <row r="902" spans="7:8" x14ac:dyDescent="0.3">
      <c r="G902" s="5"/>
      <c r="H902" s="5"/>
    </row>
    <row r="903" spans="7:8" x14ac:dyDescent="0.3">
      <c r="G903" s="5"/>
      <c r="H903" s="5"/>
    </row>
    <row r="904" spans="7:8" x14ac:dyDescent="0.3">
      <c r="G904" s="5"/>
      <c r="H904" s="5"/>
    </row>
    <row r="905" spans="7:8" x14ac:dyDescent="0.3">
      <c r="G905" s="5"/>
      <c r="H905" s="5"/>
    </row>
    <row r="906" spans="7:8" x14ac:dyDescent="0.3">
      <c r="G906" s="5"/>
      <c r="H906" s="5"/>
    </row>
    <row r="907" spans="7:8" x14ac:dyDescent="0.3">
      <c r="G907" s="5"/>
      <c r="H907" s="5"/>
    </row>
    <row r="908" spans="7:8" x14ac:dyDescent="0.3">
      <c r="G908" s="5"/>
      <c r="H908" s="5"/>
    </row>
    <row r="909" spans="7:8" x14ac:dyDescent="0.3">
      <c r="G909" s="5"/>
      <c r="H909" s="5"/>
    </row>
    <row r="910" spans="7:8" x14ac:dyDescent="0.3">
      <c r="G910" s="5"/>
      <c r="H910" s="5"/>
    </row>
    <row r="911" spans="7:8" x14ac:dyDescent="0.3">
      <c r="G911" s="5"/>
      <c r="H911" s="5"/>
    </row>
    <row r="912" spans="7:8" x14ac:dyDescent="0.3">
      <c r="G912" s="5"/>
      <c r="H912" s="5"/>
    </row>
    <row r="913" spans="7:8" x14ac:dyDescent="0.3">
      <c r="G913" s="5"/>
      <c r="H913" s="5"/>
    </row>
    <row r="914" spans="7:8" x14ac:dyDescent="0.3">
      <c r="G914" s="5"/>
      <c r="H914" s="5"/>
    </row>
    <row r="915" spans="7:8" x14ac:dyDescent="0.3">
      <c r="G915" s="5"/>
      <c r="H915" s="5"/>
    </row>
    <row r="916" spans="7:8" x14ac:dyDescent="0.3">
      <c r="G916" s="5"/>
      <c r="H916" s="5"/>
    </row>
    <row r="917" spans="7:8" x14ac:dyDescent="0.3">
      <c r="G917" s="5"/>
      <c r="H917" s="5"/>
    </row>
    <row r="918" spans="7:8" x14ac:dyDescent="0.3">
      <c r="G918" s="5"/>
      <c r="H918" s="5"/>
    </row>
    <row r="919" spans="7:8" x14ac:dyDescent="0.3">
      <c r="G919" s="5"/>
      <c r="H919" s="5"/>
    </row>
    <row r="920" spans="7:8" x14ac:dyDescent="0.3">
      <c r="G920" s="5"/>
      <c r="H920" s="5"/>
    </row>
    <row r="921" spans="7:8" x14ac:dyDescent="0.3">
      <c r="G921" s="5"/>
      <c r="H921" s="5"/>
    </row>
    <row r="922" spans="7:8" x14ac:dyDescent="0.3">
      <c r="G922" s="5"/>
      <c r="H922" s="5"/>
    </row>
    <row r="923" spans="7:8" x14ac:dyDescent="0.3">
      <c r="G923" s="5"/>
      <c r="H923" s="5"/>
    </row>
    <row r="924" spans="7:8" x14ac:dyDescent="0.3">
      <c r="G924" s="5"/>
      <c r="H924" s="5"/>
    </row>
    <row r="925" spans="7:8" x14ac:dyDescent="0.3">
      <c r="G925" s="5"/>
      <c r="H925" s="5"/>
    </row>
    <row r="926" spans="7:8" x14ac:dyDescent="0.3">
      <c r="G926" s="5"/>
      <c r="H926" s="5"/>
    </row>
    <row r="927" spans="7:8" x14ac:dyDescent="0.3">
      <c r="G927" s="5"/>
      <c r="H927" s="5"/>
    </row>
    <row r="928" spans="7:8" x14ac:dyDescent="0.3">
      <c r="G928" s="5"/>
      <c r="H928" s="5"/>
    </row>
    <row r="929" spans="7:8" x14ac:dyDescent="0.3">
      <c r="G929" s="5"/>
      <c r="H929" s="5"/>
    </row>
    <row r="930" spans="7:8" x14ac:dyDescent="0.3">
      <c r="G930" s="5"/>
      <c r="H930" s="5"/>
    </row>
    <row r="931" spans="7:8" x14ac:dyDescent="0.3">
      <c r="G931" s="5"/>
      <c r="H931" s="5"/>
    </row>
    <row r="932" spans="7:8" x14ac:dyDescent="0.3">
      <c r="G932" s="5"/>
      <c r="H932" s="5"/>
    </row>
    <row r="933" spans="7:8" x14ac:dyDescent="0.3">
      <c r="G933" s="5"/>
      <c r="H933" s="5"/>
    </row>
    <row r="934" spans="7:8" x14ac:dyDescent="0.3">
      <c r="G934" s="5"/>
      <c r="H934" s="5"/>
    </row>
  </sheetData>
  <sortState xmlns:xlrd2="http://schemas.microsoft.com/office/spreadsheetml/2017/richdata2" ref="A2:P934">
    <sortCondition ref="B1:B934"/>
  </sortState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EDA4-552B-4BBC-92A9-48FFFEFA6F43}">
  <dimension ref="A1:P12"/>
  <sheetViews>
    <sheetView zoomScale="71" zoomScaleNormal="75" workbookViewId="0">
      <selection activeCell="J2" sqref="J2:P2"/>
    </sheetView>
  </sheetViews>
  <sheetFormatPr defaultRowHeight="14.4" x14ac:dyDescent="0.3"/>
  <cols>
    <col min="1" max="16" width="9.33203125" customWidth="1"/>
  </cols>
  <sheetData>
    <row r="1" spans="1:16" ht="23.4" customHeight="1" x14ac:dyDescent="0.3">
      <c r="A1" s="1" t="s">
        <v>107</v>
      </c>
      <c r="B1" s="10" t="s">
        <v>106</v>
      </c>
      <c r="C1" s="2" t="s">
        <v>0</v>
      </c>
      <c r="D1" s="2" t="s">
        <v>1</v>
      </c>
      <c r="E1" s="2" t="s">
        <v>2</v>
      </c>
      <c r="F1" s="10" t="s">
        <v>3</v>
      </c>
      <c r="G1" s="2" t="s">
        <v>4</v>
      </c>
      <c r="H1" s="2" t="s">
        <v>5</v>
      </c>
      <c r="I1" s="13" t="s">
        <v>106</v>
      </c>
      <c r="J1" s="17" t="s">
        <v>106</v>
      </c>
      <c r="K1" s="18" t="s">
        <v>0</v>
      </c>
      <c r="L1" s="18" t="s">
        <v>1</v>
      </c>
      <c r="M1" s="18" t="s">
        <v>2</v>
      </c>
      <c r="N1" s="17" t="s">
        <v>3</v>
      </c>
      <c r="O1" s="18" t="s">
        <v>4</v>
      </c>
      <c r="P1" s="18" t="s">
        <v>5</v>
      </c>
    </row>
    <row r="2" spans="1:16" x14ac:dyDescent="0.3">
      <c r="A2" s="3" t="s">
        <v>34</v>
      </c>
      <c r="B2" s="27">
        <v>3.8175684387434426E-2</v>
      </c>
      <c r="C2" s="27">
        <v>7.9365079365079361E-3</v>
      </c>
      <c r="D2" s="27">
        <v>1.8404907975460124E-2</v>
      </c>
      <c r="E2" s="27">
        <v>1.8808777429467086E-2</v>
      </c>
      <c r="F2" s="27">
        <v>1.2056737588652482E-2</v>
      </c>
      <c r="G2" s="27">
        <v>1.0092514718250631E-2</v>
      </c>
      <c r="H2" s="27">
        <v>2.4353120243531201E-2</v>
      </c>
      <c r="I2" s="19">
        <v>3.8175684387434426E-2</v>
      </c>
      <c r="J2" s="28">
        <v>3.8175684387434426E-2</v>
      </c>
      <c r="K2" s="28">
        <v>7.9365079365079361E-3</v>
      </c>
      <c r="L2" s="28">
        <v>1.8404907975460124E-2</v>
      </c>
      <c r="M2" s="28">
        <v>1.8808777429467086E-2</v>
      </c>
      <c r="N2" s="28">
        <v>1.2056737588652482E-2</v>
      </c>
      <c r="O2" s="28">
        <v>1.0092514718250631E-2</v>
      </c>
      <c r="P2" s="28">
        <v>2.4353120243531201E-2</v>
      </c>
    </row>
    <row r="3" spans="1:16" x14ac:dyDescent="0.3">
      <c r="A3" s="3" t="s">
        <v>33</v>
      </c>
      <c r="B3" s="27">
        <v>0.20632808216797524</v>
      </c>
      <c r="C3" s="27">
        <v>0.16893424036281179</v>
      </c>
      <c r="D3" s="27">
        <v>0.29754601226993865</v>
      </c>
      <c r="E3" s="27">
        <v>0.31347962382445144</v>
      </c>
      <c r="F3" s="27">
        <v>0.18865248226950354</v>
      </c>
      <c r="G3" s="27">
        <v>0.10933557611438183</v>
      </c>
      <c r="H3" s="27">
        <v>0.18569254185692541</v>
      </c>
      <c r="I3" s="19">
        <v>0.24450376655540967</v>
      </c>
      <c r="J3" s="8">
        <f t="shared" ref="J3:P4" si="0">J2+B3</f>
        <v>0.24450376655540967</v>
      </c>
      <c r="K3" s="8">
        <f t="shared" si="0"/>
        <v>0.17687074829931973</v>
      </c>
      <c r="L3" s="8">
        <f t="shared" si="0"/>
        <v>0.31595092024539878</v>
      </c>
      <c r="M3" s="8">
        <f t="shared" si="0"/>
        <v>0.33228840125391851</v>
      </c>
      <c r="N3" s="8">
        <f t="shared" si="0"/>
        <v>0.20070921985815601</v>
      </c>
      <c r="O3" s="8">
        <f t="shared" si="0"/>
        <v>0.11942809083263246</v>
      </c>
      <c r="P3" s="8">
        <f t="shared" si="0"/>
        <v>0.21004566210045661</v>
      </c>
    </row>
    <row r="4" spans="1:16" x14ac:dyDescent="0.3">
      <c r="A4" s="3" t="s">
        <v>32</v>
      </c>
      <c r="B4" s="27">
        <v>0.75549623344459027</v>
      </c>
      <c r="C4" s="27">
        <v>0.8231292517006803</v>
      </c>
      <c r="D4" s="27">
        <v>0.68404907975460127</v>
      </c>
      <c r="E4" s="27">
        <v>0.66771159874608155</v>
      </c>
      <c r="F4" s="27">
        <v>0.79929078014184396</v>
      </c>
      <c r="G4" s="27">
        <v>0.88057190916736749</v>
      </c>
      <c r="H4" s="27">
        <v>0.78995433789954339</v>
      </c>
      <c r="I4" s="19">
        <v>1</v>
      </c>
      <c r="J4" s="8">
        <f t="shared" si="0"/>
        <v>1</v>
      </c>
      <c r="K4" s="8">
        <f t="shared" si="0"/>
        <v>1</v>
      </c>
      <c r="L4" s="8">
        <f t="shared" si="0"/>
        <v>1</v>
      </c>
      <c r="M4" s="8">
        <f t="shared" si="0"/>
        <v>1</v>
      </c>
      <c r="N4" s="8">
        <f t="shared" si="0"/>
        <v>1</v>
      </c>
      <c r="O4" s="8">
        <f t="shared" si="0"/>
        <v>1</v>
      </c>
      <c r="P4" s="8">
        <f t="shared" si="0"/>
        <v>1</v>
      </c>
    </row>
    <row r="5" spans="1:16" x14ac:dyDescent="0.3">
      <c r="M5" t="s">
        <v>108</v>
      </c>
    </row>
    <row r="6" spans="1:16" x14ac:dyDescent="0.3">
      <c r="B6" s="5"/>
    </row>
    <row r="7" spans="1:16" ht="28.8" x14ac:dyDescent="0.3">
      <c r="B7" s="1" t="s">
        <v>107</v>
      </c>
      <c r="C7" s="2" t="s">
        <v>109</v>
      </c>
      <c r="D7" s="2" t="s">
        <v>110</v>
      </c>
      <c r="E7" s="2" t="s">
        <v>111</v>
      </c>
      <c r="F7" s="2" t="s">
        <v>112</v>
      </c>
      <c r="G7" s="2" t="s">
        <v>113</v>
      </c>
      <c r="H7" s="2" t="s">
        <v>114</v>
      </c>
      <c r="J7" s="6"/>
      <c r="K7" s="20" t="s">
        <v>115</v>
      </c>
      <c r="L7" s="20" t="s">
        <v>116</v>
      </c>
      <c r="M7" s="20" t="s">
        <v>117</v>
      </c>
      <c r="N7" s="20" t="s">
        <v>118</v>
      </c>
      <c r="O7" s="20" t="s">
        <v>119</v>
      </c>
      <c r="P7" s="20" t="s">
        <v>120</v>
      </c>
    </row>
    <row r="8" spans="1:16" x14ac:dyDescent="0.3">
      <c r="B8" s="3" t="s">
        <v>34</v>
      </c>
      <c r="C8" s="8">
        <f>C2-B2</f>
        <v>-3.023917645092649E-2</v>
      </c>
      <c r="D8" s="8">
        <f>D2-B2</f>
        <v>-1.9770776411974302E-2</v>
      </c>
      <c r="E8" s="8">
        <f>E2-B2</f>
        <v>-1.9366906957967341E-2</v>
      </c>
      <c r="F8" s="8">
        <f>F2-B2</f>
        <v>-2.6118946798781944E-2</v>
      </c>
      <c r="G8" s="8">
        <f>G2-B2</f>
        <v>-2.8083169669183797E-2</v>
      </c>
      <c r="H8" s="8">
        <f>H2-B2</f>
        <v>-1.3822564143903225E-2</v>
      </c>
      <c r="J8" s="3" t="s">
        <v>34</v>
      </c>
      <c r="K8" s="6">
        <f>($J2-0) * ((K2+0))</f>
        <v>3.0298162212249541E-4</v>
      </c>
      <c r="L8" s="6">
        <f t="shared" ref="L8:P8" si="1">($J2-0) * ((L2+0))</f>
        <v>7.0261995805094037E-4</v>
      </c>
      <c r="M8" s="6">
        <f t="shared" si="1"/>
        <v>7.1803795086083564E-4</v>
      </c>
      <c r="N8" s="6">
        <f t="shared" si="1"/>
        <v>4.6027420892651437E-4</v>
      </c>
      <c r="O8" s="6">
        <f t="shared" si="1"/>
        <v>3.8528865655947277E-4</v>
      </c>
      <c r="P8" s="6">
        <f t="shared" si="1"/>
        <v>9.2969703226628735E-4</v>
      </c>
    </row>
    <row r="9" spans="1:16" x14ac:dyDescent="0.3">
      <c r="B9" s="3" t="s">
        <v>33</v>
      </c>
      <c r="C9" s="8">
        <f t="shared" ref="C9" si="2">C3-B3</f>
        <v>-3.7393841805163447E-2</v>
      </c>
      <c r="D9" s="8">
        <f t="shared" ref="D9:D10" si="3">D3-B3</f>
        <v>9.1217930101963413E-2</v>
      </c>
      <c r="E9" s="8">
        <f t="shared" ref="E9:E10" si="4">E3-B3</f>
        <v>0.1071515416564762</v>
      </c>
      <c r="F9" s="8">
        <f t="shared" ref="F9:F10" si="5">F3-B3</f>
        <v>-1.76755998984717E-2</v>
      </c>
      <c r="G9" s="8">
        <f t="shared" ref="G9:G10" si="6">G3-B3</f>
        <v>-9.6992506053593414E-2</v>
      </c>
      <c r="H9" s="8">
        <f t="shared" ref="H9:H10" si="7">H3-B3</f>
        <v>-2.0635540311049833E-2</v>
      </c>
      <c r="J9" s="3" t="s">
        <v>33</v>
      </c>
      <c r="K9" s="6">
        <f>($J3-$J2) * ((K3+K2))</f>
        <v>3.8130926749863903E-2</v>
      </c>
      <c r="L9" s="6">
        <f t="shared" ref="L9:P10" si="8">($J3-$J2) * ((L3+L2))</f>
        <v>6.8986996798494793E-2</v>
      </c>
      <c r="M9" s="6">
        <f t="shared" si="8"/>
        <v>7.2441207532329868E-2</v>
      </c>
      <c r="N9" s="6">
        <f t="shared" si="8"/>
        <v>4.3899591950633025E-2</v>
      </c>
      <c r="O9" s="6">
        <f t="shared" si="8"/>
        <v>2.6723738144548519E-2</v>
      </c>
      <c r="P9" s="6">
        <f t="shared" si="8"/>
        <v>4.836305122354366E-2</v>
      </c>
    </row>
    <row r="10" spans="1:16" x14ac:dyDescent="0.3">
      <c r="B10" s="3" t="s">
        <v>32</v>
      </c>
      <c r="C10" s="8">
        <f t="shared" ref="C10" si="9">C4-B4</f>
        <v>6.7633018256090027E-2</v>
      </c>
      <c r="D10" s="8">
        <f t="shared" si="3"/>
        <v>-7.1447153689988996E-2</v>
      </c>
      <c r="E10" s="8">
        <f t="shared" si="4"/>
        <v>-8.7784634698508723E-2</v>
      </c>
      <c r="F10" s="8">
        <f t="shared" si="5"/>
        <v>4.3794546697253689E-2</v>
      </c>
      <c r="G10" s="8">
        <f t="shared" si="6"/>
        <v>0.12507567572277722</v>
      </c>
      <c r="H10" s="8">
        <f t="shared" si="7"/>
        <v>3.445810445495312E-2</v>
      </c>
      <c r="J10" s="3" t="s">
        <v>32</v>
      </c>
      <c r="K10" s="6">
        <f>($J4-$J3) * ((K4+K3))</f>
        <v>0.88912141759125252</v>
      </c>
      <c r="L10" s="6">
        <f t="shared" si="8"/>
        <v>0.99419596364334117</v>
      </c>
      <c r="M10" s="6">
        <f t="shared" si="8"/>
        <v>1.0065388690092503</v>
      </c>
      <c r="N10" s="6">
        <f t="shared" si="8"/>
        <v>0.90713129306502926</v>
      </c>
      <c r="O10" s="6">
        <f t="shared" si="8"/>
        <v>0.84572370623612247</v>
      </c>
      <c r="P10" s="6">
        <f t="shared" si="8"/>
        <v>0.91418494001286044</v>
      </c>
    </row>
    <row r="11" spans="1:16" x14ac:dyDescent="0.3">
      <c r="J11" s="21" t="s">
        <v>122</v>
      </c>
      <c r="K11" s="20">
        <f>SUM(K8:K10)</f>
        <v>0.92755532596323886</v>
      </c>
      <c r="L11" s="20">
        <f t="shared" ref="L11:P11" si="10">SUM(L8:L10)</f>
        <v>1.063885580399887</v>
      </c>
      <c r="M11" s="20">
        <f t="shared" si="10"/>
        <v>1.0796981144924409</v>
      </c>
      <c r="N11" s="20">
        <f t="shared" si="10"/>
        <v>0.95149115922458882</v>
      </c>
      <c r="O11" s="20">
        <f t="shared" si="10"/>
        <v>0.87283273303723052</v>
      </c>
      <c r="P11" s="20">
        <f t="shared" si="10"/>
        <v>0.96347768826867042</v>
      </c>
    </row>
    <row r="12" spans="1:16" x14ac:dyDescent="0.3">
      <c r="J12" s="24" t="s">
        <v>121</v>
      </c>
      <c r="K12" s="25">
        <f>1-K11</f>
        <v>7.2444674036761136E-2</v>
      </c>
      <c r="L12" s="25">
        <f t="shared" ref="L12:P12" si="11">1-L11</f>
        <v>-6.388558039988701E-2</v>
      </c>
      <c r="M12" s="25">
        <f t="shared" si="11"/>
        <v>-7.9698114492440908E-2</v>
      </c>
      <c r="N12" s="25">
        <f t="shared" si="11"/>
        <v>4.8508840775411177E-2</v>
      </c>
      <c r="O12" s="25">
        <f t="shared" si="11"/>
        <v>0.12716726696276948</v>
      </c>
      <c r="P12" s="25">
        <f t="shared" si="11"/>
        <v>3.6522311731329582E-2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953E-C222-4E34-AE30-666C90CE99AB}">
  <dimension ref="A1:P28"/>
  <sheetViews>
    <sheetView zoomScale="82" zoomScaleNormal="82" workbookViewId="0">
      <selection activeCell="J2" sqref="J2:P2"/>
    </sheetView>
  </sheetViews>
  <sheetFormatPr defaultRowHeight="14.4" x14ac:dyDescent="0.3"/>
  <cols>
    <col min="1" max="1" width="15.6640625" customWidth="1"/>
    <col min="2" max="8" width="12.5546875" customWidth="1"/>
    <col min="11" max="11" width="12" bestFit="1" customWidth="1"/>
    <col min="13" max="13" width="12" bestFit="1" customWidth="1"/>
    <col min="15" max="15" width="12" bestFit="1" customWidth="1"/>
    <col min="16" max="16" width="11.109375" customWidth="1"/>
  </cols>
  <sheetData>
    <row r="1" spans="1:16" ht="25.95" customHeight="1" x14ac:dyDescent="0.3">
      <c r="A1" s="1" t="s">
        <v>107</v>
      </c>
      <c r="B1" s="10" t="s">
        <v>106</v>
      </c>
      <c r="C1" s="2" t="s">
        <v>0</v>
      </c>
      <c r="D1" s="2" t="s">
        <v>1</v>
      </c>
      <c r="E1" s="2" t="s">
        <v>2</v>
      </c>
      <c r="F1" s="10" t="s">
        <v>3</v>
      </c>
      <c r="G1" s="2" t="s">
        <v>4</v>
      </c>
      <c r="H1" s="2" t="s">
        <v>5</v>
      </c>
      <c r="I1" s="13" t="s">
        <v>106</v>
      </c>
      <c r="J1" s="17" t="s">
        <v>106</v>
      </c>
      <c r="K1" s="18" t="s">
        <v>0</v>
      </c>
      <c r="L1" s="18" t="s">
        <v>1</v>
      </c>
      <c r="M1" s="18" t="s">
        <v>2</v>
      </c>
      <c r="N1" s="17" t="s">
        <v>3</v>
      </c>
      <c r="O1" s="18" t="s">
        <v>4</v>
      </c>
      <c r="P1" s="18" t="s">
        <v>5</v>
      </c>
    </row>
    <row r="2" spans="1:16" x14ac:dyDescent="0.3">
      <c r="A2" s="26" t="s">
        <v>41</v>
      </c>
      <c r="B2" s="27">
        <v>1.16619943932719E-2</v>
      </c>
      <c r="C2" s="27">
        <v>1.3793103448275862E-2</v>
      </c>
      <c r="D2" s="27">
        <v>7.2992700729927005E-3</v>
      </c>
      <c r="E2" s="27">
        <v>2.1126760563380281E-2</v>
      </c>
      <c r="F2" s="27">
        <v>1.107011070110701E-2</v>
      </c>
      <c r="G2" s="27">
        <v>1.5789473684210527E-2</v>
      </c>
      <c r="H2" s="27">
        <v>2.3809523809523808E-2</v>
      </c>
      <c r="I2" s="8">
        <v>1.1661994393271926E-2</v>
      </c>
      <c r="J2" s="29">
        <v>1.16619943932719E-2</v>
      </c>
      <c r="K2" s="29">
        <v>1.3793103448275862E-2</v>
      </c>
      <c r="L2" s="29">
        <v>7.2992700729927005E-3</v>
      </c>
      <c r="M2" s="29">
        <v>2.1126760563380281E-2</v>
      </c>
      <c r="N2" s="29">
        <v>1.107011070110701E-2</v>
      </c>
      <c r="O2" s="29">
        <v>1.5789473684210527E-2</v>
      </c>
      <c r="P2" s="29">
        <v>2.3809523809523808E-2</v>
      </c>
    </row>
    <row r="3" spans="1:16" x14ac:dyDescent="0.3">
      <c r="A3" s="26" t="s">
        <v>42</v>
      </c>
      <c r="B3" s="27">
        <v>1.2884795087438259E-2</v>
      </c>
      <c r="C3" s="27">
        <v>3.1034482758620689E-2</v>
      </c>
      <c r="D3" s="27">
        <v>7.2992700729927005E-3</v>
      </c>
      <c r="E3" s="27">
        <v>0</v>
      </c>
      <c r="F3" s="27">
        <v>4.4280442804428041E-2</v>
      </c>
      <c r="G3" s="27">
        <v>2.1052631578947368E-2</v>
      </c>
      <c r="H3" s="27">
        <v>3.968253968253968E-2</v>
      </c>
      <c r="I3" s="8">
        <v>2.4546789480710186E-2</v>
      </c>
      <c r="J3" s="8">
        <f>J2+B3</f>
        <v>2.4546789480710159E-2</v>
      </c>
      <c r="K3" s="8">
        <f>K2+C3</f>
        <v>4.4827586206896551E-2</v>
      </c>
      <c r="L3" s="8">
        <f t="shared" ref="L3:P12" si="0">L2+D3</f>
        <v>1.4598540145985401E-2</v>
      </c>
      <c r="M3" s="8">
        <f t="shared" si="0"/>
        <v>2.1126760563380281E-2</v>
      </c>
      <c r="N3" s="8">
        <f t="shared" si="0"/>
        <v>5.5350553505535055E-2</v>
      </c>
      <c r="O3" s="8">
        <f t="shared" si="0"/>
        <v>3.6842105263157898E-2</v>
      </c>
      <c r="P3" s="8">
        <f t="shared" si="0"/>
        <v>6.3492063492063489E-2</v>
      </c>
    </row>
    <row r="4" spans="1:16" x14ac:dyDescent="0.3">
      <c r="A4" s="26" t="s">
        <v>44</v>
      </c>
      <c r="B4" s="27">
        <v>1.6254171672673876E-2</v>
      </c>
      <c r="C4" s="27">
        <v>1.7241379310344827E-2</v>
      </c>
      <c r="D4" s="27">
        <v>0</v>
      </c>
      <c r="E4" s="27">
        <v>7.0422535211267607E-3</v>
      </c>
      <c r="F4" s="27">
        <v>2.5830258302583026E-2</v>
      </c>
      <c r="G4" s="27">
        <v>5.2631578947368418E-2</v>
      </c>
      <c r="H4" s="27">
        <v>3.1746031746031744E-2</v>
      </c>
      <c r="I4" s="8">
        <v>4.0800961153384066E-2</v>
      </c>
      <c r="J4" s="8">
        <f t="shared" ref="J4:J12" si="1">J3+B4</f>
        <v>4.0800961153384038E-2</v>
      </c>
      <c r="K4" s="8">
        <f t="shared" ref="K4:K12" si="2">K3+C4</f>
        <v>6.2068965517241378E-2</v>
      </c>
      <c r="L4" s="8">
        <f t="shared" si="0"/>
        <v>1.4598540145985401E-2</v>
      </c>
      <c r="M4" s="8">
        <f t="shared" si="0"/>
        <v>2.8169014084507043E-2</v>
      </c>
      <c r="N4" s="8">
        <f t="shared" si="0"/>
        <v>8.1180811808118078E-2</v>
      </c>
      <c r="O4" s="8">
        <f t="shared" si="0"/>
        <v>8.9473684210526316E-2</v>
      </c>
      <c r="P4" s="8">
        <f t="shared" si="0"/>
        <v>9.5238095238095233E-2</v>
      </c>
    </row>
    <row r="5" spans="1:16" x14ac:dyDescent="0.3">
      <c r="A5" s="26" t="s">
        <v>43</v>
      </c>
      <c r="B5" s="27">
        <v>1.9073554932585769E-2</v>
      </c>
      <c r="C5" s="27">
        <v>1.0344827586206896E-2</v>
      </c>
      <c r="D5" s="27">
        <v>4.3795620437956206E-2</v>
      </c>
      <c r="E5" s="27">
        <v>2.8169014084507043E-2</v>
      </c>
      <c r="F5" s="27">
        <v>6.6420664206642069E-2</v>
      </c>
      <c r="G5" s="27">
        <v>2.1052631578947368E-2</v>
      </c>
      <c r="H5" s="27">
        <v>3.1746031746031744E-2</v>
      </c>
      <c r="I5" s="8">
        <v>5.9874516085969831E-2</v>
      </c>
      <c r="J5" s="8">
        <f t="shared" si="1"/>
        <v>5.9874516085969803E-2</v>
      </c>
      <c r="K5" s="8">
        <f t="shared" si="2"/>
        <v>7.2413793103448282E-2</v>
      </c>
      <c r="L5" s="8">
        <f t="shared" si="0"/>
        <v>5.8394160583941604E-2</v>
      </c>
      <c r="M5" s="8">
        <f t="shared" si="0"/>
        <v>5.6338028169014086E-2</v>
      </c>
      <c r="N5" s="8">
        <f t="shared" si="0"/>
        <v>0.14760147601476015</v>
      </c>
      <c r="O5" s="8">
        <f t="shared" si="0"/>
        <v>0.11052631578947368</v>
      </c>
      <c r="P5" s="8">
        <f t="shared" si="0"/>
        <v>0.12698412698412698</v>
      </c>
    </row>
    <row r="6" spans="1:16" x14ac:dyDescent="0.3">
      <c r="A6" s="26" t="s">
        <v>36</v>
      </c>
      <c r="B6" s="27">
        <v>2.580696836203444E-2</v>
      </c>
      <c r="C6" s="27">
        <v>3.1034482758620689E-2</v>
      </c>
      <c r="D6" s="27">
        <v>7.2992700729927005E-3</v>
      </c>
      <c r="E6" s="27">
        <v>4.2253521126760563E-2</v>
      </c>
      <c r="F6" s="27">
        <v>2.2140221402214021E-2</v>
      </c>
      <c r="G6" s="27">
        <v>2.1052631578947368E-2</v>
      </c>
      <c r="H6" s="27">
        <v>3.968253968253968E-2</v>
      </c>
      <c r="I6" s="8">
        <v>8.5681484448004275E-2</v>
      </c>
      <c r="J6" s="8">
        <f t="shared" si="1"/>
        <v>8.5681484448004247E-2</v>
      </c>
      <c r="K6" s="8">
        <f t="shared" si="2"/>
        <v>0.10344827586206898</v>
      </c>
      <c r="L6" s="8">
        <f t="shared" si="0"/>
        <v>6.569343065693431E-2</v>
      </c>
      <c r="M6" s="8">
        <f t="shared" si="0"/>
        <v>9.8591549295774655E-2</v>
      </c>
      <c r="N6" s="8">
        <f t="shared" si="0"/>
        <v>0.16974169741697417</v>
      </c>
      <c r="O6" s="8">
        <f t="shared" si="0"/>
        <v>0.13157894736842105</v>
      </c>
      <c r="P6" s="8">
        <f t="shared" si="0"/>
        <v>0.16666666666666666</v>
      </c>
    </row>
    <row r="7" spans="1:16" x14ac:dyDescent="0.3">
      <c r="A7" s="26" t="s">
        <v>40</v>
      </c>
      <c r="B7" s="27">
        <v>4.0608730476571889E-2</v>
      </c>
      <c r="C7" s="27">
        <v>5.8620689655172413E-2</v>
      </c>
      <c r="D7" s="27">
        <v>6.569343065693431E-2</v>
      </c>
      <c r="E7" s="27">
        <v>3.5211267605633804E-2</v>
      </c>
      <c r="F7" s="27">
        <v>4.4280442804428041E-2</v>
      </c>
      <c r="G7" s="27">
        <v>4.2105263157894736E-2</v>
      </c>
      <c r="H7" s="27">
        <v>3.968253968253968E-2</v>
      </c>
      <c r="I7" s="8">
        <v>0.12629021492457615</v>
      </c>
      <c r="J7" s="8">
        <f t="shared" si="1"/>
        <v>0.12629021492457615</v>
      </c>
      <c r="K7" s="8">
        <f t="shared" si="2"/>
        <v>0.1620689655172414</v>
      </c>
      <c r="L7" s="8">
        <f t="shared" si="0"/>
        <v>0.13138686131386862</v>
      </c>
      <c r="M7" s="8">
        <f t="shared" si="0"/>
        <v>0.13380281690140847</v>
      </c>
      <c r="N7" s="8">
        <f t="shared" si="0"/>
        <v>0.2140221402214022</v>
      </c>
      <c r="O7" s="8">
        <f t="shared" si="0"/>
        <v>0.17368421052631577</v>
      </c>
      <c r="P7" s="8">
        <f t="shared" si="0"/>
        <v>0.20634920634920634</v>
      </c>
    </row>
    <row r="8" spans="1:16" x14ac:dyDescent="0.3">
      <c r="A8" s="26" t="s">
        <v>37</v>
      </c>
      <c r="B8" s="27">
        <v>5.5223601655319719E-2</v>
      </c>
      <c r="C8" s="27">
        <v>5.1724137931034482E-2</v>
      </c>
      <c r="D8" s="27">
        <v>2.9197080291970802E-2</v>
      </c>
      <c r="E8" s="27">
        <v>3.5211267605633804E-2</v>
      </c>
      <c r="F8" s="27">
        <v>2.9520295202952029E-2</v>
      </c>
      <c r="G8" s="27">
        <v>2.6315789473684209E-2</v>
      </c>
      <c r="H8" s="27">
        <v>2.3809523809523808E-2</v>
      </c>
      <c r="I8" s="8">
        <v>0.18151381657989588</v>
      </c>
      <c r="J8" s="8">
        <f t="shared" si="1"/>
        <v>0.18151381657989588</v>
      </c>
      <c r="K8" s="8">
        <f t="shared" si="2"/>
        <v>0.21379310344827587</v>
      </c>
      <c r="L8" s="8">
        <f t="shared" si="0"/>
        <v>0.16058394160583941</v>
      </c>
      <c r="M8" s="8">
        <f t="shared" si="0"/>
        <v>0.16901408450704228</v>
      </c>
      <c r="N8" s="8">
        <f t="shared" si="0"/>
        <v>0.24354243542435422</v>
      </c>
      <c r="O8" s="8">
        <f t="shared" si="0"/>
        <v>0.19999999999999998</v>
      </c>
      <c r="P8" s="8">
        <f t="shared" si="0"/>
        <v>0.23015873015873015</v>
      </c>
    </row>
    <row r="9" spans="1:16" x14ac:dyDescent="0.3">
      <c r="A9" s="26" t="s">
        <v>39</v>
      </c>
      <c r="B9" s="27">
        <v>8.2915498598317983E-2</v>
      </c>
      <c r="C9" s="27">
        <v>9.3103448275862075E-2</v>
      </c>
      <c r="D9" s="27">
        <v>4.3795620437956206E-2</v>
      </c>
      <c r="E9" s="27">
        <v>3.5211267605633804E-2</v>
      </c>
      <c r="F9" s="27">
        <v>3.6900369003690037E-2</v>
      </c>
      <c r="G9" s="27">
        <v>4.736842105263158E-2</v>
      </c>
      <c r="H9" s="27">
        <v>5.5555555555555552E-2</v>
      </c>
      <c r="I9" s="8">
        <v>0.26442931517821389</v>
      </c>
      <c r="J9" s="8">
        <f t="shared" si="1"/>
        <v>0.26442931517821389</v>
      </c>
      <c r="K9" s="8">
        <f t="shared" si="2"/>
        <v>0.30689655172413793</v>
      </c>
      <c r="L9" s="8">
        <f t="shared" si="0"/>
        <v>0.20437956204379562</v>
      </c>
      <c r="M9" s="8">
        <f t="shared" si="0"/>
        <v>0.20422535211267609</v>
      </c>
      <c r="N9" s="8">
        <f t="shared" si="0"/>
        <v>0.28044280442804426</v>
      </c>
      <c r="O9" s="8">
        <f t="shared" si="0"/>
        <v>0.24736842105263157</v>
      </c>
      <c r="P9" s="8">
        <f t="shared" si="0"/>
        <v>0.2857142857142857</v>
      </c>
    </row>
    <row r="10" spans="1:16" x14ac:dyDescent="0.3">
      <c r="A10" s="26" t="s">
        <v>38</v>
      </c>
      <c r="B10" s="27">
        <v>0.1260552663195835</v>
      </c>
      <c r="C10" s="27">
        <v>0.1</v>
      </c>
      <c r="D10" s="27">
        <v>0.10218978102189781</v>
      </c>
      <c r="E10" s="27">
        <v>0.14084507042253522</v>
      </c>
      <c r="F10" s="27">
        <v>0.17343173431734318</v>
      </c>
      <c r="G10" s="27">
        <v>0.11578947368421053</v>
      </c>
      <c r="H10" s="27">
        <v>8.7301587301587297E-2</v>
      </c>
      <c r="I10" s="8">
        <v>0.39048458149779741</v>
      </c>
      <c r="J10" s="8">
        <f t="shared" si="1"/>
        <v>0.39048458149779741</v>
      </c>
      <c r="K10" s="8">
        <f t="shared" si="2"/>
        <v>0.40689655172413797</v>
      </c>
      <c r="L10" s="8">
        <f t="shared" si="0"/>
        <v>0.30656934306569344</v>
      </c>
      <c r="M10" s="8">
        <f t="shared" si="0"/>
        <v>0.34507042253521131</v>
      </c>
      <c r="N10" s="8">
        <f t="shared" si="0"/>
        <v>0.45387453874538741</v>
      </c>
      <c r="O10" s="8">
        <f t="shared" si="0"/>
        <v>0.36315789473684212</v>
      </c>
      <c r="P10" s="8">
        <f t="shared" si="0"/>
        <v>0.37301587301587302</v>
      </c>
    </row>
    <row r="11" spans="1:16" x14ac:dyDescent="0.3">
      <c r="A11" s="26" t="s">
        <v>45</v>
      </c>
      <c r="B11" s="27">
        <v>0.17654251768789214</v>
      </c>
      <c r="C11" s="27">
        <v>0.18965517241379309</v>
      </c>
      <c r="D11" s="27">
        <v>0.13138686131386862</v>
      </c>
      <c r="E11" s="27">
        <v>7.0422535211267609E-2</v>
      </c>
      <c r="F11" s="27">
        <v>0.15498154981549817</v>
      </c>
      <c r="G11" s="27">
        <v>0.16842105263157894</v>
      </c>
      <c r="H11" s="27">
        <v>0.21428571428571427</v>
      </c>
      <c r="I11" s="8">
        <v>0.56702709918568961</v>
      </c>
      <c r="J11" s="8">
        <f t="shared" si="1"/>
        <v>0.56702709918568961</v>
      </c>
      <c r="K11" s="8">
        <f t="shared" si="2"/>
        <v>0.59655172413793101</v>
      </c>
      <c r="L11" s="8">
        <f t="shared" si="0"/>
        <v>0.43795620437956206</v>
      </c>
      <c r="M11" s="8">
        <f t="shared" si="0"/>
        <v>0.41549295774647893</v>
      </c>
      <c r="N11" s="8">
        <f t="shared" si="0"/>
        <v>0.60885608856088558</v>
      </c>
      <c r="O11" s="8">
        <f t="shared" si="0"/>
        <v>0.53157894736842104</v>
      </c>
      <c r="P11" s="8">
        <f t="shared" si="0"/>
        <v>0.58730158730158732</v>
      </c>
    </row>
    <row r="12" spans="1:16" x14ac:dyDescent="0.3">
      <c r="A12" s="26" t="s">
        <v>35</v>
      </c>
      <c r="B12" s="27">
        <v>0.4329729008143105</v>
      </c>
      <c r="C12" s="27">
        <v>0.40344827586206894</v>
      </c>
      <c r="D12" s="27">
        <v>0.56204379562043794</v>
      </c>
      <c r="E12" s="27">
        <v>0.58450704225352113</v>
      </c>
      <c r="F12" s="27">
        <v>0.39114391143911437</v>
      </c>
      <c r="G12" s="27">
        <v>0.46842105263157896</v>
      </c>
      <c r="H12" s="27">
        <v>0.41269841269841268</v>
      </c>
      <c r="I12" s="8">
        <v>1</v>
      </c>
      <c r="J12" s="8">
        <f t="shared" si="1"/>
        <v>1</v>
      </c>
      <c r="K12" s="8">
        <f t="shared" si="2"/>
        <v>1</v>
      </c>
      <c r="L12" s="8">
        <f t="shared" si="0"/>
        <v>1</v>
      </c>
      <c r="M12" s="8">
        <f t="shared" si="0"/>
        <v>1</v>
      </c>
      <c r="N12" s="8">
        <f t="shared" si="0"/>
        <v>1</v>
      </c>
      <c r="O12" s="8">
        <f t="shared" si="0"/>
        <v>1</v>
      </c>
      <c r="P12" s="8">
        <f t="shared" si="0"/>
        <v>1</v>
      </c>
    </row>
    <row r="15" spans="1:16" x14ac:dyDescent="0.3">
      <c r="B15" s="1" t="s">
        <v>107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  <c r="H15" s="2" t="s">
        <v>114</v>
      </c>
      <c r="J15" s="6"/>
      <c r="K15" s="20" t="s">
        <v>115</v>
      </c>
      <c r="L15" s="20" t="s">
        <v>116</v>
      </c>
      <c r="M15" s="20" t="s">
        <v>117</v>
      </c>
      <c r="N15" s="20" t="s">
        <v>118</v>
      </c>
      <c r="O15" s="20" t="s">
        <v>119</v>
      </c>
      <c r="P15" s="20" t="s">
        <v>120</v>
      </c>
    </row>
    <row r="16" spans="1:16" x14ac:dyDescent="0.3">
      <c r="B16" s="26" t="s">
        <v>41</v>
      </c>
      <c r="C16" s="8">
        <f>C2-B2</f>
        <v>2.1311090550039623E-3</v>
      </c>
      <c r="D16" s="8">
        <f>D2-B2</f>
        <v>-4.3627243202791991E-3</v>
      </c>
      <c r="E16" s="8">
        <f>E2-B2</f>
        <v>9.4647661701083817E-3</v>
      </c>
      <c r="F16" s="8">
        <f>F2-B2</f>
        <v>-5.9188369216488929E-4</v>
      </c>
      <c r="G16" s="8">
        <f>G2-B2</f>
        <v>4.1274792909386272E-3</v>
      </c>
      <c r="H16" s="8">
        <f>H2-B2</f>
        <v>1.2147529416251909E-2</v>
      </c>
      <c r="J16" s="26" t="s">
        <v>41</v>
      </c>
      <c r="K16" s="6">
        <f>($J2-0) * ((K2+0))</f>
        <v>1.608550950796124E-4</v>
      </c>
      <c r="L16" s="6">
        <f t="shared" ref="L16:P16" si="3">($J2-0) * ((L2+0))</f>
        <v>8.5124046666218246E-5</v>
      </c>
      <c r="M16" s="6">
        <f t="shared" si="3"/>
        <v>2.463801632381387E-4</v>
      </c>
      <c r="N16" s="6">
        <f t="shared" si="3"/>
        <v>1.2909956892920922E-4</v>
      </c>
      <c r="O16" s="6">
        <f t="shared" si="3"/>
        <v>1.8413675357797736E-4</v>
      </c>
      <c r="P16" s="6">
        <f t="shared" si="3"/>
        <v>2.7766653317314044E-4</v>
      </c>
    </row>
    <row r="17" spans="2:16" x14ac:dyDescent="0.3">
      <c r="B17" s="26" t="s">
        <v>42</v>
      </c>
      <c r="C17" s="8">
        <f t="shared" ref="C17:C26" si="4">C3-B3</f>
        <v>1.814968767118243E-2</v>
      </c>
      <c r="D17" s="8">
        <f t="shared" ref="D17:D26" si="5">D3-B3</f>
        <v>-5.5855250144455585E-3</v>
      </c>
      <c r="E17" s="8">
        <f t="shared" ref="E17:E26" si="6">E3-B3</f>
        <v>-1.2884795087438259E-2</v>
      </c>
      <c r="F17" s="8">
        <f t="shared" ref="F17:F26" si="7">F3-B3</f>
        <v>3.1395647716989786E-2</v>
      </c>
      <c r="G17" s="8">
        <f t="shared" ref="G17:G26" si="8">G3-B3</f>
        <v>8.167836491509109E-3</v>
      </c>
      <c r="H17" s="8">
        <f t="shared" ref="H17:H26" si="9">H3-B3</f>
        <v>2.6797744595101421E-2</v>
      </c>
      <c r="J17" s="26" t="s">
        <v>42</v>
      </c>
      <c r="K17" s="6">
        <f>($J3-$J2) * ((K3+K2))</f>
        <v>7.5531557409120828E-4</v>
      </c>
      <c r="L17" s="6">
        <f t="shared" ref="L17:P17" si="10">($J3-$J2) * ((L3+L2))</f>
        <v>2.8214879753514439E-4</v>
      </c>
      <c r="M17" s="6">
        <f t="shared" si="10"/>
        <v>5.4442796144105318E-4</v>
      </c>
      <c r="N17" s="6">
        <f t="shared" si="10"/>
        <v>8.5581664787412796E-4</v>
      </c>
      <c r="O17" s="6">
        <f t="shared" si="10"/>
        <v>6.7814710986517158E-4</v>
      </c>
      <c r="P17" s="6">
        <f t="shared" si="10"/>
        <v>1.1248630631890543E-3</v>
      </c>
    </row>
    <row r="18" spans="2:16" x14ac:dyDescent="0.3">
      <c r="B18" s="26" t="s">
        <v>44</v>
      </c>
      <c r="C18" s="8">
        <f t="shared" si="4"/>
        <v>9.8720763767095113E-4</v>
      </c>
      <c r="D18" s="8">
        <f t="shared" si="5"/>
        <v>-1.6254171672673876E-2</v>
      </c>
      <c r="E18" s="8">
        <f t="shared" si="6"/>
        <v>-9.2119181515471146E-3</v>
      </c>
      <c r="F18" s="8">
        <f t="shared" si="7"/>
        <v>9.5760866299091502E-3</v>
      </c>
      <c r="G18" s="8">
        <f t="shared" si="8"/>
        <v>3.6377407274694545E-2</v>
      </c>
      <c r="H18" s="8">
        <f t="shared" si="9"/>
        <v>1.5491860073357868E-2</v>
      </c>
      <c r="J18" s="26" t="s">
        <v>44</v>
      </c>
      <c r="K18" s="6">
        <f t="shared" ref="K18:P26" si="11">($J4-$J3) * ((K4+K3))</f>
        <v>1.7375149029410007E-3</v>
      </c>
      <c r="L18" s="6">
        <f t="shared" si="11"/>
        <v>4.7457435540653663E-4</v>
      </c>
      <c r="M18" s="6">
        <f t="shared" si="11"/>
        <v>8.0126198386420544E-4</v>
      </c>
      <c r="N18" s="6">
        <f t="shared" si="11"/>
        <v>2.2192042505126694E-3</v>
      </c>
      <c r="O18" s="6">
        <f t="shared" si="11"/>
        <v>2.0531585270745956E-3</v>
      </c>
      <c r="P18" s="6">
        <f t="shared" si="11"/>
        <v>2.5800272496307743E-3</v>
      </c>
    </row>
    <row r="19" spans="2:16" x14ac:dyDescent="0.3">
      <c r="B19" s="26" t="s">
        <v>43</v>
      </c>
      <c r="C19" s="8">
        <f t="shared" si="4"/>
        <v>-8.7287273463788721E-3</v>
      </c>
      <c r="D19" s="8">
        <f t="shared" si="5"/>
        <v>2.4722065505370438E-2</v>
      </c>
      <c r="E19" s="8">
        <f t="shared" si="6"/>
        <v>9.0954591519212744E-3</v>
      </c>
      <c r="F19" s="8">
        <f t="shared" si="7"/>
        <v>4.7347109274056304E-2</v>
      </c>
      <c r="G19" s="8">
        <f t="shared" si="8"/>
        <v>1.9790766463615994E-3</v>
      </c>
      <c r="H19" s="8">
        <f t="shared" si="9"/>
        <v>1.2672476813445976E-2</v>
      </c>
      <c r="J19" s="26" t="s">
        <v>43</v>
      </c>
      <c r="K19" s="6">
        <f t="shared" si="11"/>
        <v>2.5650642840373957E-3</v>
      </c>
      <c r="L19" s="6">
        <f t="shared" si="11"/>
        <v>1.3922302870500558E-3</v>
      </c>
      <c r="M19" s="6">
        <f t="shared" si="11"/>
        <v>1.6118497126128815E-3</v>
      </c>
      <c r="N19" s="6">
        <f t="shared" si="11"/>
        <v>4.3636915343923154E-3</v>
      </c>
      <c r="O19" s="6">
        <f t="shared" si="11"/>
        <v>3.8147109865171534E-3</v>
      </c>
      <c r="P19" s="6">
        <f t="shared" si="11"/>
        <v>4.2385677627968365E-3</v>
      </c>
    </row>
    <row r="20" spans="2:16" x14ac:dyDescent="0.3">
      <c r="B20" s="26" t="s">
        <v>36</v>
      </c>
      <c r="C20" s="8">
        <f t="shared" si="4"/>
        <v>5.227514396586249E-3</v>
      </c>
      <c r="D20" s="8">
        <f t="shared" si="5"/>
        <v>-1.8507698289041738E-2</v>
      </c>
      <c r="E20" s="8">
        <f t="shared" si="6"/>
        <v>1.6446552764726122E-2</v>
      </c>
      <c r="F20" s="8">
        <f t="shared" si="7"/>
        <v>-3.6667469598204196E-3</v>
      </c>
      <c r="G20" s="8">
        <f t="shared" si="8"/>
        <v>-4.7543367830870722E-3</v>
      </c>
      <c r="H20" s="8">
        <f t="shared" si="9"/>
        <v>1.387557132050524E-2</v>
      </c>
      <c r="J20" s="26" t="s">
        <v>36</v>
      </c>
      <c r="K20" s="6">
        <f t="shared" si="11"/>
        <v>4.5384668498750233E-3</v>
      </c>
      <c r="L20" s="6">
        <f t="shared" si="11"/>
        <v>3.2023245412743468E-3</v>
      </c>
      <c r="M20" s="6">
        <f t="shared" si="11"/>
        <v>3.998262703977168E-3</v>
      </c>
      <c r="N20" s="6">
        <f t="shared" si="11"/>
        <v>8.1896652366603775E-3</v>
      </c>
      <c r="O20" s="6">
        <f t="shared" si="11"/>
        <v>6.2480028665978116E-3</v>
      </c>
      <c r="P20" s="6">
        <f t="shared" si="11"/>
        <v>7.5782367412323354E-3</v>
      </c>
    </row>
    <row r="21" spans="2:16" x14ac:dyDescent="0.3">
      <c r="B21" s="26" t="s">
        <v>40</v>
      </c>
      <c r="C21" s="8">
        <f t="shared" si="4"/>
        <v>1.8011959178600524E-2</v>
      </c>
      <c r="D21" s="8">
        <f t="shared" si="5"/>
        <v>2.5084700180362421E-2</v>
      </c>
      <c r="E21" s="8">
        <f t="shared" si="6"/>
        <v>-5.3974628709380842E-3</v>
      </c>
      <c r="F21" s="8">
        <f t="shared" si="7"/>
        <v>3.6717123278561525E-3</v>
      </c>
      <c r="G21" s="8">
        <f t="shared" si="8"/>
        <v>1.4965326813228472E-3</v>
      </c>
      <c r="H21" s="8">
        <f t="shared" si="9"/>
        <v>-9.2619079403220839E-4</v>
      </c>
      <c r="J21" s="26" t="s">
        <v>40</v>
      </c>
      <c r="K21" s="6">
        <f t="shared" si="11"/>
        <v>1.07823180920553E-2</v>
      </c>
      <c r="L21" s="6">
        <f t="shared" si="11"/>
        <v>8.0031804588864344E-3</v>
      </c>
      <c r="M21" s="6">
        <f t="shared" si="11"/>
        <v>9.4372401811751612E-3</v>
      </c>
      <c r="N21" s="6">
        <f t="shared" si="11"/>
        <v>1.5584162249311728E-2</v>
      </c>
      <c r="O21" s="6">
        <f t="shared" si="11"/>
        <v>1.2396349303374578E-2</v>
      </c>
      <c r="P21" s="6">
        <f t="shared" si="11"/>
        <v>1.5147701050784758E-2</v>
      </c>
    </row>
    <row r="22" spans="2:16" x14ac:dyDescent="0.3">
      <c r="B22" s="26" t="s">
        <v>37</v>
      </c>
      <c r="C22" s="8">
        <f t="shared" si="4"/>
        <v>-3.4994637242852372E-3</v>
      </c>
      <c r="D22" s="8">
        <f t="shared" si="5"/>
        <v>-2.6026521363348917E-2</v>
      </c>
      <c r="E22" s="8">
        <f t="shared" si="6"/>
        <v>-2.0012334049685915E-2</v>
      </c>
      <c r="F22" s="8">
        <f t="shared" si="7"/>
        <v>-2.5703306452367691E-2</v>
      </c>
      <c r="G22" s="8">
        <f t="shared" si="8"/>
        <v>-2.890781218163551E-2</v>
      </c>
      <c r="H22" s="8">
        <f t="shared" si="9"/>
        <v>-3.1414077845795911E-2</v>
      </c>
      <c r="J22" s="26" t="s">
        <v>37</v>
      </c>
      <c r="K22" s="6">
        <f t="shared" si="11"/>
        <v>2.0756457173896035E-2</v>
      </c>
      <c r="L22" s="6">
        <f t="shared" si="11"/>
        <v>1.6123679315421816E-2</v>
      </c>
      <c r="M22" s="6">
        <f t="shared" si="11"/>
        <v>1.6722639937878512E-2</v>
      </c>
      <c r="N22" s="6">
        <f t="shared" si="11"/>
        <v>2.5268363857046661E-2</v>
      </c>
      <c r="O22" s="6">
        <f t="shared" si="11"/>
        <v>2.0636187986987894E-2</v>
      </c>
      <c r="P22" s="6">
        <f t="shared" si="11"/>
        <v>2.4105540405099882E-2</v>
      </c>
    </row>
    <row r="23" spans="2:16" x14ac:dyDescent="0.3">
      <c r="B23" s="26" t="s">
        <v>39</v>
      </c>
      <c r="C23" s="8">
        <f t="shared" si="4"/>
        <v>1.0187949677544092E-2</v>
      </c>
      <c r="D23" s="8">
        <f t="shared" si="5"/>
        <v>-3.9119878160361776E-2</v>
      </c>
      <c r="E23" s="8">
        <f t="shared" si="6"/>
        <v>-4.7704230992684178E-2</v>
      </c>
      <c r="F23" s="8">
        <f t="shared" si="7"/>
        <v>-4.6015129594627946E-2</v>
      </c>
      <c r="G23" s="8">
        <f t="shared" si="8"/>
        <v>-3.5547077545686402E-2</v>
      </c>
      <c r="H23" s="8">
        <f t="shared" si="9"/>
        <v>-2.735994304276243E-2</v>
      </c>
      <c r="J23" s="26" t="s">
        <v>39</v>
      </c>
      <c r="K23" s="6">
        <f t="shared" si="11"/>
        <v>4.3173242373606965E-2</v>
      </c>
      <c r="L23" s="6">
        <f t="shared" si="11"/>
        <v>3.0261130875298543E-2</v>
      </c>
      <c r="M23" s="6">
        <f t="shared" si="11"/>
        <v>3.0947333983879263E-2</v>
      </c>
      <c r="N23" s="6">
        <f t="shared" si="11"/>
        <v>4.3446497420520876E-2</v>
      </c>
      <c r="O23" s="6">
        <f t="shared" si="11"/>
        <v>3.7093775688721208E-2</v>
      </c>
      <c r="P23" s="6">
        <f t="shared" si="11"/>
        <v>4.2773868324529125E-2</v>
      </c>
    </row>
    <row r="24" spans="2:16" x14ac:dyDescent="0.3">
      <c r="B24" s="26" t="s">
        <v>38</v>
      </c>
      <c r="C24" s="8">
        <f t="shared" si="4"/>
        <v>-2.6055266319583492E-2</v>
      </c>
      <c r="D24" s="8">
        <f t="shared" si="5"/>
        <v>-2.3865485297685687E-2</v>
      </c>
      <c r="E24" s="8">
        <f t="shared" si="6"/>
        <v>1.478980410295172E-2</v>
      </c>
      <c r="F24" s="8">
        <f t="shared" si="7"/>
        <v>4.7376467997759686E-2</v>
      </c>
      <c r="G24" s="8">
        <f t="shared" si="8"/>
        <v>-1.0265792635372972E-2</v>
      </c>
      <c r="H24" s="8">
        <f t="shared" si="9"/>
        <v>-3.8753679017996201E-2</v>
      </c>
      <c r="J24" s="26" t="s">
        <v>38</v>
      </c>
      <c r="K24" s="6">
        <f t="shared" si="11"/>
        <v>8.9977379752254449E-2</v>
      </c>
      <c r="L24" s="6">
        <f t="shared" si="11"/>
        <v>6.4407800309276259E-2</v>
      </c>
      <c r="M24" s="6">
        <f t="shared" si="11"/>
        <v>6.9241625161461373E-2</v>
      </c>
      <c r="N24" s="6">
        <f t="shared" si="11"/>
        <v>9.2564568256815943E-2</v>
      </c>
      <c r="O24" s="6">
        <f t="shared" si="11"/>
        <v>7.6960057331956253E-2</v>
      </c>
      <c r="P24" s="6">
        <f t="shared" si="11"/>
        <v>8.3036405591471685E-2</v>
      </c>
    </row>
    <row r="25" spans="2:16" x14ac:dyDescent="0.3">
      <c r="B25" s="26" t="s">
        <v>45</v>
      </c>
      <c r="C25" s="8">
        <f t="shared" si="4"/>
        <v>1.3112654725900952E-2</v>
      </c>
      <c r="D25" s="8">
        <f t="shared" si="5"/>
        <v>-4.5155656374023523E-2</v>
      </c>
      <c r="E25" s="8">
        <f t="shared" si="6"/>
        <v>-0.10611998247662453</v>
      </c>
      <c r="F25" s="8">
        <f t="shared" si="7"/>
        <v>-2.1560967872393977E-2</v>
      </c>
      <c r="G25" s="8">
        <f t="shared" si="8"/>
        <v>-8.1214650563131985E-3</v>
      </c>
      <c r="H25" s="8">
        <f t="shared" si="9"/>
        <v>3.7743196597822132E-2</v>
      </c>
      <c r="J25" s="26" t="s">
        <v>45</v>
      </c>
      <c r="K25" s="6">
        <f t="shared" si="11"/>
        <v>0.17715128499026422</v>
      </c>
      <c r="L25" s="6">
        <f t="shared" si="11"/>
        <v>0.13144041462894163</v>
      </c>
      <c r="M25" s="6">
        <f t="shared" si="11"/>
        <v>0.13427177401614337</v>
      </c>
      <c r="N25" s="6">
        <f t="shared" si="11"/>
        <v>0.18761714056868245</v>
      </c>
      <c r="O25" s="6">
        <f t="shared" si="11"/>
        <v>0.15795909477337722</v>
      </c>
      <c r="P25" s="6">
        <f t="shared" si="11"/>
        <v>0.16953686222408695</v>
      </c>
    </row>
    <row r="26" spans="2:16" x14ac:dyDescent="0.3">
      <c r="B26" s="26" t="s">
        <v>35</v>
      </c>
      <c r="C26" s="8">
        <f t="shared" si="4"/>
        <v>-2.9524624952241563E-2</v>
      </c>
      <c r="D26" s="8">
        <f t="shared" si="5"/>
        <v>0.12907089480612743</v>
      </c>
      <c r="E26" s="8">
        <f t="shared" si="6"/>
        <v>0.15153414143921062</v>
      </c>
      <c r="F26" s="8">
        <f t="shared" si="7"/>
        <v>-4.1828989375196135E-2</v>
      </c>
      <c r="G26" s="8">
        <f t="shared" si="8"/>
        <v>3.5448151817268458E-2</v>
      </c>
      <c r="H26" s="8">
        <f t="shared" si="9"/>
        <v>-2.0274488115897826E-2</v>
      </c>
      <c r="J26" s="26" t="s">
        <v>35</v>
      </c>
      <c r="K26" s="6">
        <f t="shared" si="11"/>
        <v>0.69126363130008861</v>
      </c>
      <c r="L26" s="6">
        <f t="shared" si="11"/>
        <v>0.62259606905415432</v>
      </c>
      <c r="M26" s="6">
        <f t="shared" si="11"/>
        <v>0.61287009199772113</v>
      </c>
      <c r="N26" s="6">
        <f t="shared" si="11"/>
        <v>0.69659108765697164</v>
      </c>
      <c r="O26" s="6">
        <f t="shared" si="11"/>
        <v>0.66313217966823335</v>
      </c>
      <c r="P26" s="6">
        <f t="shared" si="11"/>
        <v>0.68725857272112767</v>
      </c>
    </row>
    <row r="27" spans="2:16" x14ac:dyDescent="0.3">
      <c r="J27" s="21" t="s">
        <v>122</v>
      </c>
      <c r="K27" s="20">
        <f>SUM(K16:K26)</f>
        <v>1.0428615303881899</v>
      </c>
      <c r="L27" s="20">
        <f t="shared" ref="L27:P27" si="12">SUM(L16:L26)</f>
        <v>0.87826867666991126</v>
      </c>
      <c r="M27" s="20">
        <f t="shared" si="12"/>
        <v>0.88069288780339228</v>
      </c>
      <c r="N27" s="20">
        <f t="shared" si="12"/>
        <v>1.076829297247718</v>
      </c>
      <c r="O27" s="20">
        <f t="shared" si="12"/>
        <v>0.98115580099628319</v>
      </c>
      <c r="P27" s="20">
        <f t="shared" si="12"/>
        <v>1.0376583116671223</v>
      </c>
    </row>
    <row r="28" spans="2:16" x14ac:dyDescent="0.3">
      <c r="J28" s="24" t="s">
        <v>121</v>
      </c>
      <c r="K28" s="25">
        <f>1-K27</f>
        <v>-4.286153038818985E-2</v>
      </c>
      <c r="L28" s="25">
        <f t="shared" ref="L28:P28" si="13">1-L27</f>
        <v>0.12173132333008874</v>
      </c>
      <c r="M28" s="25">
        <f t="shared" si="13"/>
        <v>0.11930711219660772</v>
      </c>
      <c r="N28" s="25">
        <f t="shared" si="13"/>
        <v>-7.6829297247718031E-2</v>
      </c>
      <c r="O28" s="25">
        <f t="shared" si="13"/>
        <v>1.8844199003716811E-2</v>
      </c>
      <c r="P28" s="25">
        <f t="shared" si="13"/>
        <v>-3.7658311667122302E-2</v>
      </c>
    </row>
  </sheetData>
  <sortState xmlns:xlrd2="http://schemas.microsoft.com/office/spreadsheetml/2017/richdata2" ref="A2:P12">
    <sortCondition ref="B1:B12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BDC3-4301-417E-8345-D50748FE6A75}">
  <dimension ref="A1:P23"/>
  <sheetViews>
    <sheetView workbookViewId="0">
      <selection activeCell="A14" sqref="A14"/>
    </sheetView>
  </sheetViews>
  <sheetFormatPr defaultRowHeight="14.4" x14ac:dyDescent="0.3"/>
  <cols>
    <col min="1" max="4" width="12.6640625" customWidth="1"/>
    <col min="7" max="7" width="10.6640625" customWidth="1"/>
  </cols>
  <sheetData>
    <row r="1" spans="1:16" ht="25.95" customHeight="1" x14ac:dyDescent="0.3">
      <c r="A1" s="1" t="s">
        <v>107</v>
      </c>
      <c r="B1" s="10" t="s">
        <v>106</v>
      </c>
      <c r="C1" s="2" t="s">
        <v>0</v>
      </c>
      <c r="D1" s="2" t="s">
        <v>1</v>
      </c>
      <c r="E1" s="2" t="s">
        <v>2</v>
      </c>
      <c r="F1" s="10" t="s">
        <v>3</v>
      </c>
      <c r="G1" s="2" t="s">
        <v>4</v>
      </c>
      <c r="H1" s="2" t="s">
        <v>5</v>
      </c>
      <c r="I1" s="13" t="s">
        <v>106</v>
      </c>
      <c r="J1" s="17" t="s">
        <v>106</v>
      </c>
      <c r="K1" s="18" t="s">
        <v>0</v>
      </c>
      <c r="L1" s="18" t="s">
        <v>1</v>
      </c>
      <c r="M1" s="18" t="s">
        <v>2</v>
      </c>
      <c r="N1" s="17" t="s">
        <v>3</v>
      </c>
      <c r="O1" s="18" t="s">
        <v>4</v>
      </c>
      <c r="P1" s="18" t="s">
        <v>5</v>
      </c>
    </row>
    <row r="2" spans="1:16" x14ac:dyDescent="0.3">
      <c r="A2" s="26" t="s">
        <v>47</v>
      </c>
      <c r="B2" s="27">
        <v>2.8466856445709638E-2</v>
      </c>
      <c r="C2" s="27">
        <v>9.8360655737704916E-2</v>
      </c>
      <c r="D2" s="27">
        <v>0</v>
      </c>
      <c r="E2" s="27">
        <v>0</v>
      </c>
      <c r="F2" s="27">
        <v>3.0303030303030304E-2</v>
      </c>
      <c r="G2" s="27">
        <v>0</v>
      </c>
      <c r="H2" s="27">
        <v>0</v>
      </c>
      <c r="I2" s="8">
        <v>2.8466856445709638E-2</v>
      </c>
      <c r="J2" s="28">
        <v>2.8466856445709638E-2</v>
      </c>
      <c r="K2" s="28">
        <v>9.8360655737704916E-2</v>
      </c>
      <c r="L2" s="28">
        <v>0</v>
      </c>
      <c r="M2" s="28">
        <v>0</v>
      </c>
      <c r="N2" s="28">
        <v>3.0303030303030304E-2</v>
      </c>
      <c r="O2" s="28">
        <v>0</v>
      </c>
      <c r="P2" s="28">
        <v>0</v>
      </c>
    </row>
    <row r="3" spans="1:16" x14ac:dyDescent="0.3">
      <c r="A3" s="26" t="s">
        <v>53</v>
      </c>
      <c r="B3" s="27">
        <v>3.7627619271847774E-2</v>
      </c>
      <c r="C3" s="27">
        <v>1.6393442622950821E-2</v>
      </c>
      <c r="D3" s="27">
        <v>2.564102564102564E-2</v>
      </c>
      <c r="E3" s="27">
        <v>2.1276595744680851E-2</v>
      </c>
      <c r="F3" s="27">
        <v>4.5454545454545456E-2</v>
      </c>
      <c r="G3" s="27">
        <v>1.0101010101010102E-2</v>
      </c>
      <c r="H3" s="27">
        <v>0</v>
      </c>
      <c r="I3" s="8">
        <v>6.6094475717557416E-2</v>
      </c>
      <c r="J3" s="8">
        <f t="shared" ref="J3:P3" si="0">J2+B3</f>
        <v>6.6094475717557416E-2</v>
      </c>
      <c r="K3" s="8">
        <f t="shared" si="0"/>
        <v>0.11475409836065574</v>
      </c>
      <c r="L3" s="8">
        <f t="shared" si="0"/>
        <v>2.564102564102564E-2</v>
      </c>
      <c r="M3" s="8">
        <f t="shared" si="0"/>
        <v>2.1276595744680851E-2</v>
      </c>
      <c r="N3" s="8">
        <f t="shared" si="0"/>
        <v>7.575757575757576E-2</v>
      </c>
      <c r="O3" s="8">
        <f t="shared" si="0"/>
        <v>1.0101010101010102E-2</v>
      </c>
      <c r="P3" s="8">
        <f t="shared" si="0"/>
        <v>0</v>
      </c>
    </row>
    <row r="4" spans="1:16" x14ac:dyDescent="0.3">
      <c r="A4" s="26" t="s">
        <v>50</v>
      </c>
      <c r="B4" s="27">
        <v>4.7248560604439119E-2</v>
      </c>
      <c r="C4" s="27">
        <v>4.9180327868852458E-2</v>
      </c>
      <c r="D4" s="27">
        <v>5.128205128205128E-2</v>
      </c>
      <c r="E4" s="27">
        <v>2.1276595744680851E-2</v>
      </c>
      <c r="F4" s="27">
        <v>5.3030303030303032E-2</v>
      </c>
      <c r="G4" s="27">
        <v>5.0505050505050504E-2</v>
      </c>
      <c r="H4" s="27">
        <v>6.0606060606060608E-2</v>
      </c>
      <c r="I4" s="8">
        <v>0.11334303632199653</v>
      </c>
      <c r="J4" s="8">
        <f t="shared" ref="J4:J10" si="1">J3+B4</f>
        <v>0.11334303632199653</v>
      </c>
      <c r="K4" s="8">
        <f t="shared" ref="K4:K10" si="2">K3+C4</f>
        <v>0.16393442622950821</v>
      </c>
      <c r="L4" s="8">
        <f t="shared" ref="L4:L10" si="3">L3+D4</f>
        <v>7.6923076923076927E-2</v>
      </c>
      <c r="M4" s="8">
        <f t="shared" ref="M4:M10" si="4">M3+E4</f>
        <v>4.2553191489361701E-2</v>
      </c>
      <c r="N4" s="8">
        <f t="shared" ref="N4:N10" si="5">N3+F4</f>
        <v>0.12878787878787878</v>
      </c>
      <c r="O4" s="8">
        <f t="shared" ref="O4:O10" si="6">O3+G4</f>
        <v>6.0606060606060608E-2</v>
      </c>
      <c r="P4" s="8">
        <f t="shared" ref="P4:P10" si="7">P3+H4</f>
        <v>6.0606060606060608E-2</v>
      </c>
    </row>
    <row r="5" spans="1:16" x14ac:dyDescent="0.3">
      <c r="A5" s="26" t="s">
        <v>48</v>
      </c>
      <c r="B5" s="27">
        <v>4.7473298944799985E-2</v>
      </c>
      <c r="C5" s="27">
        <v>8.1967213114754092E-2</v>
      </c>
      <c r="D5" s="27">
        <v>7.6923076923076927E-2</v>
      </c>
      <c r="E5" s="27">
        <v>0</v>
      </c>
      <c r="F5" s="27">
        <v>7.575757575757576E-3</v>
      </c>
      <c r="G5" s="27">
        <v>4.0404040404040407E-2</v>
      </c>
      <c r="H5" s="27">
        <v>0.13636363636363635</v>
      </c>
      <c r="I5" s="8">
        <v>0.16081633526679651</v>
      </c>
      <c r="J5" s="8">
        <f t="shared" si="1"/>
        <v>0.16081633526679651</v>
      </c>
      <c r="K5" s="8">
        <f t="shared" si="2"/>
        <v>0.24590163934426229</v>
      </c>
      <c r="L5" s="8">
        <f t="shared" si="3"/>
        <v>0.15384615384615385</v>
      </c>
      <c r="M5" s="8">
        <f t="shared" si="4"/>
        <v>4.2553191489361701E-2</v>
      </c>
      <c r="N5" s="8">
        <f t="shared" si="5"/>
        <v>0.13636363636363635</v>
      </c>
      <c r="O5" s="8">
        <f t="shared" si="6"/>
        <v>0.10101010101010102</v>
      </c>
      <c r="P5" s="8">
        <f t="shared" si="7"/>
        <v>0.19696969696969696</v>
      </c>
    </row>
    <row r="6" spans="1:16" x14ac:dyDescent="0.3">
      <c r="A6" s="26" t="s">
        <v>49</v>
      </c>
      <c r="B6" s="27">
        <v>5.4996682434023246E-2</v>
      </c>
      <c r="C6" s="27">
        <v>8.1967213114754092E-2</v>
      </c>
      <c r="D6" s="27">
        <v>5.128205128205128E-2</v>
      </c>
      <c r="E6" s="27">
        <v>2.1276595744680851E-2</v>
      </c>
      <c r="F6" s="27">
        <v>1.5151515151515152E-2</v>
      </c>
      <c r="G6" s="27">
        <v>3.0303030303030304E-2</v>
      </c>
      <c r="H6" s="27">
        <v>6.0606060606060608E-2</v>
      </c>
      <c r="I6" s="8">
        <v>0.21581301770081976</v>
      </c>
      <c r="J6" s="8">
        <f t="shared" si="1"/>
        <v>0.21581301770081976</v>
      </c>
      <c r="K6" s="8">
        <f t="shared" si="2"/>
        <v>0.32786885245901637</v>
      </c>
      <c r="L6" s="8">
        <f t="shared" si="3"/>
        <v>0.20512820512820512</v>
      </c>
      <c r="M6" s="8">
        <f t="shared" si="4"/>
        <v>6.3829787234042548E-2</v>
      </c>
      <c r="N6" s="8">
        <f t="shared" si="5"/>
        <v>0.15151515151515149</v>
      </c>
      <c r="O6" s="8">
        <f t="shared" si="6"/>
        <v>0.13131313131313133</v>
      </c>
      <c r="P6" s="8">
        <f t="shared" si="7"/>
        <v>0.25757575757575757</v>
      </c>
    </row>
    <row r="7" spans="1:16" x14ac:dyDescent="0.3">
      <c r="A7" s="26" t="s">
        <v>54</v>
      </c>
      <c r="B7" s="27">
        <v>0.11193039532544252</v>
      </c>
      <c r="C7" s="27">
        <v>0.16393442622950818</v>
      </c>
      <c r="D7" s="27">
        <v>0.10256410256410256</v>
      </c>
      <c r="E7" s="27">
        <v>0.10638297872340426</v>
      </c>
      <c r="F7" s="27">
        <v>0.14393939393939395</v>
      </c>
      <c r="G7" s="27">
        <v>0.24242424242424243</v>
      </c>
      <c r="H7" s="27">
        <v>0.13636363636363635</v>
      </c>
      <c r="I7" s="8">
        <v>0.32774341302626231</v>
      </c>
      <c r="J7" s="8">
        <f t="shared" si="1"/>
        <v>0.32774341302626231</v>
      </c>
      <c r="K7" s="8">
        <f t="shared" si="2"/>
        <v>0.49180327868852458</v>
      </c>
      <c r="L7" s="8">
        <f t="shared" si="3"/>
        <v>0.30769230769230771</v>
      </c>
      <c r="M7" s="8">
        <f t="shared" si="4"/>
        <v>0.1702127659574468</v>
      </c>
      <c r="N7" s="8">
        <f t="shared" si="5"/>
        <v>0.29545454545454541</v>
      </c>
      <c r="O7" s="8">
        <f t="shared" si="6"/>
        <v>0.37373737373737376</v>
      </c>
      <c r="P7" s="8">
        <f t="shared" si="7"/>
        <v>0.39393939393939392</v>
      </c>
    </row>
    <row r="8" spans="1:16" x14ac:dyDescent="0.3">
      <c r="A8" s="26" t="s">
        <v>51</v>
      </c>
      <c r="B8" s="27">
        <v>0.13521756811712077</v>
      </c>
      <c r="C8" s="27">
        <v>3.2786885245901641E-2</v>
      </c>
      <c r="D8" s="27">
        <v>5.128205128205128E-2</v>
      </c>
      <c r="E8" s="27">
        <v>0.10638297872340426</v>
      </c>
      <c r="F8" s="27">
        <v>0.10606060606060606</v>
      </c>
      <c r="G8" s="27">
        <v>4.0404040404040407E-2</v>
      </c>
      <c r="H8" s="27">
        <v>6.0606060606060608E-2</v>
      </c>
      <c r="I8" s="8">
        <v>0.46296098114338308</v>
      </c>
      <c r="J8" s="8">
        <f t="shared" si="1"/>
        <v>0.46296098114338308</v>
      </c>
      <c r="K8" s="8">
        <f t="shared" si="2"/>
        <v>0.52459016393442626</v>
      </c>
      <c r="L8" s="8">
        <f t="shared" si="3"/>
        <v>0.35897435897435898</v>
      </c>
      <c r="M8" s="8">
        <f t="shared" si="4"/>
        <v>0.27659574468085107</v>
      </c>
      <c r="N8" s="8">
        <f t="shared" si="5"/>
        <v>0.40151515151515149</v>
      </c>
      <c r="O8" s="8">
        <f t="shared" si="6"/>
        <v>0.41414141414141414</v>
      </c>
      <c r="P8" s="8">
        <f t="shared" si="7"/>
        <v>0.45454545454545453</v>
      </c>
    </row>
    <row r="9" spans="1:16" x14ac:dyDescent="0.3">
      <c r="A9" s="26" t="s">
        <v>52</v>
      </c>
      <c r="B9" s="27">
        <v>0.16442285053830183</v>
      </c>
      <c r="C9" s="27">
        <v>0.11475409836065574</v>
      </c>
      <c r="D9" s="27">
        <v>0.15384615384615385</v>
      </c>
      <c r="E9" s="27">
        <v>0.38297872340425532</v>
      </c>
      <c r="F9" s="27">
        <v>0.11363636363636363</v>
      </c>
      <c r="G9" s="27">
        <v>0.14141414141414141</v>
      </c>
      <c r="H9" s="27">
        <v>0.13636363636363635</v>
      </c>
      <c r="I9" s="8">
        <v>0.62738383168168488</v>
      </c>
      <c r="J9" s="8">
        <f t="shared" si="1"/>
        <v>0.62738383168168488</v>
      </c>
      <c r="K9" s="8">
        <f t="shared" si="2"/>
        <v>0.63934426229508201</v>
      </c>
      <c r="L9" s="8">
        <f t="shared" si="3"/>
        <v>0.51282051282051277</v>
      </c>
      <c r="M9" s="8">
        <f t="shared" si="4"/>
        <v>0.65957446808510634</v>
      </c>
      <c r="N9" s="8">
        <f t="shared" si="5"/>
        <v>0.51515151515151514</v>
      </c>
      <c r="O9" s="8">
        <f t="shared" si="6"/>
        <v>0.55555555555555558</v>
      </c>
      <c r="P9" s="8">
        <f t="shared" si="7"/>
        <v>0.59090909090909083</v>
      </c>
    </row>
    <row r="10" spans="1:16" x14ac:dyDescent="0.3">
      <c r="A10" s="26" t="s">
        <v>46</v>
      </c>
      <c r="B10" s="27">
        <v>0.37261616831831512</v>
      </c>
      <c r="C10" s="27">
        <v>0.36065573770491804</v>
      </c>
      <c r="D10" s="27">
        <v>0.48717948717948717</v>
      </c>
      <c r="E10" s="27">
        <v>0.34042553191489361</v>
      </c>
      <c r="F10" s="27">
        <v>0.48484848484848486</v>
      </c>
      <c r="G10" s="27">
        <v>0.44444444444444442</v>
      </c>
      <c r="H10" s="27">
        <v>0.40909090909090912</v>
      </c>
      <c r="I10" s="8">
        <v>1</v>
      </c>
      <c r="J10" s="8">
        <f t="shared" si="1"/>
        <v>1</v>
      </c>
      <c r="K10" s="8">
        <f t="shared" si="2"/>
        <v>1</v>
      </c>
      <c r="L10" s="8">
        <f t="shared" si="3"/>
        <v>1</v>
      </c>
      <c r="M10" s="8">
        <f t="shared" si="4"/>
        <v>1</v>
      </c>
      <c r="N10" s="8">
        <f t="shared" si="5"/>
        <v>1</v>
      </c>
      <c r="O10" s="8">
        <f t="shared" si="6"/>
        <v>1</v>
      </c>
      <c r="P10" s="8">
        <f t="shared" si="7"/>
        <v>1</v>
      </c>
    </row>
    <row r="12" spans="1:16" ht="18.600000000000001" customHeight="1" x14ac:dyDescent="0.3">
      <c r="B12" s="1" t="s">
        <v>107</v>
      </c>
      <c r="C12" s="2" t="s">
        <v>109</v>
      </c>
      <c r="D12" s="2" t="s">
        <v>110</v>
      </c>
      <c r="E12" s="2" t="s">
        <v>111</v>
      </c>
      <c r="F12" s="2" t="s">
        <v>112</v>
      </c>
      <c r="G12" s="2" t="s">
        <v>113</v>
      </c>
      <c r="H12" s="2" t="s">
        <v>114</v>
      </c>
      <c r="J12" s="6"/>
      <c r="K12" s="20" t="s">
        <v>115</v>
      </c>
      <c r="L12" s="20" t="s">
        <v>116</v>
      </c>
      <c r="M12" s="20" t="s">
        <v>117</v>
      </c>
      <c r="N12" s="20" t="s">
        <v>118</v>
      </c>
      <c r="O12" s="20" t="s">
        <v>119</v>
      </c>
      <c r="P12" s="20" t="s">
        <v>120</v>
      </c>
    </row>
    <row r="13" spans="1:16" x14ac:dyDescent="0.3">
      <c r="B13" s="26" t="s">
        <v>47</v>
      </c>
      <c r="C13" s="8">
        <f>C2-B2</f>
        <v>6.9893799291995282E-2</v>
      </c>
      <c r="D13" s="8">
        <f>D2-B2</f>
        <v>-2.8466856445709638E-2</v>
      </c>
      <c r="E13" s="8">
        <f>E2-B2</f>
        <v>-2.8466856445709638E-2</v>
      </c>
      <c r="F13" s="8">
        <f>F2-B2</f>
        <v>1.8361738573206658E-3</v>
      </c>
      <c r="G13" s="8">
        <f>G2-B2</f>
        <v>-2.8466856445709638E-2</v>
      </c>
      <c r="H13" s="8">
        <f>H2-B2</f>
        <v>-2.8466856445709638E-2</v>
      </c>
      <c r="J13" s="26" t="s">
        <v>47</v>
      </c>
      <c r="K13" s="6">
        <f>($J2-0) * ((K2+0))</f>
        <v>2.8000186667911119E-3</v>
      </c>
      <c r="L13" s="6">
        <f t="shared" ref="L13:P13" si="8">($J2-0) * ((L2+0))</f>
        <v>0</v>
      </c>
      <c r="M13" s="6">
        <f t="shared" si="8"/>
        <v>0</v>
      </c>
      <c r="N13" s="6">
        <f t="shared" si="8"/>
        <v>8.6263201350635272E-4</v>
      </c>
      <c r="O13" s="6">
        <f t="shared" si="8"/>
        <v>0</v>
      </c>
      <c r="P13" s="6">
        <f t="shared" si="8"/>
        <v>0</v>
      </c>
    </row>
    <row r="14" spans="1:16" x14ac:dyDescent="0.3">
      <c r="B14" s="26" t="s">
        <v>53</v>
      </c>
      <c r="C14" s="8">
        <f t="shared" ref="C14:C21" si="9">C3-B3</f>
        <v>-2.1234176648896954E-2</v>
      </c>
      <c r="D14" s="8">
        <f t="shared" ref="D14:D21" si="10">D3-B3</f>
        <v>-1.1986593630822134E-2</v>
      </c>
      <c r="E14" s="8">
        <f t="shared" ref="E14:E21" si="11">E3-B3</f>
        <v>-1.6351023527166924E-2</v>
      </c>
      <c r="F14" s="8">
        <f t="shared" ref="F14:F21" si="12">F3-B3</f>
        <v>7.8269261826976813E-3</v>
      </c>
      <c r="G14" s="8">
        <f t="shared" ref="G14:G21" si="13">G3-B3</f>
        <v>-2.7526609170837671E-2</v>
      </c>
      <c r="H14" s="8">
        <f t="shared" ref="H14:H21" si="14">H3-B3</f>
        <v>-3.7627619271847774E-2</v>
      </c>
      <c r="J14" s="26" t="s">
        <v>53</v>
      </c>
      <c r="K14" s="6">
        <f>($J3-$J2) * ((K3+K2))</f>
        <v>8.0190008284265774E-3</v>
      </c>
      <c r="L14" s="6">
        <f t="shared" ref="L14:P14" si="15">($J3-$J2) * ((L3+L2))</f>
        <v>9.6481075056019947E-4</v>
      </c>
      <c r="M14" s="6">
        <f t="shared" si="15"/>
        <v>8.0058764408186766E-4</v>
      </c>
      <c r="N14" s="6">
        <f t="shared" si="15"/>
        <v>3.9908081045899159E-3</v>
      </c>
      <c r="O14" s="6">
        <f t="shared" si="15"/>
        <v>3.8007696234189679E-4</v>
      </c>
      <c r="P14" s="6">
        <f t="shared" si="15"/>
        <v>0</v>
      </c>
    </row>
    <row r="15" spans="1:16" x14ac:dyDescent="0.3">
      <c r="B15" s="26" t="s">
        <v>50</v>
      </c>
      <c r="C15" s="8">
        <f t="shared" si="9"/>
        <v>1.9317672644133393E-3</v>
      </c>
      <c r="D15" s="8">
        <f t="shared" si="10"/>
        <v>4.0334906776121615E-3</v>
      </c>
      <c r="E15" s="8">
        <f t="shared" si="11"/>
        <v>-2.5971964859758268E-2</v>
      </c>
      <c r="F15" s="8">
        <f t="shared" si="12"/>
        <v>5.781742425863913E-3</v>
      </c>
      <c r="G15" s="8">
        <f t="shared" si="13"/>
        <v>3.2564899006113854E-3</v>
      </c>
      <c r="H15" s="8">
        <f t="shared" si="14"/>
        <v>1.3357500001621489E-2</v>
      </c>
      <c r="J15" s="26" t="s">
        <v>50</v>
      </c>
      <c r="K15" s="6">
        <f t="shared" ref="K15:P21" si="16">($J4-$J3) * ((K4+K3))</f>
        <v>1.3167631643860084E-2</v>
      </c>
      <c r="L15" s="6">
        <f t="shared" si="16"/>
        <v>4.8460062158399092E-3</v>
      </c>
      <c r="M15" s="6">
        <f t="shared" si="16"/>
        <v>3.0158655704961138E-3</v>
      </c>
      <c r="N15" s="6">
        <f t="shared" si="16"/>
        <v>9.6644783054534548E-3</v>
      </c>
      <c r="O15" s="6">
        <f t="shared" si="16"/>
        <v>3.340807315465392E-3</v>
      </c>
      <c r="P15" s="6">
        <f t="shared" si="16"/>
        <v>2.8635491275417649E-3</v>
      </c>
    </row>
    <row r="16" spans="1:16" x14ac:dyDescent="0.3">
      <c r="B16" s="26" t="s">
        <v>48</v>
      </c>
      <c r="C16" s="8">
        <f t="shared" si="9"/>
        <v>3.4493914169954107E-2</v>
      </c>
      <c r="D16" s="8">
        <f t="shared" si="10"/>
        <v>2.9449777978276942E-2</v>
      </c>
      <c r="E16" s="8">
        <f t="shared" si="11"/>
        <v>-4.7473298944799985E-2</v>
      </c>
      <c r="F16" s="8">
        <f t="shared" si="12"/>
        <v>-3.9897541369042409E-2</v>
      </c>
      <c r="G16" s="8">
        <f t="shared" si="13"/>
        <v>-7.0692585407595779E-3</v>
      </c>
      <c r="H16" s="8">
        <f t="shared" si="14"/>
        <v>8.8890337418836368E-2</v>
      </c>
      <c r="J16" s="26" t="s">
        <v>48</v>
      </c>
      <c r="K16" s="6">
        <f t="shared" si="16"/>
        <v>1.9456270059344249E-2</v>
      </c>
      <c r="L16" s="6">
        <f t="shared" si="16"/>
        <v>1.0955376679569225E-2</v>
      </c>
      <c r="M16" s="6">
        <f t="shared" si="16"/>
        <v>4.0402807612595721E-3</v>
      </c>
      <c r="N16" s="6">
        <f t="shared" si="16"/>
        <v>1.2587617144454537E-2</v>
      </c>
      <c r="O16" s="6">
        <f t="shared" si="16"/>
        <v>7.6724523547151476E-3</v>
      </c>
      <c r="P16" s="6">
        <f t="shared" si="16"/>
        <v>1.2227970940327265E-2</v>
      </c>
    </row>
    <row r="17" spans="2:16" x14ac:dyDescent="0.3">
      <c r="B17" s="26" t="s">
        <v>49</v>
      </c>
      <c r="C17" s="8">
        <f t="shared" si="9"/>
        <v>2.6970530680730846E-2</v>
      </c>
      <c r="D17" s="8">
        <f t="shared" si="10"/>
        <v>-3.7146311519719658E-3</v>
      </c>
      <c r="E17" s="8">
        <f t="shared" si="11"/>
        <v>-3.3720086689342399E-2</v>
      </c>
      <c r="F17" s="8">
        <f t="shared" si="12"/>
        <v>-3.9845167282508094E-2</v>
      </c>
      <c r="G17" s="8">
        <f t="shared" si="13"/>
        <v>-2.4693652130992942E-2</v>
      </c>
      <c r="H17" s="8">
        <f t="shared" si="14"/>
        <v>5.6093781720373617E-3</v>
      </c>
      <c r="J17" s="26" t="s">
        <v>49</v>
      </c>
      <c r="K17" s="6">
        <f t="shared" si="16"/>
        <v>3.1555473527718259E-2</v>
      </c>
      <c r="L17" s="6">
        <f t="shared" si="16"/>
        <v>1.9742398822469885E-2</v>
      </c>
      <c r="M17" s="6">
        <f t="shared" si="16"/>
        <v>5.8507108972365154E-3</v>
      </c>
      <c r="N17" s="6">
        <f t="shared" si="16"/>
        <v>1.5832378276461237E-2</v>
      </c>
      <c r="O17" s="6">
        <f t="shared" si="16"/>
        <v>1.2777007030126616E-2</v>
      </c>
      <c r="P17" s="6">
        <f t="shared" si="16"/>
        <v>2.4998492015465112E-2</v>
      </c>
    </row>
    <row r="18" spans="2:16" x14ac:dyDescent="0.3">
      <c r="B18" s="26" t="s">
        <v>54</v>
      </c>
      <c r="C18" s="8">
        <f t="shared" si="9"/>
        <v>5.2004030904065662E-2</v>
      </c>
      <c r="D18" s="8">
        <f t="shared" si="10"/>
        <v>-9.3662927613399616E-3</v>
      </c>
      <c r="E18" s="8">
        <f t="shared" si="11"/>
        <v>-5.5474166020382659E-3</v>
      </c>
      <c r="F18" s="8">
        <f t="shared" si="12"/>
        <v>3.2008998613951428E-2</v>
      </c>
      <c r="G18" s="8">
        <f t="shared" si="13"/>
        <v>0.13049384709879991</v>
      </c>
      <c r="H18" s="8">
        <f t="shared" si="14"/>
        <v>2.4433241038193831E-2</v>
      </c>
      <c r="J18" s="26" t="s">
        <v>54</v>
      </c>
      <c r="K18" s="6">
        <f t="shared" si="16"/>
        <v>9.1746225676592255E-2</v>
      </c>
      <c r="L18" s="6">
        <f t="shared" si="16"/>
        <v>5.7400202730996178E-2</v>
      </c>
      <c r="M18" s="6">
        <f t="shared" si="16"/>
        <v>2.6196475501699321E-2</v>
      </c>
      <c r="N18" s="6">
        <f t="shared" si="16"/>
        <v>5.0029494880311436E-2</v>
      </c>
      <c r="O18" s="6">
        <f t="shared" si="16"/>
        <v>5.653050268961745E-2</v>
      </c>
      <c r="P18" s="6">
        <f t="shared" si="16"/>
        <v>7.2924348469606506E-2</v>
      </c>
    </row>
    <row r="19" spans="2:16" x14ac:dyDescent="0.3">
      <c r="B19" s="26" t="s">
        <v>51</v>
      </c>
      <c r="C19" s="8">
        <f t="shared" si="9"/>
        <v>-0.10243068287121912</v>
      </c>
      <c r="D19" s="8">
        <f t="shared" si="10"/>
        <v>-8.3935516835069487E-2</v>
      </c>
      <c r="E19" s="8">
        <f t="shared" si="11"/>
        <v>-2.8834589393716512E-2</v>
      </c>
      <c r="F19" s="8">
        <f t="shared" si="12"/>
        <v>-2.9156962056514704E-2</v>
      </c>
      <c r="G19" s="8">
        <f t="shared" si="13"/>
        <v>-9.4813527713080353E-2</v>
      </c>
      <c r="H19" s="8">
        <f t="shared" si="14"/>
        <v>-7.461150751106016E-2</v>
      </c>
      <c r="J19" s="26" t="s">
        <v>51</v>
      </c>
      <c r="K19" s="6">
        <f t="shared" si="16"/>
        <v>0.13743424956166372</v>
      </c>
      <c r="L19" s="6">
        <f t="shared" si="16"/>
        <v>9.0145045411413854E-2</v>
      </c>
      <c r="M19" s="6">
        <f t="shared" si="16"/>
        <v>6.0416360222543319E-2</v>
      </c>
      <c r="N19" s="6">
        <f t="shared" si="16"/>
        <v>9.4242547475569011E-2</v>
      </c>
      <c r="O19" s="6">
        <f t="shared" si="16"/>
        <v>0.10653505366803454</v>
      </c>
      <c r="P19" s="6">
        <f t="shared" si="16"/>
        <v>0.11473005779634488</v>
      </c>
    </row>
    <row r="20" spans="2:16" x14ac:dyDescent="0.3">
      <c r="B20" s="26" t="s">
        <v>52</v>
      </c>
      <c r="C20" s="8">
        <f t="shared" si="9"/>
        <v>-4.9668752177646089E-2</v>
      </c>
      <c r="D20" s="8">
        <f t="shared" si="10"/>
        <v>-1.0576696692147974E-2</v>
      </c>
      <c r="E20" s="8">
        <f t="shared" si="11"/>
        <v>0.21855587286595349</v>
      </c>
      <c r="F20" s="8">
        <f t="shared" si="12"/>
        <v>-5.0786486901938196E-2</v>
      </c>
      <c r="G20" s="8">
        <f t="shared" si="13"/>
        <v>-2.300870912416042E-2</v>
      </c>
      <c r="H20" s="8">
        <f t="shared" si="14"/>
        <v>-2.8059214174665476E-2</v>
      </c>
      <c r="J20" s="26" t="s">
        <v>52</v>
      </c>
      <c r="K20" s="6">
        <f t="shared" si="16"/>
        <v>0.19137741620031851</v>
      </c>
      <c r="L20" s="6">
        <f t="shared" si="16"/>
        <v>0.14334299790518618</v>
      </c>
      <c r="M20" s="6">
        <f t="shared" si="16"/>
        <v>0.15392777497202723</v>
      </c>
      <c r="N20" s="6">
        <f t="shared" si="16"/>
        <v>0.15072094632677666</v>
      </c>
      <c r="O20" s="6">
        <f t="shared" si="16"/>
        <v>0.15944033991592901</v>
      </c>
      <c r="P20" s="6">
        <f t="shared" si="16"/>
        <v>0.17189661647186097</v>
      </c>
    </row>
    <row r="21" spans="2:16" x14ac:dyDescent="0.3">
      <c r="B21" s="26" t="s">
        <v>46</v>
      </c>
      <c r="C21" s="8">
        <f t="shared" si="9"/>
        <v>-1.1960430613397077E-2</v>
      </c>
      <c r="D21" s="8">
        <f t="shared" si="10"/>
        <v>0.11456331886117205</v>
      </c>
      <c r="E21" s="8">
        <f t="shared" si="11"/>
        <v>-3.2190636403421513E-2</v>
      </c>
      <c r="F21" s="8">
        <f t="shared" si="12"/>
        <v>0.11223231653016974</v>
      </c>
      <c r="G21" s="8">
        <f t="shared" si="13"/>
        <v>7.1828276126129298E-2</v>
      </c>
      <c r="H21" s="8">
        <f t="shared" si="14"/>
        <v>3.6474740772593994E-2</v>
      </c>
      <c r="J21" s="26" t="s">
        <v>46</v>
      </c>
      <c r="K21" s="6">
        <f t="shared" si="16"/>
        <v>0.61084617757100845</v>
      </c>
      <c r="L21" s="6">
        <f t="shared" si="16"/>
        <v>0.56370138284052795</v>
      </c>
      <c r="M21" s="6">
        <f t="shared" si="16"/>
        <v>0.61838427933677831</v>
      </c>
      <c r="N21" s="6">
        <f t="shared" si="16"/>
        <v>0.56456995199744719</v>
      </c>
      <c r="O21" s="6">
        <f t="shared" si="16"/>
        <v>0.57962515071737908</v>
      </c>
      <c r="P21" s="6">
        <f t="shared" si="16"/>
        <v>0.59279844959731953</v>
      </c>
    </row>
    <row r="22" spans="2:16" x14ac:dyDescent="0.3">
      <c r="J22" s="21" t="s">
        <v>122</v>
      </c>
      <c r="K22" s="20">
        <f>SUM(K13:K21)</f>
        <v>1.1064024637357233</v>
      </c>
      <c r="L22" s="20">
        <f t="shared" ref="L22:P22" si="17">SUM(L13:L21)</f>
        <v>0.89109822135656336</v>
      </c>
      <c r="M22" s="20">
        <f t="shared" si="17"/>
        <v>0.87263233490612224</v>
      </c>
      <c r="N22" s="20">
        <f t="shared" si="17"/>
        <v>0.90250085452456985</v>
      </c>
      <c r="O22" s="20">
        <f t="shared" si="17"/>
        <v>0.92630139065360917</v>
      </c>
      <c r="P22" s="20">
        <f t="shared" si="17"/>
        <v>0.99243948441846608</v>
      </c>
    </row>
    <row r="23" spans="2:16" x14ac:dyDescent="0.3">
      <c r="J23" s="24" t="s">
        <v>121</v>
      </c>
      <c r="K23" s="25">
        <f>1-K22</f>
        <v>-0.10640246373572326</v>
      </c>
      <c r="L23" s="25">
        <f t="shared" ref="L23:P23" si="18">1-L22</f>
        <v>0.10890177864343664</v>
      </c>
      <c r="M23" s="25">
        <f t="shared" si="18"/>
        <v>0.12736766509387776</v>
      </c>
      <c r="N23" s="25">
        <f t="shared" si="18"/>
        <v>9.7499145475430149E-2</v>
      </c>
      <c r="O23" s="25">
        <f t="shared" si="18"/>
        <v>7.3698609346390831E-2</v>
      </c>
      <c r="P23" s="25">
        <f t="shared" si="18"/>
        <v>7.560515581533922E-3</v>
      </c>
    </row>
  </sheetData>
  <sortState xmlns:xlrd2="http://schemas.microsoft.com/office/spreadsheetml/2017/richdata2" ref="A2:P11">
    <sortCondition ref="B1:B11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5A1A-5615-45EE-8DF2-280FEF8596B9}">
  <dimension ref="A1:P31"/>
  <sheetViews>
    <sheetView zoomScale="98" zoomScaleNormal="100" workbookViewId="0">
      <selection activeCell="J2" sqref="J2:P2"/>
    </sheetView>
  </sheetViews>
  <sheetFormatPr defaultRowHeight="14.4" x14ac:dyDescent="0.3"/>
  <cols>
    <col min="1" max="1" width="17.6640625" customWidth="1"/>
    <col min="2" max="4" width="9.88671875" customWidth="1"/>
    <col min="5" max="10" width="9" bestFit="1" customWidth="1"/>
    <col min="11" max="12" width="12.33203125" bestFit="1" customWidth="1"/>
    <col min="13" max="16" width="9" bestFit="1" customWidth="1"/>
  </cols>
  <sheetData>
    <row r="1" spans="1:16" ht="25.95" customHeight="1" x14ac:dyDescent="0.3">
      <c r="A1" s="1" t="s">
        <v>107</v>
      </c>
      <c r="B1" s="10" t="s">
        <v>106</v>
      </c>
      <c r="C1" s="2" t="s">
        <v>0</v>
      </c>
      <c r="D1" s="2" t="s">
        <v>1</v>
      </c>
      <c r="E1" s="2" t="s">
        <v>2</v>
      </c>
      <c r="F1" s="10" t="s">
        <v>3</v>
      </c>
      <c r="G1" s="2" t="s">
        <v>4</v>
      </c>
      <c r="H1" s="2" t="s">
        <v>5</v>
      </c>
      <c r="I1" s="13" t="s">
        <v>106</v>
      </c>
      <c r="J1" s="17" t="s">
        <v>106</v>
      </c>
      <c r="K1" s="18" t="s">
        <v>0</v>
      </c>
      <c r="L1" s="18" t="s">
        <v>1</v>
      </c>
      <c r="M1" s="18" t="s">
        <v>2</v>
      </c>
      <c r="N1" s="17" t="s">
        <v>3</v>
      </c>
      <c r="O1" s="18" t="s">
        <v>4</v>
      </c>
      <c r="P1" s="18" t="s">
        <v>5</v>
      </c>
    </row>
    <row r="2" spans="1:16" x14ac:dyDescent="0.3">
      <c r="A2" s="3" t="s">
        <v>67</v>
      </c>
      <c r="B2" s="27">
        <v>6.1573840699558815E-3</v>
      </c>
      <c r="C2" s="27">
        <v>7.6335877862595417E-3</v>
      </c>
      <c r="D2" s="27">
        <v>8.4033613445378148E-3</v>
      </c>
      <c r="E2" s="27">
        <v>8.1967213114754103E-3</v>
      </c>
      <c r="F2" s="27">
        <v>5.4054054054054057E-3</v>
      </c>
      <c r="G2" s="27">
        <v>0</v>
      </c>
      <c r="H2" s="27">
        <v>0</v>
      </c>
      <c r="I2" s="8">
        <v>6.1573840699558815E-3</v>
      </c>
      <c r="J2" s="28">
        <v>6.1573840699558815E-3</v>
      </c>
      <c r="K2" s="28">
        <v>7.6335877862595417E-3</v>
      </c>
      <c r="L2" s="28">
        <v>8.4033613445378148E-3</v>
      </c>
      <c r="M2" s="28">
        <v>8.1967213114754103E-3</v>
      </c>
      <c r="N2" s="28">
        <v>5.4054054054054057E-3</v>
      </c>
      <c r="O2" s="28">
        <v>0</v>
      </c>
      <c r="P2" s="28">
        <v>0</v>
      </c>
    </row>
    <row r="3" spans="1:16" x14ac:dyDescent="0.3">
      <c r="A3" s="3" t="s">
        <v>62</v>
      </c>
      <c r="B3" s="27">
        <v>6.7447935110003876E-3</v>
      </c>
      <c r="C3" s="27">
        <v>1.7811704834605598E-2</v>
      </c>
      <c r="D3" s="27">
        <v>0</v>
      </c>
      <c r="E3" s="27">
        <v>0</v>
      </c>
      <c r="F3" s="27">
        <v>0</v>
      </c>
      <c r="G3" s="27">
        <v>4.0000000000000001E-3</v>
      </c>
      <c r="H3" s="27">
        <v>0</v>
      </c>
      <c r="I3" s="8">
        <v>1.290217758095627E-2</v>
      </c>
      <c r="J3" s="8">
        <f>J2+B3</f>
        <v>1.290217758095627E-2</v>
      </c>
      <c r="K3" s="8">
        <f t="shared" ref="K3:P3" si="0">K2+C3</f>
        <v>2.5445292620865138E-2</v>
      </c>
      <c r="L3" s="8">
        <f t="shared" si="0"/>
        <v>8.4033613445378148E-3</v>
      </c>
      <c r="M3" s="8">
        <f t="shared" si="0"/>
        <v>8.1967213114754103E-3</v>
      </c>
      <c r="N3" s="8">
        <f t="shared" si="0"/>
        <v>5.4054054054054057E-3</v>
      </c>
      <c r="O3" s="8">
        <f t="shared" si="0"/>
        <v>4.0000000000000001E-3</v>
      </c>
      <c r="P3" s="8">
        <f t="shared" si="0"/>
        <v>0</v>
      </c>
    </row>
    <row r="4" spans="1:16" x14ac:dyDescent="0.3">
      <c r="A4" s="3" t="s">
        <v>65</v>
      </c>
      <c r="B4" s="27">
        <v>7.3155388544266092E-3</v>
      </c>
      <c r="C4" s="27">
        <v>3.0534351145038167E-2</v>
      </c>
      <c r="D4" s="27">
        <v>8.4033613445378148E-3</v>
      </c>
      <c r="E4" s="27">
        <v>0</v>
      </c>
      <c r="F4" s="27">
        <v>5.4054054054054057E-3</v>
      </c>
      <c r="G4" s="27">
        <v>1.6E-2</v>
      </c>
      <c r="H4" s="27">
        <v>1.7857142857142856E-2</v>
      </c>
      <c r="I4" s="8">
        <v>2.0217716435382879E-2</v>
      </c>
      <c r="J4" s="8">
        <f t="shared" ref="J4:J14" si="1">J3+B4</f>
        <v>2.0217716435382879E-2</v>
      </c>
      <c r="K4" s="8">
        <f t="shared" ref="K4:K14" si="2">K3+C4</f>
        <v>5.5979643765903309E-2</v>
      </c>
      <c r="L4" s="8">
        <f t="shared" ref="L4:L14" si="3">L3+D4</f>
        <v>1.680672268907563E-2</v>
      </c>
      <c r="M4" s="8">
        <f t="shared" ref="M4:M14" si="4">M3+E4</f>
        <v>8.1967213114754103E-3</v>
      </c>
      <c r="N4" s="8">
        <f t="shared" ref="N4:N14" si="5">N3+F4</f>
        <v>1.0810810810810811E-2</v>
      </c>
      <c r="O4" s="8">
        <f t="shared" ref="O4:O14" si="6">O3+G4</f>
        <v>0.02</v>
      </c>
      <c r="P4" s="8">
        <f t="shared" ref="P4:P14" si="7">P3+H4</f>
        <v>1.7857142857142856E-2</v>
      </c>
    </row>
    <row r="5" spans="1:16" x14ac:dyDescent="0.3">
      <c r="A5" s="3" t="s">
        <v>60</v>
      </c>
      <c r="B5" s="27">
        <v>8.4653615900881947E-3</v>
      </c>
      <c r="C5" s="27">
        <v>7.6335877862595417E-3</v>
      </c>
      <c r="D5" s="27">
        <v>0</v>
      </c>
      <c r="E5" s="27">
        <v>8.1967213114754103E-3</v>
      </c>
      <c r="F5" s="27">
        <v>0</v>
      </c>
      <c r="G5" s="27">
        <v>0</v>
      </c>
      <c r="H5" s="27">
        <v>0</v>
      </c>
      <c r="I5" s="8">
        <v>2.8683078025471074E-2</v>
      </c>
      <c r="J5" s="8">
        <f t="shared" si="1"/>
        <v>2.8683078025471074E-2</v>
      </c>
      <c r="K5" s="8">
        <f t="shared" si="2"/>
        <v>6.3613231552162849E-2</v>
      </c>
      <c r="L5" s="8">
        <f t="shared" si="3"/>
        <v>1.680672268907563E-2</v>
      </c>
      <c r="M5" s="8">
        <f t="shared" si="4"/>
        <v>1.6393442622950821E-2</v>
      </c>
      <c r="N5" s="8">
        <f t="shared" si="5"/>
        <v>1.0810810810810811E-2</v>
      </c>
      <c r="O5" s="8">
        <f t="shared" si="6"/>
        <v>0.02</v>
      </c>
      <c r="P5" s="8">
        <f t="shared" si="7"/>
        <v>1.7857142857142856E-2</v>
      </c>
    </row>
    <row r="6" spans="1:16" x14ac:dyDescent="0.3">
      <c r="A6" s="3" t="s">
        <v>61</v>
      </c>
      <c r="B6" s="27">
        <v>1.3022992288688827E-2</v>
      </c>
      <c r="C6" s="27">
        <v>2.0356234096692113E-2</v>
      </c>
      <c r="D6" s="27">
        <v>0</v>
      </c>
      <c r="E6" s="27">
        <v>0</v>
      </c>
      <c r="F6" s="27">
        <v>2.7027027027027029E-3</v>
      </c>
      <c r="G6" s="27">
        <v>2.8000000000000001E-2</v>
      </c>
      <c r="H6" s="27">
        <v>1.7857142857142856E-2</v>
      </c>
      <c r="I6" s="8">
        <v>4.1706070314159904E-2</v>
      </c>
      <c r="J6" s="8">
        <f t="shared" si="1"/>
        <v>4.1706070314159904E-2</v>
      </c>
      <c r="K6" s="8">
        <f t="shared" si="2"/>
        <v>8.3969465648854963E-2</v>
      </c>
      <c r="L6" s="8">
        <f t="shared" si="3"/>
        <v>1.680672268907563E-2</v>
      </c>
      <c r="M6" s="8">
        <f t="shared" si="4"/>
        <v>1.6393442622950821E-2</v>
      </c>
      <c r="N6" s="8">
        <f t="shared" si="5"/>
        <v>1.3513513513513514E-2</v>
      </c>
      <c r="O6" s="8">
        <f t="shared" si="6"/>
        <v>4.8000000000000001E-2</v>
      </c>
      <c r="P6" s="8">
        <f t="shared" si="7"/>
        <v>3.5714285714285712E-2</v>
      </c>
    </row>
    <row r="7" spans="1:16" x14ac:dyDescent="0.3">
      <c r="A7" s="3" t="s">
        <v>58</v>
      </c>
      <c r="B7" s="27">
        <v>2.2767323370980308E-2</v>
      </c>
      <c r="C7" s="27">
        <v>1.0178117048346057E-2</v>
      </c>
      <c r="D7" s="27">
        <v>8.4033613445378148E-3</v>
      </c>
      <c r="E7" s="27">
        <v>0</v>
      </c>
      <c r="F7" s="27">
        <v>8.1081081081081086E-3</v>
      </c>
      <c r="G7" s="27">
        <v>0</v>
      </c>
      <c r="H7" s="27">
        <v>8.9285714285714281E-3</v>
      </c>
      <c r="I7" s="8">
        <v>6.4473393685140212E-2</v>
      </c>
      <c r="J7" s="8">
        <f t="shared" si="1"/>
        <v>6.4473393685140212E-2</v>
      </c>
      <c r="K7" s="8">
        <f t="shared" si="2"/>
        <v>9.4147582697201027E-2</v>
      </c>
      <c r="L7" s="8">
        <f t="shared" si="3"/>
        <v>2.5210084033613446E-2</v>
      </c>
      <c r="M7" s="8">
        <f t="shared" si="4"/>
        <v>1.6393442622950821E-2</v>
      </c>
      <c r="N7" s="8">
        <f t="shared" si="5"/>
        <v>2.1621621621621623E-2</v>
      </c>
      <c r="O7" s="8">
        <f t="shared" si="6"/>
        <v>4.8000000000000001E-2</v>
      </c>
      <c r="P7" s="8">
        <f t="shared" si="7"/>
        <v>4.4642857142857137E-2</v>
      </c>
    </row>
    <row r="8" spans="1:16" x14ac:dyDescent="0.3">
      <c r="A8" s="3" t="s">
        <v>57</v>
      </c>
      <c r="B8" s="27">
        <v>2.5754362869057686E-2</v>
      </c>
      <c r="C8" s="27">
        <v>5.0890585241730284E-3</v>
      </c>
      <c r="D8" s="27">
        <v>1.680672268907563E-2</v>
      </c>
      <c r="E8" s="27">
        <v>3.2786885245901641E-2</v>
      </c>
      <c r="F8" s="27">
        <v>2.1621621621621623E-2</v>
      </c>
      <c r="G8" s="27">
        <v>2.4E-2</v>
      </c>
      <c r="H8" s="27">
        <v>2.6785714285714284E-2</v>
      </c>
      <c r="I8" s="8">
        <v>9.0227756554197902E-2</v>
      </c>
      <c r="J8" s="8">
        <f t="shared" si="1"/>
        <v>9.0227756554197902E-2</v>
      </c>
      <c r="K8" s="8">
        <f t="shared" si="2"/>
        <v>9.9236641221374058E-2</v>
      </c>
      <c r="L8" s="8">
        <f t="shared" si="3"/>
        <v>4.2016806722689079E-2</v>
      </c>
      <c r="M8" s="8">
        <f t="shared" si="4"/>
        <v>4.9180327868852458E-2</v>
      </c>
      <c r="N8" s="8">
        <f t="shared" si="5"/>
        <v>4.3243243243243246E-2</v>
      </c>
      <c r="O8" s="8">
        <f t="shared" si="6"/>
        <v>7.2000000000000008E-2</v>
      </c>
      <c r="P8" s="8">
        <f t="shared" si="7"/>
        <v>7.1428571428571425E-2</v>
      </c>
    </row>
    <row r="9" spans="1:16" x14ac:dyDescent="0.3">
      <c r="A9" s="3" t="s">
        <v>59</v>
      </c>
      <c r="B9" s="27">
        <v>3.989384969817153E-2</v>
      </c>
      <c r="C9" s="27">
        <v>2.2900763358778626E-2</v>
      </c>
      <c r="D9" s="27">
        <v>3.3613445378151259E-2</v>
      </c>
      <c r="E9" s="27">
        <v>3.2786885245901641E-2</v>
      </c>
      <c r="F9" s="27">
        <v>4.3243243243243246E-2</v>
      </c>
      <c r="G9" s="27">
        <v>0.04</v>
      </c>
      <c r="H9" s="27">
        <v>2.6785714285714284E-2</v>
      </c>
      <c r="I9" s="8">
        <v>0.13012160625236943</v>
      </c>
      <c r="J9" s="8">
        <f t="shared" si="1"/>
        <v>0.13012160625236943</v>
      </c>
      <c r="K9" s="8">
        <f t="shared" si="2"/>
        <v>0.12213740458015268</v>
      </c>
      <c r="L9" s="8">
        <f t="shared" si="3"/>
        <v>7.5630252100840345E-2</v>
      </c>
      <c r="M9" s="8">
        <f t="shared" si="4"/>
        <v>8.1967213114754106E-2</v>
      </c>
      <c r="N9" s="8">
        <f t="shared" si="5"/>
        <v>8.6486486486486491E-2</v>
      </c>
      <c r="O9" s="8">
        <f t="shared" si="6"/>
        <v>0.11200000000000002</v>
      </c>
      <c r="P9" s="8">
        <f t="shared" si="7"/>
        <v>9.8214285714285712E-2</v>
      </c>
    </row>
    <row r="10" spans="1:16" x14ac:dyDescent="0.3">
      <c r="A10" s="3" t="s">
        <v>64</v>
      </c>
      <c r="B10" s="27">
        <v>4.5272187204472646E-2</v>
      </c>
      <c r="C10" s="27">
        <v>0.11195928753180662</v>
      </c>
      <c r="D10" s="27">
        <v>3.3613445378151259E-2</v>
      </c>
      <c r="E10" s="27">
        <v>8.1967213114754103E-3</v>
      </c>
      <c r="F10" s="27">
        <v>3.783783783783784E-2</v>
      </c>
      <c r="G10" s="27">
        <v>0.02</v>
      </c>
      <c r="H10" s="27">
        <v>4.4642857142857144E-2</v>
      </c>
      <c r="I10" s="8">
        <v>0.17539379345684208</v>
      </c>
      <c r="J10" s="8">
        <f t="shared" si="1"/>
        <v>0.17539379345684208</v>
      </c>
      <c r="K10" s="8">
        <f t="shared" si="2"/>
        <v>0.2340966921119593</v>
      </c>
      <c r="L10" s="8">
        <f t="shared" si="3"/>
        <v>0.1092436974789916</v>
      </c>
      <c r="M10" s="8">
        <f t="shared" si="4"/>
        <v>9.0163934426229511E-2</v>
      </c>
      <c r="N10" s="8">
        <f t="shared" si="5"/>
        <v>0.12432432432432433</v>
      </c>
      <c r="O10" s="8">
        <f t="shared" si="6"/>
        <v>0.13200000000000001</v>
      </c>
      <c r="P10" s="8">
        <f t="shared" si="7"/>
        <v>0.14285714285714285</v>
      </c>
    </row>
    <row r="11" spans="1:16" x14ac:dyDescent="0.3">
      <c r="A11" s="3" t="s">
        <v>66</v>
      </c>
      <c r="B11" s="27">
        <v>4.6301195232401671E-2</v>
      </c>
      <c r="C11" s="27">
        <v>1.7811704834605598E-2</v>
      </c>
      <c r="D11" s="27">
        <v>0</v>
      </c>
      <c r="E11" s="27">
        <v>0</v>
      </c>
      <c r="F11" s="27">
        <v>5.4054054054054057E-3</v>
      </c>
      <c r="G11" s="27">
        <v>4.8000000000000001E-2</v>
      </c>
      <c r="H11" s="27">
        <v>8.9285714285714281E-3</v>
      </c>
      <c r="I11" s="8">
        <v>0.22169498868924375</v>
      </c>
      <c r="J11" s="8">
        <f t="shared" si="1"/>
        <v>0.22169498868924375</v>
      </c>
      <c r="K11" s="8">
        <f t="shared" si="2"/>
        <v>0.25190839694656492</v>
      </c>
      <c r="L11" s="8">
        <f t="shared" si="3"/>
        <v>0.1092436974789916</v>
      </c>
      <c r="M11" s="8">
        <f t="shared" si="4"/>
        <v>9.0163934426229511E-2</v>
      </c>
      <c r="N11" s="8">
        <f t="shared" si="5"/>
        <v>0.12972972972972974</v>
      </c>
      <c r="O11" s="8">
        <f t="shared" si="6"/>
        <v>0.18</v>
      </c>
      <c r="P11" s="8">
        <f t="shared" si="7"/>
        <v>0.15178571428571427</v>
      </c>
    </row>
    <row r="12" spans="1:16" x14ac:dyDescent="0.3">
      <c r="A12" s="3" t="s">
        <v>63</v>
      </c>
      <c r="B12" s="27">
        <v>0.13278369584689026</v>
      </c>
      <c r="C12" s="27">
        <v>0.11704834605597965</v>
      </c>
      <c r="D12" s="27">
        <v>0.26890756302521007</v>
      </c>
      <c r="E12" s="27">
        <v>0.1721311475409836</v>
      </c>
      <c r="F12" s="27">
        <v>0.12972972972972974</v>
      </c>
      <c r="G12" s="27">
        <v>0.13200000000000001</v>
      </c>
      <c r="H12" s="27">
        <v>0.19642857142857142</v>
      </c>
      <c r="I12" s="8">
        <v>0.35447868453613401</v>
      </c>
      <c r="J12" s="8">
        <f t="shared" si="1"/>
        <v>0.35447868453613401</v>
      </c>
      <c r="K12" s="8">
        <f t="shared" si="2"/>
        <v>0.36895674300254455</v>
      </c>
      <c r="L12" s="8">
        <f t="shared" si="3"/>
        <v>0.37815126050420167</v>
      </c>
      <c r="M12" s="8">
        <f t="shared" si="4"/>
        <v>0.26229508196721313</v>
      </c>
      <c r="N12" s="8">
        <f t="shared" si="5"/>
        <v>0.25945945945945947</v>
      </c>
      <c r="O12" s="8">
        <f t="shared" si="6"/>
        <v>0.312</v>
      </c>
      <c r="P12" s="8">
        <f t="shared" si="7"/>
        <v>0.3482142857142857</v>
      </c>
    </row>
    <row r="13" spans="1:16" x14ac:dyDescent="0.3">
      <c r="A13" s="3" t="s">
        <v>56</v>
      </c>
      <c r="B13" s="27">
        <v>0.13844532301270221</v>
      </c>
      <c r="C13" s="27">
        <v>5.8524173027989825E-2</v>
      </c>
      <c r="D13" s="27">
        <v>0.12605042016806722</v>
      </c>
      <c r="E13" s="27">
        <v>0.13934426229508196</v>
      </c>
      <c r="F13" s="27">
        <v>0.12972972972972974</v>
      </c>
      <c r="G13" s="27">
        <v>0.128</v>
      </c>
      <c r="H13" s="27">
        <v>9.8214285714285712E-2</v>
      </c>
      <c r="I13" s="8">
        <v>0.49292400754883625</v>
      </c>
      <c r="J13" s="8">
        <f t="shared" si="1"/>
        <v>0.49292400754883625</v>
      </c>
      <c r="K13" s="8">
        <f t="shared" si="2"/>
        <v>0.4274809160305344</v>
      </c>
      <c r="L13" s="8">
        <f t="shared" si="3"/>
        <v>0.50420168067226889</v>
      </c>
      <c r="M13" s="8">
        <f t="shared" si="4"/>
        <v>0.40163934426229508</v>
      </c>
      <c r="N13" s="8">
        <f t="shared" si="5"/>
        <v>0.38918918918918921</v>
      </c>
      <c r="O13" s="8">
        <f t="shared" si="6"/>
        <v>0.44</v>
      </c>
      <c r="P13" s="8">
        <f t="shared" si="7"/>
        <v>0.4464285714285714</v>
      </c>
    </row>
    <row r="14" spans="1:16" x14ac:dyDescent="0.3">
      <c r="A14" s="3" t="s">
        <v>55</v>
      </c>
      <c r="B14" s="27">
        <v>0.50707599245116375</v>
      </c>
      <c r="C14" s="27">
        <v>0.5725190839694656</v>
      </c>
      <c r="D14" s="27">
        <v>0.49579831932773111</v>
      </c>
      <c r="E14" s="27">
        <v>0.59836065573770492</v>
      </c>
      <c r="F14" s="27">
        <v>0.61081081081081079</v>
      </c>
      <c r="G14" s="27">
        <v>0.56000000000000005</v>
      </c>
      <c r="H14" s="27">
        <v>0.5535714285714286</v>
      </c>
      <c r="I14" s="8">
        <v>1</v>
      </c>
      <c r="J14" s="8">
        <f t="shared" si="1"/>
        <v>1</v>
      </c>
      <c r="K14" s="8">
        <f t="shared" si="2"/>
        <v>1</v>
      </c>
      <c r="L14" s="8">
        <f t="shared" si="3"/>
        <v>1</v>
      </c>
      <c r="M14" s="8">
        <f t="shared" si="4"/>
        <v>1</v>
      </c>
      <c r="N14" s="8">
        <f t="shared" si="5"/>
        <v>1</v>
      </c>
      <c r="O14" s="8">
        <f t="shared" si="6"/>
        <v>1</v>
      </c>
      <c r="P14" s="8">
        <f t="shared" si="7"/>
        <v>1</v>
      </c>
    </row>
    <row r="16" spans="1:16" ht="28.8" x14ac:dyDescent="0.3">
      <c r="B16" s="1" t="s">
        <v>107</v>
      </c>
      <c r="C16" s="2" t="s">
        <v>109</v>
      </c>
      <c r="D16" s="2" t="s">
        <v>110</v>
      </c>
      <c r="E16" s="2" t="s">
        <v>111</v>
      </c>
      <c r="F16" s="2" t="s">
        <v>112</v>
      </c>
      <c r="G16" s="2" t="s">
        <v>113</v>
      </c>
      <c r="H16" s="2" t="s">
        <v>114</v>
      </c>
      <c r="J16" s="6"/>
      <c r="K16" s="20" t="s">
        <v>115</v>
      </c>
      <c r="L16" s="20" t="s">
        <v>116</v>
      </c>
      <c r="M16" s="20" t="s">
        <v>117</v>
      </c>
      <c r="N16" s="20" t="s">
        <v>118</v>
      </c>
      <c r="O16" s="20" t="s">
        <v>119</v>
      </c>
      <c r="P16" s="20" t="s">
        <v>120</v>
      </c>
    </row>
    <row r="17" spans="2:16" x14ac:dyDescent="0.3">
      <c r="B17" s="3" t="s">
        <v>67</v>
      </c>
      <c r="C17" s="8">
        <f>C2-B2</f>
        <v>1.4762037163036602E-3</v>
      </c>
      <c r="D17" s="8">
        <f>D2-B2</f>
        <v>2.2459772745819333E-3</v>
      </c>
      <c r="E17" s="8">
        <f>E2-B2</f>
        <v>2.0393372415195288E-3</v>
      </c>
      <c r="F17" s="8">
        <f>F2-B2</f>
        <v>-7.5197866455047578E-4</v>
      </c>
      <c r="G17" s="8">
        <f>G2-B2</f>
        <v>-6.1573840699558815E-3</v>
      </c>
      <c r="H17" s="8">
        <f>H2-B2</f>
        <v>-6.1573840699558815E-3</v>
      </c>
      <c r="J17" s="3" t="s">
        <v>67</v>
      </c>
      <c r="K17" s="6">
        <f>($J2-0) * ((K2+0))</f>
        <v>4.7002931831724285E-5</v>
      </c>
      <c r="L17" s="6">
        <f t="shared" ref="L17:P17" si="8">($J2-0) * ((L2+0))</f>
        <v>5.1742723276940178E-5</v>
      </c>
      <c r="M17" s="6">
        <f t="shared" si="8"/>
        <v>5.0470361229146573E-5</v>
      </c>
      <c r="N17" s="6">
        <f t="shared" si="8"/>
        <v>3.328315713489666E-5</v>
      </c>
      <c r="O17" s="6">
        <f t="shared" si="8"/>
        <v>0</v>
      </c>
      <c r="P17" s="6">
        <f t="shared" si="8"/>
        <v>0</v>
      </c>
    </row>
    <row r="18" spans="2:16" x14ac:dyDescent="0.3">
      <c r="B18" s="3" t="s">
        <v>62</v>
      </c>
      <c r="C18" s="8">
        <f t="shared" ref="C18:C29" si="9">C3-B3</f>
        <v>1.1066911323605211E-2</v>
      </c>
      <c r="D18" s="8">
        <f t="shared" ref="D18:D29" si="10">D3-B3</f>
        <v>-6.7447935110003876E-3</v>
      </c>
      <c r="E18" s="8">
        <f t="shared" ref="E18:E29" si="11">E3-B3</f>
        <v>-6.7447935110003876E-3</v>
      </c>
      <c r="F18" s="8">
        <f t="shared" ref="F18:F29" si="12">F3-B3</f>
        <v>-6.7447935110003876E-3</v>
      </c>
      <c r="G18" s="8">
        <f t="shared" ref="G18:G29" si="13">G3-B3</f>
        <v>-2.7447935110003875E-3</v>
      </c>
      <c r="H18" s="8">
        <f t="shared" ref="H18:H29" si="14">H3-B3</f>
        <v>-6.7447935110003876E-3</v>
      </c>
      <c r="J18" s="3" t="s">
        <v>62</v>
      </c>
      <c r="K18" s="6">
        <f>($J3-$J2) * ((K3+K2))</f>
        <v>2.2311021792113242E-4</v>
      </c>
      <c r="L18" s="6">
        <f t="shared" ref="L18:P18" si="15">($J3-$J2) * ((L3+L2))</f>
        <v>1.1335787413446031E-4</v>
      </c>
      <c r="M18" s="6">
        <f t="shared" si="15"/>
        <v>1.1057038542623588E-4</v>
      </c>
      <c r="N18" s="6">
        <f t="shared" si="15"/>
        <v>7.2916686605409604E-5</v>
      </c>
      <c r="O18" s="6">
        <f t="shared" si="15"/>
        <v>2.6979174044001555E-5</v>
      </c>
      <c r="P18" s="6">
        <f t="shared" si="15"/>
        <v>0</v>
      </c>
    </row>
    <row r="19" spans="2:16" x14ac:dyDescent="0.3">
      <c r="B19" s="3" t="s">
        <v>65</v>
      </c>
      <c r="C19" s="8">
        <f t="shared" si="9"/>
        <v>2.3218812290611558E-2</v>
      </c>
      <c r="D19" s="8">
        <f t="shared" si="10"/>
        <v>1.0878224901112055E-3</v>
      </c>
      <c r="E19" s="8">
        <f t="shared" si="11"/>
        <v>-7.3155388544266092E-3</v>
      </c>
      <c r="F19" s="8">
        <f t="shared" si="12"/>
        <v>-1.9101334490212035E-3</v>
      </c>
      <c r="G19" s="8">
        <f t="shared" si="13"/>
        <v>8.6844611455733911E-3</v>
      </c>
      <c r="H19" s="8">
        <f t="shared" si="14"/>
        <v>1.0541604002716247E-2</v>
      </c>
      <c r="J19" s="3" t="s">
        <v>65</v>
      </c>
      <c r="K19" s="6">
        <f t="shared" ref="K19:P29" si="16">($J4-$J3) * ((K4+K3))</f>
        <v>5.9566728585661965E-4</v>
      </c>
      <c r="L19" s="6">
        <f t="shared" si="16"/>
        <v>1.8442534927125907E-4</v>
      </c>
      <c r="M19" s="6">
        <f t="shared" si="16"/>
        <v>1.1992686646600999E-4</v>
      </c>
      <c r="N19" s="6">
        <f t="shared" si="16"/>
        <v>1.1863035980151259E-4</v>
      </c>
      <c r="O19" s="6">
        <f t="shared" si="16"/>
        <v>1.7557293250623863E-4</v>
      </c>
      <c r="P19" s="6">
        <f t="shared" si="16"/>
        <v>1.3063462240047515E-4</v>
      </c>
    </row>
    <row r="20" spans="2:16" x14ac:dyDescent="0.3">
      <c r="B20" s="3" t="s">
        <v>60</v>
      </c>
      <c r="C20" s="8">
        <f t="shared" si="9"/>
        <v>-8.3177380382865301E-4</v>
      </c>
      <c r="D20" s="8">
        <f t="shared" si="10"/>
        <v>-8.4653615900881947E-3</v>
      </c>
      <c r="E20" s="8">
        <f t="shared" si="11"/>
        <v>-2.6864027861278443E-4</v>
      </c>
      <c r="F20" s="8">
        <f t="shared" si="12"/>
        <v>-8.4653615900881947E-3</v>
      </c>
      <c r="G20" s="8">
        <f t="shared" si="13"/>
        <v>-8.4653615900881947E-3</v>
      </c>
      <c r="H20" s="8">
        <f t="shared" si="14"/>
        <v>-8.4653615900881947E-3</v>
      </c>
      <c r="J20" s="3" t="s">
        <v>60</v>
      </c>
      <c r="K20" s="6">
        <f t="shared" si="16"/>
        <v>1.0123969331657637E-3</v>
      </c>
      <c r="L20" s="6">
        <f t="shared" si="16"/>
        <v>2.845499694147292E-4</v>
      </c>
      <c r="M20" s="6">
        <f t="shared" si="16"/>
        <v>2.081646292644638E-4</v>
      </c>
      <c r="N20" s="6">
        <f t="shared" si="16"/>
        <v>1.8303484519109612E-4</v>
      </c>
      <c r="O20" s="6">
        <f t="shared" si="16"/>
        <v>3.3861446360352779E-4</v>
      </c>
      <c r="P20" s="6">
        <f t="shared" si="16"/>
        <v>3.0233434250314978E-4</v>
      </c>
    </row>
    <row r="21" spans="2:16" x14ac:dyDescent="0.3">
      <c r="B21" s="3" t="s">
        <v>61</v>
      </c>
      <c r="C21" s="8">
        <f t="shared" si="9"/>
        <v>7.3332418080032866E-3</v>
      </c>
      <c r="D21" s="8">
        <f t="shared" si="10"/>
        <v>-1.3022992288688827E-2</v>
      </c>
      <c r="E21" s="8">
        <f t="shared" si="11"/>
        <v>-1.3022992288688827E-2</v>
      </c>
      <c r="F21" s="8">
        <f t="shared" si="12"/>
        <v>-1.0320289585986124E-2</v>
      </c>
      <c r="G21" s="8">
        <f t="shared" si="13"/>
        <v>1.4977007711311174E-2</v>
      </c>
      <c r="H21" s="8">
        <f t="shared" si="14"/>
        <v>4.8341505684540292E-3</v>
      </c>
      <c r="J21" s="3" t="s">
        <v>61</v>
      </c>
      <c r="K21" s="6">
        <f t="shared" si="16"/>
        <v>1.9219683275927535E-3</v>
      </c>
      <c r="L21" s="6">
        <f t="shared" si="16"/>
        <v>4.3774763995592706E-4</v>
      </c>
      <c r="M21" s="6">
        <f t="shared" si="16"/>
        <v>4.2698335372750267E-4</v>
      </c>
      <c r="N21" s="6">
        <f t="shared" si="16"/>
        <v>3.1677548810324184E-4</v>
      </c>
      <c r="O21" s="6">
        <f t="shared" si="16"/>
        <v>8.855634756308405E-4</v>
      </c>
      <c r="P21" s="6">
        <f t="shared" si="16"/>
        <v>6.9766030117975877E-4</v>
      </c>
    </row>
    <row r="22" spans="2:16" x14ac:dyDescent="0.3">
      <c r="B22" s="3" t="s">
        <v>58</v>
      </c>
      <c r="C22" s="8">
        <f t="shared" si="9"/>
        <v>-1.2589206322634251E-2</v>
      </c>
      <c r="D22" s="8">
        <f t="shared" si="10"/>
        <v>-1.4363962026442493E-2</v>
      </c>
      <c r="E22" s="8">
        <f t="shared" si="11"/>
        <v>-2.2767323370980308E-2</v>
      </c>
      <c r="F22" s="8">
        <f t="shared" si="12"/>
        <v>-1.4659215262872199E-2</v>
      </c>
      <c r="G22" s="8">
        <f t="shared" si="13"/>
        <v>-2.2767323370980308E-2</v>
      </c>
      <c r="H22" s="8">
        <f t="shared" si="14"/>
        <v>-1.383875194240888E-2</v>
      </c>
      <c r="J22" s="3" t="s">
        <v>58</v>
      </c>
      <c r="K22" s="6">
        <f t="shared" si="16"/>
        <v>4.0552484375791899E-3</v>
      </c>
      <c r="L22" s="6">
        <f t="shared" si="16"/>
        <v>9.5661022567144159E-4</v>
      </c>
      <c r="M22" s="6">
        <f t="shared" si="16"/>
        <v>7.4646961872066589E-4</v>
      </c>
      <c r="N22" s="6">
        <f t="shared" si="16"/>
        <v>7.9993298330471353E-4</v>
      </c>
      <c r="O22" s="6">
        <f t="shared" si="16"/>
        <v>2.1856630436141097E-3</v>
      </c>
      <c r="P22" s="6">
        <f t="shared" si="16"/>
        <v>1.8295170565966318E-3</v>
      </c>
    </row>
    <row r="23" spans="2:16" x14ac:dyDescent="0.3">
      <c r="B23" s="3" t="s">
        <v>57</v>
      </c>
      <c r="C23" s="8">
        <f t="shared" si="9"/>
        <v>-2.0665304344884658E-2</v>
      </c>
      <c r="D23" s="8">
        <f t="shared" si="10"/>
        <v>-8.9476401799820568E-3</v>
      </c>
      <c r="E23" s="8">
        <f t="shared" si="11"/>
        <v>7.0325223768439547E-3</v>
      </c>
      <c r="F23" s="8">
        <f t="shared" si="12"/>
        <v>-4.1327412474360635E-3</v>
      </c>
      <c r="G23" s="8">
        <f t="shared" si="13"/>
        <v>-1.7543628690576858E-3</v>
      </c>
      <c r="H23" s="8">
        <f t="shared" si="14"/>
        <v>1.0313514166565979E-3</v>
      </c>
      <c r="J23" s="3" t="s">
        <v>57</v>
      </c>
      <c r="K23" s="6">
        <f t="shared" si="16"/>
        <v>4.980487475950088E-3</v>
      </c>
      <c r="L23" s="6">
        <f t="shared" si="16"/>
        <v>1.7313857390963156E-3</v>
      </c>
      <c r="M23" s="6">
        <f t="shared" si="16"/>
        <v>1.6888106799382093E-3</v>
      </c>
      <c r="N23" s="6">
        <f t="shared" si="16"/>
        <v>1.6705532671821206E-3</v>
      </c>
      <c r="O23" s="6">
        <f t="shared" si="16"/>
        <v>3.0905235442869232E-3</v>
      </c>
      <c r="P23" s="6">
        <f t="shared" si="16"/>
        <v>2.9893456901584816E-3</v>
      </c>
    </row>
    <row r="24" spans="2:16" x14ac:dyDescent="0.3">
      <c r="B24" s="3" t="s">
        <v>59</v>
      </c>
      <c r="C24" s="8">
        <f t="shared" si="9"/>
        <v>-1.6993086339392904E-2</v>
      </c>
      <c r="D24" s="8">
        <f t="shared" si="10"/>
        <v>-6.2804043200202705E-3</v>
      </c>
      <c r="E24" s="8">
        <f t="shared" si="11"/>
        <v>-7.1069644522698885E-3</v>
      </c>
      <c r="F24" s="8">
        <f t="shared" si="12"/>
        <v>3.349393545071716E-3</v>
      </c>
      <c r="G24" s="8">
        <f t="shared" si="13"/>
        <v>1.0615030182847124E-4</v>
      </c>
      <c r="H24" s="8">
        <f t="shared" si="14"/>
        <v>-1.3108135412457245E-2</v>
      </c>
      <c r="J24" s="3" t="s">
        <v>59</v>
      </c>
      <c r="K24" s="6">
        <f t="shared" si="16"/>
        <v>8.8314629102822489E-3</v>
      </c>
      <c r="L24" s="6">
        <f t="shared" si="16"/>
        <v>4.6933940821378278E-3</v>
      </c>
      <c r="M24" s="6">
        <f t="shared" si="16"/>
        <v>5.2319802882847908E-3</v>
      </c>
      <c r="N24" s="6">
        <f t="shared" si="16"/>
        <v>5.1754183392222529E-3</v>
      </c>
      <c r="O24" s="6">
        <f t="shared" si="16"/>
        <v>7.340468344463562E-3</v>
      </c>
      <c r="P24" s="6">
        <f t="shared" si="16"/>
        <v>6.7677066452255276E-3</v>
      </c>
    </row>
    <row r="25" spans="2:16" x14ac:dyDescent="0.3">
      <c r="B25" s="3" t="s">
        <v>64</v>
      </c>
      <c r="C25" s="8">
        <f t="shared" si="9"/>
        <v>6.6687100327333965E-2</v>
      </c>
      <c r="D25" s="8">
        <f t="shared" si="10"/>
        <v>-1.1658741826321387E-2</v>
      </c>
      <c r="E25" s="8">
        <f t="shared" si="11"/>
        <v>-3.7075465892997234E-2</v>
      </c>
      <c r="F25" s="8">
        <f t="shared" si="12"/>
        <v>-7.4343493666348057E-3</v>
      </c>
      <c r="G25" s="8">
        <f t="shared" si="13"/>
        <v>-2.5272187204472645E-2</v>
      </c>
      <c r="H25" s="8">
        <f t="shared" si="14"/>
        <v>-6.2933006161550176E-4</v>
      </c>
      <c r="J25" s="3" t="s">
        <v>64</v>
      </c>
      <c r="K25" s="6">
        <f t="shared" si="16"/>
        <v>1.6127496714061506E-2</v>
      </c>
      <c r="L25" s="6">
        <f t="shared" si="16"/>
        <v>8.3696480546083894E-3</v>
      </c>
      <c r="M25" s="6">
        <f t="shared" si="16"/>
        <v>7.7927535351961135E-3</v>
      </c>
      <c r="N25" s="6">
        <f t="shared" si="16"/>
        <v>9.5438664917536949E-3</v>
      </c>
      <c r="O25" s="6">
        <f t="shared" si="16"/>
        <v>1.1046413677891328E-2</v>
      </c>
      <c r="P25" s="6">
        <f t="shared" si="16"/>
        <v>1.0913830843935371E-2</v>
      </c>
    </row>
    <row r="26" spans="2:16" x14ac:dyDescent="0.3">
      <c r="B26" s="3" t="s">
        <v>66</v>
      </c>
      <c r="C26" s="8">
        <f t="shared" si="9"/>
        <v>-2.8489490397796073E-2</v>
      </c>
      <c r="D26" s="8">
        <f t="shared" si="10"/>
        <v>-4.6301195232401671E-2</v>
      </c>
      <c r="E26" s="8">
        <f t="shared" si="11"/>
        <v>-4.6301195232401671E-2</v>
      </c>
      <c r="F26" s="8">
        <f t="shared" si="12"/>
        <v>-4.0895789826996265E-2</v>
      </c>
      <c r="G26" s="8">
        <f t="shared" si="13"/>
        <v>1.6988047675983303E-3</v>
      </c>
      <c r="H26" s="8">
        <f t="shared" si="14"/>
        <v>-3.7372623803830246E-2</v>
      </c>
      <c r="J26" s="3" t="s">
        <v>66</v>
      </c>
      <c r="K26" s="6">
        <f t="shared" si="16"/>
        <v>2.2502616512439493E-2</v>
      </c>
      <c r="L26" s="6">
        <f t="shared" si="16"/>
        <v>1.0116227529768432E-2</v>
      </c>
      <c r="M26" s="6">
        <f t="shared" si="16"/>
        <v>8.3493958615806288E-3</v>
      </c>
      <c r="N26" s="6">
        <f t="shared" si="16"/>
        <v>1.1763006356339884E-2</v>
      </c>
      <c r="O26" s="6">
        <f t="shared" si="16"/>
        <v>1.4445972912509321E-2</v>
      </c>
      <c r="P26" s="6">
        <f t="shared" si="16"/>
        <v>1.3642316452404062E-2</v>
      </c>
    </row>
    <row r="27" spans="2:16" x14ac:dyDescent="0.3">
      <c r="B27" s="3" t="s">
        <v>63</v>
      </c>
      <c r="C27" s="8">
        <f t="shared" si="9"/>
        <v>-1.573534979091061E-2</v>
      </c>
      <c r="D27" s="8">
        <f t="shared" si="10"/>
        <v>0.13612386717831981</v>
      </c>
      <c r="E27" s="8">
        <f t="shared" si="11"/>
        <v>3.9347451694093344E-2</v>
      </c>
      <c r="F27" s="8">
        <f t="shared" si="12"/>
        <v>-3.0539661171605226E-3</v>
      </c>
      <c r="G27" s="8">
        <f t="shared" si="13"/>
        <v>-7.8369584689025329E-4</v>
      </c>
      <c r="H27" s="8">
        <f t="shared" si="14"/>
        <v>6.3644875581681165E-2</v>
      </c>
      <c r="J27" s="3" t="s">
        <v>63</v>
      </c>
      <c r="K27" s="6">
        <f t="shared" si="16"/>
        <v>8.2440767904939496E-2</v>
      </c>
      <c r="L27" s="6">
        <f t="shared" si="16"/>
        <v>6.471810385814819E-2</v>
      </c>
      <c r="M27" s="6">
        <f t="shared" si="16"/>
        <v>4.6800810831280994E-2</v>
      </c>
      <c r="N27" s="6">
        <f t="shared" si="16"/>
        <v>5.167797892419513E-2</v>
      </c>
      <c r="O27" s="6">
        <f t="shared" si="16"/>
        <v>6.5329578356670012E-2</v>
      </c>
      <c r="P27" s="6">
        <f t="shared" si="16"/>
        <v>6.639184792344513E-2</v>
      </c>
    </row>
    <row r="28" spans="2:16" x14ac:dyDescent="0.3">
      <c r="B28" s="3" t="s">
        <v>56</v>
      </c>
      <c r="C28" s="8">
        <f t="shared" si="9"/>
        <v>-7.9921149984712392E-2</v>
      </c>
      <c r="D28" s="8">
        <f t="shared" si="10"/>
        <v>-1.2394902844634986E-2</v>
      </c>
      <c r="E28" s="8">
        <f t="shared" si="11"/>
        <v>8.9893928237974596E-4</v>
      </c>
      <c r="F28" s="8">
        <f t="shared" si="12"/>
        <v>-8.7155932829724725E-3</v>
      </c>
      <c r="G28" s="8">
        <f t="shared" si="13"/>
        <v>-1.0445323012702207E-2</v>
      </c>
      <c r="H28" s="8">
        <f t="shared" si="14"/>
        <v>-4.0231037298416497E-2</v>
      </c>
      <c r="J28" s="3" t="s">
        <v>56</v>
      </c>
      <c r="K28" s="6">
        <f t="shared" si="16"/>
        <v>0.11026306896431502</v>
      </c>
      <c r="L28" s="6">
        <f t="shared" si="16"/>
        <v>0.12215763795238432</v>
      </c>
      <c r="M28" s="6">
        <f t="shared" si="16"/>
        <v>9.1918616098597375E-2</v>
      </c>
      <c r="N28" s="6">
        <f t="shared" si="16"/>
        <v>8.9802371683914972E-2</v>
      </c>
      <c r="O28" s="6">
        <f t="shared" si="16"/>
        <v>0.10411088290555208</v>
      </c>
      <c r="P28" s="6">
        <f t="shared" si="16"/>
        <v>0.11001458703687945</v>
      </c>
    </row>
    <row r="29" spans="2:16" x14ac:dyDescent="0.3">
      <c r="B29" s="3" t="s">
        <v>55</v>
      </c>
      <c r="C29" s="8">
        <f t="shared" si="9"/>
        <v>6.5443091518301855E-2</v>
      </c>
      <c r="D29" s="8">
        <f t="shared" si="10"/>
        <v>-1.1277673123432641E-2</v>
      </c>
      <c r="E29" s="8">
        <f t="shared" si="11"/>
        <v>9.1284663286541168E-2</v>
      </c>
      <c r="F29" s="8">
        <f t="shared" si="12"/>
        <v>0.10373481835964704</v>
      </c>
      <c r="G29" s="8">
        <f t="shared" si="13"/>
        <v>5.2924007548836305E-2</v>
      </c>
      <c r="H29" s="8">
        <f t="shared" si="14"/>
        <v>4.6495436120264855E-2</v>
      </c>
      <c r="J29" s="3" t="s">
        <v>55</v>
      </c>
      <c r="K29" s="6">
        <f t="shared" si="16"/>
        <v>0.72384130220127962</v>
      </c>
      <c r="L29" s="6">
        <f t="shared" si="16"/>
        <v>0.76274456007359925</v>
      </c>
      <c r="M29" s="6">
        <f t="shared" si="16"/>
        <v>0.71073766155040163</v>
      </c>
      <c r="N29" s="6">
        <f t="shared" si="16"/>
        <v>0.7044244868105356</v>
      </c>
      <c r="O29" s="6">
        <f t="shared" si="16"/>
        <v>0.73018942912967577</v>
      </c>
      <c r="P29" s="6">
        <f t="shared" si="16"/>
        <v>0.73344920336686181</v>
      </c>
    </row>
    <row r="30" spans="2:16" x14ac:dyDescent="0.3">
      <c r="J30" s="21" t="s">
        <v>122</v>
      </c>
      <c r="K30" s="20">
        <f>SUM(K17:K29)</f>
        <v>0.97684259681721475</v>
      </c>
      <c r="L30" s="20">
        <f t="shared" ref="L30:P30" si="17">SUM(L17:L29)</f>
        <v>0.9765593910714675</v>
      </c>
      <c r="M30" s="20">
        <f t="shared" si="17"/>
        <v>0.87418261406011377</v>
      </c>
      <c r="N30" s="20">
        <f t="shared" si="17"/>
        <v>0.87558225539328449</v>
      </c>
      <c r="O30" s="20">
        <f t="shared" si="17"/>
        <v>0.93916566196044771</v>
      </c>
      <c r="P30" s="20">
        <f t="shared" si="17"/>
        <v>0.94712898428158987</v>
      </c>
    </row>
    <row r="31" spans="2:16" x14ac:dyDescent="0.3">
      <c r="J31" s="24" t="s">
        <v>121</v>
      </c>
      <c r="K31" s="25">
        <f>1-K30</f>
        <v>2.3157403182785252E-2</v>
      </c>
      <c r="L31" s="25">
        <f t="shared" ref="L31:P31" si="18">1-L30</f>
        <v>2.3440608928532503E-2</v>
      </c>
      <c r="M31" s="25">
        <f t="shared" si="18"/>
        <v>0.12581738593988623</v>
      </c>
      <c r="N31" s="25">
        <f t="shared" si="18"/>
        <v>0.12441774460671551</v>
      </c>
      <c r="O31" s="25">
        <f t="shared" si="18"/>
        <v>6.0834338039552294E-2</v>
      </c>
      <c r="P31" s="25">
        <f t="shared" si="18"/>
        <v>5.287101571841013E-2</v>
      </c>
    </row>
  </sheetData>
  <sortState xmlns:xlrd2="http://schemas.microsoft.com/office/spreadsheetml/2017/richdata2" ref="A2:P15">
    <sortCondition ref="B1:B15"/>
  </sortState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72EA-D5DA-4BC4-8AAF-CFCD3951F470}">
  <dimension ref="A1:P13"/>
  <sheetViews>
    <sheetView workbookViewId="0">
      <selection activeCell="K15" sqref="K15"/>
    </sheetView>
  </sheetViews>
  <sheetFormatPr defaultRowHeight="14.4" x14ac:dyDescent="0.3"/>
  <cols>
    <col min="1" max="1" width="14.44140625" customWidth="1"/>
    <col min="2" max="6" width="10.33203125" customWidth="1"/>
    <col min="7" max="7" width="12.6640625" customWidth="1"/>
    <col min="8" max="16" width="10.33203125" customWidth="1"/>
  </cols>
  <sheetData>
    <row r="1" spans="1:16" ht="25.95" customHeight="1" x14ac:dyDescent="0.3">
      <c r="A1" s="1" t="s">
        <v>107</v>
      </c>
      <c r="B1" s="10" t="s">
        <v>106</v>
      </c>
      <c r="C1" s="2" t="s">
        <v>0</v>
      </c>
      <c r="D1" s="2" t="s">
        <v>1</v>
      </c>
      <c r="E1" s="2" t="s">
        <v>2</v>
      </c>
      <c r="F1" s="10" t="s">
        <v>3</v>
      </c>
      <c r="G1" s="2" t="s">
        <v>4</v>
      </c>
      <c r="H1" s="2" t="s">
        <v>5</v>
      </c>
      <c r="I1" s="13" t="s">
        <v>106</v>
      </c>
      <c r="J1" s="17" t="s">
        <v>106</v>
      </c>
      <c r="K1" s="18" t="s">
        <v>0</v>
      </c>
      <c r="L1" s="18" t="s">
        <v>1</v>
      </c>
      <c r="M1" s="18" t="s">
        <v>2</v>
      </c>
      <c r="N1" s="17" t="s">
        <v>3</v>
      </c>
      <c r="O1" s="18" t="s">
        <v>4</v>
      </c>
      <c r="P1" s="18" t="s">
        <v>5</v>
      </c>
    </row>
    <row r="2" spans="1:16" x14ac:dyDescent="0.3">
      <c r="A2" s="3" t="s">
        <v>69</v>
      </c>
      <c r="B2" s="27">
        <v>8.3473553295778768E-2</v>
      </c>
      <c r="C2" s="27">
        <v>9.8214285714285712E-2</v>
      </c>
      <c r="D2" s="27">
        <v>0.17741935483870969</v>
      </c>
      <c r="E2" s="27">
        <v>0.11627906976744186</v>
      </c>
      <c r="F2" s="27">
        <v>0.23076923076923078</v>
      </c>
      <c r="G2" s="27">
        <v>0.10294117647058823</v>
      </c>
      <c r="H2" s="27">
        <v>0.14285714285714285</v>
      </c>
      <c r="I2" s="8">
        <v>8.3473553295778768E-2</v>
      </c>
      <c r="J2" s="28">
        <v>8.3473553295778768E-2</v>
      </c>
      <c r="K2" s="28">
        <v>9.8214285714285712E-2</v>
      </c>
      <c r="L2" s="28">
        <v>0.17741935483870969</v>
      </c>
      <c r="M2" s="28">
        <v>0.11627906976744186</v>
      </c>
      <c r="N2" s="28">
        <v>0.23076923076923078</v>
      </c>
      <c r="O2" s="28">
        <v>0.10294117647058823</v>
      </c>
      <c r="P2" s="28">
        <v>0.14285714285714285</v>
      </c>
    </row>
    <row r="3" spans="1:16" x14ac:dyDescent="0.3">
      <c r="A3" s="3" t="s">
        <v>71</v>
      </c>
      <c r="B3" s="27">
        <v>0.11644353403077523</v>
      </c>
      <c r="C3" s="27">
        <v>0.20535714285714285</v>
      </c>
      <c r="D3" s="27">
        <v>8.0645161290322578E-2</v>
      </c>
      <c r="E3" s="27">
        <v>9.3023255813953487E-2</v>
      </c>
      <c r="F3" s="27">
        <v>8.9743589743589744E-2</v>
      </c>
      <c r="G3" s="27">
        <v>0.27941176470588236</v>
      </c>
      <c r="H3" s="27">
        <v>0.4</v>
      </c>
      <c r="I3" s="8">
        <v>0.199917087326554</v>
      </c>
      <c r="J3" s="8">
        <f>J2+B3</f>
        <v>0.199917087326554</v>
      </c>
      <c r="K3" s="8">
        <f t="shared" ref="K3:P5" si="0">K2+C3</f>
        <v>0.30357142857142855</v>
      </c>
      <c r="L3" s="8">
        <f t="shared" si="0"/>
        <v>0.25806451612903225</v>
      </c>
      <c r="M3" s="8">
        <f t="shared" si="0"/>
        <v>0.20930232558139533</v>
      </c>
      <c r="N3" s="8">
        <f t="shared" si="0"/>
        <v>0.32051282051282054</v>
      </c>
      <c r="O3" s="8">
        <f t="shared" si="0"/>
        <v>0.38235294117647056</v>
      </c>
      <c r="P3" s="8">
        <f t="shared" si="0"/>
        <v>0.54285714285714293</v>
      </c>
    </row>
    <row r="4" spans="1:16" x14ac:dyDescent="0.3">
      <c r="A4" s="3" t="s">
        <v>70</v>
      </c>
      <c r="B4" s="27">
        <v>0.14244722445761293</v>
      </c>
      <c r="C4" s="27">
        <v>0.15178571428571427</v>
      </c>
      <c r="D4" s="27">
        <v>9.6774193548387094E-2</v>
      </c>
      <c r="E4" s="27">
        <v>4.6511627906976744E-2</v>
      </c>
      <c r="F4" s="27">
        <v>0.12820512820512819</v>
      </c>
      <c r="G4" s="27">
        <v>2.9411764705882353E-2</v>
      </c>
      <c r="H4" s="27">
        <v>0.11428571428571428</v>
      </c>
      <c r="I4" s="8">
        <v>0.34236431178416693</v>
      </c>
      <c r="J4" s="8">
        <f t="shared" ref="J4:J5" si="1">J3+B4</f>
        <v>0.34236431178416693</v>
      </c>
      <c r="K4" s="8">
        <f t="shared" si="0"/>
        <v>0.45535714285714279</v>
      </c>
      <c r="L4" s="8">
        <f t="shared" si="0"/>
        <v>0.35483870967741937</v>
      </c>
      <c r="M4" s="8">
        <f t="shared" si="0"/>
        <v>0.2558139534883721</v>
      </c>
      <c r="N4" s="8">
        <f t="shared" si="0"/>
        <v>0.44871794871794873</v>
      </c>
      <c r="O4" s="8">
        <f t="shared" si="0"/>
        <v>0.41176470588235292</v>
      </c>
      <c r="P4" s="8">
        <f t="shared" si="0"/>
        <v>0.65714285714285725</v>
      </c>
    </row>
    <row r="5" spans="1:16" x14ac:dyDescent="0.3">
      <c r="A5" s="3" t="s">
        <v>68</v>
      </c>
      <c r="B5" s="27">
        <v>0.65763568821583307</v>
      </c>
      <c r="C5" s="27">
        <v>0.5446428571428571</v>
      </c>
      <c r="D5" s="27">
        <v>0.64516129032258063</v>
      </c>
      <c r="E5" s="27">
        <v>0.7441860465116279</v>
      </c>
      <c r="F5" s="27">
        <v>0.55128205128205132</v>
      </c>
      <c r="G5" s="27">
        <v>0.58823529411764708</v>
      </c>
      <c r="H5" s="27">
        <v>0.34285714285714286</v>
      </c>
      <c r="I5" s="8">
        <v>1</v>
      </c>
      <c r="J5" s="8">
        <f t="shared" si="1"/>
        <v>1</v>
      </c>
      <c r="K5" s="8">
        <f t="shared" si="0"/>
        <v>0.99999999999999989</v>
      </c>
      <c r="L5" s="8">
        <f t="shared" si="0"/>
        <v>1</v>
      </c>
      <c r="M5" s="8">
        <f t="shared" si="0"/>
        <v>1</v>
      </c>
      <c r="N5" s="8">
        <f t="shared" si="0"/>
        <v>1</v>
      </c>
      <c r="O5" s="8">
        <f t="shared" si="0"/>
        <v>1</v>
      </c>
      <c r="P5" s="8">
        <f t="shared" si="0"/>
        <v>1</v>
      </c>
    </row>
    <row r="7" spans="1:16" ht="17.399999999999999" customHeight="1" x14ac:dyDescent="0.3">
      <c r="B7" s="1" t="s">
        <v>107</v>
      </c>
      <c r="C7" s="2" t="s">
        <v>109</v>
      </c>
      <c r="D7" s="2" t="s">
        <v>110</v>
      </c>
      <c r="E7" s="2" t="s">
        <v>111</v>
      </c>
      <c r="F7" s="2" t="s">
        <v>112</v>
      </c>
      <c r="G7" s="2" t="s">
        <v>113</v>
      </c>
      <c r="H7" s="2" t="s">
        <v>114</v>
      </c>
      <c r="J7" s="6"/>
      <c r="K7" s="20" t="s">
        <v>115</v>
      </c>
      <c r="L7" s="20" t="s">
        <v>116</v>
      </c>
      <c r="M7" s="20" t="s">
        <v>117</v>
      </c>
      <c r="N7" s="20" t="s">
        <v>118</v>
      </c>
      <c r="O7" s="20" t="s">
        <v>119</v>
      </c>
      <c r="P7" s="20" t="s">
        <v>120</v>
      </c>
    </row>
    <row r="8" spans="1:16" x14ac:dyDescent="0.3">
      <c r="B8" s="3" t="s">
        <v>69</v>
      </c>
      <c r="C8" s="8">
        <f>C2-B2</f>
        <v>1.4740732418506944E-2</v>
      </c>
      <c r="D8" s="8">
        <f>D2-B2</f>
        <v>9.3945801542930918E-2</v>
      </c>
      <c r="E8" s="8">
        <f>E2-B2</f>
        <v>3.280551647166309E-2</v>
      </c>
      <c r="F8" s="8">
        <f>F2-B2</f>
        <v>0.14729567747345201</v>
      </c>
      <c r="G8" s="8">
        <f>G2-B2</f>
        <v>1.9467623174809462E-2</v>
      </c>
      <c r="H8" s="8">
        <f>H2-B2</f>
        <v>5.9383589561364081E-2</v>
      </c>
      <c r="J8" s="3" t="s">
        <v>69</v>
      </c>
      <c r="K8" s="6">
        <f>($J2-0) * ((K2+0))</f>
        <v>8.1982954129782709E-3</v>
      </c>
      <c r="L8" s="6">
        <f t="shared" ref="L8:P8" si="2">($J2-0) * ((L2+0))</f>
        <v>1.4809823971831717E-2</v>
      </c>
      <c r="M8" s="6">
        <f t="shared" si="2"/>
        <v>9.7062271274161362E-3</v>
      </c>
      <c r="N8" s="6">
        <f t="shared" si="2"/>
        <v>1.9263127683641256E-2</v>
      </c>
      <c r="O8" s="6">
        <f t="shared" si="2"/>
        <v>8.5928657804478139E-3</v>
      </c>
      <c r="P8" s="6">
        <f t="shared" si="2"/>
        <v>1.1924793327968395E-2</v>
      </c>
    </row>
    <row r="9" spans="1:16" x14ac:dyDescent="0.3">
      <c r="B9" s="3" t="s">
        <v>71</v>
      </c>
      <c r="C9" s="8">
        <f t="shared" ref="C9:C11" si="3">C3-B3</f>
        <v>8.8913608826367618E-2</v>
      </c>
      <c r="D9" s="8">
        <f t="shared" ref="D9:D11" si="4">D3-B3</f>
        <v>-3.5798372740452652E-2</v>
      </c>
      <c r="E9" s="8">
        <f t="shared" ref="E9:E11" si="5">E3-B3</f>
        <v>-2.3420278216821744E-2</v>
      </c>
      <c r="F9" s="8">
        <f t="shared" ref="F9:F11" si="6">F3-B3</f>
        <v>-2.6699944287185487E-2</v>
      </c>
      <c r="G9" s="8">
        <f t="shared" ref="G9:G11" si="7">G3-B3</f>
        <v>0.16296823067510713</v>
      </c>
      <c r="H9" s="8">
        <f t="shared" ref="H9:H11" si="8">H3-B3</f>
        <v>0.28355646596922479</v>
      </c>
      <c r="J9" s="3" t="s">
        <v>71</v>
      </c>
      <c r="K9" s="6">
        <f>($J3-$J2) * ((K3+K2))</f>
        <v>4.6785348494507897E-2</v>
      </c>
      <c r="L9" s="6">
        <f t="shared" ref="L9:P9" si="9">($J3-$J2) * ((L3+L2))</f>
        <v>5.0709280948885986E-2</v>
      </c>
      <c r="M9" s="6">
        <f t="shared" si="9"/>
        <v>3.7911848289089604E-2</v>
      </c>
      <c r="N9" s="6">
        <f t="shared" si="9"/>
        <v>6.4193230299017121E-2</v>
      </c>
      <c r="O9" s="6">
        <f t="shared" si="9"/>
        <v>5.6509362103170327E-2</v>
      </c>
      <c r="P9" s="6">
        <f t="shared" si="9"/>
        <v>7.9846994763960163E-2</v>
      </c>
    </row>
    <row r="10" spans="1:16" x14ac:dyDescent="0.3">
      <c r="B10" s="3" t="s">
        <v>70</v>
      </c>
      <c r="C10" s="8">
        <f t="shared" si="3"/>
        <v>9.3384898281013429E-3</v>
      </c>
      <c r="D10" s="8">
        <f t="shared" si="4"/>
        <v>-4.5673030909225837E-2</v>
      </c>
      <c r="E10" s="8">
        <f t="shared" si="5"/>
        <v>-9.5935596550636187E-2</v>
      </c>
      <c r="F10" s="8">
        <f t="shared" si="6"/>
        <v>-1.4242096252484737E-2</v>
      </c>
      <c r="G10" s="8">
        <f t="shared" si="7"/>
        <v>-0.11303545975173057</v>
      </c>
      <c r="H10" s="8">
        <f t="shared" si="8"/>
        <v>-2.8161510171898649E-2</v>
      </c>
      <c r="J10" s="3" t="s">
        <v>70</v>
      </c>
      <c r="K10" s="6">
        <f t="shared" ref="K10:P11" si="10">($J4-$J3) * ((K4+K3))</f>
        <v>0.10810726856158123</v>
      </c>
      <c r="L10" s="6">
        <f t="shared" si="10"/>
        <v>8.7306363377246635E-2</v>
      </c>
      <c r="M10" s="6">
        <f t="shared" si="10"/>
        <v>6.6254523003540899E-2</v>
      </c>
      <c r="N10" s="6">
        <f t="shared" si="10"/>
        <v>0.10957478804431764</v>
      </c>
      <c r="O10" s="6">
        <f t="shared" si="10"/>
        <v>0.11311985471633967</v>
      </c>
      <c r="P10" s="6">
        <f t="shared" si="10"/>
        <v>0.17093666934913554</v>
      </c>
    </row>
    <row r="11" spans="1:16" x14ac:dyDescent="0.3">
      <c r="B11" s="3" t="s">
        <v>68</v>
      </c>
      <c r="C11" s="8">
        <f t="shared" si="3"/>
        <v>-0.11299283107297597</v>
      </c>
      <c r="D11" s="8">
        <f t="shared" si="4"/>
        <v>-1.2474397893252442E-2</v>
      </c>
      <c r="E11" s="8">
        <f t="shared" si="5"/>
        <v>8.6550358295794827E-2</v>
      </c>
      <c r="F11" s="8">
        <f t="shared" si="6"/>
        <v>-0.10635363693378175</v>
      </c>
      <c r="G11" s="8">
        <f t="shared" si="7"/>
        <v>-6.9400394098185991E-2</v>
      </c>
      <c r="H11" s="8">
        <f t="shared" si="8"/>
        <v>-0.31477854535869021</v>
      </c>
      <c r="J11" s="3" t="s">
        <v>68</v>
      </c>
      <c r="K11" s="6">
        <f t="shared" si="10"/>
        <v>0.95709479624268556</v>
      </c>
      <c r="L11" s="6">
        <f t="shared" si="10"/>
        <v>0.89099028726016105</v>
      </c>
      <c r="M11" s="6">
        <f t="shared" si="10"/>
        <v>0.82586807357337177</v>
      </c>
      <c r="N11" s="6">
        <f t="shared" si="10"/>
        <v>0.95272862523575819</v>
      </c>
      <c r="O11" s="6">
        <f t="shared" si="10"/>
        <v>0.92842685395176427</v>
      </c>
      <c r="P11" s="6">
        <f t="shared" si="10"/>
        <v>1.0897962833290948</v>
      </c>
    </row>
    <row r="12" spans="1:16" x14ac:dyDescent="0.3">
      <c r="J12" s="21" t="s">
        <v>122</v>
      </c>
      <c r="K12" s="20">
        <f>SUM(K8:K11)</f>
        <v>1.120185708711753</v>
      </c>
      <c r="L12" s="20">
        <f t="shared" ref="L12:P12" si="11">SUM(L8:L11)</f>
        <v>1.0438157555581253</v>
      </c>
      <c r="M12" s="20">
        <f t="shared" si="11"/>
        <v>0.93974067199341837</v>
      </c>
      <c r="N12" s="20">
        <f t="shared" si="11"/>
        <v>1.1457597712627341</v>
      </c>
      <c r="O12" s="20">
        <f t="shared" si="11"/>
        <v>1.106648936551722</v>
      </c>
      <c r="P12" s="20">
        <f t="shared" si="11"/>
        <v>1.3525047407701589</v>
      </c>
    </row>
    <row r="13" spans="1:16" x14ac:dyDescent="0.3">
      <c r="J13" s="24" t="s">
        <v>121</v>
      </c>
      <c r="K13" s="25">
        <f>1-K12</f>
        <v>-0.12018570871175305</v>
      </c>
      <c r="L13" s="25">
        <f t="shared" ref="L13:P13" si="12">1-L12</f>
        <v>-4.3815755558125336E-2</v>
      </c>
      <c r="M13" s="25">
        <f t="shared" si="12"/>
        <v>6.0259328006581625E-2</v>
      </c>
      <c r="N13" s="25">
        <f t="shared" si="12"/>
        <v>-0.14575977126273409</v>
      </c>
      <c r="O13" s="25">
        <f t="shared" si="12"/>
        <v>-0.10664893655172203</v>
      </c>
      <c r="P13" s="25">
        <f t="shared" si="12"/>
        <v>-0.35250474077015892</v>
      </c>
    </row>
  </sheetData>
  <sortState xmlns:xlrd2="http://schemas.microsoft.com/office/spreadsheetml/2017/richdata2" ref="A2:P6">
    <sortCondition ref="B1:B6"/>
  </sortState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24673-CCF7-46A8-9DB3-4D12816973DF}">
  <dimension ref="A1:P12"/>
  <sheetViews>
    <sheetView zoomScale="93" workbookViewId="0">
      <selection activeCell="K21" sqref="K21"/>
    </sheetView>
  </sheetViews>
  <sheetFormatPr defaultRowHeight="14.4" x14ac:dyDescent="0.3"/>
  <cols>
    <col min="1" max="1" width="16.33203125" customWidth="1"/>
    <col min="2" max="16" width="10.6640625" customWidth="1"/>
  </cols>
  <sheetData>
    <row r="1" spans="1:16" ht="25.95" customHeight="1" x14ac:dyDescent="0.3">
      <c r="A1" s="1" t="s">
        <v>107</v>
      </c>
      <c r="B1" s="10" t="s">
        <v>106</v>
      </c>
      <c r="C1" s="2" t="s">
        <v>0</v>
      </c>
      <c r="D1" s="2" t="s">
        <v>1</v>
      </c>
      <c r="E1" s="2" t="s">
        <v>2</v>
      </c>
      <c r="F1" s="10" t="s">
        <v>3</v>
      </c>
      <c r="G1" s="2" t="s">
        <v>4</v>
      </c>
      <c r="H1" s="2" t="s">
        <v>5</v>
      </c>
      <c r="I1" s="13" t="s">
        <v>106</v>
      </c>
      <c r="J1" s="17" t="s">
        <v>106</v>
      </c>
      <c r="K1" s="18" t="s">
        <v>0</v>
      </c>
      <c r="L1" s="18" t="s">
        <v>1</v>
      </c>
      <c r="M1" s="18" t="s">
        <v>2</v>
      </c>
      <c r="N1" s="17" t="s">
        <v>3</v>
      </c>
      <c r="O1" s="18" t="s">
        <v>4</v>
      </c>
      <c r="P1" s="18" t="s">
        <v>5</v>
      </c>
    </row>
    <row r="2" spans="1:16" x14ac:dyDescent="0.3">
      <c r="A2" s="3" t="s">
        <v>73</v>
      </c>
      <c r="B2" s="27">
        <v>0.27944107566569998</v>
      </c>
      <c r="C2" s="27">
        <v>0.35398230088495575</v>
      </c>
      <c r="D2" s="27">
        <v>0.24516129032258063</v>
      </c>
      <c r="E2" s="27">
        <v>2.564102564102564E-2</v>
      </c>
      <c r="F2" s="27">
        <v>0.22222222222222221</v>
      </c>
      <c r="G2" s="27">
        <v>0.38071065989847713</v>
      </c>
      <c r="H2" s="27">
        <v>0.41666666666666669</v>
      </c>
      <c r="I2" s="8">
        <v>0.27944107566569998</v>
      </c>
      <c r="J2" s="28">
        <v>0.27944107566569998</v>
      </c>
      <c r="K2" s="28">
        <v>0.35398230088495575</v>
      </c>
      <c r="L2" s="28">
        <v>0.24516129032258063</v>
      </c>
      <c r="M2" s="28">
        <v>2.564102564102564E-2</v>
      </c>
      <c r="N2" s="28">
        <v>0.22222222222222221</v>
      </c>
      <c r="O2" s="28">
        <v>0.38071065989847713</v>
      </c>
      <c r="P2" s="28">
        <v>0.41666666666666669</v>
      </c>
    </row>
    <row r="3" spans="1:16" x14ac:dyDescent="0.3">
      <c r="A3" s="3" t="s">
        <v>74</v>
      </c>
      <c r="B3" s="27">
        <v>0.32602161877142105</v>
      </c>
      <c r="C3" s="27">
        <v>0.26106194690265488</v>
      </c>
      <c r="D3" s="27">
        <v>0.25161290322580643</v>
      </c>
      <c r="E3" s="27">
        <v>0.28205128205128205</v>
      </c>
      <c r="F3" s="27">
        <v>0.24444444444444444</v>
      </c>
      <c r="G3" s="27">
        <v>0.2233502538071066</v>
      </c>
      <c r="H3" s="27">
        <v>0.14583333333333334</v>
      </c>
      <c r="I3" s="8">
        <v>0.60546269443712109</v>
      </c>
      <c r="J3" s="8">
        <f t="shared" ref="J3:P4" si="0">J2+B3</f>
        <v>0.60546269443712109</v>
      </c>
      <c r="K3" s="8">
        <f t="shared" si="0"/>
        <v>0.61504424778761058</v>
      </c>
      <c r="L3" s="8">
        <f t="shared" si="0"/>
        <v>0.49677419354838703</v>
      </c>
      <c r="M3" s="8">
        <f t="shared" si="0"/>
        <v>0.30769230769230771</v>
      </c>
      <c r="N3" s="8">
        <f t="shared" si="0"/>
        <v>0.46666666666666667</v>
      </c>
      <c r="O3" s="8">
        <f t="shared" si="0"/>
        <v>0.60406091370558368</v>
      </c>
      <c r="P3" s="8">
        <f t="shared" si="0"/>
        <v>0.5625</v>
      </c>
    </row>
    <row r="4" spans="1:16" x14ac:dyDescent="0.3">
      <c r="A4" s="3" t="s">
        <v>72</v>
      </c>
      <c r="B4" s="27">
        <v>0.39453730556287897</v>
      </c>
      <c r="C4" s="27">
        <v>0.38495575221238937</v>
      </c>
      <c r="D4" s="27">
        <v>0.50322580645161286</v>
      </c>
      <c r="E4" s="27">
        <v>0.69230769230769229</v>
      </c>
      <c r="F4" s="27">
        <v>0.53333333333333333</v>
      </c>
      <c r="G4" s="27">
        <v>0.39593908629441626</v>
      </c>
      <c r="H4" s="27">
        <v>0.4375</v>
      </c>
      <c r="I4" s="8">
        <v>1</v>
      </c>
      <c r="J4" s="8">
        <f t="shared" si="0"/>
        <v>1</v>
      </c>
      <c r="K4" s="8">
        <f t="shared" si="0"/>
        <v>1</v>
      </c>
      <c r="L4" s="8">
        <f t="shared" si="0"/>
        <v>0.99999999999999989</v>
      </c>
      <c r="M4" s="8">
        <f t="shared" si="0"/>
        <v>1</v>
      </c>
      <c r="N4" s="8">
        <f t="shared" si="0"/>
        <v>1</v>
      </c>
      <c r="O4" s="8">
        <f t="shared" si="0"/>
        <v>1</v>
      </c>
      <c r="P4" s="8">
        <f t="shared" si="0"/>
        <v>1</v>
      </c>
    </row>
    <row r="7" spans="1:16" x14ac:dyDescent="0.3">
      <c r="B7" s="1" t="s">
        <v>107</v>
      </c>
      <c r="C7" s="2" t="s">
        <v>109</v>
      </c>
      <c r="D7" s="2" t="s">
        <v>110</v>
      </c>
      <c r="E7" s="2" t="s">
        <v>111</v>
      </c>
      <c r="F7" s="2" t="s">
        <v>112</v>
      </c>
      <c r="G7" s="2" t="s">
        <v>113</v>
      </c>
      <c r="H7" s="2" t="s">
        <v>114</v>
      </c>
      <c r="J7" s="6"/>
      <c r="K7" s="20" t="s">
        <v>115</v>
      </c>
      <c r="L7" s="20" t="s">
        <v>116</v>
      </c>
      <c r="M7" s="20" t="s">
        <v>117</v>
      </c>
      <c r="N7" s="20" t="s">
        <v>118</v>
      </c>
      <c r="O7" s="20" t="s">
        <v>119</v>
      </c>
      <c r="P7" s="20" t="s">
        <v>120</v>
      </c>
    </row>
    <row r="8" spans="1:16" x14ac:dyDescent="0.3">
      <c r="B8" s="3" t="s">
        <v>73</v>
      </c>
      <c r="C8" s="8">
        <f>C2-B2</f>
        <v>7.4541225219255769E-2</v>
      </c>
      <c r="D8" s="8">
        <f>D2-B2</f>
        <v>-3.4279785343119346E-2</v>
      </c>
      <c r="E8" s="8">
        <f>E2-B2</f>
        <v>-0.25380005002467432</v>
      </c>
      <c r="F8" s="8">
        <f>F2-B2</f>
        <v>-5.7218853443477768E-2</v>
      </c>
      <c r="G8" s="8">
        <f>G2-B2</f>
        <v>0.10126958423277715</v>
      </c>
      <c r="H8" s="8">
        <f>H2-B2</f>
        <v>0.13722559100096671</v>
      </c>
      <c r="J8" s="3" t="s">
        <v>73</v>
      </c>
      <c r="K8" s="6">
        <f>($J2-0) * ((K2+0))</f>
        <v>9.89171949259115E-2</v>
      </c>
      <c r="L8" s="6">
        <f t="shared" ref="L8:P8" si="1">($J2-0) * ((L2+0))</f>
        <v>6.8508134679332894E-2</v>
      </c>
      <c r="M8" s="6">
        <f t="shared" si="1"/>
        <v>7.1651557862999994E-3</v>
      </c>
      <c r="N8" s="6">
        <f t="shared" si="1"/>
        <v>6.2098016814599991E-2</v>
      </c>
      <c r="O8" s="6">
        <f t="shared" si="1"/>
        <v>0.10638619631942892</v>
      </c>
      <c r="P8" s="6">
        <f t="shared" si="1"/>
        <v>0.11643378152737499</v>
      </c>
    </row>
    <row r="9" spans="1:16" x14ac:dyDescent="0.3">
      <c r="B9" s="3" t="s">
        <v>74</v>
      </c>
      <c r="C9" s="8">
        <f t="shared" ref="C9:C10" si="2">C3-B3</f>
        <v>-6.4959671868766167E-2</v>
      </c>
      <c r="D9" s="8">
        <f t="shared" ref="D9:D10" si="3">D3-B3</f>
        <v>-7.4408715545614623E-2</v>
      </c>
      <c r="E9" s="8">
        <f t="shared" ref="E9:E10" si="4">E3-B3</f>
        <v>-4.3970336720139003E-2</v>
      </c>
      <c r="F9" s="8">
        <f t="shared" ref="F9:F10" si="5">F3-B3</f>
        <v>-8.1577174326976615E-2</v>
      </c>
      <c r="G9" s="8">
        <f t="shared" ref="G9:G10" si="6">G3-B3</f>
        <v>-0.10267136496431445</v>
      </c>
      <c r="H9" s="8">
        <f t="shared" ref="H9:H10" si="7">H3-B3</f>
        <v>-0.18018828543808771</v>
      </c>
      <c r="J9" s="3" t="s">
        <v>74</v>
      </c>
      <c r="K9" s="6">
        <f>($J3-$J2) * ((K3+K2))</f>
        <v>0.31592360403071335</v>
      </c>
      <c r="L9" s="6">
        <f t="shared" ref="L9:P10" si="8">($J3-$J2) * ((L3+L2))</f>
        <v>0.24188700747557046</v>
      </c>
      <c r="M9" s="6">
        <f t="shared" si="8"/>
        <v>0.10867387292380705</v>
      </c>
      <c r="N9" s="6">
        <f t="shared" si="8"/>
        <v>0.22459267070920119</v>
      </c>
      <c r="O9" s="6">
        <f t="shared" si="8"/>
        <v>0.32105682254647555</v>
      </c>
      <c r="P9" s="6">
        <f t="shared" si="8"/>
        <v>0.31922950171368319</v>
      </c>
    </row>
    <row r="10" spans="1:16" x14ac:dyDescent="0.3">
      <c r="B10" s="3" t="s">
        <v>72</v>
      </c>
      <c r="C10" s="8">
        <f t="shared" si="2"/>
        <v>-9.5815533504896022E-3</v>
      </c>
      <c r="D10" s="8">
        <f t="shared" si="3"/>
        <v>0.10868850088873389</v>
      </c>
      <c r="E10" s="8">
        <f t="shared" si="4"/>
        <v>0.29777038674481332</v>
      </c>
      <c r="F10" s="8">
        <f t="shared" si="5"/>
        <v>0.13879602777045436</v>
      </c>
      <c r="G10" s="8">
        <f t="shared" si="6"/>
        <v>1.4017807315372943E-3</v>
      </c>
      <c r="H10" s="8">
        <f t="shared" si="7"/>
        <v>4.296269443712103E-2</v>
      </c>
      <c r="J10" s="3" t="s">
        <v>72</v>
      </c>
      <c r="K10" s="6">
        <f>($J4-$J3) * ((K4+K3))</f>
        <v>0.63719520588695044</v>
      </c>
      <c r="L10" s="6">
        <f t="shared" si="8"/>
        <v>0.5905332573586316</v>
      </c>
      <c r="M10" s="6">
        <f t="shared" si="8"/>
        <v>0.51593339958222628</v>
      </c>
      <c r="N10" s="6">
        <f t="shared" si="8"/>
        <v>0.57865471482555575</v>
      </c>
      <c r="O10" s="6">
        <f t="shared" si="8"/>
        <v>0.63286187085213064</v>
      </c>
      <c r="P10" s="6">
        <f t="shared" si="8"/>
        <v>0.61646453994199835</v>
      </c>
    </row>
    <row r="11" spans="1:16" x14ac:dyDescent="0.3">
      <c r="J11" s="21" t="s">
        <v>122</v>
      </c>
      <c r="K11" s="20">
        <f>SUM(K8:K10)</f>
        <v>1.0520360048435753</v>
      </c>
      <c r="L11" s="20">
        <f t="shared" ref="L11:P11" si="9">SUM(L8:L10)</f>
        <v>0.90092839951353498</v>
      </c>
      <c r="M11" s="20">
        <f t="shared" si="9"/>
        <v>0.63177242829233338</v>
      </c>
      <c r="N11" s="20">
        <f t="shared" si="9"/>
        <v>0.86534540234935697</v>
      </c>
      <c r="O11" s="20">
        <f t="shared" si="9"/>
        <v>1.0603048897180352</v>
      </c>
      <c r="P11" s="20">
        <f t="shared" si="9"/>
        <v>1.0521278231830564</v>
      </c>
    </row>
    <row r="12" spans="1:16" x14ac:dyDescent="0.3">
      <c r="J12" s="24" t="s">
        <v>121</v>
      </c>
      <c r="K12" s="25">
        <f>1-K11</f>
        <v>-5.203600484357529E-2</v>
      </c>
      <c r="L12" s="25">
        <f t="shared" ref="L12:P12" si="10">1-L11</f>
        <v>9.9071600486465017E-2</v>
      </c>
      <c r="M12" s="25">
        <f t="shared" si="10"/>
        <v>0.36822757170766662</v>
      </c>
      <c r="N12" s="25">
        <f t="shared" si="10"/>
        <v>0.13465459765064303</v>
      </c>
      <c r="O12" s="25">
        <f t="shared" si="10"/>
        <v>-6.030488971803516E-2</v>
      </c>
      <c r="P12" s="25">
        <f t="shared" si="10"/>
        <v>-5.2127823183056421E-2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F3C8-2862-4FB7-A702-020E3530044C}">
  <dimension ref="A1:P53"/>
  <sheetViews>
    <sheetView zoomScale="84" workbookViewId="0">
      <selection activeCell="K53" sqref="K53:P53"/>
    </sheetView>
  </sheetViews>
  <sheetFormatPr defaultRowHeight="14.4" x14ac:dyDescent="0.3"/>
  <cols>
    <col min="1" max="4" width="14.109375" customWidth="1"/>
    <col min="11" max="11" width="12" bestFit="1" customWidth="1"/>
    <col min="12" max="12" width="11.109375" bestFit="1" customWidth="1"/>
    <col min="13" max="16" width="12" bestFit="1" customWidth="1"/>
  </cols>
  <sheetData>
    <row r="1" spans="1:16" ht="25.95" customHeight="1" x14ac:dyDescent="0.3">
      <c r="A1" s="1" t="s">
        <v>107</v>
      </c>
      <c r="B1" s="10" t="s">
        <v>106</v>
      </c>
      <c r="C1" s="2" t="s">
        <v>0</v>
      </c>
      <c r="D1" s="2" t="s">
        <v>1</v>
      </c>
      <c r="E1" s="2" t="s">
        <v>2</v>
      </c>
      <c r="F1" s="10" t="s">
        <v>3</v>
      </c>
      <c r="G1" s="2" t="s">
        <v>4</v>
      </c>
      <c r="H1" s="2" t="s">
        <v>5</v>
      </c>
      <c r="I1" s="17" t="s">
        <v>106</v>
      </c>
      <c r="J1" s="17" t="s">
        <v>106</v>
      </c>
      <c r="K1" s="18" t="s">
        <v>0</v>
      </c>
      <c r="L1" s="18" t="s">
        <v>1</v>
      </c>
      <c r="M1" s="18" t="s">
        <v>2</v>
      </c>
      <c r="N1" s="17" t="s">
        <v>3</v>
      </c>
      <c r="O1" s="18" t="s">
        <v>4</v>
      </c>
      <c r="P1" s="18" t="s">
        <v>5</v>
      </c>
    </row>
    <row r="2" spans="1:16" x14ac:dyDescent="0.3">
      <c r="A2" s="6" t="s">
        <v>83</v>
      </c>
      <c r="B2" s="27" t="s">
        <v>123</v>
      </c>
      <c r="C2" s="27">
        <v>4.5558086560364463E-3</v>
      </c>
      <c r="D2" s="27">
        <v>0</v>
      </c>
      <c r="E2" s="27">
        <v>0</v>
      </c>
      <c r="F2" s="27">
        <v>0</v>
      </c>
      <c r="G2" s="27">
        <v>2.1141649048625794E-3</v>
      </c>
      <c r="H2" s="27">
        <v>0</v>
      </c>
      <c r="I2" s="8">
        <v>2.5259791463947689E-3</v>
      </c>
      <c r="J2" s="8">
        <v>2.5259791463947689E-3</v>
      </c>
      <c r="K2" s="8">
        <v>7.3529411764705881E-3</v>
      </c>
      <c r="L2" s="8">
        <v>0</v>
      </c>
      <c r="M2" s="8">
        <v>0</v>
      </c>
      <c r="N2" s="8">
        <v>6.8965517241379309E-3</v>
      </c>
      <c r="O2" s="8">
        <v>1.0526315789473684E-2</v>
      </c>
      <c r="P2" s="8">
        <v>0</v>
      </c>
    </row>
    <row r="3" spans="1:16" x14ac:dyDescent="0.3">
      <c r="A3" s="6" t="s">
        <v>77</v>
      </c>
      <c r="B3" s="27">
        <v>5.1837485091231778E-3</v>
      </c>
      <c r="C3" s="27">
        <v>1.1389521640091117E-2</v>
      </c>
      <c r="D3" s="27">
        <v>0</v>
      </c>
      <c r="E3" s="27">
        <v>4.0983606557377051E-3</v>
      </c>
      <c r="F3" s="27">
        <v>1.30718954248366E-3</v>
      </c>
      <c r="G3" s="27">
        <v>6.3424947145877377E-3</v>
      </c>
      <c r="H3" s="27">
        <v>2.0242914979757085E-2</v>
      </c>
      <c r="I3" s="8">
        <v>7.7097276555179468E-3</v>
      </c>
      <c r="J3" s="8">
        <f>J2+B3</f>
        <v>7.7097276555179468E-3</v>
      </c>
      <c r="K3" s="8">
        <f t="shared" ref="K3:P18" si="0">K2+C3</f>
        <v>1.8742462816561705E-2</v>
      </c>
      <c r="L3" s="8">
        <f t="shared" si="0"/>
        <v>0</v>
      </c>
      <c r="M3" s="8">
        <f t="shared" si="0"/>
        <v>4.0983606557377051E-3</v>
      </c>
      <c r="N3" s="8">
        <f t="shared" si="0"/>
        <v>8.2037412666215916E-3</v>
      </c>
      <c r="O3" s="8">
        <f t="shared" si="0"/>
        <v>1.6868810504061423E-2</v>
      </c>
      <c r="P3" s="8">
        <f t="shared" si="0"/>
        <v>2.0242914979757085E-2</v>
      </c>
    </row>
    <row r="4" spans="1:16" x14ac:dyDescent="0.3">
      <c r="A4" s="6" t="s">
        <v>79</v>
      </c>
      <c r="B4" s="27">
        <v>5.4517219490015792E-3</v>
      </c>
      <c r="C4" s="27">
        <v>1.1389521640091117E-2</v>
      </c>
      <c r="D4" s="27">
        <v>0</v>
      </c>
      <c r="E4" s="27">
        <v>1.2295081967213115E-2</v>
      </c>
      <c r="F4" s="27">
        <v>5.2287581699346402E-3</v>
      </c>
      <c r="G4" s="27">
        <v>6.3424947145877377E-3</v>
      </c>
      <c r="H4" s="27">
        <v>8.0971659919028341E-3</v>
      </c>
      <c r="I4" s="8">
        <v>1.3161449604519527E-2</v>
      </c>
      <c r="J4" s="8">
        <f t="shared" ref="J4:P25" si="1">J3+B4</f>
        <v>1.3161449604519527E-2</v>
      </c>
      <c r="K4" s="8">
        <f t="shared" si="0"/>
        <v>3.013198445665282E-2</v>
      </c>
      <c r="L4" s="8">
        <f t="shared" si="0"/>
        <v>0</v>
      </c>
      <c r="M4" s="8">
        <f t="shared" si="0"/>
        <v>1.6393442622950821E-2</v>
      </c>
      <c r="N4" s="8">
        <f t="shared" si="0"/>
        <v>1.3432499436556233E-2</v>
      </c>
      <c r="O4" s="8">
        <f t="shared" si="0"/>
        <v>2.3211305218649159E-2</v>
      </c>
      <c r="P4" s="8">
        <f t="shared" si="0"/>
        <v>2.8340080971659919E-2</v>
      </c>
    </row>
    <row r="5" spans="1:16" x14ac:dyDescent="0.3">
      <c r="A5" s="6" t="s">
        <v>85</v>
      </c>
      <c r="B5" s="27">
        <v>6.5587597662041565E-3</v>
      </c>
      <c r="C5" s="27">
        <v>0</v>
      </c>
      <c r="D5" s="27">
        <v>0</v>
      </c>
      <c r="E5" s="27">
        <v>0</v>
      </c>
      <c r="F5" s="27">
        <v>0</v>
      </c>
      <c r="G5" s="27">
        <v>4.2283298097251587E-3</v>
      </c>
      <c r="H5" s="27">
        <v>8.0971659919028341E-3</v>
      </c>
      <c r="I5" s="8">
        <v>1.9720209370723683E-2</v>
      </c>
      <c r="J5" s="8">
        <f t="shared" si="1"/>
        <v>1.9720209370723683E-2</v>
      </c>
      <c r="K5" s="8">
        <f t="shared" si="0"/>
        <v>3.013198445665282E-2</v>
      </c>
      <c r="L5" s="8">
        <f t="shared" si="0"/>
        <v>0</v>
      </c>
      <c r="M5" s="8">
        <f t="shared" si="0"/>
        <v>1.6393442622950821E-2</v>
      </c>
      <c r="N5" s="8">
        <f t="shared" si="0"/>
        <v>1.3432499436556233E-2</v>
      </c>
      <c r="O5" s="8">
        <f t="shared" si="0"/>
        <v>2.7439635028374317E-2</v>
      </c>
      <c r="P5" s="8">
        <f t="shared" si="0"/>
        <v>3.643724696356275E-2</v>
      </c>
    </row>
    <row r="6" spans="1:16" x14ac:dyDescent="0.3">
      <c r="A6" s="6" t="s">
        <v>80</v>
      </c>
      <c r="B6" s="27">
        <v>7.8634829079071936E-3</v>
      </c>
      <c r="C6" s="27">
        <v>6.8337129840546698E-3</v>
      </c>
      <c r="D6" s="27">
        <v>4.3478260869565218E-3</v>
      </c>
      <c r="E6" s="27">
        <v>1.2295081967213115E-2</v>
      </c>
      <c r="F6" s="27">
        <v>5.2287581699346402E-3</v>
      </c>
      <c r="G6" s="27">
        <v>2.5369978858350951E-2</v>
      </c>
      <c r="H6" s="27">
        <v>4.048582995951417E-3</v>
      </c>
      <c r="I6" s="8">
        <v>2.7583692278630875E-2</v>
      </c>
      <c r="J6" s="8">
        <f t="shared" si="1"/>
        <v>2.7583692278630875E-2</v>
      </c>
      <c r="K6" s="8">
        <f t="shared" si="0"/>
        <v>3.696569744070749E-2</v>
      </c>
      <c r="L6" s="8">
        <f t="shared" si="0"/>
        <v>4.3478260869565218E-3</v>
      </c>
      <c r="M6" s="8">
        <f t="shared" si="0"/>
        <v>2.8688524590163935E-2</v>
      </c>
      <c r="N6" s="8">
        <f t="shared" si="0"/>
        <v>1.8661257606490872E-2</v>
      </c>
      <c r="O6" s="8">
        <f t="shared" si="0"/>
        <v>5.2809613886725268E-2</v>
      </c>
      <c r="P6" s="8">
        <f t="shared" si="0"/>
        <v>4.0485829959514164E-2</v>
      </c>
    </row>
    <row r="7" spans="1:16" x14ac:dyDescent="0.3">
      <c r="A7" s="6" t="s">
        <v>97</v>
      </c>
      <c r="B7" s="27">
        <v>7.9140024908350894E-3</v>
      </c>
      <c r="C7" s="27">
        <v>9.1116173120728925E-3</v>
      </c>
      <c r="D7" s="27">
        <v>6.5217391304347823E-3</v>
      </c>
      <c r="E7" s="27">
        <v>0</v>
      </c>
      <c r="F7" s="27">
        <v>0</v>
      </c>
      <c r="G7" s="27">
        <v>8.4566596194503175E-3</v>
      </c>
      <c r="H7" s="27">
        <v>0</v>
      </c>
      <c r="I7" s="8">
        <v>3.5497694769465966E-2</v>
      </c>
      <c r="J7" s="8">
        <f t="shared" si="1"/>
        <v>3.5497694769465966E-2</v>
      </c>
      <c r="K7" s="8">
        <f t="shared" si="0"/>
        <v>4.6077314752780381E-2</v>
      </c>
      <c r="L7" s="8">
        <f t="shared" si="0"/>
        <v>1.0869565217391304E-2</v>
      </c>
      <c r="M7" s="8">
        <f t="shared" si="0"/>
        <v>2.8688524590163935E-2</v>
      </c>
      <c r="N7" s="8">
        <f t="shared" si="0"/>
        <v>1.8661257606490872E-2</v>
      </c>
      <c r="O7" s="8">
        <f t="shared" si="0"/>
        <v>6.1266273506175584E-2</v>
      </c>
      <c r="P7" s="8">
        <f t="shared" si="0"/>
        <v>4.0485829959514164E-2</v>
      </c>
    </row>
    <row r="8" spans="1:16" x14ac:dyDescent="0.3">
      <c r="A8" s="6" t="s">
        <v>86</v>
      </c>
      <c r="B8" s="27">
        <v>9.7392969870560044E-3</v>
      </c>
      <c r="C8" s="27">
        <v>4.5558086560364463E-3</v>
      </c>
      <c r="D8" s="27">
        <v>4.3478260869565218E-3</v>
      </c>
      <c r="E8" s="27">
        <v>8.1967213114754103E-3</v>
      </c>
      <c r="F8" s="27">
        <v>3.9215686274509803E-3</v>
      </c>
      <c r="G8" s="27">
        <v>0</v>
      </c>
      <c r="H8" s="27">
        <v>4.048582995951417E-3</v>
      </c>
      <c r="I8" s="8">
        <v>4.5236991756521974E-2</v>
      </c>
      <c r="J8" s="8">
        <f t="shared" si="1"/>
        <v>4.5236991756521974E-2</v>
      </c>
      <c r="K8" s="8">
        <f t="shared" si="0"/>
        <v>5.063312340881683E-2</v>
      </c>
      <c r="L8" s="8">
        <f t="shared" si="0"/>
        <v>1.5217391304347825E-2</v>
      </c>
      <c r="M8" s="8">
        <f t="shared" si="0"/>
        <v>3.6885245901639344E-2</v>
      </c>
      <c r="N8" s="8">
        <f t="shared" si="0"/>
        <v>2.2582826233941852E-2</v>
      </c>
      <c r="O8" s="8">
        <f t="shared" si="0"/>
        <v>6.1266273506175584E-2</v>
      </c>
      <c r="P8" s="8">
        <f t="shared" si="0"/>
        <v>4.4534412955465577E-2</v>
      </c>
    </row>
    <row r="9" spans="1:16" x14ac:dyDescent="0.3">
      <c r="A9" s="6" t="s">
        <v>91</v>
      </c>
      <c r="B9" s="27">
        <v>9.7524760086893682E-3</v>
      </c>
      <c r="C9" s="27">
        <v>9.1116173120728925E-3</v>
      </c>
      <c r="D9" s="27">
        <v>4.3478260869565218E-3</v>
      </c>
      <c r="E9" s="27">
        <v>8.1967213114754103E-3</v>
      </c>
      <c r="F9" s="27">
        <v>5.2287581699346402E-3</v>
      </c>
      <c r="G9" s="27">
        <v>6.3424947145877377E-3</v>
      </c>
      <c r="H9" s="27">
        <v>1.2145748987854251E-2</v>
      </c>
      <c r="I9" s="8">
        <v>5.4989467765211339E-2</v>
      </c>
      <c r="J9" s="8">
        <f t="shared" si="1"/>
        <v>5.4989467765211339E-2</v>
      </c>
      <c r="K9" s="8">
        <f t="shared" si="0"/>
        <v>5.974474072088972E-2</v>
      </c>
      <c r="L9" s="8">
        <f t="shared" si="0"/>
        <v>1.9565217391304346E-2</v>
      </c>
      <c r="M9" s="8">
        <f t="shared" si="0"/>
        <v>4.5081967213114756E-2</v>
      </c>
      <c r="N9" s="8">
        <f t="shared" si="0"/>
        <v>2.7811584403876492E-2</v>
      </c>
      <c r="O9" s="8">
        <f t="shared" si="0"/>
        <v>6.7608768220763324E-2</v>
      </c>
      <c r="P9" s="8">
        <f t="shared" si="0"/>
        <v>5.6680161943319832E-2</v>
      </c>
    </row>
    <row r="10" spans="1:16" x14ac:dyDescent="0.3">
      <c r="A10" s="6" t="s">
        <v>94</v>
      </c>
      <c r="B10" s="27">
        <v>9.7898165699839002E-3</v>
      </c>
      <c r="C10" s="27">
        <v>2.2779043280182231E-3</v>
      </c>
      <c r="D10" s="27">
        <v>8.6956521739130436E-3</v>
      </c>
      <c r="E10" s="27">
        <v>4.0983606557377051E-3</v>
      </c>
      <c r="F10" s="27">
        <v>3.9215686274509803E-3</v>
      </c>
      <c r="G10" s="27">
        <v>4.2283298097251587E-3</v>
      </c>
      <c r="H10" s="27">
        <v>1.2145748987854251E-2</v>
      </c>
      <c r="I10" s="8">
        <v>6.4779284335195239E-2</v>
      </c>
      <c r="J10" s="8">
        <f t="shared" si="1"/>
        <v>6.4779284335195239E-2</v>
      </c>
      <c r="K10" s="8">
        <f t="shared" si="0"/>
        <v>6.2022645048907941E-2</v>
      </c>
      <c r="L10" s="8">
        <f t="shared" si="0"/>
        <v>2.8260869565217388E-2</v>
      </c>
      <c r="M10" s="8">
        <f t="shared" si="0"/>
        <v>4.9180327868852458E-2</v>
      </c>
      <c r="N10" s="8">
        <f t="shared" si="0"/>
        <v>3.1733153031327468E-2</v>
      </c>
      <c r="O10" s="8">
        <f t="shared" si="0"/>
        <v>7.1837098030488489E-2</v>
      </c>
      <c r="P10" s="8">
        <f t="shared" si="0"/>
        <v>6.8825910931174086E-2</v>
      </c>
    </row>
    <row r="11" spans="1:16" x14ac:dyDescent="0.3">
      <c r="A11" s="6" t="s">
        <v>88</v>
      </c>
      <c r="B11" s="27">
        <v>1.1428408259732159E-2</v>
      </c>
      <c r="C11" s="27">
        <v>2.2779043280182231E-3</v>
      </c>
      <c r="D11" s="27">
        <v>1.0869565217391304E-2</v>
      </c>
      <c r="E11" s="27">
        <v>4.0983606557377051E-3</v>
      </c>
      <c r="F11" s="27">
        <v>1.5686274509803921E-2</v>
      </c>
      <c r="G11" s="27">
        <v>2.1141649048625794E-3</v>
      </c>
      <c r="H11" s="27">
        <v>1.2145748987854251E-2</v>
      </c>
      <c r="I11" s="8">
        <v>7.6207692594927393E-2</v>
      </c>
      <c r="J11" s="8">
        <f t="shared" si="1"/>
        <v>7.6207692594927393E-2</v>
      </c>
      <c r="K11" s="8">
        <f t="shared" si="0"/>
        <v>6.4300549376926169E-2</v>
      </c>
      <c r="L11" s="8">
        <f t="shared" si="0"/>
        <v>3.9130434782608692E-2</v>
      </c>
      <c r="M11" s="8">
        <f t="shared" si="0"/>
        <v>5.3278688524590161E-2</v>
      </c>
      <c r="N11" s="8">
        <f t="shared" si="0"/>
        <v>4.741942754113139E-2</v>
      </c>
      <c r="O11" s="8">
        <f t="shared" si="0"/>
        <v>7.3951262935351064E-2</v>
      </c>
      <c r="P11" s="8">
        <f t="shared" si="0"/>
        <v>8.0971659919028341E-2</v>
      </c>
    </row>
    <row r="12" spans="1:16" x14ac:dyDescent="0.3">
      <c r="A12" s="6" t="s">
        <v>87</v>
      </c>
      <c r="B12" s="27">
        <v>1.3952190902521366E-2</v>
      </c>
      <c r="C12" s="27">
        <v>1.8223234624145785E-2</v>
      </c>
      <c r="D12" s="27">
        <v>2.8260869565217391E-2</v>
      </c>
      <c r="E12" s="27">
        <v>1.6393442622950821E-2</v>
      </c>
      <c r="F12" s="27">
        <v>1.699346405228758E-2</v>
      </c>
      <c r="G12" s="27">
        <v>1.2684989429175475E-2</v>
      </c>
      <c r="H12" s="27">
        <v>1.2145748987854251E-2</v>
      </c>
      <c r="I12" s="8">
        <v>9.0159883497448759E-2</v>
      </c>
      <c r="J12" s="8">
        <f t="shared" si="1"/>
        <v>9.0159883497448759E-2</v>
      </c>
      <c r="K12" s="8">
        <f t="shared" si="0"/>
        <v>8.2523784001071951E-2</v>
      </c>
      <c r="L12" s="8">
        <f t="shared" si="0"/>
        <v>6.7391304347826086E-2</v>
      </c>
      <c r="M12" s="8">
        <f t="shared" si="0"/>
        <v>6.9672131147540978E-2</v>
      </c>
      <c r="N12" s="8">
        <f t="shared" si="0"/>
        <v>6.4412891593418967E-2</v>
      </c>
      <c r="O12" s="8">
        <f t="shared" si="0"/>
        <v>8.6636252364526545E-2</v>
      </c>
      <c r="P12" s="8">
        <f t="shared" si="0"/>
        <v>9.3117408906882596E-2</v>
      </c>
    </row>
    <row r="13" spans="1:16" x14ac:dyDescent="0.3">
      <c r="A13" s="6" t="s">
        <v>98</v>
      </c>
      <c r="B13" s="27">
        <v>1.6557244178716318E-2</v>
      </c>
      <c r="C13" s="27">
        <v>9.1116173120728925E-3</v>
      </c>
      <c r="D13" s="27">
        <v>8.6956521739130436E-3</v>
      </c>
      <c r="E13" s="27">
        <v>1.6393442622950821E-2</v>
      </c>
      <c r="F13" s="27">
        <v>7.8431372549019607E-3</v>
      </c>
      <c r="G13" s="27">
        <v>2.5369978858350951E-2</v>
      </c>
      <c r="H13" s="27">
        <v>1.6194331983805668E-2</v>
      </c>
      <c r="I13" s="8">
        <v>0.10671712767616508</v>
      </c>
      <c r="J13" s="8">
        <f t="shared" si="1"/>
        <v>0.10671712767616508</v>
      </c>
      <c r="K13" s="8">
        <f t="shared" si="0"/>
        <v>9.1635401313144849E-2</v>
      </c>
      <c r="L13" s="8">
        <f t="shared" si="0"/>
        <v>7.6086956521739135E-2</v>
      </c>
      <c r="M13" s="8">
        <f t="shared" si="0"/>
        <v>8.6065573770491802E-2</v>
      </c>
      <c r="N13" s="8">
        <f t="shared" si="0"/>
        <v>7.2256028848320927E-2</v>
      </c>
      <c r="O13" s="8">
        <f t="shared" si="0"/>
        <v>0.11200623122287749</v>
      </c>
      <c r="P13" s="8">
        <f t="shared" si="0"/>
        <v>0.10931174089068826</v>
      </c>
    </row>
    <row r="14" spans="1:16" x14ac:dyDescent="0.3">
      <c r="A14" s="6" t="s">
        <v>78</v>
      </c>
      <c r="B14" s="27">
        <v>1.7088798051262E-2</v>
      </c>
      <c r="C14" s="27">
        <v>6.8337129840546698E-3</v>
      </c>
      <c r="D14" s="27">
        <v>4.3478260869565218E-3</v>
      </c>
      <c r="E14" s="27">
        <v>4.0983606557377051E-3</v>
      </c>
      <c r="F14" s="27">
        <v>1.045751633986928E-2</v>
      </c>
      <c r="G14" s="27">
        <v>8.4566596194503175E-3</v>
      </c>
      <c r="H14" s="27">
        <v>0</v>
      </c>
      <c r="I14" s="8">
        <v>0.12380592572742707</v>
      </c>
      <c r="J14" s="8">
        <f t="shared" si="1"/>
        <v>0.12380592572742707</v>
      </c>
      <c r="K14" s="8">
        <f t="shared" si="0"/>
        <v>9.8469114297199511E-2</v>
      </c>
      <c r="L14" s="8">
        <f t="shared" si="0"/>
        <v>8.043478260869566E-2</v>
      </c>
      <c r="M14" s="8">
        <f t="shared" si="0"/>
        <v>9.0163934426229511E-2</v>
      </c>
      <c r="N14" s="8">
        <f t="shared" si="0"/>
        <v>8.2713545188190213E-2</v>
      </c>
      <c r="O14" s="8">
        <f t="shared" si="0"/>
        <v>0.12046289084232781</v>
      </c>
      <c r="P14" s="8">
        <f t="shared" si="0"/>
        <v>0.10931174089068826</v>
      </c>
    </row>
    <row r="15" spans="1:16" x14ac:dyDescent="0.3">
      <c r="A15" s="6" t="s">
        <v>89</v>
      </c>
      <c r="B15" s="27">
        <v>1.7820233751913703E-2</v>
      </c>
      <c r="C15" s="27">
        <v>1.5945330296127564E-2</v>
      </c>
      <c r="D15" s="27">
        <v>2.1739130434782609E-3</v>
      </c>
      <c r="E15" s="27">
        <v>8.1967213114754103E-3</v>
      </c>
      <c r="F15" s="27">
        <v>7.8431372549019607E-3</v>
      </c>
      <c r="G15" s="27">
        <v>1.4799154334038054E-2</v>
      </c>
      <c r="H15" s="27">
        <v>3.643724696356275E-2</v>
      </c>
      <c r="I15" s="8">
        <v>0.14162615947934076</v>
      </c>
      <c r="J15" s="8">
        <f t="shared" si="1"/>
        <v>0.14162615947934076</v>
      </c>
      <c r="K15" s="8">
        <f t="shared" si="0"/>
        <v>0.11441444459332707</v>
      </c>
      <c r="L15" s="8">
        <f t="shared" si="0"/>
        <v>8.2608695652173922E-2</v>
      </c>
      <c r="M15" s="8">
        <f t="shared" si="0"/>
        <v>9.8360655737704916E-2</v>
      </c>
      <c r="N15" s="8">
        <f t="shared" si="0"/>
        <v>9.0556682443092174E-2</v>
      </c>
      <c r="O15" s="8">
        <f t="shared" si="0"/>
        <v>0.13526204517636586</v>
      </c>
      <c r="P15" s="8">
        <f t="shared" si="0"/>
        <v>0.145748987854251</v>
      </c>
    </row>
    <row r="16" spans="1:16" x14ac:dyDescent="0.3">
      <c r="A16" s="6" t="s">
        <v>84</v>
      </c>
      <c r="B16" s="27">
        <v>1.9555471600306632E-2</v>
      </c>
      <c r="C16" s="27">
        <v>6.8337129840546698E-3</v>
      </c>
      <c r="D16" s="27">
        <v>1.3043478260869565E-2</v>
      </c>
      <c r="E16" s="27">
        <v>0</v>
      </c>
      <c r="F16" s="27">
        <v>2.4836601307189541E-2</v>
      </c>
      <c r="G16" s="27">
        <v>3.8054968287526428E-2</v>
      </c>
      <c r="H16" s="27">
        <v>1.6194331983805668E-2</v>
      </c>
      <c r="I16" s="8">
        <v>0.16118163107964739</v>
      </c>
      <c r="J16" s="8">
        <f t="shared" si="1"/>
        <v>0.16118163107964739</v>
      </c>
      <c r="K16" s="8">
        <f t="shared" si="0"/>
        <v>0.12124815757738175</v>
      </c>
      <c r="L16" s="8">
        <f t="shared" si="0"/>
        <v>9.5652173913043481E-2</v>
      </c>
      <c r="M16" s="8">
        <f t="shared" si="0"/>
        <v>9.8360655737704916E-2</v>
      </c>
      <c r="N16" s="8">
        <f t="shared" si="0"/>
        <v>0.11539328375028171</v>
      </c>
      <c r="O16" s="8">
        <f t="shared" si="0"/>
        <v>0.17331701346389228</v>
      </c>
      <c r="P16" s="8">
        <f t="shared" si="0"/>
        <v>0.16194331983805665</v>
      </c>
    </row>
    <row r="17" spans="1:16" x14ac:dyDescent="0.3">
      <c r="A17" s="6" t="s">
        <v>90</v>
      </c>
      <c r="B17" s="27">
        <v>1.9669689787795788E-2</v>
      </c>
      <c r="C17" s="27">
        <v>0</v>
      </c>
      <c r="D17" s="27">
        <v>0</v>
      </c>
      <c r="E17" s="27">
        <v>8.1967213114754103E-3</v>
      </c>
      <c r="F17" s="27">
        <v>3.0065359477124184E-2</v>
      </c>
      <c r="G17" s="27">
        <v>1.2684989429175475E-2</v>
      </c>
      <c r="H17" s="27">
        <v>2.4291497975708502E-2</v>
      </c>
      <c r="I17" s="8">
        <v>0.18085132086744318</v>
      </c>
      <c r="J17" s="8">
        <f t="shared" si="1"/>
        <v>0.18085132086744318</v>
      </c>
      <c r="K17" s="8">
        <f t="shared" si="0"/>
        <v>0.12124815757738175</v>
      </c>
      <c r="L17" s="8">
        <f t="shared" si="0"/>
        <v>9.5652173913043481E-2</v>
      </c>
      <c r="M17" s="8">
        <f t="shared" si="0"/>
        <v>0.10655737704918032</v>
      </c>
      <c r="N17" s="8">
        <f t="shared" si="0"/>
        <v>0.1454586432274059</v>
      </c>
      <c r="O17" s="8">
        <f t="shared" si="0"/>
        <v>0.18600200289306776</v>
      </c>
      <c r="P17" s="8">
        <f t="shared" si="0"/>
        <v>0.18623481781376516</v>
      </c>
    </row>
    <row r="18" spans="1:16" x14ac:dyDescent="0.3">
      <c r="A18" s="6" t="s">
        <v>82</v>
      </c>
      <c r="B18" s="27">
        <v>2.1736599680628375E-2</v>
      </c>
      <c r="C18" s="27">
        <v>2.7334851936218679E-2</v>
      </c>
      <c r="D18" s="27">
        <v>1.3043478260869565E-2</v>
      </c>
      <c r="E18" s="27">
        <v>2.8688524590163935E-2</v>
      </c>
      <c r="F18" s="27">
        <v>1.4379084967320261E-2</v>
      </c>
      <c r="G18" s="27">
        <v>1.9027484143763214E-2</v>
      </c>
      <c r="H18" s="27">
        <v>8.0971659919028341E-3</v>
      </c>
      <c r="I18" s="8">
        <v>0.20258792054807157</v>
      </c>
      <c r="J18" s="8">
        <f t="shared" si="1"/>
        <v>0.20258792054807157</v>
      </c>
      <c r="K18" s="8">
        <f t="shared" si="0"/>
        <v>0.14858300951360043</v>
      </c>
      <c r="L18" s="8">
        <f t="shared" si="0"/>
        <v>0.10869565217391304</v>
      </c>
      <c r="M18" s="8">
        <f t="shared" si="0"/>
        <v>0.13524590163934425</v>
      </c>
      <c r="N18" s="8">
        <f t="shared" si="0"/>
        <v>0.15983772819472616</v>
      </c>
      <c r="O18" s="8">
        <f t="shared" si="0"/>
        <v>0.20502948703683097</v>
      </c>
      <c r="P18" s="8">
        <f t="shared" si="0"/>
        <v>0.19433198380566799</v>
      </c>
    </row>
    <row r="19" spans="1:16" x14ac:dyDescent="0.3">
      <c r="A19" s="6" t="s">
        <v>96</v>
      </c>
      <c r="B19" s="27">
        <v>2.4009980912383669E-2</v>
      </c>
      <c r="C19" s="27">
        <v>1.5945330296127564E-2</v>
      </c>
      <c r="D19" s="27">
        <v>1.0869565217391304E-2</v>
      </c>
      <c r="E19" s="27">
        <v>8.1967213114754103E-3</v>
      </c>
      <c r="F19" s="27">
        <v>5.2287581699346402E-3</v>
      </c>
      <c r="G19" s="27">
        <v>1.0570824524312896E-2</v>
      </c>
      <c r="H19" s="27">
        <v>1.2145748987854251E-2</v>
      </c>
      <c r="I19" s="8">
        <v>0.22659790146045522</v>
      </c>
      <c r="J19" s="8">
        <f t="shared" si="1"/>
        <v>0.22659790146045522</v>
      </c>
      <c r="K19" s="8">
        <f t="shared" si="1"/>
        <v>0.164528339809728</v>
      </c>
      <c r="L19" s="8">
        <f t="shared" si="1"/>
        <v>0.11956521739130435</v>
      </c>
      <c r="M19" s="8">
        <f t="shared" si="1"/>
        <v>0.14344262295081966</v>
      </c>
      <c r="N19" s="8">
        <f t="shared" si="1"/>
        <v>0.16506648636466081</v>
      </c>
      <c r="O19" s="8">
        <f t="shared" si="1"/>
        <v>0.21560031156114387</v>
      </c>
      <c r="P19" s="8">
        <f t="shared" si="1"/>
        <v>0.20647773279352225</v>
      </c>
    </row>
    <row r="20" spans="1:16" x14ac:dyDescent="0.3">
      <c r="A20" s="6" t="s">
        <v>81</v>
      </c>
      <c r="B20" s="27">
        <v>2.6070301294399575E-2</v>
      </c>
      <c r="C20" s="27">
        <v>2.5056947608200455E-2</v>
      </c>
      <c r="D20" s="27">
        <v>2.1739130434782608E-2</v>
      </c>
      <c r="E20" s="27">
        <v>1.6393442622950821E-2</v>
      </c>
      <c r="F20" s="27">
        <v>2.3529411764705882E-2</v>
      </c>
      <c r="G20" s="27">
        <v>1.4799154334038054E-2</v>
      </c>
      <c r="H20" s="27">
        <v>8.0971659919028341E-3</v>
      </c>
      <c r="I20" s="8">
        <v>0.2526682027548548</v>
      </c>
      <c r="J20" s="8">
        <f t="shared" si="1"/>
        <v>0.2526682027548548</v>
      </c>
      <c r="K20" s="8">
        <f t="shared" si="1"/>
        <v>0.18958528741792846</v>
      </c>
      <c r="L20" s="8">
        <f t="shared" si="1"/>
        <v>0.14130434782608697</v>
      </c>
      <c r="M20" s="8">
        <f t="shared" si="1"/>
        <v>0.15983606557377047</v>
      </c>
      <c r="N20" s="8">
        <f t="shared" si="1"/>
        <v>0.1885958981293667</v>
      </c>
      <c r="O20" s="8">
        <f t="shared" si="1"/>
        <v>0.23039946589518193</v>
      </c>
      <c r="P20" s="8">
        <f t="shared" si="1"/>
        <v>0.21457489878542507</v>
      </c>
    </row>
    <row r="21" spans="1:16" x14ac:dyDescent="0.3">
      <c r="A21" s="6" t="s">
        <v>92</v>
      </c>
      <c r="B21" s="27">
        <v>3.4972730407736963E-2</v>
      </c>
      <c r="C21" s="27">
        <v>2.7334851936218679E-2</v>
      </c>
      <c r="D21" s="27">
        <v>2.1739130434782609E-3</v>
      </c>
      <c r="E21" s="27">
        <v>1.2295081967213115E-2</v>
      </c>
      <c r="F21" s="27">
        <v>1.1764705882352941E-2</v>
      </c>
      <c r="G21" s="27">
        <v>3.382663847780127E-2</v>
      </c>
      <c r="H21" s="27">
        <v>4.048582995951417E-2</v>
      </c>
      <c r="I21" s="8">
        <v>0.28764093316259176</v>
      </c>
      <c r="J21" s="8">
        <f t="shared" si="1"/>
        <v>0.28764093316259176</v>
      </c>
      <c r="K21" s="8">
        <f t="shared" si="1"/>
        <v>0.21692013935414714</v>
      </c>
      <c r="L21" s="8">
        <f t="shared" si="1"/>
        <v>0.14347826086956522</v>
      </c>
      <c r="M21" s="8">
        <f t="shared" si="1"/>
        <v>0.17213114754098358</v>
      </c>
      <c r="N21" s="8">
        <f t="shared" si="1"/>
        <v>0.20036060401171962</v>
      </c>
      <c r="O21" s="8">
        <f t="shared" si="1"/>
        <v>0.26422610437298322</v>
      </c>
      <c r="P21" s="8">
        <f t="shared" si="1"/>
        <v>0.25506072874493924</v>
      </c>
    </row>
    <row r="22" spans="1:16" x14ac:dyDescent="0.3">
      <c r="A22" s="6" t="s">
        <v>76</v>
      </c>
      <c r="B22" s="27">
        <v>5.1097263376157831E-2</v>
      </c>
      <c r="C22" s="27">
        <v>4.1002277904328019E-2</v>
      </c>
      <c r="D22" s="27">
        <v>0.05</v>
      </c>
      <c r="E22" s="27">
        <v>0.15163934426229508</v>
      </c>
      <c r="F22" s="27">
        <v>3.1372549019607843E-2</v>
      </c>
      <c r="G22" s="27">
        <v>5.4968287526427059E-2</v>
      </c>
      <c r="H22" s="27">
        <v>5.2631578947368418E-2</v>
      </c>
      <c r="I22" s="8">
        <v>0.33873819653874959</v>
      </c>
      <c r="J22" s="8">
        <f t="shared" si="1"/>
        <v>0.33873819653874959</v>
      </c>
      <c r="K22" s="8">
        <f t="shared" si="1"/>
        <v>0.25792241725847515</v>
      </c>
      <c r="L22" s="8">
        <f t="shared" si="1"/>
        <v>0.19347826086956521</v>
      </c>
      <c r="M22" s="8">
        <f t="shared" si="1"/>
        <v>0.32377049180327866</v>
      </c>
      <c r="N22" s="8">
        <f t="shared" si="1"/>
        <v>0.23173315303132747</v>
      </c>
      <c r="O22" s="8">
        <f t="shared" si="1"/>
        <v>0.31919439189941029</v>
      </c>
      <c r="P22" s="8">
        <f t="shared" si="1"/>
        <v>0.30769230769230765</v>
      </c>
    </row>
    <row r="23" spans="1:16" x14ac:dyDescent="0.3">
      <c r="A23" s="6" t="s">
        <v>93</v>
      </c>
      <c r="B23" s="27">
        <v>5.4591900612604854E-2</v>
      </c>
      <c r="C23" s="27">
        <v>1.8223234624145785E-2</v>
      </c>
      <c r="D23" s="27">
        <v>1.5217391304347827E-2</v>
      </c>
      <c r="E23" s="27">
        <v>2.4590163934426229E-2</v>
      </c>
      <c r="F23" s="27">
        <v>8.3660130718954243E-2</v>
      </c>
      <c r="G23" s="27">
        <v>7.1881606765327691E-2</v>
      </c>
      <c r="H23" s="27">
        <v>8.0971659919028341E-2</v>
      </c>
      <c r="I23" s="8">
        <v>0.39333009715135447</v>
      </c>
      <c r="J23" s="8">
        <f t="shared" si="1"/>
        <v>0.39333009715135447</v>
      </c>
      <c r="K23" s="8">
        <f t="shared" si="1"/>
        <v>0.27614565188262091</v>
      </c>
      <c r="L23" s="8">
        <f t="shared" si="1"/>
        <v>0.20869565217391303</v>
      </c>
      <c r="M23" s="8">
        <f t="shared" si="1"/>
        <v>0.34836065573770492</v>
      </c>
      <c r="N23" s="8">
        <f t="shared" si="1"/>
        <v>0.31539328375028169</v>
      </c>
      <c r="O23" s="8">
        <f t="shared" si="1"/>
        <v>0.39107599866473797</v>
      </c>
      <c r="P23" s="8">
        <f t="shared" si="1"/>
        <v>0.38866396761133598</v>
      </c>
    </row>
    <row r="24" spans="1:16" x14ac:dyDescent="0.3">
      <c r="A24" s="6" t="s">
        <v>95</v>
      </c>
      <c r="B24" s="27">
        <v>7.0832848272120441E-2</v>
      </c>
      <c r="C24" s="27">
        <v>0.11161731207289294</v>
      </c>
      <c r="D24" s="27">
        <v>3.0434782608695653E-2</v>
      </c>
      <c r="E24" s="27">
        <v>9.8360655737704916E-2</v>
      </c>
      <c r="F24" s="27">
        <v>7.0588235294117646E-2</v>
      </c>
      <c r="G24" s="27">
        <v>5.9196617336152217E-2</v>
      </c>
      <c r="H24" s="27">
        <v>0.25506072874493929</v>
      </c>
      <c r="I24" s="8">
        <v>0.46416294542347492</v>
      </c>
      <c r="J24" s="8">
        <f t="shared" si="1"/>
        <v>0.46416294542347492</v>
      </c>
      <c r="K24" s="8">
        <f t="shared" si="1"/>
        <v>0.38776296395551385</v>
      </c>
      <c r="L24" s="8">
        <f t="shared" si="1"/>
        <v>0.23913043478260868</v>
      </c>
      <c r="M24" s="8">
        <f t="shared" si="1"/>
        <v>0.44672131147540983</v>
      </c>
      <c r="N24" s="8">
        <f t="shared" si="1"/>
        <v>0.38598151904439937</v>
      </c>
      <c r="O24" s="8">
        <f t="shared" si="1"/>
        <v>0.45027261600089019</v>
      </c>
      <c r="P24" s="8">
        <f t="shared" si="1"/>
        <v>0.64372469635627527</v>
      </c>
    </row>
    <row r="25" spans="1:16" x14ac:dyDescent="0.3">
      <c r="A25" s="6" t="s">
        <v>75</v>
      </c>
      <c r="B25" s="27">
        <v>0.53583705457652508</v>
      </c>
      <c r="C25" s="27">
        <v>0.61503416856492032</v>
      </c>
      <c r="D25" s="27">
        <v>0.76086956521739135</v>
      </c>
      <c r="E25" s="27">
        <v>0.55327868852459017</v>
      </c>
      <c r="F25" s="27">
        <v>0.62091503267973858</v>
      </c>
      <c r="G25" s="27">
        <v>0.55813953488372092</v>
      </c>
      <c r="H25" s="27">
        <v>0.35627530364372467</v>
      </c>
      <c r="I25" s="8">
        <v>1</v>
      </c>
      <c r="J25" s="8">
        <f t="shared" si="1"/>
        <v>1</v>
      </c>
      <c r="K25" s="8">
        <f t="shared" si="1"/>
        <v>1.0027971325204341</v>
      </c>
      <c r="L25" s="8">
        <f t="shared" si="1"/>
        <v>1</v>
      </c>
      <c r="M25" s="8">
        <f t="shared" si="1"/>
        <v>1</v>
      </c>
      <c r="N25" s="8">
        <f t="shared" si="1"/>
        <v>1.0068965517241379</v>
      </c>
      <c r="O25" s="8">
        <f t="shared" si="1"/>
        <v>1.0084121508846111</v>
      </c>
      <c r="P25" s="8">
        <f t="shared" si="1"/>
        <v>1</v>
      </c>
    </row>
    <row r="27" spans="1:16" ht="28.8" x14ac:dyDescent="0.3">
      <c r="B27" s="1" t="s">
        <v>107</v>
      </c>
      <c r="C27" s="2" t="s">
        <v>109</v>
      </c>
      <c r="D27" s="2" t="s">
        <v>110</v>
      </c>
      <c r="E27" s="2" t="s">
        <v>111</v>
      </c>
      <c r="F27" s="2" t="s">
        <v>112</v>
      </c>
      <c r="G27" s="2" t="s">
        <v>113</v>
      </c>
      <c r="H27" s="2" t="s">
        <v>114</v>
      </c>
      <c r="J27" s="6"/>
      <c r="K27" s="20" t="s">
        <v>115</v>
      </c>
      <c r="L27" s="20" t="s">
        <v>116</v>
      </c>
      <c r="M27" s="20" t="s">
        <v>117</v>
      </c>
      <c r="N27" s="20" t="s">
        <v>118</v>
      </c>
      <c r="O27" s="20" t="s">
        <v>119</v>
      </c>
      <c r="P27" s="20" t="s">
        <v>120</v>
      </c>
    </row>
    <row r="28" spans="1:16" x14ac:dyDescent="0.3">
      <c r="B28" s="26" t="s">
        <v>83</v>
      </c>
      <c r="C28" s="8" t="e">
        <f>C2-B2</f>
        <v>#VALUE!</v>
      </c>
      <c r="D28" s="8" t="e">
        <f>D2-B2</f>
        <v>#VALUE!</v>
      </c>
      <c r="E28" s="8" t="e">
        <f>E2-B2</f>
        <v>#VALUE!</v>
      </c>
      <c r="F28" s="8" t="e">
        <f>F2-B2</f>
        <v>#VALUE!</v>
      </c>
      <c r="G28" s="8" t="e">
        <f>G2-B2</f>
        <v>#VALUE!</v>
      </c>
      <c r="H28" s="8" t="e">
        <f>H2-B2</f>
        <v>#VALUE!</v>
      </c>
      <c r="J28" s="26" t="s">
        <v>83</v>
      </c>
      <c r="K28" s="6">
        <f>(J2-0) * ((K2+0))</f>
        <v>1.8573376076432125E-5</v>
      </c>
      <c r="L28" s="6">
        <f>(J2-0) * ((L2+0))</f>
        <v>0</v>
      </c>
      <c r="M28" s="6">
        <f>(J2-0) * ((M2+0))</f>
        <v>0</v>
      </c>
      <c r="N28" s="6">
        <f>(J2-0) * ((N2+0))</f>
        <v>1.7420545837205302E-5</v>
      </c>
      <c r="O28" s="6">
        <f>(J2-0) * ((O2+0))</f>
        <v>2.6589254172576516E-5</v>
      </c>
      <c r="P28" s="6">
        <f>(J2-0) * ((P2+0))</f>
        <v>0</v>
      </c>
    </row>
    <row r="29" spans="1:16" x14ac:dyDescent="0.3">
      <c r="B29" s="26" t="s">
        <v>77</v>
      </c>
      <c r="C29" s="8">
        <f t="shared" ref="C29:C51" si="2">C3-B3</f>
        <v>6.2057731309679391E-3</v>
      </c>
      <c r="D29" s="8">
        <f t="shared" ref="D29:D51" si="3">D3-B3</f>
        <v>-5.1837485091231778E-3</v>
      </c>
      <c r="E29" s="8">
        <f t="shared" ref="E29:E51" si="4">E3-B3</f>
        <v>-1.0853878533854727E-3</v>
      </c>
      <c r="F29" s="8">
        <f t="shared" ref="F29:F51" si="5">F3-B3</f>
        <v>-3.876558966639518E-3</v>
      </c>
      <c r="G29" s="8">
        <f t="shared" ref="G29:G51" si="6">G3-B3</f>
        <v>1.1587462054645599E-3</v>
      </c>
      <c r="H29" s="8">
        <f t="shared" ref="H29:H51" si="7">H3-B3</f>
        <v>1.5059166470633907E-2</v>
      </c>
      <c r="J29" s="26" t="s">
        <v>77</v>
      </c>
      <c r="K29" s="6">
        <f>(J3-J2) * ((K3+K2))</f>
        <v>1.3527201154384815E-4</v>
      </c>
      <c r="L29" s="6">
        <f>(J3-J2) * ((L3+L2))</f>
        <v>0</v>
      </c>
      <c r="M29" s="6">
        <f>(J3-J2) * ((M3+M2))</f>
        <v>2.1244870939029418E-5</v>
      </c>
      <c r="N29" s="6">
        <f>(J3-J2) * ((N3+N2))</f>
        <v>7.8276121278172842E-5</v>
      </c>
      <c r="O29" s="6">
        <f>(J3-J2) * ((O3+O2))</f>
        <v>1.4200944508135376E-4</v>
      </c>
      <c r="P29" s="6">
        <f>(J3-J2) * ((P3+P2))</f>
        <v>1.0493418034662303E-4</v>
      </c>
    </row>
    <row r="30" spans="1:16" x14ac:dyDescent="0.3">
      <c r="B30" s="26" t="s">
        <v>79</v>
      </c>
      <c r="C30" s="8">
        <f t="shared" si="2"/>
        <v>5.9377996910895377E-3</v>
      </c>
      <c r="D30" s="8">
        <f t="shared" si="3"/>
        <v>-5.4517219490015792E-3</v>
      </c>
      <c r="E30" s="8">
        <f t="shared" si="4"/>
        <v>6.8433600182115353E-3</v>
      </c>
      <c r="F30" s="8">
        <f t="shared" si="5"/>
        <v>-2.2296377906693907E-4</v>
      </c>
      <c r="G30" s="8">
        <f t="shared" si="6"/>
        <v>8.9077276558615845E-4</v>
      </c>
      <c r="H30" s="8">
        <f t="shared" si="7"/>
        <v>2.6454440429012549E-3</v>
      </c>
      <c r="J30" s="26" t="s">
        <v>79</v>
      </c>
      <c r="K30" s="6">
        <f t="shared" ref="K30:K51" si="8">(J4-J3) * ((K4+K3))</f>
        <v>2.6644989694470404E-4</v>
      </c>
      <c r="L30" s="6">
        <f t="shared" ref="L30:L51" si="9">(J4-J3) * ((L4+L3))</f>
        <v>0</v>
      </c>
      <c r="M30" s="6">
        <f t="shared" ref="M30:M51" si="10">(J4-J3) * ((M4+M3))</f>
        <v>1.1171561370904879E-4</v>
      </c>
      <c r="N30" s="6">
        <f t="shared" ref="N30:N51" si="11">(J4-J3) * ((N4+N3))</f>
        <v>1.1795476833539592E-4</v>
      </c>
      <c r="O30" s="6">
        <f t="shared" ref="O30:O51" si="12">(J4-J3) * ((O4+O3))</f>
        <v>2.1850564660402463E-4</v>
      </c>
      <c r="P30" s="6">
        <f t="shared" ref="P30:P51" si="13">(J4-J3) * ((P4+P3))</f>
        <v>2.64860985376595E-4</v>
      </c>
    </row>
    <row r="31" spans="1:16" x14ac:dyDescent="0.3">
      <c r="B31" s="26" t="s">
        <v>85</v>
      </c>
      <c r="C31" s="8">
        <f t="shared" si="2"/>
        <v>-6.5587597662041565E-3</v>
      </c>
      <c r="D31" s="8">
        <f t="shared" si="3"/>
        <v>-6.5587597662041565E-3</v>
      </c>
      <c r="E31" s="8">
        <f t="shared" si="4"/>
        <v>-6.5587597662041565E-3</v>
      </c>
      <c r="F31" s="8">
        <f t="shared" si="5"/>
        <v>-6.5587597662041565E-3</v>
      </c>
      <c r="G31" s="8">
        <f t="shared" si="6"/>
        <v>-2.3304299564789977E-3</v>
      </c>
      <c r="H31" s="8">
        <f t="shared" si="7"/>
        <v>1.5384062256986776E-3</v>
      </c>
      <c r="J31" s="26" t="s">
        <v>85</v>
      </c>
      <c r="K31" s="6">
        <f t="shared" si="8"/>
        <v>3.9525689466036708E-4</v>
      </c>
      <c r="L31" s="6">
        <f t="shared" si="9"/>
        <v>0</v>
      </c>
      <c r="M31" s="6">
        <f t="shared" si="10"/>
        <v>2.1504130380997237E-4</v>
      </c>
      <c r="N31" s="6">
        <f t="shared" si="11"/>
        <v>1.7620107372809003E-4</v>
      </c>
      <c r="O31" s="6">
        <f t="shared" si="12"/>
        <v>3.3220734901258841E-4</v>
      </c>
      <c r="P31" s="6">
        <f t="shared" si="13"/>
        <v>4.2485893222375101E-4</v>
      </c>
    </row>
    <row r="32" spans="1:16" x14ac:dyDescent="0.3">
      <c r="B32" s="26" t="s">
        <v>80</v>
      </c>
      <c r="C32" s="8">
        <f t="shared" si="2"/>
        <v>-1.0297699238525238E-3</v>
      </c>
      <c r="D32" s="8">
        <f t="shared" si="3"/>
        <v>-3.5156568209506718E-3</v>
      </c>
      <c r="E32" s="8">
        <f t="shared" si="4"/>
        <v>4.4315990593059209E-3</v>
      </c>
      <c r="F32" s="8">
        <f t="shared" si="5"/>
        <v>-2.6347247379725535E-3</v>
      </c>
      <c r="G32" s="8">
        <f t="shared" si="6"/>
        <v>1.7506495950443755E-2</v>
      </c>
      <c r="H32" s="8">
        <f t="shared" si="7"/>
        <v>-3.8148999119557766E-3</v>
      </c>
      <c r="J32" s="26" t="s">
        <v>80</v>
      </c>
      <c r="K32" s="6">
        <f t="shared" si="8"/>
        <v>5.2762147476008664E-4</v>
      </c>
      <c r="L32" s="6">
        <f t="shared" si="9"/>
        <v>3.418905612133562E-5</v>
      </c>
      <c r="M32" s="6">
        <f t="shared" si="10"/>
        <v>3.5450127863516031E-4</v>
      </c>
      <c r="N32" s="6">
        <f t="shared" si="11"/>
        <v>2.5236870995852702E-4</v>
      </c>
      <c r="O32" s="6">
        <f t="shared" si="12"/>
        <v>6.3103859721627535E-4</v>
      </c>
      <c r="P32" s="6">
        <f t="shared" si="13"/>
        <v>6.0488330060824551E-4</v>
      </c>
    </row>
    <row r="33" spans="2:16" x14ac:dyDescent="0.3">
      <c r="B33" s="26" t="s">
        <v>97</v>
      </c>
      <c r="C33" s="8">
        <f t="shared" si="2"/>
        <v>1.1976148212378031E-3</v>
      </c>
      <c r="D33" s="8">
        <f t="shared" si="3"/>
        <v>-1.3922633604003072E-3</v>
      </c>
      <c r="E33" s="8">
        <f t="shared" si="4"/>
        <v>-7.9140024908350894E-3</v>
      </c>
      <c r="F33" s="8">
        <f t="shared" si="5"/>
        <v>-7.9140024908350894E-3</v>
      </c>
      <c r="G33" s="8">
        <f t="shared" si="6"/>
        <v>5.4265712861522805E-4</v>
      </c>
      <c r="H33" s="8">
        <f t="shared" si="7"/>
        <v>-7.9140024908350894E-3</v>
      </c>
      <c r="J33" s="26" t="s">
        <v>97</v>
      </c>
      <c r="K33" s="6">
        <f t="shared" si="8"/>
        <v>6.5720260534571178E-4</v>
      </c>
      <c r="L33" s="6">
        <f t="shared" si="9"/>
        <v>1.2043047268662095E-4</v>
      </c>
      <c r="M33" s="6">
        <f t="shared" si="10"/>
        <v>4.5408211012988229E-4</v>
      </c>
      <c r="N33" s="6">
        <f t="shared" si="11"/>
        <v>2.9537047835976812E-4</v>
      </c>
      <c r="O33" s="6">
        <f t="shared" si="12"/>
        <v>9.0279685697164077E-4</v>
      </c>
      <c r="P33" s="6">
        <f t="shared" si="13"/>
        <v>6.4080991828624207E-4</v>
      </c>
    </row>
    <row r="34" spans="2:16" x14ac:dyDescent="0.3">
      <c r="B34" s="26" t="s">
        <v>86</v>
      </c>
      <c r="C34" s="8">
        <f t="shared" si="2"/>
        <v>-5.1834883310195581E-3</v>
      </c>
      <c r="D34" s="8">
        <f t="shared" si="3"/>
        <v>-5.3914709000994826E-3</v>
      </c>
      <c r="E34" s="8">
        <f t="shared" si="4"/>
        <v>-1.5425756755805941E-3</v>
      </c>
      <c r="F34" s="8">
        <f t="shared" si="5"/>
        <v>-5.817728359605024E-3</v>
      </c>
      <c r="G34" s="8">
        <f t="shared" si="6"/>
        <v>-9.7392969870560044E-3</v>
      </c>
      <c r="H34" s="8">
        <f t="shared" si="7"/>
        <v>-5.6907139911045873E-3</v>
      </c>
      <c r="J34" s="26" t="s">
        <v>86</v>
      </c>
      <c r="K34" s="6">
        <f t="shared" si="8"/>
        <v>9.4189167900411014E-4</v>
      </c>
      <c r="L34" s="6">
        <f t="shared" si="9"/>
        <v>2.5406861705363495E-4</v>
      </c>
      <c r="M34" s="6">
        <f t="shared" si="10"/>
        <v>6.3864242538072189E-4</v>
      </c>
      <c r="N34" s="6">
        <f t="shared" si="11"/>
        <v>4.016883814810118E-4</v>
      </c>
      <c r="O34" s="6">
        <f t="shared" si="12"/>
        <v>1.1933808659336904E-3</v>
      </c>
      <c r="P34" s="6">
        <f t="shared" si="13"/>
        <v>8.2803739566063208E-4</v>
      </c>
    </row>
    <row r="35" spans="2:16" x14ac:dyDescent="0.3">
      <c r="B35" s="26" t="s">
        <v>91</v>
      </c>
      <c r="C35" s="8">
        <f t="shared" si="2"/>
        <v>-6.4085869661647567E-4</v>
      </c>
      <c r="D35" s="8">
        <f t="shared" si="3"/>
        <v>-5.4046499217328464E-3</v>
      </c>
      <c r="E35" s="8">
        <f t="shared" si="4"/>
        <v>-1.5557546972139579E-3</v>
      </c>
      <c r="F35" s="8">
        <f t="shared" si="5"/>
        <v>-4.523717838754728E-3</v>
      </c>
      <c r="G35" s="8">
        <f t="shared" si="6"/>
        <v>-3.4099812941016305E-3</v>
      </c>
      <c r="H35" s="8">
        <f t="shared" si="7"/>
        <v>2.393272979164883E-3</v>
      </c>
      <c r="J35" s="26" t="s">
        <v>91</v>
      </c>
      <c r="K35" s="6">
        <f t="shared" si="8"/>
        <v>1.0764574718153375E-3</v>
      </c>
      <c r="L35" s="6">
        <f t="shared" si="9"/>
        <v>3.3921655682397786E-4</v>
      </c>
      <c r="M35" s="6">
        <f t="shared" si="10"/>
        <v>7.9938327940076769E-4</v>
      </c>
      <c r="N35" s="6">
        <f t="shared" si="11"/>
        <v>4.9147028071736345E-4</v>
      </c>
      <c r="O35" s="6">
        <f t="shared" si="12"/>
        <v>1.2568507525608126E-3</v>
      </c>
      <c r="P35" s="6">
        <f t="shared" si="13"/>
        <v>9.8709271343009751E-4</v>
      </c>
    </row>
    <row r="36" spans="2:16" x14ac:dyDescent="0.3">
      <c r="B36" s="26" t="s">
        <v>94</v>
      </c>
      <c r="C36" s="8">
        <f t="shared" si="2"/>
        <v>-7.5119122419656775E-3</v>
      </c>
      <c r="D36" s="8">
        <f t="shared" si="3"/>
        <v>-1.0941643960708566E-3</v>
      </c>
      <c r="E36" s="8">
        <f t="shared" si="4"/>
        <v>-5.691455914246195E-3</v>
      </c>
      <c r="F36" s="8">
        <f t="shared" si="5"/>
        <v>-5.8682479425329198E-3</v>
      </c>
      <c r="G36" s="8">
        <f t="shared" si="6"/>
        <v>-5.5614867602587414E-3</v>
      </c>
      <c r="H36" s="8">
        <f t="shared" si="7"/>
        <v>2.355932417870351E-3</v>
      </c>
      <c r="J36" s="26" t="s">
        <v>94</v>
      </c>
      <c r="K36" s="6">
        <f t="shared" si="8"/>
        <v>1.1920803708927868E-3</v>
      </c>
      <c r="L36" s="6">
        <f t="shared" si="9"/>
        <v>4.6820861856444734E-4</v>
      </c>
      <c r="M36" s="6">
        <f t="shared" si="10"/>
        <v>9.2281057831815447E-4</v>
      </c>
      <c r="N36" s="6">
        <f t="shared" si="11"/>
        <v>5.8293205719850037E-4</v>
      </c>
      <c r="O36" s="6">
        <f t="shared" si="12"/>
        <v>1.3651494520422638E-3</v>
      </c>
      <c r="P36" s="6">
        <f t="shared" si="13"/>
        <v>1.2286814318603274E-3</v>
      </c>
    </row>
    <row r="37" spans="2:16" x14ac:dyDescent="0.3">
      <c r="B37" s="26" t="s">
        <v>88</v>
      </c>
      <c r="C37" s="8">
        <f t="shared" si="2"/>
        <v>-9.150503931713936E-3</v>
      </c>
      <c r="D37" s="8">
        <f t="shared" si="3"/>
        <v>-5.5884304234085462E-4</v>
      </c>
      <c r="E37" s="8">
        <f t="shared" si="4"/>
        <v>-7.3300476039944535E-3</v>
      </c>
      <c r="F37" s="8">
        <f t="shared" si="5"/>
        <v>4.2578662500717627E-3</v>
      </c>
      <c r="G37" s="8">
        <f t="shared" si="6"/>
        <v>-9.3142433548695797E-3</v>
      </c>
      <c r="H37" s="8">
        <f t="shared" si="7"/>
        <v>7.1734072812209247E-4</v>
      </c>
      <c r="J37" s="26" t="s">
        <v>88</v>
      </c>
      <c r="K37" s="6">
        <f t="shared" si="8"/>
        <v>1.4436730385719533E-3</v>
      </c>
      <c r="L37" s="6">
        <f t="shared" si="9"/>
        <v>7.7017533924281906E-4</v>
      </c>
      <c r="M37" s="6">
        <f t="shared" si="10"/>
        <v>1.1709434692348517E-3</v>
      </c>
      <c r="N37" s="6">
        <f t="shared" si="11"/>
        <v>9.0458800559340357E-4</v>
      </c>
      <c r="O37" s="6">
        <f t="shared" si="12"/>
        <v>1.6661289086348135E-3</v>
      </c>
      <c r="P37" s="6">
        <f t="shared" si="13"/>
        <v>1.7119477959922659E-3</v>
      </c>
    </row>
    <row r="38" spans="2:16" x14ac:dyDescent="0.3">
      <c r="B38" s="26" t="s">
        <v>87</v>
      </c>
      <c r="C38" s="8">
        <f t="shared" si="2"/>
        <v>4.2710437216244186E-3</v>
      </c>
      <c r="D38" s="8">
        <f t="shared" si="3"/>
        <v>1.4308678662696025E-2</v>
      </c>
      <c r="E38" s="8">
        <f t="shared" si="4"/>
        <v>2.4412517204294541E-3</v>
      </c>
      <c r="F38" s="8">
        <f t="shared" si="5"/>
        <v>3.0412731497662139E-3</v>
      </c>
      <c r="G38" s="8">
        <f t="shared" si="6"/>
        <v>-1.267201473345891E-3</v>
      </c>
      <c r="H38" s="8">
        <f t="shared" si="7"/>
        <v>-1.8064419146671153E-3</v>
      </c>
      <c r="J38" s="26" t="s">
        <v>87</v>
      </c>
      <c r="K38" s="6">
        <f t="shared" si="8"/>
        <v>2.0485211284252693E-3</v>
      </c>
      <c r="L38" s="6">
        <f t="shared" si="9"/>
        <v>1.4862116396164064E-3</v>
      </c>
      <c r="M38" s="6">
        <f t="shared" si="10"/>
        <v>1.7154333076870533E-3</v>
      </c>
      <c r="N38" s="6">
        <f t="shared" si="11"/>
        <v>1.5603058656369396E-3</v>
      </c>
      <c r="O38" s="6">
        <f t="shared" si="12"/>
        <v>2.2405476700254629E-3</v>
      </c>
      <c r="P38" s="6">
        <f t="shared" si="13"/>
        <v>2.4289239223012904E-3</v>
      </c>
    </row>
    <row r="39" spans="2:16" x14ac:dyDescent="0.3">
      <c r="B39" s="26" t="s">
        <v>98</v>
      </c>
      <c r="C39" s="8">
        <f t="shared" si="2"/>
        <v>-7.4456268666434258E-3</v>
      </c>
      <c r="D39" s="8">
        <f t="shared" si="3"/>
        <v>-7.8615920048032747E-3</v>
      </c>
      <c r="E39" s="8">
        <f t="shared" si="4"/>
        <v>-1.6380155576549774E-4</v>
      </c>
      <c r="F39" s="8">
        <f t="shared" si="5"/>
        <v>-8.7141069238143576E-3</v>
      </c>
      <c r="G39" s="8">
        <f t="shared" si="6"/>
        <v>8.8127346796346324E-3</v>
      </c>
      <c r="H39" s="8">
        <f t="shared" si="7"/>
        <v>-3.6291219491065008E-4</v>
      </c>
      <c r="J39" s="26" t="s">
        <v>98</v>
      </c>
      <c r="K39" s="6">
        <f t="shared" si="8"/>
        <v>2.8835961572137928E-3</v>
      </c>
      <c r="L39" s="6">
        <f t="shared" si="9"/>
        <v>2.3756045995549499E-3</v>
      </c>
      <c r="M39" s="6">
        <f t="shared" si="10"/>
        <v>2.578587208160738E-3</v>
      </c>
      <c r="N39" s="6">
        <f t="shared" si="11"/>
        <v>2.2628606873954416E-3</v>
      </c>
      <c r="O39" s="6">
        <f t="shared" si="12"/>
        <v>3.2889721050232976E-3</v>
      </c>
      <c r="P39" s="6">
        <f t="shared" si="13"/>
        <v>3.3516688620883238E-3</v>
      </c>
    </row>
    <row r="40" spans="2:16" x14ac:dyDescent="0.3">
      <c r="B40" s="26" t="s">
        <v>78</v>
      </c>
      <c r="C40" s="8">
        <f t="shared" si="2"/>
        <v>-1.0255085067207331E-2</v>
      </c>
      <c r="D40" s="8">
        <f t="shared" si="3"/>
        <v>-1.2740971964305479E-2</v>
      </c>
      <c r="E40" s="8">
        <f t="shared" si="4"/>
        <v>-1.2990437395524294E-2</v>
      </c>
      <c r="F40" s="8">
        <f t="shared" si="5"/>
        <v>-6.6312817113927201E-3</v>
      </c>
      <c r="G40" s="8">
        <f t="shared" si="6"/>
        <v>-8.6321384318116829E-3</v>
      </c>
      <c r="H40" s="8">
        <f t="shared" si="7"/>
        <v>-1.7088798051262E-2</v>
      </c>
      <c r="J40" s="26" t="s">
        <v>78</v>
      </c>
      <c r="K40" s="6">
        <f t="shared" si="8"/>
        <v>3.2486576758981585E-3</v>
      </c>
      <c r="L40" s="6">
        <f t="shared" si="9"/>
        <v>2.6747683906323126E-3</v>
      </c>
      <c r="M40" s="6">
        <f t="shared" si="10"/>
        <v>3.0115504762469915E-3</v>
      </c>
      <c r="N40" s="6">
        <f t="shared" si="11"/>
        <v>2.648243754800033E-3</v>
      </c>
      <c r="O40" s="6">
        <f t="shared" si="12"/>
        <v>3.9726178801264677E-3</v>
      </c>
      <c r="P40" s="6">
        <f t="shared" si="13"/>
        <v>3.7360125294256998E-3</v>
      </c>
    </row>
    <row r="41" spans="2:16" x14ac:dyDescent="0.3">
      <c r="B41" s="26" t="s">
        <v>89</v>
      </c>
      <c r="C41" s="8">
        <f t="shared" si="2"/>
        <v>-1.8749034557861387E-3</v>
      </c>
      <c r="D41" s="8">
        <f>D15-B15</f>
        <v>-1.5646320708435441E-2</v>
      </c>
      <c r="E41" s="8">
        <f>E15-B15</f>
        <v>-9.6235124404382925E-3</v>
      </c>
      <c r="F41" s="8">
        <f t="shared" si="5"/>
        <v>-9.9770964970117421E-3</v>
      </c>
      <c r="G41" s="8">
        <f t="shared" si="6"/>
        <v>-3.0210794178756484E-3</v>
      </c>
      <c r="H41" s="8">
        <f t="shared" si="7"/>
        <v>1.8617013211649047E-2</v>
      </c>
      <c r="J41" s="26" t="s">
        <v>89</v>
      </c>
      <c r="K41" s="6">
        <f t="shared" si="8"/>
        <v>3.793634781368467E-3</v>
      </c>
      <c r="L41" s="6">
        <f t="shared" si="9"/>
        <v>2.9054728943337538E-3</v>
      </c>
      <c r="M41" s="6">
        <f t="shared" si="10"/>
        <v>3.3595522647050396E-3</v>
      </c>
      <c r="N41" s="6">
        <f t="shared" si="11"/>
        <v>3.0877159586367464E-3</v>
      </c>
      <c r="O41" s="6">
        <f t="shared" si="12"/>
        <v>4.5570781360462932E-3</v>
      </c>
      <c r="P41" s="6">
        <f t="shared" si="13"/>
        <v>4.5452418071682682E-3</v>
      </c>
    </row>
    <row r="42" spans="2:16" x14ac:dyDescent="0.3">
      <c r="B42" s="26" t="s">
        <v>84</v>
      </c>
      <c r="C42" s="8">
        <f t="shared" si="2"/>
        <v>-1.2721758616251962E-2</v>
      </c>
      <c r="D42" s="8">
        <f t="shared" si="3"/>
        <v>-6.5119933394370676E-3</v>
      </c>
      <c r="E42" s="8">
        <f t="shared" si="4"/>
        <v>-1.9555471600306632E-2</v>
      </c>
      <c r="F42" s="8">
        <f t="shared" si="5"/>
        <v>5.2811297068829088E-3</v>
      </c>
      <c r="G42" s="8">
        <f t="shared" si="6"/>
        <v>1.8499496687219796E-2</v>
      </c>
      <c r="H42" s="8">
        <f t="shared" si="7"/>
        <v>-3.361139616500964E-3</v>
      </c>
      <c r="J42" s="26" t="s">
        <v>84</v>
      </c>
      <c r="K42" s="6">
        <f t="shared" si="8"/>
        <v>4.6084933240036555E-3</v>
      </c>
      <c r="L42" s="6">
        <f t="shared" si="9"/>
        <v>3.4859753722285736E-3</v>
      </c>
      <c r="M42" s="6">
        <f t="shared" si="10"/>
        <v>3.8469780197324514E-3</v>
      </c>
      <c r="N42" s="6">
        <f t="shared" si="11"/>
        <v>4.027448714978633E-3</v>
      </c>
      <c r="O42" s="6">
        <f t="shared" si="12"/>
        <v>6.0344090176889216E-3</v>
      </c>
      <c r="P42" s="6">
        <f t="shared" si="13"/>
        <v>6.0170681847097314E-3</v>
      </c>
    </row>
    <row r="43" spans="2:16" x14ac:dyDescent="0.3">
      <c r="B43" s="26" t="s">
        <v>90</v>
      </c>
      <c r="C43" s="8">
        <f t="shared" si="2"/>
        <v>-1.9669689787795788E-2</v>
      </c>
      <c r="D43" s="8">
        <f t="shared" si="3"/>
        <v>-1.9669689787795788E-2</v>
      </c>
      <c r="E43" s="8">
        <f t="shared" si="4"/>
        <v>-1.1472968476320377E-2</v>
      </c>
      <c r="F43" s="8">
        <f t="shared" si="5"/>
        <v>1.0395669689328396E-2</v>
      </c>
      <c r="G43" s="8">
        <f t="shared" si="6"/>
        <v>-6.9847003586203122E-3</v>
      </c>
      <c r="H43" s="8">
        <f t="shared" si="7"/>
        <v>4.6218081879127147E-3</v>
      </c>
      <c r="J43" s="26" t="s">
        <v>90</v>
      </c>
      <c r="K43" s="6">
        <f t="shared" si="8"/>
        <v>4.7698272937777616E-3</v>
      </c>
      <c r="L43" s="6">
        <f t="shared" si="9"/>
        <v>3.7628971767957168E-3</v>
      </c>
      <c r="M43" s="6">
        <f t="shared" si="10"/>
        <v>4.0306741368434E-3</v>
      </c>
      <c r="N43" s="6">
        <f t="shared" si="11"/>
        <v>5.130876484199875E-3</v>
      </c>
      <c r="O43" s="6">
        <f t="shared" si="12"/>
        <v>7.0676935865973262E-3</v>
      </c>
      <c r="P43" s="6">
        <f t="shared" si="13"/>
        <v>6.8485559585037964E-3</v>
      </c>
    </row>
    <row r="44" spans="2:16" x14ac:dyDescent="0.3">
      <c r="B44" s="26" t="s">
        <v>82</v>
      </c>
      <c r="C44" s="8">
        <f t="shared" si="2"/>
        <v>5.5982522555903039E-3</v>
      </c>
      <c r="D44" s="8">
        <f t="shared" si="3"/>
        <v>-8.6931214197588109E-3</v>
      </c>
      <c r="E44" s="8">
        <f t="shared" si="4"/>
        <v>6.9519249095355597E-3</v>
      </c>
      <c r="F44" s="8">
        <f t="shared" si="5"/>
        <v>-7.3575147133081147E-3</v>
      </c>
      <c r="G44" s="8">
        <f t="shared" si="6"/>
        <v>-2.7091155368651615E-3</v>
      </c>
      <c r="H44" s="8">
        <f t="shared" si="7"/>
        <v>-1.3639433688725541E-2</v>
      </c>
      <c r="J44" s="26" t="s">
        <v>82</v>
      </c>
      <c r="K44" s="6">
        <f t="shared" si="8"/>
        <v>5.8652120604134276E-3</v>
      </c>
      <c r="L44" s="6">
        <f t="shared" si="9"/>
        <v>4.4418268912588431E-3</v>
      </c>
      <c r="M44" s="6">
        <f t="shared" si="10"/>
        <v>5.2559810703158788E-3</v>
      </c>
      <c r="N44" s="6">
        <f t="shared" si="11"/>
        <v>6.6361050095513196E-3</v>
      </c>
      <c r="O44" s="6">
        <f t="shared" si="12"/>
        <v>8.4996949591258763E-3</v>
      </c>
      <c r="P44" s="6">
        <f t="shared" si="13"/>
        <v>8.2722282185387352E-3</v>
      </c>
    </row>
    <row r="45" spans="2:16" x14ac:dyDescent="0.3">
      <c r="B45" s="26" t="s">
        <v>96</v>
      </c>
      <c r="C45" s="8">
        <f t="shared" si="2"/>
        <v>-8.0646506162561048E-3</v>
      </c>
      <c r="D45" s="8">
        <f t="shared" si="3"/>
        <v>-1.3140415694992365E-2</v>
      </c>
      <c r="E45" s="8">
        <f t="shared" si="4"/>
        <v>-1.5813259600908257E-2</v>
      </c>
      <c r="F45" s="8">
        <f t="shared" si="5"/>
        <v>-1.878122274244903E-2</v>
      </c>
      <c r="G45" s="8">
        <f t="shared" si="6"/>
        <v>-1.3439156388070772E-2</v>
      </c>
      <c r="H45" s="8">
        <f t="shared" si="7"/>
        <v>-1.1864231924529418E-2</v>
      </c>
      <c r="J45" s="26" t="s">
        <v>96</v>
      </c>
      <c r="K45" s="6">
        <f t="shared" si="8"/>
        <v>7.5177975207038061E-3</v>
      </c>
      <c r="L45" s="6">
        <f t="shared" si="9"/>
        <v>5.4805391213049648E-3</v>
      </c>
      <c r="M45" s="6">
        <f t="shared" si="10"/>
        <v>6.6913061559101981E-3</v>
      </c>
      <c r="N45" s="6">
        <f t="shared" si="11"/>
        <v>7.8009439899238853E-3</v>
      </c>
      <c r="O45" s="6">
        <f t="shared" si="12"/>
        <v>1.0099313435517157E-2</v>
      </c>
      <c r="P45" s="6">
        <f t="shared" si="13"/>
        <v>9.6234336450444595E-3</v>
      </c>
    </row>
    <row r="46" spans="2:16" x14ac:dyDescent="0.3">
      <c r="B46" s="26" t="s">
        <v>81</v>
      </c>
      <c r="C46" s="8">
        <f t="shared" si="2"/>
        <v>-1.0133536861991199E-3</v>
      </c>
      <c r="D46" s="8">
        <f t="shared" si="3"/>
        <v>-4.3311708596169667E-3</v>
      </c>
      <c r="E46" s="8">
        <f t="shared" si="4"/>
        <v>-9.6768586714487542E-3</v>
      </c>
      <c r="F46" s="8">
        <f t="shared" si="5"/>
        <v>-2.5408895296936927E-3</v>
      </c>
      <c r="G46" s="8">
        <f t="shared" si="6"/>
        <v>-1.127114696036152E-2</v>
      </c>
      <c r="H46" s="8">
        <f t="shared" si="7"/>
        <v>-1.7973135302496741E-2</v>
      </c>
      <c r="J46" s="26" t="s">
        <v>81</v>
      </c>
      <c r="K46" s="6">
        <f t="shared" si="8"/>
        <v>9.2318489542777028E-3</v>
      </c>
      <c r="L46" s="6">
        <f t="shared" si="9"/>
        <v>6.8009481637564132E-3</v>
      </c>
      <c r="M46" s="6">
        <f t="shared" si="10"/>
        <v>7.9065667860064304E-3</v>
      </c>
      <c r="N46" s="6">
        <f t="shared" si="11"/>
        <v>9.2200849202550873E-3</v>
      </c>
      <c r="O46" s="6">
        <f t="shared" si="12"/>
        <v>1.1627348575521574E-2</v>
      </c>
      <c r="P46" s="6">
        <f t="shared" si="13"/>
        <v>1.097696896606298E-2</v>
      </c>
    </row>
    <row r="47" spans="2:16" x14ac:dyDescent="0.3">
      <c r="B47" s="26" t="s">
        <v>92</v>
      </c>
      <c r="C47" s="8">
        <f t="shared" si="2"/>
        <v>-7.6378784715182835E-3</v>
      </c>
      <c r="D47" s="8">
        <f t="shared" si="3"/>
        <v>-3.2798817364258701E-2</v>
      </c>
      <c r="E47" s="8">
        <f t="shared" si="4"/>
        <v>-2.2677648440523848E-2</v>
      </c>
      <c r="F47" s="8">
        <f t="shared" si="5"/>
        <v>-2.3208024525384022E-2</v>
      </c>
      <c r="G47" s="8">
        <f t="shared" si="6"/>
        <v>-1.1460919299356928E-3</v>
      </c>
      <c r="H47" s="8">
        <f t="shared" si="7"/>
        <v>5.5130995517772077E-3</v>
      </c>
      <c r="J47" s="26" t="s">
        <v>92</v>
      </c>
      <c r="K47" s="6">
        <f t="shared" si="8"/>
        <v>1.4216604699781858E-2</v>
      </c>
      <c r="L47" s="6">
        <f t="shared" si="9"/>
        <v>9.9596253987250926E-3</v>
      </c>
      <c r="M47" s="6">
        <f t="shared" si="10"/>
        <v>1.1609799848470057E-2</v>
      </c>
      <c r="N47" s="6">
        <f t="shared" si="11"/>
        <v>1.3602870889716578E-2</v>
      </c>
      <c r="O47" s="6">
        <f t="shared" si="12"/>
        <v>1.7298406721761694E-2</v>
      </c>
      <c r="P47" s="6">
        <f t="shared" si="13"/>
        <v>1.6424440191487803E-2</v>
      </c>
    </row>
    <row r="48" spans="2:16" x14ac:dyDescent="0.3">
      <c r="B48" s="26" t="s">
        <v>76</v>
      </c>
      <c r="C48" s="8">
        <f t="shared" si="2"/>
        <v>-1.0094985471829812E-2</v>
      </c>
      <c r="D48" s="8">
        <f t="shared" si="3"/>
        <v>-1.0972633761578282E-3</v>
      </c>
      <c r="E48" s="8">
        <f t="shared" si="4"/>
        <v>0.10054208088613725</v>
      </c>
      <c r="F48" s="8">
        <f t="shared" si="5"/>
        <v>-1.9724714356549988E-2</v>
      </c>
      <c r="G48" s="8">
        <f t="shared" si="6"/>
        <v>3.8710241502692283E-3</v>
      </c>
      <c r="H48" s="8">
        <f t="shared" si="7"/>
        <v>1.5343155712105871E-3</v>
      </c>
      <c r="J48" s="26" t="s">
        <v>76</v>
      </c>
      <c r="K48" s="6">
        <f t="shared" si="8"/>
        <v>2.4263155177443298E-2</v>
      </c>
      <c r="L48" s="6">
        <f t="shared" si="9"/>
        <v>1.7217556137618398E-2</v>
      </c>
      <c r="M48" s="6">
        <f t="shared" si="10"/>
        <v>2.5339216674242201E-2</v>
      </c>
      <c r="N48" s="6">
        <f t="shared" si="11"/>
        <v>2.2078808506822131E-2</v>
      </c>
      <c r="O48" s="6">
        <f t="shared" si="12"/>
        <v>2.9811190757079196E-2</v>
      </c>
      <c r="P48" s="6">
        <f t="shared" si="13"/>
        <v>2.8755140118566547E-2</v>
      </c>
    </row>
    <row r="49" spans="2:16" x14ac:dyDescent="0.3">
      <c r="B49" s="26" t="s">
        <v>93</v>
      </c>
      <c r="C49" s="8">
        <f t="shared" si="2"/>
        <v>-3.6368665988459073E-2</v>
      </c>
      <c r="D49" s="8">
        <f t="shared" si="3"/>
        <v>-3.9374509308257026E-2</v>
      </c>
      <c r="E49" s="8">
        <f t="shared" si="4"/>
        <v>-3.0001736678178625E-2</v>
      </c>
      <c r="F49" s="8">
        <f t="shared" si="5"/>
        <v>2.9068230106349388E-2</v>
      </c>
      <c r="G49" s="8">
        <f t="shared" si="6"/>
        <v>1.7289706152722836E-2</v>
      </c>
      <c r="H49" s="8">
        <f t="shared" si="7"/>
        <v>2.6379759306423486E-2</v>
      </c>
      <c r="J49" s="26" t="s">
        <v>93</v>
      </c>
      <c r="K49" s="6">
        <f t="shared" si="8"/>
        <v>2.915579095091651E-2</v>
      </c>
      <c r="L49" s="6">
        <f t="shared" si="9"/>
        <v>2.1955438289851963E-2</v>
      </c>
      <c r="M49" s="6">
        <f t="shared" si="10"/>
        <v>3.6692916805193446E-2</v>
      </c>
      <c r="N49" s="6">
        <f t="shared" si="11"/>
        <v>2.9868672059310254E-2</v>
      </c>
      <c r="O49" s="6">
        <f t="shared" si="12"/>
        <v>3.8775010569754034E-2</v>
      </c>
      <c r="P49" s="6">
        <f t="shared" si="13"/>
        <v>3.8015412572340236E-2</v>
      </c>
    </row>
    <row r="50" spans="2:16" x14ac:dyDescent="0.3">
      <c r="B50" s="26" t="s">
        <v>95</v>
      </c>
      <c r="C50" s="8">
        <f t="shared" si="2"/>
        <v>4.0784463800772497E-2</v>
      </c>
      <c r="D50" s="8">
        <f t="shared" si="3"/>
        <v>-4.0398065663424784E-2</v>
      </c>
      <c r="E50" s="8">
        <f t="shared" si="4"/>
        <v>2.7527807465584475E-2</v>
      </c>
      <c r="F50" s="8">
        <f t="shared" si="5"/>
        <v>-2.4461297800279502E-4</v>
      </c>
      <c r="G50" s="8">
        <f t="shared" si="6"/>
        <v>-1.1636230935968224E-2</v>
      </c>
      <c r="H50" s="8">
        <f t="shared" si="7"/>
        <v>0.18422788047281885</v>
      </c>
      <c r="J50" s="26" t="s">
        <v>95</v>
      </c>
      <c r="K50" s="6">
        <f t="shared" si="8"/>
        <v>4.7026538252216095E-2</v>
      </c>
      <c r="L50" s="6">
        <f t="shared" si="9"/>
        <v>3.1720797269688718E-2</v>
      </c>
      <c r="M50" s="6">
        <f t="shared" si="10"/>
        <v>5.6317920347505594E-2</v>
      </c>
      <c r="N50" s="6">
        <f t="shared" si="11"/>
        <v>4.9680374988244042E-2</v>
      </c>
      <c r="O50" s="6">
        <f t="shared" si="12"/>
        <v>5.9595118766569165E-2</v>
      </c>
      <c r="P50" s="6">
        <f t="shared" si="13"/>
        <v>7.3127029592674933E-2</v>
      </c>
    </row>
    <row r="51" spans="2:16" x14ac:dyDescent="0.3">
      <c r="B51" s="26" t="s">
        <v>75</v>
      </c>
      <c r="C51" s="8">
        <f t="shared" si="2"/>
        <v>7.919711398839524E-2</v>
      </c>
      <c r="D51" s="8">
        <f t="shared" si="3"/>
        <v>0.22503251064086627</v>
      </c>
      <c r="E51" s="8">
        <f t="shared" si="4"/>
        <v>1.7441633948065083E-2</v>
      </c>
      <c r="F51" s="8">
        <f t="shared" si="5"/>
        <v>8.5077978103213492E-2</v>
      </c>
      <c r="G51" s="8">
        <f t="shared" si="6"/>
        <v>2.2302480307195838E-2</v>
      </c>
      <c r="H51" s="8">
        <f t="shared" si="7"/>
        <v>-0.17956175093280041</v>
      </c>
      <c r="J51" s="26" t="s">
        <v>75</v>
      </c>
      <c r="K51" s="6">
        <f t="shared" si="8"/>
        <v>0.74511362630732048</v>
      </c>
      <c r="L51" s="6">
        <f t="shared" si="9"/>
        <v>0.66397200241004195</v>
      </c>
      <c r="M51" s="6">
        <f t="shared" si="10"/>
        <v>0.77520688633407109</v>
      </c>
      <c r="N51" s="6">
        <f t="shared" si="11"/>
        <v>0.74635568282484566</v>
      </c>
      <c r="O51" s="6">
        <f t="shared" si="12"/>
        <v>0.78161734904357205</v>
      </c>
      <c r="P51" s="6">
        <f t="shared" si="13"/>
        <v>0.88076859983023958</v>
      </c>
    </row>
    <row r="52" spans="2:16" x14ac:dyDescent="0.3">
      <c r="J52" s="21" t="s">
        <v>122</v>
      </c>
      <c r="K52" s="20">
        <f>SUM(K28:K51)</f>
        <v>0.9103977831033756</v>
      </c>
      <c r="L52" s="20">
        <f t="shared" ref="L52:P52" si="14">SUM(L28:L51)</f>
        <v>0.78022595241590087</v>
      </c>
      <c r="M52" s="20">
        <f t="shared" si="14"/>
        <v>0.94825173436464816</v>
      </c>
      <c r="N52" s="20">
        <f t="shared" si="14"/>
        <v>0.90727926507680401</v>
      </c>
      <c r="O52" s="20">
        <f t="shared" si="14"/>
        <v>0.99221940835263855</v>
      </c>
      <c r="P52" s="20">
        <f t="shared" si="14"/>
        <v>1.0996868310529373</v>
      </c>
    </row>
    <row r="53" spans="2:16" x14ac:dyDescent="0.3">
      <c r="J53" s="24" t="s">
        <v>121</v>
      </c>
      <c r="K53" s="25">
        <f>1-K52</f>
        <v>8.9602216896624398E-2</v>
      </c>
      <c r="L53" s="25">
        <f t="shared" ref="L53:P53" si="15">1-L52</f>
        <v>0.21977404758409913</v>
      </c>
      <c r="M53" s="25">
        <f t="shared" si="15"/>
        <v>5.1748265635351842E-2</v>
      </c>
      <c r="N53" s="25">
        <f t="shared" si="15"/>
        <v>9.2720734923195991E-2</v>
      </c>
      <c r="O53" s="25">
        <f t="shared" si="15"/>
        <v>7.7805916473614456E-3</v>
      </c>
      <c r="P53" s="25">
        <f t="shared" si="15"/>
        <v>-9.9686831052937297E-2</v>
      </c>
    </row>
  </sheetData>
  <sortState xmlns:xlrd2="http://schemas.microsoft.com/office/spreadsheetml/2017/richdata2" ref="A2:P25">
    <sortCondition ref="B1:B25"/>
  </sortState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E2F3-6A43-4C81-AEBD-D77CA671AEA2}">
  <dimension ref="A1:P19"/>
  <sheetViews>
    <sheetView zoomScale="94" zoomScaleNormal="94" workbookViewId="0">
      <selection activeCell="M24" sqref="M24"/>
    </sheetView>
  </sheetViews>
  <sheetFormatPr defaultRowHeight="14.4" x14ac:dyDescent="0.3"/>
  <cols>
    <col min="1" max="1" width="16.6640625" customWidth="1"/>
    <col min="2" max="15" width="10.33203125" customWidth="1"/>
    <col min="16" max="16" width="11.5546875" customWidth="1"/>
  </cols>
  <sheetData>
    <row r="1" spans="1:16" ht="25.95" customHeight="1" x14ac:dyDescent="0.3">
      <c r="A1" s="1" t="s">
        <v>107</v>
      </c>
      <c r="B1" s="10" t="s">
        <v>106</v>
      </c>
      <c r="C1" s="2" t="s">
        <v>0</v>
      </c>
      <c r="D1" s="2" t="s">
        <v>1</v>
      </c>
      <c r="E1" s="2" t="s">
        <v>2</v>
      </c>
      <c r="F1" s="10" t="s">
        <v>3</v>
      </c>
      <c r="G1" s="2" t="s">
        <v>4</v>
      </c>
      <c r="H1" s="2" t="s">
        <v>5</v>
      </c>
      <c r="I1" s="13" t="s">
        <v>106</v>
      </c>
      <c r="J1" s="17" t="s">
        <v>106</v>
      </c>
      <c r="K1" s="18" t="s">
        <v>0</v>
      </c>
      <c r="L1" s="18" t="s">
        <v>1</v>
      </c>
      <c r="M1" s="18" t="s">
        <v>2</v>
      </c>
      <c r="N1" s="17" t="s">
        <v>3</v>
      </c>
      <c r="O1" s="18" t="s">
        <v>4</v>
      </c>
      <c r="P1" s="18" t="s">
        <v>5</v>
      </c>
    </row>
    <row r="2" spans="1:16" x14ac:dyDescent="0.3">
      <c r="A2" s="26" t="s">
        <v>104</v>
      </c>
      <c r="B2" s="27">
        <v>1.2826204047327332E-2</v>
      </c>
      <c r="C2" s="27">
        <v>1.8218623481781375E-2</v>
      </c>
      <c r="D2" s="27">
        <v>5.1150895140664966E-3</v>
      </c>
      <c r="E2" s="27">
        <v>6.4308681672025723E-3</v>
      </c>
      <c r="F2" s="27">
        <v>5.1413881748071976E-3</v>
      </c>
      <c r="G2" s="27">
        <v>9.3676814988290398E-3</v>
      </c>
      <c r="H2" s="27">
        <v>1.3636363636363636E-2</v>
      </c>
      <c r="I2" s="8">
        <v>1.2826204047327332E-2</v>
      </c>
      <c r="J2" s="28">
        <v>1.2826204047327332E-2</v>
      </c>
      <c r="K2" s="28">
        <v>1.8218623481781375E-2</v>
      </c>
      <c r="L2" s="28">
        <v>5.1150895140664966E-3</v>
      </c>
      <c r="M2" s="28">
        <v>6.4308681672025723E-3</v>
      </c>
      <c r="N2" s="28">
        <v>5.1413881748071976E-3</v>
      </c>
      <c r="O2" s="28">
        <v>9.3676814988290398E-3</v>
      </c>
      <c r="P2" s="28">
        <v>1.3636363636363636E-2</v>
      </c>
    </row>
    <row r="3" spans="1:16" x14ac:dyDescent="0.3">
      <c r="A3" s="26" t="s">
        <v>100</v>
      </c>
      <c r="B3" s="27">
        <v>2.0322460358328746E-2</v>
      </c>
      <c r="C3" s="27">
        <v>2.2267206477732792E-2</v>
      </c>
      <c r="D3" s="27">
        <v>2.0460358056265986E-2</v>
      </c>
      <c r="E3" s="27">
        <v>6.4308681672025723E-3</v>
      </c>
      <c r="F3" s="27">
        <v>2.5706940874035988E-3</v>
      </c>
      <c r="G3" s="27">
        <v>9.3676814988290398E-3</v>
      </c>
      <c r="H3" s="27">
        <v>4.5454545454545452E-3</v>
      </c>
      <c r="I3" s="8">
        <v>3.3148664405656079E-2</v>
      </c>
      <c r="J3" s="8">
        <f>J2+B3</f>
        <v>3.3148664405656079E-2</v>
      </c>
      <c r="K3" s="8">
        <f t="shared" ref="K3:P8" si="0">K2+C3</f>
        <v>4.0485829959514164E-2</v>
      </c>
      <c r="L3" s="8">
        <f t="shared" si="0"/>
        <v>2.5575447570332484E-2</v>
      </c>
      <c r="M3" s="8">
        <f t="shared" si="0"/>
        <v>1.2861736334405145E-2</v>
      </c>
      <c r="N3" s="8">
        <f t="shared" si="0"/>
        <v>7.7120822622107968E-3</v>
      </c>
      <c r="O3" s="8">
        <f t="shared" si="0"/>
        <v>1.873536299765808E-2</v>
      </c>
      <c r="P3" s="8">
        <f t="shared" si="0"/>
        <v>1.8181818181818181E-2</v>
      </c>
    </row>
    <row r="4" spans="1:16" x14ac:dyDescent="0.3">
      <c r="A4" s="26" t="s">
        <v>105</v>
      </c>
      <c r="B4" s="27">
        <v>7.2476635237435708E-2</v>
      </c>
      <c r="C4" s="27">
        <v>4.8582995951417005E-2</v>
      </c>
      <c r="D4" s="27">
        <v>4.0920716112531973E-2</v>
      </c>
      <c r="E4" s="27">
        <v>4.5016077170418008E-2</v>
      </c>
      <c r="F4" s="27">
        <v>5.3984575835475578E-2</v>
      </c>
      <c r="G4" s="27">
        <v>3.9812646370023422E-2</v>
      </c>
      <c r="H4" s="27">
        <v>1.3636363636363636E-2</v>
      </c>
      <c r="I4" s="8">
        <v>0.10562529964309178</v>
      </c>
      <c r="J4" s="8">
        <f t="shared" ref="J4:J8" si="1">J3+B4</f>
        <v>0.10562529964309178</v>
      </c>
      <c r="K4" s="8">
        <f t="shared" si="0"/>
        <v>8.9068825910931168E-2</v>
      </c>
      <c r="L4" s="8">
        <f t="shared" si="0"/>
        <v>6.6496163682864456E-2</v>
      </c>
      <c r="M4" s="8">
        <f t="shared" si="0"/>
        <v>5.7877813504823156E-2</v>
      </c>
      <c r="N4" s="8">
        <f t="shared" si="0"/>
        <v>6.1696658097686374E-2</v>
      </c>
      <c r="O4" s="8">
        <f t="shared" si="0"/>
        <v>5.8548009367681501E-2</v>
      </c>
      <c r="P4" s="8">
        <f t="shared" si="0"/>
        <v>3.1818181818181815E-2</v>
      </c>
    </row>
    <row r="5" spans="1:16" x14ac:dyDescent="0.3">
      <c r="A5" s="26" t="s">
        <v>102</v>
      </c>
      <c r="B5" s="27">
        <v>0.11384661825026191</v>
      </c>
      <c r="C5" s="27">
        <v>0.15789473684210525</v>
      </c>
      <c r="D5" s="27">
        <v>0.12276214833759591</v>
      </c>
      <c r="E5" s="27">
        <v>0.16077170418006431</v>
      </c>
      <c r="F5" s="27">
        <v>0.14138817480719795</v>
      </c>
      <c r="G5" s="27">
        <v>5.8548009367681501E-2</v>
      </c>
      <c r="H5" s="27">
        <v>5.909090909090909E-2</v>
      </c>
      <c r="I5" s="8">
        <v>0.21947191789335369</v>
      </c>
      <c r="J5" s="8">
        <f t="shared" si="1"/>
        <v>0.21947191789335369</v>
      </c>
      <c r="K5" s="8">
        <f t="shared" si="0"/>
        <v>0.24696356275303644</v>
      </c>
      <c r="L5" s="8">
        <f t="shared" si="0"/>
        <v>0.18925831202046037</v>
      </c>
      <c r="M5" s="8">
        <f t="shared" si="0"/>
        <v>0.21864951768488747</v>
      </c>
      <c r="N5" s="8">
        <f t="shared" si="0"/>
        <v>0.20308483290488433</v>
      </c>
      <c r="O5" s="8">
        <f t="shared" si="0"/>
        <v>0.117096018735363</v>
      </c>
      <c r="P5" s="8">
        <f t="shared" si="0"/>
        <v>9.0909090909090912E-2</v>
      </c>
    </row>
    <row r="6" spans="1:16" x14ac:dyDescent="0.3">
      <c r="A6" s="26" t="s">
        <v>103</v>
      </c>
      <c r="B6" s="27">
        <v>0.19280442258406283</v>
      </c>
      <c r="C6" s="27">
        <v>8.7044534412955468E-2</v>
      </c>
      <c r="D6" s="27">
        <v>0.14833759590792839</v>
      </c>
      <c r="E6" s="27">
        <v>0.22508038585209003</v>
      </c>
      <c r="F6" s="27">
        <v>0.2879177377892031</v>
      </c>
      <c r="G6" s="27">
        <v>0.16393442622950818</v>
      </c>
      <c r="H6" s="27">
        <v>0.15</v>
      </c>
      <c r="I6" s="8">
        <v>0.41227634047741651</v>
      </c>
      <c r="J6" s="8">
        <f t="shared" si="1"/>
        <v>0.41227634047741651</v>
      </c>
      <c r="K6" s="8">
        <f t="shared" si="0"/>
        <v>0.33400809716599189</v>
      </c>
      <c r="L6" s="8">
        <f t="shared" si="0"/>
        <v>0.33759590792838878</v>
      </c>
      <c r="M6" s="8">
        <f t="shared" si="0"/>
        <v>0.4437299035369775</v>
      </c>
      <c r="N6" s="8">
        <f t="shared" si="0"/>
        <v>0.49100257069408743</v>
      </c>
      <c r="O6" s="8">
        <f t="shared" si="0"/>
        <v>0.28103044496487117</v>
      </c>
      <c r="P6" s="8">
        <f t="shared" si="0"/>
        <v>0.24090909090909091</v>
      </c>
    </row>
    <row r="7" spans="1:16" x14ac:dyDescent="0.3">
      <c r="A7" s="26" t="s">
        <v>101</v>
      </c>
      <c r="B7" s="27">
        <v>0.19752472610401833</v>
      </c>
      <c r="C7" s="27">
        <v>0.11336032388663968</v>
      </c>
      <c r="D7" s="27">
        <v>0.19948849104859334</v>
      </c>
      <c r="E7" s="27">
        <v>0.27009646302250806</v>
      </c>
      <c r="F7" s="27">
        <v>0.14652956298200515</v>
      </c>
      <c r="G7" s="27">
        <v>0.1522248243559719</v>
      </c>
      <c r="H7" s="27">
        <v>0.17727272727272728</v>
      </c>
      <c r="I7" s="8">
        <v>0.60980106658143485</v>
      </c>
      <c r="J7" s="8">
        <f t="shared" si="1"/>
        <v>0.60980106658143485</v>
      </c>
      <c r="K7" s="8">
        <f t="shared" si="0"/>
        <v>0.44736842105263158</v>
      </c>
      <c r="L7" s="8">
        <f t="shared" si="0"/>
        <v>0.53708439897698212</v>
      </c>
      <c r="M7" s="8">
        <f t="shared" si="0"/>
        <v>0.7138263665594855</v>
      </c>
      <c r="N7" s="8">
        <f t="shared" si="0"/>
        <v>0.63753213367609263</v>
      </c>
      <c r="O7" s="8">
        <f t="shared" si="0"/>
        <v>0.43325526932084307</v>
      </c>
      <c r="P7" s="8">
        <f t="shared" si="0"/>
        <v>0.41818181818181821</v>
      </c>
    </row>
    <row r="8" spans="1:16" x14ac:dyDescent="0.3">
      <c r="A8" s="26" t="s">
        <v>99</v>
      </c>
      <c r="B8" s="27">
        <v>0.39019893341856515</v>
      </c>
      <c r="C8" s="27">
        <v>0.55263157894736847</v>
      </c>
      <c r="D8" s="27">
        <v>0.46291560102301788</v>
      </c>
      <c r="E8" s="27">
        <v>0.2861736334405145</v>
      </c>
      <c r="F8" s="27">
        <v>0.36246786632390743</v>
      </c>
      <c r="G8" s="27">
        <v>0.56674473067915687</v>
      </c>
      <c r="H8" s="27">
        <v>0.58181818181818179</v>
      </c>
      <c r="I8" s="8">
        <v>1</v>
      </c>
      <c r="J8" s="8">
        <f t="shared" si="1"/>
        <v>1</v>
      </c>
      <c r="K8" s="8">
        <f t="shared" si="0"/>
        <v>1</v>
      </c>
      <c r="L8" s="8">
        <f t="shared" si="0"/>
        <v>1</v>
      </c>
      <c r="M8" s="8">
        <f t="shared" si="0"/>
        <v>1</v>
      </c>
      <c r="N8" s="8">
        <f t="shared" si="0"/>
        <v>1</v>
      </c>
      <c r="O8" s="8">
        <f t="shared" si="0"/>
        <v>1</v>
      </c>
      <c r="P8" s="8">
        <f t="shared" si="0"/>
        <v>1</v>
      </c>
    </row>
    <row r="10" spans="1:16" ht="28.8" x14ac:dyDescent="0.3">
      <c r="B10" s="1" t="s">
        <v>107</v>
      </c>
      <c r="C10" s="2" t="s">
        <v>109</v>
      </c>
      <c r="D10" s="2" t="s">
        <v>110</v>
      </c>
      <c r="E10" s="2" t="s">
        <v>111</v>
      </c>
      <c r="F10" s="2" t="s">
        <v>112</v>
      </c>
      <c r="G10" s="2" t="s">
        <v>113</v>
      </c>
      <c r="H10" s="2" t="s">
        <v>114</v>
      </c>
      <c r="J10" s="6"/>
      <c r="K10" s="20" t="s">
        <v>115</v>
      </c>
      <c r="L10" s="20" t="s">
        <v>116</v>
      </c>
      <c r="M10" s="20" t="s">
        <v>117</v>
      </c>
      <c r="N10" s="20" t="s">
        <v>118</v>
      </c>
      <c r="O10" s="20" t="s">
        <v>119</v>
      </c>
      <c r="P10" s="20" t="s">
        <v>120</v>
      </c>
    </row>
    <row r="11" spans="1:16" x14ac:dyDescent="0.3">
      <c r="B11" s="26" t="s">
        <v>104</v>
      </c>
      <c r="C11" s="8">
        <f>C2-B2</f>
        <v>5.3924194344540429E-3</v>
      </c>
      <c r="D11" s="8">
        <f>D2-B2</f>
        <v>-7.7111145332608355E-3</v>
      </c>
      <c r="E11" s="8">
        <f>E2-B2</f>
        <v>-6.3953358801247598E-3</v>
      </c>
      <c r="F11" s="8">
        <f>F2-B2</f>
        <v>-7.6848158725201345E-3</v>
      </c>
      <c r="G11" s="8">
        <f>G2-B2</f>
        <v>-3.4585225484982923E-3</v>
      </c>
      <c r="H11" s="8">
        <f>H2-B2</f>
        <v>8.1015958903630364E-4</v>
      </c>
      <c r="J11" s="6" t="s">
        <v>104</v>
      </c>
      <c r="K11" s="6">
        <f>(J2-0) * ((K2+0))</f>
        <v>2.3367578223875703E-4</v>
      </c>
      <c r="L11" s="6">
        <f>(J2-0) * ((L2+0))</f>
        <v>6.56071818277613E-5</v>
      </c>
      <c r="M11" s="6">
        <f>(J2-0) * ((M2+0))</f>
        <v>8.2483627314002139E-5</v>
      </c>
      <c r="N11" s="6">
        <f>(J2-0) * ((N2+0))</f>
        <v>6.5944493816592968E-5</v>
      </c>
      <c r="O11" s="6">
        <f>(J2-0) * ((O2+0))</f>
        <v>1.201517943543544E-4</v>
      </c>
      <c r="P11" s="6">
        <f>(J2-0) * ((P2+0))</f>
        <v>1.7490278246355451E-4</v>
      </c>
    </row>
    <row r="12" spans="1:16" x14ac:dyDescent="0.3">
      <c r="B12" s="26" t="s">
        <v>100</v>
      </c>
      <c r="C12" s="8">
        <f t="shared" ref="C12:C17" si="2">C3-B3</f>
        <v>1.9447461194040463E-3</v>
      </c>
      <c r="D12" s="8">
        <f t="shared" ref="D12:D17" si="3">D3-B3</f>
        <v>1.3789769793724066E-4</v>
      </c>
      <c r="E12" s="8">
        <f t="shared" ref="E12:E17" si="4">E3-B3</f>
        <v>-1.3891592191126173E-2</v>
      </c>
      <c r="F12" s="8">
        <f t="shared" ref="F12:F17" si="5">F3-B3</f>
        <v>-1.7751766270925146E-2</v>
      </c>
      <c r="G12" s="8">
        <f t="shared" ref="G12:G17" si="6">G3-B3</f>
        <v>-1.0954778859499706E-2</v>
      </c>
      <c r="H12" s="8">
        <f t="shared" ref="H12:H17" si="7">H3-B3</f>
        <v>-1.5777005812874202E-2</v>
      </c>
      <c r="J12" s="6" t="s">
        <v>100</v>
      </c>
      <c r="K12" s="6">
        <f>(J3-J2) * ((K3+K2))</f>
        <v>1.1930189279180843E-3</v>
      </c>
      <c r="L12" s="6">
        <f>(J3-J2) * ((L3+L2))</f>
        <v>6.2370722327351668E-4</v>
      </c>
      <c r="M12" s="6">
        <f>(J3-J2) * ((M3+M2))</f>
        <v>3.9207319019283766E-4</v>
      </c>
      <c r="N12" s="6">
        <f>(J3-J2) * ((N3+N2))</f>
        <v>2.6121414342324866E-4</v>
      </c>
      <c r="O12" s="6">
        <f>(J3-J2) * ((O3+O2))</f>
        <v>5.7112300772820836E-4</v>
      </c>
      <c r="P12" s="6">
        <f>(J3-J2) * ((P3+P2))</f>
        <v>6.4662373867409653E-4</v>
      </c>
    </row>
    <row r="13" spans="1:16" x14ac:dyDescent="0.3">
      <c r="B13" s="26" t="s">
        <v>105</v>
      </c>
      <c r="C13" s="8">
        <f t="shared" si="2"/>
        <v>-2.3893639286018703E-2</v>
      </c>
      <c r="D13" s="8">
        <f t="shared" si="3"/>
        <v>-3.1555919124903735E-2</v>
      </c>
      <c r="E13" s="8">
        <f t="shared" si="4"/>
        <v>-2.74605580670177E-2</v>
      </c>
      <c r="F13" s="8">
        <f t="shared" si="5"/>
        <v>-1.849205940196013E-2</v>
      </c>
      <c r="G13" s="8">
        <f t="shared" si="6"/>
        <v>-3.2663988867412286E-2</v>
      </c>
      <c r="H13" s="8">
        <f t="shared" si="7"/>
        <v>-5.8840271601072074E-2</v>
      </c>
      <c r="J13" s="6" t="s">
        <v>105</v>
      </c>
      <c r="K13" s="6">
        <f t="shared" ref="K13:K17" si="8">(J4-J3) * ((K4+K3))</f>
        <v>9.3896855368337737E-3</v>
      </c>
      <c r="L13" s="6">
        <f t="shared" ref="L13:L17" si="9">(J4-J3) * ((L4+L3))</f>
        <v>6.6730405845209333E-3</v>
      </c>
      <c r="M13" s="6">
        <f t="shared" ref="M13:M17" si="10">(J4-J3) * ((M4+M3))</f>
        <v>5.1269645505581524E-3</v>
      </c>
      <c r="N13" s="6">
        <f t="shared" ref="N13:N17" si="11">(J4-J3) * ((N4+N3))</f>
        <v>5.0305119573541479E-3</v>
      </c>
      <c r="O13" s="6">
        <f t="shared" ref="O13:O17" si="12">(J4-J3) * ((O4+O3))</f>
        <v>5.6012387888416349E-3</v>
      </c>
      <c r="P13" s="6">
        <f t="shared" ref="P13:P17" si="13">(J4-J3) * ((P4+P3))</f>
        <v>3.6238317618717845E-3</v>
      </c>
    </row>
    <row r="14" spans="1:16" x14ac:dyDescent="0.3">
      <c r="B14" s="26" t="s">
        <v>102</v>
      </c>
      <c r="C14" s="8">
        <f t="shared" si="2"/>
        <v>4.4048118591843349E-2</v>
      </c>
      <c r="D14" s="8">
        <f t="shared" si="3"/>
        <v>8.915530087334006E-3</v>
      </c>
      <c r="E14" s="8">
        <f t="shared" si="4"/>
        <v>4.6925085929802407E-2</v>
      </c>
      <c r="F14" s="8">
        <f t="shared" si="5"/>
        <v>2.7541556556936048E-2</v>
      </c>
      <c r="G14" s="8">
        <f t="shared" si="6"/>
        <v>-5.5298608882580404E-2</v>
      </c>
      <c r="H14" s="8">
        <f t="shared" si="7"/>
        <v>-5.4755709159352815E-2</v>
      </c>
      <c r="J14" s="6" t="s">
        <v>102</v>
      </c>
      <c r="K14" s="6">
        <f t="shared" si="8"/>
        <v>3.8256151071950358E-2</v>
      </c>
      <c r="L14" s="6">
        <f t="shared" si="9"/>
        <v>2.9116782161192303E-2</v>
      </c>
      <c r="M14" s="6">
        <f t="shared" si="10"/>
        <v>3.1481701509718726E-2</v>
      </c>
      <c r="N14" s="6">
        <f t="shared" si="11"/>
        <v>3.0144477325904823E-2</v>
      </c>
      <c r="O14" s="6">
        <f t="shared" si="12"/>
        <v>1.9996478615385581E-2</v>
      </c>
      <c r="P14" s="6">
        <f t="shared" si="13"/>
        <v>1.3972084967077598E-2</v>
      </c>
    </row>
    <row r="15" spans="1:16" x14ac:dyDescent="0.3">
      <c r="B15" s="26" t="s">
        <v>103</v>
      </c>
      <c r="C15" s="8">
        <f t="shared" si="2"/>
        <v>-0.10575988817110736</v>
      </c>
      <c r="D15" s="8">
        <f t="shared" si="3"/>
        <v>-4.4466826676134441E-2</v>
      </c>
      <c r="E15" s="8">
        <f t="shared" si="4"/>
        <v>3.2275963268027202E-2</v>
      </c>
      <c r="F15" s="8">
        <f t="shared" si="5"/>
        <v>9.511331520514027E-2</v>
      </c>
      <c r="G15" s="8">
        <f t="shared" si="6"/>
        <v>-2.8869996354554645E-2</v>
      </c>
      <c r="H15" s="8">
        <f t="shared" si="7"/>
        <v>-4.2804422584062835E-2</v>
      </c>
      <c r="J15" s="6" t="s">
        <v>103</v>
      </c>
      <c r="K15" s="6">
        <f t="shared" si="8"/>
        <v>0.11201390542839278</v>
      </c>
      <c r="L15" s="6">
        <f t="shared" si="9"/>
        <v>0.10157982366321471</v>
      </c>
      <c r="M15" s="6">
        <f t="shared" si="10"/>
        <v>0.12770968184024742</v>
      </c>
      <c r="N15" s="6">
        <f t="shared" si="11"/>
        <v>0.13382312107377112</v>
      </c>
      <c r="O15" s="6">
        <f t="shared" si="12"/>
        <v>7.6760542949158503E-2</v>
      </c>
      <c r="P15" s="6">
        <f t="shared" si="13"/>
        <v>6.3976012948348121E-2</v>
      </c>
    </row>
    <row r="16" spans="1:16" x14ac:dyDescent="0.3">
      <c r="B16" s="26" t="s">
        <v>101</v>
      </c>
      <c r="C16" s="8">
        <f t="shared" si="2"/>
        <v>-8.4164402217378656E-2</v>
      </c>
      <c r="D16" s="8">
        <f t="shared" si="3"/>
        <v>1.9637649445750083E-3</v>
      </c>
      <c r="E16" s="8">
        <f t="shared" si="4"/>
        <v>7.2571736918489727E-2</v>
      </c>
      <c r="F16" s="8">
        <f t="shared" si="5"/>
        <v>-5.0995163122013187E-2</v>
      </c>
      <c r="G16" s="8">
        <f t="shared" si="6"/>
        <v>-4.5299901748046434E-2</v>
      </c>
      <c r="H16" s="8">
        <f t="shared" si="7"/>
        <v>-2.0251998831291057E-2</v>
      </c>
      <c r="J16" s="6" t="s">
        <v>101</v>
      </c>
      <c r="K16" s="6">
        <f t="shared" si="8"/>
        <v>0.15434118274524508</v>
      </c>
      <c r="L16" s="6">
        <f t="shared" si="9"/>
        <v>0.17277098805006208</v>
      </c>
      <c r="M16" s="6">
        <f t="shared" si="10"/>
        <v>0.22864598520079293</v>
      </c>
      <c r="N16" s="6">
        <f t="shared" si="11"/>
        <v>0.22291350837959914</v>
      </c>
      <c r="O16" s="6">
        <f t="shared" si="12"/>
        <v>0.14108909007429879</v>
      </c>
      <c r="P16" s="6">
        <f t="shared" si="13"/>
        <v>0.13018675129583029</v>
      </c>
    </row>
    <row r="17" spans="2:16" x14ac:dyDescent="0.3">
      <c r="B17" s="26" t="s">
        <v>99</v>
      </c>
      <c r="C17" s="8">
        <f t="shared" si="2"/>
        <v>0.16243264552880332</v>
      </c>
      <c r="D17" s="8">
        <f t="shared" si="3"/>
        <v>7.2716667604452723E-2</v>
      </c>
      <c r="E17" s="8">
        <f t="shared" si="4"/>
        <v>-0.10402529997805066</v>
      </c>
      <c r="F17" s="8">
        <f t="shared" si="5"/>
        <v>-2.7731067094657724E-2</v>
      </c>
      <c r="G17" s="8">
        <f t="shared" si="6"/>
        <v>0.17654579726059172</v>
      </c>
      <c r="H17" s="8">
        <f t="shared" si="7"/>
        <v>0.19161924839961664</v>
      </c>
      <c r="J17" s="6" t="s">
        <v>99</v>
      </c>
      <c r="K17" s="6">
        <f t="shared" si="8"/>
        <v>0.56476161415844961</v>
      </c>
      <c r="L17" s="6">
        <f t="shared" si="9"/>
        <v>0.59976869305513469</v>
      </c>
      <c r="M17" s="6">
        <f t="shared" si="10"/>
        <v>0.66873322029612614</v>
      </c>
      <c r="N17" s="6">
        <f t="shared" si="11"/>
        <v>0.63896329199903856</v>
      </c>
      <c r="O17" s="6">
        <f t="shared" si="12"/>
        <v>0.55925467740553136</v>
      </c>
      <c r="P17" s="6">
        <f t="shared" si="13"/>
        <v>0.55337303284814698</v>
      </c>
    </row>
    <row r="18" spans="2:16" x14ac:dyDescent="0.3">
      <c r="J18" s="21" t="s">
        <v>122</v>
      </c>
      <c r="K18" s="20">
        <f>SUM(K11:K17)</f>
        <v>0.88018923365102841</v>
      </c>
      <c r="L18" s="20">
        <f t="shared" ref="L18:P18" si="14">SUM(L11:L17)</f>
        <v>0.91059864191922602</v>
      </c>
      <c r="M18" s="20">
        <f t="shared" si="14"/>
        <v>1.0621721102149502</v>
      </c>
      <c r="N18" s="20">
        <f t="shared" si="14"/>
        <v>1.0312020693729076</v>
      </c>
      <c r="O18" s="20">
        <f t="shared" si="14"/>
        <v>0.8033933026352984</v>
      </c>
      <c r="P18" s="20">
        <f t="shared" si="14"/>
        <v>0.76595324034241241</v>
      </c>
    </row>
    <row r="19" spans="2:16" x14ac:dyDescent="0.3">
      <c r="J19" s="24" t="s">
        <v>121</v>
      </c>
      <c r="K19" s="25">
        <f>1-K18</f>
        <v>0.11981076634897159</v>
      </c>
      <c r="L19" s="25">
        <f t="shared" ref="L19" si="15">1-L18</f>
        <v>8.9401358080773985E-2</v>
      </c>
      <c r="M19" s="25">
        <f t="shared" ref="M19" si="16">1-M18</f>
        <v>-6.2172110214950171E-2</v>
      </c>
      <c r="N19" s="25">
        <f t="shared" ref="N19" si="17">1-N18</f>
        <v>-3.1202069372907593E-2</v>
      </c>
      <c r="O19" s="25">
        <f t="shared" ref="O19" si="18">1-O18</f>
        <v>0.1966066973647016</v>
      </c>
      <c r="P19" s="25">
        <f t="shared" ref="P19" si="19">1-P18</f>
        <v>0.23404675965758759</v>
      </c>
    </row>
  </sheetData>
  <sortState xmlns:xlrd2="http://schemas.microsoft.com/office/spreadsheetml/2017/richdata2" ref="A2:P9">
    <sortCondition ref="B1:B9"/>
  </sortState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Belo Horizonte</vt:lpstr>
      <vt:lpstr>Betim</vt:lpstr>
      <vt:lpstr>Contagem</vt:lpstr>
      <vt:lpstr>Curvelo</vt:lpstr>
      <vt:lpstr>Guanhães</vt:lpstr>
      <vt:lpstr>Itabira</vt:lpstr>
      <vt:lpstr>J Monlevade</vt:lpstr>
      <vt:lpstr>Ouro Preto</vt:lpstr>
      <vt:lpstr>Sete Lagoas</vt:lpstr>
      <vt:lpstr>Vespasiano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2025-04-18T13:47:19Z</dcterms:created>
  <dcterms:modified xsi:type="dcterms:W3CDTF">2025-11-26T01:13:30Z</dcterms:modified>
</cp:coreProperties>
</file>