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42" documentId="8_{D74F3462-56D2-4AD6-AFFB-3D5C434B0373}" xr6:coauthVersionLast="47" xr6:coauthVersionMax="47" xr10:uidLastSave="{CE6A6AF2-D13A-43B1-9933-D86D2894EC9B}"/>
  <bookViews>
    <workbookView xWindow="-108" yWindow="-108" windowWidth="23256" windowHeight="12456" xr2:uid="{8FDFCEA1-93D2-42CC-9056-FA0A66A25CAD}"/>
  </bookViews>
  <sheets>
    <sheet name="CARATINGA" sheetId="1" r:id="rId1"/>
    <sheet name="CORONEL FABRICIANO - TIMÓTEO" sheetId="2" r:id="rId2"/>
    <sheet name="IPATIN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3" l="1"/>
  <c r="O18" i="3"/>
  <c r="N18" i="3"/>
  <c r="M18" i="3"/>
  <c r="L18" i="3"/>
  <c r="K18" i="3"/>
  <c r="P12" i="2"/>
  <c r="O12" i="2"/>
  <c r="N12" i="2"/>
  <c r="M12" i="2"/>
  <c r="L12" i="2"/>
  <c r="K12" i="2"/>
  <c r="P17" i="1"/>
  <c r="O17" i="1"/>
  <c r="N17" i="1"/>
  <c r="M17" i="1"/>
  <c r="L17" i="1"/>
  <c r="K17" i="1"/>
  <c r="C19" i="3" l="1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D30" i="3"/>
  <c r="E30" i="3"/>
  <c r="F30" i="3"/>
  <c r="G30" i="3"/>
  <c r="H30" i="3"/>
  <c r="C31" i="3"/>
  <c r="D31" i="3"/>
  <c r="E31" i="3"/>
  <c r="F31" i="3"/>
  <c r="G31" i="3"/>
  <c r="H31" i="3"/>
  <c r="H18" i="3"/>
  <c r="G18" i="3"/>
  <c r="F18" i="3"/>
  <c r="E18" i="3"/>
  <c r="D18" i="3"/>
  <c r="C18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J3" i="3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3" i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l="1"/>
  <c r="O13" i="2"/>
  <c r="P13" i="2"/>
  <c r="N13" i="2"/>
  <c r="M13" i="2"/>
  <c r="L13" i="2"/>
  <c r="K13" i="2"/>
  <c r="J4" i="1"/>
  <c r="N18" i="1"/>
  <c r="M18" i="1"/>
  <c r="O18" i="1"/>
  <c r="L18" i="1"/>
  <c r="K18" i="1"/>
  <c r="P18" i="1"/>
  <c r="J4" i="3"/>
  <c r="P19" i="3"/>
  <c r="O19" i="3"/>
  <c r="N19" i="3"/>
  <c r="M19" i="3"/>
  <c r="L19" i="3"/>
  <c r="K19" i="3"/>
  <c r="J5" i="2" l="1"/>
  <c r="L14" i="2"/>
  <c r="K14" i="2"/>
  <c r="P14" i="2"/>
  <c r="O14" i="2"/>
  <c r="N14" i="2"/>
  <c r="M14" i="2"/>
  <c r="J5" i="1"/>
  <c r="P19" i="1"/>
  <c r="O19" i="1"/>
  <c r="N19" i="1"/>
  <c r="M19" i="1"/>
  <c r="L19" i="1"/>
  <c r="K19" i="1"/>
  <c r="J5" i="3"/>
  <c r="K20" i="3"/>
  <c r="P20" i="3"/>
  <c r="O20" i="3"/>
  <c r="N20" i="3"/>
  <c r="M20" i="3"/>
  <c r="L20" i="3"/>
  <c r="J6" i="2" l="1"/>
  <c r="N15" i="2"/>
  <c r="M15" i="2"/>
  <c r="L15" i="2"/>
  <c r="K15" i="2"/>
  <c r="P15" i="2"/>
  <c r="O15" i="2"/>
  <c r="J6" i="1"/>
  <c r="K20" i="1"/>
  <c r="P20" i="1"/>
  <c r="O20" i="1"/>
  <c r="N20" i="1"/>
  <c r="M20" i="1"/>
  <c r="L20" i="1"/>
  <c r="J6" i="3"/>
  <c r="L21" i="3"/>
  <c r="N21" i="3"/>
  <c r="M21" i="3"/>
  <c r="K21" i="3"/>
  <c r="P21" i="3"/>
  <c r="O21" i="3"/>
  <c r="J7" i="2" l="1"/>
  <c r="P16" i="2"/>
  <c r="O16" i="2"/>
  <c r="M16" i="2"/>
  <c r="N16" i="2"/>
  <c r="L16" i="2"/>
  <c r="K16" i="2"/>
  <c r="J7" i="1"/>
  <c r="L21" i="1"/>
  <c r="K21" i="1"/>
  <c r="P21" i="1"/>
  <c r="O21" i="1"/>
  <c r="N21" i="1"/>
  <c r="M21" i="1"/>
  <c r="J7" i="3"/>
  <c r="N22" i="3"/>
  <c r="M22" i="3"/>
  <c r="L22" i="3"/>
  <c r="P22" i="3"/>
  <c r="K22" i="3"/>
  <c r="O22" i="3"/>
  <c r="J8" i="2" l="1"/>
  <c r="N17" i="2"/>
  <c r="M17" i="2"/>
  <c r="L17" i="2"/>
  <c r="K17" i="2"/>
  <c r="P17" i="2"/>
  <c r="O17" i="2"/>
  <c r="J8" i="1"/>
  <c r="N22" i="1"/>
  <c r="M22" i="1"/>
  <c r="L22" i="1"/>
  <c r="K22" i="1"/>
  <c r="P22" i="1"/>
  <c r="O22" i="1"/>
  <c r="J8" i="3"/>
  <c r="P23" i="3"/>
  <c r="O23" i="3"/>
  <c r="N23" i="3"/>
  <c r="M23" i="3"/>
  <c r="L23" i="3"/>
  <c r="K23" i="3"/>
  <c r="J9" i="2" l="1"/>
  <c r="L18" i="2"/>
  <c r="K18" i="2"/>
  <c r="P18" i="2"/>
  <c r="O18" i="2"/>
  <c r="N18" i="2"/>
  <c r="M18" i="2"/>
  <c r="J9" i="1"/>
  <c r="P23" i="1"/>
  <c r="O23" i="1"/>
  <c r="N23" i="1"/>
  <c r="M23" i="1"/>
  <c r="L23" i="1"/>
  <c r="K23" i="1"/>
  <c r="J9" i="3"/>
  <c r="L24" i="3"/>
  <c r="P24" i="3"/>
  <c r="O24" i="3"/>
  <c r="N24" i="3"/>
  <c r="K24" i="3"/>
  <c r="M24" i="3"/>
  <c r="N19" i="2" l="1"/>
  <c r="N20" i="2" s="1"/>
  <c r="N21" i="2" s="1"/>
  <c r="M19" i="2"/>
  <c r="M20" i="2" s="1"/>
  <c r="M21" i="2" s="1"/>
  <c r="P19" i="2"/>
  <c r="O19" i="2"/>
  <c r="O20" i="2" s="1"/>
  <c r="O21" i="2" s="1"/>
  <c r="L19" i="2"/>
  <c r="L20" i="2" s="1"/>
  <c r="L21" i="2" s="1"/>
  <c r="K19" i="2"/>
  <c r="K20" i="2" s="1"/>
  <c r="K21" i="2" s="1"/>
  <c r="P20" i="2"/>
  <c r="P21" i="2" s="1"/>
  <c r="J10" i="1"/>
  <c r="P24" i="1"/>
  <c r="O24" i="1"/>
  <c r="N24" i="1"/>
  <c r="M24" i="1"/>
  <c r="L24" i="1"/>
  <c r="K24" i="1"/>
  <c r="J10" i="3"/>
  <c r="L25" i="3"/>
  <c r="N25" i="3"/>
  <c r="K25" i="3"/>
  <c r="M25" i="3"/>
  <c r="P25" i="3"/>
  <c r="O25" i="3"/>
  <c r="J11" i="1" l="1"/>
  <c r="L25" i="1"/>
  <c r="K25" i="1"/>
  <c r="P25" i="1"/>
  <c r="O25" i="1"/>
  <c r="N25" i="1"/>
  <c r="M25" i="1"/>
  <c r="J11" i="3"/>
  <c r="N26" i="3"/>
  <c r="M26" i="3"/>
  <c r="L26" i="3"/>
  <c r="K26" i="3"/>
  <c r="O26" i="3"/>
  <c r="P26" i="3"/>
  <c r="J12" i="1" l="1"/>
  <c r="N26" i="1"/>
  <c r="M26" i="1"/>
  <c r="L26" i="1"/>
  <c r="K26" i="1"/>
  <c r="P26" i="1"/>
  <c r="O26" i="1"/>
  <c r="J12" i="3"/>
  <c r="P27" i="3"/>
  <c r="O27" i="3"/>
  <c r="N27" i="3"/>
  <c r="M27" i="3"/>
  <c r="L27" i="3"/>
  <c r="K27" i="3"/>
  <c r="J13" i="1" l="1"/>
  <c r="P27" i="1"/>
  <c r="O27" i="1"/>
  <c r="N27" i="1"/>
  <c r="M27" i="1"/>
  <c r="L27" i="1"/>
  <c r="K27" i="1"/>
  <c r="J13" i="3"/>
  <c r="P28" i="3"/>
  <c r="O28" i="3"/>
  <c r="L28" i="3"/>
  <c r="N28" i="3"/>
  <c r="M28" i="3"/>
  <c r="K28" i="3"/>
  <c r="J14" i="1" l="1"/>
  <c r="P28" i="1"/>
  <c r="O28" i="1"/>
  <c r="N28" i="1"/>
  <c r="M28" i="1"/>
  <c r="L28" i="1"/>
  <c r="K28" i="1"/>
  <c r="J14" i="3"/>
  <c r="L29" i="3"/>
  <c r="K29" i="3"/>
  <c r="M29" i="3"/>
  <c r="P29" i="3"/>
  <c r="O29" i="3"/>
  <c r="N29" i="3"/>
  <c r="L29" i="1" l="1"/>
  <c r="L30" i="1" s="1"/>
  <c r="L31" i="1" s="1"/>
  <c r="K29" i="1"/>
  <c r="K30" i="1" s="1"/>
  <c r="K31" i="1" s="1"/>
  <c r="P29" i="1"/>
  <c r="P30" i="1" s="1"/>
  <c r="P31" i="1" s="1"/>
  <c r="O29" i="1"/>
  <c r="O30" i="1" s="1"/>
  <c r="O31" i="1" s="1"/>
  <c r="N29" i="1"/>
  <c r="N30" i="1" s="1"/>
  <c r="N31" i="1" s="1"/>
  <c r="M29" i="1"/>
  <c r="M30" i="1" s="1"/>
  <c r="M31" i="1" s="1"/>
  <c r="N30" i="3"/>
  <c r="O30" i="3"/>
  <c r="M30" i="3"/>
  <c r="L30" i="3"/>
  <c r="K30" i="3"/>
  <c r="P30" i="3"/>
  <c r="J15" i="3"/>
  <c r="P31" i="3" l="1"/>
  <c r="P32" i="3" s="1"/>
  <c r="P33" i="3" s="1"/>
  <c r="O31" i="3"/>
  <c r="O32" i="3" s="1"/>
  <c r="O33" i="3" s="1"/>
  <c r="N31" i="3"/>
  <c r="N32" i="3" s="1"/>
  <c r="N33" i="3" s="1"/>
  <c r="M31" i="3"/>
  <c r="M32" i="3" s="1"/>
  <c r="M33" i="3" s="1"/>
  <c r="L31" i="3"/>
  <c r="L32" i="3" s="1"/>
  <c r="L33" i="3" s="1"/>
  <c r="K31" i="3"/>
  <c r="K32" i="3" s="1"/>
  <c r="K33" i="3" s="1"/>
</calcChain>
</file>

<file path=xl/sharedStrings.xml><?xml version="1.0" encoding="utf-8"?>
<sst xmlns="http://schemas.openxmlformats.org/spreadsheetml/2006/main" count="198" uniqueCount="57">
  <si>
    <t>CARATINGA</t>
  </si>
  <si>
    <t>BOM JESUS DO GALHO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</si>
  <si>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</si>
  <si>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</si>
  <si>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</si>
  <si>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</si>
  <si>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</si>
  <si>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</si>
  <si>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</si>
  <si>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</si>
  <si>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</si>
  <si>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</si>
  <si>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</si>
  <si>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ANTÔNIO DIAS</t>
  </si>
  <si>
    <t>CORONEL FABRICIANO</t>
  </si>
  <si>
    <t>CÓRREGO NOVO</t>
  </si>
  <si>
    <t>DIONÍSIO</t>
  </si>
  <si>
    <t>JAGUARAÇU</t>
  </si>
  <si>
    <t>MARLIÉRIA</t>
  </si>
  <si>
    <t>PINGO-D'ÁGUA</t>
  </si>
  <si>
    <t>TIMÓTEO</t>
  </si>
  <si>
    <t>IPATINGA</t>
  </si>
  <si>
    <t>AÇUCENA</t>
  </si>
  <si>
    <t>BELO ORIENTE</t>
  </si>
  <si>
    <t>BRAÚNAS</t>
  </si>
  <si>
    <t>BUGRE</t>
  </si>
  <si>
    <t>DOM CAVATI</t>
  </si>
  <si>
    <t>IAPU</t>
  </si>
  <si>
    <t>IPABA</t>
  </si>
  <si>
    <t>JOANÉSIA</t>
  </si>
  <si>
    <t>MESQUITA</t>
  </si>
  <si>
    <t>NAQUE</t>
  </si>
  <si>
    <t>PERIQUITO</t>
  </si>
  <si>
    <t>SANTANA DO PARAÍSO</t>
  </si>
  <si>
    <t>SÃO JOÃO DO ORIENTE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</si>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</sst>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8" borderId="1" xfId="0" applyFill="1" applyBorder="1"/>
    <xf numFmtId="0" fontId="1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1C-4238-BEA2-91963C219DC0}"/>
            </c:ext>
          </c:extLst>
        </c:ser>
        <c:ser>
          <c:idx val="1"/>
          <c:order val="1"/>
          <c:tx>
            <c:strRef>
              <c:f>CARATINGA!$K$1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CARATINGA!$K$2:$K$14</c:f>
              <c:numCache>
                <c:formatCode>0.00</c:formatCode>
                <c:ptCount val="13"/>
                <c:pt idx="0">
                  <c:v>0</c:v>
                </c:pt>
                <c:pt idx="1">
                  <c:v>0.17647058823529413</c:v>
                </c:pt>
                <c:pt idx="2">
                  <c:v>0.23529411764705882</c:v>
                </c:pt>
                <c:pt idx="3">
                  <c:v>0.23529411764705882</c:v>
                </c:pt>
                <c:pt idx="4">
                  <c:v>0.23529411764705882</c:v>
                </c:pt>
                <c:pt idx="5">
                  <c:v>0.29411764705882354</c:v>
                </c:pt>
                <c:pt idx="6">
                  <c:v>0.29411764705882354</c:v>
                </c:pt>
                <c:pt idx="7">
                  <c:v>0.29411764705882354</c:v>
                </c:pt>
                <c:pt idx="8">
                  <c:v>0.29411764705882354</c:v>
                </c:pt>
                <c:pt idx="9">
                  <c:v>0.41176470588235292</c:v>
                </c:pt>
                <c:pt idx="10">
                  <c:v>0.47058823529411764</c:v>
                </c:pt>
                <c:pt idx="11">
                  <c:v>0.70588235294117641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1C-4238-BEA2-91963C219DC0}"/>
            </c:ext>
          </c:extLst>
        </c:ser>
        <c:ser>
          <c:idx val="2"/>
          <c:order val="2"/>
          <c:tx>
            <c:strRef>
              <c:f>CARATINGA!$L$1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CARATINGA!$L$2:$L$14</c:f>
              <c:numCache>
                <c:formatCode>0.00</c:formatCode>
                <c:ptCount val="13"/>
                <c:pt idx="0">
                  <c:v>2.9411764705882353E-2</c:v>
                </c:pt>
                <c:pt idx="1">
                  <c:v>2.9411764705882353E-2</c:v>
                </c:pt>
                <c:pt idx="2">
                  <c:v>2.9411764705882353E-2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8.8235294117647051E-2</c:v>
                </c:pt>
                <c:pt idx="6">
                  <c:v>8.8235294117647051E-2</c:v>
                </c:pt>
                <c:pt idx="7">
                  <c:v>0.23529411764705882</c:v>
                </c:pt>
                <c:pt idx="8">
                  <c:v>0.23529411764705882</c:v>
                </c:pt>
                <c:pt idx="9">
                  <c:v>0.26470588235294118</c:v>
                </c:pt>
                <c:pt idx="10">
                  <c:v>0.29411764705882354</c:v>
                </c:pt>
                <c:pt idx="11">
                  <c:v>0.35294117647058826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1C-4238-BEA2-91963C219DC0}"/>
            </c:ext>
          </c:extLst>
        </c:ser>
        <c:ser>
          <c:idx val="3"/>
          <c:order val="3"/>
          <c:tx>
            <c:strRef>
              <c:f>CARATINGA!$M$1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CARATINGA!$M$2:$M$14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2.3809523809523808E-2</c:v>
                </c:pt>
                <c:pt idx="3">
                  <c:v>4.7619047619047616E-2</c:v>
                </c:pt>
                <c:pt idx="4">
                  <c:v>4.7619047619047616E-2</c:v>
                </c:pt>
                <c:pt idx="5">
                  <c:v>8.3333333333333329E-2</c:v>
                </c:pt>
                <c:pt idx="6">
                  <c:v>8.3333333333333329E-2</c:v>
                </c:pt>
                <c:pt idx="7">
                  <c:v>0.13095238095238093</c:v>
                </c:pt>
                <c:pt idx="8">
                  <c:v>0.14285714285714285</c:v>
                </c:pt>
                <c:pt idx="9">
                  <c:v>0.39285714285714285</c:v>
                </c:pt>
                <c:pt idx="10">
                  <c:v>0.40476190476190477</c:v>
                </c:pt>
                <c:pt idx="11">
                  <c:v>0.44047619047619047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C-4238-BEA2-91963C21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3152"/>
        <c:axId val="1856252592"/>
      </c:scatterChart>
      <c:valAx>
        <c:axId val="1856263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52592"/>
        <c:crosses val="autoZero"/>
        <c:crossBetween val="midCat"/>
      </c:valAx>
      <c:valAx>
        <c:axId val="1856252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E8-44FA-9748-EBFF3115C2EB}"/>
            </c:ext>
          </c:extLst>
        </c:ser>
        <c:ser>
          <c:idx val="1"/>
          <c:order val="1"/>
          <c:tx>
            <c:strRef>
              <c:f>CARATINGA!$N$1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CARATINGA!$N$2:$N$14</c:f>
              <c:numCache>
                <c:formatCode>0.00</c:formatCode>
                <c:ptCount val="13"/>
                <c:pt idx="0">
                  <c:v>1.7241379310344827E-2</c:v>
                </c:pt>
                <c:pt idx="1">
                  <c:v>3.4482758620689655E-2</c:v>
                </c:pt>
                <c:pt idx="2">
                  <c:v>7.7586206896551727E-2</c:v>
                </c:pt>
                <c:pt idx="3">
                  <c:v>7.7586206896551727E-2</c:v>
                </c:pt>
                <c:pt idx="4">
                  <c:v>7.7586206896551727E-2</c:v>
                </c:pt>
                <c:pt idx="5">
                  <c:v>0.12931034482758622</c:v>
                </c:pt>
                <c:pt idx="6">
                  <c:v>0.17241379310344829</c:v>
                </c:pt>
                <c:pt idx="7">
                  <c:v>0.18103448275862069</c:v>
                </c:pt>
                <c:pt idx="8">
                  <c:v>0.18965517241379309</c:v>
                </c:pt>
                <c:pt idx="9">
                  <c:v>0.23275862068965517</c:v>
                </c:pt>
                <c:pt idx="10">
                  <c:v>0.26724137931034481</c:v>
                </c:pt>
                <c:pt idx="11">
                  <c:v>0.32758620689655171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E8-44FA-9748-EBFF3115C2EB}"/>
            </c:ext>
          </c:extLst>
        </c:ser>
        <c:ser>
          <c:idx val="2"/>
          <c:order val="2"/>
          <c:tx>
            <c:strRef>
              <c:f>CARATINGA!$O$1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CARATINGA!$O$2:$O$14</c:f>
              <c:numCache>
                <c:formatCode>0.00</c:formatCode>
                <c:ptCount val="13"/>
                <c:pt idx="0">
                  <c:v>9.0090090090090089E-3</c:v>
                </c:pt>
                <c:pt idx="1">
                  <c:v>3.6036036036036036E-2</c:v>
                </c:pt>
                <c:pt idx="2">
                  <c:v>4.5045045045045043E-2</c:v>
                </c:pt>
                <c:pt idx="3">
                  <c:v>5.405405405405405E-2</c:v>
                </c:pt>
                <c:pt idx="4">
                  <c:v>6.3063063063063057E-2</c:v>
                </c:pt>
                <c:pt idx="5">
                  <c:v>9.0090090090090086E-2</c:v>
                </c:pt>
                <c:pt idx="6">
                  <c:v>0.16216216216216217</c:v>
                </c:pt>
                <c:pt idx="7">
                  <c:v>0.1801801801801802</c:v>
                </c:pt>
                <c:pt idx="8">
                  <c:v>0.1801801801801802</c:v>
                </c:pt>
                <c:pt idx="9">
                  <c:v>0.24324324324324326</c:v>
                </c:pt>
                <c:pt idx="10">
                  <c:v>0.30630630630630629</c:v>
                </c:pt>
                <c:pt idx="11">
                  <c:v>0.32432432432432429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E8-44FA-9748-EBFF3115C2EB}"/>
            </c:ext>
          </c:extLst>
        </c:ser>
        <c:ser>
          <c:idx val="3"/>
          <c:order val="3"/>
          <c:tx>
            <c:strRef>
              <c:f>CARATINGA!$P$1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CARATINGA!$P$2:$P$14</c:f>
              <c:numCache>
                <c:formatCode>0.00</c:formatCode>
                <c:ptCount val="13"/>
                <c:pt idx="0">
                  <c:v>0</c:v>
                </c:pt>
                <c:pt idx="1">
                  <c:v>3.125E-2</c:v>
                </c:pt>
                <c:pt idx="2">
                  <c:v>4.1666666666666664E-2</c:v>
                </c:pt>
                <c:pt idx="3">
                  <c:v>4.1666666666666664E-2</c:v>
                </c:pt>
                <c:pt idx="4">
                  <c:v>5.2083333333333329E-2</c:v>
                </c:pt>
                <c:pt idx="5">
                  <c:v>6.2499999999999993E-2</c:v>
                </c:pt>
                <c:pt idx="6">
                  <c:v>7.2916666666666657E-2</c:v>
                </c:pt>
                <c:pt idx="7">
                  <c:v>0.10416666666666666</c:v>
                </c:pt>
                <c:pt idx="8">
                  <c:v>0.19791666666666666</c:v>
                </c:pt>
                <c:pt idx="9">
                  <c:v>0.23958333333333331</c:v>
                </c:pt>
                <c:pt idx="10">
                  <c:v>0.28125</c:v>
                </c:pt>
                <c:pt idx="11">
                  <c:v>0.54166666666666674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E8-44FA-9748-EBFF3115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6032"/>
        <c:axId val="1856266512"/>
      </c:scatterChart>
      <c:valAx>
        <c:axId val="1856266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512"/>
        <c:crosses val="autoZero"/>
        <c:crossBetween val="midCat"/>
      </c:valAx>
      <c:valAx>
        <c:axId val="1856266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9-4896-AEF9-99A3FDF59F7E}"/>
            </c:ext>
          </c:extLst>
        </c:ser>
        <c:ser>
          <c:idx val="1"/>
          <c:order val="1"/>
          <c:tx>
            <c:strRef>
              <c:f>'CORONEL FABRICIANO - TIMÓTEO'!$K$1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TIMÓTEO'!$K$2:$K$9</c:f>
              <c:numCache>
                <c:formatCode>0.00</c:formatCode>
                <c:ptCount val="8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0.15384615384615385</c:v>
                </c:pt>
                <c:pt idx="4">
                  <c:v>0.19230769230769232</c:v>
                </c:pt>
                <c:pt idx="5">
                  <c:v>0.23076923076923078</c:v>
                </c:pt>
                <c:pt idx="6">
                  <c:v>0.46153846153846156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39-4896-AEF9-99A3FDF59F7E}"/>
            </c:ext>
          </c:extLst>
        </c:ser>
        <c:ser>
          <c:idx val="2"/>
          <c:order val="2"/>
          <c:tx>
            <c:strRef>
              <c:f>'CORONEL FABRICIANO - TIMÓTEO'!$L$1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TIMÓTEO'!$L$2:$L$9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0.2857142857142857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39-4896-AEF9-99A3FDF59F7E}"/>
            </c:ext>
          </c:extLst>
        </c:ser>
        <c:ser>
          <c:idx val="3"/>
          <c:order val="3"/>
          <c:tx>
            <c:strRef>
              <c:f>'CORONEL FABRICIANO - TIMÓTEO'!$M$1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TIMÓTEO'!$M$2:$M$9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7.6923076923076927E-2</c:v>
                </c:pt>
                <c:pt idx="3">
                  <c:v>7.6923076923076927E-2</c:v>
                </c:pt>
                <c:pt idx="4">
                  <c:v>7.6923076923076927E-2</c:v>
                </c:pt>
                <c:pt idx="5">
                  <c:v>0.15384615384615385</c:v>
                </c:pt>
                <c:pt idx="6">
                  <c:v>0.46153846153846156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39-4896-AEF9-99A3FDF5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0000"/>
        <c:axId val="525155312"/>
      </c:scatterChart>
      <c:valAx>
        <c:axId val="1285520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5312"/>
        <c:crosses val="autoZero"/>
        <c:crossBetween val="midCat"/>
      </c:valAx>
      <c:valAx>
        <c:axId val="525155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52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F-4BF7-9607-EE2CA18AA390}"/>
            </c:ext>
          </c:extLst>
        </c:ser>
        <c:ser>
          <c:idx val="1"/>
          <c:order val="1"/>
          <c:tx>
            <c:strRef>
              <c:f>'CORONEL FABRICIANO - TIMÓTEO'!$N$1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TIMÓTEO'!$N$2:$N$9</c:f>
              <c:numCache>
                <c:formatCode>0.00</c:formatCode>
                <c:ptCount val="8"/>
                <c:pt idx="0">
                  <c:v>0</c:v>
                </c:pt>
                <c:pt idx="1">
                  <c:v>0.33333333333333331</c:v>
                </c:pt>
                <c:pt idx="2">
                  <c:v>0.68181818181818188</c:v>
                </c:pt>
                <c:pt idx="3">
                  <c:v>0.68181818181818188</c:v>
                </c:pt>
                <c:pt idx="4">
                  <c:v>0.68181818181818188</c:v>
                </c:pt>
                <c:pt idx="5">
                  <c:v>0.72727272727272729</c:v>
                </c:pt>
                <c:pt idx="6">
                  <c:v>0.84848484848484851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DF-4BF7-9607-EE2CA18AA390}"/>
            </c:ext>
          </c:extLst>
        </c:ser>
        <c:ser>
          <c:idx val="2"/>
          <c:order val="2"/>
          <c:tx>
            <c:strRef>
              <c:f>'CORONEL FABRICIANO - TIMÓTEO'!$O$1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TIMÓTEO'!$O$2:$O$9</c:f>
              <c:numCache>
                <c:formatCode>0.00</c:formatCode>
                <c:ptCount val="8"/>
                <c:pt idx="0">
                  <c:v>1.6949152542372881E-2</c:v>
                </c:pt>
                <c:pt idx="1">
                  <c:v>3.3898305084745763E-2</c:v>
                </c:pt>
                <c:pt idx="2">
                  <c:v>0.2711864406779661</c:v>
                </c:pt>
                <c:pt idx="3">
                  <c:v>0.2711864406779661</c:v>
                </c:pt>
                <c:pt idx="4">
                  <c:v>0.33898305084745761</c:v>
                </c:pt>
                <c:pt idx="5">
                  <c:v>0.49152542372881358</c:v>
                </c:pt>
                <c:pt idx="6">
                  <c:v>0.77966101694915257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DF-4BF7-9607-EE2CA18AA390}"/>
            </c:ext>
          </c:extLst>
        </c:ser>
        <c:ser>
          <c:idx val="3"/>
          <c:order val="3"/>
          <c:tx>
            <c:strRef>
              <c:f>'CORONEL FABRICIANO - TIMÓTEO'!$P$1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TIMÓTEO'!$P$2:$P$9</c:f>
              <c:numCache>
                <c:formatCode>0.00</c:formatCode>
                <c:ptCount val="8"/>
                <c:pt idx="0">
                  <c:v>2.2222222222222223E-2</c:v>
                </c:pt>
                <c:pt idx="1">
                  <c:v>2.2222222222222223E-2</c:v>
                </c:pt>
                <c:pt idx="2">
                  <c:v>4.4444444444444446E-2</c:v>
                </c:pt>
                <c:pt idx="3">
                  <c:v>6.6666666666666666E-2</c:v>
                </c:pt>
                <c:pt idx="4">
                  <c:v>0.22222222222222221</c:v>
                </c:pt>
                <c:pt idx="5">
                  <c:v>0.33333333333333331</c:v>
                </c:pt>
                <c:pt idx="6">
                  <c:v>0.68888888888888888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DF-4BF7-9607-EE2CA18AA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28784"/>
        <c:axId val="2094329264"/>
      </c:scatterChart>
      <c:valAx>
        <c:axId val="20943287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9264"/>
        <c:crosses val="autoZero"/>
        <c:crossBetween val="midCat"/>
      </c:valAx>
      <c:valAx>
        <c:axId val="2094329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5-4DB1-8A2B-10012E3271AE}"/>
            </c:ext>
          </c:extLst>
        </c:ser>
        <c:ser>
          <c:idx val="1"/>
          <c:order val="1"/>
          <c:tx>
            <c:strRef>
              <c:f>IPATINGA!$K$1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IPATINGA!$K$2:$K$15</c:f>
              <c:numCache>
                <c:formatCode>0.00</c:formatCode>
                <c:ptCount val="14"/>
                <c:pt idx="0">
                  <c:v>2.4390243902439025E-2</c:v>
                </c:pt>
                <c:pt idx="1">
                  <c:v>2.4390243902439025E-2</c:v>
                </c:pt>
                <c:pt idx="2">
                  <c:v>4.878048780487805E-2</c:v>
                </c:pt>
                <c:pt idx="3">
                  <c:v>7.3170731707317083E-2</c:v>
                </c:pt>
                <c:pt idx="4">
                  <c:v>7.3170731707317083E-2</c:v>
                </c:pt>
                <c:pt idx="5">
                  <c:v>7.3170731707317083E-2</c:v>
                </c:pt>
                <c:pt idx="6">
                  <c:v>0.17073170731707318</c:v>
                </c:pt>
                <c:pt idx="7">
                  <c:v>0.1951219512195122</c:v>
                </c:pt>
                <c:pt idx="8">
                  <c:v>0.1951219512195122</c:v>
                </c:pt>
                <c:pt idx="9">
                  <c:v>0.1951219512195122</c:v>
                </c:pt>
                <c:pt idx="10">
                  <c:v>0.1951219512195122</c:v>
                </c:pt>
                <c:pt idx="11">
                  <c:v>0.24390243902439024</c:v>
                </c:pt>
                <c:pt idx="12">
                  <c:v>0.31707317073170732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5-4DB1-8A2B-10012E3271AE}"/>
            </c:ext>
          </c:extLst>
        </c:ser>
        <c:ser>
          <c:idx val="2"/>
          <c:order val="2"/>
          <c:tx>
            <c:strRef>
              <c:f>IPATINGA!$L$1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IPATINGA!$L$2:$L$15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4.5454545454545456E-2</c:v>
                </c:pt>
                <c:pt idx="7">
                  <c:v>4.5454545454545456E-2</c:v>
                </c:pt>
                <c:pt idx="8">
                  <c:v>4.5454545454545456E-2</c:v>
                </c:pt>
                <c:pt idx="9">
                  <c:v>4.5454545454545456E-2</c:v>
                </c:pt>
                <c:pt idx="10">
                  <c:v>0.13636363636363635</c:v>
                </c:pt>
                <c:pt idx="11">
                  <c:v>0.13636363636363635</c:v>
                </c:pt>
                <c:pt idx="12">
                  <c:v>0.18181818181818182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5-4DB1-8A2B-10012E3271AE}"/>
            </c:ext>
          </c:extLst>
        </c:ser>
        <c:ser>
          <c:idx val="3"/>
          <c:order val="3"/>
          <c:tx>
            <c:strRef>
              <c:f>IPATINGA!$M$1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IPATINGA!$M$2:$M$15</c:f>
              <c:numCache>
                <c:formatCode>0.00</c:formatCode>
                <c:ptCount val="1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0.15000000000000002</c:v>
                </c:pt>
                <c:pt idx="5">
                  <c:v>0.15000000000000002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0.35</c:v>
                </c:pt>
                <c:pt idx="10">
                  <c:v>0.39999999999999997</c:v>
                </c:pt>
                <c:pt idx="11">
                  <c:v>0.5</c:v>
                </c:pt>
                <c:pt idx="12">
                  <c:v>0.6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5-4DB1-8A2B-10012E32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9296"/>
        <c:axId val="304324096"/>
      </c:scatterChart>
      <c:valAx>
        <c:axId val="304319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24096"/>
        <c:crosses val="autoZero"/>
        <c:crossBetween val="midCat"/>
      </c:valAx>
      <c:valAx>
        <c:axId val="30432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1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4-4B46-BC3A-B19EA68C1B98}"/>
            </c:ext>
          </c:extLst>
        </c:ser>
        <c:ser>
          <c:idx val="1"/>
          <c:order val="1"/>
          <c:tx>
            <c:strRef>
              <c:f>IPATINGA!$N$1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IPATINGA!$N$2:$N$15</c:f>
              <c:numCache>
                <c:formatCode>0.00</c:formatCode>
                <c:ptCount val="14"/>
                <c:pt idx="0">
                  <c:v>5.4054054054054057E-2</c:v>
                </c:pt>
                <c:pt idx="1">
                  <c:v>5.4054054054054057E-2</c:v>
                </c:pt>
                <c:pt idx="2">
                  <c:v>5.4054054054054057E-2</c:v>
                </c:pt>
                <c:pt idx="3">
                  <c:v>5.4054054054054057E-2</c:v>
                </c:pt>
                <c:pt idx="4">
                  <c:v>0.13513513513513514</c:v>
                </c:pt>
                <c:pt idx="5">
                  <c:v>0.13513513513513514</c:v>
                </c:pt>
                <c:pt idx="6">
                  <c:v>0.13513513513513514</c:v>
                </c:pt>
                <c:pt idx="7">
                  <c:v>0.24324324324324326</c:v>
                </c:pt>
                <c:pt idx="8">
                  <c:v>0.29729729729729731</c:v>
                </c:pt>
                <c:pt idx="9">
                  <c:v>0.29729729729729731</c:v>
                </c:pt>
                <c:pt idx="10">
                  <c:v>0.48648648648648651</c:v>
                </c:pt>
                <c:pt idx="11">
                  <c:v>0.5135135135135136</c:v>
                </c:pt>
                <c:pt idx="12">
                  <c:v>0.59459459459459474</c:v>
                </c:pt>
                <c:pt idx="13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84-4B46-BC3A-B19EA68C1B98}"/>
            </c:ext>
          </c:extLst>
        </c:ser>
        <c:ser>
          <c:idx val="2"/>
          <c:order val="2"/>
          <c:tx>
            <c:strRef>
              <c:f>IPATINGA!$O$1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IPATINGA!$O$2:$O$15</c:f>
              <c:numCache>
                <c:formatCode>0.00</c:formatCode>
                <c:ptCount val="14"/>
                <c:pt idx="0">
                  <c:v>1.1976047904191617E-2</c:v>
                </c:pt>
                <c:pt idx="1">
                  <c:v>3.5928143712574856E-2</c:v>
                </c:pt>
                <c:pt idx="2">
                  <c:v>8.3832335329341326E-2</c:v>
                </c:pt>
                <c:pt idx="3">
                  <c:v>8.3832335329341326E-2</c:v>
                </c:pt>
                <c:pt idx="4">
                  <c:v>8.3832335329341326E-2</c:v>
                </c:pt>
                <c:pt idx="5">
                  <c:v>8.3832335329341326E-2</c:v>
                </c:pt>
                <c:pt idx="6">
                  <c:v>0.19161676646706588</c:v>
                </c:pt>
                <c:pt idx="7">
                  <c:v>0.20359281437125751</c:v>
                </c:pt>
                <c:pt idx="8">
                  <c:v>0.23952095808383236</c:v>
                </c:pt>
                <c:pt idx="9">
                  <c:v>0.23952095808383236</c:v>
                </c:pt>
                <c:pt idx="10">
                  <c:v>0.32335329341317365</c:v>
                </c:pt>
                <c:pt idx="11">
                  <c:v>0.47904191616766467</c:v>
                </c:pt>
                <c:pt idx="12">
                  <c:v>0.67664670658682635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84-4B46-BC3A-B19EA68C1B98}"/>
            </c:ext>
          </c:extLst>
        </c:ser>
        <c:ser>
          <c:idx val="3"/>
          <c:order val="3"/>
          <c:tx>
            <c:strRef>
              <c:f>IPATINGA!$P$1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IPATINGA!$P$2:$P$15</c:f>
              <c:numCache>
                <c:formatCode>0.00</c:formatCode>
                <c:ptCount val="14"/>
                <c:pt idx="0">
                  <c:v>8.6956521739130436E-3</c:v>
                </c:pt>
                <c:pt idx="1">
                  <c:v>3.4782608695652174E-2</c:v>
                </c:pt>
                <c:pt idx="2">
                  <c:v>0.1217391304347826</c:v>
                </c:pt>
                <c:pt idx="3">
                  <c:v>0.1217391304347826</c:v>
                </c:pt>
                <c:pt idx="4">
                  <c:v>0.1217391304347826</c:v>
                </c:pt>
                <c:pt idx="5">
                  <c:v>0.1217391304347826</c:v>
                </c:pt>
                <c:pt idx="6">
                  <c:v>0.1217391304347826</c:v>
                </c:pt>
                <c:pt idx="7">
                  <c:v>0.1217391304347826</c:v>
                </c:pt>
                <c:pt idx="8">
                  <c:v>0.1217391304347826</c:v>
                </c:pt>
                <c:pt idx="9">
                  <c:v>0.14782608695652172</c:v>
                </c:pt>
                <c:pt idx="10">
                  <c:v>0.33043478260869563</c:v>
                </c:pt>
                <c:pt idx="11">
                  <c:v>0.52173913043478259</c:v>
                </c:pt>
                <c:pt idx="12">
                  <c:v>0.82608695652173914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84-4B46-BC3A-B19EA68C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44256"/>
        <c:axId val="304332256"/>
      </c:scatterChart>
      <c:valAx>
        <c:axId val="304344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32256"/>
        <c:crosses val="autoZero"/>
        <c:crossBetween val="midCat"/>
      </c:valAx>
      <c:valAx>
        <c:axId val="30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4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62204</xdr:colOff>
      <xdr:row>0</xdr:row>
      <xdr:rowOff>24104</xdr:rowOff>
    </xdr:from>
    <xdr:to>
      <xdr:col>23</xdr:col>
      <xdr:colOff>388776</xdr:colOff>
      <xdr:row>13</xdr:row>
      <xdr:rowOff>61426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137C068-E14C-3F6C-55DF-8D7A55114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69978</xdr:colOff>
      <xdr:row>13</xdr:row>
      <xdr:rowOff>125185</xdr:rowOff>
    </xdr:from>
    <xdr:to>
      <xdr:col>23</xdr:col>
      <xdr:colOff>396550</xdr:colOff>
      <xdr:row>27</xdr:row>
      <xdr:rowOff>76977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5C70344-A59E-5B42-E7C1-62EC09F52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57150</xdr:rowOff>
    </xdr:from>
    <xdr:to>
      <xdr:col>23</xdr:col>
      <xdr:colOff>396240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05791BD-0D5B-03C5-00F9-1B072D4F3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3810</xdr:rowOff>
    </xdr:from>
    <xdr:to>
      <xdr:col>23</xdr:col>
      <xdr:colOff>411480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AA0D87B-A788-8C9B-A927-32A74FE5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80010</xdr:rowOff>
    </xdr:from>
    <xdr:to>
      <xdr:col>23</xdr:col>
      <xdr:colOff>381000</xdr:colOff>
      <xdr:row>13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E04CF4-2D28-8D64-6CFB-2A7BB3F25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34290</xdr:rowOff>
    </xdr:from>
    <xdr:to>
      <xdr:col>23</xdr:col>
      <xdr:colOff>403860</xdr:colOff>
      <xdr:row>28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64B7D-525D-FF6B-DA92-563BEADF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8305-624C-4F6B-83AB-8F375FA5A787}">
  <dimension ref="A1:P31"/>
  <sheetViews>
    <sheetView tabSelected="1" topLeftCell="H1" zoomScale="98" workbookViewId="0">
      <selection activeCell="K31" sqref="K31:P31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12</v>
      </c>
      <c r="B2" s="9">
        <v>2.3684929901979929E-2</v>
      </c>
      <c r="C2" s="9">
        <v>0</v>
      </c>
      <c r="D2" s="9">
        <v>2.9411764705882353E-2</v>
      </c>
      <c r="E2" s="9">
        <v>0</v>
      </c>
      <c r="F2" s="9">
        <v>1.7241379310344827E-2</v>
      </c>
      <c r="G2" s="9">
        <v>9.0090090090090089E-3</v>
      </c>
      <c r="H2" s="9">
        <v>0</v>
      </c>
      <c r="I2" s="9">
        <v>2.3684929901979929E-2</v>
      </c>
      <c r="J2" s="9">
        <v>2.3684929901979929E-2</v>
      </c>
      <c r="K2" s="9">
        <v>0</v>
      </c>
      <c r="L2" s="9">
        <v>2.9411764705882353E-2</v>
      </c>
      <c r="M2" s="9">
        <v>0</v>
      </c>
      <c r="N2" s="9">
        <v>1.7241379310344827E-2</v>
      </c>
      <c r="O2" s="9">
        <v>9.0090090090090089E-3</v>
      </c>
      <c r="P2" s="9">
        <v>0</v>
      </c>
    </row>
    <row r="3" spans="1:16" x14ac:dyDescent="0.3">
      <c r="A3" s="9" t="s">
        <v>2</v>
      </c>
      <c r="B3" s="9">
        <v>2.6276994571796775E-2</v>
      </c>
      <c r="C3" s="9">
        <v>0.17647058823529413</v>
      </c>
      <c r="D3" s="9">
        <v>0</v>
      </c>
      <c r="E3" s="9">
        <v>0</v>
      </c>
      <c r="F3" s="9">
        <v>1.7241379310344827E-2</v>
      </c>
      <c r="G3" s="9">
        <v>2.7027027027027029E-2</v>
      </c>
      <c r="H3" s="9">
        <v>3.125E-2</v>
      </c>
      <c r="I3" s="9">
        <v>4.9961924473776703E-2</v>
      </c>
      <c r="J3" s="9">
        <f>J2+B3</f>
        <v>4.9961924473776703E-2</v>
      </c>
      <c r="K3" s="9">
        <f t="shared" ref="K3:P14" si="0">K2+C3</f>
        <v>0.17647058823529413</v>
      </c>
      <c r="L3" s="9">
        <f t="shared" si="0"/>
        <v>2.9411764705882353E-2</v>
      </c>
      <c r="M3" s="9">
        <f t="shared" si="0"/>
        <v>0</v>
      </c>
      <c r="N3" s="9">
        <f t="shared" si="0"/>
        <v>3.4482758620689655E-2</v>
      </c>
      <c r="O3" s="9">
        <f t="shared" si="0"/>
        <v>3.6036036036036036E-2</v>
      </c>
      <c r="P3" s="9">
        <f t="shared" si="0"/>
        <v>3.125E-2</v>
      </c>
    </row>
    <row r="4" spans="1:16" x14ac:dyDescent="0.3">
      <c r="A4" s="9" t="s">
        <v>8</v>
      </c>
      <c r="B4" s="9">
        <v>2.7687741633147186E-2</v>
      </c>
      <c r="C4" s="9">
        <v>5.8823529411764705E-2</v>
      </c>
      <c r="D4" s="9">
        <v>0</v>
      </c>
      <c r="E4" s="9">
        <v>2.3809523809523808E-2</v>
      </c>
      <c r="F4" s="9">
        <v>4.3103448275862072E-2</v>
      </c>
      <c r="G4" s="9">
        <v>9.0090090090090089E-3</v>
      </c>
      <c r="H4" s="9">
        <v>1.0416666666666666E-2</v>
      </c>
      <c r="I4" s="9">
        <v>7.7649666106923892E-2</v>
      </c>
      <c r="J4" s="9">
        <f t="shared" ref="J4:J14" si="1">J3+B4</f>
        <v>7.7649666106923892E-2</v>
      </c>
      <c r="K4" s="9">
        <f t="shared" si="0"/>
        <v>0.23529411764705882</v>
      </c>
      <c r="L4" s="9">
        <f t="shared" si="0"/>
        <v>2.9411764705882353E-2</v>
      </c>
      <c r="M4" s="9">
        <f t="shared" si="0"/>
        <v>2.3809523809523808E-2</v>
      </c>
      <c r="N4" s="9">
        <f t="shared" si="0"/>
        <v>7.7586206896551727E-2</v>
      </c>
      <c r="O4" s="9">
        <f t="shared" si="0"/>
        <v>4.5045045045045043E-2</v>
      </c>
      <c r="P4" s="9">
        <f t="shared" si="0"/>
        <v>4.1666666666666664E-2</v>
      </c>
    </row>
    <row r="5" spans="1:16" x14ac:dyDescent="0.3">
      <c r="A5" s="9" t="s">
        <v>11</v>
      </c>
      <c r="B5" s="9">
        <v>3.15343460772445E-2</v>
      </c>
      <c r="C5" s="9">
        <v>0</v>
      </c>
      <c r="D5" s="9">
        <v>2.9411764705882353E-2</v>
      </c>
      <c r="E5" s="9">
        <v>2.3809523809523808E-2</v>
      </c>
      <c r="F5" s="9">
        <v>0</v>
      </c>
      <c r="G5" s="9">
        <v>9.0090090090090089E-3</v>
      </c>
      <c r="H5" s="9">
        <v>0</v>
      </c>
      <c r="I5" s="9">
        <v>0.1091840121841684</v>
      </c>
      <c r="J5" s="9">
        <f t="shared" si="1"/>
        <v>0.1091840121841684</v>
      </c>
      <c r="K5" s="9">
        <f t="shared" si="0"/>
        <v>0.23529411764705882</v>
      </c>
      <c r="L5" s="9">
        <f t="shared" si="0"/>
        <v>5.8823529411764705E-2</v>
      </c>
      <c r="M5" s="9">
        <f t="shared" si="0"/>
        <v>4.7619047619047616E-2</v>
      </c>
      <c r="N5" s="9">
        <f t="shared" si="0"/>
        <v>7.7586206896551727E-2</v>
      </c>
      <c r="O5" s="9">
        <f t="shared" si="0"/>
        <v>5.405405405405405E-2</v>
      </c>
      <c r="P5" s="9">
        <f t="shared" si="0"/>
        <v>4.1666666666666664E-2</v>
      </c>
    </row>
    <row r="6" spans="1:16" x14ac:dyDescent="0.3">
      <c r="A6" s="9" t="s">
        <v>9</v>
      </c>
      <c r="B6" s="9">
        <v>3.2691256297106258E-2</v>
      </c>
      <c r="C6" s="9">
        <v>0</v>
      </c>
      <c r="D6" s="9">
        <v>0</v>
      </c>
      <c r="E6" s="9">
        <v>0</v>
      </c>
      <c r="F6" s="9">
        <v>0</v>
      </c>
      <c r="G6" s="9">
        <v>9.0090090090090089E-3</v>
      </c>
      <c r="H6" s="9">
        <v>1.0416666666666666E-2</v>
      </c>
      <c r="I6" s="9">
        <v>0.14187526848127466</v>
      </c>
      <c r="J6" s="9">
        <f t="shared" si="1"/>
        <v>0.14187526848127466</v>
      </c>
      <c r="K6" s="9">
        <f t="shared" si="0"/>
        <v>0.23529411764705882</v>
      </c>
      <c r="L6" s="9">
        <f t="shared" si="0"/>
        <v>5.8823529411764705E-2</v>
      </c>
      <c r="M6" s="9">
        <f t="shared" si="0"/>
        <v>4.7619047619047616E-2</v>
      </c>
      <c r="N6" s="9">
        <f t="shared" si="0"/>
        <v>7.7586206896551727E-2</v>
      </c>
      <c r="O6" s="9">
        <f t="shared" si="0"/>
        <v>6.3063063063063057E-2</v>
      </c>
      <c r="P6" s="9">
        <f t="shared" si="0"/>
        <v>5.2083333333333329E-2</v>
      </c>
    </row>
    <row r="7" spans="1:16" x14ac:dyDescent="0.3">
      <c r="A7" s="9" t="s">
        <v>3</v>
      </c>
      <c r="B7" s="9">
        <v>3.4053188581247312E-2</v>
      </c>
      <c r="C7" s="9">
        <v>5.8823529411764705E-2</v>
      </c>
      <c r="D7" s="9">
        <v>2.9411764705882353E-2</v>
      </c>
      <c r="E7" s="9">
        <v>3.5714285714285712E-2</v>
      </c>
      <c r="F7" s="9">
        <v>5.1724137931034482E-2</v>
      </c>
      <c r="G7" s="9">
        <v>2.7027027027027029E-2</v>
      </c>
      <c r="H7" s="9">
        <v>1.0416666666666666E-2</v>
      </c>
      <c r="I7" s="9">
        <v>0.17592845706252197</v>
      </c>
      <c r="J7" s="9">
        <f t="shared" si="1"/>
        <v>0.17592845706252197</v>
      </c>
      <c r="K7" s="9">
        <f t="shared" si="0"/>
        <v>0.29411764705882354</v>
      </c>
      <c r="L7" s="9">
        <f t="shared" si="0"/>
        <v>8.8235294117647051E-2</v>
      </c>
      <c r="M7" s="9">
        <f t="shared" si="0"/>
        <v>8.3333333333333329E-2</v>
      </c>
      <c r="N7" s="9">
        <f t="shared" si="0"/>
        <v>0.12931034482758622</v>
      </c>
      <c r="O7" s="9">
        <f t="shared" si="0"/>
        <v>9.0090090090090086E-2</v>
      </c>
      <c r="P7" s="9">
        <f t="shared" si="0"/>
        <v>6.2499999999999993E-2</v>
      </c>
    </row>
    <row r="8" spans="1:16" x14ac:dyDescent="0.3">
      <c r="A8" s="9" t="s">
        <v>7</v>
      </c>
      <c r="B8" s="9">
        <v>3.5742179872691064E-2</v>
      </c>
      <c r="C8" s="9">
        <v>0</v>
      </c>
      <c r="D8" s="9">
        <v>0</v>
      </c>
      <c r="E8" s="9">
        <v>0</v>
      </c>
      <c r="F8" s="9">
        <v>4.3103448275862072E-2</v>
      </c>
      <c r="G8" s="9">
        <v>7.2072072072072071E-2</v>
      </c>
      <c r="H8" s="9">
        <v>1.0416666666666666E-2</v>
      </c>
      <c r="I8" s="9">
        <v>0.21167063693521304</v>
      </c>
      <c r="J8" s="9">
        <f t="shared" si="1"/>
        <v>0.21167063693521304</v>
      </c>
      <c r="K8" s="9">
        <f t="shared" si="0"/>
        <v>0.29411764705882354</v>
      </c>
      <c r="L8" s="9">
        <f t="shared" si="0"/>
        <v>8.8235294117647051E-2</v>
      </c>
      <c r="M8" s="9">
        <f t="shared" si="0"/>
        <v>8.3333333333333329E-2</v>
      </c>
      <c r="N8" s="9">
        <f t="shared" si="0"/>
        <v>0.17241379310344829</v>
      </c>
      <c r="O8" s="9">
        <f t="shared" si="0"/>
        <v>0.16216216216216217</v>
      </c>
      <c r="P8" s="9">
        <f t="shared" si="0"/>
        <v>7.2916666666666657E-2</v>
      </c>
    </row>
    <row r="9" spans="1:16" x14ac:dyDescent="0.3">
      <c r="A9" s="9" t="s">
        <v>6</v>
      </c>
      <c r="B9" s="9">
        <v>4.0086695044323821E-2</v>
      </c>
      <c r="C9" s="9">
        <v>0</v>
      </c>
      <c r="D9" s="9">
        <v>0.14705882352941177</v>
      </c>
      <c r="E9" s="9">
        <v>4.7619047619047616E-2</v>
      </c>
      <c r="F9" s="9">
        <v>8.6206896551724137E-3</v>
      </c>
      <c r="G9" s="9">
        <v>1.8018018018018018E-2</v>
      </c>
      <c r="H9" s="9">
        <v>3.125E-2</v>
      </c>
      <c r="I9" s="9">
        <v>0.25175733197953687</v>
      </c>
      <c r="J9" s="9">
        <f t="shared" si="1"/>
        <v>0.25175733197953687</v>
      </c>
      <c r="K9" s="9">
        <f t="shared" si="0"/>
        <v>0.29411764705882354</v>
      </c>
      <c r="L9" s="9">
        <f t="shared" si="0"/>
        <v>0.23529411764705882</v>
      </c>
      <c r="M9" s="9">
        <f t="shared" si="0"/>
        <v>0.13095238095238093</v>
      </c>
      <c r="N9" s="9">
        <f t="shared" si="0"/>
        <v>0.18103448275862069</v>
      </c>
      <c r="O9" s="9">
        <f t="shared" si="0"/>
        <v>0.1801801801801802</v>
      </c>
      <c r="P9" s="9">
        <f t="shared" si="0"/>
        <v>0.10416666666666666</v>
      </c>
    </row>
    <row r="10" spans="1:16" x14ac:dyDescent="0.3">
      <c r="A10" s="9" t="s">
        <v>5</v>
      </c>
      <c r="B10" s="9">
        <v>4.311321123130394E-2</v>
      </c>
      <c r="C10" s="9">
        <v>0</v>
      </c>
      <c r="D10" s="9">
        <v>0</v>
      </c>
      <c r="E10" s="9">
        <v>1.1904761904761904E-2</v>
      </c>
      <c r="F10" s="9">
        <v>8.6206896551724137E-3</v>
      </c>
      <c r="G10" s="9">
        <v>0</v>
      </c>
      <c r="H10" s="9">
        <v>9.375E-2</v>
      </c>
      <c r="I10" s="9">
        <v>0.29487054321084083</v>
      </c>
      <c r="J10" s="9">
        <f t="shared" si="1"/>
        <v>0.29487054321084083</v>
      </c>
      <c r="K10" s="9">
        <f t="shared" si="0"/>
        <v>0.29411764705882354</v>
      </c>
      <c r="L10" s="9">
        <f t="shared" si="0"/>
        <v>0.23529411764705882</v>
      </c>
      <c r="M10" s="9">
        <f t="shared" si="0"/>
        <v>0.14285714285714285</v>
      </c>
      <c r="N10" s="9">
        <f t="shared" si="0"/>
        <v>0.18965517241379309</v>
      </c>
      <c r="O10" s="9">
        <f t="shared" si="0"/>
        <v>0.1801801801801802</v>
      </c>
      <c r="P10" s="9">
        <f t="shared" si="0"/>
        <v>0.19791666666666666</v>
      </c>
    </row>
    <row r="11" spans="1:16" x14ac:dyDescent="0.3">
      <c r="A11" s="9" t="s">
        <v>10</v>
      </c>
      <c r="B11" s="9">
        <v>6.108681219978912E-2</v>
      </c>
      <c r="C11" s="9">
        <v>0.11764705882352941</v>
      </c>
      <c r="D11" s="9">
        <v>2.9411764705882353E-2</v>
      </c>
      <c r="E11" s="9">
        <v>0.25</v>
      </c>
      <c r="F11" s="9">
        <v>4.3103448275862072E-2</v>
      </c>
      <c r="G11" s="9">
        <v>6.3063063063063057E-2</v>
      </c>
      <c r="H11" s="9">
        <v>4.1666666666666664E-2</v>
      </c>
      <c r="I11" s="9">
        <v>0.35595735541062995</v>
      </c>
      <c r="J11" s="9">
        <f t="shared" si="1"/>
        <v>0.35595735541062995</v>
      </c>
      <c r="K11" s="9">
        <f t="shared" si="0"/>
        <v>0.41176470588235292</v>
      </c>
      <c r="L11" s="9">
        <f t="shared" si="0"/>
        <v>0.26470588235294118</v>
      </c>
      <c r="M11" s="9">
        <f t="shared" si="0"/>
        <v>0.39285714285714285</v>
      </c>
      <c r="N11" s="9">
        <f t="shared" si="0"/>
        <v>0.23275862068965517</v>
      </c>
      <c r="O11" s="9">
        <f t="shared" si="0"/>
        <v>0.24324324324324326</v>
      </c>
      <c r="P11" s="9">
        <f t="shared" si="0"/>
        <v>0.23958333333333331</v>
      </c>
    </row>
    <row r="12" spans="1:16" x14ac:dyDescent="0.3">
      <c r="A12" s="9" t="s">
        <v>1</v>
      </c>
      <c r="B12" s="9">
        <v>7.2206818448080606E-2</v>
      </c>
      <c r="C12" s="9">
        <v>5.8823529411764705E-2</v>
      </c>
      <c r="D12" s="9">
        <v>2.9411764705882353E-2</v>
      </c>
      <c r="E12" s="9">
        <v>1.1904761904761904E-2</v>
      </c>
      <c r="F12" s="9">
        <v>3.4482758620689655E-2</v>
      </c>
      <c r="G12" s="9">
        <v>6.3063063063063057E-2</v>
      </c>
      <c r="H12" s="9">
        <v>4.1666666666666664E-2</v>
      </c>
      <c r="I12" s="9">
        <v>0.42816417385871053</v>
      </c>
      <c r="J12" s="9">
        <f t="shared" si="1"/>
        <v>0.42816417385871053</v>
      </c>
      <c r="K12" s="9">
        <f t="shared" si="0"/>
        <v>0.47058823529411764</v>
      </c>
      <c r="L12" s="9">
        <f t="shared" si="0"/>
        <v>0.29411764705882354</v>
      </c>
      <c r="M12" s="9">
        <f t="shared" si="0"/>
        <v>0.40476190476190477</v>
      </c>
      <c r="N12" s="9">
        <f t="shared" si="0"/>
        <v>0.26724137931034481</v>
      </c>
      <c r="O12" s="9">
        <f t="shared" si="0"/>
        <v>0.30630630630630629</v>
      </c>
      <c r="P12" s="9">
        <f t="shared" si="0"/>
        <v>0.28125</v>
      </c>
    </row>
    <row r="13" spans="1:16" x14ac:dyDescent="0.3">
      <c r="A13" s="9" t="s">
        <v>4</v>
      </c>
      <c r="B13" s="9">
        <v>0.11725309485687507</v>
      </c>
      <c r="C13" s="9">
        <v>0.23529411764705882</v>
      </c>
      <c r="D13" s="9">
        <v>5.8823529411764705E-2</v>
      </c>
      <c r="E13" s="9">
        <v>3.5714285714285712E-2</v>
      </c>
      <c r="F13" s="9">
        <v>6.0344827586206899E-2</v>
      </c>
      <c r="G13" s="9">
        <v>1.8018018018018018E-2</v>
      </c>
      <c r="H13" s="9">
        <v>0.26041666666666669</v>
      </c>
      <c r="I13" s="9">
        <v>0.5454172687155856</v>
      </c>
      <c r="J13" s="9">
        <f t="shared" si="1"/>
        <v>0.5454172687155856</v>
      </c>
      <c r="K13" s="9">
        <f t="shared" si="0"/>
        <v>0.70588235294117641</v>
      </c>
      <c r="L13" s="9">
        <f t="shared" si="0"/>
        <v>0.35294117647058826</v>
      </c>
      <c r="M13" s="9">
        <f t="shared" si="0"/>
        <v>0.44047619047619047</v>
      </c>
      <c r="N13" s="9">
        <f t="shared" si="0"/>
        <v>0.32758620689655171</v>
      </c>
      <c r="O13" s="9">
        <f t="shared" si="0"/>
        <v>0.32432432432432429</v>
      </c>
      <c r="P13" s="9">
        <f t="shared" si="0"/>
        <v>0.54166666666666674</v>
      </c>
    </row>
    <row r="14" spans="1:16" x14ac:dyDescent="0.3">
      <c r="A14" s="9" t="s">
        <v>0</v>
      </c>
      <c r="B14" s="9">
        <v>0.4545827312844144</v>
      </c>
      <c r="C14" s="9">
        <v>0.29411764705882354</v>
      </c>
      <c r="D14" s="9">
        <v>0.6470588235294118</v>
      </c>
      <c r="E14" s="9">
        <v>0.55952380952380953</v>
      </c>
      <c r="F14" s="9">
        <v>0.67241379310344829</v>
      </c>
      <c r="G14" s="9">
        <v>0.67567567567567566</v>
      </c>
      <c r="H14" s="9">
        <v>0.45833333333333331</v>
      </c>
      <c r="I14" s="9">
        <v>1</v>
      </c>
      <c r="J14" s="9">
        <f t="shared" si="1"/>
        <v>1</v>
      </c>
      <c r="K14" s="9">
        <f t="shared" si="0"/>
        <v>1</v>
      </c>
      <c r="L14" s="9">
        <f t="shared" si="0"/>
        <v>1</v>
      </c>
      <c r="M14" s="9">
        <f t="shared" si="0"/>
        <v>1</v>
      </c>
      <c r="N14" s="9">
        <f t="shared" si="0"/>
        <v>1</v>
      </c>
      <c r="O14" s="9">
        <f t="shared" si="0"/>
        <v>1</v>
      </c>
      <c r="P14" s="9">
        <f t="shared" si="0"/>
        <v>1</v>
      </c>
    </row>
    <row r="16" spans="1:16" ht="28.8" x14ac:dyDescent="0.3">
      <c r="B16" s="11" t="s">
        <v>35</v>
      </c>
      <c r="C16" s="12" t="s">
        <v>43</v>
      </c>
      <c r="D16" s="12" t="s">
        <v>44</v>
      </c>
      <c r="E16" s="12" t="s">
        <v>45</v>
      </c>
      <c r="F16" s="12" t="s">
        <v>46</v>
      </c>
      <c r="G16" s="12" t="s">
        <v>47</v>
      </c>
      <c r="H16" s="12" t="s">
        <v>48</v>
      </c>
      <c r="J16" s="8"/>
      <c r="K16" s="13" t="s">
        <v>49</v>
      </c>
      <c r="L16" s="13" t="s">
        <v>50</v>
      </c>
      <c r="M16" s="13" t="s">
        <v>51</v>
      </c>
      <c r="N16" s="13" t="s">
        <v>52</v>
      </c>
      <c r="O16" s="13" t="s">
        <v>53</v>
      </c>
      <c r="P16" s="13" t="s">
        <v>54</v>
      </c>
    </row>
    <row r="17" spans="2:16" x14ac:dyDescent="0.3">
      <c r="B17" s="9" t="s">
        <v>12</v>
      </c>
      <c r="C17" s="9">
        <f>C2-B2</f>
        <v>-2.3684929901979929E-2</v>
      </c>
      <c r="D17" s="9">
        <f>D2-B2</f>
        <v>5.7268348039024239E-3</v>
      </c>
      <c r="E17" s="9">
        <f>E2-B2</f>
        <v>-2.3684929901979929E-2</v>
      </c>
      <c r="F17" s="9">
        <f>F2-B2</f>
        <v>-6.4435505916351013E-3</v>
      </c>
      <c r="G17" s="9">
        <f>G2-B2</f>
        <v>-1.467592089297092E-2</v>
      </c>
      <c r="H17" s="9">
        <f>H2-B2</f>
        <v>-2.3684929901979929E-2</v>
      </c>
      <c r="J17" s="9" t="s">
        <v>12</v>
      </c>
      <c r="K17" s="8">
        <f>($J2-0) * ((K2+0))</f>
        <v>0</v>
      </c>
      <c r="L17" s="8">
        <f t="shared" ref="L17:P17" si="2">($J2-0) * ((L2+0))</f>
        <v>6.9661558535235083E-4</v>
      </c>
      <c r="M17" s="8">
        <f t="shared" si="2"/>
        <v>0</v>
      </c>
      <c r="N17" s="8">
        <f t="shared" si="2"/>
        <v>4.0836086037896428E-4</v>
      </c>
      <c r="O17" s="8">
        <f t="shared" si="2"/>
        <v>2.1337774686468403E-4</v>
      </c>
      <c r="P17" s="8">
        <f t="shared" si="2"/>
        <v>0</v>
      </c>
    </row>
    <row r="18" spans="2:16" x14ac:dyDescent="0.3">
      <c r="B18" s="9" t="s">
        <v>2</v>
      </c>
      <c r="C18" s="9">
        <f t="shared" ref="C18:C29" si="3">C3-B3</f>
        <v>0.15019359366349735</v>
      </c>
      <c r="D18" s="9">
        <f t="shared" ref="D18:D29" si="4">D3-B3</f>
        <v>-2.6276994571796775E-2</v>
      </c>
      <c r="E18" s="9">
        <f t="shared" ref="E18:E29" si="5">E3-B3</f>
        <v>-2.6276994571796775E-2</v>
      </c>
      <c r="F18" s="9">
        <f t="shared" ref="F18:F29" si="6">F3-B3</f>
        <v>-9.0356152614519472E-3</v>
      </c>
      <c r="G18" s="9">
        <f t="shared" ref="G18:G29" si="7">G3-B3</f>
        <v>7.5003245523025397E-4</v>
      </c>
      <c r="H18" s="9">
        <f t="shared" ref="H18:H29" si="8">H3-B3</f>
        <v>4.9730054282032254E-3</v>
      </c>
      <c r="J18" s="9" t="s">
        <v>2</v>
      </c>
      <c r="K18" s="8">
        <f>($J3-$J2) * ((K3+K2))</f>
        <v>4.6371166891406076E-3</v>
      </c>
      <c r="L18" s="8">
        <f t="shared" ref="L18:P18" si="9">($J3-$J2) * ((L3+L2))</f>
        <v>1.545705563046869E-3</v>
      </c>
      <c r="M18" s="8">
        <f t="shared" si="9"/>
        <v>0</v>
      </c>
      <c r="N18" s="8">
        <f t="shared" si="9"/>
        <v>1.3591548916446607E-3</v>
      </c>
      <c r="O18" s="8">
        <f t="shared" si="9"/>
        <v>1.1836484041349898E-3</v>
      </c>
      <c r="P18" s="8">
        <f t="shared" si="9"/>
        <v>8.211560803686492E-4</v>
      </c>
    </row>
    <row r="19" spans="2:16" x14ac:dyDescent="0.3">
      <c r="B19" s="9" t="s">
        <v>8</v>
      </c>
      <c r="C19" s="9">
        <f t="shared" si="3"/>
        <v>3.1135787778617519E-2</v>
      </c>
      <c r="D19" s="9">
        <f t="shared" si="4"/>
        <v>-2.7687741633147186E-2</v>
      </c>
      <c r="E19" s="9">
        <f t="shared" si="5"/>
        <v>-3.8782178236233776E-3</v>
      </c>
      <c r="F19" s="9">
        <f t="shared" si="6"/>
        <v>1.5415706642714886E-2</v>
      </c>
      <c r="G19" s="9">
        <f t="shared" si="7"/>
        <v>-1.8678732624138175E-2</v>
      </c>
      <c r="H19" s="9">
        <f t="shared" si="8"/>
        <v>-1.7271074966480518E-2</v>
      </c>
      <c r="J19" s="9" t="s">
        <v>8</v>
      </c>
      <c r="K19" s="8">
        <f t="shared" ref="K19:P29" si="10">($J4-$J3) * ((K4+K3))</f>
        <v>1.140083479011943E-2</v>
      </c>
      <c r="L19" s="8">
        <f t="shared" si="10"/>
        <v>1.6286906843027758E-3</v>
      </c>
      <c r="M19" s="8">
        <f t="shared" si="10"/>
        <v>6.592319436463616E-4</v>
      </c>
      <c r="N19" s="8">
        <f t="shared" si="10"/>
        <v>3.1029365623354609E-3</v>
      </c>
      <c r="O19" s="8">
        <f t="shared" si="10"/>
        <v>2.2449520243092319E-3</v>
      </c>
      <c r="P19" s="8">
        <f t="shared" si="10"/>
        <v>2.0188978274169821E-3</v>
      </c>
    </row>
    <row r="20" spans="2:16" x14ac:dyDescent="0.3">
      <c r="B20" s="9" t="s">
        <v>11</v>
      </c>
      <c r="C20" s="9">
        <f t="shared" si="3"/>
        <v>-3.15343460772445E-2</v>
      </c>
      <c r="D20" s="9">
        <f t="shared" si="4"/>
        <v>-2.1225813713621478E-3</v>
      </c>
      <c r="E20" s="9">
        <f t="shared" si="5"/>
        <v>-7.7248222677206921E-3</v>
      </c>
      <c r="F20" s="9">
        <f t="shared" si="6"/>
        <v>-3.15343460772445E-2</v>
      </c>
      <c r="G20" s="9">
        <f t="shared" si="7"/>
        <v>-2.2525337068235493E-2</v>
      </c>
      <c r="H20" s="9">
        <f t="shared" si="8"/>
        <v>-3.15343460772445E-2</v>
      </c>
      <c r="J20" s="9" t="s">
        <v>11</v>
      </c>
      <c r="K20" s="8">
        <f t="shared" si="10"/>
        <v>1.4839692271644474E-2</v>
      </c>
      <c r="L20" s="8">
        <f t="shared" si="10"/>
        <v>2.7824423009333386E-3</v>
      </c>
      <c r="M20" s="8">
        <f t="shared" si="10"/>
        <v>2.2524532912317503E-3</v>
      </c>
      <c r="N20" s="8">
        <f t="shared" si="10"/>
        <v>4.8932605981931131E-3</v>
      </c>
      <c r="O20" s="8">
        <f t="shared" si="10"/>
        <v>3.1250252869341401E-3</v>
      </c>
      <c r="P20" s="8">
        <f t="shared" si="10"/>
        <v>2.6278621731037088E-3</v>
      </c>
    </row>
    <row r="21" spans="2:16" x14ac:dyDescent="0.3">
      <c r="B21" s="9" t="s">
        <v>9</v>
      </c>
      <c r="C21" s="9">
        <f t="shared" si="3"/>
        <v>-3.2691256297106258E-2</v>
      </c>
      <c r="D21" s="9">
        <f t="shared" si="4"/>
        <v>-3.2691256297106258E-2</v>
      </c>
      <c r="E21" s="9">
        <f t="shared" si="5"/>
        <v>-3.2691256297106258E-2</v>
      </c>
      <c r="F21" s="9">
        <f t="shared" si="6"/>
        <v>-3.2691256297106258E-2</v>
      </c>
      <c r="G21" s="9">
        <f t="shared" si="7"/>
        <v>-2.3682247288097251E-2</v>
      </c>
      <c r="H21" s="9">
        <f t="shared" si="8"/>
        <v>-2.2274589630439594E-2</v>
      </c>
      <c r="J21" s="9" t="s">
        <v>9</v>
      </c>
      <c r="K21" s="8">
        <f t="shared" si="10"/>
        <v>1.5384120610402945E-2</v>
      </c>
      <c r="L21" s="8">
        <f t="shared" si="10"/>
        <v>3.8460301526007361E-3</v>
      </c>
      <c r="M21" s="8">
        <f t="shared" si="10"/>
        <v>3.1134529806767864E-3</v>
      </c>
      <c r="N21" s="8">
        <f t="shared" si="10"/>
        <v>5.0727811495509716E-3</v>
      </c>
      <c r="O21" s="8">
        <f t="shared" si="10"/>
        <v>3.8287056924538859E-3</v>
      </c>
      <c r="P21" s="8">
        <f t="shared" si="10"/>
        <v>3.0648052778537117E-3</v>
      </c>
    </row>
    <row r="22" spans="2:16" x14ac:dyDescent="0.3">
      <c r="B22" s="9" t="s">
        <v>3</v>
      </c>
      <c r="C22" s="9">
        <f t="shared" si="3"/>
        <v>2.4770340830517393E-2</v>
      </c>
      <c r="D22" s="9">
        <f t="shared" si="4"/>
        <v>-4.6414238753649598E-3</v>
      </c>
      <c r="E22" s="9">
        <f t="shared" si="5"/>
        <v>1.6610971330384E-3</v>
      </c>
      <c r="F22" s="9">
        <f t="shared" si="6"/>
        <v>1.767094934978717E-2</v>
      </c>
      <c r="G22" s="9">
        <f t="shared" si="7"/>
        <v>-7.0261615542202838E-3</v>
      </c>
      <c r="H22" s="9">
        <f t="shared" si="8"/>
        <v>-2.3636521914580648E-2</v>
      </c>
      <c r="J22" s="9" t="s">
        <v>3</v>
      </c>
      <c r="K22" s="8">
        <f t="shared" si="10"/>
        <v>1.8028158660660341E-2</v>
      </c>
      <c r="L22" s="8">
        <f t="shared" si="10"/>
        <v>5.0078218501834271E-3</v>
      </c>
      <c r="M22" s="8">
        <f t="shared" si="10"/>
        <v>4.4593461237347667E-3</v>
      </c>
      <c r="N22" s="8">
        <f t="shared" si="10"/>
        <v>7.0454872926718586E-3</v>
      </c>
      <c r="O22" s="8">
        <f t="shared" si="10"/>
        <v>5.2153532061369754E-3</v>
      </c>
      <c r="P22" s="8">
        <f t="shared" si="10"/>
        <v>3.9019278582679206E-3</v>
      </c>
    </row>
    <row r="23" spans="2:16" x14ac:dyDescent="0.3">
      <c r="B23" s="9" t="s">
        <v>7</v>
      </c>
      <c r="C23" s="9">
        <f t="shared" si="3"/>
        <v>-3.5742179872691064E-2</v>
      </c>
      <c r="D23" s="9">
        <f t="shared" si="4"/>
        <v>-3.5742179872691064E-2</v>
      </c>
      <c r="E23" s="9">
        <f t="shared" si="5"/>
        <v>-3.5742179872691064E-2</v>
      </c>
      <c r="F23" s="9">
        <f t="shared" si="6"/>
        <v>7.3612684031710077E-3</v>
      </c>
      <c r="G23" s="9">
        <f t="shared" si="7"/>
        <v>3.6329892199381007E-2</v>
      </c>
      <c r="H23" s="9">
        <f t="shared" si="8"/>
        <v>-2.53255132060244E-2</v>
      </c>
      <c r="J23" s="9" t="s">
        <v>7</v>
      </c>
      <c r="K23" s="8">
        <f t="shared" si="10"/>
        <v>2.1024811689818276E-2</v>
      </c>
      <c r="L23" s="8">
        <f t="shared" si="10"/>
        <v>6.3074435069454824E-3</v>
      </c>
      <c r="M23" s="8">
        <f t="shared" si="10"/>
        <v>5.9570299787818446E-3</v>
      </c>
      <c r="N23" s="8">
        <f t="shared" si="10"/>
        <v>1.0784278409863684E-2</v>
      </c>
      <c r="O23" s="8">
        <f t="shared" si="10"/>
        <v>9.0160453732914397E-3</v>
      </c>
      <c r="P23" s="8">
        <f t="shared" si="10"/>
        <v>4.8400868577602486E-3</v>
      </c>
    </row>
    <row r="24" spans="2:16" x14ac:dyDescent="0.3">
      <c r="B24" s="9" t="s">
        <v>6</v>
      </c>
      <c r="C24" s="9">
        <f t="shared" si="3"/>
        <v>-4.0086695044323821E-2</v>
      </c>
      <c r="D24" s="9">
        <f t="shared" si="4"/>
        <v>0.10697212848508794</v>
      </c>
      <c r="E24" s="9">
        <f t="shared" si="5"/>
        <v>7.5323525747237954E-3</v>
      </c>
      <c r="F24" s="9">
        <f t="shared" si="6"/>
        <v>-3.1466005389151411E-2</v>
      </c>
      <c r="G24" s="9">
        <f t="shared" si="7"/>
        <v>-2.2068677026305803E-2</v>
      </c>
      <c r="H24" s="9">
        <f t="shared" si="8"/>
        <v>-8.836695044323821E-3</v>
      </c>
      <c r="J24" s="9" t="s">
        <v>6</v>
      </c>
      <c r="K24" s="8">
        <f t="shared" si="10"/>
        <v>2.3580408849602254E-2</v>
      </c>
      <c r="L24" s="8">
        <f t="shared" si="10"/>
        <v>1.2969224867281236E-2</v>
      </c>
      <c r="M24" s="8">
        <f t="shared" si="10"/>
        <v>8.5900060809265336E-3</v>
      </c>
      <c r="N24" s="8">
        <f t="shared" si="10"/>
        <v>1.41685732484248E-2</v>
      </c>
      <c r="O24" s="8">
        <f t="shared" si="10"/>
        <v>1.3723373078236989E-2</v>
      </c>
      <c r="P24" s="8">
        <f t="shared" si="10"/>
        <v>7.0986855807656773E-3</v>
      </c>
    </row>
    <row r="25" spans="2:16" x14ac:dyDescent="0.3">
      <c r="B25" s="9" t="s">
        <v>5</v>
      </c>
      <c r="C25" s="9">
        <f t="shared" si="3"/>
        <v>-4.311321123130394E-2</v>
      </c>
      <c r="D25" s="9">
        <f t="shared" si="4"/>
        <v>-4.311321123130394E-2</v>
      </c>
      <c r="E25" s="9">
        <f t="shared" si="5"/>
        <v>-3.1208449326542036E-2</v>
      </c>
      <c r="F25" s="9">
        <f t="shared" si="6"/>
        <v>-3.449252157613153E-2</v>
      </c>
      <c r="G25" s="9">
        <f t="shared" si="7"/>
        <v>-4.311321123130394E-2</v>
      </c>
      <c r="H25" s="9">
        <f t="shared" si="8"/>
        <v>5.063678876869606E-2</v>
      </c>
      <c r="J25" s="9" t="s">
        <v>5</v>
      </c>
      <c r="K25" s="8">
        <f t="shared" si="10"/>
        <v>2.5360712489002332E-2</v>
      </c>
      <c r="L25" s="8">
        <f t="shared" si="10"/>
        <v>2.0288569991201863E-2</v>
      </c>
      <c r="M25" s="8">
        <f t="shared" si="10"/>
        <v>1.180480783714275E-2</v>
      </c>
      <c r="N25" s="8">
        <f t="shared" si="10"/>
        <v>1.5981621404707505E-2</v>
      </c>
      <c r="O25" s="8">
        <f t="shared" si="10"/>
        <v>1.5536292335605032E-2</v>
      </c>
      <c r="P25" s="8">
        <f t="shared" si="10"/>
        <v>1.3023782559456404E-2</v>
      </c>
    </row>
    <row r="26" spans="2:16" x14ac:dyDescent="0.3">
      <c r="B26" s="9" t="s">
        <v>10</v>
      </c>
      <c r="C26" s="9">
        <f t="shared" si="3"/>
        <v>5.656024662374029E-2</v>
      </c>
      <c r="D26" s="9">
        <f t="shared" si="4"/>
        <v>-3.1675047493906767E-2</v>
      </c>
      <c r="E26" s="9">
        <f t="shared" si="5"/>
        <v>0.18891318780021088</v>
      </c>
      <c r="F26" s="9">
        <f t="shared" si="6"/>
        <v>-1.7983363923927048E-2</v>
      </c>
      <c r="G26" s="9">
        <f t="shared" si="7"/>
        <v>1.9762508632739373E-3</v>
      </c>
      <c r="H26" s="9">
        <f t="shared" si="8"/>
        <v>-1.9420145533122456E-2</v>
      </c>
      <c r="J26" s="9" t="s">
        <v>10</v>
      </c>
      <c r="K26" s="8">
        <f t="shared" si="10"/>
        <v>4.3120102729262907E-2</v>
      </c>
      <c r="L26" s="8">
        <f t="shared" si="10"/>
        <v>3.054340609989456E-2</v>
      </c>
      <c r="M26" s="8">
        <f t="shared" si="10"/>
        <v>3.272507796417274E-2</v>
      </c>
      <c r="N26" s="8">
        <f t="shared" si="10"/>
        <v>2.5803912049910921E-2</v>
      </c>
      <c r="O26" s="8">
        <f t="shared" si="10"/>
        <v>2.5865587147658457E-2</v>
      </c>
      <c r="P26" s="8">
        <f t="shared" si="10"/>
        <v>2.672548033740774E-2</v>
      </c>
    </row>
    <row r="27" spans="2:16" x14ac:dyDescent="0.3">
      <c r="B27" s="9" t="s">
        <v>1</v>
      </c>
      <c r="C27" s="9">
        <f t="shared" si="3"/>
        <v>-1.3383289036315901E-2</v>
      </c>
      <c r="D27" s="9">
        <f t="shared" si="4"/>
        <v>-4.2795053742198254E-2</v>
      </c>
      <c r="E27" s="9">
        <f t="shared" si="5"/>
        <v>-6.0302056543318702E-2</v>
      </c>
      <c r="F27" s="9">
        <f t="shared" si="6"/>
        <v>-3.7724059827390952E-2</v>
      </c>
      <c r="G27" s="9">
        <f t="shared" si="7"/>
        <v>-9.143755385017549E-3</v>
      </c>
      <c r="H27" s="9">
        <f t="shared" si="8"/>
        <v>-3.0540151781413942E-2</v>
      </c>
      <c r="J27" s="9" t="s">
        <v>1</v>
      </c>
      <c r="K27" s="8">
        <f t="shared" si="10"/>
        <v>6.3711898630659333E-2</v>
      </c>
      <c r="L27" s="8">
        <f t="shared" si="10"/>
        <v>4.0350869132750912E-2</v>
      </c>
      <c r="M27" s="8">
        <f t="shared" si="10"/>
        <v>5.7593533762159511E-2</v>
      </c>
      <c r="N27" s="8">
        <f t="shared" si="10"/>
        <v>3.6103409224040289E-2</v>
      </c>
      <c r="O27" s="8">
        <f t="shared" si="10"/>
        <v>3.9681224552548779E-2</v>
      </c>
      <c r="P27" s="8">
        <f t="shared" si="10"/>
        <v>3.7607717941708627E-2</v>
      </c>
    </row>
    <row r="28" spans="2:16" x14ac:dyDescent="0.3">
      <c r="B28" s="9" t="s">
        <v>4</v>
      </c>
      <c r="C28" s="9">
        <f t="shared" si="3"/>
        <v>0.11804102279018375</v>
      </c>
      <c r="D28" s="9">
        <f t="shared" si="4"/>
        <v>-5.8429565445110368E-2</v>
      </c>
      <c r="E28" s="9">
        <f t="shared" si="5"/>
        <v>-8.1538809142589361E-2</v>
      </c>
      <c r="F28" s="9">
        <f t="shared" si="6"/>
        <v>-5.6908267270668174E-2</v>
      </c>
      <c r="G28" s="9">
        <f t="shared" si="7"/>
        <v>-9.9235076838857059E-2</v>
      </c>
      <c r="H28" s="9">
        <f t="shared" si="8"/>
        <v>0.14316357180979161</v>
      </c>
      <c r="J28" s="9" t="s">
        <v>4</v>
      </c>
      <c r="K28" s="8">
        <f t="shared" si="10"/>
        <v>0.13794481747867654</v>
      </c>
      <c r="L28" s="8">
        <f t="shared" si="10"/>
        <v>7.5869649613272111E-2</v>
      </c>
      <c r="M28" s="8">
        <f t="shared" si="10"/>
        <v>9.9106782557596793E-2</v>
      </c>
      <c r="N28" s="8">
        <f t="shared" si="10"/>
        <v>6.9745375389003272E-2</v>
      </c>
      <c r="O28" s="8">
        <f t="shared" si="10"/>
        <v>7.3943393152984274E-2</v>
      </c>
      <c r="P28" s="8">
        <f t="shared" si="10"/>
        <v>9.6489525975970117E-2</v>
      </c>
    </row>
    <row r="29" spans="2:16" x14ac:dyDescent="0.3">
      <c r="B29" s="9" t="s">
        <v>0</v>
      </c>
      <c r="C29" s="9">
        <f t="shared" si="3"/>
        <v>-0.16046508422559086</v>
      </c>
      <c r="D29" s="9">
        <f t="shared" si="4"/>
        <v>0.1924760922449974</v>
      </c>
      <c r="E29" s="9">
        <f t="shared" si="5"/>
        <v>0.10494107823939514</v>
      </c>
      <c r="F29" s="9">
        <f t="shared" si="6"/>
        <v>0.21783106181903389</v>
      </c>
      <c r="G29" s="9">
        <f t="shared" si="7"/>
        <v>0.22109294439126126</v>
      </c>
      <c r="H29" s="9">
        <f t="shared" si="8"/>
        <v>3.7506020489189162E-3</v>
      </c>
      <c r="J29" s="9" t="s">
        <v>0</v>
      </c>
      <c r="K29" s="8">
        <f t="shared" si="10"/>
        <v>0.77546465924988339</v>
      </c>
      <c r="L29" s="8">
        <f t="shared" si="10"/>
        <v>0.61502369526714895</v>
      </c>
      <c r="M29" s="8">
        <f t="shared" si="10"/>
        <v>0.654815601016835</v>
      </c>
      <c r="N29" s="8">
        <f t="shared" si="10"/>
        <v>0.60349776394655008</v>
      </c>
      <c r="O29" s="8">
        <f t="shared" si="10"/>
        <v>0.60201496845773794</v>
      </c>
      <c r="P29" s="8">
        <f t="shared" si="10"/>
        <v>0.70081504406347228</v>
      </c>
    </row>
    <row r="30" spans="2:16" x14ac:dyDescent="0.3">
      <c r="J30" s="15" t="s">
        <v>55</v>
      </c>
      <c r="K30" s="13">
        <f>SUM(K17:K29)</f>
        <v>1.1544973341388729</v>
      </c>
      <c r="L30" s="13">
        <f t="shared" ref="L30:P30" si="11">SUM(L17:L29)</f>
        <v>0.81686016461491462</v>
      </c>
      <c r="M30" s="13">
        <f t="shared" si="11"/>
        <v>0.88107732353690482</v>
      </c>
      <c r="N30" s="13">
        <f t="shared" si="11"/>
        <v>0.79796691502727557</v>
      </c>
      <c r="O30" s="13">
        <f t="shared" si="11"/>
        <v>0.79559194645889675</v>
      </c>
      <c r="P30" s="13">
        <f t="shared" si="11"/>
        <v>0.89903497253355202</v>
      </c>
    </row>
    <row r="31" spans="2:16" x14ac:dyDescent="0.3">
      <c r="J31" s="16" t="s">
        <v>56</v>
      </c>
      <c r="K31" s="14">
        <f>1-K30</f>
        <v>-0.1544973341388729</v>
      </c>
      <c r="L31" s="14">
        <f t="shared" ref="L31:P31" si="12">1-L30</f>
        <v>0.18313983538508538</v>
      </c>
      <c r="M31" s="14">
        <f t="shared" si="12"/>
        <v>0.11892267646309518</v>
      </c>
      <c r="N31" s="14">
        <f t="shared" si="12"/>
        <v>0.20203308497272443</v>
      </c>
      <c r="O31" s="14">
        <f t="shared" si="12"/>
        <v>0.20440805354110325</v>
      </c>
      <c r="P31" s="14">
        <f t="shared" si="12"/>
        <v>0.10096502746644798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937-283D-4B0A-9EF6-FF5197E3048E}">
  <dimension ref="A1:P21"/>
  <sheetViews>
    <sheetView topLeftCell="H1" workbookViewId="0">
      <selection activeCell="K21" sqref="K21:P21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15</v>
      </c>
      <c r="B2" s="9">
        <v>1.1506800056506608E-2</v>
      </c>
      <c r="C2" s="9">
        <v>0</v>
      </c>
      <c r="D2" s="9">
        <v>0</v>
      </c>
      <c r="E2" s="9">
        <v>0</v>
      </c>
      <c r="F2" s="9">
        <v>0</v>
      </c>
      <c r="G2" s="9">
        <v>1.6949152542372881E-2</v>
      </c>
      <c r="H2" s="9">
        <v>2.2222222222222223E-2</v>
      </c>
      <c r="I2" s="9">
        <v>1.1506800056506608E-2</v>
      </c>
      <c r="J2" s="9">
        <v>1.1506800056506608E-2</v>
      </c>
      <c r="K2" s="9">
        <v>0</v>
      </c>
      <c r="L2" s="9">
        <v>0</v>
      </c>
      <c r="M2" s="9">
        <v>0</v>
      </c>
      <c r="N2" s="9">
        <v>0</v>
      </c>
      <c r="O2" s="9">
        <v>1.6949152542372881E-2</v>
      </c>
      <c r="P2" s="9">
        <v>2.2222222222222223E-2</v>
      </c>
    </row>
    <row r="3" spans="1:16" x14ac:dyDescent="0.3">
      <c r="A3" s="9" t="s">
        <v>17</v>
      </c>
      <c r="B3" s="9">
        <v>1.3488812119811131E-2</v>
      </c>
      <c r="C3" s="9">
        <v>3.8461538461538464E-2</v>
      </c>
      <c r="D3" s="9">
        <v>0</v>
      </c>
      <c r="E3" s="9">
        <v>0</v>
      </c>
      <c r="F3" s="9">
        <v>0.33333333333333331</v>
      </c>
      <c r="G3" s="9">
        <v>1.6949152542372881E-2</v>
      </c>
      <c r="H3" s="9">
        <v>0</v>
      </c>
      <c r="I3" s="9">
        <v>2.4995612176317739E-2</v>
      </c>
      <c r="J3" s="9">
        <f t="shared" ref="J3:P9" si="0">J2+B3</f>
        <v>2.4995612176317739E-2</v>
      </c>
      <c r="K3" s="9">
        <f t="shared" si="0"/>
        <v>3.8461538461538464E-2</v>
      </c>
      <c r="L3" s="10">
        <f t="shared" si="0"/>
        <v>0</v>
      </c>
      <c r="M3" s="9">
        <f t="shared" si="0"/>
        <v>0</v>
      </c>
      <c r="N3" s="9">
        <f t="shared" si="0"/>
        <v>0.33333333333333331</v>
      </c>
      <c r="O3" s="9">
        <f t="shared" si="0"/>
        <v>3.3898305084745763E-2</v>
      </c>
      <c r="P3" s="9">
        <f t="shared" si="0"/>
        <v>2.2222222222222223E-2</v>
      </c>
    </row>
    <row r="4" spans="1:16" x14ac:dyDescent="0.3">
      <c r="A4" s="9" t="s">
        <v>18</v>
      </c>
      <c r="B4" s="9">
        <v>1.725163847757501E-2</v>
      </c>
      <c r="C4" s="9">
        <v>3.8461538461538464E-2</v>
      </c>
      <c r="D4" s="9">
        <v>0.14285714285714285</v>
      </c>
      <c r="E4" s="9">
        <v>7.6923076923076927E-2</v>
      </c>
      <c r="F4" s="9">
        <v>0.34848484848484851</v>
      </c>
      <c r="G4" s="9">
        <v>0.23728813559322035</v>
      </c>
      <c r="H4" s="9">
        <v>2.2222222222222223E-2</v>
      </c>
      <c r="I4" s="9">
        <v>4.2247250653892746E-2</v>
      </c>
      <c r="J4" s="9">
        <f t="shared" si="0"/>
        <v>4.2247250653892746E-2</v>
      </c>
      <c r="K4" s="9">
        <f t="shared" si="0"/>
        <v>7.6923076923076927E-2</v>
      </c>
      <c r="L4" s="10">
        <f t="shared" si="0"/>
        <v>0.14285714285714285</v>
      </c>
      <c r="M4" s="9">
        <f t="shared" si="0"/>
        <v>7.6923076923076927E-2</v>
      </c>
      <c r="N4" s="9">
        <f t="shared" si="0"/>
        <v>0.68181818181818188</v>
      </c>
      <c r="O4" s="9">
        <f t="shared" si="0"/>
        <v>0.2711864406779661</v>
      </c>
      <c r="P4" s="9">
        <f t="shared" si="0"/>
        <v>4.4444444444444446E-2</v>
      </c>
    </row>
    <row r="5" spans="1:16" x14ac:dyDescent="0.3">
      <c r="A5" s="9" t="s">
        <v>19</v>
      </c>
      <c r="B5" s="9">
        <v>2.1528161266432935E-2</v>
      </c>
      <c r="C5" s="9">
        <v>7.6923076923076927E-2</v>
      </c>
      <c r="D5" s="9">
        <v>0</v>
      </c>
      <c r="E5" s="9">
        <v>0</v>
      </c>
      <c r="F5" s="9">
        <v>0</v>
      </c>
      <c r="G5" s="9">
        <v>0</v>
      </c>
      <c r="H5" s="9">
        <v>2.2222222222222223E-2</v>
      </c>
      <c r="I5" s="9">
        <v>6.3775411920325681E-2</v>
      </c>
      <c r="J5" s="9">
        <f t="shared" si="0"/>
        <v>6.3775411920325681E-2</v>
      </c>
      <c r="K5" s="9">
        <f t="shared" si="0"/>
        <v>0.15384615384615385</v>
      </c>
      <c r="L5" s="10">
        <f t="shared" si="0"/>
        <v>0.14285714285714285</v>
      </c>
      <c r="M5" s="9">
        <f t="shared" si="0"/>
        <v>7.6923076923076927E-2</v>
      </c>
      <c r="N5" s="9">
        <f t="shared" si="0"/>
        <v>0.68181818181818188</v>
      </c>
      <c r="O5" s="9">
        <f t="shared" si="0"/>
        <v>0.2711864406779661</v>
      </c>
      <c r="P5" s="9">
        <f t="shared" si="0"/>
        <v>6.6666666666666666E-2</v>
      </c>
    </row>
    <row r="6" spans="1:16" x14ac:dyDescent="0.3">
      <c r="A6" s="9" t="s">
        <v>16</v>
      </c>
      <c r="B6" s="9">
        <v>3.207606131823066E-2</v>
      </c>
      <c r="C6" s="9">
        <v>3.8461538461538464E-2</v>
      </c>
      <c r="D6" s="9">
        <v>0</v>
      </c>
      <c r="E6" s="9">
        <v>0</v>
      </c>
      <c r="F6" s="9">
        <v>0</v>
      </c>
      <c r="G6" s="9">
        <v>6.7796610169491525E-2</v>
      </c>
      <c r="H6" s="9">
        <v>0.15555555555555556</v>
      </c>
      <c r="I6" s="9">
        <v>9.5851473238556334E-2</v>
      </c>
      <c r="J6" s="9">
        <f t="shared" si="0"/>
        <v>9.5851473238556334E-2</v>
      </c>
      <c r="K6" s="9">
        <f t="shared" si="0"/>
        <v>0.19230769230769232</v>
      </c>
      <c r="L6" s="10">
        <f t="shared" si="0"/>
        <v>0.14285714285714285</v>
      </c>
      <c r="M6" s="9">
        <f t="shared" si="0"/>
        <v>7.6923076923076927E-2</v>
      </c>
      <c r="N6" s="9">
        <f t="shared" si="0"/>
        <v>0.68181818181818188</v>
      </c>
      <c r="O6" s="9">
        <f t="shared" si="0"/>
        <v>0.33898305084745761</v>
      </c>
      <c r="P6" s="9">
        <f t="shared" si="0"/>
        <v>0.22222222222222221</v>
      </c>
    </row>
    <row r="7" spans="1:16" x14ac:dyDescent="0.3">
      <c r="A7" s="9" t="s">
        <v>13</v>
      </c>
      <c r="B7" s="9">
        <v>3.952465956909431E-2</v>
      </c>
      <c r="C7" s="9">
        <v>3.8461538461538464E-2</v>
      </c>
      <c r="D7" s="9">
        <v>0</v>
      </c>
      <c r="E7" s="9">
        <v>7.6923076923076927E-2</v>
      </c>
      <c r="F7" s="9">
        <v>4.5454545454545456E-2</v>
      </c>
      <c r="G7" s="9">
        <v>0.15254237288135594</v>
      </c>
      <c r="H7" s="9">
        <v>0.1111111111111111</v>
      </c>
      <c r="I7" s="9">
        <v>0.13537613280765065</v>
      </c>
      <c r="J7" s="9">
        <f t="shared" si="0"/>
        <v>0.13537613280765065</v>
      </c>
      <c r="K7" s="9">
        <f t="shared" si="0"/>
        <v>0.23076923076923078</v>
      </c>
      <c r="L7" s="10">
        <f t="shared" si="0"/>
        <v>0.14285714285714285</v>
      </c>
      <c r="M7" s="9">
        <f t="shared" si="0"/>
        <v>0.15384615384615385</v>
      </c>
      <c r="N7" s="9">
        <f t="shared" si="0"/>
        <v>0.72727272727272729</v>
      </c>
      <c r="O7" s="9">
        <f t="shared" si="0"/>
        <v>0.49152542372881358</v>
      </c>
      <c r="P7" s="9">
        <f t="shared" si="0"/>
        <v>0.33333333333333331</v>
      </c>
    </row>
    <row r="8" spans="1:16" x14ac:dyDescent="0.3">
      <c r="A8" s="9" t="s">
        <v>20</v>
      </c>
      <c r="B8" s="9">
        <v>0.39070038227576082</v>
      </c>
      <c r="C8" s="9">
        <v>0.23076923076923078</v>
      </c>
      <c r="D8" s="9">
        <v>0.14285714285714285</v>
      </c>
      <c r="E8" s="9">
        <v>0.30769230769230771</v>
      </c>
      <c r="F8" s="9">
        <v>0.12121212121212122</v>
      </c>
      <c r="G8" s="9">
        <v>0.28813559322033899</v>
      </c>
      <c r="H8" s="9">
        <v>0.35555555555555557</v>
      </c>
      <c r="I8" s="9">
        <v>0.52607651508341147</v>
      </c>
      <c r="J8" s="9">
        <f t="shared" si="0"/>
        <v>0.52607651508341147</v>
      </c>
      <c r="K8" s="9">
        <f t="shared" si="0"/>
        <v>0.46153846153846156</v>
      </c>
      <c r="L8" s="10">
        <f t="shared" si="0"/>
        <v>0.2857142857142857</v>
      </c>
      <c r="M8" s="9">
        <f t="shared" si="0"/>
        <v>0.46153846153846156</v>
      </c>
      <c r="N8" s="9">
        <f t="shared" si="0"/>
        <v>0.84848484848484851</v>
      </c>
      <c r="O8" s="9">
        <f t="shared" si="0"/>
        <v>0.77966101694915257</v>
      </c>
      <c r="P8" s="9">
        <f t="shared" si="0"/>
        <v>0.68888888888888888</v>
      </c>
    </row>
    <row r="9" spans="1:16" x14ac:dyDescent="0.3">
      <c r="A9" s="9" t="s">
        <v>14</v>
      </c>
      <c r="B9" s="9">
        <v>0.47392348491658853</v>
      </c>
      <c r="C9" s="9">
        <v>0.53846153846153844</v>
      </c>
      <c r="D9" s="9">
        <v>0.7142857142857143</v>
      </c>
      <c r="E9" s="9">
        <v>0.53846153846153844</v>
      </c>
      <c r="F9" s="9">
        <v>0.15151515151515152</v>
      </c>
      <c r="G9" s="9">
        <v>0.22033898305084745</v>
      </c>
      <c r="H9" s="9">
        <v>0.31111111111111112</v>
      </c>
      <c r="I9" s="9"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1" t="s">
        <v>35</v>
      </c>
      <c r="C11" s="12" t="s">
        <v>43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J11" s="8"/>
      <c r="K11" s="13" t="s">
        <v>49</v>
      </c>
      <c r="L11" s="13" t="s">
        <v>50</v>
      </c>
      <c r="M11" s="13" t="s">
        <v>51</v>
      </c>
      <c r="N11" s="13" t="s">
        <v>52</v>
      </c>
      <c r="O11" s="13" t="s">
        <v>53</v>
      </c>
      <c r="P11" s="13" t="s">
        <v>54</v>
      </c>
    </row>
    <row r="12" spans="1:16" x14ac:dyDescent="0.3">
      <c r="B12" s="9" t="s">
        <v>15</v>
      </c>
      <c r="C12" s="9">
        <f>C2-B2</f>
        <v>-1.1506800056506608E-2</v>
      </c>
      <c r="D12" s="9">
        <f>D2-B2</f>
        <v>-1.1506800056506608E-2</v>
      </c>
      <c r="E12" s="9">
        <f>E2-B2</f>
        <v>-1.1506800056506608E-2</v>
      </c>
      <c r="F12" s="9">
        <f>F2-B2</f>
        <v>-1.1506800056506608E-2</v>
      </c>
      <c r="G12" s="9">
        <f>G2-B2</f>
        <v>5.4423524858662736E-3</v>
      </c>
      <c r="H12" s="9">
        <f>H2-B2</f>
        <v>1.0715422165715615E-2</v>
      </c>
      <c r="J12" s="9" t="s">
        <v>15</v>
      </c>
      <c r="K12" s="8">
        <f>(J2-0) * (K2+0)</f>
        <v>0</v>
      </c>
      <c r="L12" s="8">
        <f t="shared" ref="L12" si="1">(K2-0) * (L2+0)</f>
        <v>0</v>
      </c>
      <c r="M12" s="8">
        <f>(J2-0) * (M2+0)</f>
        <v>0</v>
      </c>
      <c r="N12" s="8">
        <f>(J2-0) * (N2+0)</f>
        <v>0</v>
      </c>
      <c r="O12" s="8">
        <f>(J2-0) * (O2+0)</f>
        <v>1.9503050943231538E-4</v>
      </c>
      <c r="P12" s="8">
        <f>(J2-0) * (P2+0)</f>
        <v>2.5570666792236907E-4</v>
      </c>
    </row>
    <row r="13" spans="1:16" x14ac:dyDescent="0.3">
      <c r="B13" s="9" t="s">
        <v>17</v>
      </c>
      <c r="C13" s="9">
        <f t="shared" ref="C13:C19" si="2">C3-B3</f>
        <v>2.4972726341727335E-2</v>
      </c>
      <c r="D13" s="9">
        <f t="shared" ref="D13:D19" si="3">D3-B3</f>
        <v>-1.3488812119811131E-2</v>
      </c>
      <c r="E13" s="9">
        <f t="shared" ref="E13:E19" si="4">E3-B3</f>
        <v>-1.3488812119811131E-2</v>
      </c>
      <c r="F13" s="9">
        <f t="shared" ref="F13:F19" si="5">F3-B3</f>
        <v>0.31984452121352219</v>
      </c>
      <c r="G13" s="9">
        <f t="shared" ref="G13:G19" si="6">G3-B3</f>
        <v>3.4603404225617505E-3</v>
      </c>
      <c r="H13" s="9">
        <f t="shared" ref="H13:H19" si="7">H3-B3</f>
        <v>-1.3488812119811131E-2</v>
      </c>
      <c r="J13" s="9" t="s">
        <v>17</v>
      </c>
      <c r="K13" s="8">
        <f>(J3-J2) * (K3+K2)</f>
        <v>5.1880046614658198E-4</v>
      </c>
      <c r="L13" s="8">
        <f>(J3-J2) * (L3+L2)</f>
        <v>0</v>
      </c>
      <c r="M13" s="8">
        <f>(J3-J2) * (M3+M2)</f>
        <v>0</v>
      </c>
      <c r="N13" s="8">
        <f>(J3-J2) * (N3+N2)</f>
        <v>4.4962707066037097E-3</v>
      </c>
      <c r="O13" s="8">
        <f>(J3-J2) * (O3+O2)</f>
        <v>6.858718027022609E-4</v>
      </c>
      <c r="P13" s="8">
        <f>(J3-J2) * (P3+P2)</f>
        <v>5.995027608804947E-4</v>
      </c>
    </row>
    <row r="14" spans="1:16" x14ac:dyDescent="0.3">
      <c r="B14" s="9" t="s">
        <v>18</v>
      </c>
      <c r="C14" s="9">
        <f t="shared" si="2"/>
        <v>2.1209899983963453E-2</v>
      </c>
      <c r="D14" s="9">
        <f t="shared" si="3"/>
        <v>0.12560550437956783</v>
      </c>
      <c r="E14" s="9">
        <f t="shared" si="4"/>
        <v>5.967143844550192E-2</v>
      </c>
      <c r="F14" s="9">
        <f t="shared" si="5"/>
        <v>0.33123321000727352</v>
      </c>
      <c r="G14" s="9">
        <f t="shared" si="6"/>
        <v>0.22003649711564532</v>
      </c>
      <c r="H14" s="9">
        <f t="shared" si="7"/>
        <v>4.9705837446472126E-3</v>
      </c>
      <c r="J14" s="9" t="s">
        <v>18</v>
      </c>
      <c r="K14" s="8">
        <f t="shared" ref="K14:K19" si="8">(J4-J3) * (K4+K3)</f>
        <v>1.9905736704894238E-3</v>
      </c>
      <c r="L14" s="8">
        <f t="shared" ref="L14:L19" si="9">(J4-J3) * (L4+L3)</f>
        <v>2.4645197825107152E-3</v>
      </c>
      <c r="M14" s="8">
        <f t="shared" ref="M14:M19" si="10">(J4-J3) * (M4+M3)</f>
        <v>1.3270491136596161E-3</v>
      </c>
      <c r="N14" s="8">
        <f t="shared" ref="N14:N19" si="11">(J4-J3) * (N4+N3)</f>
        <v>1.7513026939356448E-2</v>
      </c>
      <c r="O14" s="8">
        <f t="shared" ref="O14:O19" si="12">(J4-J3) * (O4+O3)</f>
        <v>5.2632117389211893E-3</v>
      </c>
      <c r="P14" s="8">
        <f t="shared" ref="P14:P19" si="13">(J4-J3) * (P4+P3)</f>
        <v>1.1501092318383338E-3</v>
      </c>
    </row>
    <row r="15" spans="1:16" x14ac:dyDescent="0.3">
      <c r="B15" s="9" t="s">
        <v>19</v>
      </c>
      <c r="C15" s="9">
        <f t="shared" si="2"/>
        <v>5.5394915656643992E-2</v>
      </c>
      <c r="D15" s="9">
        <f t="shared" si="3"/>
        <v>-2.1528161266432935E-2</v>
      </c>
      <c r="E15" s="9">
        <f t="shared" si="4"/>
        <v>-2.1528161266432935E-2</v>
      </c>
      <c r="F15" s="9">
        <f t="shared" si="5"/>
        <v>-2.1528161266432935E-2</v>
      </c>
      <c r="G15" s="9">
        <f t="shared" si="6"/>
        <v>-2.1528161266432935E-2</v>
      </c>
      <c r="H15" s="9">
        <f t="shared" si="7"/>
        <v>6.9406095578928781E-4</v>
      </c>
      <c r="J15" s="9" t="s">
        <v>19</v>
      </c>
      <c r="K15" s="8">
        <f t="shared" si="8"/>
        <v>4.9680372153306776E-3</v>
      </c>
      <c r="L15" s="8">
        <f t="shared" si="9"/>
        <v>6.1509032189808379E-3</v>
      </c>
      <c r="M15" s="8">
        <f t="shared" si="10"/>
        <v>3.3120248102204517E-3</v>
      </c>
      <c r="N15" s="8">
        <f t="shared" si="11"/>
        <v>2.9356583545135824E-2</v>
      </c>
      <c r="O15" s="8">
        <f t="shared" si="12"/>
        <v>1.1676290856370406E-2</v>
      </c>
      <c r="P15" s="8">
        <f t="shared" si="13"/>
        <v>2.3920179184925483E-3</v>
      </c>
    </row>
    <row r="16" spans="1:16" x14ac:dyDescent="0.3">
      <c r="B16" s="9" t="s">
        <v>16</v>
      </c>
      <c r="C16" s="9">
        <f t="shared" si="2"/>
        <v>6.3854771433078036E-3</v>
      </c>
      <c r="D16" s="9">
        <f t="shared" si="3"/>
        <v>-3.207606131823066E-2</v>
      </c>
      <c r="E16" s="9">
        <f t="shared" si="4"/>
        <v>-3.207606131823066E-2</v>
      </c>
      <c r="F16" s="9">
        <f t="shared" si="5"/>
        <v>-3.207606131823066E-2</v>
      </c>
      <c r="G16" s="9">
        <f t="shared" si="6"/>
        <v>3.5720548851260865E-2</v>
      </c>
      <c r="H16" s="9">
        <f t="shared" si="7"/>
        <v>0.1234794942373249</v>
      </c>
      <c r="J16" s="9" t="s">
        <v>16</v>
      </c>
      <c r="K16" s="8">
        <f t="shared" si="8"/>
        <v>1.1103251994772148E-2</v>
      </c>
      <c r="L16" s="8">
        <f t="shared" si="9"/>
        <v>9.1645889480658996E-3</v>
      </c>
      <c r="M16" s="8">
        <f t="shared" si="10"/>
        <v>4.9347786643431776E-3</v>
      </c>
      <c r="N16" s="8">
        <f t="shared" si="11"/>
        <v>4.3740083615769074E-2</v>
      </c>
      <c r="O16" s="8">
        <f t="shared" si="12"/>
        <v>1.9571834024683109E-2</v>
      </c>
      <c r="P16" s="8">
        <f t="shared" si="13"/>
        <v>9.2664177141555219E-3</v>
      </c>
    </row>
    <row r="17" spans="2:16" x14ac:dyDescent="0.3">
      <c r="B17" s="9" t="s">
        <v>13</v>
      </c>
      <c r="C17" s="9">
        <f t="shared" si="2"/>
        <v>-1.0631211075558464E-3</v>
      </c>
      <c r="D17" s="9">
        <f t="shared" si="3"/>
        <v>-3.952465956909431E-2</v>
      </c>
      <c r="E17" s="9">
        <f t="shared" si="4"/>
        <v>3.7398417353982617E-2</v>
      </c>
      <c r="F17" s="9">
        <f t="shared" si="5"/>
        <v>5.9298858854511458E-3</v>
      </c>
      <c r="G17" s="9">
        <f t="shared" si="6"/>
        <v>0.11301771331226163</v>
      </c>
      <c r="H17" s="9">
        <f t="shared" si="7"/>
        <v>7.1586451542016788E-2</v>
      </c>
      <c r="J17" s="9" t="s">
        <v>13</v>
      </c>
      <c r="K17" s="8">
        <f t="shared" si="8"/>
        <v>1.6721971356155291E-2</v>
      </c>
      <c r="L17" s="8">
        <f t="shared" si="9"/>
        <v>1.1292759876884089E-2</v>
      </c>
      <c r="M17" s="8">
        <f t="shared" si="10"/>
        <v>9.1210752851756116E-3</v>
      </c>
      <c r="N17" s="8">
        <f t="shared" si="11"/>
        <v>5.5693838483723813E-2</v>
      </c>
      <c r="O17" s="8">
        <f t="shared" si="12"/>
        <v>3.2825564726874944E-2</v>
      </c>
      <c r="P17" s="8">
        <f t="shared" si="13"/>
        <v>2.1958144205052401E-2</v>
      </c>
    </row>
    <row r="18" spans="2:16" x14ac:dyDescent="0.3">
      <c r="B18" s="9" t="s">
        <v>20</v>
      </c>
      <c r="C18" s="9">
        <f t="shared" si="2"/>
        <v>-0.15993115150653003</v>
      </c>
      <c r="D18" s="9">
        <f t="shared" si="3"/>
        <v>-0.24784323941861797</v>
      </c>
      <c r="E18" s="9">
        <f t="shared" si="4"/>
        <v>-8.3008074583453106E-2</v>
      </c>
      <c r="F18" s="9">
        <f t="shared" si="5"/>
        <v>-0.2694882610636396</v>
      </c>
      <c r="G18" s="9">
        <f t="shared" si="6"/>
        <v>-0.10256478905542182</v>
      </c>
      <c r="H18" s="9">
        <f t="shared" si="7"/>
        <v>-3.5144826720205247E-2</v>
      </c>
      <c r="J18" s="9" t="s">
        <v>20</v>
      </c>
      <c r="K18" s="8">
        <f t="shared" si="8"/>
        <v>0.27048488003706517</v>
      </c>
      <c r="L18" s="8">
        <f t="shared" si="9"/>
        <v>0.16744302097532607</v>
      </c>
      <c r="M18" s="8">
        <f t="shared" si="10"/>
        <v>0.2404310044773913</v>
      </c>
      <c r="N18" s="8">
        <f t="shared" si="11"/>
        <v>0.61564908722241096</v>
      </c>
      <c r="O18" s="8">
        <f t="shared" si="12"/>
        <v>0.49665302831664515</v>
      </c>
      <c r="P18" s="8">
        <f t="shared" si="13"/>
        <v>0.39938261299299993</v>
      </c>
    </row>
    <row r="19" spans="2:16" x14ac:dyDescent="0.3">
      <c r="B19" s="9" t="s">
        <v>14</v>
      </c>
      <c r="C19" s="9">
        <f t="shared" si="2"/>
        <v>6.4538053544949903E-2</v>
      </c>
      <c r="D19" s="9">
        <f t="shared" si="3"/>
        <v>0.24036222936912577</v>
      </c>
      <c r="E19" s="9">
        <f t="shared" si="4"/>
        <v>6.4538053544949903E-2</v>
      </c>
      <c r="F19" s="9">
        <f t="shared" si="5"/>
        <v>-0.32240833340143704</v>
      </c>
      <c r="G19" s="9">
        <f t="shared" si="6"/>
        <v>-0.25358450186574111</v>
      </c>
      <c r="H19" s="9">
        <f t="shared" si="7"/>
        <v>-0.16281237380547742</v>
      </c>
      <c r="J19" s="9" t="s">
        <v>14</v>
      </c>
      <c r="K19" s="8">
        <f t="shared" si="8"/>
        <v>0.69265740103193718</v>
      </c>
      <c r="L19" s="8">
        <f t="shared" si="9"/>
        <v>0.60933019489275664</v>
      </c>
      <c r="M19" s="8">
        <f t="shared" si="10"/>
        <v>0.69265740103193718</v>
      </c>
      <c r="N19" s="8">
        <f t="shared" si="11"/>
        <v>0.8760403812094516</v>
      </c>
      <c r="O19" s="8">
        <f t="shared" si="12"/>
        <v>0.84342315112274235</v>
      </c>
      <c r="P19" s="8">
        <f t="shared" si="13"/>
        <v>0.8004041078591273</v>
      </c>
    </row>
    <row r="20" spans="2:16" x14ac:dyDescent="0.3">
      <c r="J20" s="13" t="s">
        <v>55</v>
      </c>
      <c r="K20" s="13">
        <f>SUM(K12:K19)</f>
        <v>0.99844491577189642</v>
      </c>
      <c r="L20" s="13">
        <f t="shared" ref="L20:P20" si="14">SUM(L12:L19)</f>
        <v>0.80584598769452431</v>
      </c>
      <c r="M20" s="13">
        <f t="shared" si="14"/>
        <v>0.95178333338272736</v>
      </c>
      <c r="N20" s="13">
        <f t="shared" si="14"/>
        <v>1.6424892717224515</v>
      </c>
      <c r="O20" s="13">
        <f t="shared" si="14"/>
        <v>1.4102939830983718</v>
      </c>
      <c r="P20" s="13">
        <f t="shared" si="14"/>
        <v>1.235408619350469</v>
      </c>
    </row>
    <row r="21" spans="2:16" x14ac:dyDescent="0.3">
      <c r="J21" s="14" t="s">
        <v>56</v>
      </c>
      <c r="K21" s="14">
        <f>1-K20</f>
        <v>1.5550842281035759E-3</v>
      </c>
      <c r="L21" s="14">
        <f t="shared" ref="L21:P21" si="15">1-L20</f>
        <v>0.19415401230547569</v>
      </c>
      <c r="M21" s="14">
        <f t="shared" si="15"/>
        <v>4.8216666617272641E-2</v>
      </c>
      <c r="N21" s="14">
        <f t="shared" si="15"/>
        <v>-0.64248927172245152</v>
      </c>
      <c r="O21" s="14">
        <f t="shared" si="15"/>
        <v>-0.41029398309837184</v>
      </c>
      <c r="P21" s="14">
        <f t="shared" si="15"/>
        <v>-0.23540861935046897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BEDD-EB24-4442-B8F4-801A8ABB2675}">
  <dimension ref="A1:P33"/>
  <sheetViews>
    <sheetView topLeftCell="D1" workbookViewId="0">
      <selection activeCell="D1" sqref="A1:XFD1048576"/>
    </sheetView>
  </sheetViews>
  <sheetFormatPr defaultRowHeight="14.4" x14ac:dyDescent="0.3"/>
  <cols>
    <col min="13" max="14" width="12" bestFit="1" customWidth="1"/>
    <col min="16" max="16" width="12" bestFit="1" customWidth="1"/>
  </cols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25</v>
      </c>
      <c r="B2" s="9">
        <v>9.6048371348462242E-3</v>
      </c>
      <c r="C2" s="9">
        <v>2.4390243902439025E-2</v>
      </c>
      <c r="D2" s="9">
        <v>0</v>
      </c>
      <c r="E2" s="9">
        <v>0.05</v>
      </c>
      <c r="F2" s="9">
        <v>5.4054054054054057E-2</v>
      </c>
      <c r="G2" s="9">
        <v>1.1976047904191617E-2</v>
      </c>
      <c r="H2" s="9">
        <v>8.6956521739130436E-3</v>
      </c>
      <c r="I2" s="9">
        <v>9.6048371348462242E-3</v>
      </c>
      <c r="J2" s="9">
        <v>9.6048371348462242E-3</v>
      </c>
      <c r="K2" s="9">
        <v>2.4390243902439025E-2</v>
      </c>
      <c r="L2" s="9">
        <v>0</v>
      </c>
      <c r="M2" s="9">
        <v>0.05</v>
      </c>
      <c r="N2" s="9">
        <v>5.4054054054054057E-2</v>
      </c>
      <c r="O2" s="9">
        <v>1.1976047904191617E-2</v>
      </c>
      <c r="P2" s="9">
        <v>8.6956521739130436E-3</v>
      </c>
    </row>
    <row r="3" spans="1:16" x14ac:dyDescent="0.3">
      <c r="A3" s="9" t="s">
        <v>29</v>
      </c>
      <c r="B3" s="9">
        <v>1.0564356507253051E-2</v>
      </c>
      <c r="C3" s="9">
        <v>0</v>
      </c>
      <c r="D3" s="9">
        <v>0</v>
      </c>
      <c r="E3" s="9">
        <v>0</v>
      </c>
      <c r="F3" s="9">
        <v>0</v>
      </c>
      <c r="G3" s="9">
        <v>2.3952095808383235E-2</v>
      </c>
      <c r="H3" s="9">
        <v>2.6086956521739129E-2</v>
      </c>
      <c r="I3" s="9">
        <v>2.0169193642099275E-2</v>
      </c>
      <c r="J3" s="9">
        <f>J2+B3</f>
        <v>2.0169193642099275E-2</v>
      </c>
      <c r="K3" s="9">
        <f t="shared" ref="K3:P14" si="0">K2+C3</f>
        <v>2.4390243902439025E-2</v>
      </c>
      <c r="L3" s="9">
        <f t="shared" si="0"/>
        <v>0</v>
      </c>
      <c r="M3" s="9">
        <f t="shared" si="0"/>
        <v>0.05</v>
      </c>
      <c r="N3" s="9">
        <f t="shared" si="0"/>
        <v>5.4054054054054057E-2</v>
      </c>
      <c r="O3" s="9">
        <f t="shared" si="0"/>
        <v>3.5928143712574856E-2</v>
      </c>
      <c r="P3" s="9">
        <f t="shared" si="0"/>
        <v>3.4782608695652174E-2</v>
      </c>
    </row>
    <row r="4" spans="1:16" x14ac:dyDescent="0.3">
      <c r="A4" s="9" t="s">
        <v>24</v>
      </c>
      <c r="B4" s="9">
        <v>1.1420209213796828E-2</v>
      </c>
      <c r="C4" s="9">
        <v>2.4390243902439025E-2</v>
      </c>
      <c r="D4" s="9">
        <v>0</v>
      </c>
      <c r="E4" s="9">
        <v>0</v>
      </c>
      <c r="F4" s="9">
        <v>0</v>
      </c>
      <c r="G4" s="9">
        <v>4.790419161676647E-2</v>
      </c>
      <c r="H4" s="9">
        <v>8.6956521739130432E-2</v>
      </c>
      <c r="I4" s="9">
        <v>3.1589402855896107E-2</v>
      </c>
      <c r="J4" s="9">
        <f t="shared" ref="J4:J14" si="1">J3+B4</f>
        <v>3.1589402855896107E-2</v>
      </c>
      <c r="K4" s="9">
        <f t="shared" si="0"/>
        <v>4.878048780487805E-2</v>
      </c>
      <c r="L4" s="9">
        <f t="shared" si="0"/>
        <v>0</v>
      </c>
      <c r="M4" s="9">
        <f t="shared" si="0"/>
        <v>0.05</v>
      </c>
      <c r="N4" s="9">
        <f t="shared" si="0"/>
        <v>5.4054054054054057E-2</v>
      </c>
      <c r="O4" s="9">
        <f t="shared" si="0"/>
        <v>8.3832335329341326E-2</v>
      </c>
      <c r="P4" s="9">
        <f t="shared" si="0"/>
        <v>0.1217391304347826</v>
      </c>
    </row>
    <row r="5" spans="1:16" x14ac:dyDescent="0.3">
      <c r="A5" s="9" t="s">
        <v>26</v>
      </c>
      <c r="B5" s="9">
        <v>1.2114534789809808E-2</v>
      </c>
      <c r="C5" s="9">
        <v>2.4390243902439025E-2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4.3703937645705918E-2</v>
      </c>
      <c r="J5" s="9">
        <f t="shared" si="1"/>
        <v>4.3703937645705918E-2</v>
      </c>
      <c r="K5" s="9">
        <f t="shared" si="0"/>
        <v>7.3170731707317083E-2</v>
      </c>
      <c r="L5" s="9">
        <f t="shared" si="0"/>
        <v>0</v>
      </c>
      <c r="M5" s="9">
        <f t="shared" si="0"/>
        <v>0.05</v>
      </c>
      <c r="N5" s="9">
        <f t="shared" si="0"/>
        <v>5.4054054054054057E-2</v>
      </c>
      <c r="O5" s="9">
        <f t="shared" si="0"/>
        <v>8.3832335329341326E-2</v>
      </c>
      <c r="P5" s="9">
        <f t="shared" si="0"/>
        <v>0.1217391304347826</v>
      </c>
    </row>
    <row r="6" spans="1:16" x14ac:dyDescent="0.3">
      <c r="A6" s="9" t="s">
        <v>30</v>
      </c>
      <c r="B6" s="9">
        <v>1.3233170440052943E-2</v>
      </c>
      <c r="C6" s="9">
        <v>0</v>
      </c>
      <c r="D6" s="9">
        <v>0</v>
      </c>
      <c r="E6" s="9">
        <v>0.1</v>
      </c>
      <c r="F6" s="9">
        <v>8.1081081081081086E-2</v>
      </c>
      <c r="G6" s="9">
        <v>0</v>
      </c>
      <c r="H6" s="9">
        <v>0</v>
      </c>
      <c r="I6" s="9">
        <v>5.6937108085758859E-2</v>
      </c>
      <c r="J6" s="9">
        <f t="shared" si="1"/>
        <v>5.6937108085758859E-2</v>
      </c>
      <c r="K6" s="9">
        <f t="shared" si="0"/>
        <v>7.3170731707317083E-2</v>
      </c>
      <c r="L6" s="9">
        <f t="shared" si="0"/>
        <v>0</v>
      </c>
      <c r="M6" s="9">
        <f t="shared" si="0"/>
        <v>0.15000000000000002</v>
      </c>
      <c r="N6" s="9">
        <f t="shared" si="0"/>
        <v>0.13513513513513514</v>
      </c>
      <c r="O6" s="9">
        <f t="shared" si="0"/>
        <v>8.3832335329341326E-2</v>
      </c>
      <c r="P6" s="9">
        <f t="shared" si="0"/>
        <v>0.1217391304347826</v>
      </c>
    </row>
    <row r="7" spans="1:16" x14ac:dyDescent="0.3">
      <c r="A7" s="9" t="s">
        <v>32</v>
      </c>
      <c r="B7" s="9">
        <v>1.6244325455470346E-2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7.3181433541229204E-2</v>
      </c>
      <c r="J7" s="9">
        <f t="shared" si="1"/>
        <v>7.3181433541229204E-2</v>
      </c>
      <c r="K7" s="9">
        <f t="shared" si="0"/>
        <v>7.3170731707317083E-2</v>
      </c>
      <c r="L7" s="9">
        <f t="shared" si="0"/>
        <v>0</v>
      </c>
      <c r="M7" s="9">
        <f t="shared" si="0"/>
        <v>0.15000000000000002</v>
      </c>
      <c r="N7" s="9">
        <f t="shared" si="0"/>
        <v>0.13513513513513514</v>
      </c>
      <c r="O7" s="9">
        <f t="shared" si="0"/>
        <v>8.3832335329341326E-2</v>
      </c>
      <c r="P7" s="9">
        <f t="shared" si="0"/>
        <v>0.1217391304347826</v>
      </c>
    </row>
    <row r="8" spans="1:16" x14ac:dyDescent="0.3">
      <c r="A8" s="9" t="s">
        <v>31</v>
      </c>
      <c r="B8" s="9">
        <v>1.7126697541653507E-2</v>
      </c>
      <c r="C8" s="9">
        <v>9.7560975609756101E-2</v>
      </c>
      <c r="D8" s="9">
        <v>4.5454545454545456E-2</v>
      </c>
      <c r="E8" s="9">
        <v>0.1</v>
      </c>
      <c r="F8" s="9">
        <v>0</v>
      </c>
      <c r="G8" s="9">
        <v>0.10778443113772455</v>
      </c>
      <c r="H8" s="9">
        <v>0</v>
      </c>
      <c r="I8" s="9">
        <v>9.0308131082882714E-2</v>
      </c>
      <c r="J8" s="9">
        <f t="shared" si="1"/>
        <v>9.0308131082882714E-2</v>
      </c>
      <c r="K8" s="9">
        <f t="shared" si="0"/>
        <v>0.17073170731707318</v>
      </c>
      <c r="L8" s="9">
        <f t="shared" si="0"/>
        <v>4.5454545454545456E-2</v>
      </c>
      <c r="M8" s="9">
        <f t="shared" si="0"/>
        <v>0.25</v>
      </c>
      <c r="N8" s="9">
        <f t="shared" si="0"/>
        <v>0.13513513513513514</v>
      </c>
      <c r="O8" s="9">
        <f t="shared" si="0"/>
        <v>0.19161676646706588</v>
      </c>
      <c r="P8" s="9">
        <f t="shared" si="0"/>
        <v>0.1217391304347826</v>
      </c>
    </row>
    <row r="9" spans="1:16" x14ac:dyDescent="0.3">
      <c r="A9" s="9" t="s">
        <v>34</v>
      </c>
      <c r="B9" s="9">
        <v>1.7823433970360979E-2</v>
      </c>
      <c r="C9" s="9">
        <v>2.4390243902439025E-2</v>
      </c>
      <c r="D9" s="9">
        <v>0</v>
      </c>
      <c r="E9" s="9">
        <v>0.05</v>
      </c>
      <c r="F9" s="9">
        <v>0.10810810810810811</v>
      </c>
      <c r="G9" s="9">
        <v>1.1976047904191617E-2</v>
      </c>
      <c r="H9" s="9">
        <v>0</v>
      </c>
      <c r="I9" s="9">
        <v>0.1081315650532437</v>
      </c>
      <c r="J9" s="9">
        <f t="shared" si="1"/>
        <v>0.1081315650532437</v>
      </c>
      <c r="K9" s="9">
        <f t="shared" si="0"/>
        <v>0.1951219512195122</v>
      </c>
      <c r="L9" s="9">
        <f t="shared" si="0"/>
        <v>4.5454545454545456E-2</v>
      </c>
      <c r="M9" s="9">
        <f t="shared" si="0"/>
        <v>0.3</v>
      </c>
      <c r="N9" s="9">
        <f t="shared" si="0"/>
        <v>0.24324324324324326</v>
      </c>
      <c r="O9" s="9">
        <f t="shared" si="0"/>
        <v>0.20359281437125751</v>
      </c>
      <c r="P9" s="9">
        <f t="shared" si="0"/>
        <v>0.1217391304347826</v>
      </c>
    </row>
    <row r="10" spans="1:16" x14ac:dyDescent="0.3">
      <c r="A10" s="9" t="s">
        <v>22</v>
      </c>
      <c r="B10" s="9">
        <v>2.2348604477917793E-2</v>
      </c>
      <c r="C10" s="9">
        <v>0</v>
      </c>
      <c r="D10" s="9">
        <v>0</v>
      </c>
      <c r="E10" s="9">
        <v>0.05</v>
      </c>
      <c r="F10" s="9">
        <v>5.4054054054054057E-2</v>
      </c>
      <c r="G10" s="9">
        <v>3.5928143712574849E-2</v>
      </c>
      <c r="H10" s="9">
        <v>0</v>
      </c>
      <c r="I10" s="9">
        <v>0.13048016953116148</v>
      </c>
      <c r="J10" s="9">
        <f t="shared" si="1"/>
        <v>0.13048016953116148</v>
      </c>
      <c r="K10" s="9">
        <f t="shared" si="0"/>
        <v>0.1951219512195122</v>
      </c>
      <c r="L10" s="9">
        <f t="shared" si="0"/>
        <v>4.5454545454545456E-2</v>
      </c>
      <c r="M10" s="9">
        <f t="shared" si="0"/>
        <v>0.35</v>
      </c>
      <c r="N10" s="9">
        <f t="shared" si="0"/>
        <v>0.29729729729729731</v>
      </c>
      <c r="O10" s="9">
        <f t="shared" si="0"/>
        <v>0.23952095808383236</v>
      </c>
      <c r="P10" s="9">
        <f t="shared" si="0"/>
        <v>0.1217391304347826</v>
      </c>
    </row>
    <row r="11" spans="1:16" x14ac:dyDescent="0.3">
      <c r="A11" s="9" t="s">
        <v>27</v>
      </c>
      <c r="B11" s="9">
        <v>2.6724302118416261E-2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2.6086956521739129E-2</v>
      </c>
      <c r="I11" s="9">
        <v>0.15720447164957774</v>
      </c>
      <c r="J11" s="9">
        <f t="shared" si="1"/>
        <v>0.15720447164957774</v>
      </c>
      <c r="K11" s="9">
        <f t="shared" si="0"/>
        <v>0.1951219512195122</v>
      </c>
      <c r="L11" s="9">
        <f t="shared" si="0"/>
        <v>4.5454545454545456E-2</v>
      </c>
      <c r="M11" s="9">
        <f t="shared" si="0"/>
        <v>0.35</v>
      </c>
      <c r="N11" s="9">
        <f t="shared" si="0"/>
        <v>0.29729729729729731</v>
      </c>
      <c r="O11" s="9">
        <f t="shared" si="0"/>
        <v>0.23952095808383236</v>
      </c>
      <c r="P11" s="9">
        <f t="shared" si="0"/>
        <v>0.14782608695652172</v>
      </c>
    </row>
    <row r="12" spans="1:16" x14ac:dyDescent="0.3">
      <c r="A12" s="9" t="s">
        <v>28</v>
      </c>
      <c r="B12" s="9">
        <v>4.5627798095908542E-2</v>
      </c>
      <c r="C12" s="9">
        <v>0</v>
      </c>
      <c r="D12" s="9">
        <v>9.0909090909090912E-2</v>
      </c>
      <c r="E12" s="9">
        <v>0.05</v>
      </c>
      <c r="F12" s="9">
        <v>0.1891891891891892</v>
      </c>
      <c r="G12" s="9">
        <v>8.3832335329341312E-2</v>
      </c>
      <c r="H12" s="9">
        <v>0.18260869565217391</v>
      </c>
      <c r="I12" s="9">
        <v>0.20283226974548629</v>
      </c>
      <c r="J12" s="9">
        <f t="shared" si="1"/>
        <v>0.20283226974548629</v>
      </c>
      <c r="K12" s="9">
        <f t="shared" si="0"/>
        <v>0.1951219512195122</v>
      </c>
      <c r="L12" s="9">
        <f t="shared" si="0"/>
        <v>0.13636363636363635</v>
      </c>
      <c r="M12" s="9">
        <f t="shared" si="0"/>
        <v>0.39999999999999997</v>
      </c>
      <c r="N12" s="9">
        <f t="shared" si="0"/>
        <v>0.48648648648648651</v>
      </c>
      <c r="O12" s="9">
        <f t="shared" si="0"/>
        <v>0.32335329341317365</v>
      </c>
      <c r="P12" s="9">
        <f t="shared" si="0"/>
        <v>0.33043478260869563</v>
      </c>
    </row>
    <row r="13" spans="1:16" x14ac:dyDescent="0.3">
      <c r="A13" s="9" t="s">
        <v>23</v>
      </c>
      <c r="B13" s="9">
        <v>6.5760828947590472E-2</v>
      </c>
      <c r="C13" s="9">
        <v>4.878048780487805E-2</v>
      </c>
      <c r="D13" s="9">
        <v>0</v>
      </c>
      <c r="E13" s="9">
        <v>0.1</v>
      </c>
      <c r="F13" s="9">
        <v>2.7027027027027029E-2</v>
      </c>
      <c r="G13" s="9">
        <v>0.15568862275449102</v>
      </c>
      <c r="H13" s="9">
        <v>0.19130434782608696</v>
      </c>
      <c r="I13" s="9">
        <v>0.26859309869307679</v>
      </c>
      <c r="J13" s="9">
        <f t="shared" si="1"/>
        <v>0.26859309869307679</v>
      </c>
      <c r="K13" s="9">
        <f t="shared" si="0"/>
        <v>0.24390243902439024</v>
      </c>
      <c r="L13" s="9">
        <f t="shared" si="0"/>
        <v>0.13636363636363635</v>
      </c>
      <c r="M13" s="9">
        <f t="shared" si="0"/>
        <v>0.5</v>
      </c>
      <c r="N13" s="9">
        <f t="shared" si="0"/>
        <v>0.5135135135135136</v>
      </c>
      <c r="O13" s="9">
        <f t="shared" si="0"/>
        <v>0.47904191616766467</v>
      </c>
      <c r="P13" s="9">
        <f t="shared" si="0"/>
        <v>0.52173913043478259</v>
      </c>
    </row>
    <row r="14" spans="1:16" x14ac:dyDescent="0.3">
      <c r="A14" s="9" t="s">
        <v>33</v>
      </c>
      <c r="B14" s="9">
        <v>8.6906417930958005E-2</v>
      </c>
      <c r="C14" s="9">
        <v>7.3170731707317069E-2</v>
      </c>
      <c r="D14" s="9">
        <v>4.5454545454545456E-2</v>
      </c>
      <c r="E14" s="9">
        <v>0.1</v>
      </c>
      <c r="F14" s="9">
        <v>8.1081081081081086E-2</v>
      </c>
      <c r="G14" s="9">
        <v>0.19760479041916168</v>
      </c>
      <c r="H14" s="9">
        <v>0.30434782608695654</v>
      </c>
      <c r="I14" s="9">
        <v>0.35549951662403478</v>
      </c>
      <c r="J14" s="9">
        <f t="shared" si="1"/>
        <v>0.35549951662403478</v>
      </c>
      <c r="K14" s="9">
        <f t="shared" si="0"/>
        <v>0.31707317073170732</v>
      </c>
      <c r="L14" s="9">
        <f t="shared" si="0"/>
        <v>0.18181818181818182</v>
      </c>
      <c r="M14" s="9">
        <f t="shared" si="0"/>
        <v>0.6</v>
      </c>
      <c r="N14" s="9">
        <f t="shared" si="0"/>
        <v>0.59459459459459474</v>
      </c>
      <c r="O14" s="9">
        <f t="shared" si="0"/>
        <v>0.67664670658682635</v>
      </c>
      <c r="P14" s="9">
        <f t="shared" si="0"/>
        <v>0.82608695652173914</v>
      </c>
    </row>
    <row r="15" spans="1:16" x14ac:dyDescent="0.3">
      <c r="A15" s="9" t="s">
        <v>21</v>
      </c>
      <c r="B15" s="9">
        <v>0.64450048337596522</v>
      </c>
      <c r="C15" s="9">
        <v>0.68292682926829273</v>
      </c>
      <c r="D15" s="9">
        <v>0.81818181818181823</v>
      </c>
      <c r="E15" s="9">
        <v>0.4</v>
      </c>
      <c r="F15" s="9">
        <v>0.40540540540540543</v>
      </c>
      <c r="G15" s="9">
        <v>0.32335329341317365</v>
      </c>
      <c r="H15" s="9">
        <v>0.17391304347826086</v>
      </c>
      <c r="I15" s="9">
        <v>1</v>
      </c>
      <c r="J15" s="9">
        <f t="shared" ref="J15" si="2">J14+B15</f>
        <v>1</v>
      </c>
      <c r="K15" s="9">
        <f t="shared" ref="K15" si="3">K14+C15</f>
        <v>1</v>
      </c>
      <c r="L15" s="9">
        <f t="shared" ref="L15" si="4">L14+D15</f>
        <v>1</v>
      </c>
      <c r="M15" s="9">
        <f t="shared" ref="M15" si="5">M14+E15</f>
        <v>1</v>
      </c>
      <c r="N15" s="9">
        <f t="shared" ref="N15" si="6">N14+F15</f>
        <v>1.0000000000000002</v>
      </c>
      <c r="O15" s="9">
        <f t="shared" ref="O15" si="7">O14+G15</f>
        <v>1</v>
      </c>
      <c r="P15" s="9">
        <f t="shared" ref="P15" si="8">P14+H15</f>
        <v>1</v>
      </c>
    </row>
    <row r="17" spans="2:16" ht="28.8" x14ac:dyDescent="0.3">
      <c r="B17" s="11" t="s">
        <v>35</v>
      </c>
      <c r="C17" s="12" t="s">
        <v>43</v>
      </c>
      <c r="D17" s="12" t="s">
        <v>44</v>
      </c>
      <c r="E17" s="12" t="s">
        <v>45</v>
      </c>
      <c r="F17" s="12" t="s">
        <v>46</v>
      </c>
      <c r="G17" s="12" t="s">
        <v>47</v>
      </c>
      <c r="H17" s="12" t="s">
        <v>48</v>
      </c>
      <c r="J17" s="8"/>
      <c r="K17" s="13" t="s">
        <v>49</v>
      </c>
      <c r="L17" s="13" t="s">
        <v>50</v>
      </c>
      <c r="M17" s="13" t="s">
        <v>51</v>
      </c>
      <c r="N17" s="13" t="s">
        <v>52</v>
      </c>
      <c r="O17" s="13" t="s">
        <v>53</v>
      </c>
      <c r="P17" s="13" t="s">
        <v>54</v>
      </c>
    </row>
    <row r="18" spans="2:16" x14ac:dyDescent="0.3">
      <c r="B18" s="9" t="s">
        <v>25</v>
      </c>
      <c r="C18" s="9">
        <f>C2-B2</f>
        <v>1.4785406767592801E-2</v>
      </c>
      <c r="D18" s="9">
        <f>D2-B2</f>
        <v>-9.6048371348462242E-3</v>
      </c>
      <c r="E18" s="9">
        <f>E2-B2</f>
        <v>4.039516286515378E-2</v>
      </c>
      <c r="F18" s="9">
        <f>F2-B2</f>
        <v>4.4449216919207835E-2</v>
      </c>
      <c r="G18" s="9">
        <f>G2-B2</f>
        <v>2.3712107693453933E-3</v>
      </c>
      <c r="H18" s="9">
        <f>H2-B2</f>
        <v>-9.0918496093318063E-4</v>
      </c>
      <c r="J18" s="9" t="s">
        <v>25</v>
      </c>
      <c r="K18" s="8">
        <f>(J2-0) * (K2+0)</f>
        <v>2.3426432036210303E-4</v>
      </c>
      <c r="L18" s="8">
        <f>(J2-0) * (L2+0)</f>
        <v>0</v>
      </c>
      <c r="M18" s="8">
        <f>(J2-0) * (M2+0)</f>
        <v>4.8024185674231122E-4</v>
      </c>
      <c r="N18" s="8">
        <f>(J2-0) * (N2+0)</f>
        <v>5.1918038566736355E-4</v>
      </c>
      <c r="O18" s="8">
        <f>(J2-0) * (O2+0)</f>
        <v>1.1502798963887695E-4</v>
      </c>
      <c r="P18" s="8">
        <f>(J2-0) * (P2+0)</f>
        <v>8.3520322911706299E-5</v>
      </c>
    </row>
    <row r="19" spans="2:16" x14ac:dyDescent="0.3">
      <c r="B19" s="9" t="s">
        <v>29</v>
      </c>
      <c r="C19" s="9">
        <f t="shared" ref="C19:C31" si="9">C3-B3</f>
        <v>-1.0564356507253051E-2</v>
      </c>
      <c r="D19" s="9">
        <f t="shared" ref="D19:D31" si="10">D3-B3</f>
        <v>-1.0564356507253051E-2</v>
      </c>
      <c r="E19" s="9">
        <f t="shared" ref="E19:E31" si="11">E3-B3</f>
        <v>-1.0564356507253051E-2</v>
      </c>
      <c r="F19" s="9">
        <f t="shared" ref="F19:F31" si="12">F3-B3</f>
        <v>-1.0564356507253051E-2</v>
      </c>
      <c r="G19" s="9">
        <f t="shared" ref="G19:G31" si="13">G3-B3</f>
        <v>1.3387739301130184E-2</v>
      </c>
      <c r="H19" s="9">
        <f t="shared" ref="H19:H31" si="14">H3-B3</f>
        <v>1.5522600014486078E-2</v>
      </c>
      <c r="J19" s="9" t="s">
        <v>29</v>
      </c>
      <c r="K19" s="8">
        <f>(J3-J2) * (K3+K2)</f>
        <v>5.1533446376844151E-4</v>
      </c>
      <c r="L19" s="8">
        <f>(J3-J2) * (L3+L2)</f>
        <v>0</v>
      </c>
      <c r="M19" s="8">
        <f>(J3-J2) * (M3+M2)</f>
        <v>1.0564356507253051E-3</v>
      </c>
      <c r="N19" s="8">
        <f>(J3-J2) * (N3+N2)</f>
        <v>1.1420925953787083E-3</v>
      </c>
      <c r="O19" s="8">
        <f>(J3-J2) * (O3+O2)</f>
        <v>5.0607695843128393E-4</v>
      </c>
      <c r="P19" s="8">
        <f>(J3-J2) * (P3+P2)</f>
        <v>4.5931984814143699E-4</v>
      </c>
    </row>
    <row r="20" spans="2:16" x14ac:dyDescent="0.3">
      <c r="B20" s="9" t="s">
        <v>24</v>
      </c>
      <c r="C20" s="9">
        <f t="shared" si="9"/>
        <v>1.2970034688642197E-2</v>
      </c>
      <c r="D20" s="9">
        <f t="shared" si="10"/>
        <v>-1.1420209213796828E-2</v>
      </c>
      <c r="E20" s="9">
        <f t="shared" si="11"/>
        <v>-1.1420209213796828E-2</v>
      </c>
      <c r="F20" s="9">
        <f t="shared" si="12"/>
        <v>-1.1420209213796828E-2</v>
      </c>
      <c r="G20" s="9">
        <f t="shared" si="13"/>
        <v>3.6483982402969642E-2</v>
      </c>
      <c r="H20" s="9">
        <f t="shared" si="14"/>
        <v>7.5536312525333604E-2</v>
      </c>
      <c r="J20" s="9" t="s">
        <v>24</v>
      </c>
      <c r="K20" s="8">
        <f t="shared" ref="K20:K31" si="15">(J4-J3) * (K4+K3)</f>
        <v>8.356250644241585E-4</v>
      </c>
      <c r="L20" s="8">
        <f t="shared" ref="L20:L31" si="16">(J4-J3) * (L4+L3)</f>
        <v>0</v>
      </c>
      <c r="M20" s="8">
        <f t="shared" ref="M20:M31" si="17">(J4-J3) * (M4+M3)</f>
        <v>1.1420209213796832E-3</v>
      </c>
      <c r="N20" s="8">
        <f t="shared" ref="N20:N31" si="18">(J4-J3) * (N4+N3)</f>
        <v>1.2346172123023603E-3</v>
      </c>
      <c r="O20" s="8">
        <f t="shared" ref="O20:O31" si="19">(J4-J3) * (O4+O3)</f>
        <v>1.3676897262032135E-3</v>
      </c>
      <c r="P20" s="8">
        <f t="shared" ref="P20:P31" si="20">(J4-J3) * (P4+P3)</f>
        <v>1.7875110073768952E-3</v>
      </c>
    </row>
    <row r="21" spans="2:16" x14ac:dyDescent="0.3">
      <c r="B21" s="9" t="s">
        <v>26</v>
      </c>
      <c r="C21" s="9">
        <f t="shared" si="9"/>
        <v>1.2275709112629218E-2</v>
      </c>
      <c r="D21" s="9">
        <f t="shared" si="10"/>
        <v>-1.2114534789809808E-2</v>
      </c>
      <c r="E21" s="9">
        <f t="shared" si="11"/>
        <v>-1.2114534789809808E-2</v>
      </c>
      <c r="F21" s="9">
        <f t="shared" si="12"/>
        <v>-1.2114534789809808E-2</v>
      </c>
      <c r="G21" s="9">
        <f t="shared" si="13"/>
        <v>-1.2114534789809808E-2</v>
      </c>
      <c r="H21" s="9">
        <f t="shared" si="14"/>
        <v>-1.2114534789809808E-2</v>
      </c>
      <c r="J21" s="9" t="s">
        <v>26</v>
      </c>
      <c r="K21" s="8">
        <f t="shared" si="15"/>
        <v>1.4773822914402211E-3</v>
      </c>
      <c r="L21" s="8">
        <f t="shared" si="16"/>
        <v>0</v>
      </c>
      <c r="M21" s="8">
        <f t="shared" si="17"/>
        <v>1.2114534789809811E-3</v>
      </c>
      <c r="N21" s="8">
        <f t="shared" si="18"/>
        <v>1.3096794367361958E-3</v>
      </c>
      <c r="O21" s="8">
        <f t="shared" si="19"/>
        <v>2.0311794857166151E-3</v>
      </c>
      <c r="P21" s="8">
        <f t="shared" si="20"/>
        <v>2.9496258618667364E-3</v>
      </c>
    </row>
    <row r="22" spans="2:16" x14ac:dyDescent="0.3">
      <c r="B22" s="9" t="s">
        <v>30</v>
      </c>
      <c r="C22" s="9">
        <f t="shared" si="9"/>
        <v>-1.3233170440052943E-2</v>
      </c>
      <c r="D22" s="9">
        <f t="shared" si="10"/>
        <v>-1.3233170440052943E-2</v>
      </c>
      <c r="E22" s="9">
        <f t="shared" si="11"/>
        <v>8.6766829559947065E-2</v>
      </c>
      <c r="F22" s="9">
        <f t="shared" si="12"/>
        <v>6.7847910641028145E-2</v>
      </c>
      <c r="G22" s="9">
        <f t="shared" si="13"/>
        <v>-1.3233170440052943E-2</v>
      </c>
      <c r="H22" s="9">
        <f t="shared" si="14"/>
        <v>-1.3233170440052943E-2</v>
      </c>
      <c r="J22" s="9" t="s">
        <v>30</v>
      </c>
      <c r="K22" s="8">
        <f t="shared" si="15"/>
        <v>1.9365615278126257E-3</v>
      </c>
      <c r="L22" s="8">
        <f t="shared" si="16"/>
        <v>0</v>
      </c>
      <c r="M22" s="8">
        <f t="shared" si="17"/>
        <v>2.6466340880105885E-3</v>
      </c>
      <c r="N22" s="8">
        <f t="shared" si="18"/>
        <v>2.5035727859559621E-3</v>
      </c>
      <c r="O22" s="8">
        <f t="shared" si="19"/>
        <v>2.2187351636016911E-3</v>
      </c>
      <c r="P22" s="8">
        <f t="shared" si="20"/>
        <v>3.221989324534629E-3</v>
      </c>
    </row>
    <row r="23" spans="2:16" x14ac:dyDescent="0.3">
      <c r="B23" s="9" t="s">
        <v>32</v>
      </c>
      <c r="C23" s="9">
        <f t="shared" si="9"/>
        <v>-1.6244325455470346E-2</v>
      </c>
      <c r="D23" s="9">
        <f t="shared" si="10"/>
        <v>-1.6244325455470346E-2</v>
      </c>
      <c r="E23" s="9">
        <f t="shared" si="11"/>
        <v>-1.6244325455470346E-2</v>
      </c>
      <c r="F23" s="9">
        <f t="shared" si="12"/>
        <v>-1.6244325455470346E-2</v>
      </c>
      <c r="G23" s="9">
        <f t="shared" si="13"/>
        <v>-1.6244325455470346E-2</v>
      </c>
      <c r="H23" s="9">
        <f t="shared" si="14"/>
        <v>-1.6244325455470346E-2</v>
      </c>
      <c r="J23" s="9" t="s">
        <v>32</v>
      </c>
      <c r="K23" s="8">
        <f t="shared" si="15"/>
        <v>2.3772183593371242E-3</v>
      </c>
      <c r="L23" s="8">
        <f t="shared" si="16"/>
        <v>0</v>
      </c>
      <c r="M23" s="8">
        <f t="shared" si="17"/>
        <v>4.8732976366411048E-3</v>
      </c>
      <c r="N23" s="8">
        <f t="shared" si="18"/>
        <v>4.3903582312082015E-3</v>
      </c>
      <c r="O23" s="8">
        <f t="shared" si="19"/>
        <v>2.7235994775638905E-3</v>
      </c>
      <c r="P23" s="8">
        <f t="shared" si="20"/>
        <v>3.9551401108971276E-3</v>
      </c>
    </row>
    <row r="24" spans="2:16" x14ac:dyDescent="0.3">
      <c r="B24" s="9" t="s">
        <v>31</v>
      </c>
      <c r="C24" s="9">
        <f t="shared" si="9"/>
        <v>8.0434278068102591E-2</v>
      </c>
      <c r="D24" s="9">
        <f t="shared" si="10"/>
        <v>2.8327847912891949E-2</v>
      </c>
      <c r="E24" s="9">
        <f t="shared" si="11"/>
        <v>8.2873302458346496E-2</v>
      </c>
      <c r="F24" s="9">
        <f t="shared" si="12"/>
        <v>-1.7126697541653507E-2</v>
      </c>
      <c r="G24" s="9">
        <f t="shared" si="13"/>
        <v>9.0657733596071044E-2</v>
      </c>
      <c r="H24" s="9">
        <f t="shared" si="14"/>
        <v>-1.7126697541653507E-2</v>
      </c>
      <c r="J24" s="9" t="s">
        <v>31</v>
      </c>
      <c r="K24" s="8">
        <f t="shared" si="15"/>
        <v>4.1772433028423196E-3</v>
      </c>
      <c r="L24" s="8">
        <f t="shared" si="16"/>
        <v>7.7848625189334136E-4</v>
      </c>
      <c r="M24" s="8">
        <f t="shared" si="17"/>
        <v>6.8506790166614042E-3</v>
      </c>
      <c r="N24" s="8">
        <f t="shared" si="18"/>
        <v>4.6288371734198681E-3</v>
      </c>
      <c r="O24" s="8">
        <f t="shared" si="19"/>
        <v>4.7175334545871946E-3</v>
      </c>
      <c r="P24" s="8">
        <f t="shared" si="20"/>
        <v>4.169978531880854E-3</v>
      </c>
    </row>
    <row r="25" spans="2:16" x14ac:dyDescent="0.3">
      <c r="B25" s="9" t="s">
        <v>34</v>
      </c>
      <c r="C25" s="9">
        <f t="shared" si="9"/>
        <v>6.5668099320780465E-3</v>
      </c>
      <c r="D25" s="9">
        <f t="shared" si="10"/>
        <v>-1.7823433970360979E-2</v>
      </c>
      <c r="E25" s="9">
        <f t="shared" si="11"/>
        <v>3.2176566029639024E-2</v>
      </c>
      <c r="F25" s="9">
        <f t="shared" si="12"/>
        <v>9.0284674137747128E-2</v>
      </c>
      <c r="G25" s="9">
        <f t="shared" si="13"/>
        <v>-5.8473860661693612E-3</v>
      </c>
      <c r="H25" s="9">
        <f t="shared" si="14"/>
        <v>-1.7823433970360979E-2</v>
      </c>
      <c r="J25" s="9" t="s">
        <v>34</v>
      </c>
      <c r="K25" s="8">
        <f t="shared" si="15"/>
        <v>6.5207685257418239E-3</v>
      </c>
      <c r="L25" s="8">
        <f t="shared" si="16"/>
        <v>1.6203121791237261E-3</v>
      </c>
      <c r="M25" s="8">
        <f t="shared" si="17"/>
        <v>9.8028886836985431E-3</v>
      </c>
      <c r="N25" s="8">
        <f t="shared" si="18"/>
        <v>6.7440020428392918E-3</v>
      </c>
      <c r="O25" s="8">
        <f t="shared" si="19"/>
        <v>7.0439918685258982E-3</v>
      </c>
      <c r="P25" s="8">
        <f t="shared" si="20"/>
        <v>4.3396187058270226E-3</v>
      </c>
    </row>
    <row r="26" spans="2:16" x14ac:dyDescent="0.3">
      <c r="B26" s="9" t="s">
        <v>22</v>
      </c>
      <c r="C26" s="9">
        <f t="shared" si="9"/>
        <v>-2.2348604477917793E-2</v>
      </c>
      <c r="D26" s="9">
        <f t="shared" si="10"/>
        <v>-2.2348604477917793E-2</v>
      </c>
      <c r="E26" s="9">
        <f t="shared" si="11"/>
        <v>2.765139552208221E-2</v>
      </c>
      <c r="F26" s="9">
        <f t="shared" si="12"/>
        <v>3.170544957613626E-2</v>
      </c>
      <c r="G26" s="9">
        <f t="shared" si="13"/>
        <v>1.3579539234657056E-2</v>
      </c>
      <c r="H26" s="9">
        <f t="shared" si="14"/>
        <v>-2.2348604477917793E-2</v>
      </c>
      <c r="J26" s="9" t="s">
        <v>22</v>
      </c>
      <c r="K26" s="8">
        <f t="shared" si="15"/>
        <v>8.7214066255288918E-3</v>
      </c>
      <c r="L26" s="8">
        <f t="shared" si="16"/>
        <v>2.0316913161743441E-3</v>
      </c>
      <c r="M26" s="8">
        <f t="shared" si="17"/>
        <v>1.4526592910646556E-2</v>
      </c>
      <c r="N26" s="8">
        <f t="shared" si="18"/>
        <v>1.2080326744820423E-2</v>
      </c>
      <c r="O26" s="8">
        <f t="shared" si="19"/>
        <v>9.9029744393168626E-3</v>
      </c>
      <c r="P26" s="8">
        <f t="shared" si="20"/>
        <v>5.4413993511451993E-3</v>
      </c>
    </row>
    <row r="27" spans="2:16" x14ac:dyDescent="0.3">
      <c r="B27" s="9" t="s">
        <v>27</v>
      </c>
      <c r="C27" s="9">
        <f t="shared" si="9"/>
        <v>-2.6724302118416261E-2</v>
      </c>
      <c r="D27" s="9">
        <f t="shared" si="10"/>
        <v>-2.6724302118416261E-2</v>
      </c>
      <c r="E27" s="9">
        <f t="shared" si="11"/>
        <v>-2.6724302118416261E-2</v>
      </c>
      <c r="F27" s="9">
        <f t="shared" si="12"/>
        <v>-2.6724302118416261E-2</v>
      </c>
      <c r="G27" s="9">
        <f t="shared" si="13"/>
        <v>-2.6724302118416261E-2</v>
      </c>
      <c r="H27" s="9">
        <f t="shared" si="14"/>
        <v>-6.3734559667713228E-4</v>
      </c>
      <c r="J27" s="9" t="s">
        <v>27</v>
      </c>
      <c r="K27" s="8">
        <f t="shared" si="15"/>
        <v>1.0428995948650247E-2</v>
      </c>
      <c r="L27" s="8">
        <f t="shared" si="16"/>
        <v>2.4294820107651142E-3</v>
      </c>
      <c r="M27" s="8">
        <f t="shared" si="17"/>
        <v>1.8707011482891375E-2</v>
      </c>
      <c r="N27" s="8">
        <f t="shared" si="18"/>
        <v>1.5890125583923179E-2</v>
      </c>
      <c r="O27" s="8">
        <f t="shared" si="19"/>
        <v>1.2802060895049705E-2</v>
      </c>
      <c r="P27" s="8">
        <f t="shared" si="20"/>
        <v>7.2039423101817731E-3</v>
      </c>
    </row>
    <row r="28" spans="2:16" x14ac:dyDescent="0.3">
      <c r="B28" s="9" t="s">
        <v>28</v>
      </c>
      <c r="C28" s="9">
        <f t="shared" si="9"/>
        <v>-4.5627798095908542E-2</v>
      </c>
      <c r="D28" s="9">
        <f t="shared" si="10"/>
        <v>4.5281292813182369E-2</v>
      </c>
      <c r="E28" s="9">
        <f t="shared" si="11"/>
        <v>4.3722019040914606E-3</v>
      </c>
      <c r="F28" s="9">
        <f t="shared" si="12"/>
        <v>0.14356139109328064</v>
      </c>
      <c r="G28" s="9">
        <f t="shared" si="13"/>
        <v>3.820453723343277E-2</v>
      </c>
      <c r="H28" s="9">
        <f t="shared" si="14"/>
        <v>0.13698089755626536</v>
      </c>
      <c r="J28" s="9" t="s">
        <v>28</v>
      </c>
      <c r="K28" s="8">
        <f t="shared" si="15"/>
        <v>1.7805969988647242E-2</v>
      </c>
      <c r="L28" s="8">
        <f t="shared" si="16"/>
        <v>8.2959632901651922E-3</v>
      </c>
      <c r="M28" s="8">
        <f t="shared" si="17"/>
        <v>3.4220848571931417E-2</v>
      </c>
      <c r="N28" s="8">
        <f t="shared" si="18"/>
        <v>3.5762328237333732E-2</v>
      </c>
      <c r="O28" s="8">
        <f t="shared" si="19"/>
        <v>2.5682712700691043E-2</v>
      </c>
      <c r="P28" s="8">
        <f t="shared" si="20"/>
        <v>2.1821990393695395E-2</v>
      </c>
    </row>
    <row r="29" spans="2:16" x14ac:dyDescent="0.3">
      <c r="B29" s="9" t="s">
        <v>23</v>
      </c>
      <c r="C29" s="9">
        <f t="shared" si="9"/>
        <v>-1.6980341142712421E-2</v>
      </c>
      <c r="D29" s="9">
        <f t="shared" si="10"/>
        <v>-6.5760828947590472E-2</v>
      </c>
      <c r="E29" s="9">
        <f t="shared" si="11"/>
        <v>3.4239171052409534E-2</v>
      </c>
      <c r="F29" s="9">
        <f t="shared" si="12"/>
        <v>-3.8733801920563443E-2</v>
      </c>
      <c r="G29" s="9">
        <f t="shared" si="13"/>
        <v>8.9927793806900552E-2</v>
      </c>
      <c r="H29" s="9">
        <f t="shared" si="14"/>
        <v>0.12554351887849649</v>
      </c>
      <c r="J29" s="9" t="s">
        <v>23</v>
      </c>
      <c r="K29" s="8">
        <f t="shared" si="15"/>
        <v>2.8870607830649486E-2</v>
      </c>
      <c r="L29" s="8">
        <f t="shared" si="16"/>
        <v>1.7934771531161044E-2</v>
      </c>
      <c r="M29" s="8">
        <f t="shared" si="17"/>
        <v>5.9184746052831444E-2</v>
      </c>
      <c r="N29" s="8">
        <f t="shared" si="18"/>
        <v>6.5760828947590499E-2</v>
      </c>
      <c r="O29" s="8">
        <f t="shared" si="19"/>
        <v>5.2766174125611541E-2</v>
      </c>
      <c r="P29" s="8">
        <f t="shared" si="20"/>
        <v>5.6039662929251034E-2</v>
      </c>
    </row>
    <row r="30" spans="2:16" x14ac:dyDescent="0.3">
      <c r="B30" s="9" t="s">
        <v>33</v>
      </c>
      <c r="C30" s="9">
        <f t="shared" si="9"/>
        <v>-1.3735686223640936E-2</v>
      </c>
      <c r="D30" s="9">
        <f t="shared" si="10"/>
        <v>-4.1451872476412549E-2</v>
      </c>
      <c r="E30" s="9">
        <f t="shared" si="11"/>
        <v>1.3093582069042001E-2</v>
      </c>
      <c r="F30" s="9">
        <f t="shared" si="12"/>
        <v>-5.8253368498769192E-3</v>
      </c>
      <c r="G30" s="9">
        <f t="shared" si="13"/>
        <v>0.11069837248820368</v>
      </c>
      <c r="H30" s="9">
        <f t="shared" si="14"/>
        <v>0.21744140815599855</v>
      </c>
      <c r="J30" s="9" t="s">
        <v>33</v>
      </c>
      <c r="K30" s="8">
        <f t="shared" si="15"/>
        <v>4.8752380790537411E-2</v>
      </c>
      <c r="L30" s="8">
        <f t="shared" si="16"/>
        <v>2.7652042068941177E-2</v>
      </c>
      <c r="M30" s="8">
        <f t="shared" si="17"/>
        <v>9.5597059724053801E-2</v>
      </c>
      <c r="N30" s="8">
        <f t="shared" si="18"/>
        <v>9.6301706355926442E-2</v>
      </c>
      <c r="O30" s="8">
        <f t="shared" si="19"/>
        <v>0.10043675844715505</v>
      </c>
      <c r="P30" s="8">
        <f t="shared" si="20"/>
        <v>0.11713473721129121</v>
      </c>
    </row>
    <row r="31" spans="2:16" x14ac:dyDescent="0.3">
      <c r="B31" s="9" t="s">
        <v>21</v>
      </c>
      <c r="C31" s="9">
        <f t="shared" si="9"/>
        <v>3.8426345892327518E-2</v>
      </c>
      <c r="D31" s="9">
        <f t="shared" si="10"/>
        <v>0.17368133480585302</v>
      </c>
      <c r="E31" s="9">
        <f t="shared" si="11"/>
        <v>-0.24450048337596519</v>
      </c>
      <c r="F31" s="9">
        <f t="shared" si="12"/>
        <v>-0.23909507797055979</v>
      </c>
      <c r="G31" s="9">
        <f t="shared" si="13"/>
        <v>-0.32114718996279157</v>
      </c>
      <c r="H31" s="9">
        <f t="shared" si="14"/>
        <v>-0.47058743989770435</v>
      </c>
      <c r="J31" s="9" t="s">
        <v>21</v>
      </c>
      <c r="K31" s="8">
        <f t="shared" si="15"/>
        <v>0.84885429517810052</v>
      </c>
      <c r="L31" s="8">
        <f t="shared" si="16"/>
        <v>0.76168238944432254</v>
      </c>
      <c r="M31" s="8">
        <f t="shared" si="17"/>
        <v>1.0312007734015445</v>
      </c>
      <c r="N31" s="8">
        <f t="shared" si="18"/>
        <v>1.0277169870049176</v>
      </c>
      <c r="O31" s="8">
        <f t="shared" si="19"/>
        <v>1.0805996128459296</v>
      </c>
      <c r="P31" s="8">
        <f t="shared" si="20"/>
        <v>1.1769139261648061</v>
      </c>
    </row>
    <row r="32" spans="2:16" x14ac:dyDescent="0.3">
      <c r="J32" s="13" t="s">
        <v>55</v>
      </c>
      <c r="K32" s="13">
        <f>SUM(K18:K31)</f>
        <v>0.9815080542178426</v>
      </c>
      <c r="L32" s="13">
        <f t="shared" ref="L32:P32" si="21">SUM(L18:L31)</f>
        <v>0.82242513809254647</v>
      </c>
      <c r="M32" s="13">
        <f t="shared" si="21"/>
        <v>1.2815006834767391</v>
      </c>
      <c r="N32" s="13">
        <f t="shared" si="21"/>
        <v>1.2759846427380199</v>
      </c>
      <c r="O32" s="13">
        <f t="shared" si="21"/>
        <v>1.3029141275780225</v>
      </c>
      <c r="P32" s="13">
        <f t="shared" si="21"/>
        <v>1.4055223620738071</v>
      </c>
    </row>
    <row r="33" spans="10:16" x14ac:dyDescent="0.3">
      <c r="J33" s="14" t="s">
        <v>56</v>
      </c>
      <c r="K33" s="14">
        <f>1-K32</f>
        <v>1.8491945782157404E-2</v>
      </c>
      <c r="L33" s="14">
        <f t="shared" ref="L33:P33" si="22">1-L32</f>
        <v>0.17757486190745353</v>
      </c>
      <c r="M33" s="14">
        <f t="shared" si="22"/>
        <v>-0.28150068347673907</v>
      </c>
      <c r="N33" s="14">
        <f t="shared" si="22"/>
        <v>-0.27598464273801993</v>
      </c>
      <c r="O33" s="14">
        <f t="shared" si="22"/>
        <v>-0.3029141275780225</v>
      </c>
      <c r="P33" s="14">
        <f t="shared" si="22"/>
        <v>-0.4055223620738071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CARATINGA</vt:lpstr>
      <vt:lpstr>CORONEL FABRICIANO - TIMÓTEO</vt:lpstr>
      <vt:lpstr>IPATINGA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2025-04-26T00:29:35Z</dcterms:created>
  <dcterms:modified xsi:type="dcterms:W3CDTF">2025-08-24T20:53:57Z</dcterms:modified>
</cp:coreProperties>
</file>