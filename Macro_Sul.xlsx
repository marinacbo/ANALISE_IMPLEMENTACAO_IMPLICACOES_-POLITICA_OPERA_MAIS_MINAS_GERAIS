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7" documentId="8_{915B6E69-E6A4-42CD-A393-2A83F3D74461}" xr6:coauthVersionLast="47" xr6:coauthVersionMax="47" xr10:uidLastSave="{61696F79-13D1-4564-A8E8-BB5762577F8F}"/>
  <bookViews>
    <workbookView xWindow="-108" yWindow="-108" windowWidth="23256" windowHeight="12456" firstSheet="6" activeTab="6" xr2:uid="{03639413-2B29-4D5E-8F8E-861E641BE113}"/>
  </bookViews>
  <sheets>
    <sheet name="ALFENAS-MACHADO" sheetId="1" r:id="rId1"/>
    <sheet name="CÁSSIA" sheetId="2" r:id="rId2"/>
    <sheet name="GUAXUPÉ" sheetId="3" r:id="rId3"/>
    <sheet name="ITAJUBÁ" sheetId="4" r:id="rId4"/>
    <sheet name="LAVRAS" sheetId="5" r:id="rId5"/>
    <sheet name="PASSOS" sheetId="6" r:id="rId6"/>
    <sheet name="PINHUÍ" sheetId="7" r:id="rId7"/>
    <sheet name="POÇOS DE CALDA" sheetId="8" r:id="rId8"/>
    <sheet name="POUSO ALEGRE" sheetId="9" r:id="rId9"/>
    <sheet name="SÃO LOURENÇO" sheetId="10" r:id="rId10"/>
    <sheet name="SÃO SEBASTIÃO DO PARAÍSO" sheetId="11" r:id="rId11"/>
    <sheet name="TRÊS CORAÇÕES" sheetId="12" r:id="rId12"/>
    <sheet name="TRÊS PONTAS" sheetId="13" r:id="rId13"/>
    <sheet name="VARGINHA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M36" i="1"/>
  <c r="N36" i="1"/>
  <c r="O36" i="1"/>
  <c r="P36" i="1"/>
  <c r="K36" i="1"/>
  <c r="P25" i="5"/>
  <c r="O25" i="5"/>
  <c r="N25" i="5"/>
  <c r="M25" i="5"/>
  <c r="L25" i="5"/>
  <c r="K25" i="5"/>
  <c r="P12" i="14"/>
  <c r="O12" i="14"/>
  <c r="N11" i="14"/>
  <c r="M11" i="14"/>
  <c r="P9" i="14"/>
  <c r="O9" i="14"/>
  <c r="N9" i="14"/>
  <c r="M9" i="14"/>
  <c r="L9" i="14"/>
  <c r="K9" i="14"/>
  <c r="P13" i="13"/>
  <c r="O13" i="13"/>
  <c r="K13" i="13"/>
  <c r="M12" i="13"/>
  <c r="O11" i="13"/>
  <c r="L11" i="13"/>
  <c r="K11" i="13"/>
  <c r="P9" i="13"/>
  <c r="O9" i="13"/>
  <c r="N9" i="13"/>
  <c r="M9" i="13"/>
  <c r="L9" i="13"/>
  <c r="K9" i="13"/>
  <c r="L15" i="12"/>
  <c r="K15" i="12"/>
  <c r="P14" i="12"/>
  <c r="O14" i="12"/>
  <c r="K14" i="12"/>
  <c r="L12" i="12"/>
  <c r="K12" i="12"/>
  <c r="L11" i="12"/>
  <c r="K11" i="12"/>
  <c r="P10" i="12"/>
  <c r="O10" i="12"/>
  <c r="N10" i="12"/>
  <c r="M10" i="12"/>
  <c r="L10" i="12"/>
  <c r="K10" i="12"/>
  <c r="O14" i="11"/>
  <c r="N13" i="11"/>
  <c r="M13" i="11"/>
  <c r="L12" i="11"/>
  <c r="K12" i="11"/>
  <c r="P10" i="11"/>
  <c r="O10" i="11"/>
  <c r="N10" i="11"/>
  <c r="M10" i="11"/>
  <c r="L10" i="11"/>
  <c r="K10" i="11"/>
  <c r="P51" i="10"/>
  <c r="O51" i="10"/>
  <c r="N51" i="10"/>
  <c r="M51" i="10"/>
  <c r="L51" i="10"/>
  <c r="K51" i="10"/>
  <c r="P50" i="10"/>
  <c r="O50" i="10"/>
  <c r="N50" i="10"/>
  <c r="M50" i="10"/>
  <c r="L50" i="10"/>
  <c r="K50" i="10"/>
  <c r="P49" i="10"/>
  <c r="O49" i="10"/>
  <c r="N49" i="10"/>
  <c r="M49" i="10"/>
  <c r="L49" i="10"/>
  <c r="K49" i="10"/>
  <c r="P48" i="10"/>
  <c r="O48" i="10"/>
  <c r="N48" i="10"/>
  <c r="M48" i="10"/>
  <c r="L48" i="10"/>
  <c r="K48" i="10"/>
  <c r="P47" i="10"/>
  <c r="O47" i="10"/>
  <c r="N47" i="10"/>
  <c r="M47" i="10"/>
  <c r="L47" i="10"/>
  <c r="K47" i="10"/>
  <c r="P46" i="10"/>
  <c r="O46" i="10"/>
  <c r="N46" i="10"/>
  <c r="M46" i="10"/>
  <c r="L46" i="10"/>
  <c r="K46" i="10"/>
  <c r="P45" i="10"/>
  <c r="O45" i="10"/>
  <c r="N45" i="10"/>
  <c r="M45" i="10"/>
  <c r="L45" i="10"/>
  <c r="K45" i="10"/>
  <c r="P44" i="10"/>
  <c r="O44" i="10"/>
  <c r="N44" i="10"/>
  <c r="M44" i="10"/>
  <c r="L44" i="10"/>
  <c r="K44" i="10"/>
  <c r="P43" i="10"/>
  <c r="O43" i="10"/>
  <c r="N43" i="10"/>
  <c r="M43" i="10"/>
  <c r="L43" i="10"/>
  <c r="K43" i="10"/>
  <c r="P42" i="10"/>
  <c r="O42" i="10"/>
  <c r="N42" i="10"/>
  <c r="M42" i="10"/>
  <c r="L42" i="10"/>
  <c r="K42" i="10"/>
  <c r="P41" i="10"/>
  <c r="O41" i="10"/>
  <c r="N41" i="10"/>
  <c r="M41" i="10"/>
  <c r="L41" i="10"/>
  <c r="K41" i="10"/>
  <c r="P40" i="10"/>
  <c r="O40" i="10"/>
  <c r="N40" i="10"/>
  <c r="M40" i="10"/>
  <c r="L40" i="10"/>
  <c r="K40" i="10"/>
  <c r="P39" i="10"/>
  <c r="O39" i="10"/>
  <c r="N39" i="10"/>
  <c r="M39" i="10"/>
  <c r="L39" i="10"/>
  <c r="K39" i="10"/>
  <c r="P38" i="10"/>
  <c r="O38" i="10"/>
  <c r="N38" i="10"/>
  <c r="M38" i="10"/>
  <c r="L38" i="10"/>
  <c r="K38" i="10"/>
  <c r="P37" i="10"/>
  <c r="O37" i="10"/>
  <c r="N37" i="10"/>
  <c r="M37" i="10"/>
  <c r="L37" i="10"/>
  <c r="K37" i="10"/>
  <c r="P36" i="10"/>
  <c r="O36" i="10"/>
  <c r="N36" i="10"/>
  <c r="M36" i="10"/>
  <c r="L36" i="10"/>
  <c r="K36" i="10"/>
  <c r="P35" i="10"/>
  <c r="O35" i="10"/>
  <c r="N35" i="10"/>
  <c r="M35" i="10"/>
  <c r="L35" i="10"/>
  <c r="K35" i="10"/>
  <c r="P34" i="10"/>
  <c r="O34" i="10"/>
  <c r="N34" i="10"/>
  <c r="M34" i="10"/>
  <c r="L34" i="10"/>
  <c r="K34" i="10"/>
  <c r="P33" i="10"/>
  <c r="O33" i="10"/>
  <c r="N33" i="10"/>
  <c r="M33" i="10"/>
  <c r="L33" i="10"/>
  <c r="K33" i="10"/>
  <c r="P32" i="10"/>
  <c r="O32" i="10"/>
  <c r="N32" i="10"/>
  <c r="M32" i="10"/>
  <c r="L32" i="10"/>
  <c r="K32" i="10"/>
  <c r="P31" i="10"/>
  <c r="O31" i="10"/>
  <c r="N31" i="10"/>
  <c r="M31" i="10"/>
  <c r="L31" i="10"/>
  <c r="K31" i="10"/>
  <c r="P30" i="10"/>
  <c r="O30" i="10"/>
  <c r="N30" i="10"/>
  <c r="M30" i="10"/>
  <c r="L30" i="10"/>
  <c r="K30" i="10"/>
  <c r="P29" i="10"/>
  <c r="O29" i="10"/>
  <c r="N29" i="10"/>
  <c r="M29" i="10"/>
  <c r="L29" i="10"/>
  <c r="K29" i="10"/>
  <c r="P28" i="10"/>
  <c r="O28" i="10"/>
  <c r="N28" i="10"/>
  <c r="M28" i="10"/>
  <c r="L28" i="10"/>
  <c r="K28" i="10"/>
  <c r="K38" i="9"/>
  <c r="L38" i="9"/>
  <c r="M38" i="9"/>
  <c r="N38" i="9"/>
  <c r="O38" i="9"/>
  <c r="P38" i="9"/>
  <c r="K39" i="9"/>
  <c r="L39" i="9"/>
  <c r="M39" i="9"/>
  <c r="N39" i="9"/>
  <c r="O39" i="9"/>
  <c r="P39" i="9"/>
  <c r="K40" i="9"/>
  <c r="L40" i="9"/>
  <c r="M40" i="9"/>
  <c r="N40" i="9"/>
  <c r="O40" i="9"/>
  <c r="P40" i="9"/>
  <c r="K41" i="9"/>
  <c r="L41" i="9"/>
  <c r="M41" i="9"/>
  <c r="N41" i="9"/>
  <c r="O41" i="9"/>
  <c r="P41" i="9"/>
  <c r="K42" i="9"/>
  <c r="L42" i="9"/>
  <c r="M42" i="9"/>
  <c r="N42" i="9"/>
  <c r="O42" i="9"/>
  <c r="P42" i="9"/>
  <c r="K43" i="9"/>
  <c r="L43" i="9"/>
  <c r="M43" i="9"/>
  <c r="N43" i="9"/>
  <c r="O43" i="9"/>
  <c r="P43" i="9"/>
  <c r="K44" i="9"/>
  <c r="L44" i="9"/>
  <c r="M44" i="9"/>
  <c r="N44" i="9"/>
  <c r="O44" i="9"/>
  <c r="P44" i="9"/>
  <c r="K45" i="9"/>
  <c r="L45" i="9"/>
  <c r="M45" i="9"/>
  <c r="N45" i="9"/>
  <c r="O45" i="9"/>
  <c r="P45" i="9"/>
  <c r="K46" i="9"/>
  <c r="L46" i="9"/>
  <c r="M46" i="9"/>
  <c r="N46" i="9"/>
  <c r="O46" i="9"/>
  <c r="P46" i="9"/>
  <c r="K47" i="9"/>
  <c r="L47" i="9"/>
  <c r="M47" i="9"/>
  <c r="N47" i="9"/>
  <c r="O47" i="9"/>
  <c r="P47" i="9"/>
  <c r="K48" i="9"/>
  <c r="L48" i="9"/>
  <c r="M48" i="9"/>
  <c r="N48" i="9"/>
  <c r="O48" i="9"/>
  <c r="P48" i="9"/>
  <c r="K49" i="9"/>
  <c r="L49" i="9"/>
  <c r="M49" i="9"/>
  <c r="N49" i="9"/>
  <c r="O49" i="9"/>
  <c r="P49" i="9"/>
  <c r="K50" i="9"/>
  <c r="L50" i="9"/>
  <c r="M50" i="9"/>
  <c r="N50" i="9"/>
  <c r="O50" i="9"/>
  <c r="P50" i="9"/>
  <c r="K51" i="9"/>
  <c r="L51" i="9"/>
  <c r="M51" i="9"/>
  <c r="N51" i="9"/>
  <c r="O51" i="9"/>
  <c r="P51" i="9"/>
  <c r="K52" i="9"/>
  <c r="L52" i="9"/>
  <c r="M52" i="9"/>
  <c r="N52" i="9"/>
  <c r="O52" i="9"/>
  <c r="P52" i="9"/>
  <c r="K53" i="9"/>
  <c r="L53" i="9"/>
  <c r="M53" i="9"/>
  <c r="N53" i="9"/>
  <c r="O53" i="9"/>
  <c r="P53" i="9"/>
  <c r="K54" i="9"/>
  <c r="L54" i="9"/>
  <c r="M54" i="9"/>
  <c r="N54" i="9"/>
  <c r="O54" i="9"/>
  <c r="P54" i="9"/>
  <c r="K55" i="9"/>
  <c r="L55" i="9"/>
  <c r="M55" i="9"/>
  <c r="N55" i="9"/>
  <c r="O55" i="9"/>
  <c r="P55" i="9"/>
  <c r="K56" i="9"/>
  <c r="L56" i="9"/>
  <c r="M56" i="9"/>
  <c r="N56" i="9"/>
  <c r="O56" i="9"/>
  <c r="P56" i="9"/>
  <c r="K57" i="9"/>
  <c r="L57" i="9"/>
  <c r="M57" i="9"/>
  <c r="N57" i="9"/>
  <c r="O57" i="9"/>
  <c r="P57" i="9"/>
  <c r="K58" i="9"/>
  <c r="L58" i="9"/>
  <c r="M58" i="9"/>
  <c r="N58" i="9"/>
  <c r="O58" i="9"/>
  <c r="P58" i="9"/>
  <c r="K59" i="9"/>
  <c r="L59" i="9"/>
  <c r="M59" i="9"/>
  <c r="N59" i="9"/>
  <c r="O59" i="9"/>
  <c r="P59" i="9"/>
  <c r="K60" i="9"/>
  <c r="L60" i="9"/>
  <c r="M60" i="9"/>
  <c r="N60" i="9"/>
  <c r="O60" i="9"/>
  <c r="P60" i="9"/>
  <c r="K61" i="9"/>
  <c r="L61" i="9"/>
  <c r="M61" i="9"/>
  <c r="N61" i="9"/>
  <c r="O61" i="9"/>
  <c r="P61" i="9"/>
  <c r="K62" i="9"/>
  <c r="L62" i="9"/>
  <c r="M62" i="9"/>
  <c r="N62" i="9"/>
  <c r="O62" i="9"/>
  <c r="P62" i="9"/>
  <c r="K63" i="9"/>
  <c r="L63" i="9"/>
  <c r="M63" i="9"/>
  <c r="N63" i="9"/>
  <c r="O63" i="9"/>
  <c r="P63" i="9"/>
  <c r="K64" i="9"/>
  <c r="L64" i="9"/>
  <c r="M64" i="9"/>
  <c r="N64" i="9"/>
  <c r="O64" i="9"/>
  <c r="P64" i="9"/>
  <c r="K65" i="9"/>
  <c r="L65" i="9"/>
  <c r="M65" i="9"/>
  <c r="N65" i="9"/>
  <c r="O65" i="9"/>
  <c r="P65" i="9"/>
  <c r="K66" i="9"/>
  <c r="L66" i="9"/>
  <c r="M66" i="9"/>
  <c r="N66" i="9"/>
  <c r="O66" i="9"/>
  <c r="P66" i="9"/>
  <c r="K67" i="9"/>
  <c r="L67" i="9"/>
  <c r="M67" i="9"/>
  <c r="N67" i="9"/>
  <c r="O67" i="9"/>
  <c r="P67" i="9"/>
  <c r="P37" i="9"/>
  <c r="O37" i="9"/>
  <c r="N37" i="9"/>
  <c r="M37" i="9"/>
  <c r="L37" i="9"/>
  <c r="K37" i="9"/>
  <c r="P36" i="9"/>
  <c r="O36" i="9"/>
  <c r="N36" i="9"/>
  <c r="M36" i="9"/>
  <c r="L36" i="9"/>
  <c r="K36" i="9"/>
  <c r="L15" i="8"/>
  <c r="K15" i="8"/>
  <c r="P14" i="8"/>
  <c r="O14" i="8"/>
  <c r="K14" i="8"/>
  <c r="L12" i="8"/>
  <c r="K12" i="8"/>
  <c r="L11" i="8"/>
  <c r="K11" i="8"/>
  <c r="P10" i="8"/>
  <c r="O10" i="8"/>
  <c r="N10" i="8"/>
  <c r="M10" i="8"/>
  <c r="L10" i="8"/>
  <c r="K10" i="8"/>
  <c r="K17" i="7"/>
  <c r="P16" i="7"/>
  <c r="O16" i="7"/>
  <c r="P15" i="7"/>
  <c r="O15" i="7"/>
  <c r="N15" i="7"/>
  <c r="M15" i="7"/>
  <c r="K14" i="7"/>
  <c r="K13" i="7"/>
  <c r="P12" i="7"/>
  <c r="O12" i="7"/>
  <c r="P11" i="7"/>
  <c r="O11" i="7"/>
  <c r="N11" i="7"/>
  <c r="M11" i="7"/>
  <c r="L11" i="7"/>
  <c r="K11" i="7"/>
  <c r="K21" i="6"/>
  <c r="P20" i="6"/>
  <c r="O20" i="6"/>
  <c r="M19" i="6"/>
  <c r="M18" i="6"/>
  <c r="L18" i="6"/>
  <c r="K18" i="6"/>
  <c r="K17" i="6"/>
  <c r="P16" i="6"/>
  <c r="O16" i="6"/>
  <c r="M15" i="6"/>
  <c r="M14" i="6"/>
  <c r="L14" i="6"/>
  <c r="K14" i="6"/>
  <c r="P13" i="6"/>
  <c r="O13" i="6"/>
  <c r="N13" i="6"/>
  <c r="M13" i="6"/>
  <c r="L13" i="6"/>
  <c r="K13" i="6"/>
  <c r="P23" i="5"/>
  <c r="O23" i="5"/>
  <c r="N23" i="5"/>
  <c r="M23" i="5"/>
  <c r="L23" i="5"/>
  <c r="K23" i="5"/>
  <c r="P22" i="5"/>
  <c r="O22" i="5"/>
  <c r="N22" i="5"/>
  <c r="M22" i="5"/>
  <c r="L22" i="5"/>
  <c r="K22" i="5"/>
  <c r="P21" i="5"/>
  <c r="O21" i="5"/>
  <c r="N21" i="5"/>
  <c r="M21" i="5"/>
  <c r="L21" i="5"/>
  <c r="K21" i="5"/>
  <c r="P20" i="5"/>
  <c r="O20" i="5"/>
  <c r="N20" i="5"/>
  <c r="M20" i="5"/>
  <c r="L20" i="5"/>
  <c r="K20" i="5"/>
  <c r="P19" i="5"/>
  <c r="O19" i="5"/>
  <c r="N19" i="5"/>
  <c r="M19" i="5"/>
  <c r="L19" i="5"/>
  <c r="K19" i="5"/>
  <c r="P18" i="5"/>
  <c r="O18" i="5"/>
  <c r="N18" i="5"/>
  <c r="M18" i="5"/>
  <c r="L18" i="5"/>
  <c r="K18" i="5"/>
  <c r="P17" i="5"/>
  <c r="O17" i="5"/>
  <c r="N17" i="5"/>
  <c r="M17" i="5"/>
  <c r="L17" i="5"/>
  <c r="K17" i="5"/>
  <c r="P16" i="5"/>
  <c r="O16" i="5"/>
  <c r="N16" i="5"/>
  <c r="M16" i="5"/>
  <c r="L16" i="5"/>
  <c r="K16" i="5"/>
  <c r="P15" i="5"/>
  <c r="O15" i="5"/>
  <c r="N15" i="5"/>
  <c r="M15" i="5"/>
  <c r="L15" i="5"/>
  <c r="K15" i="5"/>
  <c r="P14" i="5"/>
  <c r="O14" i="5"/>
  <c r="N14" i="5"/>
  <c r="M14" i="5"/>
  <c r="L14" i="5"/>
  <c r="K14" i="5"/>
  <c r="P19" i="4"/>
  <c r="O19" i="4"/>
  <c r="N19" i="4"/>
  <c r="M19" i="4"/>
  <c r="L19" i="4"/>
  <c r="K19" i="4"/>
  <c r="P12" i="3"/>
  <c r="O12" i="3"/>
  <c r="N12" i="3"/>
  <c r="M12" i="3"/>
  <c r="L12" i="3"/>
  <c r="K12" i="3"/>
  <c r="P9" i="2"/>
  <c r="O9" i="2"/>
  <c r="N9" i="2"/>
  <c r="M9" i="2"/>
  <c r="L9" i="2"/>
  <c r="K9" i="2"/>
  <c r="P20" i="1"/>
  <c r="O20" i="1"/>
  <c r="N20" i="1"/>
  <c r="M20" i="1"/>
  <c r="L20" i="1"/>
  <c r="K20" i="1"/>
  <c r="H13" i="14"/>
  <c r="G13" i="14"/>
  <c r="F13" i="14"/>
  <c r="E13" i="14"/>
  <c r="D13" i="14"/>
  <c r="C13" i="14"/>
  <c r="H12" i="14"/>
  <c r="G12" i="14"/>
  <c r="F12" i="14"/>
  <c r="E12" i="14"/>
  <c r="D12" i="14"/>
  <c r="C12" i="14"/>
  <c r="H11" i="14"/>
  <c r="G11" i="14"/>
  <c r="F11" i="14"/>
  <c r="E11" i="14"/>
  <c r="D11" i="14"/>
  <c r="C11" i="14"/>
  <c r="H10" i="14"/>
  <c r="G10" i="14"/>
  <c r="F10" i="14"/>
  <c r="E10" i="14"/>
  <c r="D10" i="14"/>
  <c r="C10" i="14"/>
  <c r="H9" i="14"/>
  <c r="G9" i="14"/>
  <c r="F9" i="14"/>
  <c r="E9" i="14"/>
  <c r="D9" i="14"/>
  <c r="C9" i="14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G10" i="13"/>
  <c r="F10" i="13"/>
  <c r="E10" i="13"/>
  <c r="D10" i="13"/>
  <c r="C10" i="13"/>
  <c r="H9" i="13"/>
  <c r="G9" i="13"/>
  <c r="F9" i="13"/>
  <c r="E9" i="13"/>
  <c r="D9" i="13"/>
  <c r="C9" i="13"/>
  <c r="P3" i="13"/>
  <c r="P4" i="13" s="1"/>
  <c r="P5" i="13" s="1"/>
  <c r="P6" i="13" s="1"/>
  <c r="O3" i="13"/>
  <c r="O4" i="13" s="1"/>
  <c r="O5" i="13" s="1"/>
  <c r="O6" i="13" s="1"/>
  <c r="N3" i="13"/>
  <c r="N4" i="13" s="1"/>
  <c r="N5" i="13" s="1"/>
  <c r="N6" i="13" s="1"/>
  <c r="M3" i="13"/>
  <c r="M4" i="13" s="1"/>
  <c r="M5" i="13" s="1"/>
  <c r="M6" i="13" s="1"/>
  <c r="L3" i="13"/>
  <c r="L4" i="13" s="1"/>
  <c r="L5" i="13" s="1"/>
  <c r="L6" i="13" s="1"/>
  <c r="K3" i="13"/>
  <c r="K4" i="13" s="1"/>
  <c r="K5" i="13" s="1"/>
  <c r="K6" i="13" s="1"/>
  <c r="J3" i="13"/>
  <c r="J4" i="13" s="1"/>
  <c r="J5" i="13" s="1"/>
  <c r="J6" i="13" s="1"/>
  <c r="N13" i="13" s="1"/>
  <c r="P3" i="14"/>
  <c r="P4" i="14" s="1"/>
  <c r="P5" i="14" s="1"/>
  <c r="P6" i="14" s="1"/>
  <c r="O3" i="14"/>
  <c r="O4" i="14" s="1"/>
  <c r="O5" i="14" s="1"/>
  <c r="O6" i="14" s="1"/>
  <c r="N3" i="14"/>
  <c r="N4" i="14" s="1"/>
  <c r="N5" i="14" s="1"/>
  <c r="N6" i="14" s="1"/>
  <c r="M3" i="14"/>
  <c r="M4" i="14" s="1"/>
  <c r="M5" i="14" s="1"/>
  <c r="M6" i="14" s="1"/>
  <c r="L3" i="14"/>
  <c r="L4" i="14" s="1"/>
  <c r="L5" i="14" s="1"/>
  <c r="L6" i="14" s="1"/>
  <c r="K3" i="14"/>
  <c r="K4" i="14" s="1"/>
  <c r="K5" i="14" s="1"/>
  <c r="K6" i="14" s="1"/>
  <c r="J3" i="14"/>
  <c r="J4" i="14" s="1"/>
  <c r="J5" i="14" s="1"/>
  <c r="J6" i="14" s="1"/>
  <c r="P13" i="14" s="1"/>
  <c r="H15" i="12"/>
  <c r="G15" i="12"/>
  <c r="F15" i="12"/>
  <c r="E15" i="12"/>
  <c r="D15" i="12"/>
  <c r="C15" i="12"/>
  <c r="H14" i="12"/>
  <c r="G14" i="12"/>
  <c r="F14" i="12"/>
  <c r="E14" i="12"/>
  <c r="D14" i="12"/>
  <c r="C14" i="12"/>
  <c r="H13" i="12"/>
  <c r="G13" i="12"/>
  <c r="F13" i="12"/>
  <c r="E13" i="12"/>
  <c r="D13" i="12"/>
  <c r="C13" i="12"/>
  <c r="H12" i="12"/>
  <c r="G12" i="12"/>
  <c r="F12" i="12"/>
  <c r="E12" i="12"/>
  <c r="D12" i="12"/>
  <c r="C12" i="12"/>
  <c r="H11" i="12"/>
  <c r="G11" i="12"/>
  <c r="F11" i="12"/>
  <c r="E11" i="12"/>
  <c r="D11" i="12"/>
  <c r="C11" i="12"/>
  <c r="H10" i="12"/>
  <c r="G10" i="12"/>
  <c r="F10" i="12"/>
  <c r="E10" i="12"/>
  <c r="D10" i="12"/>
  <c r="C10" i="12"/>
  <c r="P3" i="12"/>
  <c r="P4" i="12" s="1"/>
  <c r="P5" i="12" s="1"/>
  <c r="P6" i="12" s="1"/>
  <c r="P7" i="12" s="1"/>
  <c r="O3" i="12"/>
  <c r="O4" i="12" s="1"/>
  <c r="O5" i="12" s="1"/>
  <c r="O6" i="12" s="1"/>
  <c r="O7" i="12" s="1"/>
  <c r="N3" i="12"/>
  <c r="N4" i="12" s="1"/>
  <c r="N5" i="12" s="1"/>
  <c r="N6" i="12" s="1"/>
  <c r="N7" i="12" s="1"/>
  <c r="M3" i="12"/>
  <c r="M4" i="12" s="1"/>
  <c r="M5" i="12" s="1"/>
  <c r="M6" i="12" s="1"/>
  <c r="M7" i="12" s="1"/>
  <c r="M15" i="12" s="1"/>
  <c r="L3" i="12"/>
  <c r="L4" i="12" s="1"/>
  <c r="L5" i="12" s="1"/>
  <c r="L6" i="12" s="1"/>
  <c r="L7" i="12" s="1"/>
  <c r="K3" i="12"/>
  <c r="K4" i="12" s="1"/>
  <c r="K5" i="12" s="1"/>
  <c r="K6" i="12" s="1"/>
  <c r="K7" i="12" s="1"/>
  <c r="J3" i="12"/>
  <c r="J4" i="12" s="1"/>
  <c r="J5" i="12" s="1"/>
  <c r="J6" i="12" s="1"/>
  <c r="J7" i="12" s="1"/>
  <c r="P15" i="12" s="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P3" i="11"/>
  <c r="P4" i="11" s="1"/>
  <c r="P5" i="11" s="1"/>
  <c r="P6" i="11" s="1"/>
  <c r="P7" i="11" s="1"/>
  <c r="O3" i="11"/>
  <c r="O4" i="11" s="1"/>
  <c r="O5" i="11" s="1"/>
  <c r="O6" i="11" s="1"/>
  <c r="O7" i="11" s="1"/>
  <c r="N3" i="11"/>
  <c r="N4" i="11" s="1"/>
  <c r="N5" i="11" s="1"/>
  <c r="N6" i="11" s="1"/>
  <c r="N7" i="11" s="1"/>
  <c r="M3" i="11"/>
  <c r="M4" i="11" s="1"/>
  <c r="M5" i="11" s="1"/>
  <c r="M6" i="11" s="1"/>
  <c r="M7" i="11" s="1"/>
  <c r="L3" i="11"/>
  <c r="L4" i="11" s="1"/>
  <c r="L5" i="11" s="1"/>
  <c r="L6" i="11" s="1"/>
  <c r="L7" i="11" s="1"/>
  <c r="K3" i="11"/>
  <c r="K4" i="11" s="1"/>
  <c r="K5" i="11" s="1"/>
  <c r="K6" i="11" s="1"/>
  <c r="K7" i="11" s="1"/>
  <c r="J3" i="11"/>
  <c r="J4" i="11" s="1"/>
  <c r="J5" i="11" s="1"/>
  <c r="J6" i="11" s="1"/>
  <c r="J7" i="11" s="1"/>
  <c r="P15" i="11" s="1"/>
  <c r="H51" i="10"/>
  <c r="G51" i="10"/>
  <c r="F51" i="10"/>
  <c r="E51" i="10"/>
  <c r="D51" i="10"/>
  <c r="C51" i="10"/>
  <c r="H50" i="10"/>
  <c r="G50" i="10"/>
  <c r="F50" i="10"/>
  <c r="E50" i="10"/>
  <c r="D50" i="10"/>
  <c r="C50" i="10"/>
  <c r="H49" i="10"/>
  <c r="G49" i="10"/>
  <c r="F49" i="10"/>
  <c r="E49" i="10"/>
  <c r="D49" i="10"/>
  <c r="C49" i="10"/>
  <c r="H48" i="10"/>
  <c r="G48" i="10"/>
  <c r="F48" i="10"/>
  <c r="E48" i="10"/>
  <c r="D48" i="10"/>
  <c r="C48" i="10"/>
  <c r="H47" i="10"/>
  <c r="G47" i="10"/>
  <c r="F47" i="10"/>
  <c r="E47" i="10"/>
  <c r="D47" i="10"/>
  <c r="C47" i="10"/>
  <c r="H46" i="10"/>
  <c r="G46" i="10"/>
  <c r="F46" i="10"/>
  <c r="E46" i="10"/>
  <c r="D46" i="10"/>
  <c r="C46" i="10"/>
  <c r="H45" i="10"/>
  <c r="G45" i="10"/>
  <c r="F45" i="10"/>
  <c r="E45" i="10"/>
  <c r="D45" i="10"/>
  <c r="C45" i="10"/>
  <c r="H44" i="10"/>
  <c r="G44" i="10"/>
  <c r="F44" i="10"/>
  <c r="E44" i="10"/>
  <c r="D44" i="10"/>
  <c r="C44" i="10"/>
  <c r="H43" i="10"/>
  <c r="G43" i="10"/>
  <c r="F43" i="10"/>
  <c r="E43" i="10"/>
  <c r="D43" i="10"/>
  <c r="C43" i="10"/>
  <c r="H42" i="10"/>
  <c r="G42" i="10"/>
  <c r="F42" i="10"/>
  <c r="E42" i="10"/>
  <c r="D42" i="10"/>
  <c r="C42" i="10"/>
  <c r="H41" i="10"/>
  <c r="G41" i="10"/>
  <c r="F41" i="10"/>
  <c r="E41" i="10"/>
  <c r="D41" i="10"/>
  <c r="C41" i="10"/>
  <c r="H40" i="10"/>
  <c r="G40" i="10"/>
  <c r="F40" i="10"/>
  <c r="E40" i="10"/>
  <c r="D40" i="10"/>
  <c r="C40" i="10"/>
  <c r="H39" i="10"/>
  <c r="G39" i="10"/>
  <c r="F39" i="10"/>
  <c r="E39" i="10"/>
  <c r="D39" i="10"/>
  <c r="C39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G35" i="10"/>
  <c r="F35" i="10"/>
  <c r="E35" i="10"/>
  <c r="D35" i="10"/>
  <c r="C35" i="10"/>
  <c r="H34" i="10"/>
  <c r="G34" i="10"/>
  <c r="F34" i="10"/>
  <c r="E34" i="10"/>
  <c r="D34" i="10"/>
  <c r="C34" i="10"/>
  <c r="H33" i="10"/>
  <c r="G33" i="10"/>
  <c r="F33" i="10"/>
  <c r="E33" i="10"/>
  <c r="D33" i="10"/>
  <c r="C33" i="10"/>
  <c r="H32" i="10"/>
  <c r="G32" i="10"/>
  <c r="F32" i="10"/>
  <c r="E32" i="10"/>
  <c r="D32" i="10"/>
  <c r="C32" i="10"/>
  <c r="H31" i="10"/>
  <c r="G31" i="10"/>
  <c r="F31" i="10"/>
  <c r="E31" i="10"/>
  <c r="D31" i="10"/>
  <c r="C31" i="10"/>
  <c r="H30" i="10"/>
  <c r="G30" i="10"/>
  <c r="F30" i="10"/>
  <c r="E30" i="10"/>
  <c r="D30" i="10"/>
  <c r="C30" i="10"/>
  <c r="H29" i="10"/>
  <c r="G29" i="10"/>
  <c r="F29" i="10"/>
  <c r="E29" i="10"/>
  <c r="D29" i="10"/>
  <c r="C29" i="10"/>
  <c r="H28" i="10"/>
  <c r="G28" i="10"/>
  <c r="F28" i="10"/>
  <c r="E28" i="10"/>
  <c r="D28" i="10"/>
  <c r="C28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O3" i="10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M3" i="10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L3" i="10"/>
  <c r="L4" i="10" s="1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J3" i="10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E49" i="9"/>
  <c r="F49" i="9"/>
  <c r="G49" i="9"/>
  <c r="H49" i="9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E57" i="9"/>
  <c r="F57" i="9"/>
  <c r="G57" i="9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E65" i="9"/>
  <c r="F65" i="9"/>
  <c r="G65" i="9"/>
  <c r="H65" i="9"/>
  <c r="C66" i="9"/>
  <c r="D66" i="9"/>
  <c r="E66" i="9"/>
  <c r="F66" i="9"/>
  <c r="G66" i="9"/>
  <c r="H66" i="9"/>
  <c r="C67" i="9"/>
  <c r="D67" i="9"/>
  <c r="E67" i="9"/>
  <c r="F67" i="9"/>
  <c r="G67" i="9"/>
  <c r="H67" i="9"/>
  <c r="H36" i="9"/>
  <c r="G36" i="9"/>
  <c r="F36" i="9"/>
  <c r="E36" i="9"/>
  <c r="D36" i="9"/>
  <c r="C36" i="9"/>
  <c r="P8" i="9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K9" i="9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L9" i="9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P3" i="9"/>
  <c r="P4" i="9" s="1"/>
  <c r="P5" i="9" s="1"/>
  <c r="P6" i="9" s="1"/>
  <c r="P7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M3" i="9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L3" i="9"/>
  <c r="L4" i="9" s="1"/>
  <c r="L5" i="9" s="1"/>
  <c r="L6" i="9" s="1"/>
  <c r="L7" i="9" s="1"/>
  <c r="L8" i="9" s="1"/>
  <c r="K3" i="9"/>
  <c r="K4" i="9" s="1"/>
  <c r="K5" i="9" s="1"/>
  <c r="K6" i="9" s="1"/>
  <c r="K7" i="9" s="1"/>
  <c r="K8" i="9" s="1"/>
  <c r="J3" i="9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P3" i="8"/>
  <c r="P4" i="8" s="1"/>
  <c r="P5" i="8" s="1"/>
  <c r="P6" i="8" s="1"/>
  <c r="P7" i="8" s="1"/>
  <c r="O3" i="8"/>
  <c r="O4" i="8" s="1"/>
  <c r="O5" i="8" s="1"/>
  <c r="O6" i="8" s="1"/>
  <c r="O7" i="8" s="1"/>
  <c r="N3" i="8"/>
  <c r="N4" i="8" s="1"/>
  <c r="N5" i="8" s="1"/>
  <c r="N6" i="8" s="1"/>
  <c r="N7" i="8" s="1"/>
  <c r="M3" i="8"/>
  <c r="M4" i="8" s="1"/>
  <c r="M5" i="8" s="1"/>
  <c r="M6" i="8" s="1"/>
  <c r="M7" i="8" s="1"/>
  <c r="M15" i="8" s="1"/>
  <c r="L3" i="8"/>
  <c r="L4" i="8" s="1"/>
  <c r="L5" i="8" s="1"/>
  <c r="L6" i="8" s="1"/>
  <c r="L7" i="8" s="1"/>
  <c r="K3" i="8"/>
  <c r="K4" i="8" s="1"/>
  <c r="K5" i="8" s="1"/>
  <c r="K6" i="8" s="1"/>
  <c r="K7" i="8" s="1"/>
  <c r="J3" i="8"/>
  <c r="J4" i="8" s="1"/>
  <c r="J5" i="8" s="1"/>
  <c r="J6" i="8" s="1"/>
  <c r="J7" i="8" s="1"/>
  <c r="P15" i="8" s="1"/>
  <c r="H17" i="7"/>
  <c r="G17" i="7"/>
  <c r="F17" i="7"/>
  <c r="E17" i="7"/>
  <c r="D17" i="7"/>
  <c r="C17" i="7"/>
  <c r="H16" i="7"/>
  <c r="G16" i="7"/>
  <c r="F16" i="7"/>
  <c r="E16" i="7"/>
  <c r="D16" i="7"/>
  <c r="C16" i="7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P3" i="7"/>
  <c r="P4" i="7" s="1"/>
  <c r="P5" i="7" s="1"/>
  <c r="P6" i="7" s="1"/>
  <c r="P7" i="7" s="1"/>
  <c r="P8" i="7" s="1"/>
  <c r="O3" i="7"/>
  <c r="O4" i="7" s="1"/>
  <c r="O5" i="7" s="1"/>
  <c r="O6" i="7" s="1"/>
  <c r="O7" i="7" s="1"/>
  <c r="O8" i="7" s="1"/>
  <c r="N3" i="7"/>
  <c r="N4" i="7" s="1"/>
  <c r="N5" i="7" s="1"/>
  <c r="N6" i="7" s="1"/>
  <c r="N7" i="7" s="1"/>
  <c r="N8" i="7" s="1"/>
  <c r="M3" i="7"/>
  <c r="M4" i="7" s="1"/>
  <c r="M5" i="7" s="1"/>
  <c r="M6" i="7" s="1"/>
  <c r="M7" i="7" s="1"/>
  <c r="M8" i="7" s="1"/>
  <c r="L3" i="7"/>
  <c r="L4" i="7" s="1"/>
  <c r="L5" i="7" s="1"/>
  <c r="L6" i="7" s="1"/>
  <c r="L7" i="7" s="1"/>
  <c r="L8" i="7" s="1"/>
  <c r="L17" i="7" s="1"/>
  <c r="K3" i="7"/>
  <c r="K4" i="7" s="1"/>
  <c r="K5" i="7" s="1"/>
  <c r="K6" i="7" s="1"/>
  <c r="K7" i="7" s="1"/>
  <c r="K8" i="7" s="1"/>
  <c r="J3" i="7"/>
  <c r="J4" i="7" s="1"/>
  <c r="J5" i="7" s="1"/>
  <c r="J6" i="7" s="1"/>
  <c r="J7" i="7" s="1"/>
  <c r="J8" i="7" s="1"/>
  <c r="P17" i="7" s="1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E15" i="6"/>
  <c r="D15" i="6"/>
  <c r="C15" i="6"/>
  <c r="H14" i="6"/>
  <c r="G14" i="6"/>
  <c r="F14" i="6"/>
  <c r="E14" i="6"/>
  <c r="D14" i="6"/>
  <c r="C14" i="6"/>
  <c r="H13" i="6"/>
  <c r="G13" i="6"/>
  <c r="F13" i="6"/>
  <c r="E13" i="6"/>
  <c r="D13" i="6"/>
  <c r="C13" i="6"/>
  <c r="P3" i="6"/>
  <c r="P4" i="6" s="1"/>
  <c r="P5" i="6" s="1"/>
  <c r="P6" i="6" s="1"/>
  <c r="P7" i="6" s="1"/>
  <c r="P8" i="6" s="1"/>
  <c r="P9" i="6" s="1"/>
  <c r="P10" i="6" s="1"/>
  <c r="O3" i="6"/>
  <c r="O4" i="6" s="1"/>
  <c r="O5" i="6" s="1"/>
  <c r="O6" i="6" s="1"/>
  <c r="O7" i="6" s="1"/>
  <c r="O8" i="6" s="1"/>
  <c r="O9" i="6" s="1"/>
  <c r="O10" i="6" s="1"/>
  <c r="N3" i="6"/>
  <c r="N4" i="6" s="1"/>
  <c r="N5" i="6" s="1"/>
  <c r="N6" i="6" s="1"/>
  <c r="N7" i="6" s="1"/>
  <c r="N8" i="6" s="1"/>
  <c r="N9" i="6" s="1"/>
  <c r="N10" i="6" s="1"/>
  <c r="M3" i="6"/>
  <c r="M4" i="6" s="1"/>
  <c r="M5" i="6" s="1"/>
  <c r="M6" i="6" s="1"/>
  <c r="M7" i="6" s="1"/>
  <c r="M8" i="6" s="1"/>
  <c r="M9" i="6" s="1"/>
  <c r="M10" i="6" s="1"/>
  <c r="L3" i="6"/>
  <c r="L4" i="6" s="1"/>
  <c r="L5" i="6" s="1"/>
  <c r="L6" i="6" s="1"/>
  <c r="L7" i="6" s="1"/>
  <c r="L8" i="6" s="1"/>
  <c r="L9" i="6" s="1"/>
  <c r="L10" i="6" s="1"/>
  <c r="K3" i="6"/>
  <c r="K4" i="6" s="1"/>
  <c r="K5" i="6" s="1"/>
  <c r="K6" i="6" s="1"/>
  <c r="K7" i="6" s="1"/>
  <c r="K8" i="6" s="1"/>
  <c r="K9" i="6" s="1"/>
  <c r="K10" i="6" s="1"/>
  <c r="J3" i="6"/>
  <c r="J4" i="6" s="1"/>
  <c r="J5" i="6" s="1"/>
  <c r="J6" i="6" s="1"/>
  <c r="J7" i="6" s="1"/>
  <c r="J8" i="6" s="1"/>
  <c r="J9" i="6" s="1"/>
  <c r="J10" i="6" s="1"/>
  <c r="P21" i="6" s="1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P3" i="5"/>
  <c r="P4" i="5" s="1"/>
  <c r="P5" i="5" s="1"/>
  <c r="P6" i="5" s="1"/>
  <c r="P7" i="5" s="1"/>
  <c r="P8" i="5" s="1"/>
  <c r="P9" i="5" s="1"/>
  <c r="P10" i="5" s="1"/>
  <c r="P11" i="5" s="1"/>
  <c r="O3" i="5"/>
  <c r="O4" i="5" s="1"/>
  <c r="O5" i="5" s="1"/>
  <c r="O6" i="5" s="1"/>
  <c r="O7" i="5" s="1"/>
  <c r="O8" i="5" s="1"/>
  <c r="O9" i="5" s="1"/>
  <c r="O10" i="5" s="1"/>
  <c r="O11" i="5" s="1"/>
  <c r="N3" i="5"/>
  <c r="N4" i="5" s="1"/>
  <c r="N5" i="5" s="1"/>
  <c r="N6" i="5" s="1"/>
  <c r="N7" i="5" s="1"/>
  <c r="N8" i="5" s="1"/>
  <c r="N9" i="5" s="1"/>
  <c r="N10" i="5" s="1"/>
  <c r="N11" i="5" s="1"/>
  <c r="M3" i="5"/>
  <c r="M4" i="5" s="1"/>
  <c r="M5" i="5" s="1"/>
  <c r="M6" i="5" s="1"/>
  <c r="M7" i="5" s="1"/>
  <c r="M8" i="5" s="1"/>
  <c r="M9" i="5" s="1"/>
  <c r="M10" i="5" s="1"/>
  <c r="M11" i="5" s="1"/>
  <c r="L3" i="5"/>
  <c r="L4" i="5" s="1"/>
  <c r="L5" i="5" s="1"/>
  <c r="L6" i="5" s="1"/>
  <c r="L7" i="5" s="1"/>
  <c r="L8" i="5" s="1"/>
  <c r="L9" i="5" s="1"/>
  <c r="L10" i="5" s="1"/>
  <c r="L11" i="5" s="1"/>
  <c r="K3" i="5"/>
  <c r="K4" i="5" s="1"/>
  <c r="K5" i="5" s="1"/>
  <c r="K6" i="5" s="1"/>
  <c r="K7" i="5" s="1"/>
  <c r="K8" i="5" s="1"/>
  <c r="K9" i="5" s="1"/>
  <c r="K10" i="5" s="1"/>
  <c r="K11" i="5" s="1"/>
  <c r="J3" i="5"/>
  <c r="J4" i="5" s="1"/>
  <c r="J5" i="5" s="1"/>
  <c r="J6" i="5" s="1"/>
  <c r="J7" i="5" s="1"/>
  <c r="J8" i="5" s="1"/>
  <c r="J9" i="5" s="1"/>
  <c r="J10" i="5" s="1"/>
  <c r="J11" i="5" s="1"/>
  <c r="M10" i="14" l="1"/>
  <c r="O11" i="14"/>
  <c r="K13" i="14"/>
  <c r="K10" i="14"/>
  <c r="N10" i="14"/>
  <c r="P11" i="14"/>
  <c r="P14" i="14" s="1"/>
  <c r="P15" i="14" s="1"/>
  <c r="L13" i="14"/>
  <c r="O10" i="14"/>
  <c r="O14" i="14" s="1"/>
  <c r="O15" i="14" s="1"/>
  <c r="K12" i="14"/>
  <c r="M13" i="14"/>
  <c r="L10" i="14"/>
  <c r="P10" i="14"/>
  <c r="L12" i="14"/>
  <c r="L14" i="14" s="1"/>
  <c r="L15" i="14" s="1"/>
  <c r="N13" i="14"/>
  <c r="K11" i="14"/>
  <c r="M12" i="14"/>
  <c r="O13" i="14"/>
  <c r="L11" i="14"/>
  <c r="N12" i="14"/>
  <c r="N12" i="13"/>
  <c r="K10" i="13"/>
  <c r="M11" i="13"/>
  <c r="O12" i="13"/>
  <c r="L10" i="13"/>
  <c r="L14" i="13" s="1"/>
  <c r="L15" i="13" s="1"/>
  <c r="N11" i="13"/>
  <c r="P12" i="13"/>
  <c r="P14" i="13" s="1"/>
  <c r="P15" i="13" s="1"/>
  <c r="O14" i="13"/>
  <c r="O15" i="13" s="1"/>
  <c r="N10" i="13"/>
  <c r="P11" i="13"/>
  <c r="L13" i="13"/>
  <c r="O10" i="13"/>
  <c r="K12" i="13"/>
  <c r="M13" i="13"/>
  <c r="M14" i="13" s="1"/>
  <c r="M15" i="13" s="1"/>
  <c r="M10" i="13"/>
  <c r="P10" i="13"/>
  <c r="L12" i="13"/>
  <c r="M13" i="12"/>
  <c r="O13" i="12"/>
  <c r="N15" i="12"/>
  <c r="O11" i="12"/>
  <c r="O16" i="12" s="1"/>
  <c r="O17" i="12" s="1"/>
  <c r="K13" i="12"/>
  <c r="K16" i="12" s="1"/>
  <c r="K17" i="12" s="1"/>
  <c r="M14" i="12"/>
  <c r="O15" i="12"/>
  <c r="N13" i="12"/>
  <c r="M12" i="12"/>
  <c r="N12" i="12"/>
  <c r="P13" i="12"/>
  <c r="M11" i="12"/>
  <c r="M16" i="12" s="1"/>
  <c r="M17" i="12" s="1"/>
  <c r="O12" i="12"/>
  <c r="N11" i="12"/>
  <c r="P12" i="12"/>
  <c r="L14" i="12"/>
  <c r="P11" i="12"/>
  <c r="P16" i="12" s="1"/>
  <c r="P17" i="12" s="1"/>
  <c r="L13" i="12"/>
  <c r="L16" i="12" s="1"/>
  <c r="L17" i="12" s="1"/>
  <c r="N14" i="12"/>
  <c r="K15" i="11"/>
  <c r="L11" i="11"/>
  <c r="M15" i="11"/>
  <c r="K11" i="11"/>
  <c r="K16" i="11" s="1"/>
  <c r="K17" i="11" s="1"/>
  <c r="L15" i="11"/>
  <c r="M11" i="11"/>
  <c r="M16" i="11" s="1"/>
  <c r="M17" i="11" s="1"/>
  <c r="N11" i="11"/>
  <c r="N16" i="11" s="1"/>
  <c r="N17" i="11" s="1"/>
  <c r="P12" i="11"/>
  <c r="L14" i="11"/>
  <c r="N15" i="11"/>
  <c r="P14" i="11"/>
  <c r="O13" i="11"/>
  <c r="P13" i="11"/>
  <c r="K14" i="11"/>
  <c r="O11" i="11"/>
  <c r="K13" i="11"/>
  <c r="M14" i="11"/>
  <c r="O15" i="11"/>
  <c r="M12" i="11"/>
  <c r="N12" i="11"/>
  <c r="O12" i="11"/>
  <c r="P11" i="11"/>
  <c r="P16" i="11" s="1"/>
  <c r="P17" i="11" s="1"/>
  <c r="L13" i="11"/>
  <c r="N14" i="11"/>
  <c r="P52" i="10"/>
  <c r="P53" i="10" s="1"/>
  <c r="N52" i="10"/>
  <c r="N53" i="10" s="1"/>
  <c r="K52" i="10"/>
  <c r="K53" i="10" s="1"/>
  <c r="L52" i="10"/>
  <c r="L53" i="10" s="1"/>
  <c r="M52" i="10"/>
  <c r="M53" i="10" s="1"/>
  <c r="J4" i="9"/>
  <c r="M13" i="8"/>
  <c r="M12" i="8"/>
  <c r="O13" i="8"/>
  <c r="M11" i="8"/>
  <c r="M16" i="8" s="1"/>
  <c r="M17" i="8" s="1"/>
  <c r="N11" i="8"/>
  <c r="N15" i="8"/>
  <c r="O11" i="8"/>
  <c r="O16" i="8" s="1"/>
  <c r="O17" i="8" s="1"/>
  <c r="K13" i="8"/>
  <c r="M14" i="8"/>
  <c r="O15" i="8"/>
  <c r="N13" i="8"/>
  <c r="K16" i="8"/>
  <c r="K17" i="8" s="1"/>
  <c r="N12" i="8"/>
  <c r="P13" i="8"/>
  <c r="O12" i="8"/>
  <c r="P12" i="8"/>
  <c r="L14" i="8"/>
  <c r="P11" i="8"/>
  <c r="P16" i="8" s="1"/>
  <c r="P17" i="8" s="1"/>
  <c r="L13" i="8"/>
  <c r="L16" i="8" s="1"/>
  <c r="L17" i="8" s="1"/>
  <c r="N14" i="8"/>
  <c r="K12" i="7"/>
  <c r="M13" i="7"/>
  <c r="O14" i="7"/>
  <c r="K16" i="7"/>
  <c r="M17" i="7"/>
  <c r="L12" i="7"/>
  <c r="L18" i="7" s="1"/>
  <c r="L19" i="7" s="1"/>
  <c r="N13" i="7"/>
  <c r="P14" i="7"/>
  <c r="L16" i="7"/>
  <c r="N17" i="7"/>
  <c r="L13" i="7"/>
  <c r="M12" i="7"/>
  <c r="M18" i="7" s="1"/>
  <c r="M19" i="7" s="1"/>
  <c r="O13" i="7"/>
  <c r="O18" i="7" s="1"/>
  <c r="O19" i="7" s="1"/>
  <c r="K15" i="7"/>
  <c r="M16" i="7"/>
  <c r="O17" i="7"/>
  <c r="L14" i="7"/>
  <c r="M14" i="7"/>
  <c r="N14" i="7"/>
  <c r="N12" i="7"/>
  <c r="N18" i="7" s="1"/>
  <c r="N19" i="7" s="1"/>
  <c r="P13" i="7"/>
  <c r="P18" i="7" s="1"/>
  <c r="P19" i="7" s="1"/>
  <c r="L15" i="7"/>
  <c r="N16" i="7"/>
  <c r="N19" i="6"/>
  <c r="N14" i="6"/>
  <c r="P15" i="6"/>
  <c r="L17" i="6"/>
  <c r="N18" i="6"/>
  <c r="P19" i="6"/>
  <c r="L21" i="6"/>
  <c r="N15" i="6"/>
  <c r="O19" i="6"/>
  <c r="O14" i="6"/>
  <c r="K16" i="6"/>
  <c r="M17" i="6"/>
  <c r="O18" i="6"/>
  <c r="K20" i="6"/>
  <c r="M21" i="6"/>
  <c r="P14" i="6"/>
  <c r="L16" i="6"/>
  <c r="N17" i="6"/>
  <c r="P18" i="6"/>
  <c r="L20" i="6"/>
  <c r="N21" i="6"/>
  <c r="K15" i="6"/>
  <c r="K22" i="6" s="1"/>
  <c r="K23" i="6" s="1"/>
  <c r="M16" i="6"/>
  <c r="M22" i="6" s="1"/>
  <c r="M23" i="6" s="1"/>
  <c r="O17" i="6"/>
  <c r="K19" i="6"/>
  <c r="M20" i="6"/>
  <c r="O21" i="6"/>
  <c r="O15" i="6"/>
  <c r="L15" i="6"/>
  <c r="L22" i="6" s="1"/>
  <c r="L23" i="6" s="1"/>
  <c r="N16" i="6"/>
  <c r="P17" i="6"/>
  <c r="L19" i="6"/>
  <c r="N20" i="6"/>
  <c r="M24" i="5"/>
  <c r="N24" i="5"/>
  <c r="O24" i="5"/>
  <c r="K24" i="5"/>
  <c r="L24" i="5"/>
  <c r="P24" i="5"/>
  <c r="H33" i="4"/>
  <c r="G33" i="4"/>
  <c r="F33" i="4"/>
  <c r="E33" i="4"/>
  <c r="D33" i="4"/>
  <c r="C33" i="4"/>
  <c r="H32" i="4"/>
  <c r="G32" i="4"/>
  <c r="F32" i="4"/>
  <c r="E32" i="4"/>
  <c r="D32" i="4"/>
  <c r="C32" i="4"/>
  <c r="H31" i="4"/>
  <c r="G31" i="4"/>
  <c r="F31" i="4"/>
  <c r="E31" i="4"/>
  <c r="D31" i="4"/>
  <c r="C31" i="4"/>
  <c r="H30" i="4"/>
  <c r="G30" i="4"/>
  <c r="F30" i="4"/>
  <c r="E30" i="4"/>
  <c r="D30" i="4"/>
  <c r="C30" i="4"/>
  <c r="H29" i="4"/>
  <c r="G29" i="4"/>
  <c r="F29" i="4"/>
  <c r="E29" i="4"/>
  <c r="D29" i="4"/>
  <c r="C29" i="4"/>
  <c r="H28" i="4"/>
  <c r="G28" i="4"/>
  <c r="F28" i="4"/>
  <c r="E28" i="4"/>
  <c r="D28" i="4"/>
  <c r="C28" i="4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L3" i="4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J3" i="4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K7" i="3" s="1"/>
  <c r="K8" i="3" s="1"/>
  <c r="K9" i="3" s="1"/>
  <c r="J3" i="3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P3" i="2"/>
  <c r="P4" i="2" s="1"/>
  <c r="P5" i="2" s="1"/>
  <c r="P6" i="2" s="1"/>
  <c r="O3" i="2"/>
  <c r="O4" i="2" s="1"/>
  <c r="O5" i="2" s="1"/>
  <c r="O6" i="2" s="1"/>
  <c r="N3" i="2"/>
  <c r="N4" i="2" s="1"/>
  <c r="N5" i="2" s="1"/>
  <c r="N6" i="2" s="1"/>
  <c r="M3" i="2"/>
  <c r="M4" i="2" s="1"/>
  <c r="M5" i="2" s="1"/>
  <c r="M6" i="2" s="1"/>
  <c r="L3" i="2"/>
  <c r="L4" i="2" s="1"/>
  <c r="L5" i="2" s="1"/>
  <c r="L6" i="2" s="1"/>
  <c r="K3" i="2"/>
  <c r="K4" i="2" s="1"/>
  <c r="K5" i="2" s="1"/>
  <c r="K6" i="2" s="1"/>
  <c r="J3" i="2"/>
  <c r="N14" i="14" l="1"/>
  <c r="N15" i="14" s="1"/>
  <c r="K14" i="14"/>
  <c r="K15" i="14" s="1"/>
  <c r="M14" i="14"/>
  <c r="M15" i="14" s="1"/>
  <c r="N14" i="13"/>
  <c r="N15" i="13" s="1"/>
  <c r="K14" i="13"/>
  <c r="K15" i="13" s="1"/>
  <c r="N16" i="12"/>
  <c r="N17" i="12" s="1"/>
  <c r="L16" i="11"/>
  <c r="L17" i="11" s="1"/>
  <c r="O16" i="11"/>
  <c r="O17" i="11" s="1"/>
  <c r="O52" i="10"/>
  <c r="O53" i="10" s="1"/>
  <c r="J5" i="9"/>
  <c r="N16" i="8"/>
  <c r="N17" i="8" s="1"/>
  <c r="K18" i="7"/>
  <c r="K19" i="7" s="1"/>
  <c r="N22" i="6"/>
  <c r="N23" i="6" s="1"/>
  <c r="P22" i="6"/>
  <c r="P23" i="6" s="1"/>
  <c r="O22" i="6"/>
  <c r="O23" i="6" s="1"/>
  <c r="J4" i="4"/>
  <c r="N20" i="4"/>
  <c r="M20" i="4"/>
  <c r="L20" i="4"/>
  <c r="P20" i="4"/>
  <c r="K20" i="4"/>
  <c r="O20" i="4"/>
  <c r="J4" i="3"/>
  <c r="L13" i="3"/>
  <c r="K13" i="3"/>
  <c r="P13" i="3"/>
  <c r="O13" i="3"/>
  <c r="N13" i="3"/>
  <c r="M13" i="3"/>
  <c r="J4" i="2"/>
  <c r="P10" i="2"/>
  <c r="M10" i="2"/>
  <c r="L10" i="2"/>
  <c r="K10" i="2"/>
  <c r="O10" i="2"/>
  <c r="N10" i="2"/>
  <c r="J6" i="9" l="1"/>
  <c r="J5" i="4"/>
  <c r="P21" i="4"/>
  <c r="O21" i="4"/>
  <c r="N21" i="4"/>
  <c r="K21" i="4"/>
  <c r="M21" i="4"/>
  <c r="L21" i="4"/>
  <c r="J5" i="3"/>
  <c r="N14" i="3"/>
  <c r="M14" i="3"/>
  <c r="L14" i="3"/>
  <c r="K14" i="3"/>
  <c r="O14" i="3"/>
  <c r="P14" i="3"/>
  <c r="J5" i="2"/>
  <c r="L11" i="2"/>
  <c r="O11" i="2"/>
  <c r="K11" i="2"/>
  <c r="P11" i="2"/>
  <c r="N11" i="2"/>
  <c r="M11" i="2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H20" i="1"/>
  <c r="G20" i="1"/>
  <c r="F20" i="1"/>
  <c r="E20" i="1"/>
  <c r="D20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1" i="1"/>
  <c r="C22" i="1"/>
  <c r="C20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J3" i="1"/>
  <c r="J7" i="9" l="1"/>
  <c r="J6" i="4"/>
  <c r="P22" i="4"/>
  <c r="K22" i="4"/>
  <c r="O22" i="4"/>
  <c r="N22" i="4"/>
  <c r="M22" i="4"/>
  <c r="L22" i="4"/>
  <c r="J6" i="3"/>
  <c r="P15" i="3"/>
  <c r="O15" i="3"/>
  <c r="N15" i="3"/>
  <c r="L15" i="3"/>
  <c r="M15" i="3"/>
  <c r="K15" i="3"/>
  <c r="J6" i="2"/>
  <c r="N12" i="2"/>
  <c r="P12" i="2"/>
  <c r="O12" i="2"/>
  <c r="M12" i="2"/>
  <c r="L12" i="2"/>
  <c r="K12" i="2"/>
  <c r="J4" i="1"/>
  <c r="L21" i="1"/>
  <c r="P21" i="1"/>
  <c r="O21" i="1"/>
  <c r="N21" i="1"/>
  <c r="M21" i="1"/>
  <c r="K21" i="1"/>
  <c r="J8" i="9" l="1"/>
  <c r="J7" i="4"/>
  <c r="L23" i="4"/>
  <c r="K23" i="4"/>
  <c r="O23" i="4"/>
  <c r="N23" i="4"/>
  <c r="P23" i="4"/>
  <c r="M23" i="4"/>
  <c r="J7" i="3"/>
  <c r="K16" i="3"/>
  <c r="N16" i="3"/>
  <c r="P16" i="3"/>
  <c r="O16" i="3"/>
  <c r="M16" i="3"/>
  <c r="L16" i="3"/>
  <c r="P13" i="2"/>
  <c r="P14" i="2" s="1"/>
  <c r="P15" i="2" s="1"/>
  <c r="L13" i="2"/>
  <c r="L14" i="2" s="1"/>
  <c r="L15" i="2" s="1"/>
  <c r="O13" i="2"/>
  <c r="O14" i="2" s="1"/>
  <c r="O15" i="2" s="1"/>
  <c r="K13" i="2"/>
  <c r="K14" i="2" s="1"/>
  <c r="K15" i="2" s="1"/>
  <c r="N13" i="2"/>
  <c r="N14" i="2" s="1"/>
  <c r="N15" i="2" s="1"/>
  <c r="M13" i="2"/>
  <c r="M14" i="2" s="1"/>
  <c r="M15" i="2" s="1"/>
  <c r="P37" i="1"/>
  <c r="J5" i="1"/>
  <c r="K22" i="1"/>
  <c r="K37" i="1" s="1"/>
  <c r="M22" i="1"/>
  <c r="M37" i="1" s="1"/>
  <c r="O22" i="1"/>
  <c r="O37" i="1" s="1"/>
  <c r="P22" i="1"/>
  <c r="L22" i="1"/>
  <c r="L37" i="1" s="1"/>
  <c r="N22" i="1"/>
  <c r="N37" i="1" s="1"/>
  <c r="J9" i="9" l="1"/>
  <c r="J8" i="4"/>
  <c r="N24" i="4"/>
  <c r="M24" i="4"/>
  <c r="L24" i="4"/>
  <c r="O24" i="4"/>
  <c r="K24" i="4"/>
  <c r="P24" i="4"/>
  <c r="J8" i="3"/>
  <c r="L17" i="3"/>
  <c r="P17" i="3"/>
  <c r="K17" i="3"/>
  <c r="M17" i="3"/>
  <c r="O17" i="3"/>
  <c r="N17" i="3"/>
  <c r="J6" i="1"/>
  <c r="M23" i="1"/>
  <c r="P23" i="1"/>
  <c r="K23" i="1"/>
  <c r="L23" i="1"/>
  <c r="N23" i="1"/>
  <c r="O23" i="1"/>
  <c r="J10" i="9" l="1"/>
  <c r="J9" i="4"/>
  <c r="P25" i="4"/>
  <c r="O25" i="4"/>
  <c r="N25" i="4"/>
  <c r="M25" i="4"/>
  <c r="L25" i="4"/>
  <c r="K25" i="4"/>
  <c r="J9" i="3"/>
  <c r="N18" i="3"/>
  <c r="M18" i="3"/>
  <c r="O18" i="3"/>
  <c r="L18" i="3"/>
  <c r="K18" i="3"/>
  <c r="P18" i="3"/>
  <c r="J7" i="1"/>
  <c r="O24" i="1"/>
  <c r="P24" i="1"/>
  <c r="K24" i="1"/>
  <c r="L24" i="1"/>
  <c r="M24" i="1"/>
  <c r="N24" i="1"/>
  <c r="J11" i="9" l="1"/>
  <c r="J10" i="4"/>
  <c r="P26" i="4"/>
  <c r="M26" i="4"/>
  <c r="L26" i="4"/>
  <c r="O26" i="4"/>
  <c r="N26" i="4"/>
  <c r="K26" i="4"/>
  <c r="P19" i="3"/>
  <c r="P20" i="3" s="1"/>
  <c r="P21" i="3" s="1"/>
  <c r="O19" i="3"/>
  <c r="O20" i="3" s="1"/>
  <c r="O21" i="3" s="1"/>
  <c r="N19" i="3"/>
  <c r="N20" i="3" s="1"/>
  <c r="N21" i="3" s="1"/>
  <c r="M19" i="3"/>
  <c r="M20" i="3" s="1"/>
  <c r="M21" i="3" s="1"/>
  <c r="L19" i="3"/>
  <c r="L20" i="3" s="1"/>
  <c r="L21" i="3" s="1"/>
  <c r="K19" i="3"/>
  <c r="K20" i="3" s="1"/>
  <c r="K21" i="3" s="1"/>
  <c r="J8" i="1"/>
  <c r="K25" i="1"/>
  <c r="L25" i="1"/>
  <c r="M25" i="1"/>
  <c r="N25" i="1"/>
  <c r="O25" i="1"/>
  <c r="P25" i="1"/>
  <c r="J12" i="9" l="1"/>
  <c r="J11" i="4"/>
  <c r="L27" i="4"/>
  <c r="K27" i="4"/>
  <c r="M27" i="4"/>
  <c r="P27" i="4"/>
  <c r="O27" i="4"/>
  <c r="N27" i="4"/>
  <c r="J9" i="1"/>
  <c r="K26" i="1"/>
  <c r="M26" i="1"/>
  <c r="N26" i="1"/>
  <c r="O26" i="1"/>
  <c r="P26" i="1"/>
  <c r="L26" i="1"/>
  <c r="J13" i="9" l="1"/>
  <c r="J12" i="4"/>
  <c r="N28" i="4"/>
  <c r="M28" i="4"/>
  <c r="L28" i="4"/>
  <c r="P28" i="4"/>
  <c r="K28" i="4"/>
  <c r="O28" i="4"/>
  <c r="J10" i="1"/>
  <c r="M27" i="1"/>
  <c r="O27" i="1"/>
  <c r="P27" i="1"/>
  <c r="K27" i="1"/>
  <c r="L27" i="1"/>
  <c r="N27" i="1"/>
  <c r="J14" i="9" l="1"/>
  <c r="J13" i="4"/>
  <c r="P29" i="4"/>
  <c r="O29" i="4"/>
  <c r="N29" i="4"/>
  <c r="K29" i="4"/>
  <c r="M29" i="4"/>
  <c r="L29" i="4"/>
  <c r="J11" i="1"/>
  <c r="O28" i="1"/>
  <c r="K28" i="1"/>
  <c r="L28" i="1"/>
  <c r="M28" i="1"/>
  <c r="N28" i="1"/>
  <c r="P28" i="1"/>
  <c r="J15" i="9" l="1"/>
  <c r="J14" i="4"/>
  <c r="M30" i="4"/>
  <c r="L30" i="4"/>
  <c r="K30" i="4"/>
  <c r="P30" i="4"/>
  <c r="O30" i="4"/>
  <c r="N30" i="4"/>
  <c r="J12" i="1"/>
  <c r="K29" i="1"/>
  <c r="L29" i="1"/>
  <c r="M29" i="1"/>
  <c r="N29" i="1"/>
  <c r="O29" i="1"/>
  <c r="P29" i="1"/>
  <c r="J16" i="9" l="1"/>
  <c r="J15" i="4"/>
  <c r="L31" i="4"/>
  <c r="K31" i="4"/>
  <c r="O31" i="4"/>
  <c r="N31" i="4"/>
  <c r="P31" i="4"/>
  <c r="M31" i="4"/>
  <c r="J13" i="1"/>
  <c r="K30" i="1"/>
  <c r="M30" i="1"/>
  <c r="N30" i="1"/>
  <c r="O30" i="1"/>
  <c r="P30" i="1"/>
  <c r="L30" i="1"/>
  <c r="J17" i="9" l="1"/>
  <c r="J16" i="4"/>
  <c r="N32" i="4"/>
  <c r="L32" i="4"/>
  <c r="M32" i="4"/>
  <c r="O32" i="4"/>
  <c r="K32" i="4"/>
  <c r="P32" i="4"/>
  <c r="J14" i="1"/>
  <c r="M31" i="1"/>
  <c r="O31" i="1"/>
  <c r="P31" i="1"/>
  <c r="K31" i="1"/>
  <c r="L31" i="1"/>
  <c r="N31" i="1"/>
  <c r="J18" i="9" l="1"/>
  <c r="P33" i="4"/>
  <c r="P34" i="4" s="1"/>
  <c r="P35" i="4" s="1"/>
  <c r="O33" i="4"/>
  <c r="O34" i="4" s="1"/>
  <c r="O35" i="4" s="1"/>
  <c r="N33" i="4"/>
  <c r="N34" i="4" s="1"/>
  <c r="N35" i="4" s="1"/>
  <c r="M33" i="4"/>
  <c r="M34" i="4" s="1"/>
  <c r="M35" i="4" s="1"/>
  <c r="L33" i="4"/>
  <c r="L34" i="4" s="1"/>
  <c r="L35" i="4" s="1"/>
  <c r="K33" i="4"/>
  <c r="K34" i="4" s="1"/>
  <c r="K35" i="4" s="1"/>
  <c r="J15" i="1"/>
  <c r="O32" i="1"/>
  <c r="K32" i="1"/>
  <c r="L32" i="1"/>
  <c r="M32" i="1"/>
  <c r="N32" i="1"/>
  <c r="P32" i="1"/>
  <c r="J19" i="9" l="1"/>
  <c r="J16" i="1"/>
  <c r="K33" i="1"/>
  <c r="L33" i="1"/>
  <c r="M33" i="1"/>
  <c r="N33" i="1"/>
  <c r="O33" i="1"/>
  <c r="P33" i="1"/>
  <c r="J20" i="9" l="1"/>
  <c r="J17" i="1"/>
  <c r="K34" i="1"/>
  <c r="M34" i="1"/>
  <c r="N34" i="1"/>
  <c r="O34" i="1"/>
  <c r="P34" i="1"/>
  <c r="L34" i="1"/>
  <c r="J21" i="9" l="1"/>
  <c r="M35" i="1"/>
  <c r="O35" i="1"/>
  <c r="P35" i="1"/>
  <c r="K35" i="1"/>
  <c r="L35" i="1"/>
  <c r="N35" i="1"/>
  <c r="J22" i="9" l="1"/>
  <c r="J23" i="9" l="1"/>
  <c r="J24" i="9" l="1"/>
  <c r="J25" i="9" l="1"/>
  <c r="J26" i="9" l="1"/>
  <c r="J27" i="9" l="1"/>
  <c r="J28" i="9" l="1"/>
  <c r="J29" i="9" l="1"/>
  <c r="J30" i="9" l="1"/>
  <c r="J31" i="9" l="1"/>
  <c r="J32" i="9" l="1"/>
  <c r="J33" i="9" l="1"/>
  <c r="K68" i="9" l="1"/>
  <c r="K69" i="9" s="1"/>
  <c r="L68" i="9"/>
  <c r="L69" i="9" s="1"/>
  <c r="M68" i="9"/>
  <c r="M69" i="9" s="1"/>
  <c r="N68" i="9"/>
  <c r="N69" i="9" s="1"/>
  <c r="O68" i="9"/>
  <c r="O69" i="9" s="1"/>
  <c r="P68" i="9"/>
  <c r="P69" i="9" s="1"/>
</calcChain>
</file>

<file path=xl/sharedStrings.xml><?xml version="1.0" encoding="utf-8"?>
<sst xmlns="http://schemas.openxmlformats.org/spreadsheetml/2006/main" count="899" uniqueCount="176">
  <si>
    <t>ALFENAS</t>
  </si>
  <si>
    <t>ALTEROSA</t>
  </si>
  <si>
    <t>AREADO</t>
  </si>
  <si>
    <t>BANDEIRA DO SUL</t>
  </si>
  <si>
    <t>BOTELHOS</t>
  </si>
  <si>
    <t>CAMPESTRE</t>
  </si>
  <si>
    <t>CAMPO DO MEIO</t>
  </si>
  <si>
    <t>CAMPOS GERAIS</t>
  </si>
  <si>
    <t>CARVALHóPOLIS</t>
  </si>
  <si>
    <t>CONCEIÇÃO DA APARECIDA</t>
  </si>
  <si>
    <t>DIVISA NOVA</t>
  </si>
  <si>
    <t>FAMA</t>
  </si>
  <si>
    <t>MACHADO</t>
  </si>
  <si>
    <t>PARAGUAÇU</t>
  </si>
  <si>
    <t>POÇO FUNDO</t>
  </si>
  <si>
    <t>SERRANIA</t>
  </si>
  <si>
    <t>CÁSSIA</t>
  </si>
  <si>
    <t>CAPETINGA</t>
  </si>
  <si>
    <t>CLARAVAL</t>
  </si>
  <si>
    <t>DELFINÓPOLIS</t>
  </si>
  <si>
    <t>IBIRACI</t>
  </si>
  <si>
    <t>GUAXUPÉ</t>
  </si>
  <si>
    <t>ARCEBURGO</t>
  </si>
  <si>
    <t>CABO VERDE</t>
  </si>
  <si>
    <t>GUARANÉSIA</t>
  </si>
  <si>
    <t>JURUAIA</t>
  </si>
  <si>
    <t>MONTE BELO</t>
  </si>
  <si>
    <t>MUZAMBINHO</t>
  </si>
  <si>
    <t>SÃO PEDRO DA UNIÃO</t>
  </si>
  <si>
    <t>ITAJUBÁ</t>
  </si>
  <si>
    <t>BRAZÓPOLIS</t>
  </si>
  <si>
    <t>CONCEIÇÃO DAS PEDRAS</t>
  </si>
  <si>
    <t>CONSOLAÇÃO</t>
  </si>
  <si>
    <t>DELFIM MOREIRA</t>
  </si>
  <si>
    <t>GONÇALVES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</si>
  <si>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</si>
  <si>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</si>
  <si>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</si>
  <si>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</si>
  <si>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</si>
  <si>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</si>
  <si>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</si>
  <si>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</si>
  <si>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</si>
  <si>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LAVRAS</t>
  </si>
  <si>
    <t>CARRANCAS</t>
  </si>
  <si>
    <t>IJACI</t>
  </si>
  <si>
    <t>INGAÍ</t>
  </si>
  <si>
    <t>ITUMIRIM</t>
  </si>
  <si>
    <t>ITUTINGA</t>
  </si>
  <si>
    <t>LUMINÁRIAS</t>
  </si>
  <si>
    <t>NEPOMUCENO</t>
  </si>
  <si>
    <t>PERDÕES</t>
  </si>
  <si>
    <t>RIBEIRÃO VERMELHO</t>
  </si>
  <si>
    <t>PASSOS</t>
  </si>
  <si>
    <t>ALPINÓPOLIS</t>
  </si>
  <si>
    <t>BOM JESUS DA PENHA</t>
  </si>
  <si>
    <t>CARMO DO RIO CLARO</t>
  </si>
  <si>
    <t>FORTALEZA DE MINAS</t>
  </si>
  <si>
    <t>ITAÚ DE MINAS</t>
  </si>
  <si>
    <t>NOVA RESENDE</t>
  </si>
  <si>
    <t>SÃO JOÃO BATISTA DO GLÓRIA</t>
  </si>
  <si>
    <t>SÃO JOSÉ DA BARRA</t>
  </si>
  <si>
    <t>PIUMHI</t>
  </si>
  <si>
    <t>CAPITÓLIO</t>
  </si>
  <si>
    <t>DORESÓPOLIS</t>
  </si>
  <si>
    <t>GUAPÉ</t>
  </si>
  <si>
    <t>PIMENTA</t>
  </si>
  <si>
    <t>SÃO ROQUE DE MINAS</t>
  </si>
  <si>
    <t>VARGEM BONITA</t>
  </si>
  <si>
    <t>POÇOS DE CALDAS</t>
  </si>
  <si>
    <t>ALBERTINA</t>
  </si>
  <si>
    <t>ANDRADAS</t>
  </si>
  <si>
    <t>CALDAS</t>
  </si>
  <si>
    <t>IBITIÚRA DE MINAS</t>
  </si>
  <si>
    <t>SANTA RITA DE CALDAS</t>
  </si>
  <si>
    <t>POUSO ALEGRE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</si>
  <si>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</si>
  <si>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</si>
  <si>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</si>
  <si>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</si>
  <si>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</si>
  <si>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</si>
  <si>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</si>
  <si>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</si>
  <si>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</si>
  <si>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CÓRREGO DO BOM JESUS</t>
  </si>
  <si>
    <t>ESPÍRITO SANTO DO DOURADO</t>
  </si>
  <si>
    <t>ESTIVA</t>
  </si>
  <si>
    <t>EXTREMA</t>
  </si>
  <si>
    <t>HELIODORA</t>
  </si>
  <si>
    <t>INCONFIDENTES</t>
  </si>
  <si>
    <t>IPUIÚNA</t>
  </si>
  <si>
    <t>ITAPEVA</t>
  </si>
  <si>
    <t>JACUTINGA</t>
  </si>
  <si>
    <t>MONTE SIÃO</t>
  </si>
  <si>
    <t>MUNHOZ</t>
  </si>
  <si>
    <t>NATÉRCIA</t>
  </si>
  <si>
    <t>OURO FINO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</si>
  <si>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</si>
  <si>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</si>
  <si>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</si>
  <si>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</si>
  <si>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</si>
  <si>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</si>
  <si>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</si>
  <si>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</si>
  <si>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</si>
  <si>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SÃO LOURENÇO</t>
  </si>
  <si>
    <t>AIURUOCA</t>
  </si>
  <si>
    <t>ALAGOA</t>
  </si>
  <si>
    <t>BAEPENDI</t>
  </si>
  <si>
    <t>CARMO DE MINAS</t>
  </si>
  <si>
    <t>CARVALHOS</t>
  </si>
  <si>
    <t>CAXAMBU</t>
  </si>
  <si>
    <t>CONCEIÇÃO DO RIO VERDE</t>
  </si>
  <si>
    <t>CRISTINA</t>
  </si>
  <si>
    <t>CRUZÍLIA</t>
  </si>
  <si>
    <t>DOM VIÇOSO</t>
  </si>
  <si>
    <t>ITAMONTE</t>
  </si>
  <si>
    <t>ITANHANDU</t>
  </si>
  <si>
    <t>JESUÂNIA</t>
  </si>
  <si>
    <t>LAMBARI</t>
  </si>
  <si>
    <t>MINDURI</t>
  </si>
  <si>
    <t>OLÍMPIO NORONHA</t>
  </si>
  <si>
    <t>PASSA QUATRO</t>
  </si>
  <si>
    <t>POUSO ALTO</t>
  </si>
  <si>
    <t>SÃO SEBASTIÃO DO RIO VERDE</t>
  </si>
  <si>
    <t>SERITINGA</t>
  </si>
  <si>
    <t>SERRANOS</t>
  </si>
  <si>
    <t>SOLEDADE DE MINAS</t>
  </si>
  <si>
    <t>VIRGíNIA</t>
  </si>
  <si>
    <t>SÃO SEBASTIÃO DO PARAÍSO</t>
  </si>
  <si>
    <t>ITAMOGI</t>
  </si>
  <si>
    <t>JACUÍ</t>
  </si>
  <si>
    <t>MONTE SANTO DE MINAS</t>
  </si>
  <si>
    <t>PRATÁPOLIS</t>
  </si>
  <si>
    <t>SÃO TOMÁS DE AQUINO</t>
  </si>
  <si>
    <t>TRÊS CORAÇÕES</t>
  </si>
  <si>
    <t>CAMBUQUIRA</t>
  </si>
  <si>
    <t>CAMPANHA</t>
  </si>
  <si>
    <t>CARMO DA CACHOEIRA</t>
  </si>
  <si>
    <t>SÃO BENTO ABADE</t>
  </si>
  <si>
    <t>SÃO TOMÉ DAS LETRAS</t>
  </si>
  <si>
    <t>TRÊS PONTAS</t>
  </si>
  <si>
    <t>BOA ESPERANÇA</t>
  </si>
  <si>
    <t>COQUEIRAL</t>
  </si>
  <si>
    <t>ILICÍNEA</t>
  </si>
  <si>
    <t>SANTANA DA VARGEM</t>
  </si>
  <si>
    <t>VARGINHA</t>
  </si>
  <si>
    <t>CORDISLÂNDIA</t>
  </si>
  <si>
    <t>ELÓI MENDES</t>
  </si>
  <si>
    <t>MONSENHOR PAULO</t>
  </si>
  <si>
    <t>SÃO GONÇALO DO SAPUCAÍ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</si>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</sst>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'ALFENAS-MACHADO'!$J$1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'ALFENAS-MACHADO'!$J$2:$J$17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35-433A-8685-3389AE695151}"/>
            </c:ext>
          </c:extLst>
        </c:ser>
        <c:ser>
          <c:idx val="1"/>
          <c:order val="1"/>
          <c:tx>
            <c:strRef>
              <c:f>'ALFENAS-MACHADO'!$K$1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'ALFENAS-MACHADO'!$K$2:$K$17</c:f>
              <c:numCache>
                <c:formatCode>0.00</c:formatCode>
                <c:ptCount val="16"/>
                <c:pt idx="0">
                  <c:v>1.0309278350515464E-2</c:v>
                </c:pt>
                <c:pt idx="1">
                  <c:v>3.019145802650957E-2</c:v>
                </c:pt>
                <c:pt idx="2">
                  <c:v>3.9764359351988215E-2</c:v>
                </c:pt>
                <c:pt idx="3">
                  <c:v>6.4801178203240051E-2</c:v>
                </c:pt>
                <c:pt idx="4">
                  <c:v>9.4992636229749627E-2</c:v>
                </c:pt>
                <c:pt idx="5">
                  <c:v>0.13254786450662739</c:v>
                </c:pt>
                <c:pt idx="6">
                  <c:v>0.17010309278350516</c:v>
                </c:pt>
                <c:pt idx="7">
                  <c:v>0.24374079528718706</c:v>
                </c:pt>
                <c:pt idx="8">
                  <c:v>0.27393225331369664</c:v>
                </c:pt>
                <c:pt idx="9">
                  <c:v>0.3078055964653903</c:v>
                </c:pt>
                <c:pt idx="10">
                  <c:v>0.3615611192930781</c:v>
                </c:pt>
                <c:pt idx="11">
                  <c:v>0.39985272459499266</c:v>
                </c:pt>
                <c:pt idx="12">
                  <c:v>0.47790868924889546</c:v>
                </c:pt>
                <c:pt idx="13">
                  <c:v>0.62444771723122239</c:v>
                </c:pt>
                <c:pt idx="14">
                  <c:v>0.68483063328424154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5-433A-8685-3389AE695151}"/>
            </c:ext>
          </c:extLst>
        </c:ser>
        <c:ser>
          <c:idx val="2"/>
          <c:order val="2"/>
          <c:tx>
            <c:strRef>
              <c:f>'ALFENAS-MACHADO'!$L$1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'ALFENAS-MACHADO'!$L$2:$L$17</c:f>
              <c:numCache>
                <c:formatCode>0.00</c:formatCode>
                <c:ptCount val="16"/>
                <c:pt idx="0">
                  <c:v>1.1023622047244094E-2</c:v>
                </c:pt>
                <c:pt idx="1">
                  <c:v>1.4173228346456693E-2</c:v>
                </c:pt>
                <c:pt idx="2">
                  <c:v>2.6771653543307086E-2</c:v>
                </c:pt>
                <c:pt idx="3">
                  <c:v>4.4094488188976377E-2</c:v>
                </c:pt>
                <c:pt idx="4">
                  <c:v>6.2992125984251968E-2</c:v>
                </c:pt>
                <c:pt idx="5">
                  <c:v>0.10078740157480315</c:v>
                </c:pt>
                <c:pt idx="6">
                  <c:v>0.13700787401574804</c:v>
                </c:pt>
                <c:pt idx="7">
                  <c:v>0.21102362204724412</c:v>
                </c:pt>
                <c:pt idx="8">
                  <c:v>0.23149606299212599</c:v>
                </c:pt>
                <c:pt idx="9">
                  <c:v>0.25984251968503935</c:v>
                </c:pt>
                <c:pt idx="10">
                  <c:v>0.31181102362204721</c:v>
                </c:pt>
                <c:pt idx="11">
                  <c:v>0.3543307086614173</c:v>
                </c:pt>
                <c:pt idx="12">
                  <c:v>0.43622047244094486</c:v>
                </c:pt>
                <c:pt idx="13">
                  <c:v>0.6</c:v>
                </c:pt>
                <c:pt idx="14">
                  <c:v>0.6566929133858268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5-433A-8685-3389AE695151}"/>
            </c:ext>
          </c:extLst>
        </c:ser>
        <c:ser>
          <c:idx val="3"/>
          <c:order val="3"/>
          <c:tx>
            <c:strRef>
              <c:f>'ALFENAS-MACHADO'!$M$1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'ALFENAS-MACHADO'!$M$2:$M$17</c:f>
              <c:numCache>
                <c:formatCode>0.00</c:formatCode>
                <c:ptCount val="16"/>
                <c:pt idx="0">
                  <c:v>5.8055152394775036E-3</c:v>
                </c:pt>
                <c:pt idx="1">
                  <c:v>5.8055152394775036E-3</c:v>
                </c:pt>
                <c:pt idx="2">
                  <c:v>1.0159651669085631E-2</c:v>
                </c:pt>
                <c:pt idx="3">
                  <c:v>2.0319303338171262E-2</c:v>
                </c:pt>
                <c:pt idx="4">
                  <c:v>4.3541364296081277E-2</c:v>
                </c:pt>
                <c:pt idx="5">
                  <c:v>9.579100145137881E-2</c:v>
                </c:pt>
                <c:pt idx="6">
                  <c:v>0.16400580551523947</c:v>
                </c:pt>
                <c:pt idx="7">
                  <c:v>0.22641509433962265</c:v>
                </c:pt>
                <c:pt idx="8">
                  <c:v>0.24092888243831639</c:v>
                </c:pt>
                <c:pt idx="9">
                  <c:v>0.25834542815674888</c:v>
                </c:pt>
                <c:pt idx="10">
                  <c:v>0.31059506531204639</c:v>
                </c:pt>
                <c:pt idx="11">
                  <c:v>0.34397677793904202</c:v>
                </c:pt>
                <c:pt idx="12">
                  <c:v>0.41654571843251081</c:v>
                </c:pt>
                <c:pt idx="13">
                  <c:v>0.62699564586357037</c:v>
                </c:pt>
                <c:pt idx="14">
                  <c:v>0.68069666182873734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35-433A-8685-3389AE69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51168"/>
        <c:axId val="562843488"/>
      </c:scatterChart>
      <c:valAx>
        <c:axId val="562851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3488"/>
        <c:crosses val="autoZero"/>
        <c:crossBetween val="midCat"/>
      </c:valAx>
      <c:valAx>
        <c:axId val="562843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5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'ALFENAS-MACHADO'!$J$1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'ALFENAS-MACHADO'!$J$2:$J$17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0E-42E5-84B1-0C180E3920F6}"/>
            </c:ext>
          </c:extLst>
        </c:ser>
        <c:ser>
          <c:idx val="1"/>
          <c:order val="1"/>
          <c:tx>
            <c:strRef>
              <c:f>'ALFENAS-MACHADO'!$N$1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'ALFENAS-MACHADO'!$N$2:$N$17</c:f>
              <c:numCache>
                <c:formatCode>0.00</c:formatCode>
                <c:ptCount val="16"/>
                <c:pt idx="0">
                  <c:v>5.772005772005772E-3</c:v>
                </c:pt>
                <c:pt idx="1">
                  <c:v>1.443001443001443E-2</c:v>
                </c:pt>
                <c:pt idx="2">
                  <c:v>3.3910533910533912E-2</c:v>
                </c:pt>
                <c:pt idx="3">
                  <c:v>4.9062049062049064E-2</c:v>
                </c:pt>
                <c:pt idx="4">
                  <c:v>6.9985569985569984E-2</c:v>
                </c:pt>
                <c:pt idx="5">
                  <c:v>0.10173160173160173</c:v>
                </c:pt>
                <c:pt idx="6">
                  <c:v>0.1616161616161616</c:v>
                </c:pt>
                <c:pt idx="7">
                  <c:v>0.22943722943722944</c:v>
                </c:pt>
                <c:pt idx="8">
                  <c:v>0.26334776334776333</c:v>
                </c:pt>
                <c:pt idx="9">
                  <c:v>0.31601731601731597</c:v>
                </c:pt>
                <c:pt idx="10">
                  <c:v>0.37518037518037511</c:v>
                </c:pt>
                <c:pt idx="11">
                  <c:v>0.41630591630591623</c:v>
                </c:pt>
                <c:pt idx="12">
                  <c:v>0.50865800865800859</c:v>
                </c:pt>
                <c:pt idx="13">
                  <c:v>0.6385281385281385</c:v>
                </c:pt>
                <c:pt idx="14">
                  <c:v>0.74891774891774887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E-42E5-84B1-0C180E3920F6}"/>
            </c:ext>
          </c:extLst>
        </c:ser>
        <c:ser>
          <c:idx val="2"/>
          <c:order val="2"/>
          <c:tx>
            <c:strRef>
              <c:f>'ALFENAS-MACHADO'!$O$1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'ALFENAS-MACHADO'!$O$2:$O$17</c:f>
              <c:numCache>
                <c:formatCode>0.00</c:formatCode>
                <c:ptCount val="16"/>
                <c:pt idx="0">
                  <c:v>7.8973346495557744E-3</c:v>
                </c:pt>
                <c:pt idx="1">
                  <c:v>1.4807502467917077E-2</c:v>
                </c:pt>
                <c:pt idx="2">
                  <c:v>2.2704837117472849E-2</c:v>
                </c:pt>
                <c:pt idx="3">
                  <c:v>3.9486673247778867E-2</c:v>
                </c:pt>
                <c:pt idx="4">
                  <c:v>6.5153010858835139E-2</c:v>
                </c:pt>
                <c:pt idx="5">
                  <c:v>0.10365251727541955</c:v>
                </c:pt>
                <c:pt idx="6">
                  <c:v>0.1717670286278381</c:v>
                </c:pt>
                <c:pt idx="7">
                  <c:v>0.22309970384995065</c:v>
                </c:pt>
                <c:pt idx="8">
                  <c:v>0.25567620927936824</c:v>
                </c:pt>
                <c:pt idx="9">
                  <c:v>0.32280355380059234</c:v>
                </c:pt>
                <c:pt idx="10">
                  <c:v>0.38302073050345514</c:v>
                </c:pt>
                <c:pt idx="11">
                  <c:v>0.41263573543928928</c:v>
                </c:pt>
                <c:pt idx="12">
                  <c:v>0.50740375123395853</c:v>
                </c:pt>
                <c:pt idx="13">
                  <c:v>0.60513326752221119</c:v>
                </c:pt>
                <c:pt idx="14">
                  <c:v>0.74728529121421516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E-42E5-84B1-0C180E3920F6}"/>
            </c:ext>
          </c:extLst>
        </c:ser>
        <c:ser>
          <c:idx val="3"/>
          <c:order val="3"/>
          <c:tx>
            <c:strRef>
              <c:f>'ALFENAS-MACHADO'!$P$1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'ALFENAS-MACHADO'!$P$2:$P$17</c:f>
              <c:numCache>
                <c:formatCode>0.00</c:formatCode>
                <c:ptCount val="16"/>
                <c:pt idx="0">
                  <c:v>1.7647058823529412E-2</c:v>
                </c:pt>
                <c:pt idx="1">
                  <c:v>2.5490196078431372E-2</c:v>
                </c:pt>
                <c:pt idx="2">
                  <c:v>8.2352941176470587E-2</c:v>
                </c:pt>
                <c:pt idx="3">
                  <c:v>9.4117647058823528E-2</c:v>
                </c:pt>
                <c:pt idx="4">
                  <c:v>0.13137254901960785</c:v>
                </c:pt>
                <c:pt idx="5">
                  <c:v>0.18627450980392157</c:v>
                </c:pt>
                <c:pt idx="6">
                  <c:v>0.26470588235294118</c:v>
                </c:pt>
                <c:pt idx="7">
                  <c:v>0.3</c:v>
                </c:pt>
                <c:pt idx="8">
                  <c:v>0.32156862745098036</c:v>
                </c:pt>
                <c:pt idx="9">
                  <c:v>0.38235294117647056</c:v>
                </c:pt>
                <c:pt idx="10">
                  <c:v>0.43137254901960781</c:v>
                </c:pt>
                <c:pt idx="11">
                  <c:v>0.46078431372549017</c:v>
                </c:pt>
                <c:pt idx="12">
                  <c:v>0.56470588235294117</c:v>
                </c:pt>
                <c:pt idx="13">
                  <c:v>0.70392156862745092</c:v>
                </c:pt>
                <c:pt idx="14">
                  <c:v>0.79803921568627445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0E-42E5-84B1-0C180E39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48768"/>
        <c:axId val="562843008"/>
      </c:scatterChart>
      <c:valAx>
        <c:axId val="562848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3008"/>
        <c:crosses val="autoZero"/>
        <c:crossBetween val="midCat"/>
      </c:valAx>
      <c:valAx>
        <c:axId val="562843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CÁSSIA!$J$1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CÁSSIA!$J$2:$J$6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0-4570-ABB7-6DD6437B4E43}"/>
            </c:ext>
          </c:extLst>
        </c:ser>
        <c:ser>
          <c:idx val="1"/>
          <c:order val="1"/>
          <c:tx>
            <c:strRef>
              <c:f>CÁSSIA!$K$1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CÁSSIA!$K$2:$K$6</c:f>
              <c:numCache>
                <c:formatCode>0.00</c:formatCode>
                <c:ptCount val="5"/>
                <c:pt idx="0">
                  <c:v>0.16793893129770993</c:v>
                </c:pt>
                <c:pt idx="1">
                  <c:v>0.27480916030534353</c:v>
                </c:pt>
                <c:pt idx="2">
                  <c:v>0.37404580152671757</c:v>
                </c:pt>
                <c:pt idx="3">
                  <c:v>0.59541984732824427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0-4570-ABB7-6DD6437B4E43}"/>
            </c:ext>
          </c:extLst>
        </c:ser>
        <c:ser>
          <c:idx val="2"/>
          <c:order val="2"/>
          <c:tx>
            <c:strRef>
              <c:f>CÁSSIA!$L$1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CÁSSIA!$L$2:$L$6</c:f>
              <c:numCache>
                <c:formatCode>0.00</c:formatCode>
                <c:ptCount val="5"/>
                <c:pt idx="0">
                  <c:v>0.17142857142857143</c:v>
                </c:pt>
                <c:pt idx="1">
                  <c:v>0.25714285714285712</c:v>
                </c:pt>
                <c:pt idx="2">
                  <c:v>0.34285714285714286</c:v>
                </c:pt>
                <c:pt idx="3">
                  <c:v>0.51428571428571423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B0-4570-ABB7-6DD6437B4E43}"/>
            </c:ext>
          </c:extLst>
        </c:ser>
        <c:ser>
          <c:idx val="3"/>
          <c:order val="3"/>
          <c:tx>
            <c:strRef>
              <c:f>CÁSSIA!$M$1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CÁSSIA!$M$2:$M$6</c:f>
              <c:numCache>
                <c:formatCode>0.00</c:formatCode>
                <c:ptCount val="5"/>
                <c:pt idx="0">
                  <c:v>0</c:v>
                </c:pt>
                <c:pt idx="1">
                  <c:v>0.14457831325301204</c:v>
                </c:pt>
                <c:pt idx="2">
                  <c:v>0.28915662650602408</c:v>
                </c:pt>
                <c:pt idx="3">
                  <c:v>0.4337349397590361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B0-4570-ABB7-6DD6437B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60128"/>
        <c:axId val="562958208"/>
      </c:scatterChart>
      <c:valAx>
        <c:axId val="5629601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58208"/>
        <c:crosses val="autoZero"/>
        <c:crossBetween val="midCat"/>
      </c:valAx>
      <c:valAx>
        <c:axId val="562958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6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CÁSSIA!$J$1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CÁSSIA!$J$2:$J$6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FA-4BD5-9A35-016C3C8C9EAC}"/>
            </c:ext>
          </c:extLst>
        </c:ser>
        <c:ser>
          <c:idx val="1"/>
          <c:order val="1"/>
          <c:tx>
            <c:strRef>
              <c:f>CÁSSIA!$N$1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CÁSSIA!$N$2:$N$6</c:f>
              <c:numCache>
                <c:formatCode>0.00</c:formatCode>
                <c:ptCount val="5"/>
                <c:pt idx="0">
                  <c:v>0.1111111111111111</c:v>
                </c:pt>
                <c:pt idx="1">
                  <c:v>0.20987654320987653</c:v>
                </c:pt>
                <c:pt idx="2">
                  <c:v>0.46913580246913578</c:v>
                </c:pt>
                <c:pt idx="3">
                  <c:v>0.65843621399176955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FA-4BD5-9A35-016C3C8C9EAC}"/>
            </c:ext>
          </c:extLst>
        </c:ser>
        <c:ser>
          <c:idx val="2"/>
          <c:order val="2"/>
          <c:tx>
            <c:strRef>
              <c:f>CÁSSIA!$O$1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CÁSSIA!$O$2:$O$6</c:f>
              <c:numCache>
                <c:formatCode>0.00</c:formatCode>
                <c:ptCount val="5"/>
                <c:pt idx="0">
                  <c:v>9.1954022988505746E-2</c:v>
                </c:pt>
                <c:pt idx="1">
                  <c:v>0.20114942528735633</c:v>
                </c:pt>
                <c:pt idx="2">
                  <c:v>0.40804597701149425</c:v>
                </c:pt>
                <c:pt idx="3">
                  <c:v>0.71839080459770122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FA-4BD5-9A35-016C3C8C9EAC}"/>
            </c:ext>
          </c:extLst>
        </c:ser>
        <c:ser>
          <c:idx val="3"/>
          <c:order val="3"/>
          <c:tx>
            <c:strRef>
              <c:f>CÁSSIA!$P$1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CÁSSIA!$P$2:$P$6</c:f>
              <c:numCache>
                <c:formatCode>0.00</c:formatCode>
                <c:ptCount val="5"/>
                <c:pt idx="0">
                  <c:v>7.0588235294117646E-2</c:v>
                </c:pt>
                <c:pt idx="1">
                  <c:v>0.21176470588235294</c:v>
                </c:pt>
                <c:pt idx="2">
                  <c:v>0.49411764705882355</c:v>
                </c:pt>
                <c:pt idx="3">
                  <c:v>0.71764705882352942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FA-4BD5-9A35-016C3C8C9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781248"/>
        <c:axId val="2021782688"/>
      </c:scatterChart>
      <c:valAx>
        <c:axId val="2021781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82688"/>
        <c:crosses val="autoZero"/>
        <c:crossBetween val="midCat"/>
      </c:valAx>
      <c:valAx>
        <c:axId val="2021782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8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GUAXUPÉ!$J$1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GUAXUPÉ!$J$2:$J$9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2-442A-ADF3-724B3F2DC7AE}"/>
            </c:ext>
          </c:extLst>
        </c:ser>
        <c:ser>
          <c:idx val="1"/>
          <c:order val="1"/>
          <c:tx>
            <c:strRef>
              <c:f>GUAXUPÉ!$K$1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GUAXUPÉ!$K$2:$K$9</c:f>
              <c:numCache>
                <c:formatCode>0.00</c:formatCode>
                <c:ptCount val="8"/>
                <c:pt idx="0">
                  <c:v>3.9634146341463415E-2</c:v>
                </c:pt>
                <c:pt idx="1">
                  <c:v>0.14634146341463414</c:v>
                </c:pt>
                <c:pt idx="2">
                  <c:v>0.24085365853658536</c:v>
                </c:pt>
                <c:pt idx="3">
                  <c:v>0.34146341463414631</c:v>
                </c:pt>
                <c:pt idx="4">
                  <c:v>0.46341463414634143</c:v>
                </c:pt>
                <c:pt idx="5">
                  <c:v>0.54878048780487798</c:v>
                </c:pt>
                <c:pt idx="6">
                  <c:v>0.80487804878048774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2-442A-ADF3-724B3F2DC7AE}"/>
            </c:ext>
          </c:extLst>
        </c:ser>
        <c:ser>
          <c:idx val="2"/>
          <c:order val="2"/>
          <c:tx>
            <c:strRef>
              <c:f>GUAXUPÉ!$L$1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GUAXUPÉ!$L$2:$L$9</c:f>
              <c:numCache>
                <c:formatCode>0.00</c:formatCode>
                <c:ptCount val="8"/>
                <c:pt idx="0">
                  <c:v>6.097560975609756E-2</c:v>
                </c:pt>
                <c:pt idx="1">
                  <c:v>0.14634146341463417</c:v>
                </c:pt>
                <c:pt idx="2">
                  <c:v>0.23170731707317077</c:v>
                </c:pt>
                <c:pt idx="3">
                  <c:v>0.34146341463414637</c:v>
                </c:pt>
                <c:pt idx="4">
                  <c:v>0.59756097560975618</c:v>
                </c:pt>
                <c:pt idx="5">
                  <c:v>0.63414634146341475</c:v>
                </c:pt>
                <c:pt idx="6">
                  <c:v>0.80487804878048796</c:v>
                </c:pt>
                <c:pt idx="7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12-442A-ADF3-724B3F2DC7AE}"/>
            </c:ext>
          </c:extLst>
        </c:ser>
        <c:ser>
          <c:idx val="3"/>
          <c:order val="3"/>
          <c:tx>
            <c:strRef>
              <c:f>GUAXUPÉ!$M$1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GUAXUPÉ!$M$2:$M$9</c:f>
              <c:numCache>
                <c:formatCode>0.00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0.45</c:v>
                </c:pt>
                <c:pt idx="4">
                  <c:v>0.63749999999999996</c:v>
                </c:pt>
                <c:pt idx="5">
                  <c:v>0.64999999999999991</c:v>
                </c:pt>
                <c:pt idx="6">
                  <c:v>0.77499999999999991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12-442A-ADF3-724B3F2D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105104"/>
        <c:axId val="309861776"/>
      </c:scatterChart>
      <c:valAx>
        <c:axId val="635105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61776"/>
        <c:crosses val="autoZero"/>
        <c:crossBetween val="midCat"/>
      </c:valAx>
      <c:valAx>
        <c:axId val="309861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GUAXUPÉ!$J$1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GUAXUPÉ!$J$2:$J$9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6D-4C0B-AB98-D014799B4679}"/>
            </c:ext>
          </c:extLst>
        </c:ser>
        <c:ser>
          <c:idx val="1"/>
          <c:order val="1"/>
          <c:tx>
            <c:strRef>
              <c:f>GUAXUPÉ!$N$1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GUAXUPÉ!$N$2:$N$9</c:f>
              <c:numCache>
                <c:formatCode>0.00</c:formatCode>
                <c:ptCount val="8"/>
                <c:pt idx="0">
                  <c:v>4.878048780487805E-2</c:v>
                </c:pt>
                <c:pt idx="1">
                  <c:v>0.25914634146341464</c:v>
                </c:pt>
                <c:pt idx="2">
                  <c:v>0.36890243902439024</c:v>
                </c:pt>
                <c:pt idx="3">
                  <c:v>0.56402439024390238</c:v>
                </c:pt>
                <c:pt idx="4">
                  <c:v>0.66463414634146334</c:v>
                </c:pt>
                <c:pt idx="5">
                  <c:v>0.77439024390243894</c:v>
                </c:pt>
                <c:pt idx="6">
                  <c:v>0.85975609756097549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6D-4C0B-AB98-D014799B4679}"/>
            </c:ext>
          </c:extLst>
        </c:ser>
        <c:ser>
          <c:idx val="2"/>
          <c:order val="2"/>
          <c:tx>
            <c:strRef>
              <c:f>GUAXUPÉ!$O$1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GUAXUPÉ!$O$2:$O$9</c:f>
              <c:numCache>
                <c:formatCode>0.00</c:formatCode>
                <c:ptCount val="8"/>
                <c:pt idx="0">
                  <c:v>3.5812672176308541E-2</c:v>
                </c:pt>
                <c:pt idx="1">
                  <c:v>0.13223140495867769</c:v>
                </c:pt>
                <c:pt idx="2">
                  <c:v>0.21763085399449036</c:v>
                </c:pt>
                <c:pt idx="3">
                  <c:v>0.37465564738292012</c:v>
                </c:pt>
                <c:pt idx="4">
                  <c:v>0.48484848484848486</c:v>
                </c:pt>
                <c:pt idx="5">
                  <c:v>0.56198347107438018</c:v>
                </c:pt>
                <c:pt idx="6">
                  <c:v>0.68595041322314054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6D-4C0B-AB98-D014799B4679}"/>
            </c:ext>
          </c:extLst>
        </c:ser>
        <c:ser>
          <c:idx val="3"/>
          <c:order val="3"/>
          <c:tx>
            <c:strRef>
              <c:f>GUAXUPÉ!$P$1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GUAXUPÉ!$P$2:$P$9</c:f>
              <c:numCache>
                <c:formatCode>0.00</c:formatCode>
                <c:ptCount val="8"/>
                <c:pt idx="0">
                  <c:v>2.7450980392156862E-2</c:v>
                </c:pt>
                <c:pt idx="1">
                  <c:v>0.15294117647058825</c:v>
                </c:pt>
                <c:pt idx="2">
                  <c:v>0.2</c:v>
                </c:pt>
                <c:pt idx="3">
                  <c:v>0.33333333333333337</c:v>
                </c:pt>
                <c:pt idx="4">
                  <c:v>0.41568627450980394</c:v>
                </c:pt>
                <c:pt idx="5">
                  <c:v>0.49019607843137258</c:v>
                </c:pt>
                <c:pt idx="6">
                  <c:v>0.72156862745098049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6D-4C0B-AB98-D014799B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9424"/>
        <c:axId val="2055199344"/>
      </c:scatterChart>
      <c:valAx>
        <c:axId val="2055209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199344"/>
        <c:crosses val="autoZero"/>
        <c:crossBetween val="midCat"/>
      </c:valAx>
      <c:valAx>
        <c:axId val="2055199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ITAJUBÁ!$J$1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2-4D4E-860D-E6A6FB0EF06A}"/>
            </c:ext>
          </c:extLst>
        </c:ser>
        <c:ser>
          <c:idx val="1"/>
          <c:order val="1"/>
          <c:tx>
            <c:strRef>
              <c:f>ITAJUBÁ!$K$1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ITAJUBÁ!$K$2:$K$16</c:f>
              <c:numCache>
                <c:formatCode>0.00</c:formatCode>
                <c:ptCount val="15"/>
                <c:pt idx="0">
                  <c:v>0</c:v>
                </c:pt>
                <c:pt idx="1">
                  <c:v>6.9767441860465115E-3</c:v>
                </c:pt>
                <c:pt idx="2">
                  <c:v>3.255813953488372E-2</c:v>
                </c:pt>
                <c:pt idx="3">
                  <c:v>6.7441860465116271E-2</c:v>
                </c:pt>
                <c:pt idx="4">
                  <c:v>8.6046511627906969E-2</c:v>
                </c:pt>
                <c:pt idx="5">
                  <c:v>9.9999999999999992E-2</c:v>
                </c:pt>
                <c:pt idx="6">
                  <c:v>0.12325581395348836</c:v>
                </c:pt>
                <c:pt idx="7">
                  <c:v>0.14186046511627906</c:v>
                </c:pt>
                <c:pt idx="8">
                  <c:v>0.15581395348837207</c:v>
                </c:pt>
                <c:pt idx="9">
                  <c:v>0.19767441860465113</c:v>
                </c:pt>
                <c:pt idx="10">
                  <c:v>0.26511627906976742</c:v>
                </c:pt>
                <c:pt idx="11">
                  <c:v>0.33953488372093021</c:v>
                </c:pt>
                <c:pt idx="12">
                  <c:v>0.39534883720930231</c:v>
                </c:pt>
                <c:pt idx="13">
                  <c:v>0.44186046511627908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A2-4D4E-860D-E6A6FB0EF06A}"/>
            </c:ext>
          </c:extLst>
        </c:ser>
        <c:ser>
          <c:idx val="2"/>
          <c:order val="2"/>
          <c:tx>
            <c:strRef>
              <c:f>ITAJUBÁ!$L$1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ITAJUBÁ!$L$2:$L$16</c:f>
              <c:numCache>
                <c:formatCode>0.00</c:formatCode>
                <c:ptCount val="15"/>
                <c:pt idx="0">
                  <c:v>4.464285714285714E-3</c:v>
                </c:pt>
                <c:pt idx="1">
                  <c:v>8.9285714285714281E-3</c:v>
                </c:pt>
                <c:pt idx="2">
                  <c:v>2.6785714285714284E-2</c:v>
                </c:pt>
                <c:pt idx="3">
                  <c:v>6.25E-2</c:v>
                </c:pt>
                <c:pt idx="4">
                  <c:v>8.9285714285714288E-2</c:v>
                </c:pt>
                <c:pt idx="5">
                  <c:v>0.11160714285714286</c:v>
                </c:pt>
                <c:pt idx="6">
                  <c:v>0.12946428571428573</c:v>
                </c:pt>
                <c:pt idx="7">
                  <c:v>0.19642857142857145</c:v>
                </c:pt>
                <c:pt idx="8">
                  <c:v>0.2098214285714286</c:v>
                </c:pt>
                <c:pt idx="9">
                  <c:v>0.22321428571428575</c:v>
                </c:pt>
                <c:pt idx="10">
                  <c:v>0.25446428571428575</c:v>
                </c:pt>
                <c:pt idx="11">
                  <c:v>0.32589285714285721</c:v>
                </c:pt>
                <c:pt idx="12">
                  <c:v>0.37500000000000006</c:v>
                </c:pt>
                <c:pt idx="13">
                  <c:v>0.50892857142857151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A2-4D4E-860D-E6A6FB0EF06A}"/>
            </c:ext>
          </c:extLst>
        </c:ser>
        <c:ser>
          <c:idx val="3"/>
          <c:order val="3"/>
          <c:tx>
            <c:strRef>
              <c:f>ITAJUBÁ!$M$1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ITAJUBÁ!$M$2:$M$16</c:f>
              <c:numCache>
                <c:formatCode>0.00</c:formatCode>
                <c:ptCount val="15"/>
                <c:pt idx="0">
                  <c:v>0</c:v>
                </c:pt>
                <c:pt idx="1">
                  <c:v>5.7803468208092483E-3</c:v>
                </c:pt>
                <c:pt idx="2">
                  <c:v>2.8901734104046242E-2</c:v>
                </c:pt>
                <c:pt idx="3">
                  <c:v>3.4682080924855488E-2</c:v>
                </c:pt>
                <c:pt idx="4">
                  <c:v>5.7803468208092484E-2</c:v>
                </c:pt>
                <c:pt idx="5">
                  <c:v>6.9364161849710976E-2</c:v>
                </c:pt>
                <c:pt idx="6">
                  <c:v>9.2485549132947972E-2</c:v>
                </c:pt>
                <c:pt idx="7">
                  <c:v>0.13294797687861271</c:v>
                </c:pt>
                <c:pt idx="8">
                  <c:v>0.1791907514450867</c:v>
                </c:pt>
                <c:pt idx="9">
                  <c:v>0.23121387283236994</c:v>
                </c:pt>
                <c:pt idx="10">
                  <c:v>0.27167630057803466</c:v>
                </c:pt>
                <c:pt idx="11">
                  <c:v>0.33526011560693636</c:v>
                </c:pt>
                <c:pt idx="12">
                  <c:v>0.3526011560693641</c:v>
                </c:pt>
                <c:pt idx="13">
                  <c:v>0.57225433526011549</c:v>
                </c:pt>
                <c:pt idx="1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A2-4D4E-860D-E6A6FB0E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45584"/>
        <c:axId val="639335504"/>
      </c:scatterChart>
      <c:valAx>
        <c:axId val="6393455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5504"/>
        <c:crosses val="autoZero"/>
        <c:crossBetween val="midCat"/>
      </c:valAx>
      <c:valAx>
        <c:axId val="63933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4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ITAJUBÁ!$J$1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CE-4ACD-B115-596FEE94D027}"/>
            </c:ext>
          </c:extLst>
        </c:ser>
        <c:ser>
          <c:idx val="1"/>
          <c:order val="1"/>
          <c:tx>
            <c:strRef>
              <c:f>ITAJUBÁ!$N$1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ITAJUBÁ!$N$2:$N$16</c:f>
              <c:numCache>
                <c:formatCode>0.00</c:formatCode>
                <c:ptCount val="15"/>
                <c:pt idx="0">
                  <c:v>3.5714285714285712E-2</c:v>
                </c:pt>
                <c:pt idx="1">
                  <c:v>5.1339285714285712E-2</c:v>
                </c:pt>
                <c:pt idx="2">
                  <c:v>6.0267857142857137E-2</c:v>
                </c:pt>
                <c:pt idx="3">
                  <c:v>7.8125E-2</c:v>
                </c:pt>
                <c:pt idx="4">
                  <c:v>0.10044642857142858</c:v>
                </c:pt>
                <c:pt idx="5">
                  <c:v>0.13839285714285715</c:v>
                </c:pt>
                <c:pt idx="6">
                  <c:v>0.1517857142857143</c:v>
                </c:pt>
                <c:pt idx="7">
                  <c:v>0.1941964285714286</c:v>
                </c:pt>
                <c:pt idx="8">
                  <c:v>0.2366071428571429</c:v>
                </c:pt>
                <c:pt idx="9">
                  <c:v>0.27008928571428575</c:v>
                </c:pt>
                <c:pt idx="10">
                  <c:v>0.31250000000000006</c:v>
                </c:pt>
                <c:pt idx="11">
                  <c:v>0.39508928571428575</c:v>
                </c:pt>
                <c:pt idx="12">
                  <c:v>0.43080357142857145</c:v>
                </c:pt>
                <c:pt idx="13">
                  <c:v>0.59151785714285721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CE-4ACD-B115-596FEE94D027}"/>
            </c:ext>
          </c:extLst>
        </c:ser>
        <c:ser>
          <c:idx val="2"/>
          <c:order val="2"/>
          <c:tx>
            <c:strRef>
              <c:f>ITAJUBÁ!$O$1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ITAJUBÁ!$O$2:$O$16</c:f>
              <c:numCache>
                <c:formatCode>0.00</c:formatCode>
                <c:ptCount val="15"/>
                <c:pt idx="0">
                  <c:v>1.5151515151515152E-2</c:v>
                </c:pt>
                <c:pt idx="1">
                  <c:v>2.7272727272727275E-2</c:v>
                </c:pt>
                <c:pt idx="2">
                  <c:v>3.9393939393939398E-2</c:v>
                </c:pt>
                <c:pt idx="3">
                  <c:v>4.5454545454545456E-2</c:v>
                </c:pt>
                <c:pt idx="4">
                  <c:v>6.363636363636363E-2</c:v>
                </c:pt>
                <c:pt idx="5">
                  <c:v>9.0909090909090898E-2</c:v>
                </c:pt>
                <c:pt idx="6">
                  <c:v>0.1424242424242424</c:v>
                </c:pt>
                <c:pt idx="7">
                  <c:v>0.17575757575757572</c:v>
                </c:pt>
                <c:pt idx="8">
                  <c:v>0.22424242424242422</c:v>
                </c:pt>
                <c:pt idx="9">
                  <c:v>0.26666666666666666</c:v>
                </c:pt>
                <c:pt idx="10">
                  <c:v>0.33333333333333331</c:v>
                </c:pt>
                <c:pt idx="11">
                  <c:v>0.41212121212121211</c:v>
                </c:pt>
                <c:pt idx="12">
                  <c:v>0.45454545454545453</c:v>
                </c:pt>
                <c:pt idx="13">
                  <c:v>0.58181818181818179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CE-4ACD-B115-596FEE94D027}"/>
            </c:ext>
          </c:extLst>
        </c:ser>
        <c:ser>
          <c:idx val="3"/>
          <c:order val="3"/>
          <c:tx>
            <c:strRef>
              <c:f>ITAJUBÁ!$P$1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ITAJUBÁ!$P$2:$P$16</c:f>
              <c:numCache>
                <c:formatCode>0.00</c:formatCode>
                <c:ptCount val="15"/>
                <c:pt idx="0">
                  <c:v>4.2553191489361703E-3</c:v>
                </c:pt>
                <c:pt idx="1">
                  <c:v>1.2765957446808512E-2</c:v>
                </c:pt>
                <c:pt idx="2">
                  <c:v>2.1276595744680854E-2</c:v>
                </c:pt>
                <c:pt idx="3">
                  <c:v>3.8297872340425532E-2</c:v>
                </c:pt>
                <c:pt idx="4">
                  <c:v>8.085106382978724E-2</c:v>
                </c:pt>
                <c:pt idx="5">
                  <c:v>0.10638297872340426</c:v>
                </c:pt>
                <c:pt idx="6">
                  <c:v>0.17872340425531913</c:v>
                </c:pt>
                <c:pt idx="7">
                  <c:v>0.25106382978723402</c:v>
                </c:pt>
                <c:pt idx="8">
                  <c:v>0.28510638297872337</c:v>
                </c:pt>
                <c:pt idx="9">
                  <c:v>0.31063829787234037</c:v>
                </c:pt>
                <c:pt idx="10">
                  <c:v>0.35319148936170208</c:v>
                </c:pt>
                <c:pt idx="11">
                  <c:v>0.42553191489361697</c:v>
                </c:pt>
                <c:pt idx="12">
                  <c:v>0.4893617021276595</c:v>
                </c:pt>
                <c:pt idx="13">
                  <c:v>0.60425531914893615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CE-4ACD-B115-596FEE94D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57552"/>
        <c:axId val="1867769552"/>
      </c:scatterChart>
      <c:valAx>
        <c:axId val="1867757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769552"/>
        <c:crosses val="autoZero"/>
        <c:crossBetween val="midCat"/>
      </c:valAx>
      <c:valAx>
        <c:axId val="1867769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75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LAVRAS!$J$1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LAVRAS!$J$2:$J$11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0-417F-8F1E-ABB1A573CB8F}"/>
            </c:ext>
          </c:extLst>
        </c:ser>
        <c:ser>
          <c:idx val="1"/>
          <c:order val="1"/>
          <c:tx>
            <c:strRef>
              <c:f>LAVRAS!$K$1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LAVRAS!$K$2:$K$11</c:f>
              <c:numCache>
                <c:formatCode>0.00</c:formatCode>
                <c:ptCount val="10"/>
                <c:pt idx="0">
                  <c:v>1.2195121951219513E-2</c:v>
                </c:pt>
                <c:pt idx="1">
                  <c:v>3.6585365853658541E-2</c:v>
                </c:pt>
                <c:pt idx="2">
                  <c:v>5.2845528455284563E-2</c:v>
                </c:pt>
                <c:pt idx="3">
                  <c:v>6.0975609756097573E-2</c:v>
                </c:pt>
                <c:pt idx="4">
                  <c:v>9.5528455284552866E-2</c:v>
                </c:pt>
                <c:pt idx="5">
                  <c:v>0.11991869918699188</c:v>
                </c:pt>
                <c:pt idx="6">
                  <c:v>0.18292682926829268</c:v>
                </c:pt>
                <c:pt idx="7">
                  <c:v>0.38008130081300812</c:v>
                </c:pt>
                <c:pt idx="8">
                  <c:v>0.45121951219512191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80-417F-8F1E-ABB1A573CB8F}"/>
            </c:ext>
          </c:extLst>
        </c:ser>
        <c:ser>
          <c:idx val="2"/>
          <c:order val="2"/>
          <c:tx>
            <c:strRef>
              <c:f>LAVRAS!$L$1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LAVRAS!$L$2:$L$11</c:f>
              <c:numCache>
                <c:formatCode>0.00</c:formatCode>
                <c:ptCount val="10"/>
                <c:pt idx="0">
                  <c:v>1.8099547511312219E-2</c:v>
                </c:pt>
                <c:pt idx="1">
                  <c:v>2.7149321266968326E-2</c:v>
                </c:pt>
                <c:pt idx="2">
                  <c:v>5.8823529411764705E-2</c:v>
                </c:pt>
                <c:pt idx="3">
                  <c:v>8.5972850678733032E-2</c:v>
                </c:pt>
                <c:pt idx="4">
                  <c:v>0.14027149321266968</c:v>
                </c:pt>
                <c:pt idx="5">
                  <c:v>0.15837104072398189</c:v>
                </c:pt>
                <c:pt idx="6">
                  <c:v>0.19909502262443438</c:v>
                </c:pt>
                <c:pt idx="7">
                  <c:v>0.420814479638009</c:v>
                </c:pt>
                <c:pt idx="8">
                  <c:v>0.5339366515837104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80-417F-8F1E-ABB1A573CB8F}"/>
            </c:ext>
          </c:extLst>
        </c:ser>
        <c:ser>
          <c:idx val="3"/>
          <c:order val="3"/>
          <c:tx>
            <c:strRef>
              <c:f>LAVRAS!$M$1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LAVRAS!$M$2:$M$11</c:f>
              <c:numCache>
                <c:formatCode>0.00</c:formatCode>
                <c:ptCount val="10"/>
                <c:pt idx="0">
                  <c:v>2.8037383177570093E-2</c:v>
                </c:pt>
                <c:pt idx="1">
                  <c:v>5.1401869158878503E-2</c:v>
                </c:pt>
                <c:pt idx="2">
                  <c:v>0.10747663551401869</c:v>
                </c:pt>
                <c:pt idx="3">
                  <c:v>0.17757009345794392</c:v>
                </c:pt>
                <c:pt idx="4">
                  <c:v>0.2102803738317757</c:v>
                </c:pt>
                <c:pt idx="5">
                  <c:v>0.21962616822429906</c:v>
                </c:pt>
                <c:pt idx="6">
                  <c:v>0.29439252336448596</c:v>
                </c:pt>
                <c:pt idx="7">
                  <c:v>0.46261682242990654</c:v>
                </c:pt>
                <c:pt idx="8">
                  <c:v>0.55607476635514019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80-417F-8F1E-ABB1A573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1264"/>
        <c:axId val="2055210384"/>
      </c:scatterChart>
      <c:valAx>
        <c:axId val="2055201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0384"/>
        <c:crosses val="autoZero"/>
        <c:crossBetween val="midCat"/>
      </c:valAx>
      <c:valAx>
        <c:axId val="2055210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LAVRAS!$J$1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LAVRAS!$J$2:$J$11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56-4822-A60A-8D714EC3C08C}"/>
            </c:ext>
          </c:extLst>
        </c:ser>
        <c:ser>
          <c:idx val="1"/>
          <c:order val="1"/>
          <c:tx>
            <c:strRef>
              <c:f>LAVRAS!$N$1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LAVRAS!$N$2:$N$11</c:f>
              <c:numCache>
                <c:formatCode>0.00</c:formatCode>
                <c:ptCount val="10"/>
                <c:pt idx="0">
                  <c:v>1.5957446808510637E-2</c:v>
                </c:pt>
                <c:pt idx="1">
                  <c:v>4.7872340425531915E-2</c:v>
                </c:pt>
                <c:pt idx="2">
                  <c:v>9.5744680851063829E-2</c:v>
                </c:pt>
                <c:pt idx="3">
                  <c:v>0.12056737588652483</c:v>
                </c:pt>
                <c:pt idx="4">
                  <c:v>0.21808510638297873</c:v>
                </c:pt>
                <c:pt idx="5">
                  <c:v>0.26950354609929078</c:v>
                </c:pt>
                <c:pt idx="6">
                  <c:v>0.33687943262411346</c:v>
                </c:pt>
                <c:pt idx="7">
                  <c:v>0.51950354609929073</c:v>
                </c:pt>
                <c:pt idx="8">
                  <c:v>0.650709219858156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56-4822-A60A-8D714EC3C08C}"/>
            </c:ext>
          </c:extLst>
        </c:ser>
        <c:ser>
          <c:idx val="2"/>
          <c:order val="2"/>
          <c:tx>
            <c:strRef>
              <c:f>LAVRAS!$O$1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LAVRAS!$O$2:$O$11</c:f>
              <c:numCache>
                <c:formatCode>0.00</c:formatCode>
                <c:ptCount val="10"/>
                <c:pt idx="0">
                  <c:v>2.032520325203252E-2</c:v>
                </c:pt>
                <c:pt idx="1">
                  <c:v>4.2682926829268289E-2</c:v>
                </c:pt>
                <c:pt idx="2">
                  <c:v>9.3495934959349589E-2</c:v>
                </c:pt>
                <c:pt idx="3">
                  <c:v>0.10772357723577235</c:v>
                </c:pt>
                <c:pt idx="4">
                  <c:v>0.1483739837398374</c:v>
                </c:pt>
                <c:pt idx="5">
                  <c:v>0.1951219512195122</c:v>
                </c:pt>
                <c:pt idx="6">
                  <c:v>0.22967479674796748</c:v>
                </c:pt>
                <c:pt idx="7">
                  <c:v>0.41056910569105692</c:v>
                </c:pt>
                <c:pt idx="8">
                  <c:v>0.57317073170731714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56-4822-A60A-8D714EC3C08C}"/>
            </c:ext>
          </c:extLst>
        </c:ser>
        <c:ser>
          <c:idx val="3"/>
          <c:order val="3"/>
          <c:tx>
            <c:strRef>
              <c:f>LAVRAS!$P$1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LAVRAS!$P$2:$P$11</c:f>
              <c:numCache>
                <c:formatCode>0.00</c:formatCode>
                <c:ptCount val="10"/>
                <c:pt idx="0">
                  <c:v>1.7167381974248927E-2</c:v>
                </c:pt>
                <c:pt idx="1">
                  <c:v>5.5793991416309016E-2</c:v>
                </c:pt>
                <c:pt idx="2">
                  <c:v>9.4420600858369105E-2</c:v>
                </c:pt>
                <c:pt idx="3">
                  <c:v>0.11587982832618027</c:v>
                </c:pt>
                <c:pt idx="4">
                  <c:v>0.1716738197424893</c:v>
                </c:pt>
                <c:pt idx="5">
                  <c:v>0.21888412017167386</c:v>
                </c:pt>
                <c:pt idx="6">
                  <c:v>0.24463519313304724</c:v>
                </c:pt>
                <c:pt idx="7">
                  <c:v>0.39484978540772536</c:v>
                </c:pt>
                <c:pt idx="8">
                  <c:v>0.61373390557939922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56-4822-A60A-8D714EC3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45488"/>
        <c:axId val="735652208"/>
      </c:scatterChart>
      <c:valAx>
        <c:axId val="73564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52208"/>
        <c:crosses val="autoZero"/>
        <c:crossBetween val="midCat"/>
      </c:valAx>
      <c:valAx>
        <c:axId val="735652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4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PASSOS!$J$1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PASSOS!$J$2:$J$10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0-4094-BC62-65A13EA52C32}"/>
            </c:ext>
          </c:extLst>
        </c:ser>
        <c:ser>
          <c:idx val="1"/>
          <c:order val="1"/>
          <c:tx>
            <c:strRef>
              <c:f>PASSOS!$K$1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PASSOS!$K$2:$K$10</c:f>
              <c:numCache>
                <c:formatCode>0.00</c:formatCode>
                <c:ptCount val="9"/>
                <c:pt idx="0">
                  <c:v>1.3953488372093023E-2</c:v>
                </c:pt>
                <c:pt idx="1">
                  <c:v>3.255813953488372E-2</c:v>
                </c:pt>
                <c:pt idx="2">
                  <c:v>0.14418604651162792</c:v>
                </c:pt>
                <c:pt idx="3">
                  <c:v>0.16279069767441862</c:v>
                </c:pt>
                <c:pt idx="4">
                  <c:v>0.22325581395348837</c:v>
                </c:pt>
                <c:pt idx="5">
                  <c:v>0.30697674418604648</c:v>
                </c:pt>
                <c:pt idx="6">
                  <c:v>0.37209302325581395</c:v>
                </c:pt>
                <c:pt idx="7">
                  <c:v>0.6837209302325582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D0-4094-BC62-65A13EA52C32}"/>
            </c:ext>
          </c:extLst>
        </c:ser>
        <c:ser>
          <c:idx val="2"/>
          <c:order val="2"/>
          <c:tx>
            <c:strRef>
              <c:f>PASSOS!$L$1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PASSOS!$L$2:$L$10</c:f>
              <c:numCache>
                <c:formatCode>0.00</c:formatCode>
                <c:ptCount val="9"/>
                <c:pt idx="0">
                  <c:v>0</c:v>
                </c:pt>
                <c:pt idx="1">
                  <c:v>1.9867549668874173E-2</c:v>
                </c:pt>
                <c:pt idx="2">
                  <c:v>7.9470198675496692E-2</c:v>
                </c:pt>
                <c:pt idx="3">
                  <c:v>8.6092715231788089E-2</c:v>
                </c:pt>
                <c:pt idx="4">
                  <c:v>9.9337748344370869E-2</c:v>
                </c:pt>
                <c:pt idx="5">
                  <c:v>0.16556291390728478</c:v>
                </c:pt>
                <c:pt idx="6">
                  <c:v>0.16556291390728478</c:v>
                </c:pt>
                <c:pt idx="7">
                  <c:v>0.39735099337748347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D0-4094-BC62-65A13EA52C32}"/>
            </c:ext>
          </c:extLst>
        </c:ser>
        <c:ser>
          <c:idx val="3"/>
          <c:order val="3"/>
          <c:tx>
            <c:strRef>
              <c:f>PASSOS!$M$1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PASSOS!$M$2:$M$10</c:f>
              <c:numCache>
                <c:formatCode>0.00</c:formatCode>
                <c:ptCount val="9"/>
                <c:pt idx="0">
                  <c:v>2.0202020202020204E-2</c:v>
                </c:pt>
                <c:pt idx="1">
                  <c:v>3.5353535353535359E-2</c:v>
                </c:pt>
                <c:pt idx="2">
                  <c:v>7.5757575757575774E-2</c:v>
                </c:pt>
                <c:pt idx="3">
                  <c:v>9.0909090909090925E-2</c:v>
                </c:pt>
                <c:pt idx="4">
                  <c:v>0.10606060606060608</c:v>
                </c:pt>
                <c:pt idx="5">
                  <c:v>0.1767676767676768</c:v>
                </c:pt>
                <c:pt idx="6">
                  <c:v>0.18686868686868691</c:v>
                </c:pt>
                <c:pt idx="7">
                  <c:v>0.36868686868686873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D0-4094-BC62-65A13EA52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6864"/>
        <c:axId val="388371184"/>
      </c:scatterChart>
      <c:valAx>
        <c:axId val="388366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1184"/>
        <c:crosses val="autoZero"/>
        <c:crossBetween val="midCat"/>
      </c:valAx>
      <c:valAx>
        <c:axId val="388371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PASSOS!$J$1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PASSOS!$J$2:$J$10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7-4871-A304-46C06CB652C6}"/>
            </c:ext>
          </c:extLst>
        </c:ser>
        <c:ser>
          <c:idx val="1"/>
          <c:order val="1"/>
          <c:tx>
            <c:strRef>
              <c:f>PASSOS!$N$1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PASSOS!$N$2:$N$10</c:f>
              <c:numCache>
                <c:formatCode>0.00</c:formatCode>
                <c:ptCount val="9"/>
                <c:pt idx="0">
                  <c:v>8.4317032040472171E-3</c:v>
                </c:pt>
                <c:pt idx="1">
                  <c:v>5.5649241146711631E-2</c:v>
                </c:pt>
                <c:pt idx="2">
                  <c:v>0.14502529510961215</c:v>
                </c:pt>
                <c:pt idx="3">
                  <c:v>0.239460370994941</c:v>
                </c:pt>
                <c:pt idx="4">
                  <c:v>0.33558178752107926</c:v>
                </c:pt>
                <c:pt idx="5">
                  <c:v>0.45699831365935917</c:v>
                </c:pt>
                <c:pt idx="6">
                  <c:v>0.57504215851602025</c:v>
                </c:pt>
                <c:pt idx="7">
                  <c:v>0.72512647554806076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7-4871-A304-46C06CB652C6}"/>
            </c:ext>
          </c:extLst>
        </c:ser>
        <c:ser>
          <c:idx val="2"/>
          <c:order val="2"/>
          <c:tx>
            <c:strRef>
              <c:f>PASSOS!$O$1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PASSOS!$O$2:$O$10</c:f>
              <c:numCache>
                <c:formatCode>0.00</c:formatCode>
                <c:ptCount val="9"/>
                <c:pt idx="0">
                  <c:v>2.5700934579439252E-2</c:v>
                </c:pt>
                <c:pt idx="1">
                  <c:v>3.7383177570093455E-2</c:v>
                </c:pt>
                <c:pt idx="2">
                  <c:v>9.11214953271028E-2</c:v>
                </c:pt>
                <c:pt idx="3">
                  <c:v>0.15654205607476634</c:v>
                </c:pt>
                <c:pt idx="4">
                  <c:v>0.26168224299065418</c:v>
                </c:pt>
                <c:pt idx="5">
                  <c:v>0.42289719626168221</c:v>
                </c:pt>
                <c:pt idx="6">
                  <c:v>0.61214953271028039</c:v>
                </c:pt>
                <c:pt idx="7">
                  <c:v>0.7570093457943925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7-4871-A304-46C06CB652C6}"/>
            </c:ext>
          </c:extLst>
        </c:ser>
        <c:ser>
          <c:idx val="3"/>
          <c:order val="3"/>
          <c:tx>
            <c:strRef>
              <c:f>PASSOS!$P$1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PASSOS!$P$2:$P$10</c:f>
              <c:numCache>
                <c:formatCode>0.00</c:formatCode>
                <c:ptCount val="9"/>
                <c:pt idx="0">
                  <c:v>2.2151898734177215E-2</c:v>
                </c:pt>
                <c:pt idx="1">
                  <c:v>4.1139240506329111E-2</c:v>
                </c:pt>
                <c:pt idx="2">
                  <c:v>0.11075949367088607</c:v>
                </c:pt>
                <c:pt idx="3">
                  <c:v>0.2151898734177215</c:v>
                </c:pt>
                <c:pt idx="4">
                  <c:v>0.2753164556962025</c:v>
                </c:pt>
                <c:pt idx="5">
                  <c:v>0.41772151898734178</c:v>
                </c:pt>
                <c:pt idx="6">
                  <c:v>0.56329113924050633</c:v>
                </c:pt>
                <c:pt idx="7">
                  <c:v>0.66772151898734178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07-4871-A304-46C06CB6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19984"/>
        <c:axId val="2055228624"/>
      </c:scatterChart>
      <c:valAx>
        <c:axId val="2055219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28624"/>
        <c:crosses val="autoZero"/>
        <c:crossBetween val="midCat"/>
      </c:valAx>
      <c:valAx>
        <c:axId val="20552286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PINHUÍ!$J$1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PINHUÍ!$J$2:$J$8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1-44FC-9936-95E16D91D657}"/>
            </c:ext>
          </c:extLst>
        </c:ser>
        <c:ser>
          <c:idx val="1"/>
          <c:order val="1"/>
          <c:tx>
            <c:strRef>
              <c:f>PINHUÍ!$K$1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PINHUÍ!$K$2:$K$8</c:f>
              <c:numCache>
                <c:formatCode>0.00</c:formatCode>
                <c:ptCount val="7"/>
                <c:pt idx="0">
                  <c:v>5.1546391752577319E-3</c:v>
                </c:pt>
                <c:pt idx="1">
                  <c:v>2.0618556701030927E-2</c:v>
                </c:pt>
                <c:pt idx="2">
                  <c:v>7.7319587628865982E-2</c:v>
                </c:pt>
                <c:pt idx="3">
                  <c:v>0.22164948453608246</c:v>
                </c:pt>
                <c:pt idx="4">
                  <c:v>0.25773195876288657</c:v>
                </c:pt>
                <c:pt idx="5">
                  <c:v>0.48969072164948452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1-44FC-9936-95E16D91D657}"/>
            </c:ext>
          </c:extLst>
        </c:ser>
        <c:ser>
          <c:idx val="2"/>
          <c:order val="2"/>
          <c:tx>
            <c:strRef>
              <c:f>PINHUÍ!$L$1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PINHUÍ!$L$2:$L$8</c:f>
              <c:numCache>
                <c:formatCode>0.00</c:formatCode>
                <c:ptCount val="7"/>
                <c:pt idx="0">
                  <c:v>0</c:v>
                </c:pt>
                <c:pt idx="1">
                  <c:v>1.7241379310344827E-2</c:v>
                </c:pt>
                <c:pt idx="2">
                  <c:v>3.4482758620689655E-2</c:v>
                </c:pt>
                <c:pt idx="3">
                  <c:v>0.36206896551724138</c:v>
                </c:pt>
                <c:pt idx="4">
                  <c:v>0.39655172413793105</c:v>
                </c:pt>
                <c:pt idx="5">
                  <c:v>0.74137931034482762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1-44FC-9936-95E16D91D657}"/>
            </c:ext>
          </c:extLst>
        </c:ser>
        <c:ser>
          <c:idx val="3"/>
          <c:order val="3"/>
          <c:tx>
            <c:strRef>
              <c:f>PINHUÍ!$M$1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PINHUÍ!$M$2:$M$8</c:f>
              <c:numCache>
                <c:formatCode>0.00</c:formatCode>
                <c:ptCount val="7"/>
                <c:pt idx="0">
                  <c:v>0.01</c:v>
                </c:pt>
                <c:pt idx="1">
                  <c:v>0.02</c:v>
                </c:pt>
                <c:pt idx="2">
                  <c:v>0.13</c:v>
                </c:pt>
                <c:pt idx="3">
                  <c:v>0.28000000000000003</c:v>
                </c:pt>
                <c:pt idx="4">
                  <c:v>0.37</c:v>
                </c:pt>
                <c:pt idx="5">
                  <c:v>0.57999999999999996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F1-44FC-9936-95E16D91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9408"/>
        <c:axId val="195390848"/>
      </c:scatterChart>
      <c:valAx>
        <c:axId val="1953894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0848"/>
        <c:crosses val="autoZero"/>
        <c:crossBetween val="midCat"/>
      </c:valAx>
      <c:valAx>
        <c:axId val="195390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PINHUÍ!$J$1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PINHUÍ!$J$2:$J$8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7A-4B58-AAC8-F518B5A1AFB9}"/>
            </c:ext>
          </c:extLst>
        </c:ser>
        <c:ser>
          <c:idx val="1"/>
          <c:order val="1"/>
          <c:tx>
            <c:strRef>
              <c:f>PINHUÍ!$N$1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PINHUÍ!$N$2:$N$8</c:f>
              <c:numCache>
                <c:formatCode>0.00</c:formatCode>
                <c:ptCount val="7"/>
                <c:pt idx="0">
                  <c:v>1.5444015444015444E-2</c:v>
                </c:pt>
                <c:pt idx="1">
                  <c:v>3.4749034749034749E-2</c:v>
                </c:pt>
                <c:pt idx="2">
                  <c:v>0.13513513513513514</c:v>
                </c:pt>
                <c:pt idx="3">
                  <c:v>0.28957528957528955</c:v>
                </c:pt>
                <c:pt idx="4">
                  <c:v>0.37065637065637064</c:v>
                </c:pt>
                <c:pt idx="5">
                  <c:v>0.56370656370656369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7A-4B58-AAC8-F518B5A1AFB9}"/>
            </c:ext>
          </c:extLst>
        </c:ser>
        <c:ser>
          <c:idx val="2"/>
          <c:order val="2"/>
          <c:tx>
            <c:strRef>
              <c:f>PINHUÍ!$O$1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PINHUÍ!$O$2:$O$8</c:f>
              <c:numCache>
                <c:formatCode>0.00</c:formatCode>
                <c:ptCount val="7"/>
                <c:pt idx="0">
                  <c:v>0</c:v>
                </c:pt>
                <c:pt idx="1">
                  <c:v>2.5000000000000001E-2</c:v>
                </c:pt>
                <c:pt idx="2">
                  <c:v>0.1</c:v>
                </c:pt>
                <c:pt idx="3">
                  <c:v>0.29000000000000004</c:v>
                </c:pt>
                <c:pt idx="4">
                  <c:v>0.495</c:v>
                </c:pt>
                <c:pt idx="5">
                  <c:v>0.67500000000000004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7A-4B58-AAC8-F518B5A1AFB9}"/>
            </c:ext>
          </c:extLst>
        </c:ser>
        <c:ser>
          <c:idx val="3"/>
          <c:order val="3"/>
          <c:tx>
            <c:strRef>
              <c:f>PINHUÍ!$P$1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PINHUÍ!$P$2:$P$8</c:f>
              <c:numCache>
                <c:formatCode>0.00</c:formatCode>
                <c:ptCount val="7"/>
                <c:pt idx="0">
                  <c:v>1.8292682926829267E-2</c:v>
                </c:pt>
                <c:pt idx="1">
                  <c:v>1.8292682926829267E-2</c:v>
                </c:pt>
                <c:pt idx="2">
                  <c:v>7.926829268292683E-2</c:v>
                </c:pt>
                <c:pt idx="3">
                  <c:v>0.17073170731707316</c:v>
                </c:pt>
                <c:pt idx="4">
                  <c:v>0.23780487804878048</c:v>
                </c:pt>
                <c:pt idx="5">
                  <c:v>0.51829268292682928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7A-4B58-AAC8-F518B5A1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2704"/>
        <c:axId val="2055214224"/>
      </c:scatterChart>
      <c:valAx>
        <c:axId val="2055202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4224"/>
        <c:crosses val="autoZero"/>
        <c:crossBetween val="midCat"/>
      </c:valAx>
      <c:valAx>
        <c:axId val="2055214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'POÇOS DE CALDA'!$J$1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CALDA'!$J$2:$J$7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9-47D1-8312-83069FBCE943}"/>
            </c:ext>
          </c:extLst>
        </c:ser>
        <c:ser>
          <c:idx val="1"/>
          <c:order val="1"/>
          <c:tx>
            <c:strRef>
              <c:f>'POÇOS DE CALDA'!$K$1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CALDA'!$K$2:$K$7</c:f>
              <c:numCache>
                <c:formatCode>0.00</c:formatCode>
                <c:ptCount val="6"/>
                <c:pt idx="0">
                  <c:v>1.4669926650366748E-2</c:v>
                </c:pt>
                <c:pt idx="1">
                  <c:v>4.4009779951100246E-2</c:v>
                </c:pt>
                <c:pt idx="2">
                  <c:v>7.3349633251833746E-2</c:v>
                </c:pt>
                <c:pt idx="3">
                  <c:v>0.10513447432762837</c:v>
                </c:pt>
                <c:pt idx="4">
                  <c:v>0.34474327628361856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69-47D1-8312-83069FBCE943}"/>
            </c:ext>
          </c:extLst>
        </c:ser>
        <c:ser>
          <c:idx val="2"/>
          <c:order val="2"/>
          <c:tx>
            <c:strRef>
              <c:f>'POÇOS DE CALDA'!$L$1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CALDA'!$L$2:$L$7</c:f>
              <c:numCache>
                <c:formatCode>0.00</c:formatCode>
                <c:ptCount val="6"/>
                <c:pt idx="0">
                  <c:v>5.0000000000000001E-3</c:v>
                </c:pt>
                <c:pt idx="1">
                  <c:v>1.4999999999999999E-2</c:v>
                </c:pt>
                <c:pt idx="2">
                  <c:v>4.4999999999999998E-2</c:v>
                </c:pt>
                <c:pt idx="3">
                  <c:v>0.16</c:v>
                </c:pt>
                <c:pt idx="4">
                  <c:v>0.44499999999999995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69-47D1-8312-83069FBCE943}"/>
            </c:ext>
          </c:extLst>
        </c:ser>
        <c:ser>
          <c:idx val="3"/>
          <c:order val="3"/>
          <c:tx>
            <c:strRef>
              <c:f>'POÇOS DE CALDA'!$M$1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CALDA'!$M$2:$M$7</c:f>
              <c:numCache>
                <c:formatCode>0.00</c:formatCode>
                <c:ptCount val="6"/>
                <c:pt idx="0">
                  <c:v>4.1841004184100415E-3</c:v>
                </c:pt>
                <c:pt idx="1">
                  <c:v>3.3472803347280332E-2</c:v>
                </c:pt>
                <c:pt idx="2">
                  <c:v>5.8577405857740586E-2</c:v>
                </c:pt>
                <c:pt idx="3">
                  <c:v>0.13807531380753138</c:v>
                </c:pt>
                <c:pt idx="4">
                  <c:v>0.27615062761506276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69-47D1-8312-83069FBCE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40272"/>
        <c:axId val="276740752"/>
      </c:scatterChart>
      <c:valAx>
        <c:axId val="2767402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40752"/>
        <c:crosses val="autoZero"/>
        <c:crossBetween val="midCat"/>
      </c:valAx>
      <c:valAx>
        <c:axId val="276740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'POÇOS DE CALDA'!$J$1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CALDA'!$J$2:$J$7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B3-45C7-8CED-2940C7440660}"/>
            </c:ext>
          </c:extLst>
        </c:ser>
        <c:ser>
          <c:idx val="1"/>
          <c:order val="1"/>
          <c:tx>
            <c:strRef>
              <c:f>'POÇOS DE CALDA'!$N$1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CALDA'!$N$2:$N$7</c:f>
              <c:numCache>
                <c:formatCode>0.00</c:formatCode>
                <c:ptCount val="6"/>
                <c:pt idx="0">
                  <c:v>1.5957446808510637E-2</c:v>
                </c:pt>
                <c:pt idx="1">
                  <c:v>3.1914893617021274E-2</c:v>
                </c:pt>
                <c:pt idx="2">
                  <c:v>4.3882978723404256E-2</c:v>
                </c:pt>
                <c:pt idx="3">
                  <c:v>0.10505319148936171</c:v>
                </c:pt>
                <c:pt idx="4">
                  <c:v>0.27127659574468088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3-45C7-8CED-2940C7440660}"/>
            </c:ext>
          </c:extLst>
        </c:ser>
        <c:ser>
          <c:idx val="2"/>
          <c:order val="2"/>
          <c:tx>
            <c:strRef>
              <c:f>'POÇOS DE CALDA'!$O$1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CALDA'!$O$2:$O$7</c:f>
              <c:numCache>
                <c:formatCode>0.00</c:formatCode>
                <c:ptCount val="6"/>
                <c:pt idx="0">
                  <c:v>1.4234875444839857E-2</c:v>
                </c:pt>
                <c:pt idx="1">
                  <c:v>2.6097271648873072E-2</c:v>
                </c:pt>
                <c:pt idx="2">
                  <c:v>3.9145907473309607E-2</c:v>
                </c:pt>
                <c:pt idx="3">
                  <c:v>0.11743772241992882</c:v>
                </c:pt>
                <c:pt idx="4">
                  <c:v>0.27402135231316727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3-45C7-8CED-2940C7440660}"/>
            </c:ext>
          </c:extLst>
        </c:ser>
        <c:ser>
          <c:idx val="3"/>
          <c:order val="3"/>
          <c:tx>
            <c:strRef>
              <c:f>'POÇOS DE CALDA'!$P$1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CALDA'!$P$2:$P$7</c:f>
              <c:numCache>
                <c:formatCode>0.00</c:formatCode>
                <c:ptCount val="6"/>
                <c:pt idx="0">
                  <c:v>3.2786885245901641E-2</c:v>
                </c:pt>
                <c:pt idx="1">
                  <c:v>4.3715846994535519E-2</c:v>
                </c:pt>
                <c:pt idx="2">
                  <c:v>9.0163934426229511E-2</c:v>
                </c:pt>
                <c:pt idx="3">
                  <c:v>0.16666666666666669</c:v>
                </c:pt>
                <c:pt idx="4">
                  <c:v>0.34153005464480879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3-45C7-8CED-2940C744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39792"/>
        <c:axId val="276726832"/>
      </c:scatterChart>
      <c:valAx>
        <c:axId val="276739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26832"/>
        <c:crosses val="autoZero"/>
        <c:crossBetween val="midCat"/>
      </c:valAx>
      <c:valAx>
        <c:axId val="276726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3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'POUSO ALEGRE'!$J$1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ALEGRE'!$J$2:$J$33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7-496F-A2F9-4C1E21D1FBCC}"/>
            </c:ext>
          </c:extLst>
        </c:ser>
        <c:ser>
          <c:idx val="1"/>
          <c:order val="1"/>
          <c:tx>
            <c:strRef>
              <c:f>'POUSO ALEGRE'!$K$1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ALEGRE'!$K$2:$K$33</c:f>
              <c:numCache>
                <c:formatCode>0.00</c:formatCode>
                <c:ptCount val="32"/>
                <c:pt idx="0">
                  <c:v>6.2893081761006293E-3</c:v>
                </c:pt>
                <c:pt idx="1">
                  <c:v>1.7295597484276729E-2</c:v>
                </c:pt>
                <c:pt idx="2">
                  <c:v>2.5943396226415096E-2</c:v>
                </c:pt>
                <c:pt idx="3">
                  <c:v>3.1446540880503145E-2</c:v>
                </c:pt>
                <c:pt idx="4">
                  <c:v>4.0094339622641507E-2</c:v>
                </c:pt>
                <c:pt idx="5">
                  <c:v>4.6383647798742135E-2</c:v>
                </c:pt>
                <c:pt idx="6">
                  <c:v>5.4245283018867919E-2</c:v>
                </c:pt>
                <c:pt idx="7">
                  <c:v>6.6037735849056603E-2</c:v>
                </c:pt>
                <c:pt idx="8">
                  <c:v>7.5471698113207544E-2</c:v>
                </c:pt>
                <c:pt idx="9">
                  <c:v>9.4339622641509427E-2</c:v>
                </c:pt>
                <c:pt idx="10">
                  <c:v>0.10770440251572326</c:v>
                </c:pt>
                <c:pt idx="11">
                  <c:v>0.12028301886792452</c:v>
                </c:pt>
                <c:pt idx="12">
                  <c:v>0.12971698113207547</c:v>
                </c:pt>
                <c:pt idx="13">
                  <c:v>0.13522012578616352</c:v>
                </c:pt>
                <c:pt idx="14">
                  <c:v>0.15172955974842767</c:v>
                </c:pt>
                <c:pt idx="15">
                  <c:v>0.17452830188679244</c:v>
                </c:pt>
                <c:pt idx="16">
                  <c:v>0.19732704402515722</c:v>
                </c:pt>
                <c:pt idx="17">
                  <c:v>0.23191823899371067</c:v>
                </c:pt>
                <c:pt idx="18">
                  <c:v>0.25864779874213834</c:v>
                </c:pt>
                <c:pt idx="19">
                  <c:v>0.26493710691823896</c:v>
                </c:pt>
                <c:pt idx="20">
                  <c:v>0.28459119496855345</c:v>
                </c:pt>
                <c:pt idx="21">
                  <c:v>0.29166666666666669</c:v>
                </c:pt>
                <c:pt idx="22">
                  <c:v>0.30896226415094341</c:v>
                </c:pt>
                <c:pt idx="23">
                  <c:v>0.33333333333333337</c:v>
                </c:pt>
                <c:pt idx="24">
                  <c:v>0.40251572327044027</c:v>
                </c:pt>
                <c:pt idx="25">
                  <c:v>0.4536163522012579</c:v>
                </c:pt>
                <c:pt idx="26">
                  <c:v>0.52279874213836486</c:v>
                </c:pt>
                <c:pt idx="27">
                  <c:v>0.59905660377358494</c:v>
                </c:pt>
                <c:pt idx="28">
                  <c:v>0.70676100628930816</c:v>
                </c:pt>
                <c:pt idx="29">
                  <c:v>0.71855345911949686</c:v>
                </c:pt>
                <c:pt idx="30">
                  <c:v>0.81996855345911945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A7-496F-A2F9-4C1E21D1FBCC}"/>
            </c:ext>
          </c:extLst>
        </c:ser>
        <c:ser>
          <c:idx val="2"/>
          <c:order val="2"/>
          <c:tx>
            <c:strRef>
              <c:f>'POUSO ALEGRE'!$L$1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ALEGRE'!$L$2:$L$33</c:f>
              <c:numCache>
                <c:formatCode>0.00</c:formatCode>
                <c:ptCount val="32"/>
                <c:pt idx="0">
                  <c:v>0</c:v>
                </c:pt>
                <c:pt idx="1">
                  <c:v>1.7793594306049821E-3</c:v>
                </c:pt>
                <c:pt idx="2">
                  <c:v>1.7793594306049824E-2</c:v>
                </c:pt>
                <c:pt idx="3">
                  <c:v>2.3131672597864771E-2</c:v>
                </c:pt>
                <c:pt idx="4">
                  <c:v>2.3131672597864771E-2</c:v>
                </c:pt>
                <c:pt idx="5">
                  <c:v>2.4911032028469754E-2</c:v>
                </c:pt>
                <c:pt idx="6">
                  <c:v>3.0249110320284701E-2</c:v>
                </c:pt>
                <c:pt idx="7">
                  <c:v>4.4483985765124558E-2</c:v>
                </c:pt>
                <c:pt idx="8">
                  <c:v>4.8042704626334524E-2</c:v>
                </c:pt>
                <c:pt idx="9">
                  <c:v>5.6939501779359435E-2</c:v>
                </c:pt>
                <c:pt idx="10">
                  <c:v>6.4056939501779361E-2</c:v>
                </c:pt>
                <c:pt idx="11">
                  <c:v>7.6512455516014238E-2</c:v>
                </c:pt>
                <c:pt idx="12">
                  <c:v>8.7188612099644125E-2</c:v>
                </c:pt>
                <c:pt idx="13">
                  <c:v>9.0747330960854092E-2</c:v>
                </c:pt>
                <c:pt idx="14">
                  <c:v>0.11565836298932385</c:v>
                </c:pt>
                <c:pt idx="15">
                  <c:v>0.1512455516014235</c:v>
                </c:pt>
                <c:pt idx="16">
                  <c:v>0.15480427046263345</c:v>
                </c:pt>
                <c:pt idx="17">
                  <c:v>0.21174377224199287</c:v>
                </c:pt>
                <c:pt idx="18">
                  <c:v>0.2384341637010676</c:v>
                </c:pt>
                <c:pt idx="19">
                  <c:v>0.24555160142348753</c:v>
                </c:pt>
                <c:pt idx="20">
                  <c:v>0.24911032028469748</c:v>
                </c:pt>
                <c:pt idx="21">
                  <c:v>0.25444839857651241</c:v>
                </c:pt>
                <c:pt idx="22">
                  <c:v>0.26334519572953735</c:v>
                </c:pt>
                <c:pt idx="23">
                  <c:v>0.27402135231316727</c:v>
                </c:pt>
                <c:pt idx="24">
                  <c:v>0.42170818505338081</c:v>
                </c:pt>
                <c:pt idx="25">
                  <c:v>0.52313167259786475</c:v>
                </c:pt>
                <c:pt idx="26">
                  <c:v>0.59964412811387902</c:v>
                </c:pt>
                <c:pt idx="27">
                  <c:v>0.70462633451957291</c:v>
                </c:pt>
                <c:pt idx="28">
                  <c:v>0.81850533807829173</c:v>
                </c:pt>
                <c:pt idx="29">
                  <c:v>0.83096085409252662</c:v>
                </c:pt>
                <c:pt idx="30">
                  <c:v>0.90569395017793586</c:v>
                </c:pt>
                <c:pt idx="3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A7-496F-A2F9-4C1E21D1FBCC}"/>
            </c:ext>
          </c:extLst>
        </c:ser>
        <c:ser>
          <c:idx val="3"/>
          <c:order val="3"/>
          <c:tx>
            <c:strRef>
              <c:f>'POUSO ALEGRE'!$M$1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ALEGRE'!$M$2:$M$33</c:f>
              <c:numCache>
                <c:formatCode>0.00</c:formatCode>
                <c:ptCount val="32"/>
                <c:pt idx="0">
                  <c:v>3.1545741324921135E-3</c:v>
                </c:pt>
                <c:pt idx="1">
                  <c:v>6.3091482649842269E-3</c:v>
                </c:pt>
                <c:pt idx="2">
                  <c:v>1.5772870662460567E-2</c:v>
                </c:pt>
                <c:pt idx="3">
                  <c:v>1.8927444794952682E-2</c:v>
                </c:pt>
                <c:pt idx="4">
                  <c:v>1.8927444794952682E-2</c:v>
                </c:pt>
                <c:pt idx="5">
                  <c:v>2.365930599369085E-2</c:v>
                </c:pt>
                <c:pt idx="6">
                  <c:v>2.8391167192429019E-2</c:v>
                </c:pt>
                <c:pt idx="7">
                  <c:v>5.362776025236593E-2</c:v>
                </c:pt>
                <c:pt idx="8">
                  <c:v>5.6782334384858045E-2</c:v>
                </c:pt>
                <c:pt idx="9">
                  <c:v>6.6246056782334389E-2</c:v>
                </c:pt>
                <c:pt idx="10">
                  <c:v>6.9400630914826497E-2</c:v>
                </c:pt>
                <c:pt idx="11">
                  <c:v>7.2555205047318605E-2</c:v>
                </c:pt>
                <c:pt idx="12">
                  <c:v>0.1167192429022082</c:v>
                </c:pt>
                <c:pt idx="13">
                  <c:v>0.1167192429022082</c:v>
                </c:pt>
                <c:pt idx="14">
                  <c:v>0.14511041009463721</c:v>
                </c:pt>
                <c:pt idx="15">
                  <c:v>0.19716088328075709</c:v>
                </c:pt>
                <c:pt idx="16">
                  <c:v>0.20189274447949526</c:v>
                </c:pt>
                <c:pt idx="17">
                  <c:v>0.24921135646687698</c:v>
                </c:pt>
                <c:pt idx="18">
                  <c:v>0.26025236593059936</c:v>
                </c:pt>
                <c:pt idx="19">
                  <c:v>0.26498422712933756</c:v>
                </c:pt>
                <c:pt idx="20">
                  <c:v>0.26971608832807575</c:v>
                </c:pt>
                <c:pt idx="21">
                  <c:v>0.2712933753943218</c:v>
                </c:pt>
                <c:pt idx="22">
                  <c:v>0.28864353312302843</c:v>
                </c:pt>
                <c:pt idx="23">
                  <c:v>0.29968454258675081</c:v>
                </c:pt>
                <c:pt idx="24">
                  <c:v>0.39747634069400634</c:v>
                </c:pt>
                <c:pt idx="25">
                  <c:v>0.47003154574132494</c:v>
                </c:pt>
                <c:pt idx="26">
                  <c:v>0.5362776025236593</c:v>
                </c:pt>
                <c:pt idx="27">
                  <c:v>0.65299684542586744</c:v>
                </c:pt>
                <c:pt idx="28">
                  <c:v>0.7634069400630914</c:v>
                </c:pt>
                <c:pt idx="29">
                  <c:v>0.78233438485804407</c:v>
                </c:pt>
                <c:pt idx="30">
                  <c:v>0.90220820189274442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A7-496F-A2F9-4C1E21D1F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36464"/>
        <c:axId val="639353744"/>
      </c:scatterChart>
      <c:valAx>
        <c:axId val="639336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3744"/>
        <c:crosses val="autoZero"/>
        <c:crossBetween val="midCat"/>
      </c:valAx>
      <c:valAx>
        <c:axId val="6393537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'POUSO ALEGRE'!$J$1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ALEGRE'!$J$2:$J$33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D5-49E6-BE48-931AE6879ACA}"/>
            </c:ext>
          </c:extLst>
        </c:ser>
        <c:ser>
          <c:idx val="1"/>
          <c:order val="1"/>
          <c:tx>
            <c:strRef>
              <c:f>'POUSO ALEGRE'!$N$1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ALEGRE'!$N$2:$N$33</c:f>
              <c:numCache>
                <c:formatCode>0.00</c:formatCode>
                <c:ptCount val="32"/>
                <c:pt idx="0">
                  <c:v>4.827586206896552E-3</c:v>
                </c:pt>
                <c:pt idx="1">
                  <c:v>1.1724137931034483E-2</c:v>
                </c:pt>
                <c:pt idx="2">
                  <c:v>2.827586206896552E-2</c:v>
                </c:pt>
                <c:pt idx="3">
                  <c:v>3.2413793103448281E-2</c:v>
                </c:pt>
                <c:pt idx="4">
                  <c:v>3.7241379310344831E-2</c:v>
                </c:pt>
                <c:pt idx="5">
                  <c:v>4.2758620689655177E-2</c:v>
                </c:pt>
                <c:pt idx="6">
                  <c:v>6.4827586206896548E-2</c:v>
                </c:pt>
                <c:pt idx="7">
                  <c:v>7.5172413793103438E-2</c:v>
                </c:pt>
                <c:pt idx="8">
                  <c:v>9.6551724137931019E-2</c:v>
                </c:pt>
                <c:pt idx="9">
                  <c:v>0.10275862068965516</c:v>
                </c:pt>
                <c:pt idx="10">
                  <c:v>0.11310344827586205</c:v>
                </c:pt>
                <c:pt idx="11">
                  <c:v>0.12137931034482757</c:v>
                </c:pt>
                <c:pt idx="12">
                  <c:v>0.14068965517241377</c:v>
                </c:pt>
                <c:pt idx="13">
                  <c:v>0.14965517241379309</c:v>
                </c:pt>
                <c:pt idx="14">
                  <c:v>0.17172413793103447</c:v>
                </c:pt>
                <c:pt idx="15">
                  <c:v>0.20965517241379308</c:v>
                </c:pt>
                <c:pt idx="16">
                  <c:v>0.21586206896551721</c:v>
                </c:pt>
                <c:pt idx="17">
                  <c:v>0.24413793103448272</c:v>
                </c:pt>
                <c:pt idx="18">
                  <c:v>0.26965517241379305</c:v>
                </c:pt>
                <c:pt idx="19">
                  <c:v>0.27724137931034476</c:v>
                </c:pt>
                <c:pt idx="20">
                  <c:v>0.29862068965517236</c:v>
                </c:pt>
                <c:pt idx="21">
                  <c:v>0.31034482758620685</c:v>
                </c:pt>
                <c:pt idx="22">
                  <c:v>0.32068965517241377</c:v>
                </c:pt>
                <c:pt idx="23">
                  <c:v>0.33172413793103445</c:v>
                </c:pt>
                <c:pt idx="24">
                  <c:v>0.42137931034482756</c:v>
                </c:pt>
                <c:pt idx="25">
                  <c:v>0.47793103448275859</c:v>
                </c:pt>
                <c:pt idx="26">
                  <c:v>0.53793103448275859</c:v>
                </c:pt>
                <c:pt idx="27">
                  <c:v>0.60827586206896544</c:v>
                </c:pt>
                <c:pt idx="28">
                  <c:v>0.70137931034482748</c:v>
                </c:pt>
                <c:pt idx="29">
                  <c:v>0.71448275862068955</c:v>
                </c:pt>
                <c:pt idx="30">
                  <c:v>0.80206896551724127</c:v>
                </c:pt>
                <c:pt idx="3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D5-49E6-BE48-931AE6879ACA}"/>
            </c:ext>
          </c:extLst>
        </c:ser>
        <c:ser>
          <c:idx val="2"/>
          <c:order val="2"/>
          <c:tx>
            <c:strRef>
              <c:f>'POUSO ALEGRE'!$O$1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ALEGRE'!$O$2:$O$33</c:f>
              <c:numCache>
                <c:formatCode>0.00</c:formatCode>
                <c:ptCount val="32"/>
                <c:pt idx="0">
                  <c:v>4.5317220543806651E-3</c:v>
                </c:pt>
                <c:pt idx="1">
                  <c:v>1.3595166163141995E-2</c:v>
                </c:pt>
                <c:pt idx="2">
                  <c:v>2.2658610271903325E-2</c:v>
                </c:pt>
                <c:pt idx="3">
                  <c:v>2.5679758308157101E-2</c:v>
                </c:pt>
                <c:pt idx="4">
                  <c:v>4.9093655589123868E-2</c:v>
                </c:pt>
                <c:pt idx="5">
                  <c:v>5.8157099697885198E-2</c:v>
                </c:pt>
                <c:pt idx="6">
                  <c:v>8.1570996978851965E-2</c:v>
                </c:pt>
                <c:pt idx="7">
                  <c:v>8.836858006042296E-2</c:v>
                </c:pt>
                <c:pt idx="8">
                  <c:v>0.10120845921450151</c:v>
                </c:pt>
                <c:pt idx="9">
                  <c:v>0.11027190332326284</c:v>
                </c:pt>
                <c:pt idx="10">
                  <c:v>0.12386706948640483</c:v>
                </c:pt>
                <c:pt idx="11">
                  <c:v>0.13897280966767372</c:v>
                </c:pt>
                <c:pt idx="12">
                  <c:v>0.16238670694864049</c:v>
                </c:pt>
                <c:pt idx="13">
                  <c:v>0.17673716012084592</c:v>
                </c:pt>
                <c:pt idx="14">
                  <c:v>0.2039274924471299</c:v>
                </c:pt>
                <c:pt idx="15">
                  <c:v>0.24244712990936557</c:v>
                </c:pt>
                <c:pt idx="16">
                  <c:v>0.2583081570996979</c:v>
                </c:pt>
                <c:pt idx="17">
                  <c:v>0.27794561933534745</c:v>
                </c:pt>
                <c:pt idx="18">
                  <c:v>0.31797583081571001</c:v>
                </c:pt>
                <c:pt idx="19">
                  <c:v>0.33534743202416922</c:v>
                </c:pt>
                <c:pt idx="20">
                  <c:v>0.34667673716012087</c:v>
                </c:pt>
                <c:pt idx="21">
                  <c:v>0.37462235649546832</c:v>
                </c:pt>
                <c:pt idx="22">
                  <c:v>0.39048338368580066</c:v>
                </c:pt>
                <c:pt idx="23">
                  <c:v>0.42673716012084595</c:v>
                </c:pt>
                <c:pt idx="24">
                  <c:v>0.50302114803625386</c:v>
                </c:pt>
                <c:pt idx="25">
                  <c:v>0.55362537764350461</c:v>
                </c:pt>
                <c:pt idx="26">
                  <c:v>0.6034743202416919</c:v>
                </c:pt>
                <c:pt idx="27">
                  <c:v>0.66389728096676748</c:v>
                </c:pt>
                <c:pt idx="28">
                  <c:v>0.74471299093655596</c:v>
                </c:pt>
                <c:pt idx="29">
                  <c:v>0.7522658610271904</c:v>
                </c:pt>
                <c:pt idx="30">
                  <c:v>0.81193353474320251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D5-49E6-BE48-931AE6879ACA}"/>
            </c:ext>
          </c:extLst>
        </c:ser>
        <c:ser>
          <c:idx val="3"/>
          <c:order val="3"/>
          <c:tx>
            <c:strRef>
              <c:f>'POUSO ALEGRE'!$P$1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ALEGRE'!$P$2:$P$33</c:f>
              <c:numCache>
                <c:formatCode>0.00</c:formatCode>
                <c:ptCount val="32"/>
                <c:pt idx="0">
                  <c:v>8.7873462214411256E-3</c:v>
                </c:pt>
                <c:pt idx="1">
                  <c:v>1.2302284710017576E-2</c:v>
                </c:pt>
                <c:pt idx="2">
                  <c:v>1.4059753954305801E-2</c:v>
                </c:pt>
                <c:pt idx="3">
                  <c:v>2.10896309314587E-2</c:v>
                </c:pt>
                <c:pt idx="4">
                  <c:v>4.7451669595782078E-2</c:v>
                </c:pt>
                <c:pt idx="5">
                  <c:v>5.4481546572934976E-2</c:v>
                </c:pt>
                <c:pt idx="6">
                  <c:v>7.7328646748681895E-2</c:v>
                </c:pt>
                <c:pt idx="7">
                  <c:v>8.9630931458699464E-2</c:v>
                </c:pt>
                <c:pt idx="8">
                  <c:v>0.10369068541300526</c:v>
                </c:pt>
                <c:pt idx="9">
                  <c:v>0.11072056239015816</c:v>
                </c:pt>
                <c:pt idx="10">
                  <c:v>0.11423550087873462</c:v>
                </c:pt>
                <c:pt idx="11">
                  <c:v>0.1265377855887522</c:v>
                </c:pt>
                <c:pt idx="12">
                  <c:v>0.14411247803163446</c:v>
                </c:pt>
                <c:pt idx="13">
                  <c:v>0.15465729349736382</c:v>
                </c:pt>
                <c:pt idx="14">
                  <c:v>0.1757469244288225</c:v>
                </c:pt>
                <c:pt idx="15">
                  <c:v>0.19683655536028122</c:v>
                </c:pt>
                <c:pt idx="16">
                  <c:v>0.20738137082601057</c:v>
                </c:pt>
                <c:pt idx="17">
                  <c:v>0.23725834797891041</c:v>
                </c:pt>
                <c:pt idx="18">
                  <c:v>0.2847100175746925</c:v>
                </c:pt>
                <c:pt idx="19">
                  <c:v>0.29701230228471009</c:v>
                </c:pt>
                <c:pt idx="20">
                  <c:v>0.30755711775043942</c:v>
                </c:pt>
                <c:pt idx="21">
                  <c:v>0.33040421792618635</c:v>
                </c:pt>
                <c:pt idx="22">
                  <c:v>0.36203866432337439</c:v>
                </c:pt>
                <c:pt idx="23">
                  <c:v>0.38137082601054484</c:v>
                </c:pt>
                <c:pt idx="24">
                  <c:v>0.4411247803163445</c:v>
                </c:pt>
                <c:pt idx="25">
                  <c:v>0.49912126537785595</c:v>
                </c:pt>
                <c:pt idx="26">
                  <c:v>0.54657293497363801</c:v>
                </c:pt>
                <c:pt idx="27">
                  <c:v>0.6221441124780317</c:v>
                </c:pt>
                <c:pt idx="28">
                  <c:v>0.70826010544815476</c:v>
                </c:pt>
                <c:pt idx="29">
                  <c:v>0.71177504393673119</c:v>
                </c:pt>
                <c:pt idx="30">
                  <c:v>0.79261862917398951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D5-49E6-BE48-931AE687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0304"/>
        <c:axId val="2055207504"/>
      </c:scatterChart>
      <c:valAx>
        <c:axId val="2055200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7504"/>
        <c:crosses val="autoZero"/>
        <c:crossBetween val="midCat"/>
      </c:valAx>
      <c:valAx>
        <c:axId val="2055207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LOURENÇO'!$J$1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LOURENÇO'!$J$2:$J$25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04-4B4C-B3A8-33965F0E9AF6}"/>
            </c:ext>
          </c:extLst>
        </c:ser>
        <c:ser>
          <c:idx val="1"/>
          <c:order val="1"/>
          <c:tx>
            <c:strRef>
              <c:f>'SÃO LOURENÇO'!$K$1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LOURENÇO'!$K$2:$K$25</c:f>
              <c:numCache>
                <c:formatCode>0.00</c:formatCode>
                <c:ptCount val="24"/>
                <c:pt idx="0">
                  <c:v>6.7829457364341084E-3</c:v>
                </c:pt>
                <c:pt idx="1">
                  <c:v>1.1627906976744186E-2</c:v>
                </c:pt>
                <c:pt idx="2">
                  <c:v>2.2286821705426355E-2</c:v>
                </c:pt>
                <c:pt idx="3">
                  <c:v>2.8100775193798447E-2</c:v>
                </c:pt>
                <c:pt idx="4">
                  <c:v>3.9728682170542637E-2</c:v>
                </c:pt>
                <c:pt idx="5">
                  <c:v>5.9108527131782947E-2</c:v>
                </c:pt>
                <c:pt idx="6">
                  <c:v>6.589147286821706E-2</c:v>
                </c:pt>
                <c:pt idx="7">
                  <c:v>9.1085271317829467E-2</c:v>
                </c:pt>
                <c:pt idx="8">
                  <c:v>0.10755813953488373</c:v>
                </c:pt>
                <c:pt idx="9">
                  <c:v>0.13565891472868219</c:v>
                </c:pt>
                <c:pt idx="10">
                  <c:v>0.17248062015503879</c:v>
                </c:pt>
                <c:pt idx="11">
                  <c:v>0.19670542635658916</c:v>
                </c:pt>
                <c:pt idx="12">
                  <c:v>0.24612403100775196</c:v>
                </c:pt>
                <c:pt idx="13">
                  <c:v>0.28294573643410853</c:v>
                </c:pt>
                <c:pt idx="14">
                  <c:v>0.32655038759689925</c:v>
                </c:pt>
                <c:pt idx="15">
                  <c:v>0.36434108527131787</c:v>
                </c:pt>
                <c:pt idx="16">
                  <c:v>0.41860465116279072</c:v>
                </c:pt>
                <c:pt idx="17">
                  <c:v>0.49515503875968991</c:v>
                </c:pt>
                <c:pt idx="18">
                  <c:v>0.54844961240310075</c:v>
                </c:pt>
                <c:pt idx="19">
                  <c:v>0.62984496124031009</c:v>
                </c:pt>
                <c:pt idx="20">
                  <c:v>0.73255813953488369</c:v>
                </c:pt>
                <c:pt idx="21">
                  <c:v>0.79166666666666663</c:v>
                </c:pt>
                <c:pt idx="22" formatCode="0.000">
                  <c:v>0.85465116279069764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04-4B4C-B3A8-33965F0E9AF6}"/>
            </c:ext>
          </c:extLst>
        </c:ser>
        <c:ser>
          <c:idx val="2"/>
          <c:order val="2"/>
          <c:tx>
            <c:strRef>
              <c:f>'SÃO LOURENÇO'!$L$1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LOURENÇO'!$L$2:$L$25</c:f>
              <c:numCache>
                <c:formatCode>0.00</c:formatCode>
                <c:ptCount val="24"/>
                <c:pt idx="0">
                  <c:v>2.1621621621621623E-2</c:v>
                </c:pt>
                <c:pt idx="1">
                  <c:v>2.8828828828828829E-2</c:v>
                </c:pt>
                <c:pt idx="2">
                  <c:v>3.2432432432432434E-2</c:v>
                </c:pt>
                <c:pt idx="3">
                  <c:v>3.783783783783784E-2</c:v>
                </c:pt>
                <c:pt idx="4">
                  <c:v>4.8648648648648651E-2</c:v>
                </c:pt>
                <c:pt idx="5">
                  <c:v>7.2072072072072071E-2</c:v>
                </c:pt>
                <c:pt idx="6">
                  <c:v>7.9279279279279274E-2</c:v>
                </c:pt>
                <c:pt idx="7">
                  <c:v>0.10450450450450449</c:v>
                </c:pt>
                <c:pt idx="8">
                  <c:v>0.1243243243243243</c:v>
                </c:pt>
                <c:pt idx="9">
                  <c:v>0.13513513513513511</c:v>
                </c:pt>
                <c:pt idx="10">
                  <c:v>0.18378378378378377</c:v>
                </c:pt>
                <c:pt idx="11">
                  <c:v>0.19279279279279277</c:v>
                </c:pt>
                <c:pt idx="12">
                  <c:v>0.20720720720720717</c:v>
                </c:pt>
                <c:pt idx="13">
                  <c:v>0.22342342342342339</c:v>
                </c:pt>
                <c:pt idx="14">
                  <c:v>0.31531531531531531</c:v>
                </c:pt>
                <c:pt idx="15">
                  <c:v>0.34054054054054056</c:v>
                </c:pt>
                <c:pt idx="16">
                  <c:v>0.40720720720720721</c:v>
                </c:pt>
                <c:pt idx="17">
                  <c:v>0.55855855855855863</c:v>
                </c:pt>
                <c:pt idx="18">
                  <c:v>0.60540540540540544</c:v>
                </c:pt>
                <c:pt idx="19">
                  <c:v>0.63963963963963966</c:v>
                </c:pt>
                <c:pt idx="20">
                  <c:v>0.75855855855855858</c:v>
                </c:pt>
                <c:pt idx="21">
                  <c:v>0.80540540540540539</c:v>
                </c:pt>
                <c:pt idx="22" formatCode="0.000">
                  <c:v>0.84864864864864864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04-4B4C-B3A8-33965F0E9AF6}"/>
            </c:ext>
          </c:extLst>
        </c:ser>
        <c:ser>
          <c:idx val="3"/>
          <c:order val="3"/>
          <c:tx>
            <c:strRef>
              <c:f>'SÃO LOURENÇO'!$M$1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LOURENÇO'!$M$2:$M$25</c:f>
              <c:numCache>
                <c:formatCode>0.00</c:formatCode>
                <c:ptCount val="24"/>
                <c:pt idx="0">
                  <c:v>1.6611295681063124E-2</c:v>
                </c:pt>
                <c:pt idx="1">
                  <c:v>3.6544850498338874E-2</c:v>
                </c:pt>
                <c:pt idx="2">
                  <c:v>4.4850498338870434E-2</c:v>
                </c:pt>
                <c:pt idx="3">
                  <c:v>4.817275747508306E-2</c:v>
                </c:pt>
                <c:pt idx="4">
                  <c:v>4.9833887043189369E-2</c:v>
                </c:pt>
                <c:pt idx="5">
                  <c:v>6.4784053156146187E-2</c:v>
                </c:pt>
                <c:pt idx="6">
                  <c:v>7.6411960132890366E-2</c:v>
                </c:pt>
                <c:pt idx="7">
                  <c:v>9.6345514950166106E-2</c:v>
                </c:pt>
                <c:pt idx="8">
                  <c:v>0.10299003322259136</c:v>
                </c:pt>
                <c:pt idx="9">
                  <c:v>0.12458471760797342</c:v>
                </c:pt>
                <c:pt idx="10">
                  <c:v>0.16611295681063123</c:v>
                </c:pt>
                <c:pt idx="11">
                  <c:v>0.17940199335548174</c:v>
                </c:pt>
                <c:pt idx="12">
                  <c:v>0.21760797342192692</c:v>
                </c:pt>
                <c:pt idx="13">
                  <c:v>0.23089700996677742</c:v>
                </c:pt>
                <c:pt idx="14">
                  <c:v>0.28903654485049834</c:v>
                </c:pt>
                <c:pt idx="15">
                  <c:v>0.32558139534883723</c:v>
                </c:pt>
                <c:pt idx="16">
                  <c:v>0.37541528239202659</c:v>
                </c:pt>
                <c:pt idx="17">
                  <c:v>0.49833887043189373</c:v>
                </c:pt>
                <c:pt idx="18">
                  <c:v>0.56478405315614622</c:v>
                </c:pt>
                <c:pt idx="19">
                  <c:v>0.59966777408637872</c:v>
                </c:pt>
                <c:pt idx="20">
                  <c:v>0.74916943521594681</c:v>
                </c:pt>
                <c:pt idx="21">
                  <c:v>0.78239202657807305</c:v>
                </c:pt>
                <c:pt idx="22" formatCode="0.000">
                  <c:v>0.85548172757475083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04-4B4C-B3A8-33965F0E9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00848"/>
        <c:axId val="668190288"/>
      </c:scatterChart>
      <c:valAx>
        <c:axId val="6682008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90288"/>
        <c:crosses val="autoZero"/>
        <c:crossBetween val="midCat"/>
      </c:valAx>
      <c:valAx>
        <c:axId val="6681902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LOURENÇO'!$J$1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LOURENÇO'!$J$2:$J$25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64-41DB-89BC-57E8E9092B29}"/>
            </c:ext>
          </c:extLst>
        </c:ser>
        <c:ser>
          <c:idx val="1"/>
          <c:order val="1"/>
          <c:tx>
            <c:strRef>
              <c:f>'SÃO LOURENÇO'!$N$1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LOURENÇO'!$N$2:$N$25</c:f>
              <c:numCache>
                <c:formatCode>0.00</c:formatCode>
                <c:ptCount val="24"/>
                <c:pt idx="0">
                  <c:v>9.7357440890125171E-3</c:v>
                </c:pt>
                <c:pt idx="1">
                  <c:v>1.4603616133518776E-2</c:v>
                </c:pt>
                <c:pt idx="2">
                  <c:v>2.3643949930458971E-2</c:v>
                </c:pt>
                <c:pt idx="3">
                  <c:v>3.129346314325452E-2</c:v>
                </c:pt>
                <c:pt idx="4">
                  <c:v>4.7983310152990261E-2</c:v>
                </c:pt>
                <c:pt idx="5">
                  <c:v>6.1891515994436715E-2</c:v>
                </c:pt>
                <c:pt idx="6">
                  <c:v>7.4408901251738518E-2</c:v>
                </c:pt>
                <c:pt idx="7">
                  <c:v>9.5966620305980521E-2</c:v>
                </c:pt>
                <c:pt idx="8">
                  <c:v>0.10500695410292071</c:v>
                </c:pt>
                <c:pt idx="9">
                  <c:v>0.12934631432545202</c:v>
                </c:pt>
                <c:pt idx="10">
                  <c:v>0.14673157162726008</c:v>
                </c:pt>
                <c:pt idx="11">
                  <c:v>0.16342141863699583</c:v>
                </c:pt>
                <c:pt idx="12">
                  <c:v>0.19819193324061196</c:v>
                </c:pt>
                <c:pt idx="13">
                  <c:v>0.2267037552155772</c:v>
                </c:pt>
                <c:pt idx="14">
                  <c:v>0.26842837273991654</c:v>
                </c:pt>
                <c:pt idx="15">
                  <c:v>0.31502086230876214</c:v>
                </c:pt>
                <c:pt idx="16">
                  <c:v>0.40472878998609174</c:v>
                </c:pt>
                <c:pt idx="17">
                  <c:v>0.49304589707927671</c:v>
                </c:pt>
                <c:pt idx="18">
                  <c:v>0.54381084840055627</c:v>
                </c:pt>
                <c:pt idx="19">
                  <c:v>0.60361613351877597</c:v>
                </c:pt>
                <c:pt idx="20">
                  <c:v>0.71766342141863693</c:v>
                </c:pt>
                <c:pt idx="21">
                  <c:v>0.78511821974965224</c:v>
                </c:pt>
                <c:pt idx="22" formatCode="0.000">
                  <c:v>0.84909596662030595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64-41DB-89BC-57E8E9092B29}"/>
            </c:ext>
          </c:extLst>
        </c:ser>
        <c:ser>
          <c:idx val="2"/>
          <c:order val="2"/>
          <c:tx>
            <c:strRef>
              <c:f>'SÃO LOURENÇO'!$O$1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LOURENÇO'!$O$2:$O$25</c:f>
              <c:numCache>
                <c:formatCode>0.00</c:formatCode>
                <c:ptCount val="24"/>
                <c:pt idx="0">
                  <c:v>8.8582677165354329E-3</c:v>
                </c:pt>
                <c:pt idx="1">
                  <c:v>1.5748031496062992E-2</c:v>
                </c:pt>
                <c:pt idx="2">
                  <c:v>2.8543307086614171E-2</c:v>
                </c:pt>
                <c:pt idx="3">
                  <c:v>4.2322834645669286E-2</c:v>
                </c:pt>
                <c:pt idx="4">
                  <c:v>5.4133858267716529E-2</c:v>
                </c:pt>
                <c:pt idx="5">
                  <c:v>7.1850393700787399E-2</c:v>
                </c:pt>
                <c:pt idx="6">
                  <c:v>8.070866141732283E-2</c:v>
                </c:pt>
                <c:pt idx="7">
                  <c:v>0.10433070866141732</c:v>
                </c:pt>
                <c:pt idx="8">
                  <c:v>0.12204724409448818</c:v>
                </c:pt>
                <c:pt idx="9">
                  <c:v>0.14566929133858267</c:v>
                </c:pt>
                <c:pt idx="10">
                  <c:v>0.16732283464566927</c:v>
                </c:pt>
                <c:pt idx="11">
                  <c:v>0.19389763779527558</c:v>
                </c:pt>
                <c:pt idx="12">
                  <c:v>0.23228346456692911</c:v>
                </c:pt>
                <c:pt idx="13">
                  <c:v>0.26870078740157477</c:v>
                </c:pt>
                <c:pt idx="14">
                  <c:v>0.31003937007874011</c:v>
                </c:pt>
                <c:pt idx="15">
                  <c:v>0.34547244094488183</c:v>
                </c:pt>
                <c:pt idx="16">
                  <c:v>0.41043307086614167</c:v>
                </c:pt>
                <c:pt idx="17">
                  <c:v>0.49212598425196841</c:v>
                </c:pt>
                <c:pt idx="18">
                  <c:v>0.53149606299212593</c:v>
                </c:pt>
                <c:pt idx="19">
                  <c:v>0.59251968503937003</c:v>
                </c:pt>
                <c:pt idx="20">
                  <c:v>0.68602362204724399</c:v>
                </c:pt>
                <c:pt idx="21">
                  <c:v>0.74114173228346447</c:v>
                </c:pt>
                <c:pt idx="22" formatCode="0.000">
                  <c:v>0.81102362204724399</c:v>
                </c:pt>
                <c:pt idx="2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64-41DB-89BC-57E8E9092B29}"/>
            </c:ext>
          </c:extLst>
        </c:ser>
        <c:ser>
          <c:idx val="3"/>
          <c:order val="3"/>
          <c:tx>
            <c:strRef>
              <c:f>'SÃO LOURENÇO'!$P$1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LOURENÇO'!$P$2:$P$25</c:f>
              <c:numCache>
                <c:formatCode>0.00</c:formatCode>
                <c:ptCount val="24"/>
                <c:pt idx="0">
                  <c:v>1.5065913370998116E-2</c:v>
                </c:pt>
                <c:pt idx="1">
                  <c:v>2.6365348399246702E-2</c:v>
                </c:pt>
                <c:pt idx="2">
                  <c:v>3.2015065913370999E-2</c:v>
                </c:pt>
                <c:pt idx="3">
                  <c:v>5.2730696798493411E-2</c:v>
                </c:pt>
                <c:pt idx="4">
                  <c:v>6.0263653483992471E-2</c:v>
                </c:pt>
                <c:pt idx="5">
                  <c:v>7.7212806026365349E-2</c:v>
                </c:pt>
                <c:pt idx="6">
                  <c:v>9.03954802259887E-2</c:v>
                </c:pt>
                <c:pt idx="7">
                  <c:v>0.11299435028248588</c:v>
                </c:pt>
                <c:pt idx="8">
                  <c:v>0.13370998116760829</c:v>
                </c:pt>
                <c:pt idx="9">
                  <c:v>0.1544256120527307</c:v>
                </c:pt>
                <c:pt idx="10">
                  <c:v>0.17890772128060264</c:v>
                </c:pt>
                <c:pt idx="11">
                  <c:v>0.2071563088512241</c:v>
                </c:pt>
                <c:pt idx="12">
                  <c:v>0.23728813559322035</c:v>
                </c:pt>
                <c:pt idx="13">
                  <c:v>0.25988700564971751</c:v>
                </c:pt>
                <c:pt idx="14">
                  <c:v>0.30508474576271183</c:v>
                </c:pt>
                <c:pt idx="15">
                  <c:v>0.33521657250470804</c:v>
                </c:pt>
                <c:pt idx="16">
                  <c:v>0.39736346516007526</c:v>
                </c:pt>
                <c:pt idx="17">
                  <c:v>0.48964218455743874</c:v>
                </c:pt>
                <c:pt idx="18">
                  <c:v>0.53295668549905828</c:v>
                </c:pt>
                <c:pt idx="19">
                  <c:v>0.58003766478342744</c:v>
                </c:pt>
                <c:pt idx="20">
                  <c:v>0.68361581920903947</c:v>
                </c:pt>
                <c:pt idx="21">
                  <c:v>0.72881355932203384</c:v>
                </c:pt>
                <c:pt idx="22" formatCode="0.000">
                  <c:v>0.79284369114877584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64-41DB-89BC-57E8E909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67568"/>
        <c:axId val="735670448"/>
      </c:scatterChart>
      <c:valAx>
        <c:axId val="735667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70448"/>
        <c:crosses val="autoZero"/>
        <c:crossBetween val="midCat"/>
      </c:valAx>
      <c:valAx>
        <c:axId val="735670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6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SEBASTIÃO DO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PARAÍSO'!$J$2:$J$7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F-4BB1-B045-93124CA6C0E5}"/>
            </c:ext>
          </c:extLst>
        </c:ser>
        <c:ser>
          <c:idx val="1"/>
          <c:order val="1"/>
          <c:tx>
            <c:strRef>
              <c:f>'SÃO SEBASTIÃO DO PARAÍSO'!$K$1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PARAÍSO'!$K$2:$K$7</c:f>
              <c:numCache>
                <c:formatCode>0.00</c:formatCode>
                <c:ptCount val="6"/>
                <c:pt idx="0">
                  <c:v>1.7676767676767676E-2</c:v>
                </c:pt>
                <c:pt idx="1">
                  <c:v>3.5353535353535352E-2</c:v>
                </c:pt>
                <c:pt idx="2">
                  <c:v>5.808080808080808E-2</c:v>
                </c:pt>
                <c:pt idx="3">
                  <c:v>7.0707070707070704E-2</c:v>
                </c:pt>
                <c:pt idx="4">
                  <c:v>0.35858585858585862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F-4BB1-B045-93124CA6C0E5}"/>
            </c:ext>
          </c:extLst>
        </c:ser>
        <c:ser>
          <c:idx val="2"/>
          <c:order val="2"/>
          <c:tx>
            <c:strRef>
              <c:f>'SÃO SEBASTIÃO DO PARAÍSO'!$L$1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PARAÍSO'!$L$2:$L$7</c:f>
              <c:numCache>
                <c:formatCode>0.00</c:formatCode>
                <c:ptCount val="6"/>
                <c:pt idx="0">
                  <c:v>1.6E-2</c:v>
                </c:pt>
                <c:pt idx="1">
                  <c:v>2.4E-2</c:v>
                </c:pt>
                <c:pt idx="2">
                  <c:v>4.8000000000000001E-2</c:v>
                </c:pt>
                <c:pt idx="3">
                  <c:v>5.2000000000000005E-2</c:v>
                </c:pt>
                <c:pt idx="4">
                  <c:v>0.38400000000000001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F-4BB1-B045-93124CA6C0E5}"/>
            </c:ext>
          </c:extLst>
        </c:ser>
        <c:ser>
          <c:idx val="3"/>
          <c:order val="3"/>
          <c:tx>
            <c:strRef>
              <c:f>'SÃO SEBASTIÃO DO PARAÍSO'!$M$1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PARAÍSO'!$M$2:$M$7</c:f>
              <c:numCache>
                <c:formatCode>0.00</c:formatCode>
                <c:ptCount val="6"/>
                <c:pt idx="0">
                  <c:v>6.369426751592357E-3</c:v>
                </c:pt>
                <c:pt idx="1">
                  <c:v>1.2738853503184714E-2</c:v>
                </c:pt>
                <c:pt idx="2">
                  <c:v>3.1847133757961783E-2</c:v>
                </c:pt>
                <c:pt idx="3">
                  <c:v>4.1401273885350316E-2</c:v>
                </c:pt>
                <c:pt idx="4">
                  <c:v>0.37261146496815284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F-4BB1-B045-93124CA6C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489936"/>
        <c:axId val="650490896"/>
      </c:scatterChart>
      <c:valAx>
        <c:axId val="650489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490896"/>
        <c:crosses val="autoZero"/>
        <c:crossBetween val="midCat"/>
      </c:valAx>
      <c:valAx>
        <c:axId val="650490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48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SEBASTIÃO DO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PARAÍSO'!$J$2:$J$7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31-44CB-8D2C-BA2D2DF4B2C5}"/>
            </c:ext>
          </c:extLst>
        </c:ser>
        <c:ser>
          <c:idx val="1"/>
          <c:order val="1"/>
          <c:tx>
            <c:strRef>
              <c:f>'SÃO SEBASTIÃO DO PARAÍSO'!$N$1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PARAÍSO'!$N$2:$N$7</c:f>
              <c:numCache>
                <c:formatCode>0.00</c:formatCode>
                <c:ptCount val="6"/>
                <c:pt idx="0">
                  <c:v>7.2202166064981949E-2</c:v>
                </c:pt>
                <c:pt idx="1">
                  <c:v>0.10288808664259927</c:v>
                </c:pt>
                <c:pt idx="2">
                  <c:v>0.15884476534296027</c:v>
                </c:pt>
                <c:pt idx="3">
                  <c:v>0.30324909747292417</c:v>
                </c:pt>
                <c:pt idx="4">
                  <c:v>0.49458483754512633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31-44CB-8D2C-BA2D2DF4B2C5}"/>
            </c:ext>
          </c:extLst>
        </c:ser>
        <c:ser>
          <c:idx val="2"/>
          <c:order val="2"/>
          <c:tx>
            <c:strRef>
              <c:f>'SÃO SEBASTIÃO DO PARAÍSO'!$O$1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PARAÍSO'!$O$2:$O$7</c:f>
              <c:numCache>
                <c:formatCode>0.00</c:formatCode>
                <c:ptCount val="6"/>
                <c:pt idx="0">
                  <c:v>9.45945945945946E-2</c:v>
                </c:pt>
                <c:pt idx="1">
                  <c:v>0.13513513513513514</c:v>
                </c:pt>
                <c:pt idx="2">
                  <c:v>0.20270270270270271</c:v>
                </c:pt>
                <c:pt idx="3">
                  <c:v>0.37297297297297299</c:v>
                </c:pt>
                <c:pt idx="4">
                  <c:v>0.60540540540540544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31-44CB-8D2C-BA2D2DF4B2C5}"/>
            </c:ext>
          </c:extLst>
        </c:ser>
        <c:ser>
          <c:idx val="3"/>
          <c:order val="3"/>
          <c:tx>
            <c:strRef>
              <c:f>'SÃO SEBASTIÃO DO PARAÍSO'!$P$1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PARAÍSO'!$P$2:$P$7</c:f>
              <c:numCache>
                <c:formatCode>0.00</c:formatCode>
                <c:ptCount val="6"/>
                <c:pt idx="0">
                  <c:v>6.8965517241379309E-2</c:v>
                </c:pt>
                <c:pt idx="1">
                  <c:v>0.11330049261083744</c:v>
                </c:pt>
                <c:pt idx="2">
                  <c:v>0.21182266009852219</c:v>
                </c:pt>
                <c:pt idx="3">
                  <c:v>0.3645320197044335</c:v>
                </c:pt>
                <c:pt idx="4">
                  <c:v>0.5714285714285714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31-44CB-8D2C-BA2D2DF4B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1456"/>
        <c:axId val="650501936"/>
      </c:scatterChart>
      <c:valAx>
        <c:axId val="650501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1936"/>
        <c:crosses val="autoZero"/>
        <c:crossBetween val="midCat"/>
      </c:valAx>
      <c:valAx>
        <c:axId val="65050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CORAÇÕES'!$J$1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CORAÇÕES'!$J$2:$J$7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F-4B46-895C-C95C9DEA3AED}"/>
            </c:ext>
          </c:extLst>
        </c:ser>
        <c:ser>
          <c:idx val="1"/>
          <c:order val="1"/>
          <c:tx>
            <c:strRef>
              <c:f>'TRÊS CORAÇÕES'!$K$1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CORAÇÕES'!$K$2:$K$7</c:f>
              <c:numCache>
                <c:formatCode>0.00</c:formatCode>
                <c:ptCount val="6"/>
                <c:pt idx="0">
                  <c:v>2.7253668763102725E-2</c:v>
                </c:pt>
                <c:pt idx="1">
                  <c:v>7.5471698113207544E-2</c:v>
                </c:pt>
                <c:pt idx="2">
                  <c:v>0.14046121593291405</c:v>
                </c:pt>
                <c:pt idx="3">
                  <c:v>0.27044025157232704</c:v>
                </c:pt>
                <c:pt idx="4">
                  <c:v>0.40251572327044027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DF-4B46-895C-C95C9DEA3AED}"/>
            </c:ext>
          </c:extLst>
        </c:ser>
        <c:ser>
          <c:idx val="2"/>
          <c:order val="2"/>
          <c:tx>
            <c:strRef>
              <c:f>'TRÊS CORAÇÕES'!$L$1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CORAÇÕES'!$L$2:$L$7</c:f>
              <c:numCache>
                <c:formatCode>0.00</c:formatCode>
                <c:ptCount val="6"/>
                <c:pt idx="0">
                  <c:v>2.6737967914438502E-2</c:v>
                </c:pt>
                <c:pt idx="1">
                  <c:v>5.8823529411764705E-2</c:v>
                </c:pt>
                <c:pt idx="2">
                  <c:v>0.11764705882352941</c:v>
                </c:pt>
                <c:pt idx="3">
                  <c:v>0.25668449197860965</c:v>
                </c:pt>
                <c:pt idx="4">
                  <c:v>0.48128342245989308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F-4B46-895C-C95C9DEA3AED}"/>
            </c:ext>
          </c:extLst>
        </c:ser>
        <c:ser>
          <c:idx val="3"/>
          <c:order val="3"/>
          <c:tx>
            <c:strRef>
              <c:f>'TRÊS CORAÇÕES'!$M$1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CORAÇÕES'!$M$2:$M$7</c:f>
              <c:numCache>
                <c:formatCode>0.00</c:formatCode>
                <c:ptCount val="6"/>
                <c:pt idx="0">
                  <c:v>1.7647058823529412E-2</c:v>
                </c:pt>
                <c:pt idx="1">
                  <c:v>4.1176470588235294E-2</c:v>
                </c:pt>
                <c:pt idx="2">
                  <c:v>0.16470588235294117</c:v>
                </c:pt>
                <c:pt idx="3">
                  <c:v>0.31176470588235294</c:v>
                </c:pt>
                <c:pt idx="4">
                  <c:v>0.47058823529411764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DF-4B46-895C-C95C9DEA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04688"/>
        <c:axId val="668203728"/>
      </c:scatterChart>
      <c:valAx>
        <c:axId val="668204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3728"/>
        <c:crosses val="autoZero"/>
        <c:crossBetween val="midCat"/>
      </c:valAx>
      <c:valAx>
        <c:axId val="668203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CORAÇÕES'!$J$1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CORAÇÕES'!$J$2:$J$7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AF-4F47-A776-0BF422E45DCC}"/>
            </c:ext>
          </c:extLst>
        </c:ser>
        <c:ser>
          <c:idx val="1"/>
          <c:order val="1"/>
          <c:tx>
            <c:strRef>
              <c:f>'TRÊS CORAÇÕES'!$N$1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CORAÇÕES'!$N$2:$N$7</c:f>
              <c:numCache>
                <c:formatCode>0.00</c:formatCode>
                <c:ptCount val="6"/>
                <c:pt idx="0">
                  <c:v>5.3465346534653464E-2</c:v>
                </c:pt>
                <c:pt idx="1">
                  <c:v>9.9009900990099015E-2</c:v>
                </c:pt>
                <c:pt idx="2">
                  <c:v>0.23960396039603962</c:v>
                </c:pt>
                <c:pt idx="3">
                  <c:v>0.36633663366336633</c:v>
                </c:pt>
                <c:pt idx="4">
                  <c:v>0.47524752475247523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AF-4F47-A776-0BF422E45DCC}"/>
            </c:ext>
          </c:extLst>
        </c:ser>
        <c:ser>
          <c:idx val="2"/>
          <c:order val="2"/>
          <c:tx>
            <c:strRef>
              <c:f>'TRÊS CORAÇÕES'!$O$1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CORAÇÕES'!$O$2:$O$7</c:f>
              <c:numCache>
                <c:formatCode>0.00</c:formatCode>
                <c:ptCount val="6"/>
                <c:pt idx="0">
                  <c:v>7.9411764705882348E-2</c:v>
                </c:pt>
                <c:pt idx="1">
                  <c:v>0.13235294117647059</c:v>
                </c:pt>
                <c:pt idx="2">
                  <c:v>0.21470588235294119</c:v>
                </c:pt>
                <c:pt idx="3">
                  <c:v>0.32941176470588235</c:v>
                </c:pt>
                <c:pt idx="4">
                  <c:v>0.45294117647058824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AF-4F47-A776-0BF422E45DCC}"/>
            </c:ext>
          </c:extLst>
        </c:ser>
        <c:ser>
          <c:idx val="3"/>
          <c:order val="3"/>
          <c:tx>
            <c:strRef>
              <c:f>'TRÊS CORAÇÕES'!$P$1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CORAÇÕES'!$P$2:$P$7</c:f>
              <c:numCache>
                <c:formatCode>0.00</c:formatCode>
                <c:ptCount val="6"/>
                <c:pt idx="0">
                  <c:v>3.4653465346534656E-2</c:v>
                </c:pt>
                <c:pt idx="1">
                  <c:v>7.9207920792079209E-2</c:v>
                </c:pt>
                <c:pt idx="2">
                  <c:v>0.21782178217821785</c:v>
                </c:pt>
                <c:pt idx="3">
                  <c:v>0.32673267326732675</c:v>
                </c:pt>
                <c:pt idx="4">
                  <c:v>0.49009900990099009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AF-4F47-A776-0BF422E4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58064"/>
        <c:axId val="639358544"/>
      </c:scatterChart>
      <c:valAx>
        <c:axId val="639358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8544"/>
        <c:crosses val="autoZero"/>
        <c:crossBetween val="midCat"/>
      </c:valAx>
      <c:valAx>
        <c:axId val="639358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PONTAS'!$J$1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PONTAS'!$J$2:$J$6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0-45FB-9D96-E848C0B1453A}"/>
            </c:ext>
          </c:extLst>
        </c:ser>
        <c:ser>
          <c:idx val="1"/>
          <c:order val="1"/>
          <c:tx>
            <c:strRef>
              <c:f>'TRÊS PONTAS'!$K$1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PONTAS'!$K$2:$K$6</c:f>
              <c:numCache>
                <c:formatCode>0.00</c:formatCode>
                <c:ptCount val="5"/>
                <c:pt idx="0">
                  <c:v>2.5806451612903226E-2</c:v>
                </c:pt>
                <c:pt idx="1">
                  <c:v>9.0322580645161285E-2</c:v>
                </c:pt>
                <c:pt idx="2">
                  <c:v>0.25161290322580643</c:v>
                </c:pt>
                <c:pt idx="3">
                  <c:v>0.72258064516129028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0-45FB-9D96-E848C0B1453A}"/>
            </c:ext>
          </c:extLst>
        </c:ser>
        <c:ser>
          <c:idx val="2"/>
          <c:order val="2"/>
          <c:tx>
            <c:strRef>
              <c:f>'TRÊS PONTAS'!$L$1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PONTAS'!$L$2:$L$6</c:f>
              <c:numCache>
                <c:formatCode>0.00</c:formatCode>
                <c:ptCount val="5"/>
                <c:pt idx="0">
                  <c:v>2.7522935779816515E-2</c:v>
                </c:pt>
                <c:pt idx="1">
                  <c:v>5.5045871559633031E-2</c:v>
                </c:pt>
                <c:pt idx="2">
                  <c:v>0.13302752293577982</c:v>
                </c:pt>
                <c:pt idx="3">
                  <c:v>0.75229357798165131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E0-45FB-9D96-E848C0B1453A}"/>
            </c:ext>
          </c:extLst>
        </c:ser>
        <c:ser>
          <c:idx val="3"/>
          <c:order val="3"/>
          <c:tx>
            <c:strRef>
              <c:f>'TRÊS PONTAS'!$M$1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PONTAS'!$M$2:$M$6</c:f>
              <c:numCache>
                <c:formatCode>0.00</c:formatCode>
                <c:ptCount val="5"/>
                <c:pt idx="0">
                  <c:v>2.8901734104046242E-2</c:v>
                </c:pt>
                <c:pt idx="1">
                  <c:v>7.5144508670520221E-2</c:v>
                </c:pt>
                <c:pt idx="2">
                  <c:v>0.24277456647398843</c:v>
                </c:pt>
                <c:pt idx="3">
                  <c:v>0.89017341040462428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E0-45FB-9D96-E848C0B14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3936"/>
        <c:axId val="650514896"/>
      </c:scatterChart>
      <c:valAx>
        <c:axId val="650513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4896"/>
        <c:crosses val="autoZero"/>
        <c:crossBetween val="midCat"/>
      </c:valAx>
      <c:valAx>
        <c:axId val="650514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PONTAS'!$J$1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PONTAS'!$J$2:$J$6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0-4BE8-9242-7A4B2930433F}"/>
            </c:ext>
          </c:extLst>
        </c:ser>
        <c:ser>
          <c:idx val="1"/>
          <c:order val="1"/>
          <c:tx>
            <c:strRef>
              <c:f>'TRÊS PONTAS'!$N$1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PONTAS'!$N$2:$N$6</c:f>
              <c:numCache>
                <c:formatCode>0.00</c:formatCode>
                <c:ptCount val="5"/>
                <c:pt idx="0">
                  <c:v>9.1954022988505746E-2</c:v>
                </c:pt>
                <c:pt idx="1">
                  <c:v>0.1954022988505747</c:v>
                </c:pt>
                <c:pt idx="2">
                  <c:v>0.36781609195402298</c:v>
                </c:pt>
                <c:pt idx="3">
                  <c:v>0.85344827586206895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0-4BE8-9242-7A4B2930433F}"/>
            </c:ext>
          </c:extLst>
        </c:ser>
        <c:ser>
          <c:idx val="2"/>
          <c:order val="2"/>
          <c:tx>
            <c:strRef>
              <c:f>'TRÊS PONTAS'!$O$1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PONTAS'!$O$2:$O$6</c:f>
              <c:numCache>
                <c:formatCode>0.00</c:formatCode>
                <c:ptCount val="5"/>
                <c:pt idx="0">
                  <c:v>4.2704626334519574E-2</c:v>
                </c:pt>
                <c:pt idx="1">
                  <c:v>0.14590747330960854</c:v>
                </c:pt>
                <c:pt idx="2">
                  <c:v>0.28113879003558717</c:v>
                </c:pt>
                <c:pt idx="3">
                  <c:v>0.68327402135231319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0-4BE8-9242-7A4B2930433F}"/>
            </c:ext>
          </c:extLst>
        </c:ser>
        <c:ser>
          <c:idx val="3"/>
          <c:order val="3"/>
          <c:tx>
            <c:strRef>
              <c:f>'TRÊS PONTAS'!$P$1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PONTAS'!$P$2:$P$6</c:f>
              <c:numCache>
                <c:formatCode>0.00</c:formatCode>
                <c:ptCount val="5"/>
                <c:pt idx="0">
                  <c:v>7.8212290502793297E-2</c:v>
                </c:pt>
                <c:pt idx="1">
                  <c:v>0.2011173184357542</c:v>
                </c:pt>
                <c:pt idx="2">
                  <c:v>0.36312849162011174</c:v>
                </c:pt>
                <c:pt idx="3">
                  <c:v>0.7094972067039107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0-4BE8-9242-7A4B29304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4208"/>
        <c:axId val="562876608"/>
      </c:scatterChart>
      <c:valAx>
        <c:axId val="562874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6608"/>
        <c:crosses val="autoZero"/>
        <c:crossBetween val="midCat"/>
      </c:valAx>
      <c:valAx>
        <c:axId val="562876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VARGINHA!$J$1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VARGINHA!$J$2:$J$6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B-44F1-BA7C-0FC776F0C2E5}"/>
            </c:ext>
          </c:extLst>
        </c:ser>
        <c:ser>
          <c:idx val="1"/>
          <c:order val="1"/>
          <c:tx>
            <c:strRef>
              <c:f>VARGINHA!$K$1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VARGINHA!$K$2:$K$6</c:f>
              <c:numCache>
                <c:formatCode>0.00</c:formatCode>
                <c:ptCount val="5"/>
                <c:pt idx="0">
                  <c:v>1.8518518518518517E-2</c:v>
                </c:pt>
                <c:pt idx="1">
                  <c:v>7.407407407407407E-2</c:v>
                </c:pt>
                <c:pt idx="2">
                  <c:v>0.21885521885521886</c:v>
                </c:pt>
                <c:pt idx="3">
                  <c:v>0.46464646464646464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8B-44F1-BA7C-0FC776F0C2E5}"/>
            </c:ext>
          </c:extLst>
        </c:ser>
        <c:ser>
          <c:idx val="2"/>
          <c:order val="2"/>
          <c:tx>
            <c:strRef>
              <c:f>VARGINHA!$L$1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VARGINHA!$L$2:$L$6</c:f>
              <c:numCache>
                <c:formatCode>0.00</c:formatCode>
                <c:ptCount val="5"/>
                <c:pt idx="0">
                  <c:v>4.1543026706231452E-2</c:v>
                </c:pt>
                <c:pt idx="1">
                  <c:v>0.14540059347181009</c:v>
                </c:pt>
                <c:pt idx="2">
                  <c:v>0.37388724035608312</c:v>
                </c:pt>
                <c:pt idx="3">
                  <c:v>0.70623145400593468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8B-44F1-BA7C-0FC776F0C2E5}"/>
            </c:ext>
          </c:extLst>
        </c:ser>
        <c:ser>
          <c:idx val="3"/>
          <c:order val="3"/>
          <c:tx>
            <c:strRef>
              <c:f>VARGINHA!$M$1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VARGINHA!$M$2:$M$6</c:f>
              <c:numCache>
                <c:formatCode>0.00</c:formatCode>
                <c:ptCount val="5"/>
                <c:pt idx="0">
                  <c:v>8.9820359281437123E-3</c:v>
                </c:pt>
                <c:pt idx="1">
                  <c:v>6.2874251497005984E-2</c:v>
                </c:pt>
                <c:pt idx="2">
                  <c:v>0.20359281437125748</c:v>
                </c:pt>
                <c:pt idx="3">
                  <c:v>0.55988023952095811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8B-44F1-BA7C-0FC776F0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946960"/>
        <c:axId val="342949840"/>
      </c:scatterChart>
      <c:valAx>
        <c:axId val="3429469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9840"/>
        <c:crosses val="autoZero"/>
        <c:crossBetween val="midCat"/>
      </c:valAx>
      <c:valAx>
        <c:axId val="3429498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VARGINHA!$J$1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VARGINHA!$J$2:$J$6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35-4AB7-806F-CC31AB2CACE3}"/>
            </c:ext>
          </c:extLst>
        </c:ser>
        <c:ser>
          <c:idx val="1"/>
          <c:order val="1"/>
          <c:tx>
            <c:strRef>
              <c:f>VARGINHA!$N$1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VARGINHA!$N$2:$N$6</c:f>
              <c:numCache>
                <c:formatCode>0.00</c:formatCode>
                <c:ptCount val="5"/>
                <c:pt idx="0">
                  <c:v>1.8722466960352423E-2</c:v>
                </c:pt>
                <c:pt idx="1">
                  <c:v>6.71806167400881E-2</c:v>
                </c:pt>
                <c:pt idx="2">
                  <c:v>0.21696035242290748</c:v>
                </c:pt>
                <c:pt idx="3">
                  <c:v>0.38105726872246692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35-4AB7-806F-CC31AB2CACE3}"/>
            </c:ext>
          </c:extLst>
        </c:ser>
        <c:ser>
          <c:idx val="2"/>
          <c:order val="2"/>
          <c:tx>
            <c:strRef>
              <c:f>VARGINHA!$O$1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VARGINHA!$O$2:$O$6</c:f>
              <c:numCache>
                <c:formatCode>0.00</c:formatCode>
                <c:ptCount val="5"/>
                <c:pt idx="0">
                  <c:v>3.0701754385964911E-2</c:v>
                </c:pt>
                <c:pt idx="1">
                  <c:v>7.6023391812865493E-2</c:v>
                </c:pt>
                <c:pt idx="2">
                  <c:v>0.24707602339181287</c:v>
                </c:pt>
                <c:pt idx="3">
                  <c:v>0.36695906432748537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35-4AB7-806F-CC31AB2CACE3}"/>
            </c:ext>
          </c:extLst>
        </c:ser>
        <c:ser>
          <c:idx val="3"/>
          <c:order val="3"/>
          <c:tx>
            <c:strRef>
              <c:f>VARGINHA!$P$1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VARGINHA!$P$2:$P$6</c:f>
              <c:numCache>
                <c:formatCode>0.00</c:formatCode>
                <c:ptCount val="5"/>
                <c:pt idx="0">
                  <c:v>3.2467532467532464E-2</c:v>
                </c:pt>
                <c:pt idx="1">
                  <c:v>8.1168831168831168E-2</c:v>
                </c:pt>
                <c:pt idx="2">
                  <c:v>0.2435064935064935</c:v>
                </c:pt>
                <c:pt idx="3">
                  <c:v>0.43506493506493504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35-4AB7-806F-CC31AB2C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140432"/>
        <c:axId val="653156272"/>
      </c:scatterChart>
      <c:valAx>
        <c:axId val="653140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56272"/>
        <c:crosses val="autoZero"/>
        <c:crossBetween val="midCat"/>
      </c:valAx>
      <c:valAx>
        <c:axId val="653156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4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80010</xdr:rowOff>
    </xdr:from>
    <xdr:to>
      <xdr:col>23</xdr:col>
      <xdr:colOff>388620</xdr:colOff>
      <xdr:row>14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31378F-F8DB-5D43-8837-3B5765580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14</xdr:row>
      <xdr:rowOff>148590</xdr:rowOff>
    </xdr:from>
    <xdr:to>
      <xdr:col>23</xdr:col>
      <xdr:colOff>388620</xdr:colOff>
      <xdr:row>28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5C8B3EF-8C59-80CB-E19E-28EAAF321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95250</xdr:rowOff>
    </xdr:from>
    <xdr:to>
      <xdr:col>23</xdr:col>
      <xdr:colOff>480060</xdr:colOff>
      <xdr:row>13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4B2F308-7659-733A-CE90-937D2168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13</xdr:row>
      <xdr:rowOff>140970</xdr:rowOff>
    </xdr:from>
    <xdr:to>
      <xdr:col>23</xdr:col>
      <xdr:colOff>495300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B407C5C-60CF-5976-E543-108A95C6A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121595</xdr:colOff>
      <xdr:row>0</xdr:row>
      <xdr:rowOff>63230</xdr:rowOff>
    </xdr:from>
    <xdr:to>
      <xdr:col>23</xdr:col>
      <xdr:colOff>437744</xdr:colOff>
      <xdr:row>13</xdr:row>
      <xdr:rowOff>34047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1CB0C-2812-29AC-9EDA-7B3563E15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129701</xdr:colOff>
      <xdr:row>13</xdr:row>
      <xdr:rowOff>103761</xdr:rowOff>
    </xdr:from>
    <xdr:to>
      <xdr:col>23</xdr:col>
      <xdr:colOff>445850</xdr:colOff>
      <xdr:row>28</xdr:row>
      <xdr:rowOff>50259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7742C55-0458-E6E8-F7E3-36685BD1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95250</xdr:rowOff>
    </xdr:from>
    <xdr:to>
      <xdr:col>23</xdr:col>
      <xdr:colOff>388620</xdr:colOff>
      <xdr:row>14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81DF0F-764F-2B98-7836-465FC2646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156210</xdr:rowOff>
    </xdr:from>
    <xdr:to>
      <xdr:col>23</xdr:col>
      <xdr:colOff>396240</xdr:colOff>
      <xdr:row>28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0544473-DD78-9B72-B816-80616EAD3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0</xdr:row>
      <xdr:rowOff>57150</xdr:rowOff>
    </xdr:from>
    <xdr:to>
      <xdr:col>23</xdr:col>
      <xdr:colOff>358140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4FFD5B-301E-68A3-53C7-3C17E33F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13</xdr:row>
      <xdr:rowOff>102870</xdr:rowOff>
    </xdr:from>
    <xdr:to>
      <xdr:col>23</xdr:col>
      <xdr:colOff>373380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C143B3-5B32-3E88-5279-79EFE6FA8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80010</xdr:rowOff>
    </xdr:from>
    <xdr:to>
      <xdr:col>23</xdr:col>
      <xdr:colOff>419100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14AC79-32A4-8846-1956-E0FB4B824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140970</xdr:rowOff>
    </xdr:from>
    <xdr:to>
      <xdr:col>23</xdr:col>
      <xdr:colOff>441960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DC6018F-74D2-95DC-A417-C1D5B5258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49530</xdr:rowOff>
    </xdr:from>
    <xdr:to>
      <xdr:col>23</xdr:col>
      <xdr:colOff>365760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1E8403D-202D-7800-F9DA-5AA26CFBD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13</xdr:row>
      <xdr:rowOff>72390</xdr:rowOff>
    </xdr:from>
    <xdr:to>
      <xdr:col>23</xdr:col>
      <xdr:colOff>373380</xdr:colOff>
      <xdr:row>28</xdr:row>
      <xdr:rowOff>72390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DD7DCA6-BE9B-E242-E4EE-1186C3080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64770</xdr:rowOff>
    </xdr:from>
    <xdr:to>
      <xdr:col>23</xdr:col>
      <xdr:colOff>365760</xdr:colOff>
      <xdr:row>13</xdr:row>
      <xdr:rowOff>72390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A0E7FD-ACA2-CD0F-AFE5-D9B52D2C0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13</xdr:row>
      <xdr:rowOff>110490</xdr:rowOff>
    </xdr:from>
    <xdr:to>
      <xdr:col>23</xdr:col>
      <xdr:colOff>381000</xdr:colOff>
      <xdr:row>28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4424B3-B951-A9A7-E653-4632E5E87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127000</xdr:colOff>
      <xdr:row>0</xdr:row>
      <xdr:rowOff>161159</xdr:rowOff>
    </xdr:from>
    <xdr:to>
      <xdr:col>23</xdr:col>
      <xdr:colOff>407276</xdr:colOff>
      <xdr:row>14</xdr:row>
      <xdr:rowOff>154152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573672-875A-58FD-2EF6-7E592B13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126999</xdr:colOff>
      <xdr:row>15</xdr:row>
      <xdr:rowOff>73573</xdr:rowOff>
    </xdr:from>
    <xdr:to>
      <xdr:col>23</xdr:col>
      <xdr:colOff>407275</xdr:colOff>
      <xdr:row>30</xdr:row>
      <xdr:rowOff>57808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348B3-64B9-7633-26F5-7B4220FFC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64770</xdr:rowOff>
    </xdr:from>
    <xdr:to>
      <xdr:col>23</xdr:col>
      <xdr:colOff>388620</xdr:colOff>
      <xdr:row>14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DD88F2-25D9-2DCD-F548-5EE3664E7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102870</xdr:rowOff>
    </xdr:from>
    <xdr:to>
      <xdr:col>23</xdr:col>
      <xdr:colOff>403860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6263DC-CD35-80DB-3F91-9CBF9A772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0</xdr:row>
      <xdr:rowOff>57150</xdr:rowOff>
    </xdr:from>
    <xdr:to>
      <xdr:col>23</xdr:col>
      <xdr:colOff>457200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164D613-91D5-856B-E485-D7A516D1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133350</xdr:rowOff>
    </xdr:from>
    <xdr:to>
      <xdr:col>23</xdr:col>
      <xdr:colOff>449580</xdr:colOff>
      <xdr:row>28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BD5212-1B4B-A116-0927-DADCDAD10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80010</xdr:rowOff>
    </xdr:from>
    <xdr:to>
      <xdr:col>23</xdr:col>
      <xdr:colOff>403860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23D55BD-6DE9-7530-D4C6-9A997FE7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13</xdr:row>
      <xdr:rowOff>133350</xdr:rowOff>
    </xdr:from>
    <xdr:to>
      <xdr:col>23</xdr:col>
      <xdr:colOff>411480</xdr:colOff>
      <xdr:row>28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D4EA155-486E-08D2-73A2-4359B62D3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11430</xdr:rowOff>
    </xdr:from>
    <xdr:to>
      <xdr:col>23</xdr:col>
      <xdr:colOff>396240</xdr:colOff>
      <xdr:row>13</xdr:row>
      <xdr:rowOff>19050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734B339-D928-B21B-A121-6DDFE9F5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13</xdr:row>
      <xdr:rowOff>57150</xdr:rowOff>
    </xdr:from>
    <xdr:to>
      <xdr:col>23</xdr:col>
      <xdr:colOff>434340</xdr:colOff>
      <xdr:row>28</xdr:row>
      <xdr:rowOff>57150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5E15E48-35A8-0AD3-B232-ABD7948E4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34290</xdr:rowOff>
    </xdr:from>
    <xdr:to>
      <xdr:col>23</xdr:col>
      <xdr:colOff>426720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430E51-11DD-30A8-5A18-27B3B3C0F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102870</xdr:rowOff>
    </xdr:from>
    <xdr:to>
      <xdr:col>23</xdr:col>
      <xdr:colOff>441960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65BA855-EAE1-0864-B53B-B1C209F59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18F9-396E-4F37-B50C-51A81B3B7708}">
  <dimension ref="A1:P37"/>
  <sheetViews>
    <sheetView workbookViewId="0">
      <selection activeCell="K37" sqref="K37:P37"/>
    </sheetView>
  </sheetViews>
  <sheetFormatPr defaultRowHeight="14.4" x14ac:dyDescent="0.3"/>
  <cols>
    <col min="11" max="16" width="12" bestFit="1" customWidth="1"/>
  </cols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11</v>
      </c>
      <c r="B2" s="9">
        <v>7.7966435679332653E-3</v>
      </c>
      <c r="C2" s="9">
        <v>1.0309278350515464E-2</v>
      </c>
      <c r="D2" s="9">
        <v>1.1023622047244094E-2</v>
      </c>
      <c r="E2" s="9">
        <v>5.8055152394775036E-3</v>
      </c>
      <c r="F2" s="9">
        <v>5.772005772005772E-3</v>
      </c>
      <c r="G2" s="9">
        <v>7.8973346495557744E-3</v>
      </c>
      <c r="H2" s="9">
        <v>1.7647058823529412E-2</v>
      </c>
      <c r="I2" s="10">
        <v>7.7966435679332653E-3</v>
      </c>
      <c r="J2" s="9">
        <v>7.7966435679332653E-3</v>
      </c>
      <c r="K2" s="9">
        <v>1.0309278350515464E-2</v>
      </c>
      <c r="L2" s="9">
        <v>1.1023622047244094E-2</v>
      </c>
      <c r="M2" s="9">
        <v>5.8055152394775036E-3</v>
      </c>
      <c r="N2" s="9">
        <v>5.772005772005772E-3</v>
      </c>
      <c r="O2" s="9">
        <v>7.8973346495557744E-3</v>
      </c>
      <c r="P2" s="9">
        <v>1.7647058823529412E-2</v>
      </c>
    </row>
    <row r="3" spans="1:16" x14ac:dyDescent="0.3">
      <c r="A3" s="10" t="s">
        <v>8</v>
      </c>
      <c r="B3" s="9">
        <v>1.1869026897435055E-2</v>
      </c>
      <c r="C3" s="9">
        <v>1.9882179675994108E-2</v>
      </c>
      <c r="D3" s="9">
        <v>3.1496062992125984E-3</v>
      </c>
      <c r="E3" s="9">
        <v>0</v>
      </c>
      <c r="F3" s="9">
        <v>8.658008658008658E-3</v>
      </c>
      <c r="G3" s="9">
        <v>6.9101678183613032E-3</v>
      </c>
      <c r="H3" s="9">
        <v>7.8431372549019607E-3</v>
      </c>
      <c r="I3" s="10">
        <v>1.966567046536832E-2</v>
      </c>
      <c r="J3" s="10">
        <f>J2+B3</f>
        <v>1.966567046536832E-2</v>
      </c>
      <c r="K3" s="10">
        <f t="shared" ref="K3:P17" si="0">K2+C3</f>
        <v>3.019145802650957E-2</v>
      </c>
      <c r="L3" s="10">
        <f t="shared" si="0"/>
        <v>1.4173228346456693E-2</v>
      </c>
      <c r="M3" s="10">
        <f t="shared" si="0"/>
        <v>5.8055152394775036E-3</v>
      </c>
      <c r="N3" s="10">
        <f t="shared" si="0"/>
        <v>1.443001443001443E-2</v>
      </c>
      <c r="O3" s="10">
        <f t="shared" si="0"/>
        <v>1.4807502467917077E-2</v>
      </c>
      <c r="P3" s="10">
        <f t="shared" si="0"/>
        <v>2.5490196078431372E-2</v>
      </c>
    </row>
    <row r="4" spans="1:16" x14ac:dyDescent="0.3">
      <c r="A4" s="10" t="s">
        <v>3</v>
      </c>
      <c r="B4" s="9">
        <v>1.9074518046569674E-2</v>
      </c>
      <c r="C4" s="9">
        <v>9.5729013254786458E-3</v>
      </c>
      <c r="D4" s="9">
        <v>1.2598425196850394E-2</v>
      </c>
      <c r="E4" s="9">
        <v>4.3541364296081275E-3</v>
      </c>
      <c r="F4" s="9">
        <v>1.948051948051948E-2</v>
      </c>
      <c r="G4" s="9">
        <v>7.8973346495557744E-3</v>
      </c>
      <c r="H4" s="9">
        <v>5.6862745098039215E-2</v>
      </c>
      <c r="I4" s="10">
        <v>3.8740188511937994E-2</v>
      </c>
      <c r="J4" s="10">
        <f t="shared" ref="J4:J17" si="1">J3+B4</f>
        <v>3.8740188511937994E-2</v>
      </c>
      <c r="K4" s="10">
        <f t="shared" si="0"/>
        <v>3.9764359351988215E-2</v>
      </c>
      <c r="L4" s="10">
        <f t="shared" si="0"/>
        <v>2.6771653543307086E-2</v>
      </c>
      <c r="M4" s="10">
        <f t="shared" si="0"/>
        <v>1.0159651669085631E-2</v>
      </c>
      <c r="N4" s="10">
        <f t="shared" si="0"/>
        <v>3.3910533910533912E-2</v>
      </c>
      <c r="O4" s="10">
        <f t="shared" si="0"/>
        <v>2.2704837117472849E-2</v>
      </c>
      <c r="P4" s="10">
        <f t="shared" si="0"/>
        <v>8.2352941176470587E-2</v>
      </c>
    </row>
    <row r="5" spans="1:16" x14ac:dyDescent="0.3">
      <c r="A5" s="10" t="s">
        <v>10</v>
      </c>
      <c r="B5" s="9">
        <v>1.9833163650694603E-2</v>
      </c>
      <c r="C5" s="9">
        <v>2.5036818851251842E-2</v>
      </c>
      <c r="D5" s="9">
        <v>1.7322834645669291E-2</v>
      </c>
      <c r="E5" s="9">
        <v>1.0159651669085631E-2</v>
      </c>
      <c r="F5" s="9">
        <v>1.5151515151515152E-2</v>
      </c>
      <c r="G5" s="9">
        <v>1.6781836130306021E-2</v>
      </c>
      <c r="H5" s="9">
        <v>1.1764705882352941E-2</v>
      </c>
      <c r="I5" s="10">
        <v>5.8573352162632597E-2</v>
      </c>
      <c r="J5" s="10">
        <f t="shared" si="1"/>
        <v>5.8573352162632597E-2</v>
      </c>
      <c r="K5" s="10">
        <f t="shared" si="0"/>
        <v>6.4801178203240051E-2</v>
      </c>
      <c r="L5" s="10">
        <f t="shared" si="0"/>
        <v>4.4094488188976377E-2</v>
      </c>
      <c r="M5" s="10">
        <f t="shared" si="0"/>
        <v>2.0319303338171262E-2</v>
      </c>
      <c r="N5" s="10">
        <f t="shared" si="0"/>
        <v>4.9062049062049064E-2</v>
      </c>
      <c r="O5" s="10">
        <f t="shared" si="0"/>
        <v>3.9486673247778867E-2</v>
      </c>
      <c r="P5" s="10">
        <f t="shared" si="0"/>
        <v>9.4117647058823528E-2</v>
      </c>
    </row>
    <row r="6" spans="1:16" x14ac:dyDescent="0.3">
      <c r="A6" s="10" t="s">
        <v>15</v>
      </c>
      <c r="B6" s="9">
        <v>2.5179808860717922E-2</v>
      </c>
      <c r="C6" s="9">
        <v>3.0191458026509573E-2</v>
      </c>
      <c r="D6" s="9">
        <v>1.889763779527559E-2</v>
      </c>
      <c r="E6" s="9">
        <v>2.3222060957910014E-2</v>
      </c>
      <c r="F6" s="9">
        <v>2.0923520923520924E-2</v>
      </c>
      <c r="G6" s="9">
        <v>2.5666337611056269E-2</v>
      </c>
      <c r="H6" s="9">
        <v>3.7254901960784313E-2</v>
      </c>
      <c r="I6" s="10">
        <v>8.3753161023350522E-2</v>
      </c>
      <c r="J6" s="10">
        <f t="shared" si="1"/>
        <v>8.3753161023350522E-2</v>
      </c>
      <c r="K6" s="10">
        <f t="shared" si="0"/>
        <v>9.4992636229749627E-2</v>
      </c>
      <c r="L6" s="10">
        <f t="shared" si="0"/>
        <v>6.2992125984251968E-2</v>
      </c>
      <c r="M6" s="10">
        <f t="shared" si="0"/>
        <v>4.3541364296081277E-2</v>
      </c>
      <c r="N6" s="10">
        <f t="shared" si="0"/>
        <v>6.9985569985569984E-2</v>
      </c>
      <c r="O6" s="10">
        <f t="shared" si="0"/>
        <v>6.5153010858835139E-2</v>
      </c>
      <c r="P6" s="10">
        <f t="shared" si="0"/>
        <v>0.13137254901960785</v>
      </c>
    </row>
    <row r="7" spans="1:16" x14ac:dyDescent="0.3">
      <c r="A7" s="10" t="s">
        <v>9</v>
      </c>
      <c r="B7" s="9">
        <v>3.3994548261026637E-2</v>
      </c>
      <c r="C7" s="9">
        <v>3.755522827687776E-2</v>
      </c>
      <c r="D7" s="9">
        <v>3.7795275590551181E-2</v>
      </c>
      <c r="E7" s="9">
        <v>5.2249637155297533E-2</v>
      </c>
      <c r="F7" s="9">
        <v>3.1746031746031744E-2</v>
      </c>
      <c r="G7" s="9">
        <v>3.8499506416584402E-2</v>
      </c>
      <c r="H7" s="9">
        <v>5.4901960784313725E-2</v>
      </c>
      <c r="I7" s="10">
        <v>0.11774770928437717</v>
      </c>
      <c r="J7" s="10">
        <f t="shared" si="1"/>
        <v>0.11774770928437717</v>
      </c>
      <c r="K7" s="10">
        <f t="shared" si="0"/>
        <v>0.13254786450662739</v>
      </c>
      <c r="L7" s="10">
        <f t="shared" si="0"/>
        <v>0.10078740157480315</v>
      </c>
      <c r="M7" s="10">
        <f t="shared" si="0"/>
        <v>9.579100145137881E-2</v>
      </c>
      <c r="N7" s="10">
        <f t="shared" si="0"/>
        <v>0.10173160173160173</v>
      </c>
      <c r="O7" s="10">
        <f t="shared" si="0"/>
        <v>0.10365251727541955</v>
      </c>
      <c r="P7" s="10">
        <f t="shared" si="0"/>
        <v>0.18627450980392157</v>
      </c>
    </row>
    <row r="8" spans="1:16" x14ac:dyDescent="0.3">
      <c r="A8" s="10" t="s">
        <v>6</v>
      </c>
      <c r="B8" s="9">
        <v>3.8254129856481328E-2</v>
      </c>
      <c r="C8" s="9">
        <v>3.755522827687776E-2</v>
      </c>
      <c r="D8" s="9">
        <v>3.6220472440944881E-2</v>
      </c>
      <c r="E8" s="9">
        <v>6.8214804063860671E-2</v>
      </c>
      <c r="F8" s="9">
        <v>5.9884559884559888E-2</v>
      </c>
      <c r="G8" s="9">
        <v>6.8114511352418555E-2</v>
      </c>
      <c r="H8" s="9">
        <v>7.8431372549019607E-2</v>
      </c>
      <c r="I8" s="10">
        <v>0.15600183914085849</v>
      </c>
      <c r="J8" s="10">
        <f t="shared" si="1"/>
        <v>0.15600183914085849</v>
      </c>
      <c r="K8" s="10">
        <f t="shared" si="0"/>
        <v>0.17010309278350516</v>
      </c>
      <c r="L8" s="10">
        <f t="shared" si="0"/>
        <v>0.13700787401574804</v>
      </c>
      <c r="M8" s="10">
        <f t="shared" si="0"/>
        <v>0.16400580551523947</v>
      </c>
      <c r="N8" s="10">
        <f t="shared" si="0"/>
        <v>0.1616161616161616</v>
      </c>
      <c r="O8" s="10">
        <f t="shared" si="0"/>
        <v>0.1717670286278381</v>
      </c>
      <c r="P8" s="10">
        <f t="shared" si="0"/>
        <v>0.26470588235294118</v>
      </c>
    </row>
    <row r="9" spans="1:16" x14ac:dyDescent="0.3">
      <c r="A9" s="10" t="s">
        <v>1</v>
      </c>
      <c r="B9" s="9">
        <v>4.7837367401228285E-2</v>
      </c>
      <c r="C9" s="9">
        <v>7.3637702503681887E-2</v>
      </c>
      <c r="D9" s="9">
        <v>7.4015748031496062E-2</v>
      </c>
      <c r="E9" s="9">
        <v>6.2409288824383166E-2</v>
      </c>
      <c r="F9" s="9">
        <v>6.7821067821067824E-2</v>
      </c>
      <c r="G9" s="9">
        <v>5.1332675222112538E-2</v>
      </c>
      <c r="H9" s="9">
        <v>3.5294117647058823E-2</v>
      </c>
      <c r="I9" s="10">
        <v>0.20383920654208679</v>
      </c>
      <c r="J9" s="10">
        <f t="shared" si="1"/>
        <v>0.20383920654208679</v>
      </c>
      <c r="K9" s="10">
        <f t="shared" si="0"/>
        <v>0.24374079528718706</v>
      </c>
      <c r="L9" s="10">
        <f t="shared" si="0"/>
        <v>0.21102362204724412</v>
      </c>
      <c r="M9" s="10">
        <f t="shared" si="0"/>
        <v>0.22641509433962265</v>
      </c>
      <c r="N9" s="10">
        <f t="shared" si="0"/>
        <v>0.22943722943722944</v>
      </c>
      <c r="O9" s="10">
        <f t="shared" si="0"/>
        <v>0.22309970384995065</v>
      </c>
      <c r="P9" s="10">
        <f t="shared" si="0"/>
        <v>0.3</v>
      </c>
    </row>
    <row r="10" spans="1:16" x14ac:dyDescent="0.3">
      <c r="A10" s="10" t="s">
        <v>4</v>
      </c>
      <c r="B10" s="9">
        <v>4.9022956418930015E-2</v>
      </c>
      <c r="C10" s="9">
        <v>3.0191458026509573E-2</v>
      </c>
      <c r="D10" s="9">
        <v>2.0472440944881889E-2</v>
      </c>
      <c r="E10" s="9">
        <v>1.4513788098693759E-2</v>
      </c>
      <c r="F10" s="9">
        <v>3.3910533910533912E-2</v>
      </c>
      <c r="G10" s="9">
        <v>3.257650542941757E-2</v>
      </c>
      <c r="H10" s="9">
        <v>2.1568627450980392E-2</v>
      </c>
      <c r="I10" s="10">
        <v>0.25286216296101682</v>
      </c>
      <c r="J10" s="10">
        <f t="shared" si="1"/>
        <v>0.25286216296101682</v>
      </c>
      <c r="K10" s="10">
        <f t="shared" si="0"/>
        <v>0.27393225331369664</v>
      </c>
      <c r="L10" s="10">
        <f t="shared" si="0"/>
        <v>0.23149606299212599</v>
      </c>
      <c r="M10" s="10">
        <f t="shared" si="0"/>
        <v>0.24092888243831639</v>
      </c>
      <c r="N10" s="10">
        <f t="shared" si="0"/>
        <v>0.26334776334776333</v>
      </c>
      <c r="O10" s="10">
        <f t="shared" si="0"/>
        <v>0.25567620927936824</v>
      </c>
      <c r="P10" s="10">
        <f t="shared" si="0"/>
        <v>0.32156862745098036</v>
      </c>
    </row>
    <row r="11" spans="1:16" x14ac:dyDescent="0.3">
      <c r="A11" s="10" t="s">
        <v>2</v>
      </c>
      <c r="B11" s="9">
        <v>5.0208545436631745E-2</v>
      </c>
      <c r="C11" s="9">
        <v>3.3873343151693665E-2</v>
      </c>
      <c r="D11" s="9">
        <v>2.8346456692913385E-2</v>
      </c>
      <c r="E11" s="9">
        <v>1.741654571843251E-2</v>
      </c>
      <c r="F11" s="9">
        <v>5.2669552669552672E-2</v>
      </c>
      <c r="G11" s="9">
        <v>6.7127344521224083E-2</v>
      </c>
      <c r="H11" s="9">
        <v>6.0784313725490195E-2</v>
      </c>
      <c r="I11" s="10">
        <v>0.30307070839764855</v>
      </c>
      <c r="J11" s="10">
        <f t="shared" si="1"/>
        <v>0.30307070839764855</v>
      </c>
      <c r="K11" s="10">
        <f t="shared" si="0"/>
        <v>0.3078055964653903</v>
      </c>
      <c r="L11" s="10">
        <f t="shared" si="0"/>
        <v>0.25984251968503935</v>
      </c>
      <c r="M11" s="10">
        <f t="shared" si="0"/>
        <v>0.25834542815674888</v>
      </c>
      <c r="N11" s="10">
        <f t="shared" si="0"/>
        <v>0.31601731601731597</v>
      </c>
      <c r="O11" s="10">
        <f t="shared" si="0"/>
        <v>0.32280355380059234</v>
      </c>
      <c r="P11" s="10">
        <f t="shared" si="0"/>
        <v>0.38235294117647056</v>
      </c>
    </row>
    <row r="12" spans="1:16" x14ac:dyDescent="0.3">
      <c r="A12" s="10" t="s">
        <v>14</v>
      </c>
      <c r="B12" s="9">
        <v>5.5502643764984073E-2</v>
      </c>
      <c r="C12" s="9">
        <v>5.3755522827687779E-2</v>
      </c>
      <c r="D12" s="9">
        <v>5.1968503937007873E-2</v>
      </c>
      <c r="E12" s="9">
        <v>5.2249637155297533E-2</v>
      </c>
      <c r="F12" s="9">
        <v>5.916305916305916E-2</v>
      </c>
      <c r="G12" s="9">
        <v>6.0217176702862786E-2</v>
      </c>
      <c r="H12" s="9">
        <v>4.9019607843137254E-2</v>
      </c>
      <c r="I12" s="10">
        <v>0.35857335216263264</v>
      </c>
      <c r="J12" s="10">
        <f t="shared" si="1"/>
        <v>0.35857335216263264</v>
      </c>
      <c r="K12" s="10">
        <f t="shared" si="0"/>
        <v>0.3615611192930781</v>
      </c>
      <c r="L12" s="10">
        <f t="shared" si="0"/>
        <v>0.31181102362204721</v>
      </c>
      <c r="M12" s="10">
        <f t="shared" si="0"/>
        <v>0.31059506531204639</v>
      </c>
      <c r="N12" s="10">
        <f t="shared" si="0"/>
        <v>0.37518037518037511</v>
      </c>
      <c r="O12" s="10">
        <f t="shared" si="0"/>
        <v>0.38302073050345514</v>
      </c>
      <c r="P12" s="10">
        <f t="shared" si="0"/>
        <v>0.43137254901960781</v>
      </c>
    </row>
    <row r="13" spans="1:16" x14ac:dyDescent="0.3">
      <c r="A13" s="10" t="s">
        <v>5</v>
      </c>
      <c r="B13" s="9">
        <v>6.9138559558606191E-2</v>
      </c>
      <c r="C13" s="9">
        <v>3.8291605301914583E-2</v>
      </c>
      <c r="D13" s="9">
        <v>4.2519685039370078E-2</v>
      </c>
      <c r="E13" s="9">
        <v>3.3381712626995644E-2</v>
      </c>
      <c r="F13" s="9">
        <v>4.1125541125541128E-2</v>
      </c>
      <c r="G13" s="9">
        <v>2.9615004935834157E-2</v>
      </c>
      <c r="H13" s="9">
        <v>2.9411764705882353E-2</v>
      </c>
      <c r="I13" s="10">
        <v>0.42771191172123885</v>
      </c>
      <c r="J13" s="10">
        <f t="shared" si="1"/>
        <v>0.42771191172123885</v>
      </c>
      <c r="K13" s="10">
        <f t="shared" si="0"/>
        <v>0.39985272459499266</v>
      </c>
      <c r="L13" s="10">
        <f t="shared" si="0"/>
        <v>0.3543307086614173</v>
      </c>
      <c r="M13" s="10">
        <f t="shared" si="0"/>
        <v>0.34397677793904202</v>
      </c>
      <c r="N13" s="10">
        <f t="shared" si="0"/>
        <v>0.41630591630591623</v>
      </c>
      <c r="O13" s="10">
        <f t="shared" si="0"/>
        <v>0.41263573543928928</v>
      </c>
      <c r="P13" s="10">
        <f t="shared" si="0"/>
        <v>0.46078431372549017</v>
      </c>
    </row>
    <row r="14" spans="1:16" x14ac:dyDescent="0.3">
      <c r="A14" s="10" t="s">
        <v>13</v>
      </c>
      <c r="B14" s="9">
        <v>7.1243719005550266E-2</v>
      </c>
      <c r="C14" s="9">
        <v>7.8055964653902798E-2</v>
      </c>
      <c r="D14" s="9">
        <v>8.1889763779527558E-2</v>
      </c>
      <c r="E14" s="9">
        <v>7.2568940493468792E-2</v>
      </c>
      <c r="F14" s="9">
        <v>9.2352092352092352E-2</v>
      </c>
      <c r="G14" s="9">
        <v>9.47680157946693E-2</v>
      </c>
      <c r="H14" s="9">
        <v>0.10392156862745099</v>
      </c>
      <c r="I14" s="10">
        <v>0.49895563072678911</v>
      </c>
      <c r="J14" s="10">
        <f t="shared" si="1"/>
        <v>0.49895563072678911</v>
      </c>
      <c r="K14" s="10">
        <f t="shared" si="0"/>
        <v>0.47790868924889546</v>
      </c>
      <c r="L14" s="10">
        <f t="shared" si="0"/>
        <v>0.43622047244094486</v>
      </c>
      <c r="M14" s="10">
        <f t="shared" si="0"/>
        <v>0.41654571843251081</v>
      </c>
      <c r="N14" s="10">
        <f t="shared" si="0"/>
        <v>0.50865800865800859</v>
      </c>
      <c r="O14" s="10">
        <f t="shared" si="0"/>
        <v>0.50740375123395853</v>
      </c>
      <c r="P14" s="10">
        <f t="shared" si="0"/>
        <v>0.56470588235294117</v>
      </c>
    </row>
    <row r="15" spans="1:16" x14ac:dyDescent="0.3">
      <c r="A15" s="10" t="s">
        <v>7</v>
      </c>
      <c r="B15" s="9">
        <v>9.4939078459062701E-2</v>
      </c>
      <c r="C15" s="9">
        <v>0.14653902798232696</v>
      </c>
      <c r="D15" s="9">
        <v>0.16377952755905512</v>
      </c>
      <c r="E15" s="9">
        <v>0.2104499274310595</v>
      </c>
      <c r="F15" s="9">
        <v>0.12987012987012986</v>
      </c>
      <c r="G15" s="9">
        <v>9.7729516288252716E-2</v>
      </c>
      <c r="H15" s="9">
        <v>0.13921568627450981</v>
      </c>
      <c r="I15" s="10">
        <v>0.59389470918585185</v>
      </c>
      <c r="J15" s="10">
        <f t="shared" si="1"/>
        <v>0.59389470918585185</v>
      </c>
      <c r="K15" s="10">
        <f t="shared" si="0"/>
        <v>0.62444771723122239</v>
      </c>
      <c r="L15" s="10">
        <f t="shared" si="0"/>
        <v>0.6</v>
      </c>
      <c r="M15" s="10">
        <f t="shared" si="0"/>
        <v>0.62699564586357037</v>
      </c>
      <c r="N15" s="10">
        <f t="shared" si="0"/>
        <v>0.6385281385281385</v>
      </c>
      <c r="O15" s="10">
        <f t="shared" si="0"/>
        <v>0.60513326752221119</v>
      </c>
      <c r="P15" s="10">
        <f t="shared" si="0"/>
        <v>0.70392156862745092</v>
      </c>
    </row>
    <row r="16" spans="1:16" x14ac:dyDescent="0.3">
      <c r="A16" s="10" t="s">
        <v>12</v>
      </c>
      <c r="B16" s="9">
        <v>0.14017537521757692</v>
      </c>
      <c r="C16" s="9">
        <v>6.0382916053019146E-2</v>
      </c>
      <c r="D16" s="9">
        <v>5.6692913385826771E-2</v>
      </c>
      <c r="E16" s="9">
        <v>5.3701015965166909E-2</v>
      </c>
      <c r="F16" s="9">
        <v>0.11038961038961038</v>
      </c>
      <c r="G16" s="9">
        <v>0.14215202369200394</v>
      </c>
      <c r="H16" s="9">
        <v>9.4117647058823528E-2</v>
      </c>
      <c r="I16" s="10">
        <v>0.7340700844034288</v>
      </c>
      <c r="J16" s="10">
        <f t="shared" si="1"/>
        <v>0.7340700844034288</v>
      </c>
      <c r="K16" s="10">
        <f t="shared" si="0"/>
        <v>0.68483063328424154</v>
      </c>
      <c r="L16" s="10">
        <f t="shared" si="0"/>
        <v>0.6566929133858268</v>
      </c>
      <c r="M16" s="10">
        <f t="shared" si="0"/>
        <v>0.68069666182873734</v>
      </c>
      <c r="N16" s="10">
        <f t="shared" si="0"/>
        <v>0.74891774891774887</v>
      </c>
      <c r="O16" s="10">
        <f t="shared" si="0"/>
        <v>0.74728529121421516</v>
      </c>
      <c r="P16" s="10">
        <f t="shared" si="0"/>
        <v>0.79803921568627445</v>
      </c>
    </row>
    <row r="17" spans="1:16" x14ac:dyDescent="0.3">
      <c r="A17" s="10" t="s">
        <v>0</v>
      </c>
      <c r="B17" s="9">
        <v>0.26592991559657131</v>
      </c>
      <c r="C17" s="9">
        <v>0.31516936671575846</v>
      </c>
      <c r="D17" s="9">
        <v>0.34330708661417325</v>
      </c>
      <c r="E17" s="9">
        <v>0.31930333817126272</v>
      </c>
      <c r="F17" s="9">
        <v>0.25108225108225107</v>
      </c>
      <c r="G17" s="9">
        <v>0.25271470878578478</v>
      </c>
      <c r="H17" s="9">
        <v>0.20196078431372549</v>
      </c>
      <c r="I17" s="10">
        <v>1</v>
      </c>
      <c r="J17" s="10">
        <f t="shared" si="1"/>
        <v>1</v>
      </c>
      <c r="K17" s="10">
        <f t="shared" si="0"/>
        <v>1</v>
      </c>
      <c r="L17" s="10">
        <f t="shared" si="0"/>
        <v>1</v>
      </c>
      <c r="M17" s="10">
        <f t="shared" si="0"/>
        <v>1</v>
      </c>
      <c r="N17" s="10">
        <f t="shared" si="0"/>
        <v>1</v>
      </c>
      <c r="O17" s="10">
        <f t="shared" si="0"/>
        <v>1</v>
      </c>
      <c r="P17" s="10">
        <f t="shared" si="0"/>
        <v>1</v>
      </c>
    </row>
    <row r="19" spans="1:16" ht="28.8" x14ac:dyDescent="0.3">
      <c r="B19" s="1" t="s">
        <v>154</v>
      </c>
      <c r="C19" s="3" t="s">
        <v>162</v>
      </c>
      <c r="D19" s="3" t="s">
        <v>163</v>
      </c>
      <c r="E19" s="3" t="s">
        <v>164</v>
      </c>
      <c r="F19" s="3" t="s">
        <v>165</v>
      </c>
      <c r="G19" s="3" t="s">
        <v>166</v>
      </c>
      <c r="H19" s="3" t="s">
        <v>167</v>
      </c>
      <c r="J19" s="8"/>
      <c r="K19" s="11" t="s">
        <v>168</v>
      </c>
      <c r="L19" s="11" t="s">
        <v>169</v>
      </c>
      <c r="M19" s="11" t="s">
        <v>170</v>
      </c>
      <c r="N19" s="11" t="s">
        <v>171</v>
      </c>
      <c r="O19" s="11" t="s">
        <v>172</v>
      </c>
      <c r="P19" s="11" t="s">
        <v>173</v>
      </c>
    </row>
    <row r="20" spans="1:16" x14ac:dyDescent="0.3">
      <c r="B20" s="10" t="s">
        <v>11</v>
      </c>
      <c r="C20" s="10">
        <f>C2-B2</f>
        <v>2.5126347825821984E-3</v>
      </c>
      <c r="D20" s="10">
        <f>D2-B2</f>
        <v>3.226978479310829E-3</v>
      </c>
      <c r="E20" s="10">
        <f>E2-B2</f>
        <v>-1.9911283284557617E-3</v>
      </c>
      <c r="F20" s="10">
        <f>F2-B2</f>
        <v>-2.0246377959274933E-3</v>
      </c>
      <c r="G20" s="10">
        <f>G2-B2</f>
        <v>1.0069108162250907E-4</v>
      </c>
      <c r="H20" s="10">
        <f>H2-B2</f>
        <v>9.8504152555961462E-3</v>
      </c>
      <c r="J20" s="10" t="s">
        <v>11</v>
      </c>
      <c r="K20" s="8">
        <f>(J2-0) * ((K2+0))</f>
        <v>8.0377768741580056E-5</v>
      </c>
      <c r="L20" s="8">
        <f>(J2-0) * ((L2+0))</f>
        <v>8.5947251929972999E-5</v>
      </c>
      <c r="M20" s="8">
        <f>(J2-0) * ((M2+0))</f>
        <v>4.5263533050410829E-5</v>
      </c>
      <c r="N20" s="8">
        <f>(J2-0) * ((N2+0))</f>
        <v>4.5002271676382482E-5</v>
      </c>
      <c r="O20" s="8">
        <f>(J2-0) * ((O2+0))</f>
        <v>6.1572703399275538E-5</v>
      </c>
      <c r="P20" s="8">
        <f>(J2-0) * ((P2+0))</f>
        <v>1.3758782766941057E-4</v>
      </c>
    </row>
    <row r="21" spans="1:16" x14ac:dyDescent="0.3">
      <c r="B21" s="10" t="s">
        <v>8</v>
      </c>
      <c r="C21" s="10">
        <f t="shared" ref="C21:C35" si="2">C3-B3</f>
        <v>8.0131527785590531E-3</v>
      </c>
      <c r="D21" s="10">
        <f t="shared" ref="D21:D35" si="3">D3-B3</f>
        <v>-8.7194205982224562E-3</v>
      </c>
      <c r="E21" s="10">
        <f t="shared" ref="E21:E35" si="4">E3-B3</f>
        <v>-1.1869026897435055E-2</v>
      </c>
      <c r="F21" s="10">
        <f t="shared" ref="F21:F35" si="5">F3-B3</f>
        <v>-3.2110182394263966E-3</v>
      </c>
      <c r="G21" s="10">
        <f t="shared" ref="G21:G35" si="6">G3-B3</f>
        <v>-4.9588590790737514E-3</v>
      </c>
      <c r="H21" s="10">
        <f t="shared" ref="H21:H35" si="7">H3-B3</f>
        <v>-4.0258896425330939E-3</v>
      </c>
      <c r="J21" s="10" t="s">
        <v>8</v>
      </c>
      <c r="K21" s="8">
        <f>(J3-J2) * ((K3+K2))</f>
        <v>4.8070432942483646E-4</v>
      </c>
      <c r="L21" s="8">
        <f>(J3-J2) * ((L3+L2))</f>
        <v>2.9906209505348169E-4</v>
      </c>
      <c r="M21" s="8">
        <f>(J3-J2) * ((M3+M2))</f>
        <v>1.3781163306165521E-4</v>
      </c>
      <c r="N21" s="8">
        <f>(J3-J2) * ((N3+N2))</f>
        <v>2.3977832116030411E-4</v>
      </c>
      <c r="O21" s="8">
        <f>(J3-J2) * ((O3+O2))</f>
        <v>2.6948432244916704E-4</v>
      </c>
      <c r="P21" s="8">
        <f>(J3-J2) * ((P3+P2))</f>
        <v>5.1199723871288468E-4</v>
      </c>
    </row>
    <row r="22" spans="1:16" x14ac:dyDescent="0.3">
      <c r="B22" s="10" t="s">
        <v>3</v>
      </c>
      <c r="C22" s="10">
        <f t="shared" si="2"/>
        <v>-9.5016167210910281E-3</v>
      </c>
      <c r="D22" s="10">
        <f t="shared" si="3"/>
        <v>-6.4760928497192803E-3</v>
      </c>
      <c r="E22" s="10">
        <f t="shared" si="4"/>
        <v>-1.4720381616961545E-2</v>
      </c>
      <c r="F22" s="10">
        <f t="shared" si="5"/>
        <v>4.0600143394980623E-4</v>
      </c>
      <c r="G22" s="10">
        <f t="shared" si="6"/>
        <v>-1.1177183397013899E-2</v>
      </c>
      <c r="H22" s="10">
        <f t="shared" si="7"/>
        <v>3.7788227051469545E-2</v>
      </c>
      <c r="J22" s="10" t="s">
        <v>3</v>
      </c>
      <c r="K22" s="8">
        <f t="shared" ref="K22:K35" si="8">(J4-J3) * ((K4+K3))</f>
        <v>1.3343735010486885E-3</v>
      </c>
      <c r="L22" s="8">
        <f t="shared" ref="L22:L35" si="9">(J4-J3) * ((L4+L3))</f>
        <v>7.8100388852096303E-4</v>
      </c>
      <c r="M22" s="8">
        <f t="shared" ref="M22:M35" si="10">(J4-J3) * ((M4+M3))</f>
        <v>3.0452786431388448E-4</v>
      </c>
      <c r="N22" s="8">
        <f t="shared" ref="N22:N35" si="11">(J4-J3) * ((N4+N3))</f>
        <v>9.2207266170286309E-4</v>
      </c>
      <c r="O22" s="8">
        <f t="shared" ref="O22:O35" si="12">(J4-J3) * ((O4+O3))</f>
        <v>7.1552979839057003E-4</v>
      </c>
      <c r="P22" s="8">
        <f t="shared" ref="P22:P35" si="13">(J4-J3) * ((P4+P3))</f>
        <v>2.057055867767318E-3</v>
      </c>
    </row>
    <row r="23" spans="1:16" x14ac:dyDescent="0.3">
      <c r="B23" s="10" t="s">
        <v>10</v>
      </c>
      <c r="C23" s="10">
        <f t="shared" si="2"/>
        <v>5.203655200557239E-3</v>
      </c>
      <c r="D23" s="10">
        <f t="shared" si="3"/>
        <v>-2.5103290050253121E-3</v>
      </c>
      <c r="E23" s="10">
        <f t="shared" si="4"/>
        <v>-9.6735119816089721E-3</v>
      </c>
      <c r="F23" s="10">
        <f t="shared" si="5"/>
        <v>-4.6816484991794513E-3</v>
      </c>
      <c r="G23" s="10">
        <f t="shared" si="6"/>
        <v>-3.0513275203885824E-3</v>
      </c>
      <c r="H23" s="10">
        <f t="shared" si="7"/>
        <v>-8.0684577683416622E-3</v>
      </c>
      <c r="J23" s="10" t="s">
        <v>10</v>
      </c>
      <c r="K23" s="8">
        <f t="shared" si="8"/>
        <v>2.0738654185556947E-3</v>
      </c>
      <c r="L23" s="8">
        <f t="shared" si="9"/>
        <v>1.4054997862696962E-3</v>
      </c>
      <c r="M23" s="8">
        <f t="shared" si="10"/>
        <v>6.0449410256108367E-4</v>
      </c>
      <c r="N23" s="8">
        <f t="shared" si="11"/>
        <v>1.6456088166160747E-3</v>
      </c>
      <c r="O23" s="8">
        <f t="shared" si="12"/>
        <v>1.233454402757907E-3</v>
      </c>
      <c r="P23" s="8">
        <f t="shared" si="13"/>
        <v>3.4999700560049297E-3</v>
      </c>
    </row>
    <row r="24" spans="1:16" x14ac:dyDescent="0.3">
      <c r="B24" s="10" t="s">
        <v>15</v>
      </c>
      <c r="C24" s="10">
        <f t="shared" si="2"/>
        <v>5.0116491657916512E-3</v>
      </c>
      <c r="D24" s="10">
        <f t="shared" si="3"/>
        <v>-6.2821710654423317E-3</v>
      </c>
      <c r="E24" s="10">
        <f t="shared" si="4"/>
        <v>-1.9577479028079076E-3</v>
      </c>
      <c r="F24" s="10">
        <f t="shared" si="5"/>
        <v>-4.2562879371969981E-3</v>
      </c>
      <c r="G24" s="10">
        <f t="shared" si="6"/>
        <v>4.8652875033834697E-4</v>
      </c>
      <c r="H24" s="10">
        <f t="shared" si="7"/>
        <v>1.2075093100066391E-2</v>
      </c>
      <c r="J24" s="10" t="s">
        <v>15</v>
      </c>
      <c r="K24" s="8">
        <f t="shared" si="8"/>
        <v>4.0235777045477096E-3</v>
      </c>
      <c r="L24" s="8">
        <f t="shared" si="9"/>
        <v>2.6964204764233367E-3</v>
      </c>
      <c r="M24" s="8">
        <f t="shared" si="10"/>
        <v>1.6079994047483144E-3</v>
      </c>
      <c r="N24" s="8">
        <f t="shared" si="11"/>
        <v>2.9975962929426102E-3</v>
      </c>
      <c r="O24" s="8">
        <f t="shared" si="12"/>
        <v>2.6348072450504442E-3</v>
      </c>
      <c r="P24" s="8">
        <f t="shared" si="13"/>
        <v>5.6778000372207085E-3</v>
      </c>
    </row>
    <row r="25" spans="1:16" x14ac:dyDescent="0.3">
      <c r="B25" s="10" t="s">
        <v>9</v>
      </c>
      <c r="C25" s="10">
        <f t="shared" si="2"/>
        <v>3.5606800158511226E-3</v>
      </c>
      <c r="D25" s="10">
        <f t="shared" si="3"/>
        <v>3.8007273295245433E-3</v>
      </c>
      <c r="E25" s="10">
        <f t="shared" si="4"/>
        <v>1.8255088894270896E-2</v>
      </c>
      <c r="F25" s="10">
        <f t="shared" si="5"/>
        <v>-2.248516514994893E-3</v>
      </c>
      <c r="G25" s="10">
        <f t="shared" si="6"/>
        <v>4.5049581555577645E-3</v>
      </c>
      <c r="H25" s="10">
        <f t="shared" si="7"/>
        <v>2.0907412523287087E-2</v>
      </c>
      <c r="J25" s="10" t="s">
        <v>9</v>
      </c>
      <c r="K25" s="8">
        <f t="shared" si="8"/>
        <v>7.7351365336209375E-3</v>
      </c>
      <c r="L25" s="8">
        <f t="shared" si="9"/>
        <v>5.5676110537744425E-3</v>
      </c>
      <c r="M25" s="8">
        <f t="shared" si="10"/>
        <v>4.7365408317250474E-3</v>
      </c>
      <c r="N25" s="8">
        <f t="shared" si="11"/>
        <v>5.8374476811863937E-3</v>
      </c>
      <c r="O25" s="8">
        <f t="shared" si="12"/>
        <v>5.7384676728880124E-3</v>
      </c>
      <c r="P25" s="8">
        <f t="shared" si="13"/>
        <v>1.0798268271149639E-2</v>
      </c>
    </row>
    <row r="26" spans="1:16" x14ac:dyDescent="0.3">
      <c r="B26" s="10" t="s">
        <v>6</v>
      </c>
      <c r="C26" s="10">
        <f t="shared" si="2"/>
        <v>-6.989015796035683E-4</v>
      </c>
      <c r="D26" s="10">
        <f t="shared" si="3"/>
        <v>-2.0336574155364467E-3</v>
      </c>
      <c r="E26" s="10">
        <f t="shared" si="4"/>
        <v>2.9960674207379343E-2</v>
      </c>
      <c r="F26" s="10">
        <f t="shared" si="5"/>
        <v>2.1630430028078559E-2</v>
      </c>
      <c r="G26" s="10">
        <f t="shared" si="6"/>
        <v>2.9860381495937227E-2</v>
      </c>
      <c r="H26" s="10">
        <f t="shared" si="7"/>
        <v>4.0177242692538279E-2</v>
      </c>
      <c r="J26" s="10" t="s">
        <v>6</v>
      </c>
      <c r="K26" s="8">
        <f t="shared" si="8"/>
        <v>1.1577649021365117E-2</v>
      </c>
      <c r="L26" s="8">
        <f t="shared" si="9"/>
        <v>9.0966513516987091E-3</v>
      </c>
      <c r="M26" s="8">
        <f t="shared" si="10"/>
        <v>9.938300790000229E-3</v>
      </c>
      <c r="N26" s="8">
        <f t="shared" si="11"/>
        <v>1.0074139536519252E-2</v>
      </c>
      <c r="O26" s="8">
        <f t="shared" si="12"/>
        <v>1.053593507399634E-2</v>
      </c>
      <c r="P26" s="8">
        <f t="shared" si="13"/>
        <v>1.7251862484295503E-2</v>
      </c>
    </row>
    <row r="27" spans="1:16" x14ac:dyDescent="0.3">
      <c r="B27" s="10" t="s">
        <v>1</v>
      </c>
      <c r="C27" s="10">
        <f t="shared" si="2"/>
        <v>2.5800335102453602E-2</v>
      </c>
      <c r="D27" s="10">
        <f t="shared" si="3"/>
        <v>2.6178380630267777E-2</v>
      </c>
      <c r="E27" s="10">
        <f t="shared" si="4"/>
        <v>1.4571921423154881E-2</v>
      </c>
      <c r="F27" s="10">
        <f t="shared" si="5"/>
        <v>1.9983700419839538E-2</v>
      </c>
      <c r="G27" s="10">
        <f t="shared" si="6"/>
        <v>3.4953078208842525E-3</v>
      </c>
      <c r="H27" s="10">
        <f t="shared" si="7"/>
        <v>-1.2543249754169462E-2</v>
      </c>
      <c r="J27" s="10" t="s">
        <v>1</v>
      </c>
      <c r="K27" s="8">
        <f t="shared" si="8"/>
        <v>1.9797202120390503E-2</v>
      </c>
      <c r="L27" s="8">
        <f t="shared" si="9"/>
        <v>1.6648910544364494E-2</v>
      </c>
      <c r="M27" s="8">
        <f t="shared" si="10"/>
        <v>1.8676708027475196E-2</v>
      </c>
      <c r="N27" s="8">
        <f t="shared" si="11"/>
        <v>1.8706964741317268E-2</v>
      </c>
      <c r="O27" s="8">
        <f t="shared" si="12"/>
        <v>1.8889384956062506E-2</v>
      </c>
      <c r="P27" s="8">
        <f t="shared" si="13"/>
        <v>2.7014042767752447E-2</v>
      </c>
    </row>
    <row r="28" spans="1:16" x14ac:dyDescent="0.3">
      <c r="B28" s="10" t="s">
        <v>4</v>
      </c>
      <c r="C28" s="10">
        <f t="shared" si="2"/>
        <v>-1.8831498392420442E-2</v>
      </c>
      <c r="D28" s="10">
        <f t="shared" si="3"/>
        <v>-2.8550515474048126E-2</v>
      </c>
      <c r="E28" s="10">
        <f t="shared" si="4"/>
        <v>-3.4509168320236254E-2</v>
      </c>
      <c r="F28" s="10">
        <f t="shared" si="5"/>
        <v>-1.5112422508396103E-2</v>
      </c>
      <c r="G28" s="10">
        <f t="shared" si="6"/>
        <v>-1.6446450989512446E-2</v>
      </c>
      <c r="H28" s="10">
        <f t="shared" si="7"/>
        <v>-2.7454328967949623E-2</v>
      </c>
      <c r="J28" s="10" t="s">
        <v>4</v>
      </c>
      <c r="K28" s="8">
        <f t="shared" si="8"/>
        <v>2.5377863300815772E-2</v>
      </c>
      <c r="L28" s="8">
        <f t="shared" si="9"/>
        <v>2.1693623234203686E-2</v>
      </c>
      <c r="M28" s="8">
        <f t="shared" si="10"/>
        <v>2.2910583406234357E-2</v>
      </c>
      <c r="N28" s="8">
        <f t="shared" si="11"/>
        <v>2.4157777225201453E-2</v>
      </c>
      <c r="O28" s="8">
        <f t="shared" si="12"/>
        <v>2.3471010723772032E-2</v>
      </c>
      <c r="P28" s="8">
        <f t="shared" si="13"/>
        <v>3.0471131734903571E-2</v>
      </c>
    </row>
    <row r="29" spans="1:16" x14ac:dyDescent="0.3">
      <c r="B29" s="10" t="s">
        <v>2</v>
      </c>
      <c r="C29" s="10">
        <f t="shared" si="2"/>
        <v>-1.633520228493808E-2</v>
      </c>
      <c r="D29" s="10">
        <f t="shared" si="3"/>
        <v>-2.1862088743718359E-2</v>
      </c>
      <c r="E29" s="10">
        <f t="shared" si="4"/>
        <v>-3.2791999718199238E-2</v>
      </c>
      <c r="F29" s="10">
        <f t="shared" si="5"/>
        <v>2.4610072329209268E-3</v>
      </c>
      <c r="G29" s="10">
        <f t="shared" si="6"/>
        <v>1.6918799084592338E-2</v>
      </c>
      <c r="H29" s="10">
        <f t="shared" si="7"/>
        <v>1.057576828885845E-2</v>
      </c>
      <c r="J29" s="10" t="s">
        <v>2</v>
      </c>
      <c r="K29" s="8">
        <f t="shared" si="8"/>
        <v>2.9208211262841725E-2</v>
      </c>
      <c r="L29" s="8">
        <f t="shared" si="9"/>
        <v>2.4669395553116688E-2</v>
      </c>
      <c r="M29" s="8">
        <f t="shared" si="10"/>
        <v>2.5067836908855314E-2</v>
      </c>
      <c r="N29" s="8">
        <f t="shared" si="11"/>
        <v>2.9089077911699329E-2</v>
      </c>
      <c r="O29" s="8">
        <f t="shared" si="12"/>
        <v>2.9044627468772153E-2</v>
      </c>
      <c r="P29" s="8">
        <f t="shared" si="13"/>
        <v>3.5342878062256444E-2</v>
      </c>
    </row>
    <row r="30" spans="1:16" x14ac:dyDescent="0.3">
      <c r="B30" s="10" t="s">
        <v>14</v>
      </c>
      <c r="C30" s="10">
        <f t="shared" si="2"/>
        <v>-1.747120937296294E-3</v>
      </c>
      <c r="D30" s="10">
        <f t="shared" si="3"/>
        <v>-3.5341398279762001E-3</v>
      </c>
      <c r="E30" s="10">
        <f t="shared" si="4"/>
        <v>-3.2530066096865401E-3</v>
      </c>
      <c r="F30" s="10">
        <f t="shared" si="5"/>
        <v>3.660415398075087E-3</v>
      </c>
      <c r="G30" s="10">
        <f t="shared" si="6"/>
        <v>4.7145329378787126E-3</v>
      </c>
      <c r="H30" s="10">
        <f t="shared" si="7"/>
        <v>-6.4830359218468192E-3</v>
      </c>
      <c r="J30" s="10" t="s">
        <v>14</v>
      </c>
      <c r="K30" s="8">
        <f t="shared" si="8"/>
        <v>3.7151622372879639E-2</v>
      </c>
      <c r="L30" s="8">
        <f t="shared" si="9"/>
        <v>3.1728282971164139E-2</v>
      </c>
      <c r="M30" s="8">
        <f t="shared" si="10"/>
        <v>3.1577701532472802E-2</v>
      </c>
      <c r="N30" s="8">
        <f t="shared" si="11"/>
        <v>3.8363299225724935E-2</v>
      </c>
      <c r="O30" s="8">
        <f t="shared" si="12"/>
        <v>3.91751138124024E-2</v>
      </c>
      <c r="P30" s="8">
        <f t="shared" si="13"/>
        <v>4.5163916004839995E-2</v>
      </c>
    </row>
    <row r="31" spans="1:16" x14ac:dyDescent="0.3">
      <c r="B31" s="10" t="s">
        <v>5</v>
      </c>
      <c r="C31" s="10">
        <f t="shared" si="2"/>
        <v>-3.0846954256691608E-2</v>
      </c>
      <c r="D31" s="10">
        <f t="shared" si="3"/>
        <v>-2.6618874519236113E-2</v>
      </c>
      <c r="E31" s="10">
        <f t="shared" si="4"/>
        <v>-3.5756846931610548E-2</v>
      </c>
      <c r="F31" s="10">
        <f t="shared" si="5"/>
        <v>-2.8013018433065064E-2</v>
      </c>
      <c r="G31" s="10">
        <f t="shared" si="6"/>
        <v>-3.9523554622772031E-2</v>
      </c>
      <c r="H31" s="10">
        <f t="shared" si="7"/>
        <v>-3.9726794852723839E-2</v>
      </c>
      <c r="J31" s="10" t="s">
        <v>5</v>
      </c>
      <c r="K31" s="8">
        <f t="shared" si="8"/>
        <v>5.2643056394402671E-2</v>
      </c>
      <c r="L31" s="8">
        <f t="shared" si="9"/>
        <v>4.6056079831953423E-2</v>
      </c>
      <c r="M31" s="8">
        <f t="shared" si="10"/>
        <v>4.5256154370002022E-2</v>
      </c>
      <c r="N31" s="8">
        <f t="shared" si="11"/>
        <v>5.4722222103745305E-2</v>
      </c>
      <c r="O31" s="8">
        <f t="shared" si="12"/>
        <v>5.5010541958772564E-2</v>
      </c>
      <c r="P31" s="8">
        <f t="shared" si="13"/>
        <v>6.1682440390521218E-2</v>
      </c>
    </row>
    <row r="32" spans="1:16" x14ac:dyDescent="0.3">
      <c r="B32" s="10" t="s">
        <v>13</v>
      </c>
      <c r="C32" s="10">
        <f t="shared" si="2"/>
        <v>6.8122456483525329E-3</v>
      </c>
      <c r="D32" s="10">
        <f t="shared" si="3"/>
        <v>1.0646044773977292E-2</v>
      </c>
      <c r="E32" s="10">
        <f t="shared" si="4"/>
        <v>1.3252214879185265E-3</v>
      </c>
      <c r="F32" s="10">
        <f t="shared" si="5"/>
        <v>2.1108373346542086E-2</v>
      </c>
      <c r="G32" s="10">
        <f t="shared" si="6"/>
        <v>2.3524296789119034E-2</v>
      </c>
      <c r="H32" s="10">
        <f t="shared" si="7"/>
        <v>3.267784962190072E-2</v>
      </c>
      <c r="J32" s="10" t="s">
        <v>13</v>
      </c>
      <c r="K32" s="8">
        <f t="shared" si="8"/>
        <v>6.2534987521808486E-2</v>
      </c>
      <c r="L32" s="8">
        <f t="shared" si="9"/>
        <v>5.6321806205962575E-2</v>
      </c>
      <c r="M32" s="8">
        <f t="shared" si="10"/>
        <v>5.4182451028894539E-2</v>
      </c>
      <c r="N32" s="8">
        <f t="shared" si="11"/>
        <v>6.5897869960400743E-2</v>
      </c>
      <c r="O32" s="8">
        <f t="shared" si="12"/>
        <v>6.5547034662559567E-2</v>
      </c>
      <c r="P32" s="8">
        <f t="shared" si="13"/>
        <v>7.3059735372358409E-2</v>
      </c>
    </row>
    <row r="33" spans="2:16" x14ac:dyDescent="0.3">
      <c r="B33" s="10" t="s">
        <v>7</v>
      </c>
      <c r="C33" s="10">
        <f t="shared" si="2"/>
        <v>5.1599949523264257E-2</v>
      </c>
      <c r="D33" s="10">
        <f t="shared" si="3"/>
        <v>6.8840449099992415E-2</v>
      </c>
      <c r="E33" s="10">
        <f t="shared" si="4"/>
        <v>0.1155108489719968</v>
      </c>
      <c r="F33" s="10">
        <f t="shared" si="5"/>
        <v>3.4931051411067157E-2</v>
      </c>
      <c r="G33" s="10">
        <f t="shared" si="6"/>
        <v>2.790437829190015E-3</v>
      </c>
      <c r="H33" s="10">
        <f t="shared" si="7"/>
        <v>4.4276607815447108E-2</v>
      </c>
      <c r="J33" s="10" t="s">
        <v>7</v>
      </c>
      <c r="K33" s="8">
        <f t="shared" si="8"/>
        <v>0.10465670136466637</v>
      </c>
      <c r="L33" s="8">
        <f t="shared" si="9"/>
        <v>9.8377816733957915E-2</v>
      </c>
      <c r="M33" s="8">
        <f t="shared" si="10"/>
        <v>9.9072855460183018E-2</v>
      </c>
      <c r="N33" s="8">
        <f t="shared" si="11"/>
        <v>0.10891279563485552</v>
      </c>
      <c r="O33" s="8">
        <f t="shared" si="12"/>
        <v>0.10562323931230375</v>
      </c>
      <c r="P33" s="8">
        <f t="shared" si="13"/>
        <v>0.12044232110394822</v>
      </c>
    </row>
    <row r="34" spans="2:16" x14ac:dyDescent="0.3">
      <c r="B34" s="10" t="s">
        <v>12</v>
      </c>
      <c r="C34" s="10">
        <f t="shared" si="2"/>
        <v>-7.9792459164557766E-2</v>
      </c>
      <c r="D34" s="10">
        <f t="shared" si="3"/>
        <v>-8.3482461831750149E-2</v>
      </c>
      <c r="E34" s="10">
        <f t="shared" si="4"/>
        <v>-8.647435925241001E-2</v>
      </c>
      <c r="F34" s="10">
        <f t="shared" si="5"/>
        <v>-2.9785764827966535E-2</v>
      </c>
      <c r="G34" s="10">
        <f t="shared" si="6"/>
        <v>1.976648474427023E-3</v>
      </c>
      <c r="H34" s="10">
        <f t="shared" si="7"/>
        <v>-4.6057728158753392E-2</v>
      </c>
      <c r="J34" s="10" t="s">
        <v>12</v>
      </c>
      <c r="K34" s="8">
        <f t="shared" si="8"/>
        <v>0.18352858404775538</v>
      </c>
      <c r="L34" s="8">
        <f t="shared" si="9"/>
        <v>0.17615740066712818</v>
      </c>
      <c r="M34" s="8">
        <f t="shared" si="10"/>
        <v>0.18330625989990831</v>
      </c>
      <c r="N34" s="8">
        <f t="shared" si="11"/>
        <v>0.1944857478668113</v>
      </c>
      <c r="O34" s="8">
        <f t="shared" si="12"/>
        <v>0.18957577892209318</v>
      </c>
      <c r="P34" s="8">
        <f t="shared" si="13"/>
        <v>0.21053791650326262</v>
      </c>
    </row>
    <row r="35" spans="2:16" x14ac:dyDescent="0.3">
      <c r="B35" s="10" t="s">
        <v>0</v>
      </c>
      <c r="C35" s="10">
        <f t="shared" si="2"/>
        <v>4.923945111918715E-2</v>
      </c>
      <c r="D35" s="10">
        <f t="shared" si="3"/>
        <v>7.7377171017601942E-2</v>
      </c>
      <c r="E35" s="10">
        <f t="shared" si="4"/>
        <v>5.3373422574691409E-2</v>
      </c>
      <c r="F35" s="10">
        <f t="shared" si="5"/>
        <v>-1.4847664514320236E-2</v>
      </c>
      <c r="G35" s="10">
        <f t="shared" si="6"/>
        <v>-1.3215206810786528E-2</v>
      </c>
      <c r="H35" s="10">
        <f t="shared" si="7"/>
        <v>-6.3969131282845815E-2</v>
      </c>
      <c r="J35" s="10" t="s">
        <v>0</v>
      </c>
      <c r="K35" s="8">
        <f t="shared" si="8"/>
        <v>0.44804686810379596</v>
      </c>
      <c r="L35" s="8">
        <f t="shared" si="9"/>
        <v>0.44056420662613055</v>
      </c>
      <c r="M35" s="8">
        <f t="shared" si="10"/>
        <v>0.44694752142355509</v>
      </c>
      <c r="N35" s="8">
        <f t="shared" si="11"/>
        <v>0.46508954935504221</v>
      </c>
      <c r="O35" s="8">
        <f t="shared" si="12"/>
        <v>0.46465543001572657</v>
      </c>
      <c r="P35" s="8">
        <f t="shared" si="13"/>
        <v>0.47815241686677601</v>
      </c>
    </row>
    <row r="36" spans="2:16" x14ac:dyDescent="0.3">
      <c r="J36" s="12" t="s">
        <v>174</v>
      </c>
      <c r="K36" s="11">
        <f>SUM(K20:K35)</f>
        <v>0.99025078076666118</v>
      </c>
      <c r="L36" s="11">
        <f t="shared" ref="L36:P36" si="14">SUM(L20:L35)</f>
        <v>0.93214971827165227</v>
      </c>
      <c r="M36" s="11">
        <f t="shared" si="14"/>
        <v>0.94437301021704134</v>
      </c>
      <c r="N36" s="11">
        <f t="shared" si="14"/>
        <v>1.0211869496066019</v>
      </c>
      <c r="O36" s="11">
        <f t="shared" si="14"/>
        <v>1.0121814130513964</v>
      </c>
      <c r="P36" s="11">
        <f t="shared" si="14"/>
        <v>1.1218013405894394</v>
      </c>
    </row>
    <row r="37" spans="2:16" x14ac:dyDescent="0.3">
      <c r="J37" s="13" t="s">
        <v>175</v>
      </c>
      <c r="K37" s="14">
        <f>1-K36</f>
        <v>9.7492192333388239E-3</v>
      </c>
      <c r="L37" s="14">
        <f t="shared" ref="L37:P37" si="15">1-L36</f>
        <v>6.7850281728347728E-2</v>
      </c>
      <c r="M37" s="14">
        <f t="shared" si="15"/>
        <v>5.5626989782958658E-2</v>
      </c>
      <c r="N37" s="14">
        <f t="shared" si="15"/>
        <v>-2.1186949606601946E-2</v>
      </c>
      <c r="O37" s="14">
        <f t="shared" si="15"/>
        <v>-1.2181413051396417E-2</v>
      </c>
      <c r="P37" s="14">
        <f t="shared" si="15"/>
        <v>-0.12180134058943937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C62D-80B0-4963-8A0D-ACD145A95961}">
  <dimension ref="A1:P15"/>
  <sheetViews>
    <sheetView topLeftCell="I1" workbookViewId="0">
      <selection activeCell="K15" sqref="K15:P15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18</v>
      </c>
      <c r="B2" s="9">
        <v>9.6023488610388591E-2</v>
      </c>
      <c r="C2" s="9">
        <v>0.16793893129770993</v>
      </c>
      <c r="D2" s="9">
        <v>0.17142857142857143</v>
      </c>
      <c r="E2" s="9">
        <v>0</v>
      </c>
      <c r="F2" s="9">
        <v>0.1111111111111111</v>
      </c>
      <c r="G2" s="9">
        <v>9.1954022988505746E-2</v>
      </c>
      <c r="H2" s="9">
        <v>7.0588235294117646E-2</v>
      </c>
      <c r="I2" s="10">
        <v>9.6023488610388591E-2</v>
      </c>
      <c r="J2" s="9">
        <v>9.6023488610388591E-2</v>
      </c>
      <c r="K2" s="9">
        <v>0.16793893129770993</v>
      </c>
      <c r="L2" s="9">
        <v>0.17142857142857143</v>
      </c>
      <c r="M2" s="9">
        <v>0</v>
      </c>
      <c r="N2" s="9">
        <v>0.1111111111111111</v>
      </c>
      <c r="O2" s="9">
        <v>9.1954022988505746E-2</v>
      </c>
      <c r="P2" s="9">
        <v>7.0588235294117646E-2</v>
      </c>
    </row>
    <row r="3" spans="1:16" x14ac:dyDescent="0.3">
      <c r="A3" s="10" t="s">
        <v>17</v>
      </c>
      <c r="B3" s="9">
        <v>0.13517774099471899</v>
      </c>
      <c r="C3" s="9">
        <v>0.10687022900763359</v>
      </c>
      <c r="D3" s="9">
        <v>8.5714285714285715E-2</v>
      </c>
      <c r="E3" s="9">
        <v>0.14457831325301204</v>
      </c>
      <c r="F3" s="9">
        <v>9.8765432098765427E-2</v>
      </c>
      <c r="G3" s="9">
        <v>0.10919540229885058</v>
      </c>
      <c r="H3" s="9">
        <v>0.14117647058823529</v>
      </c>
      <c r="I3" s="10">
        <v>0.23120122960510758</v>
      </c>
      <c r="J3" s="10">
        <f t="shared" ref="J3:P6" si="0">J2+B3</f>
        <v>0.23120122960510758</v>
      </c>
      <c r="K3" s="10">
        <f t="shared" si="0"/>
        <v>0.27480916030534353</v>
      </c>
      <c r="L3" s="10">
        <f t="shared" si="0"/>
        <v>0.25714285714285712</v>
      </c>
      <c r="M3" s="10">
        <f t="shared" si="0"/>
        <v>0.14457831325301204</v>
      </c>
      <c r="N3" s="10">
        <f t="shared" si="0"/>
        <v>0.20987654320987653</v>
      </c>
      <c r="O3" s="10">
        <f t="shared" si="0"/>
        <v>0.20114942528735633</v>
      </c>
      <c r="P3" s="10">
        <f t="shared" si="0"/>
        <v>0.21176470588235294</v>
      </c>
    </row>
    <row r="4" spans="1:16" x14ac:dyDescent="0.3">
      <c r="A4" s="10" t="s">
        <v>19</v>
      </c>
      <c r="B4" s="9">
        <v>0.14081343107117522</v>
      </c>
      <c r="C4" s="9">
        <v>9.9236641221374045E-2</v>
      </c>
      <c r="D4" s="9">
        <v>8.5714285714285715E-2</v>
      </c>
      <c r="E4" s="9">
        <v>0.14457831325301204</v>
      </c>
      <c r="F4" s="9">
        <v>0.25925925925925924</v>
      </c>
      <c r="G4" s="9">
        <v>0.20689655172413793</v>
      </c>
      <c r="H4" s="9">
        <v>0.28235294117647058</v>
      </c>
      <c r="I4" s="10">
        <v>0.3720146606762828</v>
      </c>
      <c r="J4" s="10">
        <f t="shared" si="0"/>
        <v>0.3720146606762828</v>
      </c>
      <c r="K4" s="10">
        <f t="shared" si="0"/>
        <v>0.37404580152671757</v>
      </c>
      <c r="L4" s="10">
        <f t="shared" si="0"/>
        <v>0.34285714285714286</v>
      </c>
      <c r="M4" s="10">
        <f t="shared" si="0"/>
        <v>0.28915662650602408</v>
      </c>
      <c r="N4" s="10">
        <f t="shared" si="0"/>
        <v>0.46913580246913578</v>
      </c>
      <c r="O4" s="10">
        <f t="shared" si="0"/>
        <v>0.40804597701149425</v>
      </c>
      <c r="P4" s="10">
        <f t="shared" si="0"/>
        <v>0.49411764705882355</v>
      </c>
    </row>
    <row r="5" spans="1:16" x14ac:dyDescent="0.3">
      <c r="A5" s="10" t="s">
        <v>20</v>
      </c>
      <c r="B5" s="9">
        <v>0.27839520769291398</v>
      </c>
      <c r="C5" s="9">
        <v>0.22137404580152673</v>
      </c>
      <c r="D5" s="9">
        <v>0.17142857142857143</v>
      </c>
      <c r="E5" s="9">
        <v>0.14457831325301204</v>
      </c>
      <c r="F5" s="9">
        <v>0.18930041152263374</v>
      </c>
      <c r="G5" s="9">
        <v>0.31034482758620691</v>
      </c>
      <c r="H5" s="9">
        <v>0.22352941176470589</v>
      </c>
      <c r="I5" s="10">
        <v>0.65040986836919679</v>
      </c>
      <c r="J5" s="10">
        <f t="shared" si="0"/>
        <v>0.65040986836919679</v>
      </c>
      <c r="K5" s="10">
        <f t="shared" si="0"/>
        <v>0.59541984732824427</v>
      </c>
      <c r="L5" s="10">
        <f t="shared" si="0"/>
        <v>0.51428571428571423</v>
      </c>
      <c r="M5" s="10">
        <f t="shared" si="0"/>
        <v>0.4337349397590361</v>
      </c>
      <c r="N5" s="10">
        <f t="shared" si="0"/>
        <v>0.65843621399176955</v>
      </c>
      <c r="O5" s="10">
        <f t="shared" si="0"/>
        <v>0.71839080459770122</v>
      </c>
      <c r="P5" s="10">
        <f t="shared" si="0"/>
        <v>0.71764705882352942</v>
      </c>
    </row>
    <row r="6" spans="1:16" x14ac:dyDescent="0.3">
      <c r="A6" s="10" t="s">
        <v>16</v>
      </c>
      <c r="B6" s="9">
        <v>0.34959013163080316</v>
      </c>
      <c r="C6" s="9">
        <v>0.40458015267175573</v>
      </c>
      <c r="D6" s="9">
        <v>0.48571428571428571</v>
      </c>
      <c r="E6" s="9">
        <v>0.5662650602409639</v>
      </c>
      <c r="F6" s="9">
        <v>0.34156378600823045</v>
      </c>
      <c r="G6" s="9">
        <v>0.28160919540229884</v>
      </c>
      <c r="H6" s="9">
        <v>0.28235294117647058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10" t="s">
        <v>18</v>
      </c>
      <c r="C9" s="10">
        <f>C2-B2</f>
        <v>7.1915442687321335E-2</v>
      </c>
      <c r="D9" s="10">
        <f>D2-B2</f>
        <v>7.5405082818182839E-2</v>
      </c>
      <c r="E9" s="10">
        <f>E2-B2</f>
        <v>-9.6023488610388591E-2</v>
      </c>
      <c r="F9" s="10">
        <f>F2-B2</f>
        <v>1.5087622500722514E-2</v>
      </c>
      <c r="G9" s="10">
        <f>G2-B2</f>
        <v>-4.0694656218828451E-3</v>
      </c>
      <c r="H9" s="10">
        <f>H2-B2</f>
        <v>-2.5435253316270945E-2</v>
      </c>
      <c r="J9" s="10" t="s">
        <v>18</v>
      </c>
      <c r="K9" s="8">
        <f>(J2-0) * ((K2+0))</f>
        <v>1.612608205670648E-2</v>
      </c>
      <c r="L9" s="8">
        <f>(J2-0) * ((L2+0))</f>
        <v>1.6461169476066614E-2</v>
      </c>
      <c r="M9" s="8">
        <f>(J2-0) * ((M2+0))</f>
        <v>0</v>
      </c>
      <c r="N9" s="8">
        <f>(J2-0) * ((N2+0))</f>
        <v>1.0669276512265399E-2</v>
      </c>
      <c r="O9" s="8">
        <f>(J2-0) * ((O2+0))</f>
        <v>8.8297460791161922E-3</v>
      </c>
      <c r="P9" s="8">
        <f>(J2-0) * ((P2+0))</f>
        <v>6.7781286077921356E-3</v>
      </c>
    </row>
    <row r="10" spans="1:16" x14ac:dyDescent="0.3">
      <c r="B10" s="10" t="s">
        <v>17</v>
      </c>
      <c r="C10" s="10">
        <f t="shared" ref="C10:C13" si="1">C3-B3</f>
        <v>-2.8307511987085407E-2</v>
      </c>
      <c r="D10" s="10">
        <f t="shared" ref="D10:D13" si="2">D3-B3</f>
        <v>-4.9463455280433277E-2</v>
      </c>
      <c r="E10" s="10">
        <f t="shared" ref="E10:E13" si="3">E3-B3</f>
        <v>9.4005722582930495E-3</v>
      </c>
      <c r="F10" s="10">
        <f t="shared" ref="F10:F13" si="4">F3-B3</f>
        <v>-3.6412308895953566E-2</v>
      </c>
      <c r="G10" s="10">
        <f t="shared" ref="G10:G13" si="5">G3-B3</f>
        <v>-2.5982338695868412E-2</v>
      </c>
      <c r="H10" s="10">
        <f t="shared" ref="H10:H13" si="6">H3-B3</f>
        <v>5.9987295935162999E-3</v>
      </c>
      <c r="J10" s="10" t="s">
        <v>17</v>
      </c>
      <c r="K10" s="8">
        <f>(J3-J2) * ((K3+K2))</f>
        <v>5.9849686852623679E-2</v>
      </c>
      <c r="L10" s="8">
        <f>(J3-J2) * ((L3+L2))</f>
        <v>5.7933317569165282E-2</v>
      </c>
      <c r="M10" s="8">
        <f>(J3-J2) * ((M3+M2))</f>
        <v>1.9543769782369009E-2</v>
      </c>
      <c r="N10" s="8">
        <f>(J3-J2) * ((N3+N2))</f>
        <v>4.3390385998304859E-2</v>
      </c>
      <c r="O10" s="8">
        <f>(J3-J2) * ((O3+O2))</f>
        <v>3.9621062015693501E-2</v>
      </c>
      <c r="P10" s="8">
        <f>(J3-J2) * ((P3+P2))</f>
        <v>3.8167832751450068E-2</v>
      </c>
    </row>
    <row r="11" spans="1:16" x14ac:dyDescent="0.3">
      <c r="B11" s="10" t="s">
        <v>19</v>
      </c>
      <c r="C11" s="10">
        <f t="shared" si="1"/>
        <v>-4.1576789849801177E-2</v>
      </c>
      <c r="D11" s="10">
        <f t="shared" si="2"/>
        <v>-5.5099145356889506E-2</v>
      </c>
      <c r="E11" s="10">
        <f t="shared" si="3"/>
        <v>3.7648821818368206E-3</v>
      </c>
      <c r="F11" s="10">
        <f t="shared" si="4"/>
        <v>0.11844582818808402</v>
      </c>
      <c r="G11" s="10">
        <f t="shared" si="5"/>
        <v>6.6083120652962707E-2</v>
      </c>
      <c r="H11" s="10">
        <f t="shared" si="6"/>
        <v>0.14153951010529536</v>
      </c>
      <c r="J11" s="10" t="s">
        <v>19</v>
      </c>
      <c r="K11" s="8">
        <f t="shared" ref="K11:K13" si="7">(J4-J3) * ((K4+K3))</f>
        <v>9.1367493443128972E-2</v>
      </c>
      <c r="L11" s="8">
        <f t="shared" ref="L11:L13" si="8">(J4-J3) * ((L4+L3))</f>
        <v>8.448805864270513E-2</v>
      </c>
      <c r="M11" s="8">
        <f t="shared" ref="M11:M13" si="9">(J4-J3) * ((M4+M3))</f>
        <v>6.1075705042919363E-2</v>
      </c>
      <c r="N11" s="8">
        <f t="shared" ref="N11:N13" si="10">(J4-J3) * ((N4+N3))</f>
        <v>9.5614058134748589E-2</v>
      </c>
      <c r="O11" s="8">
        <f t="shared" ref="O11:O13" si="11">(J4-J3) * ((O4+O3))</f>
        <v>8.5782894790486064E-2</v>
      </c>
      <c r="P11" s="8">
        <f t="shared" ref="P11:P13" si="12">(J4-J3) * ((P4+P3))</f>
        <v>9.9397716050241336E-2</v>
      </c>
    </row>
    <row r="12" spans="1:16" x14ac:dyDescent="0.3">
      <c r="B12" s="10" t="s">
        <v>20</v>
      </c>
      <c r="C12" s="10">
        <f t="shared" si="1"/>
        <v>-5.7021161891387256E-2</v>
      </c>
      <c r="D12" s="10">
        <f t="shared" si="2"/>
        <v>-0.10696663626434255</v>
      </c>
      <c r="E12" s="10">
        <f t="shared" si="3"/>
        <v>-0.13381689443990194</v>
      </c>
      <c r="F12" s="10">
        <f t="shared" si="4"/>
        <v>-8.9094796170280238E-2</v>
      </c>
      <c r="G12" s="10">
        <f t="shared" si="5"/>
        <v>3.1949619893292924E-2</v>
      </c>
      <c r="H12" s="10">
        <f t="shared" si="6"/>
        <v>-5.4865795928208089E-2</v>
      </c>
      <c r="J12" s="10" t="s">
        <v>20</v>
      </c>
      <c r="K12" s="8">
        <f t="shared" si="7"/>
        <v>0.26989459066412269</v>
      </c>
      <c r="L12" s="8">
        <f t="shared" si="8"/>
        <v>0.23862446373678339</v>
      </c>
      <c r="M12" s="8">
        <f t="shared" si="9"/>
        <v>0.20124954772981729</v>
      </c>
      <c r="N12" s="8">
        <f t="shared" si="10"/>
        <v>0.31391064571135158</v>
      </c>
      <c r="O12" s="8">
        <f t="shared" si="11"/>
        <v>0.31359460176902959</v>
      </c>
      <c r="P12" s="8">
        <f t="shared" si="12"/>
        <v>0.33734948696906053</v>
      </c>
    </row>
    <row r="13" spans="1:16" x14ac:dyDescent="0.3">
      <c r="B13" s="10" t="s">
        <v>16</v>
      </c>
      <c r="C13" s="10">
        <f t="shared" si="1"/>
        <v>5.4990021040952575E-2</v>
      </c>
      <c r="D13" s="10">
        <f t="shared" si="2"/>
        <v>0.13612415408348255</v>
      </c>
      <c r="E13" s="10">
        <f t="shared" si="3"/>
        <v>0.21667492861016074</v>
      </c>
      <c r="F13" s="10">
        <f t="shared" si="4"/>
        <v>-8.0263456225727059E-3</v>
      </c>
      <c r="G13" s="10">
        <f t="shared" si="5"/>
        <v>-6.7980936228504318E-2</v>
      </c>
      <c r="H13" s="10">
        <f t="shared" si="6"/>
        <v>-6.7237190454332574E-2</v>
      </c>
      <c r="J13" s="10" t="s">
        <v>16</v>
      </c>
      <c r="K13" s="8">
        <f t="shared" si="7"/>
        <v>0.55774303443387685</v>
      </c>
      <c r="L13" s="8">
        <f t="shared" si="8"/>
        <v>0.52937934218378768</v>
      </c>
      <c r="M13" s="8">
        <f t="shared" si="9"/>
        <v>0.50121958631404318</v>
      </c>
      <c r="N13" s="8">
        <f t="shared" si="10"/>
        <v>0.57977293435067367</v>
      </c>
      <c r="O13" s="8">
        <f t="shared" si="11"/>
        <v>0.60073246757247223</v>
      </c>
      <c r="P13" s="8">
        <f t="shared" si="12"/>
        <v>0.60047246138937971</v>
      </c>
    </row>
    <row r="14" spans="1:16" x14ac:dyDescent="0.3">
      <c r="J14" s="11" t="s">
        <v>174</v>
      </c>
      <c r="K14" s="11">
        <f>SUM(K9:K13)</f>
        <v>0.99498088745045865</v>
      </c>
      <c r="L14" s="11">
        <f t="shared" ref="L14:P14" si="13">SUM(L9:L13)</f>
        <v>0.92688635160850807</v>
      </c>
      <c r="M14" s="11">
        <f t="shared" si="13"/>
        <v>0.78308860886914888</v>
      </c>
      <c r="N14" s="11">
        <f t="shared" si="13"/>
        <v>1.0433573007073442</v>
      </c>
      <c r="O14" s="11">
        <f t="shared" si="13"/>
        <v>1.0485607722267976</v>
      </c>
      <c r="P14" s="11">
        <f t="shared" si="13"/>
        <v>1.0821656257679237</v>
      </c>
    </row>
    <row r="15" spans="1:16" x14ac:dyDescent="0.3">
      <c r="J15" s="14" t="s">
        <v>175</v>
      </c>
      <c r="K15" s="14">
        <f>1-K14</f>
        <v>5.0191125495413491E-3</v>
      </c>
      <c r="L15" s="14">
        <f t="shared" ref="L15:P15" si="14">1-L14</f>
        <v>7.3113648391491926E-2</v>
      </c>
      <c r="M15" s="14">
        <f t="shared" si="14"/>
        <v>0.21691139113085112</v>
      </c>
      <c r="N15" s="14">
        <f t="shared" si="14"/>
        <v>-4.3357300707344226E-2</v>
      </c>
      <c r="O15" s="14">
        <f t="shared" si="14"/>
        <v>-4.8560772226797555E-2</v>
      </c>
      <c r="P15" s="14">
        <f t="shared" si="14"/>
        <v>-8.2165625767923745E-2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C6D7-AE9F-490B-A6A1-5015A27FAFAF}">
  <dimension ref="A1:P21"/>
  <sheetViews>
    <sheetView topLeftCell="F1" zoomScale="94" workbookViewId="0">
      <selection activeCell="K21" sqref="K21:P21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28</v>
      </c>
      <c r="B2" s="9">
        <v>3.1397293075806264E-2</v>
      </c>
      <c r="C2" s="9">
        <v>3.9634146341463415E-2</v>
      </c>
      <c r="D2" s="9">
        <v>6.097560975609756E-2</v>
      </c>
      <c r="E2" s="9">
        <v>0.05</v>
      </c>
      <c r="F2" s="9">
        <v>4.878048780487805E-2</v>
      </c>
      <c r="G2" s="9">
        <v>3.5812672176308541E-2</v>
      </c>
      <c r="H2" s="9">
        <v>2.7450980392156862E-2</v>
      </c>
      <c r="I2" s="10">
        <v>3.1397293075806264E-2</v>
      </c>
      <c r="J2" s="9">
        <v>3.1397293075806264E-2</v>
      </c>
      <c r="K2" s="9">
        <v>3.9634146341463415E-2</v>
      </c>
      <c r="L2" s="9">
        <v>6.097560975609756E-2</v>
      </c>
      <c r="M2" s="9">
        <v>0.05</v>
      </c>
      <c r="N2" s="9">
        <v>4.878048780487805E-2</v>
      </c>
      <c r="O2" s="9">
        <v>3.5812672176308541E-2</v>
      </c>
      <c r="P2" s="9">
        <v>2.7450980392156862E-2</v>
      </c>
    </row>
    <row r="3" spans="1:16" x14ac:dyDescent="0.3">
      <c r="A3" s="10" t="s">
        <v>25</v>
      </c>
      <c r="B3" s="9">
        <v>7.4278715483964197E-2</v>
      </c>
      <c r="C3" s="9">
        <v>0.10670731707317073</v>
      </c>
      <c r="D3" s="9">
        <v>8.5365853658536592E-2</v>
      </c>
      <c r="E3" s="9">
        <v>0.05</v>
      </c>
      <c r="F3" s="9">
        <v>0.21036585365853658</v>
      </c>
      <c r="G3" s="9">
        <v>9.6418732782369149E-2</v>
      </c>
      <c r="H3" s="9">
        <v>0.12549019607843137</v>
      </c>
      <c r="I3" s="10">
        <v>0.10567600855977047</v>
      </c>
      <c r="J3" s="10">
        <f t="shared" ref="J3:P9" si="0">J2+B3</f>
        <v>0.10567600855977047</v>
      </c>
      <c r="K3" s="10">
        <f t="shared" si="0"/>
        <v>0.14634146341463414</v>
      </c>
      <c r="L3" s="15">
        <f t="shared" si="0"/>
        <v>0.14634146341463417</v>
      </c>
      <c r="M3" s="10">
        <f t="shared" si="0"/>
        <v>0.1</v>
      </c>
      <c r="N3" s="10">
        <f t="shared" si="0"/>
        <v>0.25914634146341464</v>
      </c>
      <c r="O3" s="10">
        <f t="shared" si="0"/>
        <v>0.13223140495867769</v>
      </c>
      <c r="P3" s="10">
        <f t="shared" si="0"/>
        <v>0.15294117647058825</v>
      </c>
    </row>
    <row r="4" spans="1:16" x14ac:dyDescent="0.3">
      <c r="A4" s="10" t="s">
        <v>22</v>
      </c>
      <c r="B4" s="9">
        <v>7.5620480145323438E-2</v>
      </c>
      <c r="C4" s="9">
        <v>9.451219512195122E-2</v>
      </c>
      <c r="D4" s="9">
        <v>8.5365853658536592E-2</v>
      </c>
      <c r="E4" s="9">
        <v>0.1</v>
      </c>
      <c r="F4" s="9">
        <v>0.10975609756097561</v>
      </c>
      <c r="G4" s="9">
        <v>8.5399449035812675E-2</v>
      </c>
      <c r="H4" s="9">
        <v>4.7058823529411764E-2</v>
      </c>
      <c r="I4" s="10">
        <v>0.18129648870509391</v>
      </c>
      <c r="J4" s="10">
        <f t="shared" si="0"/>
        <v>0.18129648870509391</v>
      </c>
      <c r="K4" s="10">
        <f t="shared" si="0"/>
        <v>0.24085365853658536</v>
      </c>
      <c r="L4" s="15">
        <f t="shared" si="0"/>
        <v>0.23170731707317077</v>
      </c>
      <c r="M4" s="10">
        <f t="shared" si="0"/>
        <v>0.2</v>
      </c>
      <c r="N4" s="10">
        <f t="shared" si="0"/>
        <v>0.36890243902439024</v>
      </c>
      <c r="O4" s="10">
        <f t="shared" si="0"/>
        <v>0.21763085399449036</v>
      </c>
      <c r="P4" s="10">
        <f t="shared" si="0"/>
        <v>0.2</v>
      </c>
    </row>
    <row r="5" spans="1:16" x14ac:dyDescent="0.3">
      <c r="A5" s="10" t="s">
        <v>26</v>
      </c>
      <c r="B5" s="9">
        <v>9.0407414797944008E-2</v>
      </c>
      <c r="C5" s="9">
        <v>0.10060975609756098</v>
      </c>
      <c r="D5" s="9">
        <v>0.10975609756097561</v>
      </c>
      <c r="E5" s="9">
        <v>0.25</v>
      </c>
      <c r="F5" s="9">
        <v>0.1951219512195122</v>
      </c>
      <c r="G5" s="9">
        <v>0.15702479338842976</v>
      </c>
      <c r="H5" s="9">
        <v>0.13333333333333333</v>
      </c>
      <c r="I5" s="10">
        <v>0.27170390350303791</v>
      </c>
      <c r="J5" s="10">
        <f t="shared" si="0"/>
        <v>0.27170390350303791</v>
      </c>
      <c r="K5" s="10">
        <f t="shared" si="0"/>
        <v>0.34146341463414631</v>
      </c>
      <c r="L5" s="15">
        <f t="shared" si="0"/>
        <v>0.34146341463414637</v>
      </c>
      <c r="M5" s="10">
        <f t="shared" si="0"/>
        <v>0.45</v>
      </c>
      <c r="N5" s="10">
        <f t="shared" si="0"/>
        <v>0.56402439024390238</v>
      </c>
      <c r="O5" s="10">
        <f t="shared" si="0"/>
        <v>0.37465564738292012</v>
      </c>
      <c r="P5" s="10">
        <f t="shared" si="0"/>
        <v>0.33333333333333337</v>
      </c>
    </row>
    <row r="6" spans="1:16" x14ac:dyDescent="0.3">
      <c r="A6" s="10" t="s">
        <v>23</v>
      </c>
      <c r="B6" s="9">
        <v>9.6841004328051136E-2</v>
      </c>
      <c r="C6" s="9">
        <v>0.12195121951219512</v>
      </c>
      <c r="D6" s="9">
        <v>0.25609756097560976</v>
      </c>
      <c r="E6" s="9">
        <v>0.1875</v>
      </c>
      <c r="F6" s="9">
        <v>0.10060975609756098</v>
      </c>
      <c r="G6" s="9">
        <v>0.11019283746556474</v>
      </c>
      <c r="H6" s="9">
        <v>8.2352941176470587E-2</v>
      </c>
      <c r="I6" s="10">
        <v>0.36854490783108906</v>
      </c>
      <c r="J6" s="10">
        <f t="shared" si="0"/>
        <v>0.36854490783108906</v>
      </c>
      <c r="K6" s="10">
        <f t="shared" si="0"/>
        <v>0.46341463414634143</v>
      </c>
      <c r="L6" s="15">
        <f t="shared" si="0"/>
        <v>0.59756097560975618</v>
      </c>
      <c r="M6" s="10">
        <f t="shared" si="0"/>
        <v>0.63749999999999996</v>
      </c>
      <c r="N6" s="10">
        <f t="shared" si="0"/>
        <v>0.66463414634146334</v>
      </c>
      <c r="O6" s="10">
        <f t="shared" si="0"/>
        <v>0.48484848484848486</v>
      </c>
      <c r="P6" s="10">
        <f t="shared" si="0"/>
        <v>0.41568627450980394</v>
      </c>
    </row>
    <row r="7" spans="1:16" x14ac:dyDescent="0.3">
      <c r="A7" s="10" t="s">
        <v>24</v>
      </c>
      <c r="B7" s="9">
        <v>0.13083237574915194</v>
      </c>
      <c r="C7" s="9">
        <v>8.5365853658536592E-2</v>
      </c>
      <c r="D7" s="9">
        <v>3.6585365853658534E-2</v>
      </c>
      <c r="E7" s="9">
        <v>1.2500000000000001E-2</v>
      </c>
      <c r="F7" s="9">
        <v>0.10975609756097561</v>
      </c>
      <c r="G7" s="9">
        <v>7.7134986225895319E-2</v>
      </c>
      <c r="H7" s="9">
        <v>7.4509803921568626E-2</v>
      </c>
      <c r="I7" s="10">
        <v>0.49937728358024103</v>
      </c>
      <c r="J7" s="10">
        <f t="shared" si="0"/>
        <v>0.49937728358024103</v>
      </c>
      <c r="K7" s="10">
        <f t="shared" si="0"/>
        <v>0.54878048780487798</v>
      </c>
      <c r="L7" s="15">
        <f t="shared" si="0"/>
        <v>0.63414634146341475</v>
      </c>
      <c r="M7" s="10">
        <f t="shared" si="0"/>
        <v>0.64999999999999991</v>
      </c>
      <c r="N7" s="10">
        <f t="shared" si="0"/>
        <v>0.77439024390243894</v>
      </c>
      <c r="O7" s="10">
        <f t="shared" si="0"/>
        <v>0.56198347107438018</v>
      </c>
      <c r="P7" s="10">
        <f t="shared" si="0"/>
        <v>0.49019607843137258</v>
      </c>
    </row>
    <row r="8" spans="1:16" x14ac:dyDescent="0.3">
      <c r="A8" s="10" t="s">
        <v>27</v>
      </c>
      <c r="B8" s="9">
        <v>0.14120868913033008</v>
      </c>
      <c r="C8" s="9">
        <v>0.25609756097560976</v>
      </c>
      <c r="D8" s="9">
        <v>0.17073170731707318</v>
      </c>
      <c r="E8" s="9">
        <v>0.125</v>
      </c>
      <c r="F8" s="9">
        <v>8.5365853658536592E-2</v>
      </c>
      <c r="G8" s="9">
        <v>0.12396694214876033</v>
      </c>
      <c r="H8" s="9">
        <v>0.23137254901960785</v>
      </c>
      <c r="I8" s="10">
        <v>0.64058597271057116</v>
      </c>
      <c r="J8" s="10">
        <f t="shared" si="0"/>
        <v>0.64058597271057116</v>
      </c>
      <c r="K8" s="10">
        <f t="shared" si="0"/>
        <v>0.80487804878048774</v>
      </c>
      <c r="L8" s="15">
        <f t="shared" si="0"/>
        <v>0.80487804878048796</v>
      </c>
      <c r="M8" s="10">
        <f t="shared" si="0"/>
        <v>0.77499999999999991</v>
      </c>
      <c r="N8" s="10">
        <f t="shared" si="0"/>
        <v>0.85975609756097549</v>
      </c>
      <c r="O8" s="10">
        <f t="shared" si="0"/>
        <v>0.68595041322314054</v>
      </c>
      <c r="P8" s="10">
        <f t="shared" si="0"/>
        <v>0.72156862745098049</v>
      </c>
    </row>
    <row r="9" spans="1:16" x14ac:dyDescent="0.3">
      <c r="A9" s="10" t="s">
        <v>21</v>
      </c>
      <c r="B9" s="9">
        <v>0.35941402728942895</v>
      </c>
      <c r="C9" s="9">
        <v>0.1951219512195122</v>
      </c>
      <c r="D9" s="9">
        <v>0.1951219512195122</v>
      </c>
      <c r="E9" s="9">
        <v>0.22500000000000001</v>
      </c>
      <c r="F9" s="9">
        <v>0.1402439024390244</v>
      </c>
      <c r="G9" s="9">
        <v>0.31404958677685951</v>
      </c>
      <c r="H9" s="9">
        <v>0.27843137254901962</v>
      </c>
      <c r="I9" s="10">
        <v>1</v>
      </c>
      <c r="J9" s="10">
        <f t="shared" si="0"/>
        <v>1</v>
      </c>
      <c r="K9" s="10">
        <f t="shared" si="0"/>
        <v>1</v>
      </c>
      <c r="L9" s="15">
        <f t="shared" si="0"/>
        <v>1.0000000000000002</v>
      </c>
      <c r="M9" s="10">
        <f t="shared" si="0"/>
        <v>0.99999999999999989</v>
      </c>
      <c r="N9" s="10">
        <f t="shared" si="0"/>
        <v>0.99999999999999989</v>
      </c>
      <c r="O9" s="10">
        <f t="shared" si="0"/>
        <v>1</v>
      </c>
      <c r="P9" s="10">
        <f t="shared" si="0"/>
        <v>1</v>
      </c>
    </row>
    <row r="11" spans="1:16" ht="28.8" x14ac:dyDescent="0.3">
      <c r="B11" s="1" t="s">
        <v>154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  <c r="H11" s="3" t="s">
        <v>167</v>
      </c>
      <c r="J11" s="8"/>
      <c r="K11" s="11" t="s">
        <v>168</v>
      </c>
      <c r="L11" s="11" t="s">
        <v>169</v>
      </c>
      <c r="M11" s="11" t="s">
        <v>170</v>
      </c>
      <c r="N11" s="11" t="s">
        <v>171</v>
      </c>
      <c r="O11" s="11" t="s">
        <v>172</v>
      </c>
      <c r="P11" s="11" t="s">
        <v>173</v>
      </c>
    </row>
    <row r="12" spans="1:16" x14ac:dyDescent="0.3">
      <c r="B12" s="10" t="s">
        <v>28</v>
      </c>
      <c r="C12" s="10">
        <f>C2-B2</f>
        <v>8.2368532656571514E-3</v>
      </c>
      <c r="D12" s="10">
        <f>D2-B2</f>
        <v>2.9578316680291296E-2</v>
      </c>
      <c r="E12" s="10">
        <f>E2-B2</f>
        <v>1.8602706924193739E-2</v>
      </c>
      <c r="F12" s="10">
        <f>F2-B2</f>
        <v>1.7383194729071787E-2</v>
      </c>
      <c r="G12" s="10">
        <f>G2-B2</f>
        <v>4.4153791005022772E-3</v>
      </c>
      <c r="H12" s="10">
        <f>H2-B2</f>
        <v>-3.9463126836494014E-3</v>
      </c>
      <c r="J12" s="10" t="s">
        <v>28</v>
      </c>
      <c r="K12" s="8">
        <f>(J2-0) * (K2+0)</f>
        <v>1.2444049084923215E-3</v>
      </c>
      <c r="L12" s="8">
        <f t="shared" ref="L12" si="1">(K2-0) * (L2+0)</f>
        <v>2.4167162403331351E-3</v>
      </c>
      <c r="M12" s="8">
        <f>(J2-0) * (M2+0)</f>
        <v>1.5698646537903134E-3</v>
      </c>
      <c r="N12" s="8">
        <f>(J2-0) * (N2+0)</f>
        <v>1.5315752719905495E-3</v>
      </c>
      <c r="O12" s="8">
        <f>(J2-0) * (O2+0)</f>
        <v>1.1244209641473317E-3</v>
      </c>
      <c r="P12" s="8">
        <f>(J2-0) * (P2+0)</f>
        <v>8.618864765907602E-4</v>
      </c>
    </row>
    <row r="13" spans="1:16" x14ac:dyDescent="0.3">
      <c r="B13" s="10" t="s">
        <v>25</v>
      </c>
      <c r="C13" s="10">
        <f t="shared" ref="C13:C19" si="2">C3-B3</f>
        <v>3.2428601589206532E-2</v>
      </c>
      <c r="D13" s="10">
        <f t="shared" ref="D13:D19" si="3">D3-B3</f>
        <v>1.1087138174572395E-2</v>
      </c>
      <c r="E13" s="10">
        <f t="shared" ref="E13:E19" si="4">E3-B3</f>
        <v>-2.4278715483964194E-2</v>
      </c>
      <c r="F13" s="10">
        <f t="shared" ref="F13:F19" si="5">F3-B3</f>
        <v>0.13608713817457238</v>
      </c>
      <c r="G13" s="10">
        <f t="shared" ref="G13:G19" si="6">G3-B3</f>
        <v>2.2140017298404951E-2</v>
      </c>
      <c r="H13" s="10">
        <f t="shared" ref="H13:H19" si="7">H3-B3</f>
        <v>5.1211480594467174E-2</v>
      </c>
      <c r="J13" s="10" t="s">
        <v>25</v>
      </c>
      <c r="K13" s="8">
        <f>(J3-J2) * (K3+K2)</f>
        <v>1.3814029404029926E-2</v>
      </c>
      <c r="L13" s="8">
        <f>(J3-J2) * (L3+L2)</f>
        <v>1.5399245893016968E-2</v>
      </c>
      <c r="M13" s="8">
        <f>(J3-J2) * (M3+M2)</f>
        <v>1.1141807322594632E-2</v>
      </c>
      <c r="N13" s="8">
        <f>(J3-J2) * (N3+N2)</f>
        <v>2.2872409341098732E-2</v>
      </c>
      <c r="O13" s="8">
        <f>(J3-J2) * (O3+O2)</f>
        <v>1.2482098194274975E-2</v>
      </c>
      <c r="P13" s="8">
        <f>(J3-J2) * (P3+P2)</f>
        <v>1.3399297695146485E-2</v>
      </c>
    </row>
    <row r="14" spans="1:16" x14ac:dyDescent="0.3">
      <c r="B14" s="10" t="s">
        <v>22</v>
      </c>
      <c r="C14" s="10">
        <f t="shared" si="2"/>
        <v>1.8891714976627783E-2</v>
      </c>
      <c r="D14" s="10">
        <f t="shared" si="3"/>
        <v>9.7453735132131541E-3</v>
      </c>
      <c r="E14" s="10">
        <f t="shared" si="4"/>
        <v>2.4379519854676568E-2</v>
      </c>
      <c r="F14" s="10">
        <f t="shared" si="5"/>
        <v>3.4135617415652172E-2</v>
      </c>
      <c r="G14" s="10">
        <f t="shared" si="6"/>
        <v>9.7789688904892369E-3</v>
      </c>
      <c r="H14" s="10">
        <f t="shared" si="7"/>
        <v>-2.8561656615911674E-2</v>
      </c>
      <c r="J14" s="10" t="s">
        <v>22</v>
      </c>
      <c r="K14" s="8">
        <f t="shared" ref="K14:K19" si="8">(J4-J3) * (K4+K3)</f>
        <v>2.9279881031878282E-2</v>
      </c>
      <c r="L14" s="8">
        <f t="shared" ref="L14:L19" si="9">(J4-J3) * (L4+L3)</f>
        <v>2.8588230298841791E-2</v>
      </c>
      <c r="M14" s="8">
        <f t="shared" ref="M14:M19" si="10">(J4-J3) * (M4+M3)</f>
        <v>2.2686144043597034E-2</v>
      </c>
      <c r="N14" s="8">
        <f t="shared" ref="N14:N19" si="11">(J4-J3) * (N4+N3)</f>
        <v>4.749335033517265E-2</v>
      </c>
      <c r="O14" s="8">
        <f t="shared" ref="O14:O19" si="12">(J4-J3) * (O4+O3)</f>
        <v>2.645675200676605E-2</v>
      </c>
      <c r="P14" s="8">
        <f t="shared" ref="P14:P19" si="13">(J4-J3) * (P4+P3)</f>
        <v>2.6689581227761217E-2</v>
      </c>
    </row>
    <row r="15" spans="1:16" x14ac:dyDescent="0.3">
      <c r="B15" s="10" t="s">
        <v>26</v>
      </c>
      <c r="C15" s="10">
        <f t="shared" si="2"/>
        <v>1.0202341299616974E-2</v>
      </c>
      <c r="D15" s="10">
        <f t="shared" si="3"/>
        <v>1.9348682763031602E-2</v>
      </c>
      <c r="E15" s="10">
        <f t="shared" si="4"/>
        <v>0.15959258520205599</v>
      </c>
      <c r="F15" s="10">
        <f t="shared" si="5"/>
        <v>0.10471453642156819</v>
      </c>
      <c r="G15" s="10">
        <f t="shared" si="6"/>
        <v>6.6617378590485749E-2</v>
      </c>
      <c r="H15" s="10">
        <f t="shared" si="7"/>
        <v>4.2925918535389324E-2</v>
      </c>
      <c r="J15" s="10" t="s">
        <v>26</v>
      </c>
      <c r="K15" s="8">
        <f t="shared" si="8"/>
        <v>5.2645781178071047E-2</v>
      </c>
      <c r="L15" s="8">
        <f t="shared" si="9"/>
        <v>5.1818884091504501E-2</v>
      </c>
      <c r="M15" s="8">
        <f t="shared" si="10"/>
        <v>5.8764819618663609E-2</v>
      </c>
      <c r="N15" s="8">
        <f t="shared" si="11"/>
        <v>8.4343502829789224E-2</v>
      </c>
      <c r="O15" s="8">
        <f t="shared" si="12"/>
        <v>5.3547091409250583E-2</v>
      </c>
      <c r="P15" s="8">
        <f t="shared" si="13"/>
        <v>4.8217287892236817E-2</v>
      </c>
    </row>
    <row r="16" spans="1:16" x14ac:dyDescent="0.3">
      <c r="B16" s="10" t="s">
        <v>23</v>
      </c>
      <c r="C16" s="10">
        <f t="shared" si="2"/>
        <v>2.5110215184143983E-2</v>
      </c>
      <c r="D16" s="10">
        <f t="shared" si="3"/>
        <v>0.15925655664755861</v>
      </c>
      <c r="E16" s="10">
        <f t="shared" si="4"/>
        <v>9.0658995671948864E-2</v>
      </c>
      <c r="F16" s="10">
        <f t="shared" si="5"/>
        <v>3.7687517695098455E-3</v>
      </c>
      <c r="G16" s="10">
        <f t="shared" si="6"/>
        <v>1.3351833137513605E-2</v>
      </c>
      <c r="H16" s="10">
        <f t="shared" si="7"/>
        <v>-1.4488063151580549E-2</v>
      </c>
      <c r="J16" s="10" t="s">
        <v>23</v>
      </c>
      <c r="K16" s="8">
        <f t="shared" si="8"/>
        <v>7.7945198605504584E-2</v>
      </c>
      <c r="L16" s="8">
        <f t="shared" si="9"/>
        <v>9.0936065039755362E-2</v>
      </c>
      <c r="M16" s="8">
        <f t="shared" si="10"/>
        <v>0.10531459220675561</v>
      </c>
      <c r="N16" s="8">
        <f t="shared" si="11"/>
        <v>0.1189845266591604</v>
      </c>
      <c r="O16" s="8">
        <f t="shared" si="12"/>
        <v>8.3235243389399333E-2</v>
      </c>
      <c r="P16" s="8">
        <f t="shared" si="13"/>
        <v>7.2535811084932428E-2</v>
      </c>
    </row>
    <row r="17" spans="2:16" x14ac:dyDescent="0.3">
      <c r="B17" s="10" t="s">
        <v>24</v>
      </c>
      <c r="C17" s="10">
        <f t="shared" si="2"/>
        <v>-4.5466522090615344E-2</v>
      </c>
      <c r="D17" s="10">
        <f t="shared" si="3"/>
        <v>-9.4247009895493394E-2</v>
      </c>
      <c r="E17" s="10">
        <f t="shared" si="4"/>
        <v>-0.11833237574915194</v>
      </c>
      <c r="F17" s="10">
        <f t="shared" si="5"/>
        <v>-2.1076278188176326E-2</v>
      </c>
      <c r="G17" s="10">
        <f t="shared" si="6"/>
        <v>-5.3697389523256617E-2</v>
      </c>
      <c r="H17" s="10">
        <f t="shared" si="7"/>
        <v>-5.6322571827583309E-2</v>
      </c>
      <c r="J17" s="10" t="s">
        <v>24</v>
      </c>
      <c r="K17" s="8">
        <f t="shared" si="8"/>
        <v>0.13242789252658066</v>
      </c>
      <c r="L17" s="8">
        <f t="shared" si="9"/>
        <v>0.16114719452029697</v>
      </c>
      <c r="M17" s="8">
        <f t="shared" si="10"/>
        <v>0.16844668377703315</v>
      </c>
      <c r="N17" s="8">
        <f t="shared" si="11"/>
        <v>0.18827097973658452</v>
      </c>
      <c r="O17" s="8">
        <f t="shared" si="12"/>
        <v>0.13695951180351995</v>
      </c>
      <c r="P17" s="8">
        <f t="shared" si="13"/>
        <v>0.11851874038452591</v>
      </c>
    </row>
    <row r="18" spans="2:16" x14ac:dyDescent="0.3">
      <c r="B18" s="10" t="s">
        <v>27</v>
      </c>
      <c r="C18" s="10">
        <f t="shared" si="2"/>
        <v>0.11488887184527968</v>
      </c>
      <c r="D18" s="10">
        <f t="shared" si="3"/>
        <v>2.9523018186743105E-2</v>
      </c>
      <c r="E18" s="10">
        <f t="shared" si="4"/>
        <v>-1.6208689130330078E-2</v>
      </c>
      <c r="F18" s="10">
        <f t="shared" si="5"/>
        <v>-5.5842835471793487E-2</v>
      </c>
      <c r="G18" s="10">
        <f t="shared" si="6"/>
        <v>-1.7241746981569744E-2</v>
      </c>
      <c r="H18" s="10">
        <f t="shared" si="7"/>
        <v>9.0163859889277775E-2</v>
      </c>
      <c r="J18" s="10" t="s">
        <v>27</v>
      </c>
      <c r="K18" s="8">
        <f t="shared" si="8"/>
        <v>0.19114834748130052</v>
      </c>
      <c r="L18" s="8">
        <f t="shared" si="9"/>
        <v>0.20320274777291414</v>
      </c>
      <c r="M18" s="8">
        <f t="shared" si="10"/>
        <v>0.2012223820107204</v>
      </c>
      <c r="N18" s="8">
        <f t="shared" si="11"/>
        <v>0.23075566272517359</v>
      </c>
      <c r="O18" s="8">
        <f t="shared" si="12"/>
        <v>0.17621910792297399</v>
      </c>
      <c r="P18" s="8">
        <f t="shared" si="13"/>
        <v>0.17111170565204711</v>
      </c>
    </row>
    <row r="19" spans="2:16" x14ac:dyDescent="0.3">
      <c r="B19" s="10" t="s">
        <v>21</v>
      </c>
      <c r="C19" s="10">
        <f t="shared" si="2"/>
        <v>-0.16429207606991675</v>
      </c>
      <c r="D19" s="10">
        <f t="shared" si="3"/>
        <v>-0.16429207606991675</v>
      </c>
      <c r="E19" s="10">
        <f t="shared" si="4"/>
        <v>-0.13441402728942894</v>
      </c>
      <c r="F19" s="10">
        <f t="shared" si="5"/>
        <v>-0.21917012485040455</v>
      </c>
      <c r="G19" s="10">
        <f t="shared" si="6"/>
        <v>-4.5364440512569437E-2</v>
      </c>
      <c r="H19" s="10">
        <f t="shared" si="7"/>
        <v>-8.0982654740409332E-2</v>
      </c>
      <c r="J19" s="10" t="s">
        <v>21</v>
      </c>
      <c r="K19" s="8">
        <f t="shared" si="8"/>
        <v>0.64869848827848131</v>
      </c>
      <c r="L19" s="8">
        <f t="shared" si="9"/>
        <v>0.64869848827848142</v>
      </c>
      <c r="M19" s="8">
        <f t="shared" si="10"/>
        <v>0.63795989843873613</v>
      </c>
      <c r="N19" s="8">
        <f t="shared" si="11"/>
        <v>0.6684224288004621</v>
      </c>
      <c r="O19" s="8">
        <f t="shared" si="12"/>
        <v>0.60595422782680575</v>
      </c>
      <c r="P19" s="8">
        <f t="shared" si="13"/>
        <v>0.61875591364729121</v>
      </c>
    </row>
    <row r="20" spans="2:16" x14ac:dyDescent="0.3">
      <c r="J20" s="11" t="s">
        <v>174</v>
      </c>
      <c r="K20" s="11">
        <f>SUM(K12:K19)</f>
        <v>1.1472040234143388</v>
      </c>
      <c r="L20" s="11">
        <f t="shared" ref="L20:P20" si="14">SUM(L12:L19)</f>
        <v>1.2022075721351442</v>
      </c>
      <c r="M20" s="11">
        <f t="shared" si="14"/>
        <v>1.2071061920718908</v>
      </c>
      <c r="N20" s="11">
        <f t="shared" si="14"/>
        <v>1.3626744356994318</v>
      </c>
      <c r="O20" s="11">
        <f t="shared" si="14"/>
        <v>1.095978453517138</v>
      </c>
      <c r="P20" s="11">
        <f t="shared" si="14"/>
        <v>1.0700902240605319</v>
      </c>
    </row>
    <row r="21" spans="2:16" x14ac:dyDescent="0.3">
      <c r="J21" s="14" t="s">
        <v>175</v>
      </c>
      <c r="K21" s="14">
        <f>1-K20</f>
        <v>-0.1472040234143388</v>
      </c>
      <c r="L21" s="14">
        <f t="shared" ref="L21:P21" si="15">1-L20</f>
        <v>-0.20220757213514418</v>
      </c>
      <c r="M21" s="14">
        <f t="shared" si="15"/>
        <v>-0.20710619207189085</v>
      </c>
      <c r="N21" s="14">
        <f t="shared" si="15"/>
        <v>-0.36267443569943181</v>
      </c>
      <c r="O21" s="14">
        <f t="shared" si="15"/>
        <v>-9.5978453517137963E-2</v>
      </c>
      <c r="P21" s="14">
        <f t="shared" si="15"/>
        <v>-7.0090224060531892E-2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35F7-2620-4452-AE81-17A86D31C34B}">
  <dimension ref="A1:P35"/>
  <sheetViews>
    <sheetView topLeftCell="G11" workbookViewId="0">
      <selection activeCell="J35" sqref="J35:P35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32</v>
      </c>
      <c r="B2" s="9">
        <v>8.6580926018392391E-3</v>
      </c>
      <c r="C2" s="9">
        <v>0</v>
      </c>
      <c r="D2" s="9">
        <v>4.464285714285714E-3</v>
      </c>
      <c r="E2" s="9">
        <v>0</v>
      </c>
      <c r="F2" s="9">
        <v>3.5714285714285712E-2</v>
      </c>
      <c r="G2" s="9">
        <v>1.5151515151515152E-2</v>
      </c>
      <c r="H2" s="9">
        <v>4.2553191489361703E-3</v>
      </c>
      <c r="I2" s="10">
        <v>8.6580926018392391E-3</v>
      </c>
      <c r="J2" s="9">
        <v>8.6580926018392391E-3</v>
      </c>
      <c r="K2" s="9">
        <v>0</v>
      </c>
      <c r="L2" s="9">
        <v>4.464285714285714E-3</v>
      </c>
      <c r="M2" s="9">
        <v>0</v>
      </c>
      <c r="N2" s="9">
        <v>3.5714285714285712E-2</v>
      </c>
      <c r="O2" s="9">
        <v>1.5151515151515152E-2</v>
      </c>
      <c r="P2" s="9">
        <v>4.2553191489361703E-3</v>
      </c>
    </row>
    <row r="3" spans="1:16" x14ac:dyDescent="0.3">
      <c r="A3" s="10" t="s">
        <v>43</v>
      </c>
      <c r="B3" s="9">
        <v>1.2327844057378043E-2</v>
      </c>
      <c r="C3" s="9">
        <v>6.9767441860465115E-3</v>
      </c>
      <c r="D3" s="9">
        <v>4.464285714285714E-3</v>
      </c>
      <c r="E3" s="9">
        <v>5.7803468208092483E-3</v>
      </c>
      <c r="F3" s="9">
        <v>1.5625E-2</v>
      </c>
      <c r="G3" s="9">
        <v>1.2121212121212121E-2</v>
      </c>
      <c r="H3" s="9">
        <v>8.5106382978723406E-3</v>
      </c>
      <c r="I3" s="10">
        <v>2.0985936659217282E-2</v>
      </c>
      <c r="J3" s="10">
        <f>J2+B3</f>
        <v>2.0985936659217282E-2</v>
      </c>
      <c r="K3" s="10">
        <f t="shared" ref="K3:P16" si="0">K2+C3</f>
        <v>6.9767441860465115E-3</v>
      </c>
      <c r="L3" s="10">
        <f t="shared" si="0"/>
        <v>8.9285714285714281E-3</v>
      </c>
      <c r="M3" s="10">
        <f t="shared" si="0"/>
        <v>5.7803468208092483E-3</v>
      </c>
      <c r="N3" s="10">
        <f t="shared" si="0"/>
        <v>5.1339285714285712E-2</v>
      </c>
      <c r="O3" s="10">
        <f t="shared" si="0"/>
        <v>2.7272727272727275E-2</v>
      </c>
      <c r="P3" s="10">
        <f t="shared" si="0"/>
        <v>1.2765957446808512E-2</v>
      </c>
    </row>
    <row r="4" spans="1:16" x14ac:dyDescent="0.3">
      <c r="A4" s="10" t="s">
        <v>36</v>
      </c>
      <c r="B4" s="9">
        <v>1.3093789539511637E-2</v>
      </c>
      <c r="C4" s="9">
        <v>2.5581395348837209E-2</v>
      </c>
      <c r="D4" s="9">
        <v>1.7857142857142856E-2</v>
      </c>
      <c r="E4" s="9">
        <v>2.3121387283236993E-2</v>
      </c>
      <c r="F4" s="9">
        <v>8.9285714285714281E-3</v>
      </c>
      <c r="G4" s="9">
        <v>1.2121212121212121E-2</v>
      </c>
      <c r="H4" s="9">
        <v>8.5106382978723406E-3</v>
      </c>
      <c r="I4" s="10">
        <v>3.407972619872892E-2</v>
      </c>
      <c r="J4" s="10">
        <f t="shared" ref="J4:J16" si="1">J3+B4</f>
        <v>3.407972619872892E-2</v>
      </c>
      <c r="K4" s="10">
        <f t="shared" si="0"/>
        <v>3.255813953488372E-2</v>
      </c>
      <c r="L4" s="10">
        <f t="shared" si="0"/>
        <v>2.6785714285714284E-2</v>
      </c>
      <c r="M4" s="10">
        <f t="shared" si="0"/>
        <v>2.8901734104046242E-2</v>
      </c>
      <c r="N4" s="10">
        <f t="shared" si="0"/>
        <v>6.0267857142857137E-2</v>
      </c>
      <c r="O4" s="10">
        <f t="shared" si="0"/>
        <v>3.9393939393939398E-2</v>
      </c>
      <c r="P4" s="10">
        <f t="shared" si="0"/>
        <v>2.1276595744680854E-2</v>
      </c>
    </row>
    <row r="5" spans="1:16" x14ac:dyDescent="0.3">
      <c r="A5" s="10" t="s">
        <v>31</v>
      </c>
      <c r="B5" s="9">
        <v>1.3641585991923638E-2</v>
      </c>
      <c r="C5" s="9">
        <v>3.4883720930232558E-2</v>
      </c>
      <c r="D5" s="9">
        <v>3.5714285714285712E-2</v>
      </c>
      <c r="E5" s="9">
        <v>5.7803468208092483E-3</v>
      </c>
      <c r="F5" s="9">
        <v>1.7857142857142856E-2</v>
      </c>
      <c r="G5" s="9">
        <v>6.0606060606060606E-3</v>
      </c>
      <c r="H5" s="9">
        <v>1.7021276595744681E-2</v>
      </c>
      <c r="I5" s="10">
        <v>4.7721312190652558E-2</v>
      </c>
      <c r="J5" s="10">
        <f t="shared" si="1"/>
        <v>4.7721312190652558E-2</v>
      </c>
      <c r="K5" s="10">
        <f t="shared" si="0"/>
        <v>6.7441860465116271E-2</v>
      </c>
      <c r="L5" s="10">
        <f t="shared" si="0"/>
        <v>6.25E-2</v>
      </c>
      <c r="M5" s="10">
        <f t="shared" si="0"/>
        <v>3.4682080924855488E-2</v>
      </c>
      <c r="N5" s="10">
        <f t="shared" si="0"/>
        <v>7.8125E-2</v>
      </c>
      <c r="O5" s="10">
        <f t="shared" si="0"/>
        <v>4.5454545454545456E-2</v>
      </c>
      <c r="P5" s="10">
        <f t="shared" si="0"/>
        <v>3.8297872340425532E-2</v>
      </c>
    </row>
    <row r="6" spans="1:16" x14ac:dyDescent="0.3">
      <c r="A6" s="10" t="s">
        <v>41</v>
      </c>
      <c r="B6" s="9">
        <v>2.0467226744101494E-2</v>
      </c>
      <c r="C6" s="9">
        <v>1.8604651162790697E-2</v>
      </c>
      <c r="D6" s="9">
        <v>2.6785714285714284E-2</v>
      </c>
      <c r="E6" s="9">
        <v>2.3121387283236993E-2</v>
      </c>
      <c r="F6" s="9">
        <v>2.2321428571428572E-2</v>
      </c>
      <c r="G6" s="9">
        <v>1.8181818181818181E-2</v>
      </c>
      <c r="H6" s="9">
        <v>4.2553191489361701E-2</v>
      </c>
      <c r="I6" s="10">
        <v>6.8188538934754045E-2</v>
      </c>
      <c r="J6" s="10">
        <f t="shared" si="1"/>
        <v>6.8188538934754045E-2</v>
      </c>
      <c r="K6" s="10">
        <f t="shared" si="0"/>
        <v>8.6046511627906969E-2</v>
      </c>
      <c r="L6" s="10">
        <f t="shared" si="0"/>
        <v>8.9285714285714288E-2</v>
      </c>
      <c r="M6" s="10">
        <f t="shared" si="0"/>
        <v>5.7803468208092484E-2</v>
      </c>
      <c r="N6" s="10">
        <f t="shared" si="0"/>
        <v>0.10044642857142858</v>
      </c>
      <c r="O6" s="10">
        <f t="shared" si="0"/>
        <v>6.363636363636363E-2</v>
      </c>
      <c r="P6" s="10">
        <f t="shared" si="0"/>
        <v>8.085106382978724E-2</v>
      </c>
    </row>
    <row r="7" spans="1:16" x14ac:dyDescent="0.3">
      <c r="A7" s="10" t="s">
        <v>34</v>
      </c>
      <c r="B7" s="9">
        <v>2.1136217101914379E-2</v>
      </c>
      <c r="C7" s="9">
        <v>1.3953488372093023E-2</v>
      </c>
      <c r="D7" s="9">
        <v>2.2321428571428572E-2</v>
      </c>
      <c r="E7" s="9">
        <v>1.1560693641618497E-2</v>
      </c>
      <c r="F7" s="9">
        <v>3.7946428571428568E-2</v>
      </c>
      <c r="G7" s="9">
        <v>2.7272727272727271E-2</v>
      </c>
      <c r="H7" s="9">
        <v>2.553191489361702E-2</v>
      </c>
      <c r="I7" s="10">
        <v>8.9324756036668423E-2</v>
      </c>
      <c r="J7" s="10">
        <f t="shared" si="1"/>
        <v>8.9324756036668423E-2</v>
      </c>
      <c r="K7" s="10">
        <f t="shared" si="0"/>
        <v>9.9999999999999992E-2</v>
      </c>
      <c r="L7" s="10">
        <f t="shared" si="0"/>
        <v>0.11160714285714286</v>
      </c>
      <c r="M7" s="10">
        <f t="shared" si="0"/>
        <v>6.9364161849710976E-2</v>
      </c>
      <c r="N7" s="10">
        <f t="shared" si="0"/>
        <v>0.13839285714285715</v>
      </c>
      <c r="O7" s="10">
        <f t="shared" si="0"/>
        <v>9.0909090909090898E-2</v>
      </c>
      <c r="P7" s="10">
        <f t="shared" si="0"/>
        <v>0.10638297872340426</v>
      </c>
    </row>
    <row r="8" spans="1:16" x14ac:dyDescent="0.3">
      <c r="A8" s="10" t="s">
        <v>39</v>
      </c>
      <c r="B8" s="9">
        <v>2.6682050213058885E-2</v>
      </c>
      <c r="C8" s="9">
        <v>2.3255813953488372E-2</v>
      </c>
      <c r="D8" s="9">
        <v>1.7857142857142856E-2</v>
      </c>
      <c r="E8" s="9">
        <v>2.3121387283236993E-2</v>
      </c>
      <c r="F8" s="9">
        <v>1.3392857142857142E-2</v>
      </c>
      <c r="G8" s="9">
        <v>5.1515151515151514E-2</v>
      </c>
      <c r="H8" s="9">
        <v>7.2340425531914887E-2</v>
      </c>
      <c r="I8" s="10">
        <v>0.11600680624972731</v>
      </c>
      <c r="J8" s="10">
        <f t="shared" si="1"/>
        <v>0.11600680624972731</v>
      </c>
      <c r="K8" s="10">
        <f t="shared" si="0"/>
        <v>0.12325581395348836</v>
      </c>
      <c r="L8" s="10">
        <f t="shared" si="0"/>
        <v>0.12946428571428573</v>
      </c>
      <c r="M8" s="10">
        <f t="shared" si="0"/>
        <v>9.2485549132947972E-2</v>
      </c>
      <c r="N8" s="10">
        <f t="shared" si="0"/>
        <v>0.1517857142857143</v>
      </c>
      <c r="O8" s="10">
        <f t="shared" si="0"/>
        <v>0.1424242424242424</v>
      </c>
      <c r="P8" s="10">
        <f t="shared" si="0"/>
        <v>0.17872340425531913</v>
      </c>
    </row>
    <row r="9" spans="1:16" x14ac:dyDescent="0.3">
      <c r="A9" s="10" t="s">
        <v>42</v>
      </c>
      <c r="B9" s="9">
        <v>3.4152442541969447E-2</v>
      </c>
      <c r="C9" s="9">
        <v>1.8604651162790697E-2</v>
      </c>
      <c r="D9" s="9">
        <v>6.6964285714285712E-2</v>
      </c>
      <c r="E9" s="9">
        <v>4.046242774566474E-2</v>
      </c>
      <c r="F9" s="9">
        <v>4.2410714285714288E-2</v>
      </c>
      <c r="G9" s="9">
        <v>3.3333333333333333E-2</v>
      </c>
      <c r="H9" s="9">
        <v>7.2340425531914887E-2</v>
      </c>
      <c r="I9" s="10">
        <v>0.15015924879169676</v>
      </c>
      <c r="J9" s="10">
        <f t="shared" si="1"/>
        <v>0.15015924879169676</v>
      </c>
      <c r="K9" s="10">
        <f t="shared" si="0"/>
        <v>0.14186046511627906</v>
      </c>
      <c r="L9" s="10">
        <f t="shared" si="0"/>
        <v>0.19642857142857145</v>
      </c>
      <c r="M9" s="10">
        <f t="shared" si="0"/>
        <v>0.13294797687861271</v>
      </c>
      <c r="N9" s="10">
        <f t="shared" si="0"/>
        <v>0.1941964285714286</v>
      </c>
      <c r="O9" s="10">
        <f t="shared" si="0"/>
        <v>0.17575757575757572</v>
      </c>
      <c r="P9" s="10">
        <f t="shared" si="0"/>
        <v>0.25106382978723402</v>
      </c>
    </row>
    <row r="10" spans="1:16" x14ac:dyDescent="0.3">
      <c r="A10" s="10" t="s">
        <v>33</v>
      </c>
      <c r="B10" s="9">
        <v>3.8815984021795515E-2</v>
      </c>
      <c r="C10" s="9">
        <v>1.3953488372093023E-2</v>
      </c>
      <c r="D10" s="9">
        <v>1.3392857142857142E-2</v>
      </c>
      <c r="E10" s="9">
        <v>4.6242774566473986E-2</v>
      </c>
      <c r="F10" s="9">
        <v>4.2410714285714288E-2</v>
      </c>
      <c r="G10" s="9">
        <v>4.8484848484848485E-2</v>
      </c>
      <c r="H10" s="9">
        <v>3.4042553191489362E-2</v>
      </c>
      <c r="I10" s="10">
        <v>0.18897523281349227</v>
      </c>
      <c r="J10" s="10">
        <f t="shared" si="1"/>
        <v>0.18897523281349227</v>
      </c>
      <c r="K10" s="10">
        <f t="shared" si="0"/>
        <v>0.15581395348837207</v>
      </c>
      <c r="L10" s="10">
        <f t="shared" si="0"/>
        <v>0.2098214285714286</v>
      </c>
      <c r="M10" s="10">
        <f t="shared" si="0"/>
        <v>0.1791907514450867</v>
      </c>
      <c r="N10" s="10">
        <f t="shared" si="0"/>
        <v>0.2366071428571429</v>
      </c>
      <c r="O10" s="10">
        <f t="shared" si="0"/>
        <v>0.22424242424242422</v>
      </c>
      <c r="P10" s="10">
        <f t="shared" si="0"/>
        <v>0.28510638297872337</v>
      </c>
    </row>
    <row r="11" spans="1:16" x14ac:dyDescent="0.3">
      <c r="A11" s="10" t="s">
        <v>40</v>
      </c>
      <c r="B11" s="9">
        <v>4.2093067223835448E-2</v>
      </c>
      <c r="C11" s="9">
        <v>4.1860465116279069E-2</v>
      </c>
      <c r="D11" s="9">
        <v>1.3392857142857142E-2</v>
      </c>
      <c r="E11" s="9">
        <v>5.2023121387283239E-2</v>
      </c>
      <c r="F11" s="9">
        <v>3.3482142857142856E-2</v>
      </c>
      <c r="G11" s="9">
        <v>4.2424242424242427E-2</v>
      </c>
      <c r="H11" s="9">
        <v>2.553191489361702E-2</v>
      </c>
      <c r="I11" s="10">
        <v>0.2310683000373277</v>
      </c>
      <c r="J11" s="10">
        <f t="shared" si="1"/>
        <v>0.2310683000373277</v>
      </c>
      <c r="K11" s="10">
        <f t="shared" si="0"/>
        <v>0.19767441860465113</v>
      </c>
      <c r="L11" s="10">
        <f t="shared" si="0"/>
        <v>0.22321428571428575</v>
      </c>
      <c r="M11" s="10">
        <f t="shared" si="0"/>
        <v>0.23121387283236994</v>
      </c>
      <c r="N11" s="10">
        <f t="shared" si="0"/>
        <v>0.27008928571428575</v>
      </c>
      <c r="O11" s="10">
        <f t="shared" si="0"/>
        <v>0.26666666666666666</v>
      </c>
      <c r="P11" s="10">
        <f t="shared" si="0"/>
        <v>0.31063829787234037</v>
      </c>
    </row>
    <row r="12" spans="1:16" x14ac:dyDescent="0.3">
      <c r="A12" s="10" t="s">
        <v>38</v>
      </c>
      <c r="B12" s="9">
        <v>5.3800398485560959E-2</v>
      </c>
      <c r="C12" s="9">
        <v>6.7441860465116285E-2</v>
      </c>
      <c r="D12" s="9">
        <v>3.125E-2</v>
      </c>
      <c r="E12" s="9">
        <v>4.046242774566474E-2</v>
      </c>
      <c r="F12" s="9">
        <v>4.2410714285714288E-2</v>
      </c>
      <c r="G12" s="9">
        <v>6.6666666666666666E-2</v>
      </c>
      <c r="H12" s="9">
        <v>4.2553191489361701E-2</v>
      </c>
      <c r="I12" s="10">
        <v>0.28486869852288865</v>
      </c>
      <c r="J12" s="10">
        <f t="shared" si="1"/>
        <v>0.28486869852288865</v>
      </c>
      <c r="K12" s="10">
        <f t="shared" si="0"/>
        <v>0.26511627906976742</v>
      </c>
      <c r="L12" s="10">
        <f t="shared" si="0"/>
        <v>0.25446428571428575</v>
      </c>
      <c r="M12" s="10">
        <f t="shared" si="0"/>
        <v>0.27167630057803466</v>
      </c>
      <c r="N12" s="10">
        <f t="shared" si="0"/>
        <v>0.31250000000000006</v>
      </c>
      <c r="O12" s="10">
        <f t="shared" si="0"/>
        <v>0.33333333333333331</v>
      </c>
      <c r="P12" s="10">
        <f t="shared" si="0"/>
        <v>0.35319148936170208</v>
      </c>
    </row>
    <row r="13" spans="1:16" x14ac:dyDescent="0.3">
      <c r="A13" s="10" t="s">
        <v>35</v>
      </c>
      <c r="B13" s="9">
        <v>6.7960694392600385E-2</v>
      </c>
      <c r="C13" s="9">
        <v>7.441860465116279E-2</v>
      </c>
      <c r="D13" s="9">
        <v>7.1428571428571425E-2</v>
      </c>
      <c r="E13" s="9">
        <v>6.358381502890173E-2</v>
      </c>
      <c r="F13" s="9">
        <v>8.2589285714285712E-2</v>
      </c>
      <c r="G13" s="9">
        <v>7.8787878787878782E-2</v>
      </c>
      <c r="H13" s="9">
        <v>7.2340425531914887E-2</v>
      </c>
      <c r="I13" s="10">
        <v>0.35282939291548904</v>
      </c>
      <c r="J13" s="10">
        <f t="shared" si="1"/>
        <v>0.35282939291548904</v>
      </c>
      <c r="K13" s="10">
        <f t="shared" si="0"/>
        <v>0.33953488372093021</v>
      </c>
      <c r="L13" s="10">
        <f t="shared" si="0"/>
        <v>0.32589285714285721</v>
      </c>
      <c r="M13" s="10">
        <f t="shared" si="0"/>
        <v>0.33526011560693636</v>
      </c>
      <c r="N13" s="10">
        <f t="shared" si="0"/>
        <v>0.39508928571428575</v>
      </c>
      <c r="O13" s="10">
        <f t="shared" si="0"/>
        <v>0.41212121212121211</v>
      </c>
      <c r="P13" s="10">
        <f t="shared" si="0"/>
        <v>0.42553191489361697</v>
      </c>
    </row>
    <row r="14" spans="1:16" x14ac:dyDescent="0.3">
      <c r="A14" s="10" t="s">
        <v>30</v>
      </c>
      <c r="B14" s="9">
        <v>6.9633170287132604E-2</v>
      </c>
      <c r="C14" s="9">
        <v>5.5813953488372092E-2</v>
      </c>
      <c r="D14" s="9">
        <v>4.9107142857142856E-2</v>
      </c>
      <c r="E14" s="9">
        <v>1.7341040462427744E-2</v>
      </c>
      <c r="F14" s="9">
        <v>3.5714285714285712E-2</v>
      </c>
      <c r="G14" s="9">
        <v>4.2424242424242427E-2</v>
      </c>
      <c r="H14" s="9">
        <v>6.3829787234042548E-2</v>
      </c>
      <c r="I14" s="10">
        <v>0.42246256320262165</v>
      </c>
      <c r="J14" s="10">
        <f t="shared" si="1"/>
        <v>0.42246256320262165</v>
      </c>
      <c r="K14" s="10">
        <f t="shared" si="0"/>
        <v>0.39534883720930231</v>
      </c>
      <c r="L14" s="10">
        <f t="shared" si="0"/>
        <v>0.37500000000000006</v>
      </c>
      <c r="M14" s="10">
        <f t="shared" si="0"/>
        <v>0.3526011560693641</v>
      </c>
      <c r="N14" s="10">
        <f t="shared" si="0"/>
        <v>0.43080357142857145</v>
      </c>
      <c r="O14" s="10">
        <f t="shared" si="0"/>
        <v>0.45454545454545453</v>
      </c>
      <c r="P14" s="10">
        <f t="shared" si="0"/>
        <v>0.4893617021276595</v>
      </c>
    </row>
    <row r="15" spans="1:16" x14ac:dyDescent="0.3">
      <c r="A15" s="10" t="s">
        <v>37</v>
      </c>
      <c r="B15" s="9">
        <v>0.10351413848100406</v>
      </c>
      <c r="C15" s="9">
        <v>4.6511627906976744E-2</v>
      </c>
      <c r="D15" s="9">
        <v>0.13392857142857142</v>
      </c>
      <c r="E15" s="9">
        <v>0.21965317919075145</v>
      </c>
      <c r="F15" s="9">
        <v>0.16071428571428573</v>
      </c>
      <c r="G15" s="9">
        <v>0.12727272727272726</v>
      </c>
      <c r="H15" s="9">
        <v>0.1148936170212766</v>
      </c>
      <c r="I15" s="10">
        <v>0.52597670168362576</v>
      </c>
      <c r="J15" s="10">
        <f t="shared" si="1"/>
        <v>0.52597670168362576</v>
      </c>
      <c r="K15" s="10">
        <f t="shared" si="0"/>
        <v>0.44186046511627908</v>
      </c>
      <c r="L15" s="10">
        <f t="shared" si="0"/>
        <v>0.50892857142857151</v>
      </c>
      <c r="M15" s="10">
        <f t="shared" si="0"/>
        <v>0.57225433526011549</v>
      </c>
      <c r="N15" s="10">
        <f t="shared" si="0"/>
        <v>0.59151785714285721</v>
      </c>
      <c r="O15" s="10">
        <f t="shared" si="0"/>
        <v>0.58181818181818179</v>
      </c>
      <c r="P15" s="10">
        <f t="shared" si="0"/>
        <v>0.60425531914893615</v>
      </c>
    </row>
    <row r="16" spans="1:16" x14ac:dyDescent="0.3">
      <c r="A16" s="10" t="s">
        <v>29</v>
      </c>
      <c r="B16" s="9">
        <v>0.47402329831637424</v>
      </c>
      <c r="C16" s="9">
        <v>0.55813953488372092</v>
      </c>
      <c r="D16" s="9">
        <v>0.49107142857142855</v>
      </c>
      <c r="E16" s="9">
        <v>0.4277456647398844</v>
      </c>
      <c r="F16" s="9">
        <v>0.40848214285714285</v>
      </c>
      <c r="G16" s="9">
        <v>0.41818181818181815</v>
      </c>
      <c r="H16" s="9">
        <v>0.39574468085106385</v>
      </c>
      <c r="I16" s="10">
        <v>1</v>
      </c>
      <c r="J16" s="10">
        <f t="shared" si="1"/>
        <v>1</v>
      </c>
      <c r="K16" s="10">
        <f t="shared" si="0"/>
        <v>1</v>
      </c>
      <c r="L16" s="10">
        <f t="shared" si="0"/>
        <v>1</v>
      </c>
      <c r="M16" s="10">
        <f t="shared" si="0"/>
        <v>0.99999999999999989</v>
      </c>
      <c r="N16" s="10">
        <f t="shared" si="0"/>
        <v>1</v>
      </c>
      <c r="O16" s="10">
        <f t="shared" si="0"/>
        <v>1</v>
      </c>
      <c r="P16" s="10">
        <f t="shared" si="0"/>
        <v>1</v>
      </c>
    </row>
    <row r="18" spans="2:16" ht="28.8" x14ac:dyDescent="0.3">
      <c r="B18" s="1" t="s">
        <v>154</v>
      </c>
      <c r="C18" s="3" t="s">
        <v>162</v>
      </c>
      <c r="D18" s="3" t="s">
        <v>163</v>
      </c>
      <c r="E18" s="3" t="s">
        <v>164</v>
      </c>
      <c r="F18" s="3" t="s">
        <v>165</v>
      </c>
      <c r="G18" s="3" t="s">
        <v>166</v>
      </c>
      <c r="H18" s="3" t="s">
        <v>167</v>
      </c>
      <c r="J18" s="8"/>
      <c r="K18" s="11" t="s">
        <v>168</v>
      </c>
      <c r="L18" s="11" t="s">
        <v>169</v>
      </c>
      <c r="M18" s="11" t="s">
        <v>170</v>
      </c>
      <c r="N18" s="11" t="s">
        <v>171</v>
      </c>
      <c r="O18" s="11" t="s">
        <v>172</v>
      </c>
      <c r="P18" s="11" t="s">
        <v>173</v>
      </c>
    </row>
    <row r="19" spans="2:16" x14ac:dyDescent="0.3">
      <c r="B19" s="10" t="s">
        <v>32</v>
      </c>
      <c r="C19" s="10">
        <f>C2-B2</f>
        <v>-8.6580926018392391E-3</v>
      </c>
      <c r="D19" s="10">
        <f>D2-B2</f>
        <v>-4.193806887553525E-3</v>
      </c>
      <c r="E19" s="10">
        <f>E2-B2</f>
        <v>-8.6580926018392391E-3</v>
      </c>
      <c r="F19" s="10">
        <f>F2-B2</f>
        <v>2.7056193112446475E-2</v>
      </c>
      <c r="G19" s="10">
        <f>G2-B2</f>
        <v>6.4934225496759129E-3</v>
      </c>
      <c r="H19" s="10">
        <f>H2-B2</f>
        <v>-4.4027734529030688E-3</v>
      </c>
      <c r="J19" s="10" t="s">
        <v>32</v>
      </c>
      <c r="K19" s="8">
        <f>(J2-0) * ((K2+0))</f>
        <v>0</v>
      </c>
      <c r="L19" s="8">
        <f>(J2-0) * ((L2+0))</f>
        <v>3.8652199115353744E-5</v>
      </c>
      <c r="M19" s="8">
        <f>(J2-0) * ((M2+0))</f>
        <v>0</v>
      </c>
      <c r="N19" s="8">
        <f>(J2-0) * ((N2+0))</f>
        <v>3.0921759292282995E-4</v>
      </c>
      <c r="O19" s="8">
        <f>(J2-0) * ((O2+0))</f>
        <v>1.3118322123998848E-4</v>
      </c>
      <c r="P19" s="8">
        <f>(J2-0) * ((P2+0))</f>
        <v>3.6842947241869101E-5</v>
      </c>
    </row>
    <row r="20" spans="2:16" x14ac:dyDescent="0.3">
      <c r="B20" s="10" t="s">
        <v>43</v>
      </c>
      <c r="C20" s="10">
        <f t="shared" ref="C20:C33" si="2">C3-B3</f>
        <v>-5.351099871331531E-3</v>
      </c>
      <c r="D20" s="10">
        <f t="shared" ref="D20:D33" si="3">D3-B3</f>
        <v>-7.8635583430923285E-3</v>
      </c>
      <c r="E20" s="10">
        <f t="shared" ref="E20:E33" si="4">E3-B3</f>
        <v>-6.5474972365687943E-3</v>
      </c>
      <c r="F20" s="10">
        <f t="shared" ref="F20:F33" si="5">F3-B3</f>
        <v>3.2971559426219575E-3</v>
      </c>
      <c r="G20" s="10">
        <f t="shared" ref="G20:G33" si="6">G3-B3</f>
        <v>-2.0663193616592135E-4</v>
      </c>
      <c r="H20" s="10">
        <f t="shared" ref="H20:H33" si="7">H3-B3</f>
        <v>-3.817205759505702E-3</v>
      </c>
      <c r="J20" s="10" t="s">
        <v>43</v>
      </c>
      <c r="K20" s="8">
        <f>(J3-J2) * ((K3+K2))</f>
        <v>8.6008214353800301E-5</v>
      </c>
      <c r="L20" s="8">
        <f>(J3-J2) * ((L3+L2))</f>
        <v>1.6510505433988448E-4</v>
      </c>
      <c r="M20" s="8">
        <f>(J3-J2) * ((M3+M2))</f>
        <v>7.125921420449735E-5</v>
      </c>
      <c r="N20" s="8">
        <f>(J3-J2) * ((N3+N2))</f>
        <v>1.0731828532092491E-3</v>
      </c>
      <c r="O20" s="8">
        <f>(J3-J2) * ((O3+O2))</f>
        <v>5.2299944485846247E-4</v>
      </c>
      <c r="P20" s="8">
        <f>(J3-J2) * ((P3+P2))</f>
        <v>2.0983564352983902E-4</v>
      </c>
    </row>
    <row r="21" spans="2:16" x14ac:dyDescent="0.3">
      <c r="B21" s="10" t="s">
        <v>36</v>
      </c>
      <c r="C21" s="10">
        <f t="shared" si="2"/>
        <v>1.2487605809325572E-2</v>
      </c>
      <c r="D21" s="10">
        <f t="shared" si="3"/>
        <v>4.7633533176312196E-3</v>
      </c>
      <c r="E21" s="10">
        <f t="shared" si="4"/>
        <v>1.0027597743725357E-2</v>
      </c>
      <c r="F21" s="10">
        <f t="shared" si="5"/>
        <v>-4.1652181109402085E-3</v>
      </c>
      <c r="G21" s="10">
        <f t="shared" si="6"/>
        <v>-9.7257741829951533E-4</v>
      </c>
      <c r="H21" s="10">
        <f t="shared" si="7"/>
        <v>-4.583151241639296E-3</v>
      </c>
      <c r="J21" s="10" t="s">
        <v>36</v>
      </c>
      <c r="K21" s="8">
        <f t="shared" ref="K21:K33" si="8">(J4-J3) * ((K4+K3))</f>
        <v>5.1766144691092525E-4</v>
      </c>
      <c r="L21" s="8">
        <f t="shared" ref="L21:L33" si="9">(J4-J3) * ((L4+L3))</f>
        <v>4.6763534069684421E-4</v>
      </c>
      <c r="M21" s="8">
        <f t="shared" ref="M21:M33" si="10">(J4-J3) * ((M4+M3))</f>
        <v>4.5411986842236891E-4</v>
      </c>
      <c r="N21" s="8">
        <f t="shared" ref="N21:N33" si="11">(J4-J3) * ((N4+N3))</f>
        <v>1.4613604396776381E-3</v>
      </c>
      <c r="O21" s="8">
        <f t="shared" ref="O21:O33" si="12">(J4-J3) * ((O4+O3))</f>
        <v>8.7291930263410939E-4</v>
      </c>
      <c r="P21" s="8">
        <f t="shared" ref="P21:P33" si="13">(J4-J3) * ((P4+P3))</f>
        <v>4.4574602687699202E-4</v>
      </c>
    </row>
    <row r="22" spans="2:16" x14ac:dyDescent="0.3">
      <c r="B22" s="10" t="s">
        <v>31</v>
      </c>
      <c r="C22" s="10">
        <f t="shared" si="2"/>
        <v>2.1242134938308919E-2</v>
      </c>
      <c r="D22" s="10">
        <f t="shared" si="3"/>
        <v>2.2072699722362074E-2</v>
      </c>
      <c r="E22" s="10">
        <f t="shared" si="4"/>
        <v>-7.8612391711143891E-3</v>
      </c>
      <c r="F22" s="10">
        <f t="shared" si="5"/>
        <v>4.215556865219218E-3</v>
      </c>
      <c r="G22" s="10">
        <f t="shared" si="6"/>
        <v>-7.5809799313175776E-3</v>
      </c>
      <c r="H22" s="10">
        <f t="shared" si="7"/>
        <v>3.3796906038210429E-3</v>
      </c>
      <c r="J22" s="10" t="s">
        <v>31</v>
      </c>
      <c r="K22" s="8">
        <f t="shared" si="8"/>
        <v>1.3641585991923638E-3</v>
      </c>
      <c r="L22" s="8">
        <f t="shared" si="9"/>
        <v>1.2179987492788964E-3</v>
      </c>
      <c r="M22" s="8">
        <f t="shared" si="10"/>
        <v>8.6738408041132952E-4</v>
      </c>
      <c r="N22" s="8">
        <f t="shared" si="11"/>
        <v>1.8878980613822893E-3</v>
      </c>
      <c r="O22" s="8">
        <f t="shared" si="12"/>
        <v>1.1574679023450361E-3</v>
      </c>
      <c r="P22" s="8">
        <f t="shared" si="13"/>
        <v>8.1269022930608912E-4</v>
      </c>
    </row>
    <row r="23" spans="2:16" x14ac:dyDescent="0.3">
      <c r="B23" s="10" t="s">
        <v>41</v>
      </c>
      <c r="C23" s="10">
        <f t="shared" si="2"/>
        <v>-1.8625755813107964E-3</v>
      </c>
      <c r="D23" s="10">
        <f t="shared" si="3"/>
        <v>6.3184875416127904E-3</v>
      </c>
      <c r="E23" s="10">
        <f t="shared" si="4"/>
        <v>2.6541605391354993E-3</v>
      </c>
      <c r="F23" s="10">
        <f t="shared" si="5"/>
        <v>1.8542018273270781E-3</v>
      </c>
      <c r="G23" s="10">
        <f t="shared" si="6"/>
        <v>-2.2854085622833128E-3</v>
      </c>
      <c r="H23" s="10">
        <f t="shared" si="7"/>
        <v>2.2085964745260207E-2</v>
      </c>
      <c r="J23" s="10" t="s">
        <v>41</v>
      </c>
      <c r="K23" s="8">
        <f t="shared" si="8"/>
        <v>3.1414813142109257E-3</v>
      </c>
      <c r="L23" s="8">
        <f t="shared" si="9"/>
        <v>3.106632630801119E-3</v>
      </c>
      <c r="M23" s="8">
        <f t="shared" si="10"/>
        <v>1.8929227046567848E-3</v>
      </c>
      <c r="N23" s="8">
        <f t="shared" si="11"/>
        <v>3.6548619185895513E-3</v>
      </c>
      <c r="O23" s="8">
        <f t="shared" si="12"/>
        <v>2.2327883720837985E-3</v>
      </c>
      <c r="P23" s="8">
        <f t="shared" si="13"/>
        <v>2.4386482929142196E-3</v>
      </c>
    </row>
    <row r="24" spans="2:16" x14ac:dyDescent="0.3">
      <c r="B24" s="10" t="s">
        <v>34</v>
      </c>
      <c r="C24" s="10">
        <f t="shared" si="2"/>
        <v>-7.1827287298213555E-3</v>
      </c>
      <c r="D24" s="10">
        <f t="shared" si="3"/>
        <v>1.1852114695141934E-3</v>
      </c>
      <c r="E24" s="10">
        <f t="shared" si="4"/>
        <v>-9.575523460295882E-3</v>
      </c>
      <c r="F24" s="10">
        <f t="shared" si="5"/>
        <v>1.681021146951419E-2</v>
      </c>
      <c r="G24" s="10">
        <f t="shared" si="6"/>
        <v>6.1365101708128929E-3</v>
      </c>
      <c r="H24" s="10">
        <f t="shared" si="7"/>
        <v>4.3956977917026414E-3</v>
      </c>
      <c r="J24" s="10" t="s">
        <v>34</v>
      </c>
      <c r="K24" s="8">
        <f t="shared" si="8"/>
        <v>3.9323194608212797E-3</v>
      </c>
      <c r="L24" s="8">
        <f t="shared" si="9"/>
        <v>4.2461150427952994E-3</v>
      </c>
      <c r="M24" s="8">
        <f t="shared" si="10"/>
        <v>2.6878426372376665E-3</v>
      </c>
      <c r="N24" s="8">
        <f t="shared" si="11"/>
        <v>5.0481589953233008E-3</v>
      </c>
      <c r="O24" s="8">
        <f t="shared" si="12"/>
        <v>3.2665062793867674E-3</v>
      </c>
      <c r="P24" s="8">
        <f t="shared" si="13"/>
        <v>3.9574193722733304E-3</v>
      </c>
    </row>
    <row r="25" spans="2:16" x14ac:dyDescent="0.3">
      <c r="B25" s="10" t="s">
        <v>39</v>
      </c>
      <c r="C25" s="10">
        <f t="shared" si="2"/>
        <v>-3.4262362595705136E-3</v>
      </c>
      <c r="D25" s="10">
        <f t="shared" si="3"/>
        <v>-8.8249073559160292E-3</v>
      </c>
      <c r="E25" s="10">
        <f t="shared" si="4"/>
        <v>-3.5606629298218923E-3</v>
      </c>
      <c r="F25" s="10">
        <f t="shared" si="5"/>
        <v>-1.3289193070201743E-2</v>
      </c>
      <c r="G25" s="10">
        <f t="shared" si="6"/>
        <v>2.4833101302092628E-2</v>
      </c>
      <c r="H25" s="10">
        <f t="shared" si="7"/>
        <v>4.5658375318855998E-2</v>
      </c>
      <c r="J25" s="10" t="s">
        <v>39</v>
      </c>
      <c r="K25" s="8">
        <f t="shared" si="8"/>
        <v>5.9569228382643103E-3</v>
      </c>
      <c r="L25" s="8">
        <f t="shared" si="9"/>
        <v>6.4322799620766969E-3</v>
      </c>
      <c r="M25" s="8">
        <f t="shared" si="10"/>
        <v>4.3184821154083741E-3</v>
      </c>
      <c r="N25" s="8">
        <f t="shared" si="11"/>
        <v>7.7425592136108386E-3</v>
      </c>
      <c r="O25" s="8">
        <f t="shared" si="12"/>
        <v>6.2258117163804059E-3</v>
      </c>
      <c r="P25" s="8">
        <f t="shared" si="13"/>
        <v>7.6072228267018947E-3</v>
      </c>
    </row>
    <row r="26" spans="2:16" x14ac:dyDescent="0.3">
      <c r="B26" s="10" t="s">
        <v>42</v>
      </c>
      <c r="C26" s="10">
        <f t="shared" si="2"/>
        <v>-1.5547791379178749E-2</v>
      </c>
      <c r="D26" s="10">
        <f t="shared" si="3"/>
        <v>3.2811843172316266E-2</v>
      </c>
      <c r="E26" s="10">
        <f t="shared" si="4"/>
        <v>6.3099852036952939E-3</v>
      </c>
      <c r="F26" s="10">
        <f t="shared" si="5"/>
        <v>8.2582717437448411E-3</v>
      </c>
      <c r="G26" s="10">
        <f t="shared" si="6"/>
        <v>-8.1910920863611375E-4</v>
      </c>
      <c r="H26" s="10">
        <f t="shared" si="7"/>
        <v>3.818798298994544E-2</v>
      </c>
      <c r="J26" s="10" t="s">
        <v>42</v>
      </c>
      <c r="K26" s="8">
        <f t="shared" si="8"/>
        <v>9.0543684878709695E-3</v>
      </c>
      <c r="L26" s="8">
        <f t="shared" si="9"/>
        <v>1.1130037078409687E-2</v>
      </c>
      <c r="M26" s="8">
        <f t="shared" si="10"/>
        <v>7.6991055441434008E-3</v>
      </c>
      <c r="N26" s="8">
        <f t="shared" si="11"/>
        <v>1.1816135254476038E-2</v>
      </c>
      <c r="O26" s="8">
        <f t="shared" si="12"/>
        <v>1.0866686263353912E-2</v>
      </c>
      <c r="P26" s="8">
        <f t="shared" si="13"/>
        <v>1.4678283815910272E-2</v>
      </c>
    </row>
    <row r="27" spans="2:16" x14ac:dyDescent="0.3">
      <c r="B27" s="10" t="s">
        <v>33</v>
      </c>
      <c r="C27" s="10">
        <f t="shared" si="2"/>
        <v>-2.4862495649702492E-2</v>
      </c>
      <c r="D27" s="10">
        <f t="shared" si="3"/>
        <v>-2.5423126878938371E-2</v>
      </c>
      <c r="E27" s="10">
        <f t="shared" si="4"/>
        <v>7.4267905446784716E-3</v>
      </c>
      <c r="F27" s="10">
        <f t="shared" si="5"/>
        <v>3.5947302639187731E-3</v>
      </c>
      <c r="G27" s="10">
        <f t="shared" si="6"/>
        <v>9.6688644630529702E-3</v>
      </c>
      <c r="H27" s="10">
        <f t="shared" si="7"/>
        <v>-4.7734308303061523E-3</v>
      </c>
      <c r="J27" s="10" t="s">
        <v>33</v>
      </c>
      <c r="K27" s="8">
        <f t="shared" si="8"/>
        <v>1.1554525476255406E-2</v>
      </c>
      <c r="L27" s="8">
        <f t="shared" si="9"/>
        <v>1.5768993508854426E-2</v>
      </c>
      <c r="M27" s="8">
        <f t="shared" si="10"/>
        <v>1.2115971891196283E-2</v>
      </c>
      <c r="N27" s="8">
        <f t="shared" si="11"/>
        <v>1.672206454510387E-2</v>
      </c>
      <c r="O27" s="8">
        <f t="shared" si="12"/>
        <v>1.55263936087182E-2</v>
      </c>
      <c r="P27" s="8">
        <f t="shared" si="13"/>
        <v>2.0811974411686099E-2</v>
      </c>
    </row>
    <row r="28" spans="2:16" x14ac:dyDescent="0.3">
      <c r="B28" s="10" t="s">
        <v>40</v>
      </c>
      <c r="C28" s="10">
        <f t="shared" si="2"/>
        <v>-2.3260210755637889E-4</v>
      </c>
      <c r="D28" s="10">
        <f t="shared" si="3"/>
        <v>-2.8700210080978304E-2</v>
      </c>
      <c r="E28" s="10">
        <f t="shared" si="4"/>
        <v>9.9300541634477907E-3</v>
      </c>
      <c r="F28" s="10">
        <f t="shared" si="5"/>
        <v>-8.6109243666925919E-3</v>
      </c>
      <c r="G28" s="10">
        <f t="shared" si="6"/>
        <v>3.3117520040697873E-4</v>
      </c>
      <c r="H28" s="10">
        <f t="shared" si="7"/>
        <v>-1.6561152330218428E-2</v>
      </c>
      <c r="J28" s="10" t="s">
        <v>40</v>
      </c>
      <c r="K28" s="8">
        <f t="shared" si="8"/>
        <v>1.4879409809355778E-2</v>
      </c>
      <c r="L28" s="8">
        <f t="shared" si="9"/>
        <v>1.8227801431750169E-2</v>
      </c>
      <c r="M28" s="8">
        <f t="shared" si="10"/>
        <v>1.7275189438683905E-2</v>
      </c>
      <c r="N28" s="8">
        <f t="shared" si="11"/>
        <v>2.1328406829934473E-2</v>
      </c>
      <c r="O28" s="8">
        <f t="shared" si="12"/>
        <v>2.0663869364428301E-2</v>
      </c>
      <c r="P28" s="8">
        <f t="shared" si="13"/>
        <v>2.5076720899306217E-2</v>
      </c>
    </row>
    <row r="29" spans="2:16" x14ac:dyDescent="0.3">
      <c r="B29" s="10" t="s">
        <v>38</v>
      </c>
      <c r="C29" s="10">
        <f t="shared" si="2"/>
        <v>1.3641461979555326E-2</v>
      </c>
      <c r="D29" s="10">
        <f t="shared" si="3"/>
        <v>-2.2550398485560959E-2</v>
      </c>
      <c r="E29" s="10">
        <f t="shared" si="4"/>
        <v>-1.3337970739896218E-2</v>
      </c>
      <c r="F29" s="10">
        <f t="shared" si="5"/>
        <v>-1.1389684199846671E-2</v>
      </c>
      <c r="G29" s="10">
        <f t="shared" si="6"/>
        <v>1.2866268181105707E-2</v>
      </c>
      <c r="H29" s="10">
        <f t="shared" si="7"/>
        <v>-1.1247206996199258E-2</v>
      </c>
      <c r="J29" s="10" t="s">
        <v>38</v>
      </c>
      <c r="K29" s="8">
        <f t="shared" si="8"/>
        <v>2.4898323950294485E-2</v>
      </c>
      <c r="L29" s="8">
        <f t="shared" si="9"/>
        <v>2.5699297490870639E-2</v>
      </c>
      <c r="M29" s="8">
        <f t="shared" si="10"/>
        <v>2.7055691723952613E-2</v>
      </c>
      <c r="N29" s="8">
        <f t="shared" si="11"/>
        <v>3.1343535724846897E-2</v>
      </c>
      <c r="O29" s="8">
        <f t="shared" si="12"/>
        <v>3.2280239091336572E-2</v>
      </c>
      <c r="P29" s="8">
        <f t="shared" si="13"/>
        <v>3.5714307079776623E-2</v>
      </c>
    </row>
    <row r="30" spans="2:16" x14ac:dyDescent="0.3">
      <c r="B30" s="10" t="s">
        <v>35</v>
      </c>
      <c r="C30" s="10">
        <f t="shared" si="2"/>
        <v>6.4579102585624049E-3</v>
      </c>
      <c r="D30" s="10">
        <f t="shared" si="3"/>
        <v>3.4678770359710398E-3</v>
      </c>
      <c r="E30" s="10">
        <f t="shared" si="4"/>
        <v>-4.3768793636986547E-3</v>
      </c>
      <c r="F30" s="10">
        <f t="shared" si="5"/>
        <v>1.4628591321685327E-2</v>
      </c>
      <c r="G30" s="10">
        <f t="shared" si="6"/>
        <v>1.0827184395278397E-2</v>
      </c>
      <c r="H30" s="10">
        <f t="shared" si="7"/>
        <v>4.3797311393145022E-3</v>
      </c>
      <c r="J30" s="10" t="s">
        <v>35</v>
      </c>
      <c r="K30" s="8">
        <f t="shared" si="8"/>
        <v>4.1092512888549065E-2</v>
      </c>
      <c r="L30" s="8">
        <f t="shared" si="9"/>
        <v>3.944147442427702E-2</v>
      </c>
      <c r="M30" s="8">
        <f t="shared" si="10"/>
        <v>4.1247820296086937E-2</v>
      </c>
      <c r="N30" s="8">
        <f t="shared" si="11"/>
        <v>4.8088259201906979E-2</v>
      </c>
      <c r="O30" s="8">
        <f t="shared" si="12"/>
        <v>5.066160854721119E-2</v>
      </c>
      <c r="P30" s="8">
        <f t="shared" si="13"/>
        <v>5.2922583292961144E-2</v>
      </c>
    </row>
    <row r="31" spans="2:16" x14ac:dyDescent="0.3">
      <c r="B31" s="10" t="s">
        <v>30</v>
      </c>
      <c r="C31" s="10">
        <f t="shared" si="2"/>
        <v>-1.3819216798760511E-2</v>
      </c>
      <c r="D31" s="10">
        <f t="shared" si="3"/>
        <v>-2.0526027429989747E-2</v>
      </c>
      <c r="E31" s="10">
        <f t="shared" si="4"/>
        <v>-5.229212982470486E-2</v>
      </c>
      <c r="F31" s="10">
        <f t="shared" si="5"/>
        <v>-3.3918884572846891E-2</v>
      </c>
      <c r="G31" s="10">
        <f t="shared" si="6"/>
        <v>-2.7208927862890177E-2</v>
      </c>
      <c r="H31" s="10">
        <f t="shared" si="7"/>
        <v>-5.8033830530900554E-3</v>
      </c>
      <c r="J31" s="10" t="s">
        <v>30</v>
      </c>
      <c r="K31" s="8">
        <f t="shared" si="8"/>
        <v>5.1172283280776526E-2</v>
      </c>
      <c r="L31" s="8">
        <f t="shared" si="9"/>
        <v>4.8805391674463489E-2</v>
      </c>
      <c r="M31" s="8">
        <f t="shared" si="10"/>
        <v>4.7897961064559416E-2</v>
      </c>
      <c r="N31" s="8">
        <f t="shared" si="11"/>
        <v>5.7509537960355066E-2</v>
      </c>
      <c r="O31" s="8">
        <f t="shared" si="12"/>
        <v>6.0348747582181603E-2</v>
      </c>
      <c r="P31" s="8">
        <f t="shared" si="13"/>
        <v>6.3706943028653235E-2</v>
      </c>
    </row>
    <row r="32" spans="2:16" x14ac:dyDescent="0.3">
      <c r="B32" s="10" t="s">
        <v>37</v>
      </c>
      <c r="C32" s="10">
        <f t="shared" si="2"/>
        <v>-5.7002510574027318E-2</v>
      </c>
      <c r="D32" s="10">
        <f t="shared" si="3"/>
        <v>3.0414432947567363E-2</v>
      </c>
      <c r="E32" s="10">
        <f t="shared" si="4"/>
        <v>0.11613904070974738</v>
      </c>
      <c r="F32" s="10">
        <f t="shared" si="5"/>
        <v>5.7200147233281665E-2</v>
      </c>
      <c r="G32" s="10">
        <f t="shared" si="6"/>
        <v>2.3758588791723198E-2</v>
      </c>
      <c r="H32" s="10">
        <f t="shared" si="7"/>
        <v>1.1379478540272533E-2</v>
      </c>
      <c r="J32" s="10" t="s">
        <v>37</v>
      </c>
      <c r="K32" s="8">
        <f t="shared" si="8"/>
        <v>8.6662999658515052E-2</v>
      </c>
      <c r="L32" s="8">
        <f t="shared" si="9"/>
        <v>9.1499104550173294E-2</v>
      </c>
      <c r="M32" s="8">
        <f t="shared" si="10"/>
        <v>9.5735619404396829E-2</v>
      </c>
      <c r="N32" s="8">
        <f t="shared" si="11"/>
        <v>0.10582472192924081</v>
      </c>
      <c r="O32" s="8">
        <f t="shared" si="12"/>
        <v>0.10727828897122244</v>
      </c>
      <c r="P32" s="8">
        <f t="shared" si="13"/>
        <v>0.11320482378560873</v>
      </c>
    </row>
    <row r="33" spans="2:16" x14ac:dyDescent="0.3">
      <c r="B33" s="10" t="s">
        <v>29</v>
      </c>
      <c r="C33" s="10">
        <f t="shared" si="2"/>
        <v>8.4116236567346681E-2</v>
      </c>
      <c r="D33" s="10">
        <f t="shared" si="3"/>
        <v>1.7048130255054306E-2</v>
      </c>
      <c r="E33" s="10">
        <f t="shared" si="4"/>
        <v>-4.6277633576489841E-2</v>
      </c>
      <c r="F33" s="10">
        <f t="shared" si="5"/>
        <v>-6.5541155459231393E-2</v>
      </c>
      <c r="G33" s="10">
        <f t="shared" si="6"/>
        <v>-5.5841480134556087E-2</v>
      </c>
      <c r="H33" s="10">
        <f t="shared" si="7"/>
        <v>-7.8278617465310396E-2</v>
      </c>
      <c r="J33" s="10" t="s">
        <v>29</v>
      </c>
      <c r="K33" s="8">
        <f t="shared" si="8"/>
        <v>0.68347545338640003</v>
      </c>
      <c r="L33" s="8">
        <f t="shared" si="9"/>
        <v>0.71526729835238623</v>
      </c>
      <c r="M33" s="8">
        <f t="shared" si="10"/>
        <v>0.74528518579221825</v>
      </c>
      <c r="N33" s="8">
        <f t="shared" si="11"/>
        <v>0.75441654397226532</v>
      </c>
      <c r="O33" s="8">
        <f t="shared" si="12"/>
        <v>0.7498186718822647</v>
      </c>
      <c r="P33" s="8">
        <f t="shared" si="13"/>
        <v>0.76045439772456636</v>
      </c>
    </row>
    <row r="34" spans="2:16" x14ac:dyDescent="0.3">
      <c r="J34" s="12" t="s">
        <v>174</v>
      </c>
      <c r="K34" s="11">
        <f>SUM(K19:K33)</f>
        <v>0.93778842881177094</v>
      </c>
      <c r="L34" s="11">
        <f t="shared" ref="L34:P34" si="14">SUM(L19:L33)</f>
        <v>0.98151381749028899</v>
      </c>
      <c r="M34" s="11">
        <f t="shared" si="14"/>
        <v>1.0046045557755787</v>
      </c>
      <c r="N34" s="11">
        <f t="shared" si="14"/>
        <v>1.0682264444928451</v>
      </c>
      <c r="O34" s="11">
        <f t="shared" si="14"/>
        <v>1.0618541815496454</v>
      </c>
      <c r="P34" s="11">
        <f t="shared" si="14"/>
        <v>1.1020784393773129</v>
      </c>
    </row>
    <row r="35" spans="2:16" x14ac:dyDescent="0.3">
      <c r="J35" s="13" t="s">
        <v>175</v>
      </c>
      <c r="K35" s="14">
        <f>1-K34</f>
        <v>6.2211571188229065E-2</v>
      </c>
      <c r="L35" s="14">
        <f t="shared" ref="L35:P35" si="15">1-L34</f>
        <v>1.8486182509711013E-2</v>
      </c>
      <c r="M35" s="14">
        <f t="shared" si="15"/>
        <v>-4.6045557755787225E-3</v>
      </c>
      <c r="N35" s="14">
        <f t="shared" si="15"/>
        <v>-6.8226444492845095E-2</v>
      </c>
      <c r="O35" s="14">
        <f t="shared" si="15"/>
        <v>-6.1854181549645393E-2</v>
      </c>
      <c r="P35" s="14">
        <f t="shared" si="15"/>
        <v>-0.10207843937731287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5AF2-F297-4B9E-BAE5-1D0EFA5F0C29}">
  <dimension ref="A1:P25"/>
  <sheetViews>
    <sheetView topLeftCell="G3" workbookViewId="0">
      <selection activeCell="K25" sqref="K25:P25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47</v>
      </c>
      <c r="B2" s="9">
        <v>1.4897987568070698E-2</v>
      </c>
      <c r="C2" s="9">
        <v>1.2195121951219513E-2</v>
      </c>
      <c r="D2" s="9">
        <v>1.8099547511312219E-2</v>
      </c>
      <c r="E2" s="9">
        <v>2.8037383177570093E-2</v>
      </c>
      <c r="F2" s="9">
        <v>1.5957446808510637E-2</v>
      </c>
      <c r="G2" s="9">
        <v>2.032520325203252E-2</v>
      </c>
      <c r="H2" s="9">
        <v>1.7167381974248927E-2</v>
      </c>
      <c r="I2" s="10">
        <v>1.4897987568070698E-2</v>
      </c>
      <c r="J2" s="9">
        <v>1.4897987568070698E-2</v>
      </c>
      <c r="K2" s="9">
        <v>1.2195121951219513E-2</v>
      </c>
      <c r="L2" s="9">
        <v>1.8099547511312219E-2</v>
      </c>
      <c r="M2" s="9">
        <v>2.8037383177570093E-2</v>
      </c>
      <c r="N2" s="9">
        <v>1.5957446808510637E-2</v>
      </c>
      <c r="O2" s="9">
        <v>2.032520325203252E-2</v>
      </c>
      <c r="P2" s="9">
        <v>1.7167381974248927E-2</v>
      </c>
    </row>
    <row r="3" spans="1:16" x14ac:dyDescent="0.3">
      <c r="A3" s="10" t="s">
        <v>49</v>
      </c>
      <c r="B3" s="9">
        <v>2.0054777519819406E-2</v>
      </c>
      <c r="C3" s="9">
        <v>2.4390243902439025E-2</v>
      </c>
      <c r="D3" s="9">
        <v>9.0497737556561094E-3</v>
      </c>
      <c r="E3" s="9">
        <v>2.336448598130841E-2</v>
      </c>
      <c r="F3" s="9">
        <v>3.1914893617021274E-2</v>
      </c>
      <c r="G3" s="9">
        <v>2.2357723577235773E-2</v>
      </c>
      <c r="H3" s="9">
        <v>3.8626609442060089E-2</v>
      </c>
      <c r="I3" s="10">
        <v>3.4952765087890102E-2</v>
      </c>
      <c r="J3" s="10">
        <f>J2+B3</f>
        <v>3.4952765087890102E-2</v>
      </c>
      <c r="K3" s="10">
        <f t="shared" ref="K3:P11" si="0">K2+C3</f>
        <v>3.6585365853658541E-2</v>
      </c>
      <c r="L3" s="10">
        <f t="shared" si="0"/>
        <v>2.7149321266968326E-2</v>
      </c>
      <c r="M3" s="10">
        <f t="shared" si="0"/>
        <v>5.1401869158878503E-2</v>
      </c>
      <c r="N3" s="10">
        <f t="shared" si="0"/>
        <v>4.7872340425531915E-2</v>
      </c>
      <c r="O3" s="10">
        <f t="shared" si="0"/>
        <v>4.2682926829268289E-2</v>
      </c>
      <c r="P3" s="10">
        <f t="shared" si="0"/>
        <v>5.5793991416309016E-2</v>
      </c>
    </row>
    <row r="4" spans="1:16" x14ac:dyDescent="0.3">
      <c r="A4" s="10" t="s">
        <v>45</v>
      </c>
      <c r="B4" s="9">
        <v>2.1675635772288138E-2</v>
      </c>
      <c r="C4" s="9">
        <v>1.6260162601626018E-2</v>
      </c>
      <c r="D4" s="9">
        <v>3.1674208144796379E-2</v>
      </c>
      <c r="E4" s="9">
        <v>5.6074766355140186E-2</v>
      </c>
      <c r="F4" s="9">
        <v>4.7872340425531915E-2</v>
      </c>
      <c r="G4" s="9">
        <v>5.08130081300813E-2</v>
      </c>
      <c r="H4" s="9">
        <v>3.8626609442060089E-2</v>
      </c>
      <c r="I4" s="10">
        <v>5.6628400860178243E-2</v>
      </c>
      <c r="J4" s="10">
        <f t="shared" ref="J4:J11" si="1">J3+B4</f>
        <v>5.6628400860178243E-2</v>
      </c>
      <c r="K4" s="10">
        <f t="shared" si="0"/>
        <v>5.2845528455284563E-2</v>
      </c>
      <c r="L4" s="10">
        <f t="shared" si="0"/>
        <v>5.8823529411764705E-2</v>
      </c>
      <c r="M4" s="10">
        <f t="shared" si="0"/>
        <v>0.10747663551401869</v>
      </c>
      <c r="N4" s="10">
        <f t="shared" si="0"/>
        <v>9.5744680851063829E-2</v>
      </c>
      <c r="O4" s="10">
        <f t="shared" si="0"/>
        <v>9.3495934959349589E-2</v>
      </c>
      <c r="P4" s="10">
        <f t="shared" si="0"/>
        <v>9.4420600858369105E-2</v>
      </c>
    </row>
    <row r="5" spans="1:16" x14ac:dyDescent="0.3">
      <c r="A5" s="10" t="s">
        <v>53</v>
      </c>
      <c r="B5" s="9">
        <v>2.1723780076816912E-2</v>
      </c>
      <c r="C5" s="9">
        <v>8.130081300813009E-3</v>
      </c>
      <c r="D5" s="9">
        <v>2.7149321266968326E-2</v>
      </c>
      <c r="E5" s="9">
        <v>7.0093457943925228E-2</v>
      </c>
      <c r="F5" s="9">
        <v>2.4822695035460994E-2</v>
      </c>
      <c r="G5" s="9">
        <v>1.4227642276422764E-2</v>
      </c>
      <c r="H5" s="9">
        <v>2.1459227467811159E-2</v>
      </c>
      <c r="I5" s="10">
        <v>7.8352180936995156E-2</v>
      </c>
      <c r="J5" s="10">
        <f t="shared" si="1"/>
        <v>7.8352180936995156E-2</v>
      </c>
      <c r="K5" s="10">
        <f t="shared" si="0"/>
        <v>6.0975609756097573E-2</v>
      </c>
      <c r="L5" s="10">
        <f t="shared" si="0"/>
        <v>8.5972850678733032E-2</v>
      </c>
      <c r="M5" s="10">
        <f t="shared" si="0"/>
        <v>0.17757009345794392</v>
      </c>
      <c r="N5" s="10">
        <f t="shared" si="0"/>
        <v>0.12056737588652483</v>
      </c>
      <c r="O5" s="10">
        <f t="shared" si="0"/>
        <v>0.10772357723577235</v>
      </c>
      <c r="P5" s="10">
        <f t="shared" si="0"/>
        <v>0.11587982832618027</v>
      </c>
    </row>
    <row r="6" spans="1:16" x14ac:dyDescent="0.3">
      <c r="A6" s="10" t="s">
        <v>50</v>
      </c>
      <c r="B6" s="9">
        <v>2.9052413099530324E-2</v>
      </c>
      <c r="C6" s="9">
        <v>3.4552845528455285E-2</v>
      </c>
      <c r="D6" s="9">
        <v>5.4298642533936653E-2</v>
      </c>
      <c r="E6" s="9">
        <v>3.2710280373831772E-2</v>
      </c>
      <c r="F6" s="9">
        <v>9.7517730496453903E-2</v>
      </c>
      <c r="G6" s="9">
        <v>4.065040650406504E-2</v>
      </c>
      <c r="H6" s="9">
        <v>5.5793991416309016E-2</v>
      </c>
      <c r="I6" s="10">
        <v>0.10740459403652548</v>
      </c>
      <c r="J6" s="10">
        <f t="shared" si="1"/>
        <v>0.10740459403652548</v>
      </c>
      <c r="K6" s="10">
        <f t="shared" si="0"/>
        <v>9.5528455284552866E-2</v>
      </c>
      <c r="L6" s="10">
        <f t="shared" si="0"/>
        <v>0.14027149321266968</v>
      </c>
      <c r="M6" s="10">
        <f t="shared" si="0"/>
        <v>0.2102803738317757</v>
      </c>
      <c r="N6" s="10">
        <f t="shared" si="0"/>
        <v>0.21808510638297873</v>
      </c>
      <c r="O6" s="10">
        <f t="shared" si="0"/>
        <v>0.1483739837398374</v>
      </c>
      <c r="P6" s="10">
        <f t="shared" si="0"/>
        <v>0.1716738197424893</v>
      </c>
    </row>
    <row r="7" spans="1:16" x14ac:dyDescent="0.3">
      <c r="A7" s="10" t="s">
        <v>48</v>
      </c>
      <c r="B7" s="9">
        <v>3.197851694144583E-2</v>
      </c>
      <c r="C7" s="9">
        <v>2.4390243902439025E-2</v>
      </c>
      <c r="D7" s="9">
        <v>1.8099547511312219E-2</v>
      </c>
      <c r="E7" s="9">
        <v>9.3457943925233638E-3</v>
      </c>
      <c r="F7" s="9">
        <v>5.1418439716312055E-2</v>
      </c>
      <c r="G7" s="9">
        <v>4.6747967479674794E-2</v>
      </c>
      <c r="H7" s="9">
        <v>4.7210300429184553E-2</v>
      </c>
      <c r="I7" s="10">
        <v>0.13938311097797132</v>
      </c>
      <c r="J7" s="10">
        <f t="shared" si="1"/>
        <v>0.13938311097797132</v>
      </c>
      <c r="K7" s="10">
        <f t="shared" si="0"/>
        <v>0.11991869918699188</v>
      </c>
      <c r="L7" s="10">
        <f t="shared" si="0"/>
        <v>0.15837104072398189</v>
      </c>
      <c r="M7" s="10">
        <f t="shared" si="0"/>
        <v>0.21962616822429906</v>
      </c>
      <c r="N7" s="10">
        <f t="shared" si="0"/>
        <v>0.26950354609929078</v>
      </c>
      <c r="O7" s="10">
        <f t="shared" si="0"/>
        <v>0.1951219512195122</v>
      </c>
      <c r="P7" s="10">
        <f t="shared" si="0"/>
        <v>0.21888412017167386</v>
      </c>
    </row>
    <row r="8" spans="1:16" x14ac:dyDescent="0.3">
      <c r="A8" s="10" t="s">
        <v>46</v>
      </c>
      <c r="B8" s="9">
        <v>3.5664230921481986E-2</v>
      </c>
      <c r="C8" s="9">
        <v>6.3008130081300809E-2</v>
      </c>
      <c r="D8" s="9">
        <v>4.072398190045249E-2</v>
      </c>
      <c r="E8" s="9">
        <v>7.476635514018691E-2</v>
      </c>
      <c r="F8" s="9">
        <v>6.7375886524822695E-2</v>
      </c>
      <c r="G8" s="9">
        <v>3.4552845528455285E-2</v>
      </c>
      <c r="H8" s="9">
        <v>2.575107296137339E-2</v>
      </c>
      <c r="I8" s="10">
        <v>0.17504734189945331</v>
      </c>
      <c r="J8" s="10">
        <f t="shared" si="1"/>
        <v>0.17504734189945331</v>
      </c>
      <c r="K8" s="10">
        <f t="shared" si="0"/>
        <v>0.18292682926829268</v>
      </c>
      <c r="L8" s="10">
        <f t="shared" si="0"/>
        <v>0.19909502262443438</v>
      </c>
      <c r="M8" s="10">
        <f t="shared" si="0"/>
        <v>0.29439252336448596</v>
      </c>
      <c r="N8" s="10">
        <f t="shared" si="0"/>
        <v>0.33687943262411346</v>
      </c>
      <c r="O8" s="10">
        <f t="shared" si="0"/>
        <v>0.22967479674796748</v>
      </c>
      <c r="P8" s="10">
        <f t="shared" si="0"/>
        <v>0.24463519313304724</v>
      </c>
    </row>
    <row r="9" spans="1:16" x14ac:dyDescent="0.3">
      <c r="A9" s="10" t="s">
        <v>52</v>
      </c>
      <c r="B9" s="9">
        <v>0.11542329542415132</v>
      </c>
      <c r="C9" s="9">
        <v>0.19715447154471544</v>
      </c>
      <c r="D9" s="9">
        <v>0.22171945701357465</v>
      </c>
      <c r="E9" s="9">
        <v>0.16822429906542055</v>
      </c>
      <c r="F9" s="9">
        <v>0.18262411347517732</v>
      </c>
      <c r="G9" s="9">
        <v>0.18089430894308944</v>
      </c>
      <c r="H9" s="9">
        <v>0.15021459227467812</v>
      </c>
      <c r="I9" s="10">
        <v>0.29047063732360462</v>
      </c>
      <c r="J9" s="10">
        <f t="shared" si="1"/>
        <v>0.29047063732360462</v>
      </c>
      <c r="K9" s="10">
        <f t="shared" si="0"/>
        <v>0.38008130081300812</v>
      </c>
      <c r="L9" s="10">
        <f t="shared" si="0"/>
        <v>0.420814479638009</v>
      </c>
      <c r="M9" s="10">
        <f t="shared" si="0"/>
        <v>0.46261682242990654</v>
      </c>
      <c r="N9" s="10">
        <f t="shared" si="0"/>
        <v>0.51950354609929073</v>
      </c>
      <c r="O9" s="10">
        <f t="shared" si="0"/>
        <v>0.41056910569105692</v>
      </c>
      <c r="P9" s="10">
        <f t="shared" si="0"/>
        <v>0.39484978540772536</v>
      </c>
    </row>
    <row r="10" spans="1:16" x14ac:dyDescent="0.3">
      <c r="A10" s="10" t="s">
        <v>51</v>
      </c>
      <c r="B10" s="9">
        <v>0.14380168826027881</v>
      </c>
      <c r="C10" s="9">
        <v>7.113821138211382E-2</v>
      </c>
      <c r="D10" s="9">
        <v>0.11312217194570136</v>
      </c>
      <c r="E10" s="9">
        <v>9.3457943925233641E-2</v>
      </c>
      <c r="F10" s="9">
        <v>0.13120567375886524</v>
      </c>
      <c r="G10" s="9">
        <v>0.16260162601626016</v>
      </c>
      <c r="H10" s="9">
        <v>0.21888412017167383</v>
      </c>
      <c r="I10" s="10">
        <v>0.4342723255838834</v>
      </c>
      <c r="J10" s="10">
        <f t="shared" si="1"/>
        <v>0.4342723255838834</v>
      </c>
      <c r="K10" s="10">
        <f t="shared" si="0"/>
        <v>0.45121951219512191</v>
      </c>
      <c r="L10" s="10">
        <f t="shared" si="0"/>
        <v>0.5339366515837104</v>
      </c>
      <c r="M10" s="10">
        <f t="shared" si="0"/>
        <v>0.55607476635514019</v>
      </c>
      <c r="N10" s="10">
        <f t="shared" si="0"/>
        <v>0.650709219858156</v>
      </c>
      <c r="O10" s="10">
        <f t="shared" si="0"/>
        <v>0.57317073170731714</v>
      </c>
      <c r="P10" s="10">
        <f t="shared" si="0"/>
        <v>0.61373390557939922</v>
      </c>
    </row>
    <row r="11" spans="1:16" x14ac:dyDescent="0.3">
      <c r="A11" s="10" t="s">
        <v>44</v>
      </c>
      <c r="B11" s="9">
        <v>0.5657276744161166</v>
      </c>
      <c r="C11" s="9">
        <v>0.54878048780487809</v>
      </c>
      <c r="D11" s="9">
        <v>0.4660633484162896</v>
      </c>
      <c r="E11" s="9">
        <v>0.44392523364485981</v>
      </c>
      <c r="F11" s="9">
        <v>0.34929078014184395</v>
      </c>
      <c r="G11" s="9">
        <v>0.42682926829268292</v>
      </c>
      <c r="H11" s="9">
        <v>0.38626609442060084</v>
      </c>
      <c r="I11" s="10">
        <v>1</v>
      </c>
      <c r="J11" s="10">
        <f t="shared" si="1"/>
        <v>1</v>
      </c>
      <c r="K11" s="10">
        <f t="shared" si="0"/>
        <v>1</v>
      </c>
      <c r="L11" s="10">
        <f t="shared" si="0"/>
        <v>1</v>
      </c>
      <c r="M11" s="10">
        <f t="shared" si="0"/>
        <v>1</v>
      </c>
      <c r="N11" s="10">
        <f t="shared" si="0"/>
        <v>1</v>
      </c>
      <c r="O11" s="10">
        <f t="shared" si="0"/>
        <v>1</v>
      </c>
      <c r="P11" s="10">
        <f t="shared" si="0"/>
        <v>1</v>
      </c>
    </row>
    <row r="13" spans="1:16" ht="28.8" x14ac:dyDescent="0.3">
      <c r="B13" s="1" t="s">
        <v>154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J13" s="1" t="s">
        <v>154</v>
      </c>
      <c r="K13" s="11" t="s">
        <v>168</v>
      </c>
      <c r="L13" s="11" t="s">
        <v>169</v>
      </c>
      <c r="M13" s="11" t="s">
        <v>170</v>
      </c>
      <c r="N13" s="11" t="s">
        <v>171</v>
      </c>
      <c r="O13" s="11" t="s">
        <v>172</v>
      </c>
      <c r="P13" s="11" t="s">
        <v>173</v>
      </c>
    </row>
    <row r="14" spans="1:16" x14ac:dyDescent="0.3">
      <c r="B14" s="10" t="s">
        <v>47</v>
      </c>
      <c r="C14" s="10">
        <f>C2-B2</f>
        <v>-2.7028656168511852E-3</v>
      </c>
      <c r="D14" s="10">
        <f>D2-B2</f>
        <v>3.201559943241521E-3</v>
      </c>
      <c r="E14" s="10">
        <f>E2-B2</f>
        <v>1.3139395609499395E-2</v>
      </c>
      <c r="F14" s="10">
        <f>F2-B2</f>
        <v>1.0594592404399392E-3</v>
      </c>
      <c r="G14" s="10">
        <f>G2-B2</f>
        <v>5.4272156839618221E-3</v>
      </c>
      <c r="H14" s="10">
        <f>H2-B2</f>
        <v>2.2693944061782292E-3</v>
      </c>
      <c r="J14" s="10" t="s">
        <v>47</v>
      </c>
      <c r="K14" s="8">
        <f>(J2-0) * ((K2+0))</f>
        <v>1.8168277522037437E-4</v>
      </c>
      <c r="L14" s="8">
        <f>(J2-0) * ((L2+0))</f>
        <v>2.6964683381123437E-4</v>
      </c>
      <c r="M14" s="8">
        <f>(J2-0) * ((M2+0))</f>
        <v>4.1770058602067379E-4</v>
      </c>
      <c r="N14" s="8">
        <f>(J2-0) * ((N2+0))</f>
        <v>2.3773384417134091E-4</v>
      </c>
      <c r="O14" s="8">
        <f>(J2-0) * ((O2+0))</f>
        <v>3.0280462536729061E-4</v>
      </c>
      <c r="P14" s="8">
        <f>(J2-0) * ((P2+0))</f>
        <v>2.557594432286815E-4</v>
      </c>
    </row>
    <row r="15" spans="1:16" x14ac:dyDescent="0.3">
      <c r="B15" s="10" t="s">
        <v>49</v>
      </c>
      <c r="C15" s="10">
        <f t="shared" ref="C15:C23" si="2">C3-B3</f>
        <v>4.3354663826196196E-3</v>
      </c>
      <c r="D15" s="10">
        <f t="shared" ref="D15:D23" si="3">D3-B3</f>
        <v>-1.1005003764163296E-2</v>
      </c>
      <c r="E15" s="10">
        <f t="shared" ref="E15:E23" si="4">E3-B3</f>
        <v>3.3097084614890047E-3</v>
      </c>
      <c r="F15" s="10">
        <f t="shared" ref="F15:F23" si="5">F3-B3</f>
        <v>1.1860116097201868E-2</v>
      </c>
      <c r="G15" s="10">
        <f t="shared" ref="G15:G23" si="6">G3-B3</f>
        <v>2.302946057416367E-3</v>
      </c>
      <c r="H15" s="10">
        <f t="shared" ref="H15:H23" si="7">H3-B3</f>
        <v>1.8571831922240684E-2</v>
      </c>
      <c r="J15" s="10" t="s">
        <v>49</v>
      </c>
      <c r="K15" s="8">
        <f>(J3-J2) * ((K3+K2))</f>
        <v>9.7828183023509303E-4</v>
      </c>
      <c r="L15" s="8">
        <f>(J3-J2) * ((L3+L2))</f>
        <v>9.0745599637191894E-4</v>
      </c>
      <c r="M15" s="8">
        <f>(J3-J2) * ((M3+M2))</f>
        <v>1.5931365319482704E-3</v>
      </c>
      <c r="N15" s="8">
        <f>(J3-J2) * ((N3+N2))</f>
        <v>1.2800921821161321E-3</v>
      </c>
      <c r="O15" s="8">
        <f>(J3-J2) * ((O3+O2))</f>
        <v>1.2636140307203283E-3</v>
      </c>
      <c r="P15" s="8">
        <f>(J3-J2) * ((P3+P2))</f>
        <v>1.4632241108881111E-3</v>
      </c>
    </row>
    <row r="16" spans="1:16" x14ac:dyDescent="0.3">
      <c r="B16" s="10" t="s">
        <v>45</v>
      </c>
      <c r="C16" s="10">
        <f t="shared" si="2"/>
        <v>-5.4154731706621204E-3</v>
      </c>
      <c r="D16" s="10">
        <f t="shared" si="3"/>
        <v>9.9985723725082402E-3</v>
      </c>
      <c r="E16" s="10">
        <f t="shared" si="4"/>
        <v>3.4399130582852044E-2</v>
      </c>
      <c r="F16" s="10">
        <f t="shared" si="5"/>
        <v>2.6196704653243776E-2</v>
      </c>
      <c r="G16" s="10">
        <f t="shared" si="6"/>
        <v>2.9137372357793161E-2</v>
      </c>
      <c r="H16" s="10">
        <f t="shared" si="7"/>
        <v>1.6950973669771951E-2</v>
      </c>
      <c r="J16" s="10" t="s">
        <v>45</v>
      </c>
      <c r="K16" s="8">
        <f t="shared" ref="K16:K23" si="8">(J4-J3) * ((K4+K3))</f>
        <v>1.9384714918306472E-3</v>
      </c>
      <c r="L16" s="8">
        <f t="shared" ref="L16:L23" si="9">(J4-J3) * ((L4+L3))</f>
        <v>1.8635161976175325E-3</v>
      </c>
      <c r="M16" s="8">
        <f t="shared" ref="M16:M23" si="10">(J4-J3) * ((M4+M3))</f>
        <v>3.443792599335499E-3</v>
      </c>
      <c r="N16" s="8">
        <f t="shared" ref="N16:N23" si="11">(J4-J3) * ((N4+N3))</f>
        <v>3.1129902438924461E-3</v>
      </c>
      <c r="O16" s="8">
        <f t="shared" ref="O16:O23" si="12">(J4-J3) * ((O4+O3))</f>
        <v>2.9517634080148485E-3</v>
      </c>
      <c r="P16" s="8">
        <f t="shared" ref="P16:P23" si="13">(J4-J3) * ((P4+P3))</f>
        <v>3.2559967898286909E-3</v>
      </c>
    </row>
    <row r="17" spans="2:16" x14ac:dyDescent="0.3">
      <c r="B17" s="10" t="s">
        <v>53</v>
      </c>
      <c r="C17" s="10">
        <f t="shared" si="2"/>
        <v>-1.3593698776003903E-2</v>
      </c>
      <c r="D17" s="10">
        <f t="shared" si="3"/>
        <v>5.4255411901514145E-3</v>
      </c>
      <c r="E17" s="10">
        <f t="shared" si="4"/>
        <v>4.8369677867108316E-2</v>
      </c>
      <c r="F17" s="10">
        <f t="shared" si="5"/>
        <v>3.098914958644082E-3</v>
      </c>
      <c r="G17" s="10">
        <f t="shared" si="6"/>
        <v>-7.4961378003941485E-3</v>
      </c>
      <c r="H17" s="10">
        <f t="shared" si="7"/>
        <v>-2.6455260900575331E-4</v>
      </c>
      <c r="J17" s="10" t="s">
        <v>53</v>
      </c>
      <c r="K17" s="8">
        <f t="shared" si="8"/>
        <v>2.4726253745970474E-3</v>
      </c>
      <c r="L17" s="8">
        <f t="shared" si="9"/>
        <v>3.1455247170051634E-3</v>
      </c>
      <c r="M17" s="8">
        <f t="shared" si="10"/>
        <v>6.1922924518029512E-3</v>
      </c>
      <c r="N17" s="8">
        <f t="shared" si="11"/>
        <v>4.6991155485313178E-3</v>
      </c>
      <c r="O17" s="8">
        <f t="shared" si="12"/>
        <v>4.3712484300912078E-3</v>
      </c>
      <c r="P17" s="8">
        <f t="shared" si="13"/>
        <v>4.5685202736653599E-3</v>
      </c>
    </row>
    <row r="18" spans="2:16" x14ac:dyDescent="0.3">
      <c r="B18" s="10" t="s">
        <v>50</v>
      </c>
      <c r="C18" s="10">
        <f t="shared" si="2"/>
        <v>5.5004324289249611E-3</v>
      </c>
      <c r="D18" s="10">
        <f t="shared" si="3"/>
        <v>2.5246229434406329E-2</v>
      </c>
      <c r="E18" s="10">
        <f t="shared" si="4"/>
        <v>3.6578672743014483E-3</v>
      </c>
      <c r="F18" s="10">
        <f t="shared" si="5"/>
        <v>6.8465317396923575E-2</v>
      </c>
      <c r="G18" s="10">
        <f t="shared" si="6"/>
        <v>1.1597993404534716E-2</v>
      </c>
      <c r="H18" s="10">
        <f t="shared" si="7"/>
        <v>2.6741578316778692E-2</v>
      </c>
      <c r="J18" s="10" t="s">
        <v>50</v>
      </c>
      <c r="K18" s="8">
        <f t="shared" si="8"/>
        <v>4.5468207493167398E-3</v>
      </c>
      <c r="L18" s="8">
        <f t="shared" si="9"/>
        <v>6.5729441401652326E-3</v>
      </c>
      <c r="M18" s="8">
        <f t="shared" si="10"/>
        <v>1.1267991996546808E-2</v>
      </c>
      <c r="N18" s="8">
        <f t="shared" si="11"/>
        <v>9.8386718120749873E-3</v>
      </c>
      <c r="O18" s="8">
        <f t="shared" si="12"/>
        <v>7.4402521352455722E-3</v>
      </c>
      <c r="P18" s="8">
        <f t="shared" si="13"/>
        <v>8.3541273719679489E-3</v>
      </c>
    </row>
    <row r="19" spans="2:16" x14ac:dyDescent="0.3">
      <c r="B19" s="10" t="s">
        <v>48</v>
      </c>
      <c r="C19" s="10">
        <f t="shared" si="2"/>
        <v>-7.5882730390068043E-3</v>
      </c>
      <c r="D19" s="10">
        <f t="shared" si="3"/>
        <v>-1.3878969430133611E-2</v>
      </c>
      <c r="E19" s="10">
        <f t="shared" si="4"/>
        <v>-2.2632722548922464E-2</v>
      </c>
      <c r="F19" s="10">
        <f t="shared" si="5"/>
        <v>1.9439922774866225E-2</v>
      </c>
      <c r="G19" s="10">
        <f t="shared" si="6"/>
        <v>1.4769450538228965E-2</v>
      </c>
      <c r="H19" s="10">
        <f t="shared" si="7"/>
        <v>1.5231783487738723E-2</v>
      </c>
      <c r="J19" s="10" t="s">
        <v>48</v>
      </c>
      <c r="K19" s="8">
        <f t="shared" si="8"/>
        <v>6.8896804792545922E-3</v>
      </c>
      <c r="L19" s="8">
        <f t="shared" si="9"/>
        <v>9.5501453309295263E-3</v>
      </c>
      <c r="M19" s="8">
        <f t="shared" si="10"/>
        <v>1.3747773638378584E-2</v>
      </c>
      <c r="N19" s="8">
        <f t="shared" si="11"/>
        <v>1.5592361983861002E-2</v>
      </c>
      <c r="O19" s="8">
        <f t="shared" si="12"/>
        <v>1.0984490575415338E-2</v>
      </c>
      <c r="P19" s="8">
        <f t="shared" si="13"/>
        <v>1.2489463698161252E-2</v>
      </c>
    </row>
    <row r="20" spans="2:16" x14ac:dyDescent="0.3">
      <c r="B20" s="10" t="s">
        <v>46</v>
      </c>
      <c r="C20" s="10">
        <f t="shared" si="2"/>
        <v>2.7343899159818823E-2</v>
      </c>
      <c r="D20" s="10">
        <f t="shared" si="3"/>
        <v>5.0597509789705036E-3</v>
      </c>
      <c r="E20" s="10">
        <f t="shared" si="4"/>
        <v>3.9102124218704924E-2</v>
      </c>
      <c r="F20" s="10">
        <f t="shared" si="5"/>
        <v>3.1711655603340709E-2</v>
      </c>
      <c r="G20" s="10">
        <f t="shared" si="6"/>
        <v>-1.1113853930267009E-3</v>
      </c>
      <c r="H20" s="10">
        <f t="shared" si="7"/>
        <v>-9.9131579601085956E-3</v>
      </c>
      <c r="J20" s="10" t="s">
        <v>46</v>
      </c>
      <c r="K20" s="8">
        <f t="shared" si="8"/>
        <v>1.0800752860367515E-2</v>
      </c>
      <c r="L20" s="8">
        <f t="shared" si="9"/>
        <v>1.2748752229851027E-2</v>
      </c>
      <c r="M20" s="8">
        <f t="shared" si="10"/>
        <v>1.8332081314780462E-2</v>
      </c>
      <c r="N20" s="8">
        <f t="shared" si="11"/>
        <v>2.1626182580047594E-2</v>
      </c>
      <c r="O20" s="8">
        <f t="shared" si="12"/>
        <v>1.5150049314206783E-2</v>
      </c>
      <c r="P20" s="8">
        <f t="shared" si="13"/>
        <v>1.6531059826266334E-2</v>
      </c>
    </row>
    <row r="21" spans="2:16" x14ac:dyDescent="0.3">
      <c r="B21" s="10" t="s">
        <v>52</v>
      </c>
      <c r="C21" s="10">
        <f t="shared" si="2"/>
        <v>8.1731176120564117E-2</v>
      </c>
      <c r="D21" s="10">
        <f t="shared" si="3"/>
        <v>0.10629616158942333</v>
      </c>
      <c r="E21" s="10">
        <f t="shared" si="4"/>
        <v>5.2801003641269231E-2</v>
      </c>
      <c r="F21" s="10">
        <f t="shared" si="5"/>
        <v>6.7200818051025998E-2</v>
      </c>
      <c r="G21" s="10">
        <f t="shared" si="6"/>
        <v>6.5471013518938123E-2</v>
      </c>
      <c r="H21" s="10">
        <f t="shared" si="7"/>
        <v>3.4791296850526801E-2</v>
      </c>
      <c r="J21" s="10" t="s">
        <v>52</v>
      </c>
      <c r="K21" s="8">
        <f t="shared" si="8"/>
        <v>6.4984253724572991E-2</v>
      </c>
      <c r="L21" s="8">
        <f t="shared" si="9"/>
        <v>7.1551997615876592E-2</v>
      </c>
      <c r="M21" s="8">
        <f t="shared" si="10"/>
        <v>8.7376513358469673E-2</v>
      </c>
      <c r="N21" s="8">
        <f t="shared" si="11"/>
        <v>9.8846545549406167E-2</v>
      </c>
      <c r="O21" s="8">
        <f t="shared" si="12"/>
        <v>7.3899061094731017E-2</v>
      </c>
      <c r="P21" s="8">
        <f t="shared" si="13"/>
        <v>7.381146359741865E-2</v>
      </c>
    </row>
    <row r="22" spans="2:16" x14ac:dyDescent="0.3">
      <c r="B22" s="10" t="s">
        <v>51</v>
      </c>
      <c r="C22" s="10">
        <f t="shared" si="2"/>
        <v>-7.266347687816499E-2</v>
      </c>
      <c r="D22" s="10">
        <f t="shared" si="3"/>
        <v>-3.0679516314577451E-2</v>
      </c>
      <c r="E22" s="10">
        <f t="shared" si="4"/>
        <v>-5.0343744335045168E-2</v>
      </c>
      <c r="F22" s="10">
        <f t="shared" si="5"/>
        <v>-1.2596014501413566E-2</v>
      </c>
      <c r="G22" s="10">
        <f t="shared" si="6"/>
        <v>1.879993775598135E-2</v>
      </c>
      <c r="H22" s="10">
        <f t="shared" si="7"/>
        <v>7.508243191139502E-2</v>
      </c>
      <c r="J22" s="10" t="s">
        <v>51</v>
      </c>
      <c r="K22" s="8">
        <f t="shared" si="8"/>
        <v>0.11954246036271142</v>
      </c>
      <c r="L22" s="8">
        <f t="shared" si="9"/>
        <v>0.13729482453809422</v>
      </c>
      <c r="M22" s="8">
        <f t="shared" si="10"/>
        <v>0.14648957028383539</v>
      </c>
      <c r="N22" s="8">
        <f t="shared" si="11"/>
        <v>0.16827857136841132</v>
      </c>
      <c r="O22" s="8">
        <f t="shared" si="12"/>
        <v>0.14146344942677833</v>
      </c>
      <c r="P22" s="8">
        <f t="shared" si="13"/>
        <v>0.14503603751573185</v>
      </c>
    </row>
    <row r="23" spans="2:16" x14ac:dyDescent="0.3">
      <c r="B23" s="10" t="s">
        <v>44</v>
      </c>
      <c r="C23" s="10">
        <f t="shared" si="2"/>
        <v>-1.6947186611238507E-2</v>
      </c>
      <c r="D23" s="10">
        <f t="shared" si="3"/>
        <v>-9.9664325999826997E-2</v>
      </c>
      <c r="E23" s="10">
        <f t="shared" si="4"/>
        <v>-0.12180244077125679</v>
      </c>
      <c r="F23" s="10">
        <f t="shared" si="5"/>
        <v>-0.21643689427427265</v>
      </c>
      <c r="G23" s="10">
        <f t="shared" si="6"/>
        <v>-0.13889840612343368</v>
      </c>
      <c r="H23" s="10">
        <f t="shared" si="7"/>
        <v>-0.17946157999551576</v>
      </c>
      <c r="J23" s="10" t="s">
        <v>44</v>
      </c>
      <c r="K23" s="8">
        <f t="shared" si="8"/>
        <v>0.8209950397014375</v>
      </c>
      <c r="L23" s="8">
        <f t="shared" si="9"/>
        <v>0.86779041460209738</v>
      </c>
      <c r="M23" s="8">
        <f t="shared" si="10"/>
        <v>0.88031455878769549</v>
      </c>
      <c r="N23" s="8">
        <f t="shared" si="11"/>
        <v>0.93385188808759678</v>
      </c>
      <c r="O23" s="8">
        <f t="shared" si="12"/>
        <v>0.88998621950828105</v>
      </c>
      <c r="P23" s="8">
        <f t="shared" si="13"/>
        <v>0.91293392952987062</v>
      </c>
    </row>
    <row r="24" spans="2:16" x14ac:dyDescent="0.3">
      <c r="J24" s="12" t="s">
        <v>174</v>
      </c>
      <c r="K24" s="11">
        <f>SUM(K14:K23)</f>
        <v>1.033330069349544</v>
      </c>
      <c r="L24" s="11">
        <f t="shared" ref="L24:P24" si="14">SUM(L14:L23)</f>
        <v>1.1116952222018197</v>
      </c>
      <c r="M24" s="11">
        <f t="shared" si="14"/>
        <v>1.1691754115488138</v>
      </c>
      <c r="N24" s="11">
        <f t="shared" si="14"/>
        <v>1.257364153200109</v>
      </c>
      <c r="O24" s="11">
        <f t="shared" si="14"/>
        <v>1.1478129525488519</v>
      </c>
      <c r="P24" s="11">
        <f t="shared" si="14"/>
        <v>1.1786995821570274</v>
      </c>
    </row>
    <row r="25" spans="2:16" x14ac:dyDescent="0.3">
      <c r="J25" s="13" t="s">
        <v>175</v>
      </c>
      <c r="K25" s="14">
        <f>1-K24</f>
        <v>-3.3330069349543967E-2</v>
      </c>
      <c r="L25" s="14">
        <f t="shared" ref="L25:P25" si="15">1-L24</f>
        <v>-0.11169522220181971</v>
      </c>
      <c r="M25" s="14">
        <f t="shared" si="15"/>
        <v>-0.16917541154881377</v>
      </c>
      <c r="N25" s="14">
        <f t="shared" si="15"/>
        <v>-0.25736415320010897</v>
      </c>
      <c r="O25" s="14">
        <f t="shared" si="15"/>
        <v>-0.14781295254885185</v>
      </c>
      <c r="P25" s="14">
        <f t="shared" si="15"/>
        <v>-0.17869958215702741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4584-FDFA-4AAB-B334-91B99C4D167E}">
  <dimension ref="A1:P23"/>
  <sheetViews>
    <sheetView topLeftCell="G1" workbookViewId="0">
      <selection activeCell="K23" sqref="K23:P23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56</v>
      </c>
      <c r="B2" s="9">
        <v>1.9919296526951694E-2</v>
      </c>
      <c r="C2" s="9">
        <v>1.3953488372093023E-2</v>
      </c>
      <c r="D2" s="9">
        <v>0</v>
      </c>
      <c r="E2" s="9">
        <v>2.0202020202020204E-2</v>
      </c>
      <c r="F2" s="9">
        <v>8.4317032040472171E-3</v>
      </c>
      <c r="G2" s="9">
        <v>2.5700934579439252E-2</v>
      </c>
      <c r="H2" s="9">
        <v>2.2151898734177215E-2</v>
      </c>
      <c r="I2" s="10">
        <v>1.9919296526951694E-2</v>
      </c>
      <c r="J2" s="9">
        <v>1.9919296526951694E-2</v>
      </c>
      <c r="K2" s="9">
        <v>1.3953488372093023E-2</v>
      </c>
      <c r="L2" s="9">
        <v>0</v>
      </c>
      <c r="M2" s="9">
        <v>2.0202020202020204E-2</v>
      </c>
      <c r="N2" s="9">
        <v>8.4317032040472171E-3</v>
      </c>
      <c r="O2" s="9">
        <v>2.5700934579439252E-2</v>
      </c>
      <c r="P2" s="9">
        <v>2.2151898734177215E-2</v>
      </c>
    </row>
    <row r="3" spans="1:16" x14ac:dyDescent="0.3">
      <c r="A3" s="10" t="s">
        <v>58</v>
      </c>
      <c r="B3" s="9">
        <v>2.0805635248291467E-2</v>
      </c>
      <c r="C3" s="9">
        <v>1.8604651162790697E-2</v>
      </c>
      <c r="D3" s="9">
        <v>1.9867549668874173E-2</v>
      </c>
      <c r="E3" s="9">
        <v>1.5151515151515152E-2</v>
      </c>
      <c r="F3" s="9">
        <v>4.7217537942664416E-2</v>
      </c>
      <c r="G3" s="9">
        <v>1.1682242990654205E-2</v>
      </c>
      <c r="H3" s="9">
        <v>1.8987341772151899E-2</v>
      </c>
      <c r="I3" s="10">
        <v>4.072493177524316E-2</v>
      </c>
      <c r="J3" s="10">
        <f t="shared" ref="J3:P10" si="0">J2+B3</f>
        <v>4.072493177524316E-2</v>
      </c>
      <c r="K3" s="10">
        <f t="shared" si="0"/>
        <v>3.255813953488372E-2</v>
      </c>
      <c r="L3" s="10">
        <f t="shared" si="0"/>
        <v>1.9867549668874173E-2</v>
      </c>
      <c r="M3" s="10">
        <f t="shared" si="0"/>
        <v>3.5353535353535359E-2</v>
      </c>
      <c r="N3" s="10">
        <f t="shared" si="0"/>
        <v>5.5649241146711631E-2</v>
      </c>
      <c r="O3" s="10">
        <f t="shared" si="0"/>
        <v>3.7383177570093455E-2</v>
      </c>
      <c r="P3" s="10">
        <f t="shared" si="0"/>
        <v>4.1139240506329111E-2</v>
      </c>
    </row>
    <row r="4" spans="1:16" x14ac:dyDescent="0.3">
      <c r="A4" s="10" t="s">
        <v>62</v>
      </c>
      <c r="B4" s="9">
        <v>3.513633289016397E-2</v>
      </c>
      <c r="C4" s="9">
        <v>0.11162790697674418</v>
      </c>
      <c r="D4" s="9">
        <v>5.9602649006622516E-2</v>
      </c>
      <c r="E4" s="9">
        <v>4.0404040404040407E-2</v>
      </c>
      <c r="F4" s="9">
        <v>8.9376053962900506E-2</v>
      </c>
      <c r="G4" s="9">
        <v>5.3738317757009345E-2</v>
      </c>
      <c r="H4" s="9">
        <v>6.9620253164556958E-2</v>
      </c>
      <c r="I4" s="10">
        <v>7.586126466540713E-2</v>
      </c>
      <c r="J4" s="10">
        <f t="shared" si="0"/>
        <v>7.586126466540713E-2</v>
      </c>
      <c r="K4" s="10">
        <f t="shared" si="0"/>
        <v>0.14418604651162792</v>
      </c>
      <c r="L4" s="10">
        <f t="shared" si="0"/>
        <v>7.9470198675496692E-2</v>
      </c>
      <c r="M4" s="10">
        <f t="shared" si="0"/>
        <v>7.5757575757575774E-2</v>
      </c>
      <c r="N4" s="10">
        <f t="shared" si="0"/>
        <v>0.14502529510961215</v>
      </c>
      <c r="O4" s="10">
        <f t="shared" si="0"/>
        <v>9.11214953271028E-2</v>
      </c>
      <c r="P4" s="10">
        <f t="shared" si="0"/>
        <v>0.11075949367088607</v>
      </c>
    </row>
    <row r="5" spans="1:16" x14ac:dyDescent="0.3">
      <c r="A5" s="10" t="s">
        <v>61</v>
      </c>
      <c r="B5" s="9">
        <v>3.5178317355911648E-2</v>
      </c>
      <c r="C5" s="9">
        <v>1.8604651162790697E-2</v>
      </c>
      <c r="D5" s="9">
        <v>6.6225165562913907E-3</v>
      </c>
      <c r="E5" s="9">
        <v>1.5151515151515152E-2</v>
      </c>
      <c r="F5" s="9">
        <v>9.4435075885328831E-2</v>
      </c>
      <c r="G5" s="9">
        <v>6.5420560747663545E-2</v>
      </c>
      <c r="H5" s="9">
        <v>0.10443037974683544</v>
      </c>
      <c r="I5" s="10">
        <v>0.11103958202131878</v>
      </c>
      <c r="J5" s="10">
        <f t="shared" si="0"/>
        <v>0.11103958202131878</v>
      </c>
      <c r="K5" s="10">
        <f t="shared" si="0"/>
        <v>0.16279069767441862</v>
      </c>
      <c r="L5" s="10">
        <f t="shared" si="0"/>
        <v>8.6092715231788089E-2</v>
      </c>
      <c r="M5" s="10">
        <f t="shared" si="0"/>
        <v>9.0909090909090925E-2</v>
      </c>
      <c r="N5" s="10">
        <f t="shared" si="0"/>
        <v>0.239460370994941</v>
      </c>
      <c r="O5" s="10">
        <f t="shared" si="0"/>
        <v>0.15654205607476634</v>
      </c>
      <c r="P5" s="10">
        <f t="shared" si="0"/>
        <v>0.2151898734177215</v>
      </c>
    </row>
    <row r="6" spans="1:16" x14ac:dyDescent="0.3">
      <c r="A6" s="10" t="s">
        <v>59</v>
      </c>
      <c r="B6" s="9">
        <v>7.5973223240734258E-2</v>
      </c>
      <c r="C6" s="9">
        <v>6.0465116279069767E-2</v>
      </c>
      <c r="D6" s="9">
        <v>1.3245033112582781E-2</v>
      </c>
      <c r="E6" s="9">
        <v>1.5151515151515152E-2</v>
      </c>
      <c r="F6" s="9">
        <v>9.6121416526138273E-2</v>
      </c>
      <c r="G6" s="9">
        <v>0.10514018691588785</v>
      </c>
      <c r="H6" s="9">
        <v>6.0126582278481014E-2</v>
      </c>
      <c r="I6" s="10">
        <v>0.18701280526205305</v>
      </c>
      <c r="J6" s="10">
        <f t="shared" si="0"/>
        <v>0.18701280526205305</v>
      </c>
      <c r="K6" s="10">
        <f t="shared" si="0"/>
        <v>0.22325581395348837</v>
      </c>
      <c r="L6" s="10">
        <f t="shared" si="0"/>
        <v>9.9337748344370869E-2</v>
      </c>
      <c r="M6" s="10">
        <f t="shared" si="0"/>
        <v>0.10606060606060608</v>
      </c>
      <c r="N6" s="10">
        <f t="shared" si="0"/>
        <v>0.33558178752107926</v>
      </c>
      <c r="O6" s="10">
        <f t="shared" si="0"/>
        <v>0.26168224299065418</v>
      </c>
      <c r="P6" s="10">
        <f t="shared" si="0"/>
        <v>0.2753164556962025</v>
      </c>
    </row>
    <row r="7" spans="1:16" x14ac:dyDescent="0.3">
      <c r="A7" s="10" t="s">
        <v>60</v>
      </c>
      <c r="B7" s="9">
        <v>7.9010099596482641E-2</v>
      </c>
      <c r="C7" s="9">
        <v>8.3720930232558138E-2</v>
      </c>
      <c r="D7" s="9">
        <v>6.6225165562913912E-2</v>
      </c>
      <c r="E7" s="9">
        <v>7.0707070707070704E-2</v>
      </c>
      <c r="F7" s="9">
        <v>0.12141652613827993</v>
      </c>
      <c r="G7" s="9">
        <v>0.16121495327102803</v>
      </c>
      <c r="H7" s="9">
        <v>0.14240506329113925</v>
      </c>
      <c r="I7" s="10">
        <v>0.26602290485853569</v>
      </c>
      <c r="J7" s="10">
        <f t="shared" si="0"/>
        <v>0.26602290485853569</v>
      </c>
      <c r="K7" s="10">
        <f t="shared" si="0"/>
        <v>0.30697674418604648</v>
      </c>
      <c r="L7" s="10">
        <f t="shared" si="0"/>
        <v>0.16556291390728478</v>
      </c>
      <c r="M7" s="10">
        <f t="shared" si="0"/>
        <v>0.1767676767676768</v>
      </c>
      <c r="N7" s="10">
        <f t="shared" si="0"/>
        <v>0.45699831365935917</v>
      </c>
      <c r="O7" s="10">
        <f t="shared" si="0"/>
        <v>0.42289719626168221</v>
      </c>
      <c r="P7" s="10">
        <f t="shared" si="0"/>
        <v>0.41772151898734178</v>
      </c>
    </row>
    <row r="8" spans="1:16" x14ac:dyDescent="0.3">
      <c r="A8" s="10" t="s">
        <v>55</v>
      </c>
      <c r="B8" s="9">
        <v>9.3574044270286663E-2</v>
      </c>
      <c r="C8" s="9">
        <v>6.5116279069767441E-2</v>
      </c>
      <c r="D8" s="9">
        <v>0</v>
      </c>
      <c r="E8" s="9">
        <v>1.0101010101010102E-2</v>
      </c>
      <c r="F8" s="9">
        <v>0.11804384485666104</v>
      </c>
      <c r="G8" s="9">
        <v>0.18925233644859812</v>
      </c>
      <c r="H8" s="9">
        <v>0.14556962025316456</v>
      </c>
      <c r="I8" s="10">
        <v>0.35959694912882234</v>
      </c>
      <c r="J8" s="10">
        <f t="shared" si="0"/>
        <v>0.35959694912882234</v>
      </c>
      <c r="K8" s="10">
        <f t="shared" si="0"/>
        <v>0.37209302325581395</v>
      </c>
      <c r="L8" s="10">
        <f t="shared" si="0"/>
        <v>0.16556291390728478</v>
      </c>
      <c r="M8" s="10">
        <f t="shared" si="0"/>
        <v>0.18686868686868691</v>
      </c>
      <c r="N8" s="10">
        <f t="shared" si="0"/>
        <v>0.57504215851602025</v>
      </c>
      <c r="O8" s="10">
        <f t="shared" si="0"/>
        <v>0.61214953271028039</v>
      </c>
      <c r="P8" s="10">
        <f t="shared" si="0"/>
        <v>0.56329113924050633</v>
      </c>
    </row>
    <row r="9" spans="1:16" x14ac:dyDescent="0.3">
      <c r="A9" s="10" t="s">
        <v>57</v>
      </c>
      <c r="B9" s="9">
        <v>9.9409885009213259E-2</v>
      </c>
      <c r="C9" s="9">
        <v>0.3116279069767442</v>
      </c>
      <c r="D9" s="9">
        <v>0.23178807947019867</v>
      </c>
      <c r="E9" s="9">
        <v>0.18181818181818182</v>
      </c>
      <c r="F9" s="9">
        <v>0.15008431703204048</v>
      </c>
      <c r="G9" s="9">
        <v>0.14485981308411214</v>
      </c>
      <c r="H9" s="9">
        <v>0.10443037974683544</v>
      </c>
      <c r="I9" s="10">
        <v>0.45900683413803561</v>
      </c>
      <c r="J9" s="10">
        <f t="shared" si="0"/>
        <v>0.45900683413803561</v>
      </c>
      <c r="K9" s="10">
        <f t="shared" si="0"/>
        <v>0.6837209302325582</v>
      </c>
      <c r="L9" s="10">
        <f t="shared" si="0"/>
        <v>0.39735099337748347</v>
      </c>
      <c r="M9" s="10">
        <f t="shared" si="0"/>
        <v>0.36868686868686873</v>
      </c>
      <c r="N9" s="10">
        <f t="shared" si="0"/>
        <v>0.72512647554806076</v>
      </c>
      <c r="O9" s="10">
        <f t="shared" si="0"/>
        <v>0.7570093457943925</v>
      </c>
      <c r="P9" s="10">
        <f t="shared" si="0"/>
        <v>0.66772151898734178</v>
      </c>
    </row>
    <row r="10" spans="1:16" x14ac:dyDescent="0.3">
      <c r="A10" s="10" t="s">
        <v>54</v>
      </c>
      <c r="B10" s="9">
        <v>0.54099316586196444</v>
      </c>
      <c r="C10" s="9">
        <v>0.31627906976744186</v>
      </c>
      <c r="D10" s="9">
        <v>0.60264900662251653</v>
      </c>
      <c r="E10" s="9">
        <v>0.63131313131313127</v>
      </c>
      <c r="F10" s="9">
        <v>0.2748735244519393</v>
      </c>
      <c r="G10" s="9">
        <v>0.24299065420560748</v>
      </c>
      <c r="H10" s="9">
        <v>0.33227848101265822</v>
      </c>
      <c r="I10" s="10">
        <v>1</v>
      </c>
      <c r="J10" s="10">
        <f t="shared" si="0"/>
        <v>1</v>
      </c>
      <c r="K10" s="10">
        <f t="shared" si="0"/>
        <v>1</v>
      </c>
      <c r="L10" s="10">
        <f t="shared" si="0"/>
        <v>1</v>
      </c>
      <c r="M10" s="10">
        <f t="shared" si="0"/>
        <v>1</v>
      </c>
      <c r="N10" s="10">
        <f t="shared" si="0"/>
        <v>1</v>
      </c>
      <c r="O10" s="10">
        <f t="shared" si="0"/>
        <v>1</v>
      </c>
      <c r="P10" s="10">
        <f t="shared" si="0"/>
        <v>1</v>
      </c>
    </row>
    <row r="12" spans="1:16" ht="28.8" x14ac:dyDescent="0.3">
      <c r="B12" s="1" t="s">
        <v>154</v>
      </c>
      <c r="C12" s="3" t="s">
        <v>162</v>
      </c>
      <c r="D12" s="3" t="s">
        <v>163</v>
      </c>
      <c r="E12" s="3" t="s">
        <v>164</v>
      </c>
      <c r="F12" s="3" t="s">
        <v>165</v>
      </c>
      <c r="G12" s="3" t="s">
        <v>166</v>
      </c>
      <c r="H12" s="3" t="s">
        <v>167</v>
      </c>
      <c r="J12" s="8"/>
      <c r="K12" s="11" t="s">
        <v>168</v>
      </c>
      <c r="L12" s="11" t="s">
        <v>169</v>
      </c>
      <c r="M12" s="11" t="s">
        <v>170</v>
      </c>
      <c r="N12" s="11" t="s">
        <v>171</v>
      </c>
      <c r="O12" s="11" t="s">
        <v>172</v>
      </c>
      <c r="P12" s="11" t="s">
        <v>173</v>
      </c>
    </row>
    <row r="13" spans="1:16" x14ac:dyDescent="0.3">
      <c r="B13" s="10" t="s">
        <v>56</v>
      </c>
      <c r="C13" s="10">
        <f>C2-B2</f>
        <v>-5.9658081548586706E-3</v>
      </c>
      <c r="D13" s="10">
        <f>D2-B2</f>
        <v>-1.9919296526951694E-2</v>
      </c>
      <c r="E13" s="10">
        <f>E2-B2</f>
        <v>2.8272367506851012E-4</v>
      </c>
      <c r="F13" s="10">
        <f>F2-B2</f>
        <v>-1.1487593322904477E-2</v>
      </c>
      <c r="G13" s="10">
        <f>G2-B2</f>
        <v>5.7816380524875581E-3</v>
      </c>
      <c r="H13" s="10">
        <f>H2-B2</f>
        <v>2.2326022072255217E-3</v>
      </c>
      <c r="J13" s="10" t="s">
        <v>56</v>
      </c>
      <c r="K13" s="8">
        <f>($J2-0) * ((K2+0))</f>
        <v>2.7794367246909338E-4</v>
      </c>
      <c r="L13" s="8">
        <f t="shared" ref="L13:P13" si="1">($J2-0) * ((L2+0))</f>
        <v>0</v>
      </c>
      <c r="M13" s="8">
        <f t="shared" si="1"/>
        <v>4.0241003084750897E-4</v>
      </c>
      <c r="N13" s="8">
        <f t="shared" si="1"/>
        <v>1.679535963486652E-4</v>
      </c>
      <c r="O13" s="8">
        <f t="shared" si="1"/>
        <v>5.1194453690763702E-4</v>
      </c>
      <c r="P13" s="8">
        <f t="shared" si="1"/>
        <v>4.4125023952108181E-4</v>
      </c>
    </row>
    <row r="14" spans="1:16" x14ac:dyDescent="0.3">
      <c r="B14" s="10" t="s">
        <v>58</v>
      </c>
      <c r="C14" s="10">
        <f t="shared" ref="C14:C21" si="2">C3-B3</f>
        <v>-2.2009840855007692E-3</v>
      </c>
      <c r="D14" s="10">
        <f t="shared" ref="D14:D21" si="3">D3-B3</f>
        <v>-9.3808557941729362E-4</v>
      </c>
      <c r="E14" s="10">
        <f t="shared" ref="E14:E21" si="4">E3-B3</f>
        <v>-5.6541200967763147E-3</v>
      </c>
      <c r="F14" s="10">
        <f t="shared" ref="F14:F21" si="5">F3-B3</f>
        <v>2.6411902694372949E-2</v>
      </c>
      <c r="G14" s="10">
        <f t="shared" ref="G14:G21" si="6">G3-B3</f>
        <v>-9.1233922576372615E-3</v>
      </c>
      <c r="H14" s="10">
        <f t="shared" ref="H14:H21" si="7">H3-B3</f>
        <v>-1.8182934761395673E-3</v>
      </c>
      <c r="J14" s="10" t="s">
        <v>58</v>
      </c>
      <c r="K14" s="8">
        <f>($J3-$J2) * ((K3+K2))</f>
        <v>9.6770396503681238E-4</v>
      </c>
      <c r="L14" s="8">
        <f t="shared" ref="L14:P14" si="8">($J3-$J2) * ((L3+L2))</f>
        <v>4.1335699168790994E-4</v>
      </c>
      <c r="M14" s="8">
        <f t="shared" si="8"/>
        <v>1.1558686249050817E-3</v>
      </c>
      <c r="N14" s="8">
        <f t="shared" si="8"/>
        <v>1.3332447545279524E-3</v>
      </c>
      <c r="O14" s="8">
        <f t="shared" si="8"/>
        <v>1.3125050273454896E-3</v>
      </c>
      <c r="P14" s="8">
        <f t="shared" si="8"/>
        <v>1.3168123574868018E-3</v>
      </c>
    </row>
    <row r="15" spans="1:16" x14ac:dyDescent="0.3">
      <c r="B15" s="10" t="s">
        <v>62</v>
      </c>
      <c r="C15" s="10">
        <f t="shared" si="2"/>
        <v>7.6491574086580222E-2</v>
      </c>
      <c r="D15" s="10">
        <f t="shared" si="3"/>
        <v>2.4466316116458546E-2</v>
      </c>
      <c r="E15" s="10">
        <f t="shared" si="4"/>
        <v>5.2677075138764379E-3</v>
      </c>
      <c r="F15" s="10">
        <f t="shared" si="5"/>
        <v>5.4239721072736537E-2</v>
      </c>
      <c r="G15" s="10">
        <f t="shared" si="6"/>
        <v>1.8601984866845375E-2</v>
      </c>
      <c r="H15" s="10">
        <f t="shared" si="7"/>
        <v>3.4483920274392989E-2</v>
      </c>
      <c r="J15" s="10" t="s">
        <v>62</v>
      </c>
      <c r="K15" s="8">
        <f t="shared" ref="K15:P21" si="9">($J4-$J3) * ((K4+K3))</f>
        <v>6.2101425573313071E-3</v>
      </c>
      <c r="L15" s="8">
        <f t="shared" si="9"/>
        <v>3.4903641943871497E-3</v>
      </c>
      <c r="M15" s="8">
        <f t="shared" si="9"/>
        <v>3.9040369877959974E-3</v>
      </c>
      <c r="N15" s="8">
        <f t="shared" si="9"/>
        <v>7.0509673084814713E-3</v>
      </c>
      <c r="O15" s="8">
        <f t="shared" si="9"/>
        <v>4.5151829648575189E-3</v>
      </c>
      <c r="P15" s="8">
        <f t="shared" si="9"/>
        <v>5.3371644896451588E-3</v>
      </c>
    </row>
    <row r="16" spans="1:16" x14ac:dyDescent="0.3">
      <c r="B16" s="10" t="s">
        <v>61</v>
      </c>
      <c r="C16" s="10">
        <f t="shared" si="2"/>
        <v>-1.6573666193120951E-2</v>
      </c>
      <c r="D16" s="10">
        <f t="shared" si="3"/>
        <v>-2.8555800799620258E-2</v>
      </c>
      <c r="E16" s="10">
        <f t="shared" si="4"/>
        <v>-2.0026802204396496E-2</v>
      </c>
      <c r="F16" s="10">
        <f t="shared" si="5"/>
        <v>5.9256758529417183E-2</v>
      </c>
      <c r="G16" s="10">
        <f t="shared" si="6"/>
        <v>3.0242243391751897E-2</v>
      </c>
      <c r="H16" s="10">
        <f t="shared" si="7"/>
        <v>6.9252062390923796E-2</v>
      </c>
      <c r="J16" s="10" t="s">
        <v>61</v>
      </c>
      <c r="K16" s="8">
        <f t="shared" si="9"/>
        <v>1.0798925327861251E-2</v>
      </c>
      <c r="L16" s="8">
        <f t="shared" si="9"/>
        <v>5.8242247277999421E-3</v>
      </c>
      <c r="M16" s="8">
        <f t="shared" si="9"/>
        <v>5.8630528926519416E-3</v>
      </c>
      <c r="N16" s="8">
        <f t="shared" si="9"/>
        <v>1.3525558781025054E-2</v>
      </c>
      <c r="O16" s="8">
        <f t="shared" si="9"/>
        <v>8.7123870087070891E-3</v>
      </c>
      <c r="P16" s="8">
        <f t="shared" si="9"/>
        <v>1.1466350277401579E-2</v>
      </c>
    </row>
    <row r="17" spans="2:16" x14ac:dyDescent="0.3">
      <c r="B17" s="10" t="s">
        <v>59</v>
      </c>
      <c r="C17" s="10">
        <f t="shared" si="2"/>
        <v>-1.5508106961664492E-2</v>
      </c>
      <c r="D17" s="10">
        <f t="shared" si="3"/>
        <v>-6.2728190128151479E-2</v>
      </c>
      <c r="E17" s="10">
        <f t="shared" si="4"/>
        <v>-6.0821708089219106E-2</v>
      </c>
      <c r="F17" s="10">
        <f t="shared" si="5"/>
        <v>2.0148193285404015E-2</v>
      </c>
      <c r="G17" s="10">
        <f t="shared" si="6"/>
        <v>2.916696367515359E-2</v>
      </c>
      <c r="H17" s="10">
        <f t="shared" si="7"/>
        <v>-1.5846640962253244E-2</v>
      </c>
      <c r="J17" s="10" t="s">
        <v>59</v>
      </c>
      <c r="K17" s="8">
        <f t="shared" si="9"/>
        <v>2.9329197809213697E-2</v>
      </c>
      <c r="L17" s="8">
        <f t="shared" si="9"/>
        <v>1.4087750004904368E-2</v>
      </c>
      <c r="M17" s="8">
        <f t="shared" si="9"/>
        <v>1.4964422759538572E-2</v>
      </c>
      <c r="N17" s="8">
        <f t="shared" si="9"/>
        <v>4.368780628177131E-2</v>
      </c>
      <c r="O17" s="8">
        <f t="shared" si="9"/>
        <v>3.1773848037596808E-2</v>
      </c>
      <c r="P17" s="8">
        <f t="shared" si="9"/>
        <v>3.7265346842765223E-2</v>
      </c>
    </row>
    <row r="18" spans="2:16" x14ac:dyDescent="0.3">
      <c r="B18" s="10" t="s">
        <v>60</v>
      </c>
      <c r="C18" s="10">
        <f t="shared" si="2"/>
        <v>4.710830636075497E-3</v>
      </c>
      <c r="D18" s="10">
        <f t="shared" si="3"/>
        <v>-1.2784934033568729E-2</v>
      </c>
      <c r="E18" s="10">
        <f t="shared" si="4"/>
        <v>-8.303028889411937E-3</v>
      </c>
      <c r="F18" s="10">
        <f t="shared" si="5"/>
        <v>4.2406426541797285E-2</v>
      </c>
      <c r="G18" s="10">
        <f t="shared" si="6"/>
        <v>8.2204853674545386E-2</v>
      </c>
      <c r="H18" s="10">
        <f t="shared" si="7"/>
        <v>6.3394963694656609E-2</v>
      </c>
      <c r="J18" s="10" t="s">
        <v>60</v>
      </c>
      <c r="K18" s="8">
        <f t="shared" si="9"/>
        <v>4.1893727227902418E-2</v>
      </c>
      <c r="L18" s="8">
        <f t="shared" si="9"/>
        <v>2.0929827707677522E-2</v>
      </c>
      <c r="M18" s="8">
        <f t="shared" si="9"/>
        <v>2.234629079496479E-2</v>
      </c>
      <c r="N18" s="8">
        <f t="shared" si="9"/>
        <v>6.2621832732456723E-2</v>
      </c>
      <c r="O18" s="8">
        <f t="shared" si="9"/>
        <v>5.4088689677031329E-2</v>
      </c>
      <c r="P18" s="8">
        <f t="shared" si="9"/>
        <v>5.4756999403891442E-2</v>
      </c>
    </row>
    <row r="19" spans="2:16" x14ac:dyDescent="0.3">
      <c r="B19" s="10" t="s">
        <v>55</v>
      </c>
      <c r="C19" s="10">
        <f t="shared" si="2"/>
        <v>-2.8457765200519222E-2</v>
      </c>
      <c r="D19" s="10">
        <f t="shared" si="3"/>
        <v>-9.3574044270286663E-2</v>
      </c>
      <c r="E19" s="10">
        <f t="shared" si="4"/>
        <v>-8.3473034169276566E-2</v>
      </c>
      <c r="F19" s="10">
        <f t="shared" si="5"/>
        <v>2.4469800586374379E-2</v>
      </c>
      <c r="G19" s="10">
        <f t="shared" si="6"/>
        <v>9.5678292178311461E-2</v>
      </c>
      <c r="H19" s="10">
        <f t="shared" si="7"/>
        <v>5.1995575982877892E-2</v>
      </c>
      <c r="J19" s="10" t="s">
        <v>55</v>
      </c>
      <c r="K19" s="8">
        <f t="shared" si="9"/>
        <v>6.3543304481217908E-2</v>
      </c>
      <c r="L19" s="8">
        <f t="shared" si="9"/>
        <v>3.0984782870955848E-2</v>
      </c>
      <c r="M19" s="8">
        <f t="shared" si="9"/>
        <v>3.4026925189195152E-2</v>
      </c>
      <c r="N19" s="8">
        <f t="shared" si="9"/>
        <v>9.6572200832066496E-2</v>
      </c>
      <c r="O19" s="8">
        <f t="shared" si="9"/>
        <v>9.6853508438637825E-2</v>
      </c>
      <c r="P19" s="8">
        <f t="shared" si="9"/>
        <v>9.1797321910724247E-2</v>
      </c>
    </row>
    <row r="20" spans="2:16" x14ac:dyDescent="0.3">
      <c r="B20" s="10" t="s">
        <v>57</v>
      </c>
      <c r="C20" s="10">
        <f t="shared" si="2"/>
        <v>0.21221802196753092</v>
      </c>
      <c r="D20" s="10">
        <f t="shared" si="3"/>
        <v>0.13237819446098542</v>
      </c>
      <c r="E20" s="10">
        <f t="shared" si="4"/>
        <v>8.2408296808968565E-2</v>
      </c>
      <c r="F20" s="10">
        <f t="shared" si="5"/>
        <v>5.0674432022827218E-2</v>
      </c>
      <c r="G20" s="10">
        <f t="shared" si="6"/>
        <v>4.5449928074898879E-2</v>
      </c>
      <c r="H20" s="10">
        <f t="shared" si="7"/>
        <v>5.0204947376221859E-3</v>
      </c>
      <c r="J20" s="10" t="s">
        <v>57</v>
      </c>
      <c r="K20" s="8">
        <f t="shared" si="9"/>
        <v>0.10495834370740192</v>
      </c>
      <c r="L20" s="8">
        <f t="shared" si="9"/>
        <v>5.5959206793265749E-2</v>
      </c>
      <c r="M20" s="8">
        <f t="shared" si="9"/>
        <v>5.5227713894007373E-2</v>
      </c>
      <c r="N20" s="8">
        <f t="shared" si="9"/>
        <v>0.12924961440489618</v>
      </c>
      <c r="O20" s="8">
        <f t="shared" si="9"/>
        <v>0.13610792667149293</v>
      </c>
      <c r="P20" s="8">
        <f t="shared" si="9"/>
        <v>0.12237482679931633</v>
      </c>
    </row>
    <row r="21" spans="2:16" x14ac:dyDescent="0.3">
      <c r="B21" s="10" t="s">
        <v>54</v>
      </c>
      <c r="C21" s="10">
        <f t="shared" si="2"/>
        <v>-0.22471409609452259</v>
      </c>
      <c r="D21" s="10">
        <f t="shared" si="3"/>
        <v>6.1655840760552083E-2</v>
      </c>
      <c r="E21" s="10">
        <f t="shared" si="4"/>
        <v>9.0319965451166828E-2</v>
      </c>
      <c r="F21" s="10">
        <f t="shared" si="5"/>
        <v>-0.26611964141002514</v>
      </c>
      <c r="G21" s="10">
        <f t="shared" si="6"/>
        <v>-0.29800251165635694</v>
      </c>
      <c r="H21" s="10">
        <f t="shared" si="7"/>
        <v>-0.20871468484930622</v>
      </c>
      <c r="J21" s="10" t="s">
        <v>54</v>
      </c>
      <c r="K21" s="8">
        <f t="shared" si="9"/>
        <v>0.91088151647456339</v>
      </c>
      <c r="L21" s="8">
        <f t="shared" si="9"/>
        <v>0.75595733772764573</v>
      </c>
      <c r="M21" s="8">
        <f t="shared" si="9"/>
        <v>0.74045024216460797</v>
      </c>
      <c r="N21" s="8">
        <f t="shared" si="9"/>
        <v>0.93328163351903826</v>
      </c>
      <c r="O21" s="8">
        <f t="shared" si="9"/>
        <v>0.95053004843036737</v>
      </c>
      <c r="P21" s="8">
        <f t="shared" si="9"/>
        <v>0.90222594433308623</v>
      </c>
    </row>
    <row r="22" spans="2:16" x14ac:dyDescent="0.3">
      <c r="J22" s="12" t="s">
        <v>174</v>
      </c>
      <c r="K22" s="11">
        <f>SUM(K13:K21)</f>
        <v>1.1688608052229978</v>
      </c>
      <c r="L22" s="11">
        <f t="shared" ref="L22:P22" si="10">SUM(L13:L21)</f>
        <v>0.88764685101832419</v>
      </c>
      <c r="M22" s="11">
        <f t="shared" si="10"/>
        <v>0.87834096333851441</v>
      </c>
      <c r="N22" s="11">
        <f t="shared" si="10"/>
        <v>1.2874908122106121</v>
      </c>
      <c r="O22" s="11">
        <f t="shared" si="10"/>
        <v>1.2844060407929438</v>
      </c>
      <c r="P22" s="11">
        <f t="shared" si="10"/>
        <v>1.2269820166538381</v>
      </c>
    </row>
    <row r="23" spans="2:16" x14ac:dyDescent="0.3">
      <c r="J23" s="13" t="s">
        <v>175</v>
      </c>
      <c r="K23" s="14">
        <f>1-K22</f>
        <v>-0.16886080522299785</v>
      </c>
      <c r="L23" s="14">
        <f t="shared" ref="L23:P23" si="11">1-L22</f>
        <v>0.11235314898167581</v>
      </c>
      <c r="M23" s="14">
        <f t="shared" si="11"/>
        <v>0.12165903666148559</v>
      </c>
      <c r="N23" s="14">
        <f t="shared" si="11"/>
        <v>-0.28749081221061212</v>
      </c>
      <c r="O23" s="14">
        <f t="shared" si="11"/>
        <v>-0.28440604079294385</v>
      </c>
      <c r="P23" s="14">
        <f t="shared" si="11"/>
        <v>-0.2269820166538381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6BD-0110-4217-ACBB-8C1D11FBA90F}">
  <dimension ref="A1:P19"/>
  <sheetViews>
    <sheetView tabSelected="1" workbookViewId="0">
      <selection activeCell="I22" sqref="I2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65</v>
      </c>
      <c r="B2" s="9">
        <v>1.9833496571988248E-2</v>
      </c>
      <c r="C2" s="9">
        <v>5.1546391752577319E-3</v>
      </c>
      <c r="D2" s="9">
        <v>0</v>
      </c>
      <c r="E2" s="9">
        <v>0.01</v>
      </c>
      <c r="F2" s="9">
        <v>1.5444015444015444E-2</v>
      </c>
      <c r="G2" s="9">
        <v>0</v>
      </c>
      <c r="H2" s="9">
        <v>1.8292682926829267E-2</v>
      </c>
      <c r="I2" s="10">
        <v>1.9833496571988248E-2</v>
      </c>
      <c r="J2" s="9">
        <v>1.9833496571988248E-2</v>
      </c>
      <c r="K2" s="9">
        <v>5.1546391752577319E-3</v>
      </c>
      <c r="L2" s="9">
        <v>0</v>
      </c>
      <c r="M2" s="9">
        <v>0.01</v>
      </c>
      <c r="N2" s="9">
        <v>1.5444015444015444E-2</v>
      </c>
      <c r="O2" s="9">
        <v>0</v>
      </c>
      <c r="P2" s="9">
        <v>1.8292682926829267E-2</v>
      </c>
    </row>
    <row r="3" spans="1:16" x14ac:dyDescent="0.3">
      <c r="A3" s="10" t="s">
        <v>69</v>
      </c>
      <c r="B3" s="9">
        <v>2.7617402958915408E-2</v>
      </c>
      <c r="C3" s="9">
        <v>1.5463917525773196E-2</v>
      </c>
      <c r="D3" s="9">
        <v>1.7241379310344827E-2</v>
      </c>
      <c r="E3" s="9">
        <v>0.01</v>
      </c>
      <c r="F3" s="9">
        <v>1.9305019305019305E-2</v>
      </c>
      <c r="G3" s="9">
        <v>2.5000000000000001E-2</v>
      </c>
      <c r="H3" s="9">
        <v>0</v>
      </c>
      <c r="I3" s="10">
        <v>4.7450899530903659E-2</v>
      </c>
      <c r="J3" s="10">
        <f>J2+B3</f>
        <v>4.7450899530903659E-2</v>
      </c>
      <c r="K3" s="10">
        <f t="shared" ref="K3:P8" si="0">K2+C3</f>
        <v>2.0618556701030927E-2</v>
      </c>
      <c r="L3" s="10">
        <f t="shared" si="0"/>
        <v>1.7241379310344827E-2</v>
      </c>
      <c r="M3" s="10">
        <f t="shared" si="0"/>
        <v>0.02</v>
      </c>
      <c r="N3" s="10">
        <f t="shared" si="0"/>
        <v>3.4749034749034749E-2</v>
      </c>
      <c r="O3" s="10">
        <f t="shared" si="0"/>
        <v>2.5000000000000001E-2</v>
      </c>
      <c r="P3" s="10">
        <f t="shared" si="0"/>
        <v>1.8292682926829267E-2</v>
      </c>
    </row>
    <row r="4" spans="1:16" ht="15.6" customHeight="1" x14ac:dyDescent="0.3">
      <c r="A4" s="10" t="s">
        <v>68</v>
      </c>
      <c r="B4" s="9">
        <v>9.1499561833084178E-2</v>
      </c>
      <c r="C4" s="9">
        <v>5.6701030927835051E-2</v>
      </c>
      <c r="D4" s="9">
        <v>1.7241379310344827E-2</v>
      </c>
      <c r="E4" s="9">
        <v>0.11</v>
      </c>
      <c r="F4" s="9">
        <v>0.10038610038610038</v>
      </c>
      <c r="G4" s="9">
        <v>7.4999999999999997E-2</v>
      </c>
      <c r="H4" s="9">
        <v>6.097560975609756E-2</v>
      </c>
      <c r="I4" s="10">
        <v>0.13895046136398784</v>
      </c>
      <c r="J4" s="10">
        <f t="shared" ref="J4:J8" si="1">J3+B4</f>
        <v>0.13895046136398784</v>
      </c>
      <c r="K4" s="10">
        <f t="shared" si="0"/>
        <v>7.7319587628865982E-2</v>
      </c>
      <c r="L4" s="10">
        <f t="shared" si="0"/>
        <v>3.4482758620689655E-2</v>
      </c>
      <c r="M4" s="10">
        <f t="shared" si="0"/>
        <v>0.13</v>
      </c>
      <c r="N4" s="10">
        <f t="shared" si="0"/>
        <v>0.13513513513513514</v>
      </c>
      <c r="O4" s="10">
        <f t="shared" si="0"/>
        <v>0.1</v>
      </c>
      <c r="P4" s="10">
        <f t="shared" si="0"/>
        <v>7.926829268292683E-2</v>
      </c>
    </row>
    <row r="5" spans="1:16" x14ac:dyDescent="0.3">
      <c r="A5" s="10" t="s">
        <v>64</v>
      </c>
      <c r="B5" s="9">
        <v>0.11202897056549306</v>
      </c>
      <c r="C5" s="9">
        <v>0.14432989690721648</v>
      </c>
      <c r="D5" s="9">
        <v>0.32758620689655171</v>
      </c>
      <c r="E5" s="9">
        <v>0.15</v>
      </c>
      <c r="F5" s="9">
        <v>0.15444015444015444</v>
      </c>
      <c r="G5" s="9">
        <v>0.19</v>
      </c>
      <c r="H5" s="9">
        <v>9.1463414634146339E-2</v>
      </c>
      <c r="I5" s="10">
        <v>0.25097943192948091</v>
      </c>
      <c r="J5" s="10">
        <f t="shared" si="1"/>
        <v>0.25097943192948091</v>
      </c>
      <c r="K5" s="10">
        <f t="shared" si="0"/>
        <v>0.22164948453608246</v>
      </c>
      <c r="L5" s="10">
        <f t="shared" si="0"/>
        <v>0.36206896551724138</v>
      </c>
      <c r="M5" s="10">
        <f t="shared" si="0"/>
        <v>0.28000000000000003</v>
      </c>
      <c r="N5" s="10">
        <f t="shared" si="0"/>
        <v>0.28957528957528955</v>
      </c>
      <c r="O5" s="10">
        <f t="shared" si="0"/>
        <v>0.29000000000000004</v>
      </c>
      <c r="P5" s="10">
        <f t="shared" si="0"/>
        <v>0.17073170731707316</v>
      </c>
    </row>
    <row r="6" spans="1:16" x14ac:dyDescent="0.3">
      <c r="A6" s="10" t="s">
        <v>67</v>
      </c>
      <c r="B6" s="9">
        <v>0.11231249033455333</v>
      </c>
      <c r="C6" s="9">
        <v>3.608247422680412E-2</v>
      </c>
      <c r="D6" s="9">
        <v>3.4482758620689655E-2</v>
      </c>
      <c r="E6" s="9">
        <v>0.09</v>
      </c>
      <c r="F6" s="9">
        <v>8.1081081081081086E-2</v>
      </c>
      <c r="G6" s="9">
        <v>0.20499999999999999</v>
      </c>
      <c r="H6" s="9">
        <v>6.7073170731707321E-2</v>
      </c>
      <c r="I6" s="10">
        <v>0.36329192226403423</v>
      </c>
      <c r="J6" s="10">
        <f t="shared" si="1"/>
        <v>0.36329192226403423</v>
      </c>
      <c r="K6" s="10">
        <f t="shared" si="0"/>
        <v>0.25773195876288657</v>
      </c>
      <c r="L6" s="10">
        <f t="shared" si="0"/>
        <v>0.39655172413793105</v>
      </c>
      <c r="M6" s="10">
        <f t="shared" si="0"/>
        <v>0.37</v>
      </c>
      <c r="N6" s="10">
        <f t="shared" si="0"/>
        <v>0.37065637065637064</v>
      </c>
      <c r="O6" s="10">
        <f t="shared" si="0"/>
        <v>0.495</v>
      </c>
      <c r="P6" s="10">
        <f t="shared" si="0"/>
        <v>0.23780487804878048</v>
      </c>
    </row>
    <row r="7" spans="1:16" x14ac:dyDescent="0.3">
      <c r="A7" s="10" t="s">
        <v>66</v>
      </c>
      <c r="B7" s="9">
        <v>0.18388834476003918</v>
      </c>
      <c r="C7" s="9">
        <v>0.23195876288659795</v>
      </c>
      <c r="D7" s="9">
        <v>0.34482758620689657</v>
      </c>
      <c r="E7" s="9">
        <v>0.21</v>
      </c>
      <c r="F7" s="9">
        <v>0.19305019305019305</v>
      </c>
      <c r="G7" s="9">
        <v>0.18</v>
      </c>
      <c r="H7" s="9">
        <v>0.28048780487804881</v>
      </c>
      <c r="I7" s="10">
        <v>0.54718026702407341</v>
      </c>
      <c r="J7" s="10">
        <f t="shared" si="1"/>
        <v>0.54718026702407341</v>
      </c>
      <c r="K7" s="10">
        <f t="shared" si="0"/>
        <v>0.48969072164948452</v>
      </c>
      <c r="L7" s="10">
        <f t="shared" si="0"/>
        <v>0.74137931034482762</v>
      </c>
      <c r="M7" s="10">
        <f t="shared" si="0"/>
        <v>0.57999999999999996</v>
      </c>
      <c r="N7" s="10">
        <f t="shared" si="0"/>
        <v>0.56370656370656369</v>
      </c>
      <c r="O7" s="10">
        <f t="shared" si="0"/>
        <v>0.67500000000000004</v>
      </c>
      <c r="P7" s="10">
        <f t="shared" si="0"/>
        <v>0.51829268292682928</v>
      </c>
    </row>
    <row r="8" spans="1:16" x14ac:dyDescent="0.3">
      <c r="A8" s="10" t="s">
        <v>63</v>
      </c>
      <c r="B8" s="9">
        <v>0.45281973297592659</v>
      </c>
      <c r="C8" s="9">
        <v>0.51030927835051543</v>
      </c>
      <c r="D8" s="9">
        <v>0.25862068965517243</v>
      </c>
      <c r="E8" s="9">
        <v>0.42</v>
      </c>
      <c r="F8" s="9">
        <v>0.43629343629343631</v>
      </c>
      <c r="G8" s="9">
        <v>0.32500000000000001</v>
      </c>
      <c r="H8" s="9">
        <v>0.48170731707317072</v>
      </c>
      <c r="I8" s="10">
        <v>1</v>
      </c>
      <c r="J8" s="10">
        <f t="shared" si="1"/>
        <v>1</v>
      </c>
      <c r="K8" s="10">
        <f t="shared" si="0"/>
        <v>1</v>
      </c>
      <c r="L8" s="10">
        <f t="shared" si="0"/>
        <v>1</v>
      </c>
      <c r="M8" s="10">
        <f t="shared" si="0"/>
        <v>1</v>
      </c>
      <c r="N8" s="10">
        <f t="shared" si="0"/>
        <v>1</v>
      </c>
      <c r="O8" s="10">
        <f t="shared" si="0"/>
        <v>1</v>
      </c>
      <c r="P8" s="10">
        <f t="shared" si="0"/>
        <v>1</v>
      </c>
    </row>
    <row r="10" spans="1:16" ht="28.8" x14ac:dyDescent="0.3">
      <c r="B10" s="1" t="s">
        <v>154</v>
      </c>
      <c r="C10" s="3" t="s">
        <v>162</v>
      </c>
      <c r="D10" s="3" t="s">
        <v>163</v>
      </c>
      <c r="E10" s="3" t="s">
        <v>164</v>
      </c>
      <c r="F10" s="3" t="s">
        <v>165</v>
      </c>
      <c r="G10" s="3" t="s">
        <v>166</v>
      </c>
      <c r="H10" s="3" t="s">
        <v>167</v>
      </c>
      <c r="J10" s="8"/>
      <c r="K10" s="11" t="s">
        <v>168</v>
      </c>
      <c r="L10" s="11" t="s">
        <v>169</v>
      </c>
      <c r="M10" s="11" t="s">
        <v>170</v>
      </c>
      <c r="N10" s="11" t="s">
        <v>171</v>
      </c>
      <c r="O10" s="11" t="s">
        <v>172</v>
      </c>
      <c r="P10" s="11" t="s">
        <v>173</v>
      </c>
    </row>
    <row r="11" spans="1:16" x14ac:dyDescent="0.3">
      <c r="B11" s="10" t="s">
        <v>65</v>
      </c>
      <c r="C11" s="10">
        <f>C2-B2</f>
        <v>-1.4678857396730517E-2</v>
      </c>
      <c r="D11" s="10">
        <f>D2-B2</f>
        <v>-1.9833496571988248E-2</v>
      </c>
      <c r="E11" s="10">
        <f>E2-B2</f>
        <v>-9.8334965719882473E-3</v>
      </c>
      <c r="F11" s="10">
        <f>F2-B2</f>
        <v>-4.3894811279728031E-3</v>
      </c>
      <c r="G11" s="10">
        <f>G2-B2</f>
        <v>-1.9833496571988248E-2</v>
      </c>
      <c r="H11" s="10">
        <f>H2-B2</f>
        <v>-1.5408136451589803E-3</v>
      </c>
      <c r="J11" s="10" t="s">
        <v>65</v>
      </c>
      <c r="K11" s="8">
        <f>(J2-0) * ((K2+0))</f>
        <v>1.0223451841231055E-4</v>
      </c>
      <c r="L11" s="8">
        <f>(J2-0) * ((L2+0))</f>
        <v>0</v>
      </c>
      <c r="M11" s="8">
        <f>(J2-0) * ((M2+0))</f>
        <v>1.9833496571988247E-4</v>
      </c>
      <c r="N11" s="8">
        <f>(J2-0) * ((N2+0))</f>
        <v>3.0630882736661384E-4</v>
      </c>
      <c r="O11" s="8">
        <f>(J2-0) * ((O2+0))</f>
        <v>0</v>
      </c>
      <c r="P11" s="8">
        <f>(J2-0) * ((P2+0))</f>
        <v>3.6280786412173623E-4</v>
      </c>
    </row>
    <row r="12" spans="1:16" x14ac:dyDescent="0.3">
      <c r="B12" s="10" t="s">
        <v>69</v>
      </c>
      <c r="C12" s="10">
        <f t="shared" ref="C12:C17" si="2">C3-B3</f>
        <v>-1.2153485433142212E-2</v>
      </c>
      <c r="D12" s="10">
        <f t="shared" ref="D12:D17" si="3">D3-B3</f>
        <v>-1.0376023648570581E-2</v>
      </c>
      <c r="E12" s="10">
        <f t="shared" ref="E12:E17" si="4">E3-B3</f>
        <v>-1.761740295891541E-2</v>
      </c>
      <c r="F12" s="10">
        <f t="shared" ref="F12:F17" si="5">F3-B3</f>
        <v>-8.3123836538961035E-3</v>
      </c>
      <c r="G12" s="10">
        <f t="shared" ref="G12:G17" si="6">G3-B3</f>
        <v>-2.6174029589154067E-3</v>
      </c>
      <c r="H12" s="10">
        <f t="shared" ref="H12:H17" si="7">H3-B3</f>
        <v>-2.7617402958915408E-2</v>
      </c>
      <c r="J12" s="10" t="s">
        <v>69</v>
      </c>
      <c r="K12" s="8">
        <f>(J3-J2) * ((K3+K2))</f>
        <v>7.1178873605452092E-4</v>
      </c>
      <c r="L12" s="8">
        <f>(J3-J2) * ((L3+L2))</f>
        <v>4.761621199813002E-4</v>
      </c>
      <c r="M12" s="8">
        <f>(J3-J2) * ((M3+M2))</f>
        <v>8.2852208876746229E-4</v>
      </c>
      <c r="N12" s="8">
        <f>(J3-J2) * ((N3+N2))</f>
        <v>1.3862016929185341E-3</v>
      </c>
      <c r="O12" s="8">
        <f>(J3-J2) * ((O3+O2))</f>
        <v>6.9043507397288531E-4</v>
      </c>
      <c r="P12" s="8">
        <f>(J3-J2) * ((P3+P2))</f>
        <v>1.0103927911798321E-3</v>
      </c>
    </row>
    <row r="13" spans="1:16" x14ac:dyDescent="0.3">
      <c r="B13" s="10" t="s">
        <v>68</v>
      </c>
      <c r="C13" s="10">
        <f t="shared" si="2"/>
        <v>-3.4798530905249127E-2</v>
      </c>
      <c r="D13" s="10">
        <f t="shared" si="3"/>
        <v>-7.4258182522739358E-2</v>
      </c>
      <c r="E13" s="10">
        <f t="shared" si="4"/>
        <v>1.8500438166915822E-2</v>
      </c>
      <c r="F13" s="10">
        <f t="shared" si="5"/>
        <v>8.8865385530162017E-3</v>
      </c>
      <c r="G13" s="10">
        <f t="shared" si="6"/>
        <v>-1.6499561833084181E-2</v>
      </c>
      <c r="H13" s="10">
        <f t="shared" si="7"/>
        <v>-3.0523952076986618E-2</v>
      </c>
      <c r="J13" s="10" t="s">
        <v>68</v>
      </c>
      <c r="K13" s="8">
        <f t="shared" ref="K13:K17" si="8">(J4-J3) * ((K4+K3))</f>
        <v>8.9612972929309243E-3</v>
      </c>
      <c r="L13" s="8">
        <f t="shared" ref="L13:L17" si="9">(J4-J3) * ((L4+L3))</f>
        <v>4.7327359568836644E-3</v>
      </c>
      <c r="M13" s="8">
        <f t="shared" ref="M13:M17" si="10">(J4-J3) * ((M4+M3))</f>
        <v>1.3724934274962627E-2</v>
      </c>
      <c r="N13" s="8">
        <f t="shared" ref="N13:N17" si="11">(J4-J3) * ((N4+N3))</f>
        <v>1.5544327106778779E-2</v>
      </c>
      <c r="O13" s="8">
        <f t="shared" ref="O13:O17" si="12">(J4-J3) * ((O4+O3))</f>
        <v>1.1437445229135522E-2</v>
      </c>
      <c r="P13" s="8">
        <f t="shared" ref="P13:P17" si="13">(J4-J3) * ((P4+P3))</f>
        <v>8.9267865203008952E-3</v>
      </c>
    </row>
    <row r="14" spans="1:16" x14ac:dyDescent="0.3">
      <c r="B14" s="10" t="s">
        <v>64</v>
      </c>
      <c r="C14" s="10">
        <f t="shared" si="2"/>
        <v>3.2300926341723421E-2</v>
      </c>
      <c r="D14" s="10">
        <f t="shared" si="3"/>
        <v>0.21555723633105867</v>
      </c>
      <c r="E14" s="10">
        <f t="shared" si="4"/>
        <v>3.7971029434506934E-2</v>
      </c>
      <c r="F14" s="10">
        <f t="shared" si="5"/>
        <v>4.2411183874661376E-2</v>
      </c>
      <c r="G14" s="10">
        <f t="shared" si="6"/>
        <v>7.7971029434506942E-2</v>
      </c>
      <c r="H14" s="10">
        <f t="shared" si="7"/>
        <v>-2.0565555931346721E-2</v>
      </c>
      <c r="J14" s="10" t="s">
        <v>64</v>
      </c>
      <c r="K14" s="8">
        <f t="shared" si="8"/>
        <v>3.3493197385559781E-2</v>
      </c>
      <c r="L14" s="8">
        <f t="shared" si="9"/>
        <v>4.4425281431143805E-2</v>
      </c>
      <c r="M14" s="8">
        <f t="shared" si="10"/>
        <v>4.5931877931852161E-2</v>
      </c>
      <c r="N14" s="8">
        <f t="shared" si="11"/>
        <v>4.7579871668742231E-2</v>
      </c>
      <c r="O14" s="8">
        <f t="shared" si="12"/>
        <v>4.36912985205423E-2</v>
      </c>
      <c r="P14" s="8">
        <f t="shared" si="13"/>
        <v>2.8007242641373269E-2</v>
      </c>
    </row>
    <row r="15" spans="1:16" x14ac:dyDescent="0.3">
      <c r="B15" s="10" t="s">
        <v>67</v>
      </c>
      <c r="C15" s="10">
        <f t="shared" si="2"/>
        <v>-7.623001610774921E-2</v>
      </c>
      <c r="D15" s="10">
        <f t="shared" si="3"/>
        <v>-7.7829731713863676E-2</v>
      </c>
      <c r="E15" s="10">
        <f t="shared" si="4"/>
        <v>-2.2312490334553334E-2</v>
      </c>
      <c r="F15" s="10">
        <f t="shared" si="5"/>
        <v>-3.1231409253472245E-2</v>
      </c>
      <c r="G15" s="10">
        <f t="shared" si="6"/>
        <v>9.2687509665446657E-2</v>
      </c>
      <c r="H15" s="10">
        <f t="shared" si="7"/>
        <v>-4.5239319602846009E-2</v>
      </c>
      <c r="J15" s="10" t="s">
        <v>67</v>
      </c>
      <c r="K15" s="8">
        <f t="shared" si="8"/>
        <v>5.3840523717079682E-2</v>
      </c>
      <c r="L15" s="8">
        <f t="shared" si="9"/>
        <v>8.5202578874488719E-2</v>
      </c>
      <c r="M15" s="8">
        <f t="shared" si="10"/>
        <v>7.3003118717459653E-2</v>
      </c>
      <c r="N15" s="8">
        <f t="shared" si="11"/>
        <v>7.4152261958334437E-2</v>
      </c>
      <c r="O15" s="8">
        <f t="shared" si="12"/>
        <v>8.8165304912624351E-2</v>
      </c>
      <c r="P15" s="8">
        <f t="shared" si="13"/>
        <v>4.5883761295213855E-2</v>
      </c>
    </row>
    <row r="16" spans="1:16" x14ac:dyDescent="0.3">
      <c r="B16" s="10" t="s">
        <v>66</v>
      </c>
      <c r="C16" s="10">
        <f t="shared" si="2"/>
        <v>4.8070418126558767E-2</v>
      </c>
      <c r="D16" s="10">
        <f t="shared" si="3"/>
        <v>0.1609392414468574</v>
      </c>
      <c r="E16" s="10">
        <f t="shared" si="4"/>
        <v>2.6111655239960813E-2</v>
      </c>
      <c r="F16" s="10">
        <f t="shared" si="5"/>
        <v>9.1618482901538734E-3</v>
      </c>
      <c r="G16" s="10">
        <f t="shared" si="6"/>
        <v>-3.8883447600391863E-3</v>
      </c>
      <c r="H16" s="10">
        <f t="shared" si="7"/>
        <v>9.6599460118009628E-2</v>
      </c>
      <c r="J16" s="10" t="s">
        <v>66</v>
      </c>
      <c r="K16" s="8">
        <f t="shared" si="8"/>
        <v>0.1374423195371427</v>
      </c>
      <c r="L16" s="8">
        <f t="shared" si="9"/>
        <v>0.20925225438211356</v>
      </c>
      <c r="M16" s="8">
        <f t="shared" si="10"/>
        <v>0.17469392752203722</v>
      </c>
      <c r="N16" s="8">
        <f t="shared" si="11"/>
        <v>0.1718184534051331</v>
      </c>
      <c r="O16" s="8">
        <f t="shared" si="12"/>
        <v>0.21514936336924584</v>
      </c>
      <c r="P16" s="8">
        <f t="shared" si="13"/>
        <v>0.13903752896490768</v>
      </c>
    </row>
    <row r="17" spans="2:16" x14ac:dyDescent="0.3">
      <c r="B17" s="10" t="s">
        <v>63</v>
      </c>
      <c r="C17" s="10">
        <f t="shared" si="2"/>
        <v>5.7489545374588835E-2</v>
      </c>
      <c r="D17" s="10">
        <f t="shared" si="3"/>
        <v>-0.19419904332075416</v>
      </c>
      <c r="E17" s="10">
        <f t="shared" si="4"/>
        <v>-3.2819732975926608E-2</v>
      </c>
      <c r="F17" s="10">
        <f t="shared" si="5"/>
        <v>-1.6526296682490282E-2</v>
      </c>
      <c r="G17" s="10">
        <f t="shared" si="6"/>
        <v>-0.12781973297592658</v>
      </c>
      <c r="H17" s="10">
        <f t="shared" si="7"/>
        <v>2.8887584097244123E-2</v>
      </c>
      <c r="J17" s="10" t="s">
        <v>63</v>
      </c>
      <c r="K17" s="8">
        <f t="shared" si="8"/>
        <v>0.67456135479403501</v>
      </c>
      <c r="L17" s="8">
        <f t="shared" si="9"/>
        <v>0.7885309143201481</v>
      </c>
      <c r="M17" s="8">
        <f t="shared" si="10"/>
        <v>0.71545517810196402</v>
      </c>
      <c r="N17" s="8">
        <f t="shared" si="11"/>
        <v>0.70807718863030988</v>
      </c>
      <c r="O17" s="8">
        <f t="shared" si="12"/>
        <v>0.75847305273467702</v>
      </c>
      <c r="P17" s="8">
        <f t="shared" si="13"/>
        <v>0.68751288726223003</v>
      </c>
    </row>
    <row r="18" spans="2:16" x14ac:dyDescent="0.3">
      <c r="J18" s="12" t="s">
        <v>174</v>
      </c>
      <c r="K18" s="11">
        <f>SUM(K11:K17)</f>
        <v>0.9091127159812149</v>
      </c>
      <c r="L18" s="11">
        <f t="shared" ref="L18:P18" si="14">SUM(L11:L17)</f>
        <v>1.1326199270847592</v>
      </c>
      <c r="M18" s="11">
        <f t="shared" si="14"/>
        <v>1.0238358936027629</v>
      </c>
      <c r="N18" s="11">
        <f t="shared" si="14"/>
        <v>1.0188646132895836</v>
      </c>
      <c r="O18" s="11">
        <f t="shared" si="14"/>
        <v>1.1176068998401978</v>
      </c>
      <c r="P18" s="11">
        <f t="shared" si="14"/>
        <v>0.91074140733932729</v>
      </c>
    </row>
    <row r="19" spans="2:16" x14ac:dyDescent="0.3">
      <c r="J19" s="13" t="s">
        <v>175</v>
      </c>
      <c r="K19" s="14">
        <f>1-K18</f>
        <v>9.0887284018785097E-2</v>
      </c>
      <c r="L19" s="14">
        <f t="shared" ref="L19:P19" si="15">1-L18</f>
        <v>-0.13261992708475923</v>
      </c>
      <c r="M19" s="14">
        <f t="shared" si="15"/>
        <v>-2.3835893602762948E-2</v>
      </c>
      <c r="N19" s="14">
        <f t="shared" si="15"/>
        <v>-1.8864613289583554E-2</v>
      </c>
      <c r="O19" s="14">
        <f t="shared" si="15"/>
        <v>-0.11760689984019779</v>
      </c>
      <c r="P19" s="14">
        <f t="shared" si="15"/>
        <v>8.9258592660672709E-2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0B41-D32C-449E-94DA-72DB2FD9FF30}">
  <dimension ref="A1:P17"/>
  <sheetViews>
    <sheetView topLeftCell="C1" workbookViewId="0">
      <selection activeCell="Y9" sqref="Y9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71</v>
      </c>
      <c r="B2" s="9">
        <v>1.2481681114781788E-2</v>
      </c>
      <c r="C2" s="9">
        <v>1.4669926650366748E-2</v>
      </c>
      <c r="D2" s="9">
        <v>5.0000000000000001E-3</v>
      </c>
      <c r="E2" s="9">
        <v>4.1841004184100415E-3</v>
      </c>
      <c r="F2" s="9">
        <v>1.5957446808510637E-2</v>
      </c>
      <c r="G2" s="9">
        <v>1.4234875444839857E-2</v>
      </c>
      <c r="H2" s="9">
        <v>3.2786885245901641E-2</v>
      </c>
      <c r="I2" s="10">
        <v>1.2481681114781788E-2</v>
      </c>
      <c r="J2" s="9">
        <v>1.2481681114781788E-2</v>
      </c>
      <c r="K2" s="9">
        <v>1.4669926650366748E-2</v>
      </c>
      <c r="L2" s="9">
        <v>5.0000000000000001E-3</v>
      </c>
      <c r="M2" s="9">
        <v>4.1841004184100415E-3</v>
      </c>
      <c r="N2" s="9">
        <v>1.5957446808510637E-2</v>
      </c>
      <c r="O2" s="9">
        <v>1.4234875444839857E-2</v>
      </c>
      <c r="P2" s="9">
        <v>3.2786885245901641E-2</v>
      </c>
    </row>
    <row r="3" spans="1:16" x14ac:dyDescent="0.3">
      <c r="A3" s="10" t="s">
        <v>74</v>
      </c>
      <c r="B3" s="9">
        <v>1.4477094148720369E-2</v>
      </c>
      <c r="C3" s="9">
        <v>2.9339853300733496E-2</v>
      </c>
      <c r="D3" s="9">
        <v>0.01</v>
      </c>
      <c r="E3" s="9">
        <v>2.9288702928870293E-2</v>
      </c>
      <c r="F3" s="9">
        <v>1.5957446808510637E-2</v>
      </c>
      <c r="G3" s="9">
        <v>1.1862396204033215E-2</v>
      </c>
      <c r="H3" s="9">
        <v>1.092896174863388E-2</v>
      </c>
      <c r="I3" s="10">
        <v>2.6958775263502155E-2</v>
      </c>
      <c r="J3" s="10">
        <f>J2+B3</f>
        <v>2.6958775263502155E-2</v>
      </c>
      <c r="K3" s="10">
        <f t="shared" ref="K3:P7" si="0">K2+C3</f>
        <v>4.4009779951100246E-2</v>
      </c>
      <c r="L3" s="10">
        <f t="shared" si="0"/>
        <v>1.4999999999999999E-2</v>
      </c>
      <c r="M3" s="10">
        <f t="shared" si="0"/>
        <v>3.3472803347280332E-2</v>
      </c>
      <c r="N3" s="10">
        <f t="shared" si="0"/>
        <v>3.1914893617021274E-2</v>
      </c>
      <c r="O3" s="10">
        <f t="shared" si="0"/>
        <v>2.6097271648873072E-2</v>
      </c>
      <c r="P3" s="10">
        <f t="shared" si="0"/>
        <v>4.3715846994535519E-2</v>
      </c>
    </row>
    <row r="4" spans="1:16" x14ac:dyDescent="0.3">
      <c r="A4" s="10" t="s">
        <v>75</v>
      </c>
      <c r="B4" s="9">
        <v>3.6844763489737281E-2</v>
      </c>
      <c r="C4" s="9">
        <v>2.9339853300733496E-2</v>
      </c>
      <c r="D4" s="9">
        <v>0.03</v>
      </c>
      <c r="E4" s="9">
        <v>2.5104602510460251E-2</v>
      </c>
      <c r="F4" s="9">
        <v>1.1968085106382979E-2</v>
      </c>
      <c r="G4" s="9">
        <v>1.3048635824436536E-2</v>
      </c>
      <c r="H4" s="9">
        <v>4.6448087431693992E-2</v>
      </c>
      <c r="I4" s="10">
        <v>6.3803538753239436E-2</v>
      </c>
      <c r="J4" s="10">
        <f t="shared" ref="J4:J7" si="1">J3+B4</f>
        <v>6.3803538753239436E-2</v>
      </c>
      <c r="K4" s="10">
        <f t="shared" si="0"/>
        <v>7.3349633251833746E-2</v>
      </c>
      <c r="L4" s="10">
        <f t="shared" si="0"/>
        <v>4.4999999999999998E-2</v>
      </c>
      <c r="M4" s="10">
        <f t="shared" si="0"/>
        <v>5.8577405857740586E-2</v>
      </c>
      <c r="N4" s="10">
        <f t="shared" si="0"/>
        <v>4.3882978723404256E-2</v>
      </c>
      <c r="O4" s="10">
        <f t="shared" si="0"/>
        <v>3.9145907473309607E-2</v>
      </c>
      <c r="P4" s="10">
        <f t="shared" si="0"/>
        <v>9.0163934426229511E-2</v>
      </c>
    </row>
    <row r="5" spans="1:16" x14ac:dyDescent="0.3">
      <c r="A5" s="10" t="s">
        <v>73</v>
      </c>
      <c r="B5" s="9">
        <v>6.0441971567434194E-2</v>
      </c>
      <c r="C5" s="9">
        <v>3.1784841075794622E-2</v>
      </c>
      <c r="D5" s="9">
        <v>0.115</v>
      </c>
      <c r="E5" s="9">
        <v>7.9497907949790794E-2</v>
      </c>
      <c r="F5" s="9">
        <v>6.1170212765957445E-2</v>
      </c>
      <c r="G5" s="9">
        <v>7.8291814946619215E-2</v>
      </c>
      <c r="H5" s="9">
        <v>7.650273224043716E-2</v>
      </c>
      <c r="I5" s="10">
        <v>0.12424551032067363</v>
      </c>
      <c r="J5" s="10">
        <f t="shared" si="1"/>
        <v>0.12424551032067363</v>
      </c>
      <c r="K5" s="10">
        <f t="shared" si="0"/>
        <v>0.10513447432762837</v>
      </c>
      <c r="L5" s="10">
        <f t="shared" si="0"/>
        <v>0.16</v>
      </c>
      <c r="M5" s="10">
        <f t="shared" si="0"/>
        <v>0.13807531380753138</v>
      </c>
      <c r="N5" s="10">
        <f t="shared" si="0"/>
        <v>0.10505319148936171</v>
      </c>
      <c r="O5" s="10">
        <f t="shared" si="0"/>
        <v>0.11743772241992882</v>
      </c>
      <c r="P5" s="10">
        <f t="shared" si="0"/>
        <v>0.16666666666666669</v>
      </c>
    </row>
    <row r="6" spans="1:16" x14ac:dyDescent="0.3">
      <c r="A6" s="10" t="s">
        <v>72</v>
      </c>
      <c r="B6" s="9">
        <v>0.17264876590741615</v>
      </c>
      <c r="C6" s="9">
        <v>0.23960880195599021</v>
      </c>
      <c r="D6" s="9">
        <v>0.28499999999999998</v>
      </c>
      <c r="E6" s="9">
        <v>0.13807531380753138</v>
      </c>
      <c r="F6" s="9">
        <v>0.16622340425531915</v>
      </c>
      <c r="G6" s="9">
        <v>0.15658362989323843</v>
      </c>
      <c r="H6" s="9">
        <v>0.17486338797814208</v>
      </c>
      <c r="I6" s="10">
        <v>0.29689427622808978</v>
      </c>
      <c r="J6" s="10">
        <f t="shared" si="1"/>
        <v>0.29689427622808978</v>
      </c>
      <c r="K6" s="10">
        <f t="shared" si="0"/>
        <v>0.34474327628361856</v>
      </c>
      <c r="L6" s="10">
        <f t="shared" si="0"/>
        <v>0.44499999999999995</v>
      </c>
      <c r="M6" s="10">
        <f t="shared" si="0"/>
        <v>0.27615062761506276</v>
      </c>
      <c r="N6" s="10">
        <f t="shared" si="0"/>
        <v>0.27127659574468088</v>
      </c>
      <c r="O6" s="10">
        <f t="shared" si="0"/>
        <v>0.27402135231316727</v>
      </c>
      <c r="P6" s="10">
        <f t="shared" si="0"/>
        <v>0.34153005464480879</v>
      </c>
    </row>
    <row r="7" spans="1:16" x14ac:dyDescent="0.3">
      <c r="A7" s="10" t="s">
        <v>70</v>
      </c>
      <c r="B7" s="9">
        <v>0.70310572377191016</v>
      </c>
      <c r="C7" s="9">
        <v>0.65525672371638144</v>
      </c>
      <c r="D7" s="9">
        <v>0.55500000000000005</v>
      </c>
      <c r="E7" s="9">
        <v>0.72384937238493718</v>
      </c>
      <c r="F7" s="9">
        <v>0.72872340425531912</v>
      </c>
      <c r="G7" s="9">
        <v>0.72597864768683273</v>
      </c>
      <c r="H7" s="9">
        <v>0.65846994535519121</v>
      </c>
      <c r="I7" s="10">
        <v>1</v>
      </c>
      <c r="J7" s="10">
        <f t="shared" si="1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8"/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71</v>
      </c>
      <c r="C10" s="10">
        <f>C2-B2</f>
        <v>2.1882455355849602E-3</v>
      </c>
      <c r="D10" s="10">
        <f>D2-B2</f>
        <v>-7.4816811147817878E-3</v>
      </c>
      <c r="E10" s="10">
        <f>E2-B2</f>
        <v>-8.2975806963717473E-3</v>
      </c>
      <c r="F10" s="10">
        <f>F2-B2</f>
        <v>3.4757656937288491E-3</v>
      </c>
      <c r="G10" s="10">
        <f>G2-B2</f>
        <v>1.753194330058069E-3</v>
      </c>
      <c r="H10" s="10">
        <f>H2-B2</f>
        <v>2.0305204131119851E-2</v>
      </c>
      <c r="J10" s="10" t="s">
        <v>71</v>
      </c>
      <c r="K10" s="8">
        <f>(J2-0) * ((K2+0))</f>
        <v>1.8310534642711671E-4</v>
      </c>
      <c r="L10" s="8">
        <f>(J2-0) * ((L2+0))</f>
        <v>6.2408405573908946E-5</v>
      </c>
      <c r="M10" s="8">
        <f>(J2-0) * ((M2+0))</f>
        <v>5.2224607174819191E-5</v>
      </c>
      <c r="N10" s="8">
        <f>(J2-0) * ((N2+0))</f>
        <v>1.9917576246992214E-4</v>
      </c>
      <c r="O10" s="8">
        <f>(J2-0) * ((O2+0))</f>
        <v>1.7767517601112865E-4</v>
      </c>
      <c r="P10" s="8">
        <f>(J2-0) * ((P2+0))</f>
        <v>4.0923544638628816E-4</v>
      </c>
    </row>
    <row r="11" spans="1:16" x14ac:dyDescent="0.3">
      <c r="B11" s="10" t="s">
        <v>74</v>
      </c>
      <c r="C11" s="10">
        <f t="shared" ref="C11:C15" si="2">C3-B3</f>
        <v>1.4862759152013127E-2</v>
      </c>
      <c r="D11" s="10">
        <f t="shared" ref="D11:D15" si="3">D3-B3</f>
        <v>-4.4770941487203685E-3</v>
      </c>
      <c r="E11" s="10">
        <f t="shared" ref="E11:E15" si="4">E3-B3</f>
        <v>1.4811608780149924E-2</v>
      </c>
      <c r="F11" s="10">
        <f t="shared" ref="F11:F15" si="5">F3-B3</f>
        <v>1.4803526597902683E-3</v>
      </c>
      <c r="G11" s="10">
        <f t="shared" ref="G11:G15" si="6">G3-B3</f>
        <v>-2.6146979446871541E-3</v>
      </c>
      <c r="H11" s="10">
        <f t="shared" ref="H11:H15" si="7">H3-B3</f>
        <v>-3.548132400086489E-3</v>
      </c>
      <c r="J11" s="10" t="s">
        <v>74</v>
      </c>
      <c r="K11" s="8">
        <f>(J3-J2) * ((K3+K2))</f>
        <v>8.4951163708872569E-4</v>
      </c>
      <c r="L11" s="8">
        <f>(J3-J2) * ((L3+L2))</f>
        <v>2.8954188297440733E-4</v>
      </c>
      <c r="M11" s="8">
        <f>(J3-J2) * ((M3+M2))</f>
        <v>5.4516254116520203E-4</v>
      </c>
      <c r="N11" s="8">
        <f>(J3-J2) * ((N3+N2))</f>
        <v>6.9305237946001754E-4</v>
      </c>
      <c r="O11" s="8">
        <f>(J3-J2) * ((O3+O2))</f>
        <v>5.8389229069572056E-4</v>
      </c>
      <c r="P11" s="8">
        <f>(J3-J2) * ((P3+P2))</f>
        <v>1.1075372572791537E-3</v>
      </c>
    </row>
    <row r="12" spans="1:16" x14ac:dyDescent="0.3">
      <c r="B12" s="10" t="s">
        <v>75</v>
      </c>
      <c r="C12" s="10">
        <f t="shared" si="2"/>
        <v>-7.5049101890037849E-3</v>
      </c>
      <c r="D12" s="10">
        <f t="shared" si="3"/>
        <v>-6.8447634897372822E-3</v>
      </c>
      <c r="E12" s="10">
        <f t="shared" si="4"/>
        <v>-1.174016097927703E-2</v>
      </c>
      <c r="F12" s="10">
        <f t="shared" si="5"/>
        <v>-2.4876678383354302E-2</v>
      </c>
      <c r="G12" s="10">
        <f t="shared" si="6"/>
        <v>-2.3796127665300745E-2</v>
      </c>
      <c r="H12" s="10">
        <f t="shared" si="7"/>
        <v>9.603323941956711E-3</v>
      </c>
      <c r="J12" s="10" t="s">
        <v>75</v>
      </c>
      <c r="K12" s="8">
        <f t="shared" ref="K12:K15" si="8">(J4-J3) * ((K4+K3))</f>
        <v>4.3240798227564539E-3</v>
      </c>
      <c r="L12" s="8">
        <f t="shared" ref="L12:L15" si="9">(J4-J3) * ((L4+L3))</f>
        <v>2.2106858093842367E-3</v>
      </c>
      <c r="M12" s="8">
        <f t="shared" ref="M12:M15" si="10">(J4-J3) * ((M4+M3))</f>
        <v>3.3915681873398331E-3</v>
      </c>
      <c r="N12" s="8">
        <f t="shared" ref="N12:N15" si="11">(J4-J3) * ((N4+N3))</f>
        <v>2.7927546794082781E-3</v>
      </c>
      <c r="O12" s="8">
        <f t="shared" ref="O12:O15" si="12">(J4-J3) * ((O4+O3))</f>
        <v>2.4038695040753859E-3</v>
      </c>
      <c r="P12" s="8">
        <f t="shared" ref="P12:P15" si="13">(J4-J3) * ((P4+P3))</f>
        <v>4.9327688825058112E-3</v>
      </c>
    </row>
    <row r="13" spans="1:16" x14ac:dyDescent="0.3">
      <c r="B13" s="10" t="s">
        <v>73</v>
      </c>
      <c r="C13" s="10">
        <f t="shared" si="2"/>
        <v>-2.8657130491639572E-2</v>
      </c>
      <c r="D13" s="10">
        <f t="shared" si="3"/>
        <v>5.4558028432565811E-2</v>
      </c>
      <c r="E13" s="10">
        <f t="shared" si="4"/>
        <v>1.90559363823566E-2</v>
      </c>
      <c r="F13" s="10">
        <f t="shared" si="5"/>
        <v>7.2824119852325092E-4</v>
      </c>
      <c r="G13" s="10">
        <f t="shared" si="6"/>
        <v>1.7849843379185021E-2</v>
      </c>
      <c r="H13" s="10">
        <f t="shared" si="7"/>
        <v>1.6060760673002966E-2</v>
      </c>
      <c r="J13" s="10" t="s">
        <v>73</v>
      </c>
      <c r="K13" s="8">
        <f t="shared" si="8"/>
        <v>1.0787931355556715E-2</v>
      </c>
      <c r="L13" s="8">
        <f t="shared" si="9"/>
        <v>1.239060417132401E-2</v>
      </c>
      <c r="M13" s="8">
        <f t="shared" si="10"/>
        <v>1.1886078090666977E-2</v>
      </c>
      <c r="N13" s="8">
        <f t="shared" si="11"/>
        <v>9.0019957653625395E-3</v>
      </c>
      <c r="O13" s="8">
        <f t="shared" si="12"/>
        <v>9.4642233059327556E-3</v>
      </c>
      <c r="P13" s="8">
        <f t="shared" si="13"/>
        <v>1.5523347888903865E-2</v>
      </c>
    </row>
    <row r="14" spans="1:16" x14ac:dyDescent="0.3">
      <c r="B14" s="10" t="s">
        <v>72</v>
      </c>
      <c r="C14" s="10">
        <f t="shared" si="2"/>
        <v>6.6960036048574062E-2</v>
      </c>
      <c r="D14" s="10">
        <f t="shared" si="3"/>
        <v>0.11235123409258382</v>
      </c>
      <c r="E14" s="10">
        <f t="shared" si="4"/>
        <v>-3.4573452099884772E-2</v>
      </c>
      <c r="F14" s="10">
        <f t="shared" si="5"/>
        <v>-6.4253616520970058E-3</v>
      </c>
      <c r="G14" s="10">
        <f t="shared" si="6"/>
        <v>-1.6065136014177722E-2</v>
      </c>
      <c r="H14" s="10">
        <f t="shared" si="7"/>
        <v>2.2146220707259245E-3</v>
      </c>
      <c r="J14" s="10" t="s">
        <v>72</v>
      </c>
      <c r="K14" s="8">
        <f t="shared" si="8"/>
        <v>7.7670838452236116E-2</v>
      </c>
      <c r="L14" s="8">
        <f t="shared" si="9"/>
        <v>0.10445250337398677</v>
      </c>
      <c r="M14" s="8">
        <f t="shared" si="10"/>
        <v>7.1515597593448541E-2</v>
      </c>
      <c r="N14" s="8">
        <f t="shared" si="11"/>
        <v>6.4972873340157944E-2</v>
      </c>
      <c r="O14" s="8">
        <f t="shared" si="12"/>
        <v>6.7584926155928038E-2</v>
      </c>
      <c r="P14" s="8">
        <f t="shared" si="13"/>
        <v>8.7739536772621349E-2</v>
      </c>
    </row>
    <row r="15" spans="1:16" x14ac:dyDescent="0.3">
      <c r="B15" s="10" t="s">
        <v>70</v>
      </c>
      <c r="C15" s="10">
        <f t="shared" si="2"/>
        <v>-4.7849000055528723E-2</v>
      </c>
      <c r="D15" s="10">
        <f t="shared" si="3"/>
        <v>-0.14810572377191011</v>
      </c>
      <c r="E15" s="10">
        <f t="shared" si="4"/>
        <v>2.0743648613027021E-2</v>
      </c>
      <c r="F15" s="10">
        <f t="shared" si="5"/>
        <v>2.5617680483408956E-2</v>
      </c>
      <c r="G15" s="10">
        <f t="shared" si="6"/>
        <v>2.2872923914922572E-2</v>
      </c>
      <c r="H15" s="10">
        <f t="shared" si="7"/>
        <v>-4.4635778416718952E-2</v>
      </c>
      <c r="J15" s="10" t="s">
        <v>70</v>
      </c>
      <c r="K15" s="8">
        <f t="shared" si="8"/>
        <v>0.94549669455880347</v>
      </c>
      <c r="L15" s="8">
        <f t="shared" si="9"/>
        <v>1.0159877708504101</v>
      </c>
      <c r="M15" s="8">
        <f t="shared" si="10"/>
        <v>0.89726881067126618</v>
      </c>
      <c r="N15" s="8">
        <f t="shared" si="11"/>
        <v>0.89384185096535407</v>
      </c>
      <c r="O15" s="8">
        <f t="shared" si="12"/>
        <v>0.89577170501901748</v>
      </c>
      <c r="P15" s="8">
        <f t="shared" si="13"/>
        <v>0.94323746003280862</v>
      </c>
    </row>
    <row r="16" spans="1:16" x14ac:dyDescent="0.3">
      <c r="J16" s="12" t="s">
        <v>174</v>
      </c>
      <c r="K16" s="11">
        <f t="shared" ref="K16:P16" si="14">SUM(K10:K15)</f>
        <v>1.0393121611728686</v>
      </c>
      <c r="L16" s="11">
        <f t="shared" si="14"/>
        <v>1.1353935144936536</v>
      </c>
      <c r="M16" s="11">
        <f t="shared" si="14"/>
        <v>0.98465944169106157</v>
      </c>
      <c r="N16" s="11">
        <f t="shared" si="14"/>
        <v>0.97150170289221283</v>
      </c>
      <c r="O16" s="11">
        <f t="shared" si="14"/>
        <v>0.97598629145166049</v>
      </c>
      <c r="P16" s="11">
        <f t="shared" si="14"/>
        <v>1.0529498862805051</v>
      </c>
    </row>
    <row r="17" spans="10:16" x14ac:dyDescent="0.3">
      <c r="J17" s="13" t="s">
        <v>175</v>
      </c>
      <c r="K17" s="14">
        <f>1-K16</f>
        <v>-3.931216117286862E-2</v>
      </c>
      <c r="L17" s="14">
        <f t="shared" ref="L17:P17" si="15">1-L16</f>
        <v>-0.13539351449365356</v>
      </c>
      <c r="M17" s="14">
        <f t="shared" si="15"/>
        <v>1.5340558308938435E-2</v>
      </c>
      <c r="N17" s="14">
        <f t="shared" si="15"/>
        <v>2.8498297107787174E-2</v>
      </c>
      <c r="O17" s="14">
        <f t="shared" si="15"/>
        <v>2.4013708548339507E-2</v>
      </c>
      <c r="P17" s="14">
        <f t="shared" si="15"/>
        <v>-5.2949886280505121E-2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94A7-A479-4808-9940-DD0818B6178B}">
  <dimension ref="A1:P69"/>
  <sheetViews>
    <sheetView topLeftCell="G1" zoomScale="87" workbookViewId="0">
      <selection activeCell="N1" activeCellId="1" sqref="I1:J33 N1:P33"/>
    </sheetView>
  </sheetViews>
  <sheetFormatPr defaultRowHeight="14.4" x14ac:dyDescent="0.3"/>
  <cols>
    <col min="11" max="16" width="12" bestFit="1" customWidth="1"/>
  </cols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103</v>
      </c>
      <c r="B2" s="9">
        <v>2.5474740236474383E-3</v>
      </c>
      <c r="C2" s="9">
        <v>6.2893081761006293E-3</v>
      </c>
      <c r="D2" s="9">
        <v>0</v>
      </c>
      <c r="E2" s="9">
        <v>3.1545741324921135E-3</v>
      </c>
      <c r="F2" s="9">
        <v>4.827586206896552E-3</v>
      </c>
      <c r="G2" s="9">
        <v>4.5317220543806651E-3</v>
      </c>
      <c r="H2" s="9">
        <v>8.7873462214411256E-3</v>
      </c>
      <c r="I2" s="10">
        <v>2.5474740236474383E-3</v>
      </c>
      <c r="J2" s="9">
        <v>2.5474740236474383E-3</v>
      </c>
      <c r="K2" s="9">
        <v>6.2893081761006293E-3</v>
      </c>
      <c r="L2" s="9">
        <v>0</v>
      </c>
      <c r="M2" s="9">
        <v>3.1545741324921135E-3</v>
      </c>
      <c r="N2" s="9">
        <v>4.827586206896552E-3</v>
      </c>
      <c r="O2" s="9">
        <v>4.5317220543806651E-3</v>
      </c>
      <c r="P2" s="9">
        <v>8.7873462214411256E-3</v>
      </c>
    </row>
    <row r="3" spans="1:16" x14ac:dyDescent="0.3">
      <c r="A3" s="10" t="s">
        <v>100</v>
      </c>
      <c r="B3" s="9">
        <v>4.9140093156574702E-3</v>
      </c>
      <c r="C3" s="9">
        <v>1.10062893081761E-2</v>
      </c>
      <c r="D3" s="9">
        <v>1.7793594306049821E-3</v>
      </c>
      <c r="E3" s="9">
        <v>3.1545741324921135E-3</v>
      </c>
      <c r="F3" s="9">
        <v>6.8965517241379309E-3</v>
      </c>
      <c r="G3" s="9">
        <v>9.0634441087613302E-3</v>
      </c>
      <c r="H3" s="9">
        <v>3.5149384885764497E-3</v>
      </c>
      <c r="I3" s="10">
        <v>7.4614833393049085E-3</v>
      </c>
      <c r="J3" s="10">
        <f>J2+B3</f>
        <v>7.4614833393049085E-3</v>
      </c>
      <c r="K3" s="10">
        <f t="shared" ref="K3:P7" si="0">K2+C3</f>
        <v>1.7295597484276729E-2</v>
      </c>
      <c r="L3" s="10">
        <f t="shared" si="0"/>
        <v>1.7793594306049821E-3</v>
      </c>
      <c r="M3" s="10">
        <f t="shared" si="0"/>
        <v>6.3091482649842269E-3</v>
      </c>
      <c r="N3" s="10">
        <f t="shared" si="0"/>
        <v>1.1724137931034483E-2</v>
      </c>
      <c r="O3" s="10">
        <f t="shared" si="0"/>
        <v>1.3595166163141995E-2</v>
      </c>
      <c r="P3" s="10">
        <f t="shared" si="0"/>
        <v>1.2302284710017576E-2</v>
      </c>
    </row>
    <row r="4" spans="1:16" x14ac:dyDescent="0.3">
      <c r="A4" s="10" t="s">
        <v>86</v>
      </c>
      <c r="B4" s="9">
        <v>6.601576495879613E-3</v>
      </c>
      <c r="C4" s="9">
        <v>8.6477987421383646E-3</v>
      </c>
      <c r="D4" s="9">
        <v>1.601423487544484E-2</v>
      </c>
      <c r="E4" s="9">
        <v>9.4637223974763408E-3</v>
      </c>
      <c r="F4" s="9">
        <v>1.6551724137931035E-2</v>
      </c>
      <c r="G4" s="9">
        <v>9.0634441087613302E-3</v>
      </c>
      <c r="H4" s="9">
        <v>1.7574692442882249E-3</v>
      </c>
      <c r="I4" s="10">
        <v>1.4063059835184522E-2</v>
      </c>
      <c r="J4" s="10">
        <f t="shared" ref="J4:J7" si="1">J3+B4</f>
        <v>1.4063059835184522E-2</v>
      </c>
      <c r="K4" s="10">
        <f t="shared" si="0"/>
        <v>2.5943396226415096E-2</v>
      </c>
      <c r="L4" s="10">
        <f t="shared" si="0"/>
        <v>1.7793594306049824E-2</v>
      </c>
      <c r="M4" s="10">
        <f t="shared" si="0"/>
        <v>1.5772870662460567E-2</v>
      </c>
      <c r="N4" s="10">
        <f t="shared" si="0"/>
        <v>2.827586206896552E-2</v>
      </c>
      <c r="O4" s="10">
        <f t="shared" si="0"/>
        <v>2.2658610271903325E-2</v>
      </c>
      <c r="P4" s="10">
        <f t="shared" si="0"/>
        <v>1.4059753954305801E-2</v>
      </c>
    </row>
    <row r="5" spans="1:16" x14ac:dyDescent="0.3">
      <c r="A5" s="10" t="s">
        <v>105</v>
      </c>
      <c r="B5" s="9">
        <v>7.3754926549623795E-3</v>
      </c>
      <c r="C5" s="9">
        <v>5.50314465408805E-3</v>
      </c>
      <c r="D5" s="9">
        <v>5.3380782918149468E-3</v>
      </c>
      <c r="E5" s="9">
        <v>3.1545741324921135E-3</v>
      </c>
      <c r="F5" s="9">
        <v>4.1379310344827587E-3</v>
      </c>
      <c r="G5" s="9">
        <v>3.0211480362537764E-3</v>
      </c>
      <c r="H5" s="9">
        <v>7.0298769771528994E-3</v>
      </c>
      <c r="I5" s="10">
        <v>2.1438552490146902E-2</v>
      </c>
      <c r="J5" s="10">
        <f t="shared" si="1"/>
        <v>2.1438552490146902E-2</v>
      </c>
      <c r="K5" s="10">
        <f t="shared" si="0"/>
        <v>3.1446540880503145E-2</v>
      </c>
      <c r="L5" s="10">
        <f t="shared" si="0"/>
        <v>2.3131672597864771E-2</v>
      </c>
      <c r="M5" s="10">
        <f t="shared" si="0"/>
        <v>1.8927444794952682E-2</v>
      </c>
      <c r="N5" s="10">
        <f t="shared" si="0"/>
        <v>3.2413793103448281E-2</v>
      </c>
      <c r="O5" s="10">
        <f t="shared" si="0"/>
        <v>2.5679758308157101E-2</v>
      </c>
      <c r="P5" s="10">
        <f t="shared" si="0"/>
        <v>2.10896309314587E-2</v>
      </c>
    </row>
    <row r="6" spans="1:16" x14ac:dyDescent="0.3">
      <c r="A6" s="10" t="s">
        <v>97</v>
      </c>
      <c r="B6" s="9">
        <v>8.4682909351486927E-3</v>
      </c>
      <c r="C6" s="9">
        <v>8.6477987421383646E-3</v>
      </c>
      <c r="D6" s="9">
        <v>0</v>
      </c>
      <c r="E6" s="9">
        <v>0</v>
      </c>
      <c r="F6" s="9">
        <v>4.827586206896552E-3</v>
      </c>
      <c r="G6" s="9">
        <v>2.3413897280966767E-2</v>
      </c>
      <c r="H6" s="9">
        <v>2.6362038664323375E-2</v>
      </c>
      <c r="I6" s="10">
        <v>2.9906843425295593E-2</v>
      </c>
      <c r="J6" s="10">
        <f t="shared" si="1"/>
        <v>2.9906843425295593E-2</v>
      </c>
      <c r="K6" s="10">
        <f t="shared" si="0"/>
        <v>4.0094339622641507E-2</v>
      </c>
      <c r="L6" s="10">
        <f t="shared" si="0"/>
        <v>2.3131672597864771E-2</v>
      </c>
      <c r="M6" s="10">
        <f t="shared" si="0"/>
        <v>1.8927444794952682E-2</v>
      </c>
      <c r="N6" s="10">
        <f t="shared" si="0"/>
        <v>3.7241379310344831E-2</v>
      </c>
      <c r="O6" s="10">
        <f t="shared" si="0"/>
        <v>4.9093655589123868E-2</v>
      </c>
      <c r="P6" s="10">
        <f t="shared" si="0"/>
        <v>4.7451669595782078E-2</v>
      </c>
    </row>
    <row r="7" spans="1:16" x14ac:dyDescent="0.3">
      <c r="A7" s="10" t="s">
        <v>87</v>
      </c>
      <c r="B7" s="9">
        <v>8.4700824077391622E-3</v>
      </c>
      <c r="C7" s="9">
        <v>6.2893081761006293E-3</v>
      </c>
      <c r="D7" s="9">
        <v>1.7793594306049821E-3</v>
      </c>
      <c r="E7" s="9">
        <v>4.7318611987381704E-3</v>
      </c>
      <c r="F7" s="9">
        <v>5.5172413793103444E-3</v>
      </c>
      <c r="G7" s="9">
        <v>9.0634441087613302E-3</v>
      </c>
      <c r="H7" s="9">
        <v>7.0298769771528994E-3</v>
      </c>
      <c r="I7" s="10">
        <v>3.8376925833034758E-2</v>
      </c>
      <c r="J7" s="10">
        <f t="shared" si="1"/>
        <v>3.8376925833034758E-2</v>
      </c>
      <c r="K7" s="10">
        <f t="shared" si="0"/>
        <v>4.6383647798742135E-2</v>
      </c>
      <c r="L7" s="10">
        <f t="shared" si="0"/>
        <v>2.4911032028469754E-2</v>
      </c>
      <c r="M7" s="10">
        <f t="shared" si="0"/>
        <v>2.365930599369085E-2</v>
      </c>
      <c r="N7" s="10">
        <f t="shared" si="0"/>
        <v>4.2758620689655177E-2</v>
      </c>
      <c r="O7" s="10">
        <f t="shared" si="0"/>
        <v>5.8157099697885198E-2</v>
      </c>
      <c r="P7" s="10">
        <f t="shared" si="0"/>
        <v>5.4481546572934976E-2</v>
      </c>
    </row>
    <row r="8" spans="1:16" x14ac:dyDescent="0.3">
      <c r="A8" s="10" t="s">
        <v>107</v>
      </c>
      <c r="B8" s="9">
        <v>9.1347187388032963E-3</v>
      </c>
      <c r="C8" s="9">
        <v>7.8616352201257862E-3</v>
      </c>
      <c r="D8" s="9">
        <v>5.3380782918149468E-3</v>
      </c>
      <c r="E8" s="9">
        <v>4.7318611987381704E-3</v>
      </c>
      <c r="F8" s="9">
        <v>2.2068965517241378E-2</v>
      </c>
      <c r="G8" s="9">
        <v>2.3413897280966767E-2</v>
      </c>
      <c r="H8" s="9">
        <v>2.2847100175746926E-2</v>
      </c>
      <c r="I8" s="10">
        <v>4.7511644571838055E-2</v>
      </c>
      <c r="J8" s="10">
        <f t="shared" ref="J8:J33" si="2">J7+B8</f>
        <v>4.7511644571838055E-2</v>
      </c>
      <c r="K8" s="10">
        <f t="shared" ref="K8:K33" si="3">K7+C8</f>
        <v>5.4245283018867919E-2</v>
      </c>
      <c r="L8" s="10">
        <f t="shared" ref="L8:L33" si="4">L7+D8</f>
        <v>3.0249110320284701E-2</v>
      </c>
      <c r="M8" s="10">
        <f t="shared" ref="M8:M33" si="5">M7+E8</f>
        <v>2.8391167192429019E-2</v>
      </c>
      <c r="N8" s="10">
        <f t="shared" ref="N8:N33" si="6">N7+F8</f>
        <v>6.4827586206896548E-2</v>
      </c>
      <c r="O8" s="10">
        <f t="shared" ref="O8:O33" si="7">O7+G8</f>
        <v>8.1570996978851965E-2</v>
      </c>
      <c r="P8" s="10">
        <f t="shared" ref="P8:P33" si="8">P7+H8</f>
        <v>7.7328646748681895E-2</v>
      </c>
    </row>
    <row r="9" spans="1:16" x14ac:dyDescent="0.3">
      <c r="A9" s="10" t="s">
        <v>102</v>
      </c>
      <c r="B9" s="9">
        <v>9.6112504478681471E-3</v>
      </c>
      <c r="C9" s="9">
        <v>1.179245283018868E-2</v>
      </c>
      <c r="D9" s="9">
        <v>1.4234875444839857E-2</v>
      </c>
      <c r="E9" s="9">
        <v>2.5236593059936908E-2</v>
      </c>
      <c r="F9" s="9">
        <v>1.0344827586206896E-2</v>
      </c>
      <c r="G9" s="9">
        <v>6.7975830815709968E-3</v>
      </c>
      <c r="H9" s="9">
        <v>1.2302284710017574E-2</v>
      </c>
      <c r="I9" s="10">
        <v>5.7122895019706202E-2</v>
      </c>
      <c r="J9" s="10">
        <f t="shared" si="2"/>
        <v>5.7122895019706202E-2</v>
      </c>
      <c r="K9" s="10">
        <f t="shared" si="3"/>
        <v>6.6037735849056603E-2</v>
      </c>
      <c r="L9" s="10">
        <f t="shared" si="4"/>
        <v>4.4483985765124558E-2</v>
      </c>
      <c r="M9" s="10">
        <f t="shared" si="5"/>
        <v>5.362776025236593E-2</v>
      </c>
      <c r="N9" s="10">
        <f t="shared" si="6"/>
        <v>7.5172413793103438E-2</v>
      </c>
      <c r="O9" s="10">
        <f t="shared" si="7"/>
        <v>8.836858006042296E-2</v>
      </c>
      <c r="P9" s="10">
        <f t="shared" si="8"/>
        <v>8.9630931458699464E-2</v>
      </c>
    </row>
    <row r="10" spans="1:16" x14ac:dyDescent="0.3">
      <c r="A10" s="10" t="s">
        <v>101</v>
      </c>
      <c r="B10" s="9">
        <v>1.002866356144751E-2</v>
      </c>
      <c r="C10" s="9">
        <v>9.433962264150943E-3</v>
      </c>
      <c r="D10" s="9">
        <v>3.5587188612099642E-3</v>
      </c>
      <c r="E10" s="9">
        <v>3.1545741324921135E-3</v>
      </c>
      <c r="F10" s="9">
        <v>2.1379310344827585E-2</v>
      </c>
      <c r="G10" s="9">
        <v>1.283987915407855E-2</v>
      </c>
      <c r="H10" s="9">
        <v>1.4059753954305799E-2</v>
      </c>
      <c r="I10" s="10">
        <v>6.7151558581153709E-2</v>
      </c>
      <c r="J10" s="10">
        <f t="shared" si="2"/>
        <v>6.7151558581153709E-2</v>
      </c>
      <c r="K10" s="10">
        <f t="shared" si="3"/>
        <v>7.5471698113207544E-2</v>
      </c>
      <c r="L10" s="10">
        <f t="shared" si="4"/>
        <v>4.8042704626334524E-2</v>
      </c>
      <c r="M10" s="10">
        <f t="shared" si="5"/>
        <v>5.6782334384858045E-2</v>
      </c>
      <c r="N10" s="10">
        <f t="shared" si="6"/>
        <v>9.6551724137931019E-2</v>
      </c>
      <c r="O10" s="10">
        <f t="shared" si="7"/>
        <v>0.10120845921450151</v>
      </c>
      <c r="P10" s="10">
        <f t="shared" si="8"/>
        <v>0.10369068541300526</v>
      </c>
    </row>
    <row r="11" spans="1:16" x14ac:dyDescent="0.3">
      <c r="A11" s="10" t="s">
        <v>96</v>
      </c>
      <c r="B11" s="9">
        <v>1.0677176639197421E-2</v>
      </c>
      <c r="C11" s="9">
        <v>1.8867924528301886E-2</v>
      </c>
      <c r="D11" s="9">
        <v>8.8967971530249119E-3</v>
      </c>
      <c r="E11" s="9">
        <v>9.4637223974763408E-3</v>
      </c>
      <c r="F11" s="9">
        <v>6.2068965517241377E-3</v>
      </c>
      <c r="G11" s="9">
        <v>9.0634441087613302E-3</v>
      </c>
      <c r="H11" s="9">
        <v>7.0298769771528994E-3</v>
      </c>
      <c r="I11" s="10">
        <v>7.7828735220351136E-2</v>
      </c>
      <c r="J11" s="10">
        <f t="shared" si="2"/>
        <v>7.7828735220351136E-2</v>
      </c>
      <c r="K11" s="10">
        <f t="shared" si="3"/>
        <v>9.4339622641509427E-2</v>
      </c>
      <c r="L11" s="10">
        <f t="shared" si="4"/>
        <v>5.6939501779359435E-2</v>
      </c>
      <c r="M11" s="10">
        <f t="shared" si="5"/>
        <v>6.6246056782334389E-2</v>
      </c>
      <c r="N11" s="10">
        <f t="shared" si="6"/>
        <v>0.10275862068965516</v>
      </c>
      <c r="O11" s="10">
        <f t="shared" si="7"/>
        <v>0.11027190332326284</v>
      </c>
      <c r="P11" s="10">
        <f t="shared" si="8"/>
        <v>0.11072056239015816</v>
      </c>
    </row>
    <row r="12" spans="1:16" x14ac:dyDescent="0.3">
      <c r="A12" s="10" t="s">
        <v>104</v>
      </c>
      <c r="B12" s="9">
        <v>1.1211035471157291E-2</v>
      </c>
      <c r="C12" s="9">
        <v>1.3364779874213837E-2</v>
      </c>
      <c r="D12" s="9">
        <v>7.1174377224199285E-3</v>
      </c>
      <c r="E12" s="9">
        <v>3.1545741324921135E-3</v>
      </c>
      <c r="F12" s="9">
        <v>1.0344827586206896E-2</v>
      </c>
      <c r="G12" s="9">
        <v>1.3595166163141994E-2</v>
      </c>
      <c r="H12" s="9">
        <v>3.5149384885764497E-3</v>
      </c>
      <c r="I12" s="10">
        <v>8.9039770691508424E-2</v>
      </c>
      <c r="J12" s="10">
        <f t="shared" si="2"/>
        <v>8.9039770691508424E-2</v>
      </c>
      <c r="K12" s="10">
        <f t="shared" si="3"/>
        <v>0.10770440251572326</v>
      </c>
      <c r="L12" s="10">
        <f t="shared" si="4"/>
        <v>6.4056939501779361E-2</v>
      </c>
      <c r="M12" s="10">
        <f t="shared" si="5"/>
        <v>6.9400630914826497E-2</v>
      </c>
      <c r="N12" s="10">
        <f t="shared" si="6"/>
        <v>0.11310344827586205</v>
      </c>
      <c r="O12" s="10">
        <f t="shared" si="7"/>
        <v>0.12386706948640483</v>
      </c>
      <c r="P12" s="10">
        <f t="shared" si="8"/>
        <v>0.11423550087873462</v>
      </c>
    </row>
    <row r="13" spans="1:16" x14ac:dyDescent="0.3">
      <c r="A13" s="10" t="s">
        <v>106</v>
      </c>
      <c r="B13" s="9">
        <v>1.1350770333213902E-2</v>
      </c>
      <c r="C13" s="9">
        <v>1.2578616352201259E-2</v>
      </c>
      <c r="D13" s="9">
        <v>1.2455516014234875E-2</v>
      </c>
      <c r="E13" s="9">
        <v>3.1545741324921135E-3</v>
      </c>
      <c r="F13" s="9">
        <v>8.2758620689655175E-3</v>
      </c>
      <c r="G13" s="9">
        <v>1.5105740181268883E-2</v>
      </c>
      <c r="H13" s="9">
        <v>1.2302284710017574E-2</v>
      </c>
      <c r="I13" s="10">
        <v>0.10039054102472232</v>
      </c>
      <c r="J13" s="10">
        <f t="shared" si="2"/>
        <v>0.10039054102472232</v>
      </c>
      <c r="K13" s="10">
        <f t="shared" si="3"/>
        <v>0.12028301886792452</v>
      </c>
      <c r="L13" s="10">
        <f t="shared" si="4"/>
        <v>7.6512455516014238E-2</v>
      </c>
      <c r="M13" s="10">
        <f t="shared" si="5"/>
        <v>7.2555205047318605E-2</v>
      </c>
      <c r="N13" s="10">
        <f t="shared" si="6"/>
        <v>0.12137931034482757</v>
      </c>
      <c r="O13" s="10">
        <f t="shared" si="7"/>
        <v>0.13897280966767372</v>
      </c>
      <c r="P13" s="10">
        <f t="shared" si="8"/>
        <v>0.1265377855887522</v>
      </c>
    </row>
    <row r="14" spans="1:16" x14ac:dyDescent="0.3">
      <c r="A14" s="10" t="s">
        <v>90</v>
      </c>
      <c r="B14" s="9">
        <v>1.186492296667861E-2</v>
      </c>
      <c r="C14" s="9">
        <v>9.433962264150943E-3</v>
      </c>
      <c r="D14" s="9">
        <v>1.0676156583629894E-2</v>
      </c>
      <c r="E14" s="9">
        <v>4.4164037854889593E-2</v>
      </c>
      <c r="F14" s="9">
        <v>1.9310344827586208E-2</v>
      </c>
      <c r="G14" s="9">
        <v>2.3413897280966767E-2</v>
      </c>
      <c r="H14" s="9">
        <v>1.7574692442882251E-2</v>
      </c>
      <c r="I14" s="10">
        <v>0.11225546399140093</v>
      </c>
      <c r="J14" s="10">
        <f t="shared" si="2"/>
        <v>0.11225546399140093</v>
      </c>
      <c r="K14" s="10">
        <f t="shared" si="3"/>
        <v>0.12971698113207547</v>
      </c>
      <c r="L14" s="10">
        <f t="shared" si="4"/>
        <v>8.7188612099644125E-2</v>
      </c>
      <c r="M14" s="10">
        <f t="shared" si="5"/>
        <v>0.1167192429022082</v>
      </c>
      <c r="N14" s="10">
        <f t="shared" si="6"/>
        <v>0.14068965517241377</v>
      </c>
      <c r="O14" s="10">
        <f t="shared" si="7"/>
        <v>0.16238670694864049</v>
      </c>
      <c r="P14" s="10">
        <f t="shared" si="8"/>
        <v>0.14411247803163446</v>
      </c>
    </row>
    <row r="15" spans="1:16" x14ac:dyDescent="0.3">
      <c r="A15" s="10" t="s">
        <v>83</v>
      </c>
      <c r="B15" s="9">
        <v>1.2228591902543891E-2</v>
      </c>
      <c r="C15" s="9">
        <v>5.50314465408805E-3</v>
      </c>
      <c r="D15" s="9">
        <v>3.5587188612099642E-3</v>
      </c>
      <c r="E15" s="9">
        <v>0</v>
      </c>
      <c r="F15" s="9">
        <v>8.9655172413793099E-3</v>
      </c>
      <c r="G15" s="9">
        <v>1.4350453172205438E-2</v>
      </c>
      <c r="H15" s="9">
        <v>1.054481546572935E-2</v>
      </c>
      <c r="I15" s="10">
        <v>0.12448405589394482</v>
      </c>
      <c r="J15" s="10">
        <f t="shared" si="2"/>
        <v>0.12448405589394482</v>
      </c>
      <c r="K15" s="10">
        <f t="shared" si="3"/>
        <v>0.13522012578616352</v>
      </c>
      <c r="L15" s="10">
        <f t="shared" si="4"/>
        <v>9.0747330960854092E-2</v>
      </c>
      <c r="M15" s="10">
        <f t="shared" si="5"/>
        <v>0.1167192429022082</v>
      </c>
      <c r="N15" s="10">
        <f t="shared" si="6"/>
        <v>0.14965517241379309</v>
      </c>
      <c r="O15" s="10">
        <f t="shared" si="7"/>
        <v>0.17673716012084592</v>
      </c>
      <c r="P15" s="10">
        <f t="shared" si="8"/>
        <v>0.15465729349736382</v>
      </c>
    </row>
    <row r="16" spans="1:16" x14ac:dyDescent="0.3">
      <c r="A16" s="10" t="s">
        <v>91</v>
      </c>
      <c r="B16" s="9">
        <v>1.3233608025797206E-2</v>
      </c>
      <c r="C16" s="9">
        <v>1.6509433962264151E-2</v>
      </c>
      <c r="D16" s="9">
        <v>2.491103202846975E-2</v>
      </c>
      <c r="E16" s="9">
        <v>2.8391167192429023E-2</v>
      </c>
      <c r="F16" s="9">
        <v>2.2068965517241378E-2</v>
      </c>
      <c r="G16" s="9">
        <v>2.7190332326283987E-2</v>
      </c>
      <c r="H16" s="9">
        <v>2.10896309314587E-2</v>
      </c>
      <c r="I16" s="10">
        <v>0.13771766391974202</v>
      </c>
      <c r="J16" s="10">
        <f t="shared" si="2"/>
        <v>0.13771766391974202</v>
      </c>
      <c r="K16" s="10">
        <f t="shared" si="3"/>
        <v>0.15172955974842767</v>
      </c>
      <c r="L16" s="10">
        <f t="shared" si="4"/>
        <v>0.11565836298932385</v>
      </c>
      <c r="M16" s="10">
        <f t="shared" si="5"/>
        <v>0.14511041009463721</v>
      </c>
      <c r="N16" s="10">
        <f t="shared" si="6"/>
        <v>0.17172413793103447</v>
      </c>
      <c r="O16" s="10">
        <f t="shared" si="7"/>
        <v>0.2039274924471299</v>
      </c>
      <c r="P16" s="10">
        <f t="shared" si="8"/>
        <v>0.1757469244288225</v>
      </c>
    </row>
    <row r="17" spans="1:16" x14ac:dyDescent="0.3">
      <c r="A17" s="10" t="s">
        <v>93</v>
      </c>
      <c r="B17" s="9">
        <v>1.7871730562522392E-2</v>
      </c>
      <c r="C17" s="9">
        <v>2.2798742138364778E-2</v>
      </c>
      <c r="D17" s="9">
        <v>3.5587188612099648E-2</v>
      </c>
      <c r="E17" s="9">
        <v>5.2050473186119876E-2</v>
      </c>
      <c r="F17" s="9">
        <v>3.793103448275862E-2</v>
      </c>
      <c r="G17" s="9">
        <v>3.8519637462235648E-2</v>
      </c>
      <c r="H17" s="9">
        <v>2.10896309314587E-2</v>
      </c>
      <c r="I17" s="10">
        <v>0.15558939448226441</v>
      </c>
      <c r="J17" s="10">
        <f t="shared" si="2"/>
        <v>0.15558939448226441</v>
      </c>
      <c r="K17" s="10">
        <f t="shared" si="3"/>
        <v>0.17452830188679244</v>
      </c>
      <c r="L17" s="10">
        <f t="shared" si="4"/>
        <v>0.1512455516014235</v>
      </c>
      <c r="M17" s="10">
        <f t="shared" si="5"/>
        <v>0.19716088328075709</v>
      </c>
      <c r="N17" s="10">
        <f t="shared" si="6"/>
        <v>0.20965517241379308</v>
      </c>
      <c r="O17" s="10">
        <f t="shared" si="7"/>
        <v>0.24244712990936557</v>
      </c>
      <c r="P17" s="10">
        <f t="shared" si="8"/>
        <v>0.19683655536028122</v>
      </c>
    </row>
    <row r="18" spans="1:16" x14ac:dyDescent="0.3">
      <c r="A18" s="10" t="s">
        <v>92</v>
      </c>
      <c r="B18" s="9">
        <v>1.8194195628806878E-2</v>
      </c>
      <c r="C18" s="9">
        <v>2.2798742138364778E-2</v>
      </c>
      <c r="D18" s="9">
        <v>3.5587188612099642E-3</v>
      </c>
      <c r="E18" s="9">
        <v>4.7318611987381704E-3</v>
      </c>
      <c r="F18" s="9">
        <v>6.2068965517241377E-3</v>
      </c>
      <c r="G18" s="9">
        <v>1.5861027190332326E-2</v>
      </c>
      <c r="H18" s="9">
        <v>1.054481546572935E-2</v>
      </c>
      <c r="I18" s="10">
        <v>0.17378359011107131</v>
      </c>
      <c r="J18" s="10">
        <f t="shared" si="2"/>
        <v>0.17378359011107131</v>
      </c>
      <c r="K18" s="10">
        <f t="shared" si="3"/>
        <v>0.19732704402515722</v>
      </c>
      <c r="L18" s="10">
        <f t="shared" si="4"/>
        <v>0.15480427046263345</v>
      </c>
      <c r="M18" s="10">
        <f t="shared" si="5"/>
        <v>0.20189274447949526</v>
      </c>
      <c r="N18" s="10">
        <f t="shared" si="6"/>
        <v>0.21586206896551721</v>
      </c>
      <c r="O18" s="10">
        <f t="shared" si="7"/>
        <v>0.2583081570996979</v>
      </c>
      <c r="P18" s="10">
        <f t="shared" si="8"/>
        <v>0.20738137082601057</v>
      </c>
    </row>
    <row r="19" spans="1:16" x14ac:dyDescent="0.3">
      <c r="A19" s="10" t="s">
        <v>77</v>
      </c>
      <c r="B19" s="9">
        <v>1.8858831959871016E-2</v>
      </c>
      <c r="C19" s="9">
        <v>3.4591194968553458E-2</v>
      </c>
      <c r="D19" s="9">
        <v>5.6939501779359428E-2</v>
      </c>
      <c r="E19" s="9">
        <v>4.7318611987381701E-2</v>
      </c>
      <c r="F19" s="9">
        <v>2.8275862068965516E-2</v>
      </c>
      <c r="G19" s="9">
        <v>1.9637462235649546E-2</v>
      </c>
      <c r="H19" s="9">
        <v>2.9876977152899824E-2</v>
      </c>
      <c r="I19" s="10">
        <v>0.19264242207094232</v>
      </c>
      <c r="J19" s="10">
        <f t="shared" si="2"/>
        <v>0.19264242207094232</v>
      </c>
      <c r="K19" s="10">
        <f t="shared" si="3"/>
        <v>0.23191823899371067</v>
      </c>
      <c r="L19" s="10">
        <f t="shared" si="4"/>
        <v>0.21174377224199287</v>
      </c>
      <c r="M19" s="10">
        <f t="shared" si="5"/>
        <v>0.24921135646687698</v>
      </c>
      <c r="N19" s="10">
        <f t="shared" si="6"/>
        <v>0.24413793103448272</v>
      </c>
      <c r="O19" s="10">
        <f t="shared" si="7"/>
        <v>0.27794561933534745</v>
      </c>
      <c r="P19" s="10">
        <f t="shared" si="8"/>
        <v>0.23725834797891041</v>
      </c>
    </row>
    <row r="20" spans="1:16" x14ac:dyDescent="0.3">
      <c r="A20" s="10" t="s">
        <v>79</v>
      </c>
      <c r="B20" s="9">
        <v>1.9673951988534576E-2</v>
      </c>
      <c r="C20" s="9">
        <v>2.6729559748427674E-2</v>
      </c>
      <c r="D20" s="9">
        <v>2.6690391459074734E-2</v>
      </c>
      <c r="E20" s="9">
        <v>1.1041009463722398E-2</v>
      </c>
      <c r="F20" s="9">
        <v>2.5517241379310347E-2</v>
      </c>
      <c r="G20" s="9">
        <v>4.0030211480362538E-2</v>
      </c>
      <c r="H20" s="9">
        <v>4.7451669595782071E-2</v>
      </c>
      <c r="I20" s="10">
        <v>0.2123163740594769</v>
      </c>
      <c r="J20" s="10">
        <f t="shared" si="2"/>
        <v>0.2123163740594769</v>
      </c>
      <c r="K20" s="10">
        <f t="shared" si="3"/>
        <v>0.25864779874213834</v>
      </c>
      <c r="L20" s="10">
        <f t="shared" si="4"/>
        <v>0.2384341637010676</v>
      </c>
      <c r="M20" s="10">
        <f t="shared" si="5"/>
        <v>0.26025236593059936</v>
      </c>
      <c r="N20" s="10">
        <f t="shared" si="6"/>
        <v>0.26965517241379305</v>
      </c>
      <c r="O20" s="10">
        <f t="shared" si="7"/>
        <v>0.31797583081571001</v>
      </c>
      <c r="P20" s="10">
        <f t="shared" si="8"/>
        <v>0.2847100175746925</v>
      </c>
    </row>
    <row r="21" spans="1:16" x14ac:dyDescent="0.3">
      <c r="A21" s="10" t="s">
        <v>88</v>
      </c>
      <c r="B21" s="9">
        <v>2.0451451092798282E-2</v>
      </c>
      <c r="C21" s="9">
        <v>6.2893081761006293E-3</v>
      </c>
      <c r="D21" s="9">
        <v>7.1174377224199285E-3</v>
      </c>
      <c r="E21" s="9">
        <v>4.7318611987381704E-3</v>
      </c>
      <c r="F21" s="9">
        <v>7.5862068965517242E-3</v>
      </c>
      <c r="G21" s="9">
        <v>1.7371601208459216E-2</v>
      </c>
      <c r="H21" s="9">
        <v>1.2302284710017574E-2</v>
      </c>
      <c r="I21" s="10">
        <v>0.23276782515227518</v>
      </c>
      <c r="J21" s="10">
        <f t="shared" si="2"/>
        <v>0.23276782515227518</v>
      </c>
      <c r="K21" s="10">
        <f t="shared" si="3"/>
        <v>0.26493710691823896</v>
      </c>
      <c r="L21" s="10">
        <f t="shared" si="4"/>
        <v>0.24555160142348753</v>
      </c>
      <c r="M21" s="10">
        <f t="shared" si="5"/>
        <v>0.26498422712933756</v>
      </c>
      <c r="N21" s="10">
        <f t="shared" si="6"/>
        <v>0.27724137931034476</v>
      </c>
      <c r="O21" s="10">
        <f t="shared" si="7"/>
        <v>0.33534743202416922</v>
      </c>
      <c r="P21" s="10">
        <f t="shared" si="8"/>
        <v>0.29701230228471009</v>
      </c>
    </row>
    <row r="22" spans="1:16" x14ac:dyDescent="0.3">
      <c r="A22" s="10" t="s">
        <v>80</v>
      </c>
      <c r="B22" s="9">
        <v>2.0797205302758869E-2</v>
      </c>
      <c r="C22" s="9">
        <v>1.9654088050314465E-2</v>
      </c>
      <c r="D22" s="9">
        <v>3.5587188612099642E-3</v>
      </c>
      <c r="E22" s="9">
        <v>4.7318611987381704E-3</v>
      </c>
      <c r="F22" s="9">
        <v>2.1379310344827585E-2</v>
      </c>
      <c r="G22" s="9">
        <v>1.1329305135951661E-2</v>
      </c>
      <c r="H22" s="9">
        <v>1.054481546572935E-2</v>
      </c>
      <c r="I22" s="10">
        <v>0.25356503045503404</v>
      </c>
      <c r="J22" s="10">
        <f t="shared" si="2"/>
        <v>0.25356503045503404</v>
      </c>
      <c r="K22" s="10">
        <f t="shared" si="3"/>
        <v>0.28459119496855345</v>
      </c>
      <c r="L22" s="10">
        <f t="shared" si="4"/>
        <v>0.24911032028469748</v>
      </c>
      <c r="M22" s="10">
        <f t="shared" si="5"/>
        <v>0.26971608832807575</v>
      </c>
      <c r="N22" s="10">
        <f t="shared" si="6"/>
        <v>0.29862068965517236</v>
      </c>
      <c r="O22" s="10">
        <f t="shared" si="7"/>
        <v>0.34667673716012087</v>
      </c>
      <c r="P22" s="10">
        <f t="shared" si="8"/>
        <v>0.30755711775043942</v>
      </c>
    </row>
    <row r="23" spans="1:16" x14ac:dyDescent="0.3">
      <c r="A23" s="10" t="s">
        <v>84</v>
      </c>
      <c r="B23" s="9">
        <v>2.1232533142242924E-2</v>
      </c>
      <c r="C23" s="9">
        <v>7.0754716981132077E-3</v>
      </c>
      <c r="D23" s="9">
        <v>5.3380782918149468E-3</v>
      </c>
      <c r="E23" s="9">
        <v>1.5772870662460567E-3</v>
      </c>
      <c r="F23" s="9">
        <v>1.1724137931034483E-2</v>
      </c>
      <c r="G23" s="9">
        <v>2.7945619335347432E-2</v>
      </c>
      <c r="H23" s="9">
        <v>2.2847100175746926E-2</v>
      </c>
      <c r="I23" s="10">
        <v>0.27479756359727697</v>
      </c>
      <c r="J23" s="10">
        <f t="shared" si="2"/>
        <v>0.27479756359727697</v>
      </c>
      <c r="K23" s="10">
        <f t="shared" si="3"/>
        <v>0.29166666666666669</v>
      </c>
      <c r="L23" s="10">
        <f t="shared" si="4"/>
        <v>0.25444839857651241</v>
      </c>
      <c r="M23" s="10">
        <f t="shared" si="5"/>
        <v>0.2712933753943218</v>
      </c>
      <c r="N23" s="10">
        <f t="shared" si="6"/>
        <v>0.31034482758620685</v>
      </c>
      <c r="O23" s="10">
        <f t="shared" si="7"/>
        <v>0.37462235649546832</v>
      </c>
      <c r="P23" s="10">
        <f t="shared" si="8"/>
        <v>0.33040421792618635</v>
      </c>
    </row>
    <row r="24" spans="1:16" x14ac:dyDescent="0.3">
      <c r="A24" s="10" t="s">
        <v>85</v>
      </c>
      <c r="B24" s="9">
        <v>2.1872088857040489E-2</v>
      </c>
      <c r="C24" s="9">
        <v>1.7295597484276729E-2</v>
      </c>
      <c r="D24" s="9">
        <v>8.8967971530249119E-3</v>
      </c>
      <c r="E24" s="9">
        <v>1.7350157728706624E-2</v>
      </c>
      <c r="F24" s="9">
        <v>1.0344827586206896E-2</v>
      </c>
      <c r="G24" s="9">
        <v>1.5861027190332326E-2</v>
      </c>
      <c r="H24" s="9">
        <v>3.163444639718805E-2</v>
      </c>
      <c r="I24" s="10">
        <v>0.29666965245431748</v>
      </c>
      <c r="J24" s="10">
        <f t="shared" si="2"/>
        <v>0.29666965245431748</v>
      </c>
      <c r="K24" s="10">
        <f t="shared" si="3"/>
        <v>0.30896226415094341</v>
      </c>
      <c r="L24" s="10">
        <f t="shared" si="4"/>
        <v>0.26334519572953735</v>
      </c>
      <c r="M24" s="10">
        <f t="shared" si="5"/>
        <v>0.28864353312302843</v>
      </c>
      <c r="N24" s="10">
        <f t="shared" si="6"/>
        <v>0.32068965517241377</v>
      </c>
      <c r="O24" s="10">
        <f t="shared" si="7"/>
        <v>0.39048338368580066</v>
      </c>
      <c r="P24" s="10">
        <f t="shared" si="8"/>
        <v>0.36203866432337439</v>
      </c>
    </row>
    <row r="25" spans="1:16" x14ac:dyDescent="0.3">
      <c r="A25" s="10" t="s">
        <v>78</v>
      </c>
      <c r="B25" s="9">
        <v>3.5487280544607668E-2</v>
      </c>
      <c r="C25" s="9">
        <v>2.4371069182389939E-2</v>
      </c>
      <c r="D25" s="9">
        <v>1.0676156583629894E-2</v>
      </c>
      <c r="E25" s="9">
        <v>1.1041009463722398E-2</v>
      </c>
      <c r="F25" s="9">
        <v>1.1034482758620689E-2</v>
      </c>
      <c r="G25" s="9">
        <v>3.6253776435045321E-2</v>
      </c>
      <c r="H25" s="9">
        <v>1.9332161687170474E-2</v>
      </c>
      <c r="I25" s="10">
        <v>0.33215693299892513</v>
      </c>
      <c r="J25" s="10">
        <f t="shared" si="2"/>
        <v>0.33215693299892513</v>
      </c>
      <c r="K25" s="10">
        <f t="shared" si="3"/>
        <v>0.33333333333333337</v>
      </c>
      <c r="L25" s="10">
        <f t="shared" si="4"/>
        <v>0.27402135231316727</v>
      </c>
      <c r="M25" s="10">
        <f t="shared" si="5"/>
        <v>0.29968454258675081</v>
      </c>
      <c r="N25" s="10">
        <f t="shared" si="6"/>
        <v>0.33172413793103445</v>
      </c>
      <c r="O25" s="10">
        <f t="shared" si="7"/>
        <v>0.42673716012084595</v>
      </c>
      <c r="P25" s="10">
        <f t="shared" si="8"/>
        <v>0.38137082601054484</v>
      </c>
    </row>
    <row r="26" spans="1:16" x14ac:dyDescent="0.3">
      <c r="A26" s="10" t="s">
        <v>81</v>
      </c>
      <c r="B26" s="9">
        <v>3.9109638122536726E-2</v>
      </c>
      <c r="C26" s="9">
        <v>6.9182389937106917E-2</v>
      </c>
      <c r="D26" s="9">
        <v>0.14768683274021352</v>
      </c>
      <c r="E26" s="9">
        <v>9.7791798107255523E-2</v>
      </c>
      <c r="F26" s="9">
        <v>8.9655172413793102E-2</v>
      </c>
      <c r="G26" s="9">
        <v>7.6283987915407858E-2</v>
      </c>
      <c r="H26" s="9">
        <v>5.9753954305799648E-2</v>
      </c>
      <c r="I26" s="10">
        <v>0.37126657112146183</v>
      </c>
      <c r="J26" s="10">
        <f t="shared" si="2"/>
        <v>0.37126657112146183</v>
      </c>
      <c r="K26" s="10">
        <f t="shared" si="3"/>
        <v>0.40251572327044027</v>
      </c>
      <c r="L26" s="10">
        <f t="shared" si="4"/>
        <v>0.42170818505338081</v>
      </c>
      <c r="M26" s="10">
        <f t="shared" si="5"/>
        <v>0.39747634069400634</v>
      </c>
      <c r="N26" s="10">
        <f t="shared" si="6"/>
        <v>0.42137931034482756</v>
      </c>
      <c r="O26" s="10">
        <f t="shared" si="7"/>
        <v>0.50302114803625386</v>
      </c>
      <c r="P26" s="10">
        <f t="shared" si="8"/>
        <v>0.4411247803163445</v>
      </c>
    </row>
    <row r="27" spans="1:16" x14ac:dyDescent="0.3">
      <c r="A27" s="10" t="s">
        <v>95</v>
      </c>
      <c r="B27" s="9">
        <v>4.3437835901110715E-2</v>
      </c>
      <c r="C27" s="9">
        <v>5.1100628930817613E-2</v>
      </c>
      <c r="D27" s="9">
        <v>0.10142348754448399</v>
      </c>
      <c r="E27" s="9">
        <v>7.2555205047318619E-2</v>
      </c>
      <c r="F27" s="9">
        <v>5.6551724137931032E-2</v>
      </c>
      <c r="G27" s="9">
        <v>5.0604229607250757E-2</v>
      </c>
      <c r="H27" s="9">
        <v>5.7996485061511421E-2</v>
      </c>
      <c r="I27" s="10">
        <v>0.41470440702257255</v>
      </c>
      <c r="J27" s="10">
        <f t="shared" si="2"/>
        <v>0.41470440702257255</v>
      </c>
      <c r="K27" s="10">
        <f t="shared" si="3"/>
        <v>0.4536163522012579</v>
      </c>
      <c r="L27" s="10">
        <f t="shared" si="4"/>
        <v>0.52313167259786475</v>
      </c>
      <c r="M27" s="10">
        <f t="shared" si="5"/>
        <v>0.47003154574132494</v>
      </c>
      <c r="N27" s="10">
        <f t="shared" si="6"/>
        <v>0.47793103448275859</v>
      </c>
      <c r="O27" s="10">
        <f t="shared" si="7"/>
        <v>0.55362537764350461</v>
      </c>
      <c r="P27" s="10">
        <f t="shared" si="8"/>
        <v>0.49912126537785595</v>
      </c>
    </row>
    <row r="28" spans="1:16" x14ac:dyDescent="0.3">
      <c r="A28" s="10" t="s">
        <v>94</v>
      </c>
      <c r="B28" s="9">
        <v>4.7542099605876027E-2</v>
      </c>
      <c r="C28" s="9">
        <v>6.9182389937106917E-2</v>
      </c>
      <c r="D28" s="9">
        <v>7.6512455516014238E-2</v>
      </c>
      <c r="E28" s="9">
        <v>6.6246056782334389E-2</v>
      </c>
      <c r="F28" s="9">
        <v>0.06</v>
      </c>
      <c r="G28" s="9">
        <v>4.9848942598187312E-2</v>
      </c>
      <c r="H28" s="9">
        <v>4.7451669595782071E-2</v>
      </c>
      <c r="I28" s="10">
        <v>0.46224650662844857</v>
      </c>
      <c r="J28" s="10">
        <f t="shared" si="2"/>
        <v>0.46224650662844857</v>
      </c>
      <c r="K28" s="10">
        <f t="shared" si="3"/>
        <v>0.52279874213836486</v>
      </c>
      <c r="L28" s="10">
        <f t="shared" si="4"/>
        <v>0.59964412811387902</v>
      </c>
      <c r="M28" s="10">
        <f t="shared" si="5"/>
        <v>0.5362776025236593</v>
      </c>
      <c r="N28" s="10">
        <f t="shared" si="6"/>
        <v>0.53793103448275859</v>
      </c>
      <c r="O28" s="10">
        <f t="shared" si="7"/>
        <v>0.6034743202416919</v>
      </c>
      <c r="P28" s="10">
        <f t="shared" si="8"/>
        <v>0.54657293497363801</v>
      </c>
    </row>
    <row r="29" spans="1:16" x14ac:dyDescent="0.3">
      <c r="A29" s="10" t="s">
        <v>82</v>
      </c>
      <c r="B29" s="9">
        <v>5.386599785023289E-2</v>
      </c>
      <c r="C29" s="9">
        <v>7.6257861635220123E-2</v>
      </c>
      <c r="D29" s="9">
        <v>0.10498220640569395</v>
      </c>
      <c r="E29" s="9">
        <v>0.1167192429022082</v>
      </c>
      <c r="F29" s="9">
        <v>7.0344827586206901E-2</v>
      </c>
      <c r="G29" s="9">
        <v>6.0422960725075532E-2</v>
      </c>
      <c r="H29" s="9">
        <v>7.5571177504393669E-2</v>
      </c>
      <c r="I29" s="10">
        <v>0.51611250447868151</v>
      </c>
      <c r="J29" s="10">
        <f t="shared" si="2"/>
        <v>0.51611250447868151</v>
      </c>
      <c r="K29" s="10">
        <f t="shared" si="3"/>
        <v>0.59905660377358494</v>
      </c>
      <c r="L29" s="10">
        <f t="shared" si="4"/>
        <v>0.70462633451957291</v>
      </c>
      <c r="M29" s="10">
        <f t="shared" si="5"/>
        <v>0.65299684542586744</v>
      </c>
      <c r="N29" s="10">
        <f t="shared" si="6"/>
        <v>0.60827586206896544</v>
      </c>
      <c r="O29" s="10">
        <f t="shared" si="7"/>
        <v>0.66389728096676748</v>
      </c>
      <c r="P29" s="10">
        <f t="shared" si="8"/>
        <v>0.6221441124780317</v>
      </c>
    </row>
    <row r="30" spans="1:16" x14ac:dyDescent="0.3">
      <c r="A30" s="10" t="s">
        <v>98</v>
      </c>
      <c r="B30" s="9">
        <v>6.0798996775349334E-2</v>
      </c>
      <c r="C30" s="9">
        <v>0.10770440251572327</v>
      </c>
      <c r="D30" s="9">
        <v>0.11387900355871886</v>
      </c>
      <c r="E30" s="9">
        <v>0.11041009463722397</v>
      </c>
      <c r="F30" s="9">
        <v>9.3103448275862075E-2</v>
      </c>
      <c r="G30" s="9">
        <v>8.0815709969788513E-2</v>
      </c>
      <c r="H30" s="9">
        <v>8.6115992970123026E-2</v>
      </c>
      <c r="I30" s="10">
        <v>0.5769115012540309</v>
      </c>
      <c r="J30" s="10">
        <f t="shared" si="2"/>
        <v>0.5769115012540309</v>
      </c>
      <c r="K30" s="10">
        <f t="shared" si="3"/>
        <v>0.70676100628930816</v>
      </c>
      <c r="L30" s="10">
        <f t="shared" si="4"/>
        <v>0.81850533807829173</v>
      </c>
      <c r="M30" s="10">
        <f t="shared" si="5"/>
        <v>0.7634069400630914</v>
      </c>
      <c r="N30" s="10">
        <f t="shared" si="6"/>
        <v>0.70137931034482748</v>
      </c>
      <c r="O30" s="10">
        <f t="shared" si="7"/>
        <v>0.74471299093655596</v>
      </c>
      <c r="P30" s="10">
        <f t="shared" si="8"/>
        <v>0.70826010544815476</v>
      </c>
    </row>
    <row r="31" spans="1:16" x14ac:dyDescent="0.3">
      <c r="A31" s="10" t="s">
        <v>89</v>
      </c>
      <c r="B31" s="9">
        <v>6.744715155858115E-2</v>
      </c>
      <c r="C31" s="9">
        <v>1.179245283018868E-2</v>
      </c>
      <c r="D31" s="9">
        <v>1.2455516014234875E-2</v>
      </c>
      <c r="E31" s="9">
        <v>1.8927444794952682E-2</v>
      </c>
      <c r="F31" s="9">
        <v>1.3103448275862069E-2</v>
      </c>
      <c r="G31" s="9">
        <v>7.5528700906344415E-3</v>
      </c>
      <c r="H31" s="9">
        <v>3.5149384885764497E-3</v>
      </c>
      <c r="I31" s="10">
        <v>0.64435865281261206</v>
      </c>
      <c r="J31" s="10">
        <f t="shared" si="2"/>
        <v>0.64435865281261206</v>
      </c>
      <c r="K31" s="10">
        <f t="shared" si="3"/>
        <v>0.71855345911949686</v>
      </c>
      <c r="L31" s="10">
        <f t="shared" si="4"/>
        <v>0.83096085409252662</v>
      </c>
      <c r="M31" s="10">
        <f t="shared" si="5"/>
        <v>0.78233438485804407</v>
      </c>
      <c r="N31" s="10">
        <f t="shared" si="6"/>
        <v>0.71448275862068955</v>
      </c>
      <c r="O31" s="10">
        <f t="shared" si="7"/>
        <v>0.7522658610271904</v>
      </c>
      <c r="P31" s="10">
        <f t="shared" si="8"/>
        <v>0.71177504393673119</v>
      </c>
    </row>
    <row r="32" spans="1:16" x14ac:dyDescent="0.3">
      <c r="A32" s="10" t="s">
        <v>99</v>
      </c>
      <c r="B32" s="9">
        <v>7.9229666786098177E-2</v>
      </c>
      <c r="C32" s="9">
        <v>0.10141509433962265</v>
      </c>
      <c r="D32" s="9">
        <v>7.4733096085409248E-2</v>
      </c>
      <c r="E32" s="9">
        <v>0.11987381703470032</v>
      </c>
      <c r="F32" s="9">
        <v>8.7586206896551722E-2</v>
      </c>
      <c r="G32" s="9">
        <v>5.9667673716012087E-2</v>
      </c>
      <c r="H32" s="9">
        <v>8.0843585237258347E-2</v>
      </c>
      <c r="I32" s="10">
        <v>0.72358831959871028</v>
      </c>
      <c r="J32" s="10">
        <f t="shared" si="2"/>
        <v>0.72358831959871028</v>
      </c>
      <c r="K32" s="10">
        <f t="shared" si="3"/>
        <v>0.81996855345911945</v>
      </c>
      <c r="L32" s="10">
        <f t="shared" si="4"/>
        <v>0.90569395017793586</v>
      </c>
      <c r="M32" s="10">
        <f t="shared" si="5"/>
        <v>0.90220820189274442</v>
      </c>
      <c r="N32" s="10">
        <f t="shared" si="6"/>
        <v>0.80206896551724127</v>
      </c>
      <c r="O32" s="10">
        <f t="shared" si="7"/>
        <v>0.81193353474320251</v>
      </c>
      <c r="P32" s="10">
        <f t="shared" si="8"/>
        <v>0.79261862917398951</v>
      </c>
    </row>
    <row r="33" spans="1:16" x14ac:dyDescent="0.3">
      <c r="A33" s="10" t="s">
        <v>76</v>
      </c>
      <c r="B33" s="9">
        <v>0.27641168040128988</v>
      </c>
      <c r="C33" s="9">
        <v>0.18003144654088049</v>
      </c>
      <c r="D33" s="9">
        <v>9.4306049822064059E-2</v>
      </c>
      <c r="E33" s="9">
        <v>9.7791798107255523E-2</v>
      </c>
      <c r="F33" s="9">
        <v>0.19793103448275862</v>
      </c>
      <c r="G33" s="9">
        <v>0.18806646525679757</v>
      </c>
      <c r="H33" s="9">
        <v>0.20738137082601055</v>
      </c>
      <c r="I33" s="10">
        <v>1.0000000000000002</v>
      </c>
      <c r="J33" s="10">
        <f t="shared" si="2"/>
        <v>1.0000000000000002</v>
      </c>
      <c r="K33" s="10">
        <f t="shared" si="3"/>
        <v>1</v>
      </c>
      <c r="L33" s="10">
        <f t="shared" si="4"/>
        <v>0.99999999999999989</v>
      </c>
      <c r="M33" s="10">
        <f t="shared" si="5"/>
        <v>1</v>
      </c>
      <c r="N33" s="10">
        <f t="shared" si="6"/>
        <v>0.99999999999999989</v>
      </c>
      <c r="O33" s="10">
        <f t="shared" si="7"/>
        <v>1</v>
      </c>
      <c r="P33" s="10">
        <f t="shared" si="8"/>
        <v>1</v>
      </c>
    </row>
    <row r="34" spans="1:1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8.8" x14ac:dyDescent="0.3">
      <c r="B35" s="1" t="s">
        <v>154</v>
      </c>
      <c r="C35" s="3" t="s">
        <v>162</v>
      </c>
      <c r="D35" s="3" t="s">
        <v>163</v>
      </c>
      <c r="E35" s="3" t="s">
        <v>164</v>
      </c>
      <c r="F35" s="3" t="s">
        <v>165</v>
      </c>
      <c r="G35" s="3" t="s">
        <v>166</v>
      </c>
      <c r="H35" s="3" t="s">
        <v>167</v>
      </c>
      <c r="J35" s="8"/>
      <c r="K35" s="11" t="s">
        <v>168</v>
      </c>
      <c r="L35" s="11" t="s">
        <v>169</v>
      </c>
      <c r="M35" s="11" t="s">
        <v>170</v>
      </c>
      <c r="N35" s="11" t="s">
        <v>171</v>
      </c>
      <c r="O35" s="11" t="s">
        <v>172</v>
      </c>
      <c r="P35" s="11" t="s">
        <v>173</v>
      </c>
    </row>
    <row r="36" spans="1:16" x14ac:dyDescent="0.3">
      <c r="B36" s="10" t="s">
        <v>103</v>
      </c>
      <c r="C36" s="10">
        <f>C2-B2</f>
        <v>3.741834152453191E-3</v>
      </c>
      <c r="D36" s="10">
        <f>D2-B2</f>
        <v>-2.5474740236474383E-3</v>
      </c>
      <c r="E36" s="10">
        <f>E2-B2</f>
        <v>6.071001088446752E-4</v>
      </c>
      <c r="F36" s="10">
        <f>F2-B2</f>
        <v>2.2801121832491137E-3</v>
      </c>
      <c r="G36" s="10">
        <f>G2-B2</f>
        <v>1.9842480307332268E-3</v>
      </c>
      <c r="H36" s="10">
        <f>H2-B2</f>
        <v>6.2398721977936873E-3</v>
      </c>
      <c r="J36" s="10" t="s">
        <v>103</v>
      </c>
      <c r="K36" s="8">
        <f>(J2-0) * ((K2+0))</f>
        <v>1.6021849205329803E-5</v>
      </c>
      <c r="L36" s="8">
        <f>(J2-0) * ((L2+0))</f>
        <v>0</v>
      </c>
      <c r="M36" s="8">
        <f>(J2-0) * ((M2+0))</f>
        <v>8.0361956581938117E-6</v>
      </c>
      <c r="N36" s="8">
        <f>(J2-0) * ((N2+0))</f>
        <v>1.2298150458987634E-5</v>
      </c>
      <c r="O36" s="8">
        <f>(J2-0) * ((O2+0))</f>
        <v>1.1544444215924947E-5</v>
      </c>
      <c r="P36" s="8">
        <f>(J2-0) * ((P2+0))</f>
        <v>2.2385536235917737E-5</v>
      </c>
    </row>
    <row r="37" spans="1:16" x14ac:dyDescent="0.3">
      <c r="B37" s="10" t="s">
        <v>100</v>
      </c>
      <c r="C37" s="10">
        <f t="shared" ref="C37:C67" si="9">C3-B3</f>
        <v>6.0922799925186297E-3</v>
      </c>
      <c r="D37" s="10">
        <f t="shared" ref="D37:D67" si="10">D3-B3</f>
        <v>-3.1346498850524881E-3</v>
      </c>
      <c r="E37" s="10">
        <f t="shared" ref="E37:E67" si="11">E3-B3</f>
        <v>-1.7594351831653567E-3</v>
      </c>
      <c r="F37" s="10">
        <f t="shared" ref="F37:F67" si="12">F3-B3</f>
        <v>1.9825424084804607E-3</v>
      </c>
      <c r="G37" s="10">
        <f t="shared" ref="G37:G67" si="13">G3-B3</f>
        <v>4.14943479310386E-3</v>
      </c>
      <c r="H37" s="10">
        <f t="shared" ref="H37:H67" si="14">H3-B3</f>
        <v>-1.3990708270810205E-3</v>
      </c>
      <c r="J37" s="10" t="s">
        <v>100</v>
      </c>
      <c r="K37" s="8">
        <f>(J3-J2) * ((K3+K2))</f>
        <v>1.1589644612399695E-4</v>
      </c>
      <c r="L37" s="8">
        <f>(J3-J2) * ((L3+L2))</f>
        <v>8.7437888178958538E-6</v>
      </c>
      <c r="M37" s="8">
        <f>(J3-J2) * ((M3+M2))</f>
        <v>4.650482002199499E-5</v>
      </c>
      <c r="N37" s="8">
        <f>(J3-J2) * ((N3+N2))</f>
        <v>8.1335326603985711E-5</v>
      </c>
      <c r="O37" s="8">
        <f>(J3-J2) * ((O3+O2))</f>
        <v>8.9075697564787993E-5</v>
      </c>
      <c r="P37" s="8">
        <f>(J3-J2) * ((P3+P2))</f>
        <v>1.0363464286096598E-4</v>
      </c>
    </row>
    <row r="38" spans="1:16" x14ac:dyDescent="0.3">
      <c r="B38" s="10" t="s">
        <v>86</v>
      </c>
      <c r="C38" s="10">
        <f t="shared" si="9"/>
        <v>2.0462222462587516E-3</v>
      </c>
      <c r="D38" s="10">
        <f t="shared" si="10"/>
        <v>9.4126583795652273E-3</v>
      </c>
      <c r="E38" s="10">
        <f t="shared" si="11"/>
        <v>2.8621459015967278E-3</v>
      </c>
      <c r="F38" s="10">
        <f t="shared" si="12"/>
        <v>9.9501476420514219E-3</v>
      </c>
      <c r="G38" s="10">
        <f t="shared" si="13"/>
        <v>2.4618676128817171E-3</v>
      </c>
      <c r="H38" s="10">
        <f t="shared" si="14"/>
        <v>-4.8441072515913886E-3</v>
      </c>
      <c r="J38" s="10" t="s">
        <v>86</v>
      </c>
      <c r="K38" s="8">
        <f t="shared" ref="K38:K67" si="15">(J4-J3) * ((K4+K3))</f>
        <v>2.8544552458598961E-4</v>
      </c>
      <c r="L38" s="8">
        <f t="shared" ref="L38:L67" si="16">(J4-J3) * ((L4+L3))</f>
        <v>1.2921235134283942E-4</v>
      </c>
      <c r="M38" s="8">
        <f t="shared" ref="M38:M67" si="17">(J4-J3) * ((M4+M3))</f>
        <v>1.4577613713298828E-4</v>
      </c>
      <c r="N38" s="8">
        <f t="shared" ref="N38:N67" si="18">(J4-J3) * ((N4+N3))</f>
        <v>2.6406305983518453E-4</v>
      </c>
      <c r="O38" s="8">
        <f t="shared" ref="O38:O67" si="19">(J4-J3) * ((O4+O3))</f>
        <v>2.3933207840046939E-4</v>
      </c>
      <c r="P38" s="8">
        <f t="shared" ref="P38:P67" si="20">(J4-J3) * ((P4+P3))</f>
        <v>1.740310148298668E-4</v>
      </c>
    </row>
    <row r="39" spans="1:16" x14ac:dyDescent="0.3">
      <c r="B39" s="10" t="s">
        <v>105</v>
      </c>
      <c r="C39" s="10">
        <f t="shared" si="9"/>
        <v>-1.8723480008743295E-3</v>
      </c>
      <c r="D39" s="10">
        <f t="shared" si="10"/>
        <v>-2.0374143631474327E-3</v>
      </c>
      <c r="E39" s="10">
        <f t="shared" si="11"/>
        <v>-4.2209185224702656E-3</v>
      </c>
      <c r="F39" s="10">
        <f t="shared" si="12"/>
        <v>-3.2375616204796207E-3</v>
      </c>
      <c r="G39" s="10">
        <f t="shared" si="13"/>
        <v>-4.354344618708603E-3</v>
      </c>
      <c r="H39" s="10">
        <f t="shared" si="14"/>
        <v>-3.4561567780948006E-4</v>
      </c>
      <c r="J39" s="10" t="s">
        <v>105</v>
      </c>
      <c r="K39" s="8">
        <f t="shared" si="15"/>
        <v>4.2327905960082843E-4</v>
      </c>
      <c r="L39" s="8">
        <f t="shared" si="16"/>
        <v>3.0184400545219713E-4</v>
      </c>
      <c r="M39" s="8">
        <f t="shared" si="17"/>
        <v>2.5593192178102899E-4</v>
      </c>
      <c r="N39" s="8">
        <f t="shared" si="18"/>
        <v>4.4761610595633764E-4</v>
      </c>
      <c r="O39" s="8">
        <f t="shared" si="19"/>
        <v>3.5651928241509995E-4</v>
      </c>
      <c r="P39" s="8">
        <f t="shared" si="20"/>
        <v>2.592440300514018E-4</v>
      </c>
    </row>
    <row r="40" spans="1:16" x14ac:dyDescent="0.3">
      <c r="B40" s="10" t="s">
        <v>97</v>
      </c>
      <c r="C40" s="10">
        <f t="shared" si="9"/>
        <v>1.7950780698967189E-4</v>
      </c>
      <c r="D40" s="10">
        <f t="shared" si="10"/>
        <v>-8.4682909351486927E-3</v>
      </c>
      <c r="E40" s="10">
        <f t="shared" si="11"/>
        <v>-8.4682909351486927E-3</v>
      </c>
      <c r="F40" s="10">
        <f t="shared" si="12"/>
        <v>-3.6407047282521407E-3</v>
      </c>
      <c r="G40" s="10">
        <f t="shared" si="13"/>
        <v>1.4945606345818074E-2</v>
      </c>
      <c r="H40" s="10">
        <f t="shared" si="14"/>
        <v>1.789374772917468E-2</v>
      </c>
      <c r="J40" s="10" t="s">
        <v>97</v>
      </c>
      <c r="K40" s="8">
        <f t="shared" si="15"/>
        <v>6.0582898985733563E-4</v>
      </c>
      <c r="L40" s="8">
        <f t="shared" si="16"/>
        <v>3.9177146675065122E-4</v>
      </c>
      <c r="M40" s="8">
        <f t="shared" si="17"/>
        <v>3.2056621836525014E-4</v>
      </c>
      <c r="N40" s="8">
        <f t="shared" si="18"/>
        <v>5.8986026513794339E-4</v>
      </c>
      <c r="O40" s="8">
        <f t="shared" si="19"/>
        <v>6.3320302309646554E-4</v>
      </c>
      <c r="P40" s="8">
        <f t="shared" si="20"/>
        <v>5.8042767393813523E-4</v>
      </c>
    </row>
    <row r="41" spans="1:16" x14ac:dyDescent="0.3">
      <c r="B41" s="10" t="s">
        <v>87</v>
      </c>
      <c r="C41" s="10">
        <f t="shared" si="9"/>
        <v>-2.1807742316385329E-3</v>
      </c>
      <c r="D41" s="10">
        <f t="shared" si="10"/>
        <v>-6.6907229771341805E-3</v>
      </c>
      <c r="E41" s="10">
        <f t="shared" si="11"/>
        <v>-3.7382212090009918E-3</v>
      </c>
      <c r="F41" s="10">
        <f t="shared" si="12"/>
        <v>-2.9528410284288178E-3</v>
      </c>
      <c r="G41" s="10">
        <f t="shared" si="13"/>
        <v>5.9336170102216798E-4</v>
      </c>
      <c r="H41" s="10">
        <f t="shared" si="14"/>
        <v>-1.4402054305862628E-3</v>
      </c>
      <c r="J41" s="10" t="s">
        <v>87</v>
      </c>
      <c r="K41" s="8">
        <f t="shared" si="15"/>
        <v>7.3247567991455045E-4</v>
      </c>
      <c r="L41" s="8">
        <f t="shared" si="16"/>
        <v>4.0692566727572506E-4</v>
      </c>
      <c r="M41" s="8">
        <f t="shared" si="17"/>
        <v>3.607132886576616E-4</v>
      </c>
      <c r="N41" s="8">
        <f t="shared" si="18"/>
        <v>6.7760659261913343E-4</v>
      </c>
      <c r="O41" s="8">
        <f t="shared" si="19"/>
        <v>9.0842273557323371E-4</v>
      </c>
      <c r="P41" s="8">
        <f t="shared" si="20"/>
        <v>8.6338274103492385E-4</v>
      </c>
    </row>
    <row r="42" spans="1:16" x14ac:dyDescent="0.3">
      <c r="B42" s="10" t="s">
        <v>107</v>
      </c>
      <c r="C42" s="10">
        <f t="shared" si="9"/>
        <v>-1.2730835186775102E-3</v>
      </c>
      <c r="D42" s="10">
        <f t="shared" si="10"/>
        <v>-3.7966404469883495E-3</v>
      </c>
      <c r="E42" s="10">
        <f t="shared" si="11"/>
        <v>-4.4028575400651259E-3</v>
      </c>
      <c r="F42" s="10">
        <f t="shared" si="12"/>
        <v>1.2934246778438081E-2</v>
      </c>
      <c r="G42" s="10">
        <f t="shared" si="13"/>
        <v>1.427917854216347E-2</v>
      </c>
      <c r="H42" s="10">
        <f t="shared" si="14"/>
        <v>1.371238143694363E-2</v>
      </c>
      <c r="J42" s="10" t="s">
        <v>107</v>
      </c>
      <c r="K42" s="8">
        <f t="shared" si="15"/>
        <v>9.1921698000536304E-4</v>
      </c>
      <c r="L42" s="8">
        <f t="shared" si="16"/>
        <v>5.038723859482246E-4</v>
      </c>
      <c r="M42" s="8">
        <f t="shared" si="17"/>
        <v>4.7546643277682768E-4</v>
      </c>
      <c r="N42" s="8">
        <f t="shared" si="18"/>
        <v>9.827697401746994E-4</v>
      </c>
      <c r="O42" s="8">
        <f t="shared" si="19"/>
        <v>1.2763768630503095E-3</v>
      </c>
      <c r="P42" s="8">
        <f t="shared" si="20"/>
        <v>1.2040490429002587E-3</v>
      </c>
    </row>
    <row r="43" spans="1:16" x14ac:dyDescent="0.3">
      <c r="B43" s="10" t="s">
        <v>102</v>
      </c>
      <c r="C43" s="10">
        <f t="shared" si="9"/>
        <v>2.181202382320533E-3</v>
      </c>
      <c r="D43" s="10">
        <f t="shared" si="10"/>
        <v>4.6236249969717098E-3</v>
      </c>
      <c r="E43" s="10">
        <f t="shared" si="11"/>
        <v>1.5625342612068761E-2</v>
      </c>
      <c r="F43" s="10">
        <f t="shared" si="12"/>
        <v>7.3357713833874932E-4</v>
      </c>
      <c r="G43" s="10">
        <f t="shared" si="13"/>
        <v>-2.8136673662971503E-3</v>
      </c>
      <c r="H43" s="10">
        <f t="shared" si="14"/>
        <v>2.6910342621494273E-3</v>
      </c>
      <c r="J43" s="10" t="s">
        <v>102</v>
      </c>
      <c r="K43" s="8">
        <f t="shared" si="15"/>
        <v>1.1560702189652725E-3</v>
      </c>
      <c r="L43" s="8">
        <f t="shared" si="16"/>
        <v>7.1827850322146302E-4</v>
      </c>
      <c r="M43" s="8">
        <f t="shared" si="17"/>
        <v>7.883044531374505E-4</v>
      </c>
      <c r="N43" s="8">
        <f t="shared" si="18"/>
        <v>1.3455750627015405E-3</v>
      </c>
      <c r="O43" s="8">
        <f t="shared" si="19"/>
        <v>1.6333318359292547E-3</v>
      </c>
      <c r="P43" s="8">
        <f t="shared" si="20"/>
        <v>1.6046903208215711E-3</v>
      </c>
    </row>
    <row r="44" spans="1:16" x14ac:dyDescent="0.3">
      <c r="B44" s="10" t="s">
        <v>101</v>
      </c>
      <c r="C44" s="10">
        <f t="shared" si="9"/>
        <v>-5.9470129729656714E-4</v>
      </c>
      <c r="D44" s="10">
        <f t="shared" si="10"/>
        <v>-6.4699447002375459E-3</v>
      </c>
      <c r="E44" s="10">
        <f t="shared" si="11"/>
        <v>-6.8740894289553971E-3</v>
      </c>
      <c r="F44" s="10">
        <f t="shared" si="12"/>
        <v>1.1350646783380075E-2</v>
      </c>
      <c r="G44" s="10">
        <f t="shared" si="13"/>
        <v>2.8112155926310403E-3</v>
      </c>
      <c r="H44" s="10">
        <f t="shared" si="14"/>
        <v>4.0310903928582886E-3</v>
      </c>
      <c r="J44" s="10" t="s">
        <v>101</v>
      </c>
      <c r="K44" s="8">
        <f t="shared" si="15"/>
        <v>1.4191505039784207E-3</v>
      </c>
      <c r="L44" s="8">
        <f t="shared" si="16"/>
        <v>9.2791904839016083E-4</v>
      </c>
      <c r="M44" s="8">
        <f t="shared" si="17"/>
        <v>1.1072656929042989E-3</v>
      </c>
      <c r="N44" s="8">
        <f t="shared" si="18"/>
        <v>1.722163604689951E-3</v>
      </c>
      <c r="O44" s="8">
        <f t="shared" si="19"/>
        <v>1.901204345863538E-3</v>
      </c>
      <c r="P44" s="8">
        <f t="shared" si="20"/>
        <v>1.9387574547613808E-3</v>
      </c>
    </row>
    <row r="45" spans="1:16" x14ac:dyDescent="0.3">
      <c r="B45" s="10" t="s">
        <v>96</v>
      </c>
      <c r="C45" s="10">
        <f t="shared" si="9"/>
        <v>8.1907478891044654E-3</v>
      </c>
      <c r="D45" s="10">
        <f t="shared" si="10"/>
        <v>-1.7803794861725088E-3</v>
      </c>
      <c r="E45" s="10">
        <f t="shared" si="11"/>
        <v>-1.2134542417210799E-3</v>
      </c>
      <c r="F45" s="10">
        <f t="shared" si="12"/>
        <v>-4.470280087473283E-3</v>
      </c>
      <c r="G45" s="10">
        <f t="shared" si="13"/>
        <v>-1.6137325304360906E-3</v>
      </c>
      <c r="H45" s="10">
        <f t="shared" si="14"/>
        <v>-3.6472996620445213E-3</v>
      </c>
      <c r="J45" s="10" t="s">
        <v>96</v>
      </c>
      <c r="K45" s="8">
        <f t="shared" si="15"/>
        <v>1.8131054670335253E-3</v>
      </c>
      <c r="L45" s="8">
        <f t="shared" si="16"/>
        <v>1.1209135617662781E-3</v>
      </c>
      <c r="M45" s="8">
        <f t="shared" si="17"/>
        <v>1.3135958641283902E-3</v>
      </c>
      <c r="N45" s="8">
        <f t="shared" si="18"/>
        <v>2.1280717577434874E-3</v>
      </c>
      <c r="O45" s="8">
        <f t="shared" si="19"/>
        <v>2.2580131865372207E-3</v>
      </c>
      <c r="P45" s="8">
        <f t="shared" si="20"/>
        <v>2.2893067662251073E-3</v>
      </c>
    </row>
    <row r="46" spans="1:16" x14ac:dyDescent="0.3">
      <c r="B46" s="10" t="s">
        <v>104</v>
      </c>
      <c r="C46" s="10">
        <f t="shared" si="9"/>
        <v>2.1537444030565456E-3</v>
      </c>
      <c r="D46" s="10">
        <f t="shared" si="10"/>
        <v>-4.0935977487373629E-3</v>
      </c>
      <c r="E46" s="10">
        <f t="shared" si="11"/>
        <v>-8.0564613386651784E-3</v>
      </c>
      <c r="F46" s="10">
        <f t="shared" si="12"/>
        <v>-8.66207884950395E-4</v>
      </c>
      <c r="G46" s="10">
        <f t="shared" si="13"/>
        <v>2.3841306919847021E-3</v>
      </c>
      <c r="H46" s="10">
        <f t="shared" si="14"/>
        <v>-7.6960969825808417E-3</v>
      </c>
      <c r="J46" s="10" t="s">
        <v>104</v>
      </c>
      <c r="K46" s="8">
        <f t="shared" si="15"/>
        <v>2.2651227327731313E-3</v>
      </c>
      <c r="L46" s="8">
        <f t="shared" si="16"/>
        <v>1.3564953950866469E-3</v>
      </c>
      <c r="M46" s="8">
        <f t="shared" si="17"/>
        <v>1.5207398273178654E-3</v>
      </c>
      <c r="N46" s="8">
        <f t="shared" si="18"/>
        <v>2.4200373120498143E-3</v>
      </c>
      <c r="O46" s="8">
        <f t="shared" si="19"/>
        <v>2.6249403293495161E-3</v>
      </c>
      <c r="P46" s="8">
        <f t="shared" si="20"/>
        <v>2.5219904047594599E-3</v>
      </c>
    </row>
    <row r="47" spans="1:16" x14ac:dyDescent="0.3">
      <c r="B47" s="10" t="s">
        <v>106</v>
      </c>
      <c r="C47" s="10">
        <f t="shared" si="9"/>
        <v>1.2278460189873563E-3</v>
      </c>
      <c r="D47" s="10">
        <f t="shared" si="10"/>
        <v>1.104745681020973E-3</v>
      </c>
      <c r="E47" s="10">
        <f t="shared" si="11"/>
        <v>-8.1961962007217892E-3</v>
      </c>
      <c r="F47" s="10">
        <f t="shared" si="12"/>
        <v>-3.0749082642483848E-3</v>
      </c>
      <c r="G47" s="10">
        <f t="shared" si="13"/>
        <v>3.7549698480549808E-3</v>
      </c>
      <c r="H47" s="10">
        <f t="shared" si="14"/>
        <v>9.5151437680367212E-4</v>
      </c>
      <c r="J47" s="10" t="s">
        <v>106</v>
      </c>
      <c r="K47" s="8">
        <f t="shared" si="15"/>
        <v>2.587832858987445E-3</v>
      </c>
      <c r="L47" s="8">
        <f t="shared" si="16"/>
        <v>1.5955709187257968E-3</v>
      </c>
      <c r="M47" s="8">
        <f t="shared" si="17"/>
        <v>1.6113080914656951E-3</v>
      </c>
      <c r="N47" s="8">
        <f t="shared" si="18"/>
        <v>2.661559940201879E-3</v>
      </c>
      <c r="O47" s="8">
        <f t="shared" si="19"/>
        <v>2.9834351026876409E-3</v>
      </c>
      <c r="P47" s="8">
        <f t="shared" si="20"/>
        <v>2.7329622770655604E-3</v>
      </c>
    </row>
    <row r="48" spans="1:16" x14ac:dyDescent="0.3">
      <c r="B48" s="10" t="s">
        <v>90</v>
      </c>
      <c r="C48" s="10">
        <f t="shared" si="9"/>
        <v>-2.4309607025276674E-3</v>
      </c>
      <c r="D48" s="10">
        <f t="shared" si="10"/>
        <v>-1.1887663830487168E-3</v>
      </c>
      <c r="E48" s="10">
        <f t="shared" si="11"/>
        <v>3.2299114888210981E-2</v>
      </c>
      <c r="F48" s="10">
        <f t="shared" si="12"/>
        <v>7.4454218609075976E-3</v>
      </c>
      <c r="G48" s="10">
        <f t="shared" si="13"/>
        <v>1.1548974314288156E-2</v>
      </c>
      <c r="H48" s="10">
        <f t="shared" si="14"/>
        <v>5.7097694762036407E-3</v>
      </c>
      <c r="J48" s="10" t="s">
        <v>90</v>
      </c>
      <c r="K48" s="8">
        <f t="shared" si="15"/>
        <v>2.966230741669653E-3</v>
      </c>
      <c r="L48" s="8">
        <f t="shared" si="16"/>
        <v>1.9423005568228334E-3</v>
      </c>
      <c r="M48" s="8">
        <f t="shared" si="17"/>
        <v>2.2457267444817562E-3</v>
      </c>
      <c r="N48" s="8">
        <f t="shared" si="18"/>
        <v>3.109428087819222E-3</v>
      </c>
      <c r="O48" s="8">
        <f t="shared" si="19"/>
        <v>3.5756074499280715E-3</v>
      </c>
      <c r="P48" s="8">
        <f t="shared" si="20"/>
        <v>3.2112445287671471E-3</v>
      </c>
    </row>
    <row r="49" spans="2:16" x14ac:dyDescent="0.3">
      <c r="B49" s="10" t="s">
        <v>83</v>
      </c>
      <c r="C49" s="10">
        <f t="shared" si="9"/>
        <v>-6.7254472484558408E-3</v>
      </c>
      <c r="D49" s="10">
        <f t="shared" si="10"/>
        <v>-8.6698730413339274E-3</v>
      </c>
      <c r="E49" s="10">
        <f t="shared" si="11"/>
        <v>-1.2228591902543891E-2</v>
      </c>
      <c r="F49" s="10">
        <f t="shared" si="12"/>
        <v>-3.2630746611645809E-3</v>
      </c>
      <c r="G49" s="10">
        <f t="shared" si="13"/>
        <v>2.1218612696615475E-3</v>
      </c>
      <c r="H49" s="10">
        <f t="shared" si="14"/>
        <v>-1.6837764368145408E-3</v>
      </c>
      <c r="J49" s="10" t="s">
        <v>83</v>
      </c>
      <c r="K49" s="8">
        <f t="shared" si="15"/>
        <v>3.2398077603437809E-3</v>
      </c>
      <c r="L49" s="8">
        <f t="shared" si="16"/>
        <v>2.1759060324811181E-3</v>
      </c>
      <c r="M49" s="8">
        <f t="shared" si="17"/>
        <v>2.8546239772499916E-3</v>
      </c>
      <c r="N49" s="8">
        <f t="shared" si="18"/>
        <v>3.5505084075661891E-3</v>
      </c>
      <c r="O49" s="8">
        <f t="shared" si="19"/>
        <v>4.1470073748052895E-3</v>
      </c>
      <c r="P49" s="8">
        <f t="shared" si="20"/>
        <v>3.6535336088443951E-3</v>
      </c>
    </row>
    <row r="50" spans="2:16" x14ac:dyDescent="0.3">
      <c r="B50" s="10" t="s">
        <v>91</v>
      </c>
      <c r="C50" s="10">
        <f t="shared" si="9"/>
        <v>3.2758259364669452E-3</v>
      </c>
      <c r="D50" s="10">
        <f t="shared" si="10"/>
        <v>1.1677424002672545E-2</v>
      </c>
      <c r="E50" s="10">
        <f t="shared" si="11"/>
        <v>1.5157559166631817E-2</v>
      </c>
      <c r="F50" s="10">
        <f t="shared" si="12"/>
        <v>8.8353574914441721E-3</v>
      </c>
      <c r="G50" s="10">
        <f t="shared" si="13"/>
        <v>1.3956724300486782E-2</v>
      </c>
      <c r="H50" s="10">
        <f t="shared" si="14"/>
        <v>7.8560229056614944E-3</v>
      </c>
      <c r="J50" s="10" t="s">
        <v>91</v>
      </c>
      <c r="K50" s="8">
        <f t="shared" si="15"/>
        <v>3.7973796614905507E-3</v>
      </c>
      <c r="L50" s="8">
        <f t="shared" si="16"/>
        <v>2.7314920480293165E-3</v>
      </c>
      <c r="M50" s="8">
        <f t="shared" si="17"/>
        <v>3.4649509972907509E-3</v>
      </c>
      <c r="N50" s="8">
        <f t="shared" si="18"/>
        <v>4.2530078207044814E-3</v>
      </c>
      <c r="O50" s="8">
        <f t="shared" si="19"/>
        <v>5.0375668013608694E-3</v>
      </c>
      <c r="P50" s="8">
        <f t="shared" si="20"/>
        <v>4.3724399101052287E-3</v>
      </c>
    </row>
    <row r="51" spans="2:16" x14ac:dyDescent="0.3">
      <c r="B51" s="10" t="s">
        <v>93</v>
      </c>
      <c r="C51" s="10">
        <f t="shared" si="9"/>
        <v>4.9270115758423862E-3</v>
      </c>
      <c r="D51" s="10">
        <f t="shared" si="10"/>
        <v>1.7715458049577255E-2</v>
      </c>
      <c r="E51" s="10">
        <f t="shared" si="11"/>
        <v>3.4178742623597484E-2</v>
      </c>
      <c r="F51" s="10">
        <f t="shared" si="12"/>
        <v>2.0059303920236228E-2</v>
      </c>
      <c r="G51" s="10">
        <f t="shared" si="13"/>
        <v>2.0647906899713256E-2</v>
      </c>
      <c r="H51" s="10">
        <f t="shared" si="14"/>
        <v>3.2179003689363078E-3</v>
      </c>
      <c r="J51" s="10" t="s">
        <v>93</v>
      </c>
      <c r="K51" s="8">
        <f t="shared" si="15"/>
        <v>5.8307925970493644E-3</v>
      </c>
      <c r="L51" s="8">
        <f t="shared" si="16"/>
        <v>4.7700348476483259E-3</v>
      </c>
      <c r="M51" s="8">
        <f t="shared" si="17"/>
        <v>6.1169803344911025E-3</v>
      </c>
      <c r="N51" s="8">
        <f t="shared" si="18"/>
        <v>6.8159082766033668E-3</v>
      </c>
      <c r="O51" s="8">
        <f t="shared" si="19"/>
        <v>7.9774869807029709E-3</v>
      </c>
      <c r="P51" s="8">
        <f t="shared" si="20"/>
        <v>6.6587115628378686E-3</v>
      </c>
    </row>
    <row r="52" spans="2:16" x14ac:dyDescent="0.3">
      <c r="B52" s="10" t="s">
        <v>92</v>
      </c>
      <c r="C52" s="10">
        <f t="shared" si="9"/>
        <v>4.6045465095579004E-3</v>
      </c>
      <c r="D52" s="10">
        <f t="shared" si="10"/>
        <v>-1.4635476767596915E-2</v>
      </c>
      <c r="E52" s="10">
        <f t="shared" si="11"/>
        <v>-1.3462334430068707E-2</v>
      </c>
      <c r="F52" s="10">
        <f t="shared" si="12"/>
        <v>-1.1987299077082739E-2</v>
      </c>
      <c r="G52" s="10">
        <f t="shared" si="13"/>
        <v>-2.3331684384745519E-3</v>
      </c>
      <c r="H52" s="10">
        <f t="shared" si="14"/>
        <v>-7.6493801630775279E-3</v>
      </c>
      <c r="J52" s="10" t="s">
        <v>92</v>
      </c>
      <c r="K52" s="8">
        <f t="shared" si="15"/>
        <v>6.76560890913967E-3</v>
      </c>
      <c r="L52" s="8">
        <f t="shared" si="16"/>
        <v>5.5683303347949919E-3</v>
      </c>
      <c r="M52" s="8">
        <f t="shared" si="17"/>
        <v>7.2604597698551158E-3</v>
      </c>
      <c r="N52" s="8">
        <f t="shared" si="18"/>
        <v>7.7419439330854148E-3</v>
      </c>
      <c r="O52" s="8">
        <f t="shared" si="19"/>
        <v>9.1108396540022438E-3</v>
      </c>
      <c r="P52" s="8">
        <f t="shared" si="20"/>
        <v>7.3544200257040174E-3</v>
      </c>
    </row>
    <row r="53" spans="2:16" x14ac:dyDescent="0.3">
      <c r="B53" s="10" t="s">
        <v>77</v>
      </c>
      <c r="C53" s="10">
        <f t="shared" si="9"/>
        <v>1.5732363008682443E-2</v>
      </c>
      <c r="D53" s="10">
        <f t="shared" si="10"/>
        <v>3.8080669819488412E-2</v>
      </c>
      <c r="E53" s="10">
        <f t="shared" si="11"/>
        <v>2.8459780027510685E-2</v>
      </c>
      <c r="F53" s="10">
        <f t="shared" si="12"/>
        <v>9.4170301090945006E-3</v>
      </c>
      <c r="G53" s="10">
        <f t="shared" si="13"/>
        <v>7.7863027577853086E-4</v>
      </c>
      <c r="H53" s="10">
        <f t="shared" si="14"/>
        <v>1.1018145193028808E-2</v>
      </c>
      <c r="J53" s="10" t="s">
        <v>77</v>
      </c>
      <c r="K53" s="8">
        <f t="shared" si="15"/>
        <v>8.0950646620201027E-3</v>
      </c>
      <c r="L53" s="8">
        <f t="shared" si="16"/>
        <v>6.9126679425861705E-3</v>
      </c>
      <c r="M53" s="8">
        <f t="shared" si="17"/>
        <v>8.5072964361563221E-3</v>
      </c>
      <c r="N53" s="8">
        <f t="shared" si="18"/>
        <v>8.6750627015406631E-3</v>
      </c>
      <c r="O53" s="8">
        <f t="shared" si="19"/>
        <v>1.0113119857634755E-2</v>
      </c>
      <c r="P53" s="8">
        <f t="shared" si="20"/>
        <v>8.3853857396263016E-3</v>
      </c>
    </row>
    <row r="54" spans="2:16" x14ac:dyDescent="0.3">
      <c r="B54" s="10" t="s">
        <v>79</v>
      </c>
      <c r="C54" s="10">
        <f t="shared" si="9"/>
        <v>7.0556077598930983E-3</v>
      </c>
      <c r="D54" s="10">
        <f t="shared" si="10"/>
        <v>7.0164394705401582E-3</v>
      </c>
      <c r="E54" s="10">
        <f t="shared" si="11"/>
        <v>-8.6329425248121774E-3</v>
      </c>
      <c r="F54" s="10">
        <f t="shared" si="12"/>
        <v>5.8432893907757709E-3</v>
      </c>
      <c r="G54" s="10">
        <f t="shared" si="13"/>
        <v>2.0356259491827962E-2</v>
      </c>
      <c r="H54" s="10">
        <f t="shared" si="14"/>
        <v>2.7777717607247496E-2</v>
      </c>
      <c r="J54" s="10" t="s">
        <v>79</v>
      </c>
      <c r="K54" s="8">
        <f t="shared" si="15"/>
        <v>9.6513726736207374E-3</v>
      </c>
      <c r="L54" s="8">
        <f t="shared" si="16"/>
        <v>8.8567790980413671E-3</v>
      </c>
      <c r="M54" s="8">
        <f t="shared" si="17"/>
        <v>1.0023164814348059E-2</v>
      </c>
      <c r="N54" s="8">
        <f t="shared" si="18"/>
        <v>1.010834084928156E-2</v>
      </c>
      <c r="O54" s="8">
        <f t="shared" si="19"/>
        <v>1.1724129999209808E-2</v>
      </c>
      <c r="P54" s="8">
        <f t="shared" si="20"/>
        <v>1.0269180563435452E-2</v>
      </c>
    </row>
    <row r="55" spans="2:16" x14ac:dyDescent="0.3">
      <c r="B55" s="10" t="s">
        <v>88</v>
      </c>
      <c r="C55" s="10">
        <f t="shared" si="9"/>
        <v>-1.4162142916697653E-2</v>
      </c>
      <c r="D55" s="10">
        <f t="shared" si="10"/>
        <v>-1.3334013370378353E-2</v>
      </c>
      <c r="E55" s="10">
        <f t="shared" si="11"/>
        <v>-1.571958989406011E-2</v>
      </c>
      <c r="F55" s="10">
        <f t="shared" si="12"/>
        <v>-1.2865244196246559E-2</v>
      </c>
      <c r="G55" s="10">
        <f t="shared" si="13"/>
        <v>-3.0798498843390663E-3</v>
      </c>
      <c r="H55" s="10">
        <f t="shared" si="14"/>
        <v>-8.1491663827807075E-3</v>
      </c>
      <c r="J55" s="10" t="s">
        <v>88</v>
      </c>
      <c r="K55" s="8">
        <f t="shared" si="15"/>
        <v>1.0708071091040607E-2</v>
      </c>
      <c r="L55" s="8">
        <f t="shared" si="16"/>
        <v>9.898211205055395E-3</v>
      </c>
      <c r="M55" s="8">
        <f t="shared" si="17"/>
        <v>1.0741850495113293E-2</v>
      </c>
      <c r="N55" s="8">
        <f t="shared" si="18"/>
        <v>1.1184828080406228E-2</v>
      </c>
      <c r="O55" s="8">
        <f t="shared" si="19"/>
        <v>1.3361408757757187E-2</v>
      </c>
      <c r="P55" s="8">
        <f t="shared" si="20"/>
        <v>1.1897065574193729E-2</v>
      </c>
    </row>
    <row r="56" spans="2:16" x14ac:dyDescent="0.3">
      <c r="B56" s="10" t="s">
        <v>80</v>
      </c>
      <c r="C56" s="10">
        <f t="shared" si="9"/>
        <v>-1.1431172524444047E-3</v>
      </c>
      <c r="D56" s="10">
        <f t="shared" si="10"/>
        <v>-1.7238486441548906E-2</v>
      </c>
      <c r="E56" s="10">
        <f t="shared" si="11"/>
        <v>-1.6065344104020697E-2</v>
      </c>
      <c r="F56" s="10">
        <f t="shared" si="12"/>
        <v>5.8210504206871599E-4</v>
      </c>
      <c r="G56" s="10">
        <f t="shared" si="13"/>
        <v>-9.4679001668072083E-3</v>
      </c>
      <c r="H56" s="10">
        <f t="shared" si="14"/>
        <v>-1.0252389837029519E-2</v>
      </c>
      <c r="J56" s="10" t="s">
        <v>80</v>
      </c>
      <c r="K56" s="8">
        <f t="shared" si="15"/>
        <v>1.1428652914016072E-2</v>
      </c>
      <c r="L56" s="8">
        <f t="shared" si="16"/>
        <v>1.0287585541222354E-2</v>
      </c>
      <c r="M56" s="8">
        <f t="shared" si="17"/>
        <v>1.1120272236017749E-2</v>
      </c>
      <c r="N56" s="8">
        <f t="shared" si="18"/>
        <v>1.1976321674347342E-2</v>
      </c>
      <c r="O56" s="8">
        <f t="shared" si="19"/>
        <v>1.4184196667969223E-2</v>
      </c>
      <c r="P56" s="8">
        <f t="shared" si="20"/>
        <v>1.2573354348240858E-2</v>
      </c>
    </row>
    <row r="57" spans="2:16" x14ac:dyDescent="0.3">
      <c r="B57" s="10" t="s">
        <v>84</v>
      </c>
      <c r="C57" s="10">
        <f t="shared" si="9"/>
        <v>-1.4157061444129716E-2</v>
      </c>
      <c r="D57" s="10">
        <f t="shared" si="10"/>
        <v>-1.5894454850427977E-2</v>
      </c>
      <c r="E57" s="10">
        <f t="shared" si="11"/>
        <v>-1.9655246075996866E-2</v>
      </c>
      <c r="F57" s="10">
        <f t="shared" si="12"/>
        <v>-9.5083952112084407E-3</v>
      </c>
      <c r="G57" s="10">
        <f t="shared" si="13"/>
        <v>6.7130861931045081E-3</v>
      </c>
      <c r="H57" s="10">
        <f t="shared" si="14"/>
        <v>1.6145670335040024E-3</v>
      </c>
      <c r="J57" s="10" t="s">
        <v>84</v>
      </c>
      <c r="K57" s="8">
        <f t="shared" si="15"/>
        <v>1.2235414145647855E-2</v>
      </c>
      <c r="L57" s="8">
        <f t="shared" si="16"/>
        <v>1.0691827187286031E-2</v>
      </c>
      <c r="M57" s="8">
        <f t="shared" si="17"/>
        <v>1.1487001368752884E-2</v>
      </c>
      <c r="N57" s="8">
        <f t="shared" si="18"/>
        <v>1.2929880527310698E-2</v>
      </c>
      <c r="O57" s="8">
        <f t="shared" si="19"/>
        <v>1.5315006911512091E-2</v>
      </c>
      <c r="P57" s="8">
        <f t="shared" si="20"/>
        <v>1.3545535203223529E-2</v>
      </c>
    </row>
    <row r="58" spans="2:16" x14ac:dyDescent="0.3">
      <c r="B58" s="10" t="s">
        <v>85</v>
      </c>
      <c r="C58" s="10">
        <f t="shared" si="9"/>
        <v>-4.5764913727637593E-3</v>
      </c>
      <c r="D58" s="10">
        <f t="shared" si="10"/>
        <v>-1.2975291704015577E-2</v>
      </c>
      <c r="E58" s="10">
        <f t="shared" si="11"/>
        <v>-4.5219311283338642E-3</v>
      </c>
      <c r="F58" s="10">
        <f t="shared" si="12"/>
        <v>-1.1527261270833592E-2</v>
      </c>
      <c r="G58" s="10">
        <f t="shared" si="13"/>
        <v>-6.0110616667081625E-3</v>
      </c>
      <c r="H58" s="10">
        <f t="shared" si="14"/>
        <v>9.7623575401475614E-3</v>
      </c>
      <c r="J58" s="10" t="s">
        <v>85</v>
      </c>
      <c r="K58" s="8">
        <f t="shared" si="15"/>
        <v>1.3137009344952001E-2</v>
      </c>
      <c r="L58" s="8">
        <f t="shared" si="16"/>
        <v>1.1325227504268303E-2</v>
      </c>
      <c r="M58" s="8">
        <f t="shared" si="17"/>
        <v>1.2246989817428045E-2</v>
      </c>
      <c r="N58" s="8">
        <f t="shared" si="18"/>
        <v>1.3802042278753146E-2</v>
      </c>
      <c r="O58" s="8">
        <f t="shared" si="19"/>
        <v>1.6734460734276462E-2</v>
      </c>
      <c r="P58" s="8">
        <f t="shared" si="20"/>
        <v>1.5145172248987629E-2</v>
      </c>
    </row>
    <row r="59" spans="2:16" x14ac:dyDescent="0.3">
      <c r="B59" s="10" t="s">
        <v>78</v>
      </c>
      <c r="C59" s="10">
        <f t="shared" si="9"/>
        <v>-1.1116211362217729E-2</v>
      </c>
      <c r="D59" s="10">
        <f t="shared" si="10"/>
        <v>-2.4811123960977774E-2</v>
      </c>
      <c r="E59" s="10">
        <f t="shared" si="11"/>
        <v>-2.4446271080885269E-2</v>
      </c>
      <c r="F59" s="10">
        <f t="shared" si="12"/>
        <v>-2.4452797785986979E-2</v>
      </c>
      <c r="G59" s="10">
        <f t="shared" si="13"/>
        <v>7.6649589043765315E-4</v>
      </c>
      <c r="H59" s="10">
        <f t="shared" si="14"/>
        <v>-1.6155118857437194E-2</v>
      </c>
      <c r="J59" s="10" t="s">
        <v>78</v>
      </c>
      <c r="K59" s="8">
        <f t="shared" si="15"/>
        <v>2.2793324060490918E-2</v>
      </c>
      <c r="L59" s="8">
        <f t="shared" si="16"/>
        <v>1.9069677445678841E-2</v>
      </c>
      <c r="M59" s="8">
        <f t="shared" si="17"/>
        <v>2.0878163474982104E-2</v>
      </c>
      <c r="N59" s="8">
        <f t="shared" si="18"/>
        <v>2.3152391307033674E-2</v>
      </c>
      <c r="O59" s="8">
        <f t="shared" si="19"/>
        <v>2.9000934704883293E-2</v>
      </c>
      <c r="P59" s="8">
        <f t="shared" si="20"/>
        <v>2.6381581143003579E-2</v>
      </c>
    </row>
    <row r="60" spans="2:16" x14ac:dyDescent="0.3">
      <c r="B60" s="10" t="s">
        <v>81</v>
      </c>
      <c r="C60" s="10">
        <f t="shared" si="9"/>
        <v>3.0072751814570191E-2</v>
      </c>
      <c r="D60" s="10">
        <f t="shared" si="10"/>
        <v>0.10857719461767679</v>
      </c>
      <c r="E60" s="10">
        <f t="shared" si="11"/>
        <v>5.8682159984718797E-2</v>
      </c>
      <c r="F60" s="10">
        <f t="shared" si="12"/>
        <v>5.0545534291256376E-2</v>
      </c>
      <c r="G60" s="10">
        <f t="shared" si="13"/>
        <v>3.7174349792871132E-2</v>
      </c>
      <c r="H60" s="10">
        <f t="shared" si="14"/>
        <v>2.0644316183262922E-2</v>
      </c>
      <c r="J60" s="10" t="s">
        <v>81</v>
      </c>
      <c r="K60" s="8">
        <f t="shared" si="15"/>
        <v>2.8778790316583615E-2</v>
      </c>
      <c r="L60" s="8">
        <f t="shared" si="16"/>
        <v>2.7209730437565575E-2</v>
      </c>
      <c r="M60" s="8">
        <f t="shared" si="17"/>
        <v>2.7265709858298463E-2</v>
      </c>
      <c r="N60" s="8">
        <f t="shared" si="18"/>
        <v>2.9453603330903504E-2</v>
      </c>
      <c r="O60" s="8">
        <f t="shared" si="19"/>
        <v>3.6362510973446144E-2</v>
      </c>
      <c r="P60" s="8">
        <f t="shared" si="20"/>
        <v>3.2167505520821052E-2</v>
      </c>
    </row>
    <row r="61" spans="2:16" x14ac:dyDescent="0.3">
      <c r="B61" s="10" t="s">
        <v>95</v>
      </c>
      <c r="C61" s="10">
        <f t="shared" si="9"/>
        <v>7.6627930297068977E-3</v>
      </c>
      <c r="D61" s="10">
        <f t="shared" si="10"/>
        <v>5.7985651643373277E-2</v>
      </c>
      <c r="E61" s="10">
        <f t="shared" si="11"/>
        <v>2.9117369146207904E-2</v>
      </c>
      <c r="F61" s="10">
        <f t="shared" si="12"/>
        <v>1.3113888236820317E-2</v>
      </c>
      <c r="G61" s="10">
        <f t="shared" si="13"/>
        <v>7.1663937061400423E-3</v>
      </c>
      <c r="H61" s="10">
        <f t="shared" si="14"/>
        <v>1.4558649160400707E-2</v>
      </c>
      <c r="J61" s="10" t="s">
        <v>95</v>
      </c>
      <c r="K61" s="8">
        <f t="shared" si="15"/>
        <v>3.7188524604016962E-2</v>
      </c>
      <c r="L61" s="8">
        <f t="shared" si="16"/>
        <v>4.104179868948362E-2</v>
      </c>
      <c r="M61" s="8">
        <f t="shared" si="17"/>
        <v>3.7682665213897314E-2</v>
      </c>
      <c r="N61" s="8">
        <f t="shared" si="18"/>
        <v>3.9064095182791983E-2</v>
      </c>
      <c r="O61" s="8">
        <f t="shared" si="19"/>
        <v>4.5898438387956132E-2</v>
      </c>
      <c r="P61" s="8">
        <f t="shared" si="20"/>
        <v>4.0842253439532933E-2</v>
      </c>
    </row>
    <row r="62" spans="2:16" x14ac:dyDescent="0.3">
      <c r="B62" s="10" t="s">
        <v>94</v>
      </c>
      <c r="C62" s="10">
        <f t="shared" si="9"/>
        <v>2.1640290331230889E-2</v>
      </c>
      <c r="D62" s="10">
        <f t="shared" si="10"/>
        <v>2.8970355910138211E-2</v>
      </c>
      <c r="E62" s="10">
        <f t="shared" si="11"/>
        <v>1.8703957176458362E-2</v>
      </c>
      <c r="F62" s="10">
        <f t="shared" si="12"/>
        <v>1.245790039412397E-2</v>
      </c>
      <c r="G62" s="10">
        <f t="shared" si="13"/>
        <v>2.3068429923112851E-3</v>
      </c>
      <c r="H62" s="10">
        <f t="shared" si="14"/>
        <v>-9.0430010093955904E-5</v>
      </c>
      <c r="J62" s="10" t="s">
        <v>94</v>
      </c>
      <c r="K62" s="8">
        <f t="shared" si="15"/>
        <v>4.6420823671775177E-2</v>
      </c>
      <c r="L62" s="8">
        <f t="shared" si="16"/>
        <v>5.3379118952504932E-2</v>
      </c>
      <c r="M62" s="8">
        <f t="shared" si="17"/>
        <v>4.7842049761118138E-2</v>
      </c>
      <c r="N62" s="8">
        <f t="shared" si="18"/>
        <v>4.8296215668589909E-2</v>
      </c>
      <c r="O62" s="8">
        <f t="shared" si="19"/>
        <v>5.5010949090787055E-2</v>
      </c>
      <c r="P62" s="8">
        <f t="shared" si="20"/>
        <v>4.9714497830397601E-2</v>
      </c>
    </row>
    <row r="63" spans="2:16" x14ac:dyDescent="0.3">
      <c r="B63" s="10" t="s">
        <v>82</v>
      </c>
      <c r="C63" s="10">
        <f t="shared" si="9"/>
        <v>2.2391863784987233E-2</v>
      </c>
      <c r="D63" s="10">
        <f t="shared" si="10"/>
        <v>5.1116208555461055E-2</v>
      </c>
      <c r="E63" s="10">
        <f t="shared" si="11"/>
        <v>6.2853245051975315E-2</v>
      </c>
      <c r="F63" s="10">
        <f t="shared" si="12"/>
        <v>1.6478829735974011E-2</v>
      </c>
      <c r="G63" s="10">
        <f t="shared" si="13"/>
        <v>6.5569628748426423E-3</v>
      </c>
      <c r="H63" s="10">
        <f t="shared" si="14"/>
        <v>2.1705179654160779E-2</v>
      </c>
      <c r="J63" s="10" t="s">
        <v>82</v>
      </c>
      <c r="K63" s="8">
        <f t="shared" si="15"/>
        <v>6.0429857651165417E-2</v>
      </c>
      <c r="L63" s="8">
        <f t="shared" si="16"/>
        <v>7.0255829936335834E-2</v>
      </c>
      <c r="M63" s="8">
        <f t="shared" si="17"/>
        <v>6.4061454856586167E-2</v>
      </c>
      <c r="N63" s="8">
        <f t="shared" si="18"/>
        <v>6.1741578225577333E-2</v>
      </c>
      <c r="O63" s="8">
        <f t="shared" si="19"/>
        <v>6.8268235946141148E-2</v>
      </c>
      <c r="P63" s="8">
        <f t="shared" si="20"/>
        <v>6.2954109965562222E-2</v>
      </c>
    </row>
    <row r="64" spans="2:16" x14ac:dyDescent="0.3">
      <c r="B64" s="10" t="s">
        <v>98</v>
      </c>
      <c r="C64" s="10">
        <f t="shared" si="9"/>
        <v>4.690540574037394E-2</v>
      </c>
      <c r="D64" s="10">
        <f t="shared" si="10"/>
        <v>5.3080006783369521E-2</v>
      </c>
      <c r="E64" s="10">
        <f t="shared" si="11"/>
        <v>4.9611097861874634E-2</v>
      </c>
      <c r="F64" s="10">
        <f t="shared" si="12"/>
        <v>3.230445150051274E-2</v>
      </c>
      <c r="G64" s="10">
        <f t="shared" si="13"/>
        <v>2.0016713194439179E-2</v>
      </c>
      <c r="H64" s="10">
        <f t="shared" si="14"/>
        <v>2.5316996194773692E-2</v>
      </c>
      <c r="J64" s="10" t="s">
        <v>98</v>
      </c>
      <c r="K64" s="8">
        <f t="shared" si="15"/>
        <v>7.9392400663408288E-2</v>
      </c>
      <c r="L64" s="8">
        <f t="shared" si="16"/>
        <v>9.2604877650710099E-2</v>
      </c>
      <c r="M64" s="8">
        <f t="shared" si="17"/>
        <v>8.6115929186535878E-2</v>
      </c>
      <c r="N64" s="8">
        <f t="shared" si="18"/>
        <v>7.9625720604405842E-2</v>
      </c>
      <c r="O64" s="8">
        <f t="shared" si="19"/>
        <v>8.5642091379174182E-2</v>
      </c>
      <c r="P64" s="8">
        <f t="shared" si="20"/>
        <v>8.0887241755605438E-2</v>
      </c>
    </row>
    <row r="65" spans="2:16" x14ac:dyDescent="0.3">
      <c r="B65" s="10" t="s">
        <v>89</v>
      </c>
      <c r="C65" s="10">
        <f t="shared" si="9"/>
        <v>-5.5654698728392474E-2</v>
      </c>
      <c r="D65" s="10">
        <f t="shared" si="10"/>
        <v>-5.4991635544346273E-2</v>
      </c>
      <c r="E65" s="10">
        <f t="shared" si="11"/>
        <v>-4.8519706763628469E-2</v>
      </c>
      <c r="F65" s="10">
        <f t="shared" si="12"/>
        <v>-5.4343703282719077E-2</v>
      </c>
      <c r="G65" s="10">
        <f t="shared" si="13"/>
        <v>-5.989428146794671E-2</v>
      </c>
      <c r="H65" s="10">
        <f t="shared" si="14"/>
        <v>-6.3932213070004698E-2</v>
      </c>
      <c r="J65" s="10" t="s">
        <v>89</v>
      </c>
      <c r="K65" s="8">
        <f t="shared" si="15"/>
        <v>9.6133400767065766E-2</v>
      </c>
      <c r="L65" s="8">
        <f t="shared" si="16"/>
        <v>0.11125179625410095</v>
      </c>
      <c r="M65" s="8">
        <f t="shared" si="17"/>
        <v>0.10425584941231787</v>
      </c>
      <c r="N65" s="8">
        <f t="shared" si="18"/>
        <v>9.5495863551563517E-2</v>
      </c>
      <c r="O65" s="8">
        <f t="shared" si="19"/>
        <v>0.10096695950838963</v>
      </c>
      <c r="P65" s="8">
        <f t="shared" si="20"/>
        <v>9.5777325939074842E-2</v>
      </c>
    </row>
    <row r="66" spans="2:16" x14ac:dyDescent="0.3">
      <c r="B66" s="10" t="s">
        <v>99</v>
      </c>
      <c r="C66" s="10">
        <f t="shared" si="9"/>
        <v>2.218542755352447E-2</v>
      </c>
      <c r="D66" s="10">
        <f t="shared" si="10"/>
        <v>-4.4965707006889288E-3</v>
      </c>
      <c r="E66" s="10">
        <f t="shared" si="11"/>
        <v>4.0644150248602143E-2</v>
      </c>
      <c r="F66" s="10">
        <f t="shared" si="12"/>
        <v>8.3565401104535447E-3</v>
      </c>
      <c r="G66" s="10">
        <f t="shared" si="13"/>
        <v>-1.9561993070086089E-2</v>
      </c>
      <c r="H66" s="10">
        <f t="shared" si="14"/>
        <v>1.6139184511601706E-3</v>
      </c>
      <c r="J66" s="10" t="s">
        <v>99</v>
      </c>
      <c r="K66" s="8">
        <f t="shared" si="15"/>
        <v>0.12189658639968098</v>
      </c>
      <c r="L66" s="8">
        <f t="shared" si="16"/>
        <v>0.13759458146482537</v>
      </c>
      <c r="M66" s="8">
        <f t="shared" si="17"/>
        <v>0.13346574783525691</v>
      </c>
      <c r="N66" s="8">
        <f t="shared" si="18"/>
        <v>0.12015588776733099</v>
      </c>
      <c r="O66" s="8">
        <f t="shared" si="19"/>
        <v>0.1239309969139044</v>
      </c>
      <c r="P66" s="8">
        <f t="shared" si="20"/>
        <v>0.11919260943567678</v>
      </c>
    </row>
    <row r="67" spans="2:16" x14ac:dyDescent="0.3">
      <c r="B67" s="10" t="s">
        <v>76</v>
      </c>
      <c r="C67" s="10">
        <f t="shared" si="9"/>
        <v>-9.6380233860409392E-2</v>
      </c>
      <c r="D67" s="10">
        <f t="shared" si="10"/>
        <v>-0.18210563057922582</v>
      </c>
      <c r="E67" s="10">
        <f t="shared" si="11"/>
        <v>-0.17861988229403436</v>
      </c>
      <c r="F67" s="10">
        <f t="shared" si="12"/>
        <v>-7.8480645918531267E-2</v>
      </c>
      <c r="G67" s="10">
        <f t="shared" si="13"/>
        <v>-8.8345215144492312E-2</v>
      </c>
      <c r="H67" s="10">
        <f t="shared" si="14"/>
        <v>-6.9030309575279336E-2</v>
      </c>
      <c r="J67" s="10" t="s">
        <v>76</v>
      </c>
      <c r="K67" s="8">
        <f t="shared" si="15"/>
        <v>0.50306056613914008</v>
      </c>
      <c r="L67" s="8">
        <f t="shared" si="16"/>
        <v>0.52675606709925538</v>
      </c>
      <c r="M67" s="8">
        <f t="shared" si="17"/>
        <v>0.52579256555828968</v>
      </c>
      <c r="N67" s="8">
        <f t="shared" si="18"/>
        <v>0.49811291095763482</v>
      </c>
      <c r="O67" s="8">
        <f t="shared" si="19"/>
        <v>0.50083959311381765</v>
      </c>
      <c r="P67" s="8">
        <f t="shared" si="20"/>
        <v>0.49550072760863922</v>
      </c>
    </row>
    <row r="68" spans="2:16" x14ac:dyDescent="0.3">
      <c r="J68" s="12" t="s">
        <v>174</v>
      </c>
      <c r="K68" s="11">
        <f>SUM(K36:K67)</f>
        <v>1.0962891250853488</v>
      </c>
      <c r="L68" s="11">
        <f t="shared" ref="L68:P68" si="21">SUM(L36:L67)</f>
        <v>1.1617853873214747</v>
      </c>
      <c r="M68" s="11">
        <f t="shared" si="21"/>
        <v>1.1413836610918153</v>
      </c>
      <c r="N68" s="11">
        <f t="shared" si="21"/>
        <v>1.1025784961514229</v>
      </c>
      <c r="O68" s="11">
        <f t="shared" si="21"/>
        <v>1.1721169401323421</v>
      </c>
      <c r="P68" s="11">
        <f t="shared" si="21"/>
        <v>1.1147787578577644</v>
      </c>
    </row>
    <row r="69" spans="2:16" x14ac:dyDescent="0.3">
      <c r="J69" s="13" t="s">
        <v>175</v>
      </c>
      <c r="K69" s="14">
        <f>1-K68</f>
        <v>-9.6289125085348815E-2</v>
      </c>
      <c r="L69" s="14">
        <f t="shared" ref="L69:P69" si="22">1-L68</f>
        <v>-0.16178538732147474</v>
      </c>
      <c r="M69" s="14">
        <f t="shared" si="22"/>
        <v>-0.14138366109181533</v>
      </c>
      <c r="N69" s="14">
        <f t="shared" si="22"/>
        <v>-0.10257849615142289</v>
      </c>
      <c r="O69" s="14">
        <f t="shared" si="22"/>
        <v>-0.17211694013234213</v>
      </c>
      <c r="P69" s="14">
        <f t="shared" si="22"/>
        <v>-0.11477875785776437</v>
      </c>
    </row>
  </sheetData>
  <sortState xmlns:xlrd2="http://schemas.microsoft.com/office/spreadsheetml/2017/richdata2" ref="A2:P34">
    <sortCondition ref="B1:B34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0834-98C2-4FDF-83AF-C54AF94F0FE3}">
  <dimension ref="A1:P53"/>
  <sheetViews>
    <sheetView workbookViewId="0">
      <selection activeCell="N1" activeCellId="1" sqref="I1:J25 N1:P25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5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128</v>
      </c>
      <c r="B2" s="9">
        <v>7.007943845878069E-3</v>
      </c>
      <c r="C2" s="9">
        <v>6.7829457364341084E-3</v>
      </c>
      <c r="D2" s="9">
        <v>2.1621621621621623E-2</v>
      </c>
      <c r="E2" s="9">
        <v>1.6611295681063124E-2</v>
      </c>
      <c r="F2" s="9">
        <v>9.7357440890125171E-3</v>
      </c>
      <c r="G2" s="9">
        <v>8.8582677165354329E-3</v>
      </c>
      <c r="H2" s="9">
        <v>1.5065913370998116E-2</v>
      </c>
      <c r="I2" s="9">
        <v>7.007943845878069E-3</v>
      </c>
      <c r="J2" s="9">
        <v>7.007943845878069E-3</v>
      </c>
      <c r="K2" s="9">
        <v>6.7829457364341084E-3</v>
      </c>
      <c r="L2" s="9">
        <v>2.1621621621621623E-2</v>
      </c>
      <c r="M2" s="9">
        <v>1.6611295681063124E-2</v>
      </c>
      <c r="N2" s="9">
        <v>9.7357440890125171E-3</v>
      </c>
      <c r="O2" s="9">
        <v>8.8582677165354329E-3</v>
      </c>
      <c r="P2" s="9">
        <v>1.5065913370998116E-2</v>
      </c>
    </row>
    <row r="3" spans="1:16" x14ac:dyDescent="0.3">
      <c r="A3" s="10" t="s">
        <v>129</v>
      </c>
      <c r="B3" s="9">
        <v>7.3551333094326096E-3</v>
      </c>
      <c r="C3" s="9">
        <v>4.8449612403100775E-3</v>
      </c>
      <c r="D3" s="9">
        <v>7.2072072072072073E-3</v>
      </c>
      <c r="E3" s="9">
        <v>1.9933554817275746E-2</v>
      </c>
      <c r="F3" s="9">
        <v>4.8678720445062586E-3</v>
      </c>
      <c r="G3" s="9">
        <v>6.889763779527559E-3</v>
      </c>
      <c r="H3" s="9">
        <v>1.1299435028248588E-2</v>
      </c>
      <c r="I3" s="10">
        <v>1.4363077155310679E-2</v>
      </c>
      <c r="J3" s="10">
        <f>J2+B3</f>
        <v>1.4363077155310679E-2</v>
      </c>
      <c r="K3" s="10">
        <f t="shared" ref="K3:P18" si="0">K2+C3</f>
        <v>1.1627906976744186E-2</v>
      </c>
      <c r="L3" s="10">
        <f t="shared" si="0"/>
        <v>2.8828828828828829E-2</v>
      </c>
      <c r="M3" s="10">
        <f t="shared" si="0"/>
        <v>3.6544850498338874E-2</v>
      </c>
      <c r="N3" s="10">
        <f t="shared" si="0"/>
        <v>1.4603616133518776E-2</v>
      </c>
      <c r="O3" s="10">
        <f t="shared" si="0"/>
        <v>1.5748031496062992E-2</v>
      </c>
      <c r="P3" s="10">
        <f t="shared" si="0"/>
        <v>2.6365348399246702E-2</v>
      </c>
    </row>
    <row r="4" spans="1:16" x14ac:dyDescent="0.3">
      <c r="A4" s="10" t="s">
        <v>127</v>
      </c>
      <c r="B4" s="9">
        <v>8.5250108496707361E-3</v>
      </c>
      <c r="C4" s="9">
        <v>1.065891472868217E-2</v>
      </c>
      <c r="D4" s="9">
        <v>3.6036036036036037E-3</v>
      </c>
      <c r="E4" s="9">
        <v>8.3056478405315621E-3</v>
      </c>
      <c r="F4" s="9">
        <v>9.0403337969401955E-3</v>
      </c>
      <c r="G4" s="9">
        <v>1.2795275590551181E-2</v>
      </c>
      <c r="H4" s="9">
        <v>5.6497175141242938E-3</v>
      </c>
      <c r="I4" s="10">
        <v>2.2888088004981415E-2</v>
      </c>
      <c r="J4" s="10">
        <f t="shared" ref="J4:P19" si="1">J3+B4</f>
        <v>2.2888088004981415E-2</v>
      </c>
      <c r="K4" s="10">
        <f t="shared" si="0"/>
        <v>2.2286821705426355E-2</v>
      </c>
      <c r="L4" s="10">
        <f t="shared" si="0"/>
        <v>3.2432432432432434E-2</v>
      </c>
      <c r="M4" s="10">
        <f t="shared" si="0"/>
        <v>4.4850498338870434E-2</v>
      </c>
      <c r="N4" s="10">
        <f t="shared" si="0"/>
        <v>2.3643949930458971E-2</v>
      </c>
      <c r="O4" s="10">
        <f t="shared" si="0"/>
        <v>2.8543307086614171E-2</v>
      </c>
      <c r="P4" s="10">
        <f t="shared" si="0"/>
        <v>3.2015065913370999E-2</v>
      </c>
    </row>
    <row r="5" spans="1:16" x14ac:dyDescent="0.3">
      <c r="A5" s="10" t="s">
        <v>110</v>
      </c>
      <c r="B5" s="9">
        <v>1.0026982659395814E-2</v>
      </c>
      <c r="C5" s="9">
        <v>5.8139534883720929E-3</v>
      </c>
      <c r="D5" s="9">
        <v>5.4054054054054057E-3</v>
      </c>
      <c r="E5" s="9">
        <v>3.3222591362126247E-3</v>
      </c>
      <c r="F5" s="9">
        <v>7.6495132127955496E-3</v>
      </c>
      <c r="G5" s="9">
        <v>1.3779527559055118E-2</v>
      </c>
      <c r="H5" s="9">
        <v>2.0715630885122412E-2</v>
      </c>
      <c r="I5" s="10">
        <v>3.2915070664377231E-2</v>
      </c>
      <c r="J5" s="10">
        <f t="shared" si="1"/>
        <v>3.2915070664377231E-2</v>
      </c>
      <c r="K5" s="10">
        <f t="shared" si="0"/>
        <v>2.8100775193798447E-2</v>
      </c>
      <c r="L5" s="10">
        <f t="shared" si="0"/>
        <v>3.783783783783784E-2</v>
      </c>
      <c r="M5" s="10">
        <f t="shared" si="0"/>
        <v>4.817275747508306E-2</v>
      </c>
      <c r="N5" s="10">
        <f t="shared" si="0"/>
        <v>3.129346314325452E-2</v>
      </c>
      <c r="O5" s="10">
        <f t="shared" si="0"/>
        <v>4.2322834645669286E-2</v>
      </c>
      <c r="P5" s="10">
        <f t="shared" si="0"/>
        <v>5.2730696798493411E-2</v>
      </c>
    </row>
    <row r="6" spans="1:16" x14ac:dyDescent="0.3">
      <c r="A6" s="10" t="s">
        <v>124</v>
      </c>
      <c r="B6" s="9">
        <v>1.0676076004302129E-2</v>
      </c>
      <c r="C6" s="9">
        <v>1.1627906976744186E-2</v>
      </c>
      <c r="D6" s="9">
        <v>1.0810810810810811E-2</v>
      </c>
      <c r="E6" s="9">
        <v>1.6611295681063123E-3</v>
      </c>
      <c r="F6" s="9">
        <v>1.6689847009735744E-2</v>
      </c>
      <c r="G6" s="9">
        <v>1.1811023622047244E-2</v>
      </c>
      <c r="H6" s="9">
        <v>7.5329566854990581E-3</v>
      </c>
      <c r="I6" s="10">
        <v>4.3591146668679359E-2</v>
      </c>
      <c r="J6" s="10">
        <f t="shared" si="1"/>
        <v>4.3591146668679359E-2</v>
      </c>
      <c r="K6" s="10">
        <f t="shared" si="0"/>
        <v>3.9728682170542637E-2</v>
      </c>
      <c r="L6" s="10">
        <f t="shared" si="0"/>
        <v>4.8648648648648651E-2</v>
      </c>
      <c r="M6" s="10">
        <f t="shared" si="0"/>
        <v>4.9833887043189369E-2</v>
      </c>
      <c r="N6" s="10">
        <f t="shared" si="0"/>
        <v>4.7983310152990261E-2</v>
      </c>
      <c r="O6" s="10">
        <f t="shared" si="0"/>
        <v>5.4133858267716529E-2</v>
      </c>
      <c r="P6" s="10">
        <f t="shared" si="0"/>
        <v>6.0263653483992471E-2</v>
      </c>
    </row>
    <row r="7" spans="1:16" x14ac:dyDescent="0.3">
      <c r="A7" s="10" t="s">
        <v>118</v>
      </c>
      <c r="B7" s="9">
        <v>1.1291205162556371E-2</v>
      </c>
      <c r="C7" s="9">
        <v>1.937984496124031E-2</v>
      </c>
      <c r="D7" s="9">
        <v>2.3423423423423424E-2</v>
      </c>
      <c r="E7" s="9">
        <v>1.4950166112956811E-2</v>
      </c>
      <c r="F7" s="9">
        <v>1.3908205841446454E-2</v>
      </c>
      <c r="G7" s="9">
        <v>1.7716535433070866E-2</v>
      </c>
      <c r="H7" s="9">
        <v>1.6949152542372881E-2</v>
      </c>
      <c r="I7" s="10">
        <v>5.4882351831235729E-2</v>
      </c>
      <c r="J7" s="10">
        <f t="shared" si="1"/>
        <v>5.4882351831235729E-2</v>
      </c>
      <c r="K7" s="10">
        <f t="shared" si="0"/>
        <v>5.9108527131782947E-2</v>
      </c>
      <c r="L7" s="10">
        <f t="shared" si="0"/>
        <v>7.2072072072072071E-2</v>
      </c>
      <c r="M7" s="10">
        <f t="shared" si="0"/>
        <v>6.4784053156146187E-2</v>
      </c>
      <c r="N7" s="10">
        <f t="shared" si="0"/>
        <v>6.1891515994436715E-2</v>
      </c>
      <c r="O7" s="10">
        <f t="shared" si="0"/>
        <v>7.1850393700787399E-2</v>
      </c>
      <c r="P7" s="10">
        <f t="shared" si="0"/>
        <v>7.7212806026365349E-2</v>
      </c>
    </row>
    <row r="8" spans="1:16" x14ac:dyDescent="0.3">
      <c r="A8" s="10" t="s">
        <v>123</v>
      </c>
      <c r="B8" s="9">
        <v>1.4683850029246938E-2</v>
      </c>
      <c r="C8" s="9">
        <v>6.7829457364341084E-3</v>
      </c>
      <c r="D8" s="9">
        <v>7.2072072072072073E-3</v>
      </c>
      <c r="E8" s="9">
        <v>1.1627906976744186E-2</v>
      </c>
      <c r="F8" s="9">
        <v>1.2517385257301807E-2</v>
      </c>
      <c r="G8" s="9">
        <v>8.8582677165354329E-3</v>
      </c>
      <c r="H8" s="9">
        <v>1.3182674199623353E-2</v>
      </c>
      <c r="I8" s="10">
        <v>6.9566201860482665E-2</v>
      </c>
      <c r="J8" s="10">
        <f t="shared" si="1"/>
        <v>6.9566201860482665E-2</v>
      </c>
      <c r="K8" s="10">
        <f t="shared" si="0"/>
        <v>6.589147286821706E-2</v>
      </c>
      <c r="L8" s="10">
        <f t="shared" si="0"/>
        <v>7.9279279279279274E-2</v>
      </c>
      <c r="M8" s="10">
        <f t="shared" si="0"/>
        <v>7.6411960132890366E-2</v>
      </c>
      <c r="N8" s="10">
        <f t="shared" si="0"/>
        <v>7.4408901251738518E-2</v>
      </c>
      <c r="O8" s="10">
        <f t="shared" si="0"/>
        <v>8.070866141732283E-2</v>
      </c>
      <c r="P8" s="10">
        <f t="shared" si="0"/>
        <v>9.03954802259887E-2</v>
      </c>
    </row>
    <row r="9" spans="1:16" x14ac:dyDescent="0.3">
      <c r="A9" s="10" t="s">
        <v>113</v>
      </c>
      <c r="B9" s="9">
        <v>1.6774534407607979E-2</v>
      </c>
      <c r="C9" s="9">
        <v>2.5193798449612403E-2</v>
      </c>
      <c r="D9" s="9">
        <v>2.5225225225225224E-2</v>
      </c>
      <c r="E9" s="9">
        <v>1.9933554817275746E-2</v>
      </c>
      <c r="F9" s="9">
        <v>2.1557719054242003E-2</v>
      </c>
      <c r="G9" s="9">
        <v>2.3622047244094488E-2</v>
      </c>
      <c r="H9" s="9">
        <v>2.2598870056497175E-2</v>
      </c>
      <c r="I9" s="10">
        <v>8.6340736268090648E-2</v>
      </c>
      <c r="J9" s="10">
        <f t="shared" si="1"/>
        <v>8.6340736268090648E-2</v>
      </c>
      <c r="K9" s="10">
        <f t="shared" si="0"/>
        <v>9.1085271317829467E-2</v>
      </c>
      <c r="L9" s="10">
        <f t="shared" si="0"/>
        <v>0.10450450450450449</v>
      </c>
      <c r="M9" s="10">
        <f t="shared" si="0"/>
        <v>9.6345514950166106E-2</v>
      </c>
      <c r="N9" s="10">
        <f t="shared" si="0"/>
        <v>9.5966620305980521E-2</v>
      </c>
      <c r="O9" s="10">
        <f t="shared" si="0"/>
        <v>0.10433070866141732</v>
      </c>
      <c r="P9" s="10">
        <f t="shared" si="0"/>
        <v>0.11299435028248588</v>
      </c>
    </row>
    <row r="10" spans="1:16" x14ac:dyDescent="0.3">
      <c r="A10" s="10" t="s">
        <v>121</v>
      </c>
      <c r="B10" s="9">
        <v>1.8016114119667151E-2</v>
      </c>
      <c r="C10" s="9">
        <v>1.6472868217054265E-2</v>
      </c>
      <c r="D10" s="9">
        <v>1.9819819819819819E-2</v>
      </c>
      <c r="E10" s="9">
        <v>6.6445182724252493E-3</v>
      </c>
      <c r="F10" s="9">
        <v>9.0403337969401955E-3</v>
      </c>
      <c r="G10" s="9">
        <v>1.7716535433070866E-2</v>
      </c>
      <c r="H10" s="9">
        <v>2.0715630885122412E-2</v>
      </c>
      <c r="I10" s="10">
        <v>0.1043568503877578</v>
      </c>
      <c r="J10" s="10">
        <f t="shared" si="1"/>
        <v>0.1043568503877578</v>
      </c>
      <c r="K10" s="10">
        <f t="shared" si="0"/>
        <v>0.10755813953488373</v>
      </c>
      <c r="L10" s="10">
        <f t="shared" si="0"/>
        <v>0.1243243243243243</v>
      </c>
      <c r="M10" s="10">
        <f t="shared" si="0"/>
        <v>0.10299003322259136</v>
      </c>
      <c r="N10" s="10">
        <f t="shared" si="0"/>
        <v>0.10500695410292071</v>
      </c>
      <c r="O10" s="10">
        <f t="shared" si="0"/>
        <v>0.12204724409448818</v>
      </c>
      <c r="P10" s="10">
        <f t="shared" si="0"/>
        <v>0.13370998116760829</v>
      </c>
    </row>
    <row r="11" spans="1:16" x14ac:dyDescent="0.3">
      <c r="A11" s="10" t="s">
        <v>126</v>
      </c>
      <c r="B11" s="9">
        <v>2.2122006906051286E-2</v>
      </c>
      <c r="C11" s="9">
        <v>2.8100775193798451E-2</v>
      </c>
      <c r="D11" s="9">
        <v>1.0810810810810811E-2</v>
      </c>
      <c r="E11" s="9">
        <v>2.1594684385382059E-2</v>
      </c>
      <c r="F11" s="9">
        <v>2.4339360222531293E-2</v>
      </c>
      <c r="G11" s="9">
        <v>2.3622047244094488E-2</v>
      </c>
      <c r="H11" s="9">
        <v>2.0715630885122412E-2</v>
      </c>
      <c r="I11" s="10">
        <v>0.12647885729380909</v>
      </c>
      <c r="J11" s="10">
        <f t="shared" si="1"/>
        <v>0.12647885729380909</v>
      </c>
      <c r="K11" s="10">
        <f t="shared" si="0"/>
        <v>0.13565891472868219</v>
      </c>
      <c r="L11" s="10">
        <f t="shared" si="0"/>
        <v>0.13513513513513511</v>
      </c>
      <c r="M11" s="10">
        <f t="shared" si="0"/>
        <v>0.12458471760797342</v>
      </c>
      <c r="N11" s="10">
        <f t="shared" si="0"/>
        <v>0.12934631432545202</v>
      </c>
      <c r="O11" s="10">
        <f t="shared" si="0"/>
        <v>0.14566929133858267</v>
      </c>
      <c r="P11" s="10">
        <f t="shared" si="0"/>
        <v>0.1544256120527307</v>
      </c>
    </row>
    <row r="12" spans="1:16" x14ac:dyDescent="0.3">
      <c r="A12" s="10" t="s">
        <v>109</v>
      </c>
      <c r="B12" s="9">
        <v>2.245032737702134E-2</v>
      </c>
      <c r="C12" s="9">
        <v>3.6821705426356592E-2</v>
      </c>
      <c r="D12" s="9">
        <v>4.8648648648648651E-2</v>
      </c>
      <c r="E12" s="9">
        <v>4.1528239202657809E-2</v>
      </c>
      <c r="F12" s="9">
        <v>1.7385257301808066E-2</v>
      </c>
      <c r="G12" s="9">
        <v>2.1653543307086614E-2</v>
      </c>
      <c r="H12" s="9">
        <v>2.4482109227871938E-2</v>
      </c>
      <c r="I12" s="10">
        <v>0.14892918467083044</v>
      </c>
      <c r="J12" s="10">
        <f t="shared" si="1"/>
        <v>0.14892918467083044</v>
      </c>
      <c r="K12" s="10">
        <f t="shared" si="0"/>
        <v>0.17248062015503879</v>
      </c>
      <c r="L12" s="10">
        <f t="shared" si="0"/>
        <v>0.18378378378378377</v>
      </c>
      <c r="M12" s="10">
        <f t="shared" si="0"/>
        <v>0.16611295681063123</v>
      </c>
      <c r="N12" s="10">
        <f t="shared" si="0"/>
        <v>0.14673157162726008</v>
      </c>
      <c r="O12" s="10">
        <f t="shared" si="0"/>
        <v>0.16732283464566927</v>
      </c>
      <c r="P12" s="10">
        <f t="shared" si="0"/>
        <v>0.17890772128060264</v>
      </c>
    </row>
    <row r="13" spans="1:16" x14ac:dyDescent="0.3">
      <c r="A13" s="10" t="s">
        <v>130</v>
      </c>
      <c r="B13" s="9">
        <v>2.349566956620186E-2</v>
      </c>
      <c r="C13" s="9">
        <v>2.4224806201550389E-2</v>
      </c>
      <c r="D13" s="9">
        <v>9.0090090090090089E-3</v>
      </c>
      <c r="E13" s="9">
        <v>1.3289036544850499E-2</v>
      </c>
      <c r="F13" s="9">
        <v>1.6689847009735744E-2</v>
      </c>
      <c r="G13" s="9">
        <v>2.6574803149606301E-2</v>
      </c>
      <c r="H13" s="9">
        <v>2.8248587570621469E-2</v>
      </c>
      <c r="I13" s="10">
        <v>0.1724248542370323</v>
      </c>
      <c r="J13" s="10">
        <f t="shared" si="1"/>
        <v>0.1724248542370323</v>
      </c>
      <c r="K13" s="10">
        <f t="shared" si="0"/>
        <v>0.19670542635658916</v>
      </c>
      <c r="L13" s="10">
        <f t="shared" si="0"/>
        <v>0.19279279279279277</v>
      </c>
      <c r="M13" s="10">
        <f t="shared" si="0"/>
        <v>0.17940199335548174</v>
      </c>
      <c r="N13" s="10">
        <f t="shared" si="0"/>
        <v>0.16342141863699583</v>
      </c>
      <c r="O13" s="10">
        <f t="shared" si="0"/>
        <v>0.19389763779527558</v>
      </c>
      <c r="P13" s="10">
        <f t="shared" si="0"/>
        <v>0.2071563088512241</v>
      </c>
    </row>
    <row r="14" spans="1:16" x14ac:dyDescent="0.3">
      <c r="A14" s="10" t="s">
        <v>131</v>
      </c>
      <c r="B14" s="9">
        <v>3.2650904768194426E-2</v>
      </c>
      <c r="C14" s="9">
        <v>4.9418604651162788E-2</v>
      </c>
      <c r="D14" s="9">
        <v>1.4414414414414415E-2</v>
      </c>
      <c r="E14" s="9">
        <v>3.8205980066445183E-2</v>
      </c>
      <c r="F14" s="9">
        <v>3.4770514603616132E-2</v>
      </c>
      <c r="G14" s="9">
        <v>3.8385826771653545E-2</v>
      </c>
      <c r="H14" s="9">
        <v>3.0131826741996232E-2</v>
      </c>
      <c r="I14" s="10">
        <v>0.20507575900522673</v>
      </c>
      <c r="J14" s="10">
        <f t="shared" si="1"/>
        <v>0.20507575900522673</v>
      </c>
      <c r="K14" s="10">
        <f t="shared" si="0"/>
        <v>0.24612403100775196</v>
      </c>
      <c r="L14" s="10">
        <f t="shared" si="0"/>
        <v>0.20720720720720717</v>
      </c>
      <c r="M14" s="10">
        <f t="shared" si="0"/>
        <v>0.21760797342192692</v>
      </c>
      <c r="N14" s="10">
        <f t="shared" si="0"/>
        <v>0.19819193324061196</v>
      </c>
      <c r="O14" s="10">
        <f t="shared" si="0"/>
        <v>0.23228346456692911</v>
      </c>
      <c r="P14" s="10">
        <f t="shared" si="0"/>
        <v>0.23728813559322035</v>
      </c>
    </row>
    <row r="15" spans="1:16" x14ac:dyDescent="0.3">
      <c r="A15" s="10" t="s">
        <v>116</v>
      </c>
      <c r="B15" s="9">
        <v>3.8534256656037137E-2</v>
      </c>
      <c r="C15" s="9">
        <v>3.6821705426356592E-2</v>
      </c>
      <c r="D15" s="9">
        <v>1.6216216216216217E-2</v>
      </c>
      <c r="E15" s="9">
        <v>1.3289036544850499E-2</v>
      </c>
      <c r="F15" s="9">
        <v>2.851182197496523E-2</v>
      </c>
      <c r="G15" s="9">
        <v>3.6417322834645667E-2</v>
      </c>
      <c r="H15" s="9">
        <v>2.2598870056497175E-2</v>
      </c>
      <c r="I15" s="10">
        <v>0.24361001566126386</v>
      </c>
      <c r="J15" s="10">
        <f t="shared" si="1"/>
        <v>0.24361001566126386</v>
      </c>
      <c r="K15" s="10">
        <f t="shared" si="0"/>
        <v>0.28294573643410853</v>
      </c>
      <c r="L15" s="10">
        <f t="shared" si="0"/>
        <v>0.22342342342342339</v>
      </c>
      <c r="M15" s="10">
        <f t="shared" si="0"/>
        <v>0.23089700996677742</v>
      </c>
      <c r="N15" s="10">
        <f t="shared" si="0"/>
        <v>0.2267037552155772</v>
      </c>
      <c r="O15" s="10">
        <f t="shared" si="0"/>
        <v>0.26870078740157477</v>
      </c>
      <c r="P15" s="10">
        <f t="shared" si="0"/>
        <v>0.25988700564971751</v>
      </c>
    </row>
    <row r="16" spans="1:16" x14ac:dyDescent="0.3">
      <c r="A16" s="10" t="s">
        <v>115</v>
      </c>
      <c r="B16" s="9">
        <v>5.1810479838481423E-2</v>
      </c>
      <c r="C16" s="9">
        <v>4.3604651162790699E-2</v>
      </c>
      <c r="D16" s="9">
        <v>9.1891891891891897E-2</v>
      </c>
      <c r="E16" s="9">
        <v>5.8139534883720929E-2</v>
      </c>
      <c r="F16" s="9">
        <v>4.1724617524339362E-2</v>
      </c>
      <c r="G16" s="9">
        <v>4.1338582677165357E-2</v>
      </c>
      <c r="H16" s="9">
        <v>4.519774011299435E-2</v>
      </c>
      <c r="I16" s="10">
        <v>0.29542049549974531</v>
      </c>
      <c r="J16" s="10">
        <f t="shared" si="1"/>
        <v>0.29542049549974531</v>
      </c>
      <c r="K16" s="10">
        <f t="shared" si="0"/>
        <v>0.32655038759689925</v>
      </c>
      <c r="L16" s="10">
        <f t="shared" si="0"/>
        <v>0.31531531531531531</v>
      </c>
      <c r="M16" s="10">
        <f t="shared" si="0"/>
        <v>0.28903654485049834</v>
      </c>
      <c r="N16" s="10">
        <f t="shared" si="0"/>
        <v>0.26842837273991654</v>
      </c>
      <c r="O16" s="10">
        <f t="shared" si="0"/>
        <v>0.31003937007874011</v>
      </c>
      <c r="P16" s="10">
        <f t="shared" si="0"/>
        <v>0.30508474576271183</v>
      </c>
    </row>
    <row r="17" spans="1:16" x14ac:dyDescent="0.3">
      <c r="A17" s="10" t="s">
        <v>112</v>
      </c>
      <c r="B17" s="9">
        <v>5.6723965507481558E-2</v>
      </c>
      <c r="C17" s="9">
        <v>3.7790697674418602E-2</v>
      </c>
      <c r="D17" s="9">
        <v>2.5225225225225224E-2</v>
      </c>
      <c r="E17" s="9">
        <v>3.6544850498338874E-2</v>
      </c>
      <c r="F17" s="9">
        <v>4.6592489568845617E-2</v>
      </c>
      <c r="G17" s="9">
        <v>3.5433070866141732E-2</v>
      </c>
      <c r="H17" s="9">
        <v>3.0131826741996232E-2</v>
      </c>
      <c r="I17" s="10">
        <v>0.35214446100722685</v>
      </c>
      <c r="J17" s="10">
        <f t="shared" si="1"/>
        <v>0.35214446100722685</v>
      </c>
      <c r="K17" s="10">
        <f t="shared" si="0"/>
        <v>0.36434108527131787</v>
      </c>
      <c r="L17" s="10">
        <f t="shared" si="0"/>
        <v>0.34054054054054056</v>
      </c>
      <c r="M17" s="10">
        <f t="shared" si="0"/>
        <v>0.32558139534883723</v>
      </c>
      <c r="N17" s="10">
        <f t="shared" si="0"/>
        <v>0.31502086230876214</v>
      </c>
      <c r="O17" s="10">
        <f t="shared" si="0"/>
        <v>0.34547244094488183</v>
      </c>
      <c r="P17" s="10">
        <f t="shared" si="0"/>
        <v>0.33521657250470804</v>
      </c>
    </row>
    <row r="18" spans="1:16" x14ac:dyDescent="0.3">
      <c r="A18" s="10" t="s">
        <v>120</v>
      </c>
      <c r="B18" s="9">
        <v>5.8535388795592204E-2</v>
      </c>
      <c r="C18" s="9">
        <v>5.4263565891472867E-2</v>
      </c>
      <c r="D18" s="9">
        <v>6.6666666666666666E-2</v>
      </c>
      <c r="E18" s="9">
        <v>4.9833887043189369E-2</v>
      </c>
      <c r="F18" s="9">
        <v>8.970792767732963E-2</v>
      </c>
      <c r="G18" s="9">
        <v>6.4960629921259838E-2</v>
      </c>
      <c r="H18" s="9">
        <v>6.2146892655367235E-2</v>
      </c>
      <c r="I18" s="10">
        <v>0.41067984980281907</v>
      </c>
      <c r="J18" s="10">
        <f t="shared" si="1"/>
        <v>0.41067984980281907</v>
      </c>
      <c r="K18" s="10">
        <f t="shared" si="0"/>
        <v>0.41860465116279072</v>
      </c>
      <c r="L18" s="10">
        <f t="shared" si="0"/>
        <v>0.40720720720720721</v>
      </c>
      <c r="M18" s="10">
        <f t="shared" si="0"/>
        <v>0.37541528239202659</v>
      </c>
      <c r="N18" s="10">
        <f t="shared" si="0"/>
        <v>0.40472878998609174</v>
      </c>
      <c r="O18" s="10">
        <f t="shared" si="0"/>
        <v>0.41043307086614167</v>
      </c>
      <c r="P18" s="10">
        <f t="shared" si="0"/>
        <v>0.39736346516007526</v>
      </c>
    </row>
    <row r="19" spans="1:16" x14ac:dyDescent="0.3">
      <c r="A19" s="10" t="s">
        <v>117</v>
      </c>
      <c r="B19" s="9">
        <v>5.860331716889635E-2</v>
      </c>
      <c r="C19" s="9">
        <v>7.6550387596899222E-2</v>
      </c>
      <c r="D19" s="9">
        <v>0.15135135135135136</v>
      </c>
      <c r="E19" s="9">
        <v>0.12292358803986711</v>
      </c>
      <c r="F19" s="9">
        <v>8.8317107093184979E-2</v>
      </c>
      <c r="G19" s="9">
        <v>8.1692913385826765E-2</v>
      </c>
      <c r="H19" s="9">
        <v>9.2278719397363471E-2</v>
      </c>
      <c r="I19" s="10">
        <v>0.4692831669717154</v>
      </c>
      <c r="J19" s="10">
        <f t="shared" si="1"/>
        <v>0.4692831669717154</v>
      </c>
      <c r="K19" s="10">
        <f t="shared" si="1"/>
        <v>0.49515503875968991</v>
      </c>
      <c r="L19" s="10">
        <f t="shared" si="1"/>
        <v>0.55855855855855863</v>
      </c>
      <c r="M19" s="10">
        <f t="shared" si="1"/>
        <v>0.49833887043189373</v>
      </c>
      <c r="N19" s="10">
        <f t="shared" si="1"/>
        <v>0.49304589707927671</v>
      </c>
      <c r="O19" s="10">
        <f t="shared" si="1"/>
        <v>0.49212598425196841</v>
      </c>
      <c r="P19" s="10">
        <f t="shared" si="1"/>
        <v>0.48964218455743874</v>
      </c>
    </row>
    <row r="20" spans="1:16" x14ac:dyDescent="0.3">
      <c r="A20" s="10" t="s">
        <v>119</v>
      </c>
      <c r="B20" s="9">
        <v>5.9792063701718967E-2</v>
      </c>
      <c r="C20" s="9">
        <v>5.329457364341085E-2</v>
      </c>
      <c r="D20" s="9">
        <v>4.6846846846846847E-2</v>
      </c>
      <c r="E20" s="9">
        <v>6.6445182724252497E-2</v>
      </c>
      <c r="F20" s="9">
        <v>5.0764951321279554E-2</v>
      </c>
      <c r="G20" s="9">
        <v>3.937007874015748E-2</v>
      </c>
      <c r="H20" s="9">
        <v>4.3314500941619587E-2</v>
      </c>
      <c r="I20" s="10">
        <v>0.52907523067343432</v>
      </c>
      <c r="J20" s="10">
        <f t="shared" ref="J20:P25" si="2">J19+B20</f>
        <v>0.52907523067343432</v>
      </c>
      <c r="K20" s="10">
        <f t="shared" si="2"/>
        <v>0.54844961240310075</v>
      </c>
      <c r="L20" s="10">
        <f t="shared" si="2"/>
        <v>0.60540540540540544</v>
      </c>
      <c r="M20" s="10">
        <f t="shared" si="2"/>
        <v>0.56478405315614622</v>
      </c>
      <c r="N20" s="10">
        <f t="shared" si="2"/>
        <v>0.54381084840055627</v>
      </c>
      <c r="O20" s="10">
        <f t="shared" si="2"/>
        <v>0.53149606299212593</v>
      </c>
      <c r="P20" s="10">
        <f t="shared" si="2"/>
        <v>0.53295668549905828</v>
      </c>
    </row>
    <row r="21" spans="1:16" x14ac:dyDescent="0.3">
      <c r="A21" s="10" t="s">
        <v>125</v>
      </c>
      <c r="B21" s="9">
        <v>6.2037473819272791E-2</v>
      </c>
      <c r="C21" s="9">
        <v>8.1395348837209308E-2</v>
      </c>
      <c r="D21" s="9">
        <v>3.4234234234234232E-2</v>
      </c>
      <c r="E21" s="9">
        <v>3.4883720930232558E-2</v>
      </c>
      <c r="F21" s="9">
        <v>5.9805285118219746E-2</v>
      </c>
      <c r="G21" s="9">
        <v>6.1023622047244097E-2</v>
      </c>
      <c r="H21" s="9">
        <v>4.7080979284369114E-2</v>
      </c>
      <c r="I21" s="10">
        <v>0.59111270449270714</v>
      </c>
      <c r="J21" s="10">
        <f t="shared" si="2"/>
        <v>0.59111270449270714</v>
      </c>
      <c r="K21" s="10">
        <f t="shared" si="2"/>
        <v>0.62984496124031009</v>
      </c>
      <c r="L21" s="10">
        <f t="shared" si="2"/>
        <v>0.63963963963963966</v>
      </c>
      <c r="M21" s="10">
        <f t="shared" si="2"/>
        <v>0.59966777408637872</v>
      </c>
      <c r="N21" s="10">
        <f t="shared" si="2"/>
        <v>0.60361613351877597</v>
      </c>
      <c r="O21" s="10">
        <f t="shared" si="2"/>
        <v>0.59251968503937003</v>
      </c>
      <c r="P21" s="10">
        <f t="shared" si="2"/>
        <v>0.58003766478342744</v>
      </c>
    </row>
    <row r="22" spans="1:16" x14ac:dyDescent="0.3">
      <c r="A22" s="10" t="s">
        <v>111</v>
      </c>
      <c r="B22" s="9">
        <v>7.2641847651753869E-2</v>
      </c>
      <c r="C22" s="9">
        <v>0.10271317829457365</v>
      </c>
      <c r="D22" s="9">
        <v>0.11891891891891893</v>
      </c>
      <c r="E22" s="9">
        <v>0.14950166112956811</v>
      </c>
      <c r="F22" s="9">
        <v>0.11404728789986092</v>
      </c>
      <c r="G22" s="9">
        <v>9.3503937007874016E-2</v>
      </c>
      <c r="H22" s="9">
        <v>0.10357815442561205</v>
      </c>
      <c r="I22" s="10">
        <v>0.663754552144461</v>
      </c>
      <c r="J22" s="10">
        <f t="shared" si="2"/>
        <v>0.663754552144461</v>
      </c>
      <c r="K22" s="10">
        <f t="shared" si="2"/>
        <v>0.73255813953488369</v>
      </c>
      <c r="L22" s="10">
        <f t="shared" si="2"/>
        <v>0.75855855855855858</v>
      </c>
      <c r="M22" s="10">
        <f t="shared" si="2"/>
        <v>0.74916943521594681</v>
      </c>
      <c r="N22" s="10">
        <f t="shared" si="2"/>
        <v>0.71766342141863693</v>
      </c>
      <c r="O22" s="10">
        <f t="shared" si="2"/>
        <v>0.68602362204724399</v>
      </c>
      <c r="P22" s="10">
        <f t="shared" si="2"/>
        <v>0.68361581920903947</v>
      </c>
    </row>
    <row r="23" spans="1:16" x14ac:dyDescent="0.3">
      <c r="A23" s="10" t="s">
        <v>122</v>
      </c>
      <c r="B23" s="9">
        <v>7.9230899862256357E-2</v>
      </c>
      <c r="C23" s="9">
        <v>5.9108527131782947E-2</v>
      </c>
      <c r="D23" s="9">
        <v>4.6846846846846847E-2</v>
      </c>
      <c r="E23" s="9">
        <v>3.3222591362126248E-2</v>
      </c>
      <c r="F23" s="9">
        <v>6.7454798331015295E-2</v>
      </c>
      <c r="G23" s="9">
        <v>5.5118110236220472E-2</v>
      </c>
      <c r="H23" s="9">
        <v>4.519774011299435E-2</v>
      </c>
      <c r="I23" s="10">
        <v>0.7429854520067174</v>
      </c>
      <c r="J23" s="10">
        <f t="shared" si="2"/>
        <v>0.7429854520067174</v>
      </c>
      <c r="K23" s="10">
        <f t="shared" si="2"/>
        <v>0.79166666666666663</v>
      </c>
      <c r="L23" s="10">
        <f t="shared" si="2"/>
        <v>0.80540540540540539</v>
      </c>
      <c r="M23" s="10">
        <f t="shared" si="2"/>
        <v>0.78239202657807305</v>
      </c>
      <c r="N23" s="10">
        <f t="shared" si="2"/>
        <v>0.78511821974965224</v>
      </c>
      <c r="O23" s="10">
        <f t="shared" si="2"/>
        <v>0.74114173228346447</v>
      </c>
      <c r="P23" s="10">
        <f t="shared" si="2"/>
        <v>0.72881355932203384</v>
      </c>
    </row>
    <row r="24" spans="1:16" x14ac:dyDescent="0.3">
      <c r="A24" s="10" t="s">
        <v>114</v>
      </c>
      <c r="B24" s="9">
        <v>8.1385738815404646E-2</v>
      </c>
      <c r="C24" s="9">
        <v>6.2984496124031009E-2</v>
      </c>
      <c r="D24" s="9">
        <v>4.3243243243243246E-2</v>
      </c>
      <c r="E24" s="9">
        <v>7.3089700996677748E-2</v>
      </c>
      <c r="F24" s="9">
        <v>6.397774687065369E-2</v>
      </c>
      <c r="G24" s="9">
        <v>6.9881889763779528E-2</v>
      </c>
      <c r="H24" s="9">
        <v>6.4030131826741998E-2</v>
      </c>
      <c r="I24" s="16">
        <v>0.82437119082212207</v>
      </c>
      <c r="J24" s="16">
        <f t="shared" si="2"/>
        <v>0.82437119082212207</v>
      </c>
      <c r="K24" s="16">
        <f t="shared" si="2"/>
        <v>0.85465116279069764</v>
      </c>
      <c r="L24" s="16">
        <f t="shared" si="2"/>
        <v>0.84864864864864864</v>
      </c>
      <c r="M24" s="16">
        <f t="shared" si="2"/>
        <v>0.85548172757475083</v>
      </c>
      <c r="N24" s="16">
        <f t="shared" si="2"/>
        <v>0.84909596662030595</v>
      </c>
      <c r="O24" s="16">
        <f t="shared" si="2"/>
        <v>0.81102362204724399</v>
      </c>
      <c r="P24" s="16">
        <f t="shared" si="2"/>
        <v>0.79284369114877584</v>
      </c>
    </row>
    <row r="25" spans="1:16" x14ac:dyDescent="0.3">
      <c r="A25" s="10" t="s">
        <v>108</v>
      </c>
      <c r="B25" s="9">
        <v>0.17562880917787799</v>
      </c>
      <c r="C25" s="9">
        <v>0.14534883720930233</v>
      </c>
      <c r="D25" s="9">
        <v>0.15135135135135136</v>
      </c>
      <c r="E25" s="9">
        <v>0.14451827242524917</v>
      </c>
      <c r="F25" s="9">
        <v>0.15090403337969402</v>
      </c>
      <c r="G25" s="9">
        <v>0.1889763779527559</v>
      </c>
      <c r="H25" s="9">
        <v>0.2071563088512241</v>
      </c>
      <c r="I25" s="10">
        <v>1</v>
      </c>
      <c r="J25" s="10">
        <f t="shared" si="2"/>
        <v>1</v>
      </c>
      <c r="K25" s="10">
        <f t="shared" si="2"/>
        <v>1</v>
      </c>
      <c r="L25" s="10">
        <f t="shared" si="2"/>
        <v>1</v>
      </c>
      <c r="M25" s="10">
        <f t="shared" si="2"/>
        <v>1</v>
      </c>
      <c r="N25" s="10">
        <f t="shared" si="2"/>
        <v>1</v>
      </c>
      <c r="O25" s="10">
        <f t="shared" si="2"/>
        <v>0.99999999999999989</v>
      </c>
      <c r="P25" s="10">
        <f t="shared" si="2"/>
        <v>1</v>
      </c>
    </row>
    <row r="27" spans="1:16" ht="28.8" x14ac:dyDescent="0.3">
      <c r="B27" s="1" t="s">
        <v>154</v>
      </c>
      <c r="C27" s="3" t="s">
        <v>162</v>
      </c>
      <c r="D27" s="3" t="s">
        <v>163</v>
      </c>
      <c r="E27" s="3" t="s">
        <v>164</v>
      </c>
      <c r="F27" s="3" t="s">
        <v>165</v>
      </c>
      <c r="G27" s="3" t="s">
        <v>166</v>
      </c>
      <c r="H27" s="3" t="s">
        <v>167</v>
      </c>
      <c r="J27" s="8"/>
      <c r="K27" s="11" t="s">
        <v>168</v>
      </c>
      <c r="L27" s="11" t="s">
        <v>169</v>
      </c>
      <c r="M27" s="11" t="s">
        <v>170</v>
      </c>
      <c r="N27" s="11" t="s">
        <v>171</v>
      </c>
      <c r="O27" s="11" t="s">
        <v>172</v>
      </c>
      <c r="P27" s="11" t="s">
        <v>173</v>
      </c>
    </row>
    <row r="28" spans="1:16" x14ac:dyDescent="0.3">
      <c r="B28" s="10" t="s">
        <v>128</v>
      </c>
      <c r="C28" s="10">
        <f>C2-B2</f>
        <v>-2.2499810944396053E-4</v>
      </c>
      <c r="D28" s="10">
        <f>D2-B2</f>
        <v>1.4613677775743555E-2</v>
      </c>
      <c r="E28" s="10">
        <f>E2-B2</f>
        <v>9.6033518351850561E-3</v>
      </c>
      <c r="F28" s="10">
        <f>F2-B2</f>
        <v>2.7278002431344482E-3</v>
      </c>
      <c r="G28" s="10">
        <f>G2-B2</f>
        <v>1.850323870657364E-3</v>
      </c>
      <c r="H28" s="10">
        <f>H2-B2</f>
        <v>8.0579695251200463E-3</v>
      </c>
      <c r="J28" s="10" t="s">
        <v>128</v>
      </c>
      <c r="K28" s="8">
        <f>(J2-0) * ((K2+0))</f>
        <v>4.7534502830568296E-5</v>
      </c>
      <c r="L28" s="8">
        <f>(J2-0) * ((L2+0))</f>
        <v>1.5152311018114744E-4</v>
      </c>
      <c r="M28" s="8">
        <f>(J2-0) * ((M2+0))</f>
        <v>1.1641102734016727E-4</v>
      </c>
      <c r="N28" s="8">
        <f>(J2-0) * ((N2+0))</f>
        <v>6.8227547873639057E-5</v>
      </c>
      <c r="O28" s="8">
        <f>(J2-0) * ((O2+0))</f>
        <v>6.2078242729234862E-5</v>
      </c>
      <c r="P28" s="8">
        <f>(J2-0) * ((P2+0))</f>
        <v>1.0558107489081836E-4</v>
      </c>
    </row>
    <row r="29" spans="1:16" x14ac:dyDescent="0.3">
      <c r="B29" s="10" t="s">
        <v>129</v>
      </c>
      <c r="C29" s="10">
        <f t="shared" ref="C29:C51" si="3">C3-B3</f>
        <v>-2.5101720691225321E-3</v>
      </c>
      <c r="D29" s="10">
        <f t="shared" ref="D29:D51" si="4">D3-B3</f>
        <v>-1.4792610222540224E-4</v>
      </c>
      <c r="E29" s="10">
        <f t="shared" ref="E29:E51" si="5">E3-B3</f>
        <v>1.2578421507843137E-2</v>
      </c>
      <c r="F29" s="10">
        <f t="shared" ref="F29:F51" si="6">F3-B3</f>
        <v>-2.487261264926351E-3</v>
      </c>
      <c r="G29" s="10">
        <f t="shared" ref="G29:G51" si="7">G3-B3</f>
        <v>-4.6536952990505059E-4</v>
      </c>
      <c r="H29" s="10">
        <f t="shared" ref="H29:H51" si="8">H3-B3</f>
        <v>3.944301718815978E-3</v>
      </c>
      <c r="J29" s="10" t="s">
        <v>129</v>
      </c>
      <c r="K29" s="8">
        <f>(J3-J2) * ((K3+K2))</f>
        <v>1.3541427604575542E-4</v>
      </c>
      <c r="L29" s="8">
        <f>(J3-J2) * ((L3+L2))</f>
        <v>3.7106978858398752E-4</v>
      </c>
      <c r="M29" s="8">
        <f>(J3-J2) * ((M3+M2))</f>
        <v>3.909705413651886E-4</v>
      </c>
      <c r="N29" s="8">
        <f>(J3-J2) * ((N3+N2))</f>
        <v>1.7901923910301903E-4</v>
      </c>
      <c r="O29" s="8">
        <f>(J3-J2) * ((O3+O2))</f>
        <v>1.8098261096044808E-4</v>
      </c>
      <c r="P29" s="8">
        <f>(J3-J2) * ((P3+P2))</f>
        <v>3.0473245349814956E-4</v>
      </c>
    </row>
    <row r="30" spans="1:16" x14ac:dyDescent="0.3">
      <c r="B30" s="10" t="s">
        <v>127</v>
      </c>
      <c r="C30" s="10">
        <f t="shared" si="3"/>
        <v>2.1339038790114343E-3</v>
      </c>
      <c r="D30" s="10">
        <f t="shared" si="4"/>
        <v>-4.9214072460671329E-3</v>
      </c>
      <c r="E30" s="10">
        <f t="shared" si="5"/>
        <v>-2.1936300913917399E-4</v>
      </c>
      <c r="F30" s="10">
        <f t="shared" si="6"/>
        <v>5.153229472694594E-4</v>
      </c>
      <c r="G30" s="10">
        <f t="shared" si="7"/>
        <v>4.2702647408804448E-3</v>
      </c>
      <c r="H30" s="10">
        <f t="shared" si="8"/>
        <v>-2.8752933355464423E-3</v>
      </c>
      <c r="J30" s="10" t="s">
        <v>127</v>
      </c>
      <c r="K30" s="8">
        <f t="shared" ref="K30:K51" si="9">(J4-J3) * ((K4+K3))</f>
        <v>2.8912342997914318E-4</v>
      </c>
      <c r="L30" s="8">
        <f t="shared" ref="L30:L51" si="10">(J4-J3) * ((L4+L3))</f>
        <v>5.2225291691676578E-4</v>
      </c>
      <c r="M30" s="8">
        <f t="shared" ref="M30:M51" si="11">(J4-J3) * ((M4+M3))</f>
        <v>6.9389623194994368E-4</v>
      </c>
      <c r="N30" s="8">
        <f t="shared" ref="N30:N51" si="12">(J4-J3) * ((N4+N3))</f>
        <v>3.2606091566890857E-4</v>
      </c>
      <c r="O30" s="8">
        <f t="shared" ref="O30:O51" si="13">(J4-J3) * ((O4+O3))</f>
        <v>3.7758414196376288E-4</v>
      </c>
      <c r="P30" s="8">
        <f t="shared" ref="P30:P51" si="14">(J4-J3) * ((P4+P3))</f>
        <v>4.9769366542333862E-4</v>
      </c>
    </row>
    <row r="31" spans="1:16" x14ac:dyDescent="0.3">
      <c r="B31" s="10" t="s">
        <v>110</v>
      </c>
      <c r="C31" s="10">
        <f t="shared" si="3"/>
        <v>-4.2130291710237213E-3</v>
      </c>
      <c r="D31" s="10">
        <f t="shared" si="4"/>
        <v>-4.6215772539904085E-3</v>
      </c>
      <c r="E31" s="10">
        <f t="shared" si="5"/>
        <v>-6.7047235231831896E-3</v>
      </c>
      <c r="F31" s="10">
        <f t="shared" si="6"/>
        <v>-2.3774694466002647E-3</v>
      </c>
      <c r="G31" s="10">
        <f t="shared" si="7"/>
        <v>3.7525448996593037E-3</v>
      </c>
      <c r="H31" s="10">
        <f t="shared" si="8"/>
        <v>1.0688648225726597E-2</v>
      </c>
      <c r="J31" s="10" t="s">
        <v>110</v>
      </c>
      <c r="K31" s="8">
        <f t="shared" si="9"/>
        <v>5.052355603571534E-4</v>
      </c>
      <c r="L31" s="8">
        <f t="shared" si="10"/>
        <v>7.0459878147105743E-4</v>
      </c>
      <c r="M31" s="8">
        <f t="shared" si="11"/>
        <v>9.3274257296705268E-4</v>
      </c>
      <c r="N31" s="8">
        <f t="shared" si="12"/>
        <v>5.5085648824219013E-4</v>
      </c>
      <c r="O31" s="8">
        <f t="shared" si="13"/>
        <v>7.1057357428789235E-4</v>
      </c>
      <c r="P31" s="8">
        <f t="shared" si="14"/>
        <v>8.497442931691369E-4</v>
      </c>
    </row>
    <row r="32" spans="1:16" x14ac:dyDescent="0.3">
      <c r="B32" s="10" t="s">
        <v>124</v>
      </c>
      <c r="C32" s="10">
        <f t="shared" si="3"/>
        <v>9.5183097244205643E-4</v>
      </c>
      <c r="D32" s="10">
        <f t="shared" si="4"/>
        <v>1.3473480650868196E-4</v>
      </c>
      <c r="E32" s="10">
        <f t="shared" si="5"/>
        <v>-9.0149464361958167E-3</v>
      </c>
      <c r="F32" s="10">
        <f t="shared" si="6"/>
        <v>6.0137710054336147E-3</v>
      </c>
      <c r="G32" s="10">
        <f t="shared" si="7"/>
        <v>1.1349476177451145E-3</v>
      </c>
      <c r="H32" s="10">
        <f t="shared" si="8"/>
        <v>-3.1431193188030714E-3</v>
      </c>
      <c r="J32" s="10" t="s">
        <v>124</v>
      </c>
      <c r="K32" s="8">
        <f t="shared" si="9"/>
        <v>7.241524421522761E-4</v>
      </c>
      <c r="L32" s="8">
        <f t="shared" si="10"/>
        <v>9.2333630307477868E-4</v>
      </c>
      <c r="M32" s="8">
        <f t="shared" si="11"/>
        <v>1.0463263858036969E-3</v>
      </c>
      <c r="N32" s="8">
        <f t="shared" si="12"/>
        <v>8.4636485708653852E-4</v>
      </c>
      <c r="O32" s="8">
        <f t="shared" si="13"/>
        <v>1.0297789846669375E-3</v>
      </c>
      <c r="P32" s="8">
        <f t="shared" si="14"/>
        <v>1.206336271672557E-3</v>
      </c>
    </row>
    <row r="33" spans="2:16" x14ac:dyDescent="0.3">
      <c r="B33" s="10" t="s">
        <v>118</v>
      </c>
      <c r="C33" s="10">
        <f t="shared" si="3"/>
        <v>8.0886397986839383E-3</v>
      </c>
      <c r="D33" s="10">
        <f t="shared" si="4"/>
        <v>1.2132218260867052E-2</v>
      </c>
      <c r="E33" s="10">
        <f t="shared" si="5"/>
        <v>3.6589609504004399E-3</v>
      </c>
      <c r="F33" s="10">
        <f t="shared" si="6"/>
        <v>2.6170006788900826E-3</v>
      </c>
      <c r="G33" s="10">
        <f t="shared" si="7"/>
        <v>6.4253302705144944E-3</v>
      </c>
      <c r="H33" s="10">
        <f t="shared" si="8"/>
        <v>5.6579473798165098E-3</v>
      </c>
      <c r="J33" s="10" t="s">
        <v>118</v>
      </c>
      <c r="K33" s="8">
        <f t="shared" si="9"/>
        <v>1.1159912079270831E-3</v>
      </c>
      <c r="L33" s="8">
        <f t="shared" si="10"/>
        <v>1.3630824250293275E-3</v>
      </c>
      <c r="M33" s="8">
        <f t="shared" si="11"/>
        <v>1.2941746781003148E-3</v>
      </c>
      <c r="N33" s="8">
        <f t="shared" si="12"/>
        <v>1.240619204230811E-3</v>
      </c>
      <c r="O33" s="8">
        <f t="shared" si="13"/>
        <v>1.422514036227574E-3</v>
      </c>
      <c r="P33" s="8">
        <f t="shared" si="14"/>
        <v>1.5522749093533237E-3</v>
      </c>
    </row>
    <row r="34" spans="2:16" x14ac:dyDescent="0.3">
      <c r="B34" s="10" t="s">
        <v>123</v>
      </c>
      <c r="C34" s="10">
        <f t="shared" si="3"/>
        <v>-7.9009042928128298E-3</v>
      </c>
      <c r="D34" s="10">
        <f t="shared" si="4"/>
        <v>-7.4766428220397309E-3</v>
      </c>
      <c r="E34" s="10">
        <f t="shared" si="5"/>
        <v>-3.0559430525027523E-3</v>
      </c>
      <c r="F34" s="10">
        <f t="shared" si="6"/>
        <v>-2.166464771945131E-3</v>
      </c>
      <c r="G34" s="10">
        <f t="shared" si="7"/>
        <v>-5.8255823127115053E-3</v>
      </c>
      <c r="H34" s="10">
        <f t="shared" si="8"/>
        <v>-1.5011758296235855E-3</v>
      </c>
      <c r="J34" s="10" t="s">
        <v>123</v>
      </c>
      <c r="K34" s="8">
        <f t="shared" si="9"/>
        <v>1.8354812536558671E-3</v>
      </c>
      <c r="L34" s="8">
        <f t="shared" si="10"/>
        <v>2.2224205449671041E-3</v>
      </c>
      <c r="M34" s="8">
        <f t="shared" si="11"/>
        <v>2.0733010838637701E-3</v>
      </c>
      <c r="N34" s="8">
        <f t="shared" si="12"/>
        <v>2.0014148857666197E-3</v>
      </c>
      <c r="O34" s="8">
        <f t="shared" si="13"/>
        <v>2.2401542859579481E-3</v>
      </c>
      <c r="P34" s="8">
        <f t="shared" si="14"/>
        <v>2.4611349389886579E-3</v>
      </c>
    </row>
    <row r="35" spans="2:16" x14ac:dyDescent="0.3">
      <c r="B35" s="10" t="s">
        <v>113</v>
      </c>
      <c r="C35" s="10">
        <f t="shared" si="3"/>
        <v>8.4192640420044235E-3</v>
      </c>
      <c r="D35" s="10">
        <f t="shared" si="4"/>
        <v>8.450690817617245E-3</v>
      </c>
      <c r="E35" s="10">
        <f t="shared" si="5"/>
        <v>3.159020409667767E-3</v>
      </c>
      <c r="F35" s="10">
        <f t="shared" si="6"/>
        <v>4.7831846466340235E-3</v>
      </c>
      <c r="G35" s="10">
        <f t="shared" si="7"/>
        <v>6.8475128364865086E-3</v>
      </c>
      <c r="H35" s="10">
        <f t="shared" si="8"/>
        <v>5.8243356488891958E-3</v>
      </c>
      <c r="J35" s="10" t="s">
        <v>113</v>
      </c>
      <c r="K35" s="8">
        <f t="shared" si="9"/>
        <v>2.6332117965431135E-3</v>
      </c>
      <c r="L35" s="8">
        <f t="shared" si="10"/>
        <v>3.0828874046414669E-3</v>
      </c>
      <c r="M35" s="8">
        <f t="shared" si="11"/>
        <v>2.8979262099522096E-3</v>
      </c>
      <c r="N35" s="8">
        <f t="shared" si="12"/>
        <v>2.8579700485841138E-3</v>
      </c>
      <c r="O35" s="8">
        <f t="shared" si="13"/>
        <v>3.1039492801479339E-3</v>
      </c>
      <c r="P35" s="8">
        <f t="shared" si="14"/>
        <v>3.4117697100219629E-3</v>
      </c>
    </row>
    <row r="36" spans="2:16" x14ac:dyDescent="0.3">
      <c r="B36" s="10" t="s">
        <v>121</v>
      </c>
      <c r="C36" s="10">
        <f t="shared" si="3"/>
        <v>-1.5432459026128859E-3</v>
      </c>
      <c r="D36" s="10">
        <f t="shared" si="4"/>
        <v>1.8037057001526677E-3</v>
      </c>
      <c r="E36" s="10">
        <f t="shared" si="5"/>
        <v>-1.1371595847241902E-2</v>
      </c>
      <c r="F36" s="10">
        <f t="shared" si="6"/>
        <v>-8.9757803227269554E-3</v>
      </c>
      <c r="G36" s="10">
        <f t="shared" si="7"/>
        <v>-2.9957868659628503E-4</v>
      </c>
      <c r="H36" s="10">
        <f t="shared" si="8"/>
        <v>2.6995167654552607E-3</v>
      </c>
      <c r="J36" s="10" t="s">
        <v>121</v>
      </c>
      <c r="K36" s="8">
        <f t="shared" si="9"/>
        <v>3.5787823590424091E-3</v>
      </c>
      <c r="L36" s="8">
        <f t="shared" si="10"/>
        <v>4.1226062940499597E-3</v>
      </c>
      <c r="M36" s="8">
        <f t="shared" si="11"/>
        <v>3.5912519839868071E-3</v>
      </c>
      <c r="N36" s="8">
        <f t="shared" si="12"/>
        <v>3.6207628515881824E-3</v>
      </c>
      <c r="O36" s="8">
        <f t="shared" si="13"/>
        <v>4.078451031027012E-3</v>
      </c>
      <c r="P36" s="8">
        <f t="shared" si="14"/>
        <v>4.4446533892210866E-3</v>
      </c>
    </row>
    <row r="37" spans="2:16" x14ac:dyDescent="0.3">
      <c r="B37" s="10" t="s">
        <v>126</v>
      </c>
      <c r="C37" s="10">
        <f t="shared" si="3"/>
        <v>5.9787682877471653E-3</v>
      </c>
      <c r="D37" s="10">
        <f t="shared" si="4"/>
        <v>-1.1311196095240474E-2</v>
      </c>
      <c r="E37" s="10">
        <f t="shared" si="5"/>
        <v>-5.2732252066922669E-4</v>
      </c>
      <c r="F37" s="10">
        <f t="shared" si="6"/>
        <v>2.2173533164800072E-3</v>
      </c>
      <c r="G37" s="10">
        <f t="shared" si="7"/>
        <v>1.5000403380432022E-3</v>
      </c>
      <c r="H37" s="10">
        <f t="shared" si="8"/>
        <v>-1.4063760209288741E-3</v>
      </c>
      <c r="J37" s="10" t="s">
        <v>126</v>
      </c>
      <c r="K37" s="8">
        <f t="shared" si="9"/>
        <v>5.3804493540880564E-3</v>
      </c>
      <c r="L37" s="8">
        <f t="shared" si="10"/>
        <v>5.7397639540024961E-3</v>
      </c>
      <c r="M37" s="8">
        <f t="shared" si="11"/>
        <v>5.0344102095166553E-3</v>
      </c>
      <c r="N37" s="8">
        <f t="shared" si="12"/>
        <v>5.1843646226281534E-3</v>
      </c>
      <c r="O37" s="8">
        <f t="shared" si="13"/>
        <v>5.9224270457145173E-3</v>
      </c>
      <c r="P37" s="8">
        <f t="shared" si="14"/>
        <v>6.3741375830995246E-3</v>
      </c>
    </row>
    <row r="38" spans="2:16" x14ac:dyDescent="0.3">
      <c r="B38" s="10" t="s">
        <v>109</v>
      </c>
      <c r="C38" s="10">
        <f t="shared" si="3"/>
        <v>1.4371378049335252E-2</v>
      </c>
      <c r="D38" s="10">
        <f t="shared" si="4"/>
        <v>2.6198321271627311E-2</v>
      </c>
      <c r="E38" s="10">
        <f t="shared" si="5"/>
        <v>1.9077911825636468E-2</v>
      </c>
      <c r="F38" s="10">
        <f t="shared" si="6"/>
        <v>-5.0650700752132745E-3</v>
      </c>
      <c r="G38" s="10">
        <f t="shared" si="7"/>
        <v>-7.9678406993472645E-4</v>
      </c>
      <c r="H38" s="10">
        <f t="shared" si="8"/>
        <v>2.0317818508505982E-3</v>
      </c>
      <c r="J38" s="10" t="s">
        <v>109</v>
      </c>
      <c r="K38" s="8">
        <f t="shared" si="9"/>
        <v>6.9178334359426266E-3</v>
      </c>
      <c r="L38" s="8">
        <f t="shared" si="10"/>
        <v>7.1598341364554566E-3</v>
      </c>
      <c r="M38" s="8">
        <f t="shared" si="11"/>
        <v>6.5262579584364393E-3</v>
      </c>
      <c r="N38" s="8">
        <f t="shared" si="12"/>
        <v>6.1980389211943503E-3</v>
      </c>
      <c r="O38" s="8">
        <f t="shared" si="13"/>
        <v>7.0267756947763674E-3</v>
      </c>
      <c r="P38" s="8">
        <f t="shared" si="14"/>
        <v>7.4834424590071178E-3</v>
      </c>
    </row>
    <row r="39" spans="2:16" x14ac:dyDescent="0.3">
      <c r="B39" s="10" t="s">
        <v>130</v>
      </c>
      <c r="C39" s="10">
        <f t="shared" si="3"/>
        <v>7.2913663534852902E-4</v>
      </c>
      <c r="D39" s="10">
        <f t="shared" si="4"/>
        <v>-1.4486660557192851E-2</v>
      </c>
      <c r="E39" s="10">
        <f t="shared" si="5"/>
        <v>-1.0206633021351361E-2</v>
      </c>
      <c r="F39" s="10">
        <f t="shared" si="6"/>
        <v>-6.8058225564661158E-3</v>
      </c>
      <c r="G39" s="10">
        <f t="shared" si="7"/>
        <v>3.0791335834044406E-3</v>
      </c>
      <c r="H39" s="10">
        <f t="shared" si="8"/>
        <v>4.7529180044196088E-3</v>
      </c>
      <c r="J39" s="10" t="s">
        <v>130</v>
      </c>
      <c r="K39" s="8">
        <f t="shared" si="9"/>
        <v>8.674273357289642E-3</v>
      </c>
      <c r="L39" s="8">
        <f t="shared" si="10"/>
        <v>8.8479188096147535E-3</v>
      </c>
      <c r="M39" s="8">
        <f t="shared" si="11"/>
        <v>8.118105099285693E-3</v>
      </c>
      <c r="N39" s="8">
        <f t="shared" si="12"/>
        <v>7.2872521742183794E-3</v>
      </c>
      <c r="O39" s="8">
        <f t="shared" si="13"/>
        <v>8.4871168610197653E-3</v>
      </c>
      <c r="P39" s="8">
        <f t="shared" si="14"/>
        <v>9.0708328833736009E-3</v>
      </c>
    </row>
    <row r="40" spans="2:16" x14ac:dyDescent="0.3">
      <c r="B40" s="10" t="s">
        <v>131</v>
      </c>
      <c r="C40" s="10">
        <f t="shared" si="3"/>
        <v>1.6767699882968362E-2</v>
      </c>
      <c r="D40" s="10">
        <f t="shared" si="4"/>
        <v>-1.8236490353780013E-2</v>
      </c>
      <c r="E40" s="10">
        <f t="shared" si="5"/>
        <v>5.555075298250757E-3</v>
      </c>
      <c r="F40" s="10">
        <f t="shared" si="6"/>
        <v>2.1196098354217055E-3</v>
      </c>
      <c r="G40" s="10">
        <f t="shared" si="7"/>
        <v>5.7349220034591183E-3</v>
      </c>
      <c r="H40" s="10">
        <f t="shared" si="8"/>
        <v>-2.5190780261981939E-3</v>
      </c>
      <c r="J40" s="10" t="s">
        <v>131</v>
      </c>
      <c r="K40" s="8">
        <f t="shared" si="9"/>
        <v>1.4458782440954318E-2</v>
      </c>
      <c r="L40" s="8">
        <f t="shared" si="10"/>
        <v>1.306036190727777E-2</v>
      </c>
      <c r="M40" s="8">
        <f t="shared" si="11"/>
        <v>1.2962734617273205E-2</v>
      </c>
      <c r="N40" s="8">
        <f t="shared" si="12"/>
        <v>1.1807003115063356E-2</v>
      </c>
      <c r="O40" s="8">
        <f t="shared" si="13"/>
        <v>1.3915198587232469E-2</v>
      </c>
      <c r="P40" s="8">
        <f t="shared" si="14"/>
        <v>1.4511513230308637E-2</v>
      </c>
    </row>
    <row r="41" spans="2:16" x14ac:dyDescent="0.3">
      <c r="B41" s="10" t="s">
        <v>116</v>
      </c>
      <c r="C41" s="10">
        <f t="shared" si="3"/>
        <v>-1.7125512296805451E-3</v>
      </c>
      <c r="D41" s="10">
        <f>D15-B15</f>
        <v>-2.231804043982092E-2</v>
      </c>
      <c r="E41" s="10">
        <f>E15-B15</f>
        <v>-2.5245220111186639E-2</v>
      </c>
      <c r="F41" s="10">
        <f t="shared" si="6"/>
        <v>-1.0022434681071907E-2</v>
      </c>
      <c r="G41" s="10">
        <f t="shared" si="7"/>
        <v>-2.1169338213914701E-3</v>
      </c>
      <c r="H41" s="10">
        <f t="shared" si="8"/>
        <v>-1.5935386599539962E-2</v>
      </c>
      <c r="J41" s="10" t="s">
        <v>116</v>
      </c>
      <c r="K41" s="8">
        <f t="shared" si="9"/>
        <v>2.0387310207554531E-2</v>
      </c>
      <c r="L41" s="8">
        <f t="shared" si="10"/>
        <v>1.6594031244671844E-2</v>
      </c>
      <c r="M41" s="8">
        <f t="shared" si="11"/>
        <v>1.7282806141412005E-2</v>
      </c>
      <c r="N41" s="8">
        <f t="shared" si="12"/>
        <v>1.6373039511014386E-2</v>
      </c>
      <c r="O41" s="8">
        <f t="shared" si="13"/>
        <v>1.9305055745987107E-2</v>
      </c>
      <c r="P41" s="8">
        <f t="shared" si="14"/>
        <v>1.9158274495656876E-2</v>
      </c>
    </row>
    <row r="42" spans="2:16" x14ac:dyDescent="0.3">
      <c r="B42" s="10" t="s">
        <v>115</v>
      </c>
      <c r="C42" s="10">
        <f t="shared" si="3"/>
        <v>-8.2058286756907239E-3</v>
      </c>
      <c r="D42" s="10">
        <f t="shared" si="4"/>
        <v>4.0081412053410474E-2</v>
      </c>
      <c r="E42" s="10">
        <f t="shared" si="5"/>
        <v>6.3290550452395067E-3</v>
      </c>
      <c r="F42" s="10">
        <f t="shared" si="6"/>
        <v>-1.0085862314142061E-2</v>
      </c>
      <c r="G42" s="10">
        <f t="shared" si="7"/>
        <v>-1.0471897161316066E-2</v>
      </c>
      <c r="H42" s="10">
        <f t="shared" si="8"/>
        <v>-6.6127397254870726E-3</v>
      </c>
      <c r="J42" s="10" t="s">
        <v>115</v>
      </c>
      <c r="K42" s="8">
        <f t="shared" si="9"/>
        <v>3.157828664574111E-2</v>
      </c>
      <c r="L42" s="8">
        <f t="shared" si="10"/>
        <v>2.7912312561632343E-2</v>
      </c>
      <c r="M42" s="8">
        <f t="shared" si="11"/>
        <v>2.6938006959210451E-2</v>
      </c>
      <c r="N42" s="8">
        <f t="shared" si="12"/>
        <v>2.5653033132822526E-2</v>
      </c>
      <c r="O42" s="8">
        <f t="shared" si="13"/>
        <v>2.9984805260853425E-2</v>
      </c>
      <c r="P42" s="8">
        <f t="shared" si="14"/>
        <v>2.9271457535865218E-2</v>
      </c>
    </row>
    <row r="43" spans="2:16" x14ac:dyDescent="0.3">
      <c r="B43" s="10" t="s">
        <v>112</v>
      </c>
      <c r="C43" s="10">
        <f t="shared" si="3"/>
        <v>-1.8933267833062956E-2</v>
      </c>
      <c r="D43" s="10">
        <f t="shared" si="4"/>
        <v>-3.1498740282256334E-2</v>
      </c>
      <c r="E43" s="10">
        <f t="shared" si="5"/>
        <v>-2.0179115009142684E-2</v>
      </c>
      <c r="F43" s="10">
        <f t="shared" si="6"/>
        <v>-1.0131475938635941E-2</v>
      </c>
      <c r="G43" s="10">
        <f t="shared" si="7"/>
        <v>-2.1290894641339826E-2</v>
      </c>
      <c r="H43" s="10">
        <f t="shared" si="8"/>
        <v>-2.6592138765485326E-2</v>
      </c>
      <c r="J43" s="10" t="s">
        <v>112</v>
      </c>
      <c r="K43" s="8">
        <f t="shared" si="9"/>
        <v>3.919010407638987E-2</v>
      </c>
      <c r="L43" s="8">
        <f t="shared" si="10"/>
        <v>3.7202744945447355E-2</v>
      </c>
      <c r="M43" s="8">
        <f t="shared" si="11"/>
        <v>3.4863566840146465E-2</v>
      </c>
      <c r="N43" s="8">
        <f t="shared" si="12"/>
        <v>3.3095554284267741E-2</v>
      </c>
      <c r="O43" s="8">
        <f t="shared" si="13"/>
        <v>3.7183229358250691E-2</v>
      </c>
      <c r="P43" s="8">
        <f t="shared" si="14"/>
        <v>3.632042989179609E-2</v>
      </c>
    </row>
    <row r="44" spans="2:16" x14ac:dyDescent="0.3">
      <c r="B44" s="10" t="s">
        <v>120</v>
      </c>
      <c r="C44" s="10">
        <f t="shared" si="3"/>
        <v>-4.2718229041193365E-3</v>
      </c>
      <c r="D44" s="10">
        <f t="shared" si="4"/>
        <v>8.1312778710744618E-3</v>
      </c>
      <c r="E44" s="10">
        <f t="shared" si="5"/>
        <v>-8.7015017524028349E-3</v>
      </c>
      <c r="F44" s="10">
        <f t="shared" si="6"/>
        <v>3.1172538881737426E-2</v>
      </c>
      <c r="G44" s="10">
        <f t="shared" si="7"/>
        <v>6.4252411256676342E-3</v>
      </c>
      <c r="H44" s="10">
        <f t="shared" si="8"/>
        <v>3.611503859775031E-3</v>
      </c>
      <c r="J44" s="10" t="s">
        <v>120</v>
      </c>
      <c r="K44" s="8">
        <f t="shared" si="9"/>
        <v>4.5830033088021825E-2</v>
      </c>
      <c r="L44" s="8">
        <f t="shared" si="10"/>
        <v>4.3769705135442837E-2</v>
      </c>
      <c r="M44" s="8">
        <f t="shared" si="11"/>
        <v>4.1033113075979934E-2</v>
      </c>
      <c r="N44" s="8">
        <f t="shared" si="12"/>
        <v>4.213082573257159E-2</v>
      </c>
      <c r="O44" s="8">
        <f t="shared" si="13"/>
        <v>4.4247223026589393E-2</v>
      </c>
      <c r="P44" s="8">
        <f t="shared" si="14"/>
        <v>4.2881857328597686E-2</v>
      </c>
    </row>
    <row r="45" spans="2:16" x14ac:dyDescent="0.3">
      <c r="B45" s="10" t="s">
        <v>117</v>
      </c>
      <c r="C45" s="10">
        <f t="shared" si="3"/>
        <v>1.7947070428002872E-2</v>
      </c>
      <c r="D45" s="10">
        <f t="shared" si="4"/>
        <v>9.2748034182455003E-2</v>
      </c>
      <c r="E45" s="10">
        <f t="shared" si="5"/>
        <v>6.4320270870970753E-2</v>
      </c>
      <c r="F45" s="10">
        <f t="shared" si="6"/>
        <v>2.9713789924288629E-2</v>
      </c>
      <c r="G45" s="10">
        <f t="shared" si="7"/>
        <v>2.3089596216930415E-2</v>
      </c>
      <c r="H45" s="10">
        <f t="shared" si="8"/>
        <v>3.367540222846712E-2</v>
      </c>
      <c r="J45" s="10" t="s">
        <v>117</v>
      </c>
      <c r="K45" s="8">
        <f t="shared" si="9"/>
        <v>5.3549348924679496E-2</v>
      </c>
      <c r="L45" s="8">
        <f t="shared" si="10"/>
        <v>5.6597077482033221E-2</v>
      </c>
      <c r="M45" s="8">
        <f t="shared" si="11"/>
        <v>5.1204891745580516E-2</v>
      </c>
      <c r="N45" s="8">
        <f t="shared" si="12"/>
        <v>5.2612574732298439E-2</v>
      </c>
      <c r="O45" s="8">
        <f t="shared" si="13"/>
        <v>5.2892954570745991E-2</v>
      </c>
      <c r="P45" s="8">
        <f t="shared" si="14"/>
        <v>5.1981473420998438E-2</v>
      </c>
    </row>
    <row r="46" spans="2:16" x14ac:dyDescent="0.3">
      <c r="B46" s="10" t="s">
        <v>119</v>
      </c>
      <c r="C46" s="10">
        <f t="shared" si="3"/>
        <v>-6.4974900583081169E-3</v>
      </c>
      <c r="D46" s="10">
        <f t="shared" si="4"/>
        <v>-1.294521685487212E-2</v>
      </c>
      <c r="E46" s="10">
        <f t="shared" si="5"/>
        <v>6.6531190225335296E-3</v>
      </c>
      <c r="F46" s="10">
        <f t="shared" si="6"/>
        <v>-9.0271123804394129E-3</v>
      </c>
      <c r="G46" s="10">
        <f t="shared" si="7"/>
        <v>-2.0421984961561487E-2</v>
      </c>
      <c r="H46" s="10">
        <f t="shared" si="8"/>
        <v>-1.647756276009938E-2</v>
      </c>
      <c r="J46" s="10" t="s">
        <v>119</v>
      </c>
      <c r="K46" s="8">
        <f t="shared" si="9"/>
        <v>6.2399275781735715E-2</v>
      </c>
      <c r="L46" s="8">
        <f t="shared" si="10"/>
        <v>6.9595807479838595E-2</v>
      </c>
      <c r="M46" s="8">
        <f t="shared" si="11"/>
        <v>6.3566313569933725E-2</v>
      </c>
      <c r="N46" s="8">
        <f t="shared" si="12"/>
        <v>6.1995804575287125E-2</v>
      </c>
      <c r="O46" s="8">
        <f t="shared" si="13"/>
        <v>6.1204474655302821E-2</v>
      </c>
      <c r="P46" s="8">
        <f t="shared" si="14"/>
        <v>6.1143296779723848E-2</v>
      </c>
    </row>
    <row r="47" spans="2:16" x14ac:dyDescent="0.3">
      <c r="B47" s="10" t="s">
        <v>125</v>
      </c>
      <c r="C47" s="10">
        <f t="shared" si="3"/>
        <v>1.9357875017936517E-2</v>
      </c>
      <c r="D47" s="10">
        <f t="shared" si="4"/>
        <v>-2.780323958503856E-2</v>
      </c>
      <c r="E47" s="10">
        <f t="shared" si="5"/>
        <v>-2.7153752889040234E-2</v>
      </c>
      <c r="F47" s="10">
        <f t="shared" si="6"/>
        <v>-2.232188701053045E-3</v>
      </c>
      <c r="G47" s="10">
        <f t="shared" si="7"/>
        <v>-1.0138517720286941E-3</v>
      </c>
      <c r="H47" s="10">
        <f t="shared" si="8"/>
        <v>-1.4956494534903678E-2</v>
      </c>
      <c r="J47" s="10" t="s">
        <v>125</v>
      </c>
      <c r="K47" s="8">
        <f t="shared" si="9"/>
        <v>7.3098418763794332E-2</v>
      </c>
      <c r="L47" s="8">
        <f t="shared" si="10"/>
        <v>7.7239449385797354E-2</v>
      </c>
      <c r="M47" s="8">
        <f t="shared" si="11"/>
        <v>7.2239649746362544E-2</v>
      </c>
      <c r="N47" s="8">
        <f t="shared" si="12"/>
        <v>7.1183471350347818E-2</v>
      </c>
      <c r="O47" s="8">
        <f t="shared" si="13"/>
        <v>6.9731097540954287E-2</v>
      </c>
      <c r="P47" s="8">
        <f t="shared" si="14"/>
        <v>6.9047357866648271E-2</v>
      </c>
    </row>
    <row r="48" spans="2:16" x14ac:dyDescent="0.3">
      <c r="B48" s="10" t="s">
        <v>111</v>
      </c>
      <c r="C48" s="10">
        <f t="shared" si="3"/>
        <v>3.0071330642819777E-2</v>
      </c>
      <c r="D48" s="10">
        <f t="shared" si="4"/>
        <v>4.6277071267165057E-2</v>
      </c>
      <c r="E48" s="10">
        <f t="shared" si="5"/>
        <v>7.6859813477814246E-2</v>
      </c>
      <c r="F48" s="10">
        <f t="shared" si="6"/>
        <v>4.140544024810705E-2</v>
      </c>
      <c r="G48" s="10">
        <f t="shared" si="7"/>
        <v>2.0862089356120148E-2</v>
      </c>
      <c r="H48" s="10">
        <f t="shared" si="8"/>
        <v>3.0936306773858183E-2</v>
      </c>
      <c r="J48" s="10" t="s">
        <v>111</v>
      </c>
      <c r="K48" s="8">
        <f t="shared" si="9"/>
        <v>9.8967478486788676E-2</v>
      </c>
      <c r="L48" s="8">
        <f t="shared" si="10"/>
        <v>0.10156770050047025</v>
      </c>
      <c r="M48" s="8">
        <f t="shared" si="11"/>
        <v>9.7982027065156366E-2</v>
      </c>
      <c r="N48" s="8">
        <f t="shared" si="12"/>
        <v>9.5980188135140698E-2</v>
      </c>
      <c r="O48" s="8">
        <f t="shared" si="13"/>
        <v>9.2875748129555347E-2</v>
      </c>
      <c r="P48" s="8">
        <f t="shared" si="14"/>
        <v>9.1794123868788755E-2</v>
      </c>
    </row>
    <row r="49" spans="2:16" x14ac:dyDescent="0.3">
      <c r="B49" s="10" t="s">
        <v>122</v>
      </c>
      <c r="C49" s="10">
        <f t="shared" si="3"/>
        <v>-2.012237273047341E-2</v>
      </c>
      <c r="D49" s="10">
        <f t="shared" si="4"/>
        <v>-3.238405301540951E-2</v>
      </c>
      <c r="E49" s="10">
        <f t="shared" si="5"/>
        <v>-4.6008308500130109E-2</v>
      </c>
      <c r="F49" s="10">
        <f t="shared" si="6"/>
        <v>-1.1776101531241062E-2</v>
      </c>
      <c r="G49" s="10">
        <f t="shared" si="7"/>
        <v>-2.4112789626035885E-2</v>
      </c>
      <c r="H49" s="10">
        <f t="shared" si="8"/>
        <v>-3.4033159749262007E-2</v>
      </c>
      <c r="J49" s="10" t="s">
        <v>122</v>
      </c>
      <c r="K49" s="8">
        <f t="shared" si="9"/>
        <v>0.12076570298772218</v>
      </c>
      <c r="L49" s="8">
        <f t="shared" si="10"/>
        <v>0.1239142722170064</v>
      </c>
      <c r="M49" s="8">
        <f t="shared" si="11"/>
        <v>0.12134699281229301</v>
      </c>
      <c r="N49" s="8">
        <f t="shared" si="12"/>
        <v>0.11906674172624206</v>
      </c>
      <c r="O49" s="8">
        <f t="shared" si="13"/>
        <v>0.11307559527585802</v>
      </c>
      <c r="P49" s="8">
        <f t="shared" si="14"/>
        <v>0.1119080506529045</v>
      </c>
    </row>
    <row r="50" spans="2:16" x14ac:dyDescent="0.3">
      <c r="B50" s="10" t="s">
        <v>114</v>
      </c>
      <c r="C50" s="10">
        <f t="shared" si="3"/>
        <v>-1.8401242691373637E-2</v>
      </c>
      <c r="D50" s="10">
        <f t="shared" si="4"/>
        <v>-3.81424955721614E-2</v>
      </c>
      <c r="E50" s="10">
        <f t="shared" si="5"/>
        <v>-8.2960378187268979E-3</v>
      </c>
      <c r="F50" s="10">
        <f t="shared" si="6"/>
        <v>-1.7407991944750956E-2</v>
      </c>
      <c r="G50" s="10">
        <f t="shared" si="7"/>
        <v>-1.1503849051625117E-2</v>
      </c>
      <c r="H50" s="10">
        <f t="shared" si="8"/>
        <v>-1.7355606988662647E-2</v>
      </c>
      <c r="J50" s="10" t="s">
        <v>114</v>
      </c>
      <c r="K50" s="8">
        <f t="shared" si="9"/>
        <v>0.133986792875361</v>
      </c>
      <c r="L50" s="8">
        <f t="shared" si="10"/>
        <v>0.13461641122980447</v>
      </c>
      <c r="M50" s="8">
        <f t="shared" si="11"/>
        <v>0.13329956556808806</v>
      </c>
      <c r="N50" s="8">
        <f t="shared" si="12"/>
        <v>0.13300172894033446</v>
      </c>
      <c r="O50" s="8">
        <f t="shared" si="13"/>
        <v>0.12632412412587907</v>
      </c>
      <c r="P50" s="8">
        <f t="shared" si="14"/>
        <v>0.12384119955338413</v>
      </c>
    </row>
    <row r="51" spans="2:16" x14ac:dyDescent="0.3">
      <c r="B51" s="10" t="s">
        <v>108</v>
      </c>
      <c r="C51" s="10">
        <f t="shared" si="3"/>
        <v>-3.0279971968575653E-2</v>
      </c>
      <c r="D51" s="10">
        <f t="shared" si="4"/>
        <v>-2.4277457826526627E-2</v>
      </c>
      <c r="E51" s="10">
        <f t="shared" si="5"/>
        <v>-3.1110536752628815E-2</v>
      </c>
      <c r="F51" s="10">
        <f t="shared" si="6"/>
        <v>-2.4724775798183968E-2</v>
      </c>
      <c r="G51" s="10">
        <f t="shared" si="7"/>
        <v>1.3347568774877916E-2</v>
      </c>
      <c r="H51" s="10">
        <f t="shared" si="8"/>
        <v>3.1527499673346115E-2</v>
      </c>
      <c r="J51" s="10" t="s">
        <v>108</v>
      </c>
      <c r="K51" s="8">
        <f t="shared" si="9"/>
        <v>0.32573017516129688</v>
      </c>
      <c r="L51" s="8">
        <f t="shared" si="10"/>
        <v>0.32467596075045541</v>
      </c>
      <c r="M51" s="8">
        <f t="shared" si="11"/>
        <v>0.32587604626526517</v>
      </c>
      <c r="N51" s="8">
        <f t="shared" si="12"/>
        <v>0.32475452267314148</v>
      </c>
      <c r="O51" s="8">
        <f t="shared" si="13"/>
        <v>0.31806792213316476</v>
      </c>
      <c r="P51" s="8">
        <f t="shared" si="14"/>
        <v>0.31487500251853068</v>
      </c>
    </row>
    <row r="52" spans="2:16" x14ac:dyDescent="0.3">
      <c r="J52" s="12" t="s">
        <v>174</v>
      </c>
      <c r="K52" s="11">
        <f>SUM(K28:K51)</f>
        <v>1.0517791924158937</v>
      </c>
      <c r="L52" s="11">
        <f t="shared" ref="L52:P52" si="15">SUM(L28:L51)</f>
        <v>1.0619571293088661</v>
      </c>
      <c r="M52" s="11">
        <f t="shared" si="15"/>
        <v>1.0313114883892693</v>
      </c>
      <c r="N52" s="11">
        <f t="shared" si="15"/>
        <v>1.0180154396647165</v>
      </c>
      <c r="O52" s="11">
        <f t="shared" si="15"/>
        <v>1.0134498141998529</v>
      </c>
      <c r="P52" s="11">
        <f t="shared" si="15"/>
        <v>1.0044963707749224</v>
      </c>
    </row>
    <row r="53" spans="2:16" x14ac:dyDescent="0.3">
      <c r="J53" s="13" t="s">
        <v>175</v>
      </c>
      <c r="K53" s="14">
        <f>1-K52</f>
        <v>-5.1779192415893682E-2</v>
      </c>
      <c r="L53" s="14">
        <f t="shared" ref="L53:P53" si="16">1-L52</f>
        <v>-6.1957129308866099E-2</v>
      </c>
      <c r="M53" s="14">
        <f t="shared" si="16"/>
        <v>-3.1311488389269337E-2</v>
      </c>
      <c r="N53" s="14">
        <f t="shared" si="16"/>
        <v>-1.8015439664716526E-2</v>
      </c>
      <c r="O53" s="14">
        <f t="shared" si="16"/>
        <v>-1.3449814199852916E-2</v>
      </c>
      <c r="P53" s="14">
        <f t="shared" si="16"/>
        <v>-4.4963707749223758E-3</v>
      </c>
    </row>
  </sheetData>
  <sortState xmlns:xlrd2="http://schemas.microsoft.com/office/spreadsheetml/2017/richdata2" ref="A2:P26">
    <sortCondition ref="B1:B26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FC9-E7B4-47DB-A584-9D11CFF0C60D}">
  <dimension ref="A1:P17"/>
  <sheetViews>
    <sheetView workbookViewId="0">
      <selection activeCell="Y7" sqref="Y7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137</v>
      </c>
      <c r="B2" s="9">
        <v>5.507077146418822E-2</v>
      </c>
      <c r="C2" s="9">
        <v>1.7676767676767676E-2</v>
      </c>
      <c r="D2" s="9">
        <v>1.6E-2</v>
      </c>
      <c r="E2" s="9">
        <v>6.369426751592357E-3</v>
      </c>
      <c r="F2" s="9">
        <v>7.2202166064981949E-2</v>
      </c>
      <c r="G2" s="9">
        <v>9.45945945945946E-2</v>
      </c>
      <c r="H2" s="9">
        <v>6.8965517241379309E-2</v>
      </c>
      <c r="I2" s="10">
        <v>5.507077146418822E-2</v>
      </c>
      <c r="J2" s="9">
        <v>5.507077146418822E-2</v>
      </c>
      <c r="K2" s="9">
        <v>1.7676767676767676E-2</v>
      </c>
      <c r="L2" s="9">
        <v>1.6E-2</v>
      </c>
      <c r="M2" s="9">
        <v>6.369426751592357E-3</v>
      </c>
      <c r="N2" s="9">
        <v>7.2202166064981949E-2</v>
      </c>
      <c r="O2" s="9">
        <v>9.45945945945946E-2</v>
      </c>
      <c r="P2" s="9">
        <v>6.8965517241379309E-2</v>
      </c>
    </row>
    <row r="3" spans="1:16" x14ac:dyDescent="0.3">
      <c r="A3" s="10" t="s">
        <v>134</v>
      </c>
      <c r="B3" s="9">
        <v>6.0711975131365094E-2</v>
      </c>
      <c r="C3" s="9">
        <v>1.7676767676767676E-2</v>
      </c>
      <c r="D3" s="9">
        <v>8.0000000000000002E-3</v>
      </c>
      <c r="E3" s="9">
        <v>6.369426751592357E-3</v>
      </c>
      <c r="F3" s="9">
        <v>3.0685920577617327E-2</v>
      </c>
      <c r="G3" s="9">
        <v>4.0540540540540543E-2</v>
      </c>
      <c r="H3" s="9">
        <v>4.4334975369458129E-2</v>
      </c>
      <c r="I3" s="10">
        <v>0.11578274659555332</v>
      </c>
      <c r="J3" s="10">
        <f t="shared" ref="J3:P7" si="0">J2+B3</f>
        <v>0.11578274659555332</v>
      </c>
      <c r="K3" s="10">
        <f t="shared" si="0"/>
        <v>3.5353535353535352E-2</v>
      </c>
      <c r="L3" s="10">
        <f t="shared" si="0"/>
        <v>2.4E-2</v>
      </c>
      <c r="M3" s="10">
        <f t="shared" si="0"/>
        <v>1.2738853503184714E-2</v>
      </c>
      <c r="N3" s="10">
        <f t="shared" si="0"/>
        <v>0.10288808664259927</v>
      </c>
      <c r="O3" s="10">
        <f t="shared" si="0"/>
        <v>0.13513513513513514</v>
      </c>
      <c r="P3" s="10">
        <f t="shared" si="0"/>
        <v>0.11330049261083744</v>
      </c>
    </row>
    <row r="4" spans="1:16" x14ac:dyDescent="0.3">
      <c r="A4" s="10" t="s">
        <v>136</v>
      </c>
      <c r="B4" s="9">
        <v>6.729995423918704E-2</v>
      </c>
      <c r="C4" s="9">
        <v>2.2727272727272728E-2</v>
      </c>
      <c r="D4" s="9">
        <v>2.4E-2</v>
      </c>
      <c r="E4" s="9">
        <v>1.9108280254777069E-2</v>
      </c>
      <c r="F4" s="9">
        <v>5.5956678700361008E-2</v>
      </c>
      <c r="G4" s="9">
        <v>6.7567567567567571E-2</v>
      </c>
      <c r="H4" s="9">
        <v>9.8522167487684734E-2</v>
      </c>
      <c r="I4" s="10">
        <v>0.18308270083474038</v>
      </c>
      <c r="J4" s="10">
        <f t="shared" si="0"/>
        <v>0.18308270083474038</v>
      </c>
      <c r="K4" s="10">
        <f t="shared" si="0"/>
        <v>5.808080808080808E-2</v>
      </c>
      <c r="L4" s="10">
        <f t="shared" si="0"/>
        <v>4.8000000000000001E-2</v>
      </c>
      <c r="M4" s="10">
        <f t="shared" si="0"/>
        <v>3.1847133757961783E-2</v>
      </c>
      <c r="N4" s="10">
        <f t="shared" si="0"/>
        <v>0.15884476534296027</v>
      </c>
      <c r="O4" s="10">
        <f t="shared" si="0"/>
        <v>0.20270270270270271</v>
      </c>
      <c r="P4" s="10">
        <f t="shared" si="0"/>
        <v>0.21182266009852219</v>
      </c>
    </row>
    <row r="5" spans="1:16" x14ac:dyDescent="0.3">
      <c r="A5" s="10" t="s">
        <v>133</v>
      </c>
      <c r="B5" s="9">
        <v>7.9860508418411622E-2</v>
      </c>
      <c r="C5" s="9">
        <v>1.2626262626262626E-2</v>
      </c>
      <c r="D5" s="9">
        <v>4.0000000000000001E-3</v>
      </c>
      <c r="E5" s="9">
        <v>9.5541401273885346E-3</v>
      </c>
      <c r="F5" s="9">
        <v>0.1444043321299639</v>
      </c>
      <c r="G5" s="9">
        <v>0.17027027027027028</v>
      </c>
      <c r="H5" s="9">
        <v>0.15270935960591134</v>
      </c>
      <c r="I5" s="10">
        <v>0.26294320925315201</v>
      </c>
      <c r="J5" s="10">
        <f t="shared" si="0"/>
        <v>0.26294320925315201</v>
      </c>
      <c r="K5" s="10">
        <f t="shared" si="0"/>
        <v>7.0707070707070704E-2</v>
      </c>
      <c r="L5" s="10">
        <f t="shared" si="0"/>
        <v>5.2000000000000005E-2</v>
      </c>
      <c r="M5" s="10">
        <f t="shared" si="0"/>
        <v>4.1401273885350316E-2</v>
      </c>
      <c r="N5" s="10">
        <f t="shared" si="0"/>
        <v>0.30324909747292417</v>
      </c>
      <c r="O5" s="10">
        <f t="shared" si="0"/>
        <v>0.37297297297297299</v>
      </c>
      <c r="P5" s="10">
        <f t="shared" si="0"/>
        <v>0.3645320197044335</v>
      </c>
    </row>
    <row r="6" spans="1:16" x14ac:dyDescent="0.3">
      <c r="A6" s="10" t="s">
        <v>135</v>
      </c>
      <c r="B6" s="9">
        <v>0.16966215896359649</v>
      </c>
      <c r="C6" s="9">
        <v>0.2878787878787879</v>
      </c>
      <c r="D6" s="9">
        <v>0.33200000000000002</v>
      </c>
      <c r="E6" s="9">
        <v>0.33121019108280253</v>
      </c>
      <c r="F6" s="9">
        <v>0.19133574007220217</v>
      </c>
      <c r="G6" s="9">
        <v>0.23243243243243245</v>
      </c>
      <c r="H6" s="9">
        <v>0.20689655172413793</v>
      </c>
      <c r="I6" s="10">
        <v>0.4326053682167485</v>
      </c>
      <c r="J6" s="10">
        <f t="shared" si="0"/>
        <v>0.4326053682167485</v>
      </c>
      <c r="K6" s="10">
        <f t="shared" si="0"/>
        <v>0.35858585858585862</v>
      </c>
      <c r="L6" s="10">
        <f t="shared" si="0"/>
        <v>0.38400000000000001</v>
      </c>
      <c r="M6" s="10">
        <f t="shared" si="0"/>
        <v>0.37261146496815284</v>
      </c>
      <c r="N6" s="10">
        <f t="shared" si="0"/>
        <v>0.49458483754512633</v>
      </c>
      <c r="O6" s="10">
        <f t="shared" si="0"/>
        <v>0.60540540540540544</v>
      </c>
      <c r="P6" s="10">
        <f t="shared" si="0"/>
        <v>0.5714285714285714</v>
      </c>
    </row>
    <row r="7" spans="1:16" x14ac:dyDescent="0.3">
      <c r="A7" s="10" t="s">
        <v>132</v>
      </c>
      <c r="B7" s="9">
        <v>0.56739463178325156</v>
      </c>
      <c r="C7" s="9">
        <v>0.64141414141414144</v>
      </c>
      <c r="D7" s="9">
        <v>0.61599999999999999</v>
      </c>
      <c r="E7" s="9">
        <v>0.62738853503184711</v>
      </c>
      <c r="F7" s="9">
        <v>0.50541516245487361</v>
      </c>
      <c r="G7" s="9">
        <v>0.39459459459459462</v>
      </c>
      <c r="H7" s="9">
        <v>0.42857142857142855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1" t="s">
        <v>154</v>
      </c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137</v>
      </c>
      <c r="C10" s="10">
        <f>C2-B2</f>
        <v>-3.7394003787420541E-2</v>
      </c>
      <c r="D10" s="10">
        <f>D2-B2</f>
        <v>-3.907077146418822E-2</v>
      </c>
      <c r="E10" s="10">
        <f>E2-B2</f>
        <v>-4.8701344712595865E-2</v>
      </c>
      <c r="F10" s="10">
        <f>F2-B2</f>
        <v>1.7131394600793728E-2</v>
      </c>
      <c r="G10" s="10">
        <f>G2-B2</f>
        <v>3.952382313040638E-2</v>
      </c>
      <c r="H10" s="10">
        <f>H2-B2</f>
        <v>1.3894745777191089E-2</v>
      </c>
      <c r="J10" s="10" t="s">
        <v>137</v>
      </c>
      <c r="K10" s="8">
        <f>(J2-0) * ((K2+0))</f>
        <v>9.7347323295282205E-4</v>
      </c>
      <c r="L10" s="8">
        <f>(J2-0) * ((L2+0))</f>
        <v>8.8113234342701151E-4</v>
      </c>
      <c r="M10" s="8">
        <f>(J2-0) * ((M2+0))</f>
        <v>3.5076924499482945E-4</v>
      </c>
      <c r="N10" s="8">
        <f>(J2-0) * ((N2+0))</f>
        <v>3.9762289865839873E-3</v>
      </c>
      <c r="O10" s="8">
        <f>(J2-0) * ((O2+0))</f>
        <v>5.2093973006664537E-3</v>
      </c>
      <c r="P10" s="8">
        <f>(J2-0) * ((P2+0))</f>
        <v>3.7979842389095323E-3</v>
      </c>
    </row>
    <row r="11" spans="1:16" x14ac:dyDescent="0.3">
      <c r="B11" s="10" t="s">
        <v>134</v>
      </c>
      <c r="C11" s="10">
        <f t="shared" ref="C11:C15" si="1">C3-B3</f>
        <v>-4.3035207454597421E-2</v>
      </c>
      <c r="D11" s="10">
        <f t="shared" ref="D11:D15" si="2">D3-B3</f>
        <v>-5.2711975131365094E-2</v>
      </c>
      <c r="E11" s="10">
        <f t="shared" ref="E11:E15" si="3">E3-B3</f>
        <v>-5.4342548379772738E-2</v>
      </c>
      <c r="F11" s="10">
        <f t="shared" ref="F11:F15" si="4">F3-B3</f>
        <v>-3.0026054553747766E-2</v>
      </c>
      <c r="G11" s="10">
        <f t="shared" ref="G11:G15" si="5">G3-B3</f>
        <v>-2.0171434590824551E-2</v>
      </c>
      <c r="H11" s="10">
        <f t="shared" ref="H11:H15" si="6">H3-B3</f>
        <v>-1.6376999761906964E-2</v>
      </c>
      <c r="J11" s="10" t="s">
        <v>134</v>
      </c>
      <c r="K11" s="8">
        <f>(J3-J2) * ((K3+K2))</f>
        <v>3.2195744387845124E-3</v>
      </c>
      <c r="L11" s="8">
        <f>(J3-J2) * ((L3+L2))</f>
        <v>2.4284790052546039E-3</v>
      </c>
      <c r="M11" s="8">
        <f>(J3-J2) * ((M3+M2))</f>
        <v>1.1601014356311804E-3</v>
      </c>
      <c r="N11" s="8">
        <f>(J3-J2) * ((N3+N2))</f>
        <v>1.0630075068127102E-2</v>
      </c>
      <c r="O11" s="8">
        <f>(J3-J2) * ((O3+O2))</f>
        <v>1.3947345638286578E-2</v>
      </c>
      <c r="P11" s="8">
        <f>(J3-J2) * ((P3+P2))</f>
        <v>1.106572945744093E-2</v>
      </c>
    </row>
    <row r="12" spans="1:16" x14ac:dyDescent="0.3">
      <c r="B12" s="10" t="s">
        <v>136</v>
      </c>
      <c r="C12" s="10">
        <f t="shared" si="1"/>
        <v>-4.4572681511914312E-2</v>
      </c>
      <c r="D12" s="10">
        <f t="shared" si="2"/>
        <v>-4.329995423918704E-2</v>
      </c>
      <c r="E12" s="10">
        <f t="shared" si="3"/>
        <v>-4.8191673984409975E-2</v>
      </c>
      <c r="F12" s="10">
        <f t="shared" si="4"/>
        <v>-1.1343275538826032E-2</v>
      </c>
      <c r="G12" s="10">
        <f t="shared" si="5"/>
        <v>2.6761332838053098E-4</v>
      </c>
      <c r="H12" s="10">
        <f t="shared" si="6"/>
        <v>3.1222213248497693E-2</v>
      </c>
      <c r="J12" s="10" t="s">
        <v>136</v>
      </c>
      <c r="K12" s="8">
        <f t="shared" ref="K12:K15" si="7">(J4-J3) * ((K4+K3))</f>
        <v>6.2881270374998003E-3</v>
      </c>
      <c r="L12" s="8">
        <f t="shared" ref="L12:L15" si="8">(J4-J3) * ((L4+L3))</f>
        <v>4.8455967052214687E-3</v>
      </c>
      <c r="M12" s="8">
        <f t="shared" ref="M12:M15" si="9">(J4-J3) * ((M4+M3))</f>
        <v>3.0006349023841365E-3</v>
      </c>
      <c r="N12" s="8">
        <f t="shared" ref="N12:N15" si="10">(J4-J3) * ((N4+N3))</f>
        <v>1.7614608961520072E-2</v>
      </c>
      <c r="O12" s="8">
        <f t="shared" ref="O12:O15" si="11">(J4-J3) * ((O4+O3))</f>
        <v>2.2736471026752383E-2</v>
      </c>
      <c r="P12" s="8">
        <f t="shared" ref="P12:P15" si="12">(J4-J3) * ((P4+P3))</f>
        <v>2.1880773299440128E-2</v>
      </c>
    </row>
    <row r="13" spans="1:16" x14ac:dyDescent="0.3">
      <c r="B13" s="10" t="s">
        <v>133</v>
      </c>
      <c r="C13" s="10">
        <f t="shared" si="1"/>
        <v>-6.7234245792148997E-2</v>
      </c>
      <c r="D13" s="10">
        <f t="shared" si="2"/>
        <v>-7.5860508418411618E-2</v>
      </c>
      <c r="E13" s="10">
        <f t="shared" si="3"/>
        <v>-7.0306368291023089E-2</v>
      </c>
      <c r="F13" s="10">
        <f t="shared" si="4"/>
        <v>6.4543823711552276E-2</v>
      </c>
      <c r="G13" s="10">
        <f t="shared" si="5"/>
        <v>9.0409761851858658E-2</v>
      </c>
      <c r="H13" s="10">
        <f t="shared" si="6"/>
        <v>7.2848851187499716E-2</v>
      </c>
      <c r="J13" s="10" t="s">
        <v>133</v>
      </c>
      <c r="K13" s="8">
        <f t="shared" si="7"/>
        <v>1.028506547812877E-2</v>
      </c>
      <c r="L13" s="8">
        <f t="shared" si="8"/>
        <v>7.9860508418411642E-3</v>
      </c>
      <c r="M13" s="8">
        <f t="shared" si="9"/>
        <v>5.8496550752339732E-3</v>
      </c>
      <c r="N13" s="8">
        <f t="shared" si="10"/>
        <v>3.6903050821504288E-2</v>
      </c>
      <c r="O13" s="8">
        <f t="shared" si="11"/>
        <v>4.5973752143572105E-2</v>
      </c>
      <c r="P13" s="8">
        <f t="shared" si="12"/>
        <v>4.6027977758394886E-2</v>
      </c>
    </row>
    <row r="14" spans="1:16" x14ac:dyDescent="0.3">
      <c r="B14" s="10" t="s">
        <v>135</v>
      </c>
      <c r="C14" s="10">
        <f t="shared" si="1"/>
        <v>0.11821662891519141</v>
      </c>
      <c r="D14" s="10">
        <f t="shared" si="2"/>
        <v>0.16233784103640353</v>
      </c>
      <c r="E14" s="10">
        <f t="shared" si="3"/>
        <v>0.16154803211920604</v>
      </c>
      <c r="F14" s="10">
        <f t="shared" si="4"/>
        <v>2.1673581108605677E-2</v>
      </c>
      <c r="G14" s="10">
        <f t="shared" si="5"/>
        <v>6.2770273468835958E-2</v>
      </c>
      <c r="H14" s="10">
        <f t="shared" si="6"/>
        <v>3.723439276054144E-2</v>
      </c>
      <c r="J14" s="10" t="s">
        <v>135</v>
      </c>
      <c r="K14" s="8">
        <f t="shared" si="7"/>
        <v>7.2834765211644961E-2</v>
      </c>
      <c r="L14" s="8">
        <f t="shared" si="8"/>
        <v>7.3972701308128067E-2</v>
      </c>
      <c r="M14" s="8">
        <f t="shared" si="9"/>
        <v>7.0242295112317013E-2</v>
      </c>
      <c r="N14" s="8">
        <f t="shared" si="10"/>
        <v>0.13536222790958422</v>
      </c>
      <c r="O14" s="8">
        <f t="shared" si="11"/>
        <v>0.16599378795897818</v>
      </c>
      <c r="P14" s="8">
        <f t="shared" si="12"/>
        <v>0.15879709459646962</v>
      </c>
    </row>
    <row r="15" spans="1:16" x14ac:dyDescent="0.3">
      <c r="B15" s="10" t="s">
        <v>132</v>
      </c>
      <c r="C15" s="10">
        <f t="shared" si="1"/>
        <v>7.4019509630889879E-2</v>
      </c>
      <c r="D15" s="10">
        <f t="shared" si="2"/>
        <v>4.8605368216748435E-2</v>
      </c>
      <c r="E15" s="10">
        <f t="shared" si="3"/>
        <v>5.9993903248595548E-2</v>
      </c>
      <c r="F15" s="10">
        <f t="shared" si="4"/>
        <v>-6.1979469328377945E-2</v>
      </c>
      <c r="G15" s="10">
        <f t="shared" si="5"/>
        <v>-0.17280003718865694</v>
      </c>
      <c r="H15" s="10">
        <f t="shared" si="6"/>
        <v>-0.13882320321182301</v>
      </c>
      <c r="J15" s="10" t="s">
        <v>132</v>
      </c>
      <c r="K15" s="8">
        <f t="shared" si="7"/>
        <v>0.77085432297825573</v>
      </c>
      <c r="L15" s="8">
        <f t="shared" si="8"/>
        <v>0.78527417038801994</v>
      </c>
      <c r="M15" s="8">
        <f t="shared" si="9"/>
        <v>0.77881237674707449</v>
      </c>
      <c r="N15" s="8">
        <f t="shared" si="10"/>
        <v>0.84801941356774757</v>
      </c>
      <c r="O15" s="8">
        <f t="shared" si="11"/>
        <v>0.91089840886284157</v>
      </c>
      <c r="P15" s="8">
        <f t="shared" si="12"/>
        <v>0.89162013565939513</v>
      </c>
    </row>
    <row r="16" spans="1:16" x14ac:dyDescent="0.3">
      <c r="J16" s="12" t="s">
        <v>174</v>
      </c>
      <c r="K16" s="11">
        <f>SUM(K10:K15)</f>
        <v>0.86445532837726657</v>
      </c>
      <c r="L16" s="11">
        <f t="shared" ref="L16:P16" si="13">SUM(L10:L15)</f>
        <v>0.87538813059189224</v>
      </c>
      <c r="M16" s="11">
        <f t="shared" si="13"/>
        <v>0.85941583251763565</v>
      </c>
      <c r="N16" s="11">
        <f t="shared" si="13"/>
        <v>1.0525056053150672</v>
      </c>
      <c r="O16" s="11">
        <f t="shared" si="13"/>
        <v>1.1647591629310972</v>
      </c>
      <c r="P16" s="11">
        <f t="shared" si="13"/>
        <v>1.1331896950100502</v>
      </c>
    </row>
    <row r="17" spans="10:16" x14ac:dyDescent="0.3">
      <c r="J17" s="13" t="s">
        <v>175</v>
      </c>
      <c r="K17" s="14">
        <f>1-K16</f>
        <v>0.13554467162273343</v>
      </c>
      <c r="L17" s="14">
        <f t="shared" ref="L17:P17" si="14">1-L16</f>
        <v>0.12461186940810776</v>
      </c>
      <c r="M17" s="14">
        <f t="shared" si="14"/>
        <v>0.14058416748236435</v>
      </c>
      <c r="N17" s="14">
        <f t="shared" si="14"/>
        <v>-5.2505605315067205E-2</v>
      </c>
      <c r="O17" s="14">
        <f t="shared" si="14"/>
        <v>-0.16475916293109716</v>
      </c>
      <c r="P17" s="14">
        <f t="shared" si="14"/>
        <v>-0.13318969501005018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29E4-6C25-478E-AACD-606EE08728E7}">
  <dimension ref="A1:P17"/>
  <sheetViews>
    <sheetView topLeftCell="B1" workbookViewId="0">
      <selection activeCell="N1" activeCellId="1" sqref="I1:J7 N1:P7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142</v>
      </c>
      <c r="B2" s="9">
        <v>4.0087123372919149E-2</v>
      </c>
      <c r="C2" s="9">
        <v>2.7253668763102725E-2</v>
      </c>
      <c r="D2" s="9">
        <v>2.6737967914438502E-2</v>
      </c>
      <c r="E2" s="9">
        <v>1.7647058823529412E-2</v>
      </c>
      <c r="F2" s="9">
        <v>5.3465346534653464E-2</v>
      </c>
      <c r="G2" s="9">
        <v>7.9411764705882348E-2</v>
      </c>
      <c r="H2" s="9">
        <v>3.4653465346534656E-2</v>
      </c>
      <c r="I2" s="10">
        <v>4.0087123372919149E-2</v>
      </c>
      <c r="J2" s="9">
        <v>4.0087123372919149E-2</v>
      </c>
      <c r="K2" s="9">
        <v>2.7253668763102725E-2</v>
      </c>
      <c r="L2" s="9">
        <v>2.6737967914438502E-2</v>
      </c>
      <c r="M2" s="9">
        <v>1.7647058823529412E-2</v>
      </c>
      <c r="N2" s="9">
        <v>5.3465346534653464E-2</v>
      </c>
      <c r="O2" s="9">
        <v>7.9411764705882348E-2</v>
      </c>
      <c r="P2" s="9">
        <v>3.4653465346534656E-2</v>
      </c>
    </row>
    <row r="3" spans="1:16" x14ac:dyDescent="0.3">
      <c r="A3" s="10" t="s">
        <v>143</v>
      </c>
      <c r="B3" s="9">
        <v>5.2977826508916068E-2</v>
      </c>
      <c r="C3" s="9">
        <v>4.8218029350104823E-2</v>
      </c>
      <c r="D3" s="9">
        <v>3.2085561497326207E-2</v>
      </c>
      <c r="E3" s="9">
        <v>2.3529411764705882E-2</v>
      </c>
      <c r="F3" s="9">
        <v>4.5544554455445543E-2</v>
      </c>
      <c r="G3" s="9">
        <v>5.2941176470588235E-2</v>
      </c>
      <c r="H3" s="9">
        <v>4.4554455445544552E-2</v>
      </c>
      <c r="I3" s="10">
        <v>9.3064949881835224E-2</v>
      </c>
      <c r="J3" s="10">
        <f t="shared" ref="J3:P7" si="0">J2+B3</f>
        <v>9.3064949881835224E-2</v>
      </c>
      <c r="K3" s="10">
        <f t="shared" si="0"/>
        <v>7.5471698113207544E-2</v>
      </c>
      <c r="L3" s="10">
        <f t="shared" si="0"/>
        <v>5.8823529411764705E-2</v>
      </c>
      <c r="M3" s="10">
        <f t="shared" si="0"/>
        <v>4.1176470588235294E-2</v>
      </c>
      <c r="N3" s="10">
        <f t="shared" si="0"/>
        <v>9.9009900990099015E-2</v>
      </c>
      <c r="O3" s="10">
        <f t="shared" si="0"/>
        <v>0.13235294117647059</v>
      </c>
      <c r="P3" s="10">
        <f t="shared" si="0"/>
        <v>7.9207920792079209E-2</v>
      </c>
    </row>
    <row r="4" spans="1:16" x14ac:dyDescent="0.3">
      <c r="A4" s="10" t="s">
        <v>141</v>
      </c>
      <c r="B4" s="9">
        <v>9.0331231802994502E-2</v>
      </c>
      <c r="C4" s="9">
        <v>6.4989517819706494E-2</v>
      </c>
      <c r="D4" s="9">
        <v>5.8823529411764705E-2</v>
      </c>
      <c r="E4" s="9">
        <v>0.12352941176470589</v>
      </c>
      <c r="F4" s="9">
        <v>0.14059405940594061</v>
      </c>
      <c r="G4" s="9">
        <v>8.2352941176470587E-2</v>
      </c>
      <c r="H4" s="9">
        <v>0.13861386138613863</v>
      </c>
      <c r="I4" s="10">
        <v>0.18339618168482974</v>
      </c>
      <c r="J4" s="10">
        <f t="shared" si="0"/>
        <v>0.18339618168482974</v>
      </c>
      <c r="K4" s="10">
        <f t="shared" si="0"/>
        <v>0.14046121593291405</v>
      </c>
      <c r="L4" s="10">
        <f t="shared" si="0"/>
        <v>0.11764705882352941</v>
      </c>
      <c r="M4" s="10">
        <f t="shared" si="0"/>
        <v>0.16470588235294117</v>
      </c>
      <c r="N4" s="10">
        <f t="shared" si="0"/>
        <v>0.23960396039603962</v>
      </c>
      <c r="O4" s="10">
        <f t="shared" si="0"/>
        <v>0.21470588235294119</v>
      </c>
      <c r="P4" s="10">
        <f t="shared" si="0"/>
        <v>0.21782178217821785</v>
      </c>
    </row>
    <row r="5" spans="1:16" x14ac:dyDescent="0.3">
      <c r="A5" s="10" t="s">
        <v>139</v>
      </c>
      <c r="B5" s="9">
        <v>9.4902245501218688E-2</v>
      </c>
      <c r="C5" s="9">
        <v>0.12997903563941299</v>
      </c>
      <c r="D5" s="9">
        <v>0.13903743315508021</v>
      </c>
      <c r="E5" s="9">
        <v>0.14705882352941177</v>
      </c>
      <c r="F5" s="9">
        <v>0.12673267326732673</v>
      </c>
      <c r="G5" s="9">
        <v>0.11470588235294117</v>
      </c>
      <c r="H5" s="9">
        <v>0.10891089108910891</v>
      </c>
      <c r="I5" s="10">
        <v>0.27829842718604841</v>
      </c>
      <c r="J5" s="10">
        <f t="shared" si="0"/>
        <v>0.27829842718604841</v>
      </c>
      <c r="K5" s="10">
        <f t="shared" si="0"/>
        <v>0.27044025157232704</v>
      </c>
      <c r="L5" s="10">
        <f t="shared" si="0"/>
        <v>0.25668449197860965</v>
      </c>
      <c r="M5" s="10">
        <f t="shared" si="0"/>
        <v>0.31176470588235294</v>
      </c>
      <c r="N5" s="10">
        <f t="shared" si="0"/>
        <v>0.36633663366336633</v>
      </c>
      <c r="O5" s="10">
        <f t="shared" si="0"/>
        <v>0.32941176470588235</v>
      </c>
      <c r="P5" s="10">
        <f t="shared" si="0"/>
        <v>0.32673267326732675</v>
      </c>
    </row>
    <row r="6" spans="1:16" x14ac:dyDescent="0.3">
      <c r="A6" s="10" t="s">
        <v>140</v>
      </c>
      <c r="B6" s="9">
        <v>0.12486942606737245</v>
      </c>
      <c r="C6" s="9">
        <v>0.13207547169811321</v>
      </c>
      <c r="D6" s="9">
        <v>0.22459893048128343</v>
      </c>
      <c r="E6" s="9">
        <v>0.1588235294117647</v>
      </c>
      <c r="F6" s="9">
        <v>0.10891089108910891</v>
      </c>
      <c r="G6" s="9">
        <v>0.12352941176470589</v>
      </c>
      <c r="H6" s="9">
        <v>0.16336633663366337</v>
      </c>
      <c r="I6" s="10">
        <v>0.40316785325342086</v>
      </c>
      <c r="J6" s="10">
        <f t="shared" si="0"/>
        <v>0.40316785325342086</v>
      </c>
      <c r="K6" s="10">
        <f t="shared" si="0"/>
        <v>0.40251572327044027</v>
      </c>
      <c r="L6" s="10">
        <f t="shared" si="0"/>
        <v>0.48128342245989308</v>
      </c>
      <c r="M6" s="10">
        <f t="shared" si="0"/>
        <v>0.47058823529411764</v>
      </c>
      <c r="N6" s="10">
        <f t="shared" si="0"/>
        <v>0.47524752475247523</v>
      </c>
      <c r="O6" s="10">
        <f t="shared" si="0"/>
        <v>0.45294117647058824</v>
      </c>
      <c r="P6" s="10">
        <f t="shared" si="0"/>
        <v>0.49009900990099009</v>
      </c>
    </row>
    <row r="7" spans="1:16" x14ac:dyDescent="0.3">
      <c r="A7" s="10" t="s">
        <v>138</v>
      </c>
      <c r="B7" s="9">
        <v>0.59683214674657914</v>
      </c>
      <c r="C7" s="9">
        <v>0.59748427672955973</v>
      </c>
      <c r="D7" s="9">
        <v>0.51871657754010692</v>
      </c>
      <c r="E7" s="9">
        <v>0.52941176470588236</v>
      </c>
      <c r="F7" s="9">
        <v>0.52475247524752477</v>
      </c>
      <c r="G7" s="9">
        <v>0.54705882352941182</v>
      </c>
      <c r="H7" s="9">
        <v>0.50990099009900991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1" t="s">
        <v>154</v>
      </c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142</v>
      </c>
      <c r="C10" s="10">
        <f>C2-B2</f>
        <v>-1.2833454609816424E-2</v>
      </c>
      <c r="D10" s="10">
        <f>D2-B2</f>
        <v>-1.3349155458480647E-2</v>
      </c>
      <c r="E10" s="10">
        <f>E2-B2</f>
        <v>-2.2440064549389738E-2</v>
      </c>
      <c r="F10" s="10">
        <f>F2-B2</f>
        <v>1.3378223161734315E-2</v>
      </c>
      <c r="G10" s="10">
        <f>G2-B2</f>
        <v>3.9324641332963199E-2</v>
      </c>
      <c r="H10" s="10">
        <f>H2-B2</f>
        <v>-5.4336580263844927E-3</v>
      </c>
      <c r="J10" s="10" t="s">
        <v>142</v>
      </c>
      <c r="K10" s="8">
        <f>(J2-0) * ((K2+0))</f>
        <v>1.0925211820711717E-3</v>
      </c>
      <c r="L10" s="8">
        <f>(J2-0) * ((L2+0))</f>
        <v>1.0718482185272499E-3</v>
      </c>
      <c r="M10" s="8">
        <f>(J2-0) * ((M2+0))</f>
        <v>7.0741982422798495E-4</v>
      </c>
      <c r="N10" s="8">
        <f>(J2-0) * ((N2+0))</f>
        <v>2.1432719427105285E-3</v>
      </c>
      <c r="O10" s="8">
        <f>(J2-0) * ((O2+0))</f>
        <v>3.1833892090259324E-3</v>
      </c>
      <c r="P10" s="8">
        <f>(J2-0) * ((P2+0))</f>
        <v>1.3891577406457132E-3</v>
      </c>
    </row>
    <row r="11" spans="1:16" x14ac:dyDescent="0.3">
      <c r="B11" s="10" t="s">
        <v>143</v>
      </c>
      <c r="C11" s="10">
        <f t="shared" ref="C11:C15" si="1">C3-B3</f>
        <v>-4.759797158811245E-3</v>
      </c>
      <c r="D11" s="10">
        <f t="shared" ref="D11:D15" si="2">D3-B3</f>
        <v>-2.0892265011589861E-2</v>
      </c>
      <c r="E11" s="10">
        <f t="shared" ref="E11:E15" si="3">E3-B3</f>
        <v>-2.9448414744210186E-2</v>
      </c>
      <c r="F11" s="10">
        <f t="shared" ref="F11:F15" si="4">F3-B3</f>
        <v>-7.4332720534705243E-3</v>
      </c>
      <c r="G11" s="10">
        <f t="shared" ref="G11:G15" si="5">G3-B3</f>
        <v>-3.6650038327833145E-5</v>
      </c>
      <c r="H11" s="10">
        <f t="shared" ref="H11:H15" si="6">H3-B3</f>
        <v>-8.4233710633715153E-3</v>
      </c>
      <c r="J11" s="10" t="s">
        <v>143</v>
      </c>
      <c r="K11" s="8">
        <f>(J3-J2) * ((K3+K2))</f>
        <v>5.4421666644379196E-3</v>
      </c>
      <c r="L11" s="8">
        <f>(J3-J2) * ((L3+L2))</f>
        <v>4.5328621611906801E-3</v>
      </c>
      <c r="M11" s="8">
        <f>(J3-J2) * ((M3+M2))</f>
        <v>3.1163427358185925E-3</v>
      </c>
      <c r="N11" s="8">
        <f>(J3-J2) * ((N3+N2))</f>
        <v>8.0778072102703716E-3</v>
      </c>
      <c r="O11" s="8">
        <f>(J3-J2) * ((O3+O2))</f>
        <v>1.1218833848946933E-2</v>
      </c>
      <c r="P11" s="8">
        <f>(J3-J2) * ((P3+P2))</f>
        <v>6.0321287609161871E-3</v>
      </c>
    </row>
    <row r="12" spans="1:16" x14ac:dyDescent="0.3">
      <c r="B12" s="10" t="s">
        <v>141</v>
      </c>
      <c r="C12" s="10">
        <f t="shared" si="1"/>
        <v>-2.5341713983288008E-2</v>
      </c>
      <c r="D12" s="10">
        <f t="shared" si="2"/>
        <v>-3.1507702391229797E-2</v>
      </c>
      <c r="E12" s="10">
        <f t="shared" si="3"/>
        <v>3.3198179961711385E-2</v>
      </c>
      <c r="F12" s="10">
        <f t="shared" si="4"/>
        <v>5.0262827602946106E-2</v>
      </c>
      <c r="G12" s="10">
        <f t="shared" si="5"/>
        <v>-7.9782906265239151E-3</v>
      </c>
      <c r="H12" s="10">
        <f t="shared" si="6"/>
        <v>4.8282629583144124E-2</v>
      </c>
      <c r="J12" s="10" t="s">
        <v>141</v>
      </c>
      <c r="K12" s="8">
        <f t="shared" ref="K12:K15" si="7">(J4-J3) * ((K4+K3))</f>
        <v>1.9505486112596299E-2</v>
      </c>
      <c r="L12" s="8">
        <f t="shared" ref="L12:L15" si="8">(J4-J3) * ((L4+L3))</f>
        <v>1.5940805612293149E-2</v>
      </c>
      <c r="M12" s="8">
        <f t="shared" ref="M12:M15" si="9">(J4-J3) * ((M4+M3))</f>
        <v>1.8597606547675342E-2</v>
      </c>
      <c r="N12" s="8">
        <f t="shared" ref="N12:N15" si="10">(J4-J3) * ((N4+N3))</f>
        <v>3.0587407204578344E-2</v>
      </c>
      <c r="O12" s="8">
        <f t="shared" ref="O12:O15" si="11">(J4-J3) * ((O4+O3))</f>
        <v>3.1350251037509859E-2</v>
      </c>
      <c r="P12" s="8">
        <f t="shared" ref="P12:P15" si="12">(J4-J3) * ((P4+P3))</f>
        <v>2.6831058951384514E-2</v>
      </c>
    </row>
    <row r="13" spans="1:16" x14ac:dyDescent="0.3">
      <c r="B13" s="10" t="s">
        <v>139</v>
      </c>
      <c r="C13" s="10">
        <f t="shared" si="1"/>
        <v>3.50767901381943E-2</v>
      </c>
      <c r="D13" s="10">
        <f t="shared" si="2"/>
        <v>4.4135187653861527E-2</v>
      </c>
      <c r="E13" s="10">
        <f t="shared" si="3"/>
        <v>5.2156578028193082E-2</v>
      </c>
      <c r="F13" s="10">
        <f t="shared" si="4"/>
        <v>3.1830427766108046E-2</v>
      </c>
      <c r="G13" s="10">
        <f t="shared" si="5"/>
        <v>1.9803636851722484E-2</v>
      </c>
      <c r="H13" s="10">
        <f t="shared" si="6"/>
        <v>1.4008645587890223E-2</v>
      </c>
      <c r="J13" s="10" t="s">
        <v>139</v>
      </c>
      <c r="K13" s="8">
        <f t="shared" si="7"/>
        <v>3.8995471945993419E-2</v>
      </c>
      <c r="L13" s="8">
        <f t="shared" si="8"/>
        <v>3.5524904733076512E-2</v>
      </c>
      <c r="M13" s="8">
        <f t="shared" si="9"/>
        <v>4.5218128738815956E-2</v>
      </c>
      <c r="N13" s="8">
        <f t="shared" si="10"/>
        <v>5.7505123016580027E-2</v>
      </c>
      <c r="O13" s="8">
        <f t="shared" si="11"/>
        <v>5.1637986522721932E-2</v>
      </c>
      <c r="P13" s="8">
        <f t="shared" si="12"/>
        <v>5.167944061947552E-2</v>
      </c>
    </row>
    <row r="14" spans="1:16" x14ac:dyDescent="0.3">
      <c r="B14" s="10" t="s">
        <v>140</v>
      </c>
      <c r="C14" s="10">
        <f t="shared" si="1"/>
        <v>7.2060456307407594E-3</v>
      </c>
      <c r="D14" s="10">
        <f t="shared" si="2"/>
        <v>9.9729504413910985E-2</v>
      </c>
      <c r="E14" s="10">
        <f t="shared" si="3"/>
        <v>3.395410334439225E-2</v>
      </c>
      <c r="F14" s="10">
        <f t="shared" si="4"/>
        <v>-1.5958534978263536E-2</v>
      </c>
      <c r="G14" s="10">
        <f t="shared" si="5"/>
        <v>-1.340014302666559E-3</v>
      </c>
      <c r="H14" s="10">
        <f t="shared" si="6"/>
        <v>3.8496910566290926E-2</v>
      </c>
      <c r="J14" s="10" t="s">
        <v>140</v>
      </c>
      <c r="K14" s="8">
        <f t="shared" si="7"/>
        <v>8.4031626347225497E-2</v>
      </c>
      <c r="L14" s="8">
        <f t="shared" si="8"/>
        <v>9.2149629932071653E-2</v>
      </c>
      <c r="M14" s="8">
        <f t="shared" si="9"/>
        <v>9.7691962746826677E-2</v>
      </c>
      <c r="N14" s="8">
        <f t="shared" si="10"/>
        <v>0.10508813084877879</v>
      </c>
      <c r="O14" s="8">
        <f t="shared" si="11"/>
        <v>9.7691962746826677E-2</v>
      </c>
      <c r="P14" s="8">
        <f t="shared" si="12"/>
        <v>0.10199730347087355</v>
      </c>
    </row>
    <row r="15" spans="1:16" x14ac:dyDescent="0.3">
      <c r="B15" s="10" t="s">
        <v>138</v>
      </c>
      <c r="C15" s="10">
        <f t="shared" si="1"/>
        <v>6.5212998298058711E-4</v>
      </c>
      <c r="D15" s="10">
        <f t="shared" si="2"/>
        <v>-7.8115569206472224E-2</v>
      </c>
      <c r="E15" s="10">
        <f t="shared" si="3"/>
        <v>-6.742038204069678E-2</v>
      </c>
      <c r="F15" s="10">
        <f t="shared" si="4"/>
        <v>-7.2079671499054365E-2</v>
      </c>
      <c r="G15" s="10">
        <f t="shared" si="5"/>
        <v>-4.977332321716732E-2</v>
      </c>
      <c r="H15" s="10">
        <f t="shared" si="6"/>
        <v>-8.693115664756923E-2</v>
      </c>
      <c r="J15" s="10" t="s">
        <v>138</v>
      </c>
      <c r="K15" s="8">
        <f t="shared" si="7"/>
        <v>0.83706646996532796</v>
      </c>
      <c r="L15" s="8">
        <f t="shared" si="8"/>
        <v>0.88407756496685796</v>
      </c>
      <c r="M15" s="8">
        <f t="shared" si="9"/>
        <v>0.87769433345085179</v>
      </c>
      <c r="N15" s="8">
        <f t="shared" si="10"/>
        <v>0.88047514718059694</v>
      </c>
      <c r="O15" s="8">
        <f t="shared" si="11"/>
        <v>0.86716200144944144</v>
      </c>
      <c r="P15" s="8">
        <f t="shared" si="12"/>
        <v>0.88933899094416002</v>
      </c>
    </row>
    <row r="16" spans="1:16" x14ac:dyDescent="0.3">
      <c r="J16" s="12" t="s">
        <v>174</v>
      </c>
      <c r="K16" s="11">
        <f>SUM(K10:K15)</f>
        <v>0.98613374221765226</v>
      </c>
      <c r="L16" s="11">
        <f t="shared" ref="L16:P16" si="13">SUM(L10:L15)</f>
        <v>1.0332976156240172</v>
      </c>
      <c r="M16" s="11">
        <f t="shared" si="13"/>
        <v>1.0430257940442162</v>
      </c>
      <c r="N16" s="11">
        <f t="shared" si="13"/>
        <v>1.083876887403515</v>
      </c>
      <c r="O16" s="11">
        <f t="shared" si="13"/>
        <v>1.0622444248144727</v>
      </c>
      <c r="P16" s="11">
        <f t="shared" si="13"/>
        <v>1.0772680804874555</v>
      </c>
    </row>
    <row r="17" spans="10:16" x14ac:dyDescent="0.3">
      <c r="J17" s="13" t="s">
        <v>175</v>
      </c>
      <c r="K17" s="14">
        <f>1-K16</f>
        <v>1.3866257782347735E-2</v>
      </c>
      <c r="L17" s="14">
        <f t="shared" ref="L17:P17" si="14">1-L16</f>
        <v>-3.3297615624017229E-2</v>
      </c>
      <c r="M17" s="14">
        <f t="shared" si="14"/>
        <v>-4.3025794044216248E-2</v>
      </c>
      <c r="N17" s="14">
        <f t="shared" si="14"/>
        <v>-8.3876887403514955E-2</v>
      </c>
      <c r="O17" s="14">
        <f t="shared" si="14"/>
        <v>-6.2244424814472676E-2</v>
      </c>
      <c r="P17" s="14">
        <f t="shared" si="14"/>
        <v>-7.7268080487455482E-2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CCD5-D234-43EA-972A-F458465B2204}">
  <dimension ref="A1:P15"/>
  <sheetViews>
    <sheetView workbookViewId="0">
      <selection activeCell="Z8" sqref="Z8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8" t="s">
        <v>148</v>
      </c>
      <c r="B2" s="9">
        <v>5.588776448942042E-2</v>
      </c>
      <c r="C2" s="9">
        <v>2.5806451612903226E-2</v>
      </c>
      <c r="D2" s="9">
        <v>2.7522935779816515E-2</v>
      </c>
      <c r="E2" s="9">
        <v>2.8901734104046242E-2</v>
      </c>
      <c r="F2" s="9">
        <v>9.1954022988505746E-2</v>
      </c>
      <c r="G2" s="9">
        <v>4.2704626334519574E-2</v>
      </c>
      <c r="H2" s="9">
        <v>7.8212290502793297E-2</v>
      </c>
      <c r="I2" s="10">
        <v>5.588776448942042E-2</v>
      </c>
      <c r="J2" s="9">
        <v>5.588776448942042E-2</v>
      </c>
      <c r="K2" s="9">
        <v>2.5806451612903226E-2</v>
      </c>
      <c r="L2" s="9">
        <v>2.7522935779816515E-2</v>
      </c>
      <c r="M2" s="9">
        <v>2.8901734104046242E-2</v>
      </c>
      <c r="N2" s="9">
        <v>9.1954022988505746E-2</v>
      </c>
      <c r="O2" s="9">
        <v>4.2704626334519574E-2</v>
      </c>
      <c r="P2" s="9">
        <v>7.8212290502793297E-2</v>
      </c>
    </row>
    <row r="3" spans="1:16" x14ac:dyDescent="0.3">
      <c r="A3" s="8" t="s">
        <v>146</v>
      </c>
      <c r="B3" s="9">
        <v>7.2161596294768898E-2</v>
      </c>
      <c r="C3" s="9">
        <v>6.4516129032258063E-2</v>
      </c>
      <c r="D3" s="9">
        <v>2.7522935779816515E-2</v>
      </c>
      <c r="E3" s="9">
        <v>4.6242774566473986E-2</v>
      </c>
      <c r="F3" s="9">
        <v>0.10344827586206896</v>
      </c>
      <c r="G3" s="9">
        <v>0.10320284697508897</v>
      </c>
      <c r="H3" s="9">
        <v>0.12290502793296089</v>
      </c>
      <c r="I3" s="10">
        <v>0.12804936078418933</v>
      </c>
      <c r="J3" s="10">
        <f t="shared" ref="J3:P6" si="0">J2+B3</f>
        <v>0.12804936078418933</v>
      </c>
      <c r="K3" s="10">
        <f t="shared" si="0"/>
        <v>9.0322580645161285E-2</v>
      </c>
      <c r="L3" s="10">
        <f t="shared" si="0"/>
        <v>5.5045871559633031E-2</v>
      </c>
      <c r="M3" s="10">
        <f t="shared" si="0"/>
        <v>7.5144508670520221E-2</v>
      </c>
      <c r="N3" s="10">
        <f t="shared" si="0"/>
        <v>0.1954022988505747</v>
      </c>
      <c r="O3" s="10">
        <f t="shared" si="0"/>
        <v>0.14590747330960854</v>
      </c>
      <c r="P3" s="10">
        <f t="shared" si="0"/>
        <v>0.2011173184357542</v>
      </c>
    </row>
    <row r="4" spans="1:16" x14ac:dyDescent="0.3">
      <c r="A4" s="8" t="s">
        <v>147</v>
      </c>
      <c r="B4" s="9">
        <v>9.9221203565650479E-2</v>
      </c>
      <c r="C4" s="9">
        <v>0.16129032258064516</v>
      </c>
      <c r="D4" s="9">
        <v>7.7981651376146793E-2</v>
      </c>
      <c r="E4" s="9">
        <v>0.16763005780346821</v>
      </c>
      <c r="F4" s="9">
        <v>0.17241379310344829</v>
      </c>
      <c r="G4" s="9">
        <v>0.13523131672597866</v>
      </c>
      <c r="H4" s="9">
        <v>0.16201117318435754</v>
      </c>
      <c r="I4" s="10">
        <v>0.2272705643498398</v>
      </c>
      <c r="J4" s="10">
        <f t="shared" si="0"/>
        <v>0.2272705643498398</v>
      </c>
      <c r="K4" s="10">
        <f t="shared" si="0"/>
        <v>0.25161290322580643</v>
      </c>
      <c r="L4" s="10">
        <f t="shared" si="0"/>
        <v>0.13302752293577982</v>
      </c>
      <c r="M4" s="10">
        <f t="shared" si="0"/>
        <v>0.24277456647398843</v>
      </c>
      <c r="N4" s="10">
        <f t="shared" si="0"/>
        <v>0.36781609195402298</v>
      </c>
      <c r="O4" s="10">
        <f t="shared" si="0"/>
        <v>0.28113879003558717</v>
      </c>
      <c r="P4" s="10">
        <f t="shared" si="0"/>
        <v>0.36312849162011174</v>
      </c>
    </row>
    <row r="5" spans="1:16" x14ac:dyDescent="0.3">
      <c r="A5" s="8" t="s">
        <v>145</v>
      </c>
      <c r="B5" s="9">
        <v>0.31967135107699141</v>
      </c>
      <c r="C5" s="9">
        <v>0.47096774193548385</v>
      </c>
      <c r="D5" s="9">
        <v>0.61926605504587151</v>
      </c>
      <c r="E5" s="9">
        <v>0.64739884393063585</v>
      </c>
      <c r="F5" s="9">
        <v>0.48563218390804597</v>
      </c>
      <c r="G5" s="9">
        <v>0.40213523131672596</v>
      </c>
      <c r="H5" s="9">
        <v>0.34636871508379891</v>
      </c>
      <c r="I5" s="10">
        <v>0.54694191542683124</v>
      </c>
      <c r="J5" s="10">
        <f t="shared" si="0"/>
        <v>0.54694191542683124</v>
      </c>
      <c r="K5" s="10">
        <f t="shared" si="0"/>
        <v>0.72258064516129028</v>
      </c>
      <c r="L5" s="10">
        <f t="shared" si="0"/>
        <v>0.75229357798165131</v>
      </c>
      <c r="M5" s="10">
        <f t="shared" si="0"/>
        <v>0.89017341040462428</v>
      </c>
      <c r="N5" s="10">
        <f t="shared" si="0"/>
        <v>0.85344827586206895</v>
      </c>
      <c r="O5" s="10">
        <f t="shared" si="0"/>
        <v>0.68327402135231319</v>
      </c>
      <c r="P5" s="10">
        <f t="shared" si="0"/>
        <v>0.7094972067039107</v>
      </c>
    </row>
    <row r="6" spans="1:16" x14ac:dyDescent="0.3">
      <c r="A6" s="8" t="s">
        <v>144</v>
      </c>
      <c r="B6" s="9">
        <v>0.45305808457316882</v>
      </c>
      <c r="C6" s="9">
        <v>0.27741935483870966</v>
      </c>
      <c r="D6" s="9">
        <v>0.24770642201834864</v>
      </c>
      <c r="E6" s="9">
        <v>0.10982658959537572</v>
      </c>
      <c r="F6" s="9">
        <v>0.14655172413793102</v>
      </c>
      <c r="G6" s="9">
        <v>0.31672597864768681</v>
      </c>
      <c r="H6" s="9">
        <v>0.29050279329608941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8" t="s">
        <v>148</v>
      </c>
      <c r="C9" s="10">
        <f>C2-B2</f>
        <v>-3.0081312876517195E-2</v>
      </c>
      <c r="D9" s="10">
        <f>D2-B2</f>
        <v>-2.8364828709603905E-2</v>
      </c>
      <c r="E9" s="10">
        <f>E2-B2</f>
        <v>-2.6986030385374178E-2</v>
      </c>
      <c r="F9" s="10">
        <f>F2-B2</f>
        <v>3.6066258499085325E-2</v>
      </c>
      <c r="G9" s="10">
        <f>G2-B2</f>
        <v>-1.3183138154900846E-2</v>
      </c>
      <c r="H9" s="10">
        <f>H2-B2</f>
        <v>2.2324526013372877E-2</v>
      </c>
      <c r="J9" s="8" t="s">
        <v>148</v>
      </c>
      <c r="K9" s="8">
        <f>(J2-0) * ((K2+0))</f>
        <v>1.4422648900495592E-3</v>
      </c>
      <c r="L9" s="8">
        <f>(J2-0) * ((L2+0))</f>
        <v>1.5381953529198281E-3</v>
      </c>
      <c r="M9" s="8">
        <f>(J2-0) * ((M2+0))</f>
        <v>1.6152533089427866E-3</v>
      </c>
      <c r="N9" s="8">
        <f>(J2-0) * ((N2+0))</f>
        <v>5.1391047806363605E-3</v>
      </c>
      <c r="O9" s="8">
        <f>(J2-0) * ((O2+0))</f>
        <v>2.3866660991923314E-3</v>
      </c>
      <c r="P9" s="8">
        <f>(J2-0) * ((P2+0))</f>
        <v>4.3711100717982454E-3</v>
      </c>
    </row>
    <row r="10" spans="1:16" x14ac:dyDescent="0.3">
      <c r="B10" s="8" t="s">
        <v>146</v>
      </c>
      <c r="C10" s="10">
        <f t="shared" ref="C10:C13" si="1">C3-B3</f>
        <v>-7.6454672625108355E-3</v>
      </c>
      <c r="D10" s="10">
        <f t="shared" ref="D10:D13" si="2">D3-B3</f>
        <v>-4.4638660514952383E-2</v>
      </c>
      <c r="E10" s="10">
        <f t="shared" ref="E10:E13" si="3">E3-B3</f>
        <v>-2.5918821728294912E-2</v>
      </c>
      <c r="F10" s="10">
        <f t="shared" ref="F10:F13" si="4">F3-B3</f>
        <v>3.1286679567300066E-2</v>
      </c>
      <c r="G10" s="10">
        <f t="shared" ref="G10:G13" si="5">G3-B3</f>
        <v>3.1041250680320071E-2</v>
      </c>
      <c r="H10" s="10">
        <f t="shared" ref="H10:H13" si="6">H3-B3</f>
        <v>5.0743431638191991E-2</v>
      </c>
      <c r="J10" s="8" t="s">
        <v>146</v>
      </c>
      <c r="K10" s="8">
        <f>(J3-J2) * ((K3+K2))</f>
        <v>8.3800563439086449E-3</v>
      </c>
      <c r="L10" s="8">
        <f>(J3-J2) * ((L3+L2))</f>
        <v>5.9582969417699095E-3</v>
      </c>
      <c r="M10" s="8">
        <f>(J3-J2) * ((M3+M2))</f>
        <v>7.5081429670857801E-3</v>
      </c>
      <c r="N10" s="8">
        <f>(J3-J2) * ((N3+N2))</f>
        <v>2.0736090889301406E-2</v>
      </c>
      <c r="O10" s="8">
        <f>(J3-J2) * ((O3+O2))</f>
        <v>1.3610550190828298E-2</v>
      </c>
      <c r="P10" s="8">
        <f>(J3-J2) * ((P3+P2))</f>
        <v>2.0156870473399136E-2</v>
      </c>
    </row>
    <row r="11" spans="1:16" x14ac:dyDescent="0.3">
      <c r="B11" s="8" t="s">
        <v>147</v>
      </c>
      <c r="C11" s="10">
        <f t="shared" si="1"/>
        <v>6.2069119014994678E-2</v>
      </c>
      <c r="D11" s="10">
        <f t="shared" si="2"/>
        <v>-2.1239552189503685E-2</v>
      </c>
      <c r="E11" s="10">
        <f t="shared" si="3"/>
        <v>6.8408854237817729E-2</v>
      </c>
      <c r="F11" s="10">
        <f t="shared" si="4"/>
        <v>7.3192589537797809E-2</v>
      </c>
      <c r="G11" s="10">
        <f t="shared" si="5"/>
        <v>3.6010113160328178E-2</v>
      </c>
      <c r="H11" s="10">
        <f t="shared" si="6"/>
        <v>6.2789969618707059E-2</v>
      </c>
      <c r="J11" s="8" t="s">
        <v>147</v>
      </c>
      <c r="K11" s="8">
        <f t="shared" ref="K11:K13" si="7">(J4-J3) * ((K4+K3))</f>
        <v>3.3927250251480481E-2</v>
      </c>
      <c r="L11" s="8">
        <f t="shared" ref="L11:L13" si="8">(J4-J3) * ((L4+L3))</f>
        <v>1.8660868560512248E-2</v>
      </c>
      <c r="M11" s="8">
        <f t="shared" ref="M11:M13" si="9">(J4-J3) * ((M4+M3))</f>
        <v>3.1544313272316625E-2</v>
      </c>
      <c r="N11" s="8">
        <f t="shared" ref="N11:N13" si="10">(J4-J3) * ((N4+N3))</f>
        <v>5.5883206605941073E-2</v>
      </c>
      <c r="O11" s="8">
        <f t="shared" ref="O11:O13" si="11">(J4-J3) * ((O4+O3))</f>
        <v>4.2372044227324046E-2</v>
      </c>
      <c r="P11" s="8">
        <f t="shared" ref="P11:P13" si="12">(J4-J3) * ((P4+P3))</f>
        <v>5.5985148380618431E-2</v>
      </c>
    </row>
    <row r="12" spans="1:16" x14ac:dyDescent="0.3">
      <c r="B12" s="8" t="s">
        <v>145</v>
      </c>
      <c r="C12" s="10">
        <f t="shared" si="1"/>
        <v>0.15129639085849245</v>
      </c>
      <c r="D12" s="10">
        <f t="shared" si="2"/>
        <v>0.29959470396888011</v>
      </c>
      <c r="E12" s="10">
        <f t="shared" si="3"/>
        <v>0.32772749285364444</v>
      </c>
      <c r="F12" s="10">
        <f t="shared" si="4"/>
        <v>0.16596083283105456</v>
      </c>
      <c r="G12" s="10">
        <f t="shared" si="5"/>
        <v>8.2463880239734555E-2</v>
      </c>
      <c r="H12" s="10">
        <f t="shared" si="6"/>
        <v>2.66973640068075E-2</v>
      </c>
      <c r="J12" s="8" t="s">
        <v>145</v>
      </c>
      <c r="K12" s="8">
        <f t="shared" si="7"/>
        <v>0.31142176782339159</v>
      </c>
      <c r="L12" s="8">
        <f t="shared" si="8"/>
        <v>0.28301179246724467</v>
      </c>
      <c r="M12" s="8">
        <f t="shared" si="9"/>
        <v>0.36217101046873018</v>
      </c>
      <c r="N12" s="8">
        <f t="shared" si="10"/>
        <v>0.39040323048195791</v>
      </c>
      <c r="O12" s="8">
        <f t="shared" si="11"/>
        <v>0.3082951464123298</v>
      </c>
      <c r="P12" s="8">
        <f t="shared" si="12"/>
        <v>0.34288770618314168</v>
      </c>
    </row>
    <row r="13" spans="1:16" x14ac:dyDescent="0.3">
      <c r="B13" s="8" t="s">
        <v>144</v>
      </c>
      <c r="C13" s="10">
        <f t="shared" si="1"/>
        <v>-0.17563872973445915</v>
      </c>
      <c r="D13" s="10">
        <f t="shared" si="2"/>
        <v>-0.20535166255482018</v>
      </c>
      <c r="E13" s="10">
        <f t="shared" si="3"/>
        <v>-0.34323149497779309</v>
      </c>
      <c r="F13" s="10">
        <f t="shared" si="4"/>
        <v>-0.30650636043523782</v>
      </c>
      <c r="G13" s="10">
        <f t="shared" si="5"/>
        <v>-0.13633210592548201</v>
      </c>
      <c r="H13" s="10">
        <f t="shared" si="6"/>
        <v>-0.16255529127707941</v>
      </c>
      <c r="J13" s="8" t="s">
        <v>144</v>
      </c>
      <c r="K13" s="8">
        <f t="shared" si="7"/>
        <v>0.78042908761958751</v>
      </c>
      <c r="L13" s="8">
        <f t="shared" si="8"/>
        <v>0.79389077205023151</v>
      </c>
      <c r="M13" s="8">
        <f t="shared" si="9"/>
        <v>0.85635834482905315</v>
      </c>
      <c r="N13" s="8">
        <f t="shared" si="10"/>
        <v>0.83971972571751108</v>
      </c>
      <c r="O13" s="8">
        <f t="shared" si="11"/>
        <v>0.76262090392565418</v>
      </c>
      <c r="P13" s="8">
        <f t="shared" si="12"/>
        <v>0.77450153005245614</v>
      </c>
    </row>
    <row r="14" spans="1:16" x14ac:dyDescent="0.3">
      <c r="J14" s="11" t="s">
        <v>174</v>
      </c>
      <c r="K14" s="11">
        <f>SUM(K9:K13)</f>
        <v>1.1356004269284177</v>
      </c>
      <c r="L14" s="11">
        <f t="shared" ref="L14:P14" si="13">SUM(L9:L13)</f>
        <v>1.1030599253726781</v>
      </c>
      <c r="M14" s="11">
        <f t="shared" si="13"/>
        <v>1.2591970648461286</v>
      </c>
      <c r="N14" s="11">
        <f t="shared" si="13"/>
        <v>1.3118813584753477</v>
      </c>
      <c r="O14" s="11">
        <f t="shared" si="13"/>
        <v>1.1292853108553287</v>
      </c>
      <c r="P14" s="11">
        <f t="shared" si="13"/>
        <v>1.1979023651614136</v>
      </c>
    </row>
    <row r="15" spans="1:16" x14ac:dyDescent="0.3">
      <c r="J15" s="14" t="s">
        <v>175</v>
      </c>
      <c r="K15" s="14">
        <f>1-K14</f>
        <v>-0.13560042692841767</v>
      </c>
      <c r="L15" s="14">
        <f t="shared" ref="L15:P15" si="14">1-L14</f>
        <v>-0.10305992537267805</v>
      </c>
      <c r="M15" s="14">
        <f t="shared" si="14"/>
        <v>-0.25919706484612859</v>
      </c>
      <c r="N15" s="14">
        <f t="shared" si="14"/>
        <v>-0.3118813584753477</v>
      </c>
      <c r="O15" s="14">
        <f t="shared" si="14"/>
        <v>-0.12928531085532868</v>
      </c>
      <c r="P15" s="14">
        <f t="shared" si="14"/>
        <v>-0.19790236516141357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D75-3F81-4296-B17A-CD652766E2F4}">
  <dimension ref="A1:P15"/>
  <sheetViews>
    <sheetView workbookViewId="0">
      <selection activeCell="N1" activeCellId="1" sqref="I1:J6 N1:P6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8" t="s">
        <v>150</v>
      </c>
      <c r="B2" s="9">
        <v>1.7370091699976487E-2</v>
      </c>
      <c r="C2" s="9">
        <v>1.8518518518518517E-2</v>
      </c>
      <c r="D2" s="9">
        <v>4.1543026706231452E-2</v>
      </c>
      <c r="E2" s="9">
        <v>8.9820359281437123E-3</v>
      </c>
      <c r="F2" s="9">
        <v>1.8722466960352423E-2</v>
      </c>
      <c r="G2" s="9">
        <v>3.0701754385964911E-2</v>
      </c>
      <c r="H2" s="9">
        <v>3.2467532467532464E-2</v>
      </c>
      <c r="I2" s="10">
        <v>1.7370091699976487E-2</v>
      </c>
      <c r="J2" s="9">
        <v>1.7370091699976487E-2</v>
      </c>
      <c r="K2" s="9">
        <v>1.8518518518518517E-2</v>
      </c>
      <c r="L2" s="9">
        <v>4.1543026706231452E-2</v>
      </c>
      <c r="M2" s="9">
        <v>8.9820359281437123E-3</v>
      </c>
      <c r="N2" s="9">
        <v>1.8722466960352423E-2</v>
      </c>
      <c r="O2" s="9">
        <v>3.0701754385964911E-2</v>
      </c>
      <c r="P2" s="9">
        <v>3.2467532467532464E-2</v>
      </c>
    </row>
    <row r="3" spans="1:16" x14ac:dyDescent="0.3">
      <c r="A3" s="8" t="s">
        <v>152</v>
      </c>
      <c r="B3" s="9">
        <v>4.2930480445175952E-2</v>
      </c>
      <c r="C3" s="9">
        <v>5.5555555555555552E-2</v>
      </c>
      <c r="D3" s="9">
        <v>0.10385756676557864</v>
      </c>
      <c r="E3" s="9">
        <v>5.3892215568862277E-2</v>
      </c>
      <c r="F3" s="9">
        <v>4.8458149779735685E-2</v>
      </c>
      <c r="G3" s="9">
        <v>4.5321637426900582E-2</v>
      </c>
      <c r="H3" s="9">
        <v>4.8701298701298704E-2</v>
      </c>
      <c r="I3" s="10">
        <v>6.0300572145152442E-2</v>
      </c>
      <c r="J3" s="10">
        <f t="shared" ref="J3:P6" si="0">J2+B3</f>
        <v>6.0300572145152442E-2</v>
      </c>
      <c r="K3" s="10">
        <f t="shared" si="0"/>
        <v>7.407407407407407E-2</v>
      </c>
      <c r="L3" s="10">
        <f t="shared" si="0"/>
        <v>0.14540059347181009</v>
      </c>
      <c r="M3" s="10">
        <f t="shared" si="0"/>
        <v>6.2874251497005984E-2</v>
      </c>
      <c r="N3" s="10">
        <f t="shared" si="0"/>
        <v>6.71806167400881E-2</v>
      </c>
      <c r="O3" s="10">
        <f t="shared" si="0"/>
        <v>7.6023391812865493E-2</v>
      </c>
      <c r="P3" s="10">
        <f t="shared" si="0"/>
        <v>8.1168831168831168E-2</v>
      </c>
    </row>
    <row r="4" spans="1:16" x14ac:dyDescent="0.3">
      <c r="A4" s="8" t="s">
        <v>153</v>
      </c>
      <c r="B4" s="9">
        <v>0.12574457245865664</v>
      </c>
      <c r="C4" s="9">
        <v>0.14478114478114479</v>
      </c>
      <c r="D4" s="9">
        <v>0.228486646884273</v>
      </c>
      <c r="E4" s="9">
        <v>0.1407185628742515</v>
      </c>
      <c r="F4" s="9">
        <v>0.14977973568281938</v>
      </c>
      <c r="G4" s="9">
        <v>0.17105263157894737</v>
      </c>
      <c r="H4" s="9">
        <v>0.16233766233766234</v>
      </c>
      <c r="I4" s="10">
        <v>0.18604514460380908</v>
      </c>
      <c r="J4" s="10">
        <f t="shared" si="0"/>
        <v>0.18604514460380908</v>
      </c>
      <c r="K4" s="10">
        <f t="shared" si="0"/>
        <v>0.21885521885521886</v>
      </c>
      <c r="L4" s="10">
        <f t="shared" si="0"/>
        <v>0.37388724035608312</v>
      </c>
      <c r="M4" s="10">
        <f t="shared" si="0"/>
        <v>0.20359281437125748</v>
      </c>
      <c r="N4" s="10">
        <f t="shared" si="0"/>
        <v>0.21696035242290748</v>
      </c>
      <c r="O4" s="10">
        <f t="shared" si="0"/>
        <v>0.24707602339181287</v>
      </c>
      <c r="P4" s="10">
        <f t="shared" si="0"/>
        <v>0.2435064935064935</v>
      </c>
    </row>
    <row r="5" spans="1:16" x14ac:dyDescent="0.3">
      <c r="A5" s="8" t="s">
        <v>151</v>
      </c>
      <c r="B5" s="9">
        <v>0.13988165216709775</v>
      </c>
      <c r="C5" s="9">
        <v>0.24579124579124578</v>
      </c>
      <c r="D5" s="9">
        <v>0.33234421364985162</v>
      </c>
      <c r="E5" s="9">
        <v>0.35628742514970058</v>
      </c>
      <c r="F5" s="9">
        <v>0.16409691629955947</v>
      </c>
      <c r="G5" s="9">
        <v>0.11988304093567251</v>
      </c>
      <c r="H5" s="9">
        <v>0.19155844155844157</v>
      </c>
      <c r="I5" s="10">
        <v>0.32592679677090686</v>
      </c>
      <c r="J5" s="10">
        <f t="shared" si="0"/>
        <v>0.32592679677090686</v>
      </c>
      <c r="K5" s="10">
        <f t="shared" si="0"/>
        <v>0.46464646464646464</v>
      </c>
      <c r="L5" s="10">
        <f t="shared" si="0"/>
        <v>0.70623145400593468</v>
      </c>
      <c r="M5" s="10">
        <f t="shared" si="0"/>
        <v>0.55988023952095811</v>
      </c>
      <c r="N5" s="10">
        <f t="shared" si="0"/>
        <v>0.38105726872246692</v>
      </c>
      <c r="O5" s="10">
        <f t="shared" si="0"/>
        <v>0.36695906432748537</v>
      </c>
      <c r="P5" s="10">
        <f t="shared" si="0"/>
        <v>0.43506493506493504</v>
      </c>
    </row>
    <row r="6" spans="1:16" x14ac:dyDescent="0.3">
      <c r="A6" s="8" t="s">
        <v>149</v>
      </c>
      <c r="B6" s="9">
        <v>0.67407320322909314</v>
      </c>
      <c r="C6" s="9">
        <v>0.53535353535353536</v>
      </c>
      <c r="D6" s="9">
        <v>0.29376854599406527</v>
      </c>
      <c r="E6" s="9">
        <v>0.44011976047904194</v>
      </c>
      <c r="F6" s="9">
        <v>0.61894273127753308</v>
      </c>
      <c r="G6" s="9">
        <v>0.63304093567251463</v>
      </c>
      <c r="H6" s="9">
        <v>0.56493506493506496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8" t="s">
        <v>150</v>
      </c>
      <c r="C9" s="10">
        <f>C2-B2</f>
        <v>1.1484268185420303E-3</v>
      </c>
      <c r="D9" s="10">
        <f>D2-B2</f>
        <v>2.4172935006254965E-2</v>
      </c>
      <c r="E9" s="10">
        <f>E2-B2</f>
        <v>-8.3880557718327749E-3</v>
      </c>
      <c r="F9" s="10">
        <f>F2-B2</f>
        <v>1.3523752603759355E-3</v>
      </c>
      <c r="G9" s="10">
        <f>G2-B2</f>
        <v>1.3331662685988423E-2</v>
      </c>
      <c r="H9" s="10">
        <f>H2-B2</f>
        <v>1.5097440767555977E-2</v>
      </c>
      <c r="J9" s="8" t="s">
        <v>150</v>
      </c>
      <c r="K9" s="8">
        <f>(J2-0) * ((K2+0))</f>
        <v>3.2166836481437939E-4</v>
      </c>
      <c r="L9" s="8">
        <f>(J2-0) * ((L2+0))</f>
        <v>7.2160618338181252E-4</v>
      </c>
      <c r="M9" s="8">
        <f>(J2-0) * ((M2+0))</f>
        <v>1.5601878772433971E-4</v>
      </c>
      <c r="N9" s="8">
        <f>(J2-0) * ((N2+0))</f>
        <v>3.2521096795110163E-4</v>
      </c>
      <c r="O9" s="8">
        <f>(J2-0) * ((O2+0))</f>
        <v>5.3329228903436577E-4</v>
      </c>
      <c r="P9" s="8">
        <f>(J2-0) * ((P2+0))</f>
        <v>5.6396401623300281E-4</v>
      </c>
    </row>
    <row r="10" spans="1:16" x14ac:dyDescent="0.3">
      <c r="B10" s="8" t="s">
        <v>152</v>
      </c>
      <c r="C10" s="10">
        <f t="shared" ref="C10:C13" si="1">C3-B3</f>
        <v>1.2625075110379601E-2</v>
      </c>
      <c r="D10" s="10">
        <f t="shared" ref="D10:D13" si="2">D3-B3</f>
        <v>6.0927086320402689E-2</v>
      </c>
      <c r="E10" s="10">
        <f t="shared" ref="E10:E13" si="3">E3-B3</f>
        <v>1.0961735123686325E-2</v>
      </c>
      <c r="F10" s="10">
        <f t="shared" ref="F10:F13" si="4">F3-B3</f>
        <v>5.527669334559733E-3</v>
      </c>
      <c r="G10" s="10">
        <f t="shared" ref="G10:G13" si="5">G3-B3</f>
        <v>2.3911569817246306E-3</v>
      </c>
      <c r="H10" s="10">
        <f t="shared" ref="H10:H13" si="6">H3-B3</f>
        <v>5.770818256122752E-3</v>
      </c>
      <c r="J10" s="8" t="s">
        <v>152</v>
      </c>
      <c r="K10" s="8">
        <f>(J3-J2) * ((K3+K2))</f>
        <v>3.9750444856644406E-3</v>
      </c>
      <c r="L10" s="8">
        <f>(J3-J2) * ((L3+L2))</f>
        <v>8.025579430403813E-3</v>
      </c>
      <c r="M10" s="8">
        <f>(J3-J2) * ((M3+M2))</f>
        <v>3.0848249421683324E-3</v>
      </c>
      <c r="N10" s="8">
        <f>(J3-J2) * ((N3+N2))</f>
        <v>3.6878606549820758E-3</v>
      </c>
      <c r="O10" s="8">
        <f>(J3-J2) * ((O3+O2))</f>
        <v>4.581761801897434E-3</v>
      </c>
      <c r="P10" s="8">
        <f>(J3-J2) * ((P3+P2))</f>
        <v>4.8784636869518136E-3</v>
      </c>
    </row>
    <row r="11" spans="1:16" x14ac:dyDescent="0.3">
      <c r="B11" s="8" t="s">
        <v>153</v>
      </c>
      <c r="C11" s="10">
        <f t="shared" si="1"/>
        <v>1.9036572322488149E-2</v>
      </c>
      <c r="D11" s="10">
        <f t="shared" si="2"/>
        <v>0.10274207442561636</v>
      </c>
      <c r="E11" s="10">
        <f t="shared" si="3"/>
        <v>1.4973990415594857E-2</v>
      </c>
      <c r="F11" s="10">
        <f t="shared" si="4"/>
        <v>2.4035163224162742E-2</v>
      </c>
      <c r="G11" s="10">
        <f t="shared" si="5"/>
        <v>4.5308059120290733E-2</v>
      </c>
      <c r="H11" s="10">
        <f t="shared" si="6"/>
        <v>3.6593089879005697E-2</v>
      </c>
      <c r="J11" s="8" t="s">
        <v>153</v>
      </c>
      <c r="K11" s="8">
        <f t="shared" ref="K11:K13" si="7">(J4-J3) * ((K4+K3))</f>
        <v>3.6834268700010532E-2</v>
      </c>
      <c r="L11" s="8">
        <f t="shared" ref="L11:L13" si="8">(J4-J3) * ((L4+L3))</f>
        <v>6.5297626647670373E-2</v>
      </c>
      <c r="M11" s="8">
        <f t="shared" ref="M11:M13" si="9">(J4-J3) * ((M4+M3))</f>
        <v>3.3506787271917485E-2</v>
      </c>
      <c r="N11" s="8">
        <f t="shared" ref="N11:N13" si="10">(J4-J3) * ((N4+N3))</f>
        <v>3.5729184685389222E-2</v>
      </c>
      <c r="O11" s="8">
        <f t="shared" ref="O11:O13" si="11">(J4-J3) * ((O4+O3))</f>
        <v>4.0627997826554262E-2</v>
      </c>
      <c r="P11" s="8">
        <f t="shared" ref="P11:P13" si="12">(J4-J3) * ((P4+P3))</f>
        <v>4.0826159889174235E-2</v>
      </c>
    </row>
    <row r="12" spans="1:16" x14ac:dyDescent="0.3">
      <c r="B12" s="8" t="s">
        <v>151</v>
      </c>
      <c r="C12" s="10">
        <f t="shared" si="1"/>
        <v>0.10590959362414804</v>
      </c>
      <c r="D12" s="10">
        <f t="shared" si="2"/>
        <v>0.19246256148275387</v>
      </c>
      <c r="E12" s="10">
        <f t="shared" si="3"/>
        <v>0.21640577298260283</v>
      </c>
      <c r="F12" s="10">
        <f t="shared" si="4"/>
        <v>2.4215264132461722E-2</v>
      </c>
      <c r="G12" s="10">
        <f t="shared" si="5"/>
        <v>-1.999861123142524E-2</v>
      </c>
      <c r="H12" s="10">
        <f t="shared" si="6"/>
        <v>5.1676789391343819E-2</v>
      </c>
      <c r="J12" s="8" t="s">
        <v>151</v>
      </c>
      <c r="K12" s="8">
        <f t="shared" si="7"/>
        <v>9.5609344747208239E-2</v>
      </c>
      <c r="L12" s="8">
        <f t="shared" si="8"/>
        <v>0.15108878750392757</v>
      </c>
      <c r="M12" s="8">
        <f t="shared" si="9"/>
        <v>0.10679587216350281</v>
      </c>
      <c r="N12" s="8">
        <f t="shared" si="10"/>
        <v>8.3651692870852515E-2</v>
      </c>
      <c r="O12" s="8">
        <f t="shared" si="11"/>
        <v>8.5892242558744253E-2</v>
      </c>
      <c r="P12" s="8">
        <f t="shared" si="12"/>
        <v>9.4919692541959214E-2</v>
      </c>
    </row>
    <row r="13" spans="1:16" x14ac:dyDescent="0.3">
      <c r="B13" s="8" t="s">
        <v>149</v>
      </c>
      <c r="C13" s="10">
        <f t="shared" si="1"/>
        <v>-0.13871966787555778</v>
      </c>
      <c r="D13" s="10">
        <f t="shared" si="2"/>
        <v>-0.38030465723502788</v>
      </c>
      <c r="E13" s="10">
        <f t="shared" si="3"/>
        <v>-0.2339534427500512</v>
      </c>
      <c r="F13" s="10">
        <f t="shared" si="4"/>
        <v>-5.5130471951560067E-2</v>
      </c>
      <c r="G13" s="10">
        <f t="shared" si="5"/>
        <v>-4.1032267556578517E-2</v>
      </c>
      <c r="H13" s="10">
        <f t="shared" si="6"/>
        <v>-0.10913813829402819</v>
      </c>
      <c r="J13" s="8" t="s">
        <v>149</v>
      </c>
      <c r="K13" s="8">
        <f t="shared" si="7"/>
        <v>0.98727893402240907</v>
      </c>
      <c r="L13" s="8">
        <f t="shared" si="8"/>
        <v>1.1501249016520134</v>
      </c>
      <c r="M13" s="8">
        <f t="shared" si="9"/>
        <v>1.0514734697076573</v>
      </c>
      <c r="N13" s="8">
        <f t="shared" si="10"/>
        <v>0.93093369697057571</v>
      </c>
      <c r="O13" s="8">
        <f t="shared" si="11"/>
        <v>0.92143047517427201</v>
      </c>
      <c r="P13" s="8">
        <f t="shared" si="12"/>
        <v>0.96733881762097129</v>
      </c>
    </row>
    <row r="14" spans="1:16" x14ac:dyDescent="0.3">
      <c r="J14" s="11" t="s">
        <v>174</v>
      </c>
      <c r="K14" s="11">
        <f>SUM(K9:K13)</f>
        <v>1.1240192603201067</v>
      </c>
      <c r="L14" s="11">
        <f t="shared" ref="L14:P14" si="13">SUM(L9:L13)</f>
        <v>1.375258501417397</v>
      </c>
      <c r="M14" s="11">
        <f t="shared" si="13"/>
        <v>1.1950169728729703</v>
      </c>
      <c r="N14" s="11">
        <f t="shared" si="13"/>
        <v>1.0543276461497506</v>
      </c>
      <c r="O14" s="11">
        <f t="shared" si="13"/>
        <v>1.0530657696505024</v>
      </c>
      <c r="P14" s="11">
        <f t="shared" si="13"/>
        <v>1.1085270977552897</v>
      </c>
    </row>
    <row r="15" spans="1:16" x14ac:dyDescent="0.3">
      <c r="J15" s="14" t="s">
        <v>175</v>
      </c>
      <c r="K15" s="14">
        <f>1-K14</f>
        <v>-0.12401926032010668</v>
      </c>
      <c r="L15" s="14">
        <f t="shared" ref="L15:P15" si="14">1-L14</f>
        <v>-0.37525850141739703</v>
      </c>
      <c r="M15" s="14">
        <f t="shared" si="14"/>
        <v>-0.19501697287297026</v>
      </c>
      <c r="N15" s="14">
        <f t="shared" si="14"/>
        <v>-5.4327646149750608E-2</v>
      </c>
      <c r="O15" s="14">
        <f t="shared" si="14"/>
        <v>-5.3065769650502359E-2</v>
      </c>
      <c r="P15" s="14">
        <f t="shared" si="14"/>
        <v>-0.10852709775528968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ALFENAS-MACHADO</vt:lpstr>
      <vt:lpstr>CÁSSIA</vt:lpstr>
      <vt:lpstr>GUAXUPÉ</vt:lpstr>
      <vt:lpstr>ITAJUBÁ</vt:lpstr>
      <vt:lpstr>LAVRAS</vt:lpstr>
      <vt:lpstr>PASSOS</vt:lpstr>
      <vt:lpstr>PINHUÍ</vt:lpstr>
      <vt:lpstr>POÇOS DE CALDA</vt:lpstr>
      <vt:lpstr>POUSO ALEGRE</vt:lpstr>
      <vt:lpstr>SÃO LOURENÇO</vt:lpstr>
      <vt:lpstr>SÃO SEBASTIÃO DO PARAÍSO</vt:lpstr>
      <vt:lpstr>TRÊS CORAÇÕES</vt:lpstr>
      <vt:lpstr>TRÊS PONTAS</vt:lpstr>
      <vt:lpstr>VARGINHA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2025-04-22T01:59:47Z</dcterms:created>
  <dcterms:modified xsi:type="dcterms:W3CDTF">2025-08-24T20:12:02Z</dcterms:modified>
</cp:coreProperties>
</file>