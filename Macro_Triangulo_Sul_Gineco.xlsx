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gineco/"/>
    </mc:Choice>
  </mc:AlternateContent>
  <xr:revisionPtr revIDLastSave="42" documentId="8_{BABA0CD1-74B3-4478-8643-5BE4B486E28B}" xr6:coauthVersionLast="47" xr6:coauthVersionMax="47" xr10:uidLastSave="{39372433-5B23-464B-99CF-803C5535A57D}"/>
  <bookViews>
    <workbookView xWindow="-108" yWindow="-108" windowWidth="23256" windowHeight="12456" xr2:uid="{326E4DF4-8D7B-4069-AD91-AF84C670890B}"/>
  </bookViews>
  <sheets>
    <sheet name="ARAXÁ" sheetId="1" r:id="rId1"/>
    <sheet name="FRUTAL-ITURAMA" sheetId="2" r:id="rId2"/>
    <sheet name="UBERAB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2" l="1"/>
  <c r="O17" i="2"/>
  <c r="P16" i="2"/>
  <c r="O16" i="2"/>
  <c r="N16" i="2"/>
  <c r="M16" i="2"/>
  <c r="L16" i="2"/>
  <c r="K16" i="2"/>
  <c r="P12" i="3"/>
  <c r="O12" i="3"/>
  <c r="N12" i="3"/>
  <c r="M12" i="3"/>
  <c r="L12" i="3"/>
  <c r="K12" i="3"/>
  <c r="K16" i="1"/>
  <c r="M13" i="1"/>
  <c r="P12" i="1"/>
  <c r="O12" i="1"/>
  <c r="N12" i="1"/>
  <c r="M12" i="1"/>
  <c r="L12" i="1"/>
  <c r="K12" i="1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P3" i="3"/>
  <c r="P4" i="3" s="1"/>
  <c r="P5" i="3" s="1"/>
  <c r="P6" i="3" s="1"/>
  <c r="P7" i="3" s="1"/>
  <c r="P8" i="3" s="1"/>
  <c r="P9" i="3" s="1"/>
  <c r="O3" i="3"/>
  <c r="O4" i="3" s="1"/>
  <c r="O5" i="3" s="1"/>
  <c r="O6" i="3" s="1"/>
  <c r="O7" i="3" s="1"/>
  <c r="O8" i="3" s="1"/>
  <c r="O9" i="3" s="1"/>
  <c r="N3" i="3"/>
  <c r="N4" i="3" s="1"/>
  <c r="N5" i="3" s="1"/>
  <c r="N6" i="3" s="1"/>
  <c r="N7" i="3" s="1"/>
  <c r="N8" i="3" s="1"/>
  <c r="N9" i="3" s="1"/>
  <c r="M3" i="3"/>
  <c r="M4" i="3" s="1"/>
  <c r="M5" i="3" s="1"/>
  <c r="M6" i="3" s="1"/>
  <c r="M7" i="3" s="1"/>
  <c r="M8" i="3" s="1"/>
  <c r="M9" i="3" s="1"/>
  <c r="L3" i="3"/>
  <c r="L4" i="3" s="1"/>
  <c r="L5" i="3" s="1"/>
  <c r="L6" i="3" s="1"/>
  <c r="L7" i="3" s="1"/>
  <c r="L8" i="3" s="1"/>
  <c r="L9" i="3" s="1"/>
  <c r="K3" i="3"/>
  <c r="K4" i="3" s="1"/>
  <c r="K5" i="3" s="1"/>
  <c r="K6" i="3" s="1"/>
  <c r="J3" i="3"/>
  <c r="J4" i="3" s="1"/>
  <c r="J5" i="3" s="1"/>
  <c r="J6" i="3" s="1"/>
  <c r="J7" i="3" s="1"/>
  <c r="J8" i="3" s="1"/>
  <c r="J9" i="3" s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P3" i="1"/>
  <c r="P4" i="1" s="1"/>
  <c r="P5" i="1" s="1"/>
  <c r="P6" i="1" s="1"/>
  <c r="P7" i="1" s="1"/>
  <c r="P8" i="1" s="1"/>
  <c r="P9" i="1" s="1"/>
  <c r="O3" i="1"/>
  <c r="O4" i="1" s="1"/>
  <c r="O5" i="1" s="1"/>
  <c r="O6" i="1" s="1"/>
  <c r="O7" i="1" s="1"/>
  <c r="O8" i="1" s="1"/>
  <c r="O9" i="1" s="1"/>
  <c r="N3" i="1"/>
  <c r="N4" i="1" s="1"/>
  <c r="N5" i="1" s="1"/>
  <c r="N6" i="1" s="1"/>
  <c r="N7" i="1" s="1"/>
  <c r="N8" i="1" s="1"/>
  <c r="N9" i="1" s="1"/>
  <c r="M3" i="1"/>
  <c r="M4" i="1" s="1"/>
  <c r="M5" i="1" s="1"/>
  <c r="M6" i="1" s="1"/>
  <c r="M7" i="1" s="1"/>
  <c r="M8" i="1" s="1"/>
  <c r="M9" i="1" s="1"/>
  <c r="L3" i="1"/>
  <c r="L4" i="1" s="1"/>
  <c r="L5" i="1" s="1"/>
  <c r="L6" i="1" s="1"/>
  <c r="L7" i="1" s="1"/>
  <c r="L8" i="1" s="1"/>
  <c r="L9" i="1" s="1"/>
  <c r="K3" i="1"/>
  <c r="K4" i="1" s="1"/>
  <c r="K5" i="1" s="1"/>
  <c r="K6" i="1" s="1"/>
  <c r="K7" i="1" s="1"/>
  <c r="K8" i="1" s="1"/>
  <c r="K9" i="1" s="1"/>
  <c r="J3" i="1"/>
  <c r="J4" i="1" s="1"/>
  <c r="J5" i="1" s="1"/>
  <c r="J6" i="1" s="1"/>
  <c r="J7" i="1" s="1"/>
  <c r="J8" i="1" s="1"/>
  <c r="J9" i="1" s="1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P3" i="2"/>
  <c r="P4" i="2" s="1"/>
  <c r="P5" i="2" s="1"/>
  <c r="P6" i="2" s="1"/>
  <c r="P7" i="2" s="1"/>
  <c r="P8" i="2" s="1"/>
  <c r="P9" i="2" s="1"/>
  <c r="P10" i="2" s="1"/>
  <c r="P11" i="2" s="1"/>
  <c r="P12" i="2" s="1"/>
  <c r="P26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M13" i="3" l="1"/>
  <c r="P18" i="3"/>
  <c r="N13" i="3"/>
  <c r="O14" i="3"/>
  <c r="P14" i="3"/>
  <c r="M17" i="3"/>
  <c r="P19" i="3"/>
  <c r="N17" i="3"/>
  <c r="O18" i="3"/>
  <c r="L20" i="2"/>
  <c r="M20" i="2"/>
  <c r="O26" i="2"/>
  <c r="N21" i="2"/>
  <c r="O21" i="2"/>
  <c r="L24" i="2"/>
  <c r="N17" i="2"/>
  <c r="N25" i="2"/>
  <c r="P22" i="2"/>
  <c r="O25" i="2"/>
  <c r="P17" i="2"/>
  <c r="N20" i="2"/>
  <c r="N24" i="2"/>
  <c r="K18" i="2"/>
  <c r="M19" i="2"/>
  <c r="O20" i="2"/>
  <c r="K22" i="2"/>
  <c r="M23" i="2"/>
  <c r="O24" i="2"/>
  <c r="K26" i="2"/>
  <c r="P18" i="2"/>
  <c r="M24" i="2"/>
  <c r="L19" i="2"/>
  <c r="L23" i="2"/>
  <c r="P25" i="2"/>
  <c r="L18" i="2"/>
  <c r="N19" i="2"/>
  <c r="P20" i="2"/>
  <c r="L22" i="2"/>
  <c r="N23" i="2"/>
  <c r="P24" i="2"/>
  <c r="L26" i="2"/>
  <c r="P21" i="2"/>
  <c r="K25" i="2"/>
  <c r="L17" i="2"/>
  <c r="N18" i="2"/>
  <c r="P19" i="2"/>
  <c r="L21" i="2"/>
  <c r="N22" i="2"/>
  <c r="P23" i="2"/>
  <c r="L25" i="2"/>
  <c r="N26" i="2"/>
  <c r="K23" i="2"/>
  <c r="K17" i="2"/>
  <c r="M18" i="2"/>
  <c r="O19" i="2"/>
  <c r="K21" i="2"/>
  <c r="M22" i="2"/>
  <c r="O23" i="2"/>
  <c r="M26" i="2"/>
  <c r="M17" i="2"/>
  <c r="O18" i="2"/>
  <c r="K20" i="2"/>
  <c r="M21" i="2"/>
  <c r="O22" i="2"/>
  <c r="K24" i="2"/>
  <c r="M25" i="2"/>
  <c r="O14" i="1"/>
  <c r="L16" i="1"/>
  <c r="M17" i="1"/>
  <c r="N17" i="1"/>
  <c r="N13" i="1"/>
  <c r="P19" i="1"/>
  <c r="O18" i="1"/>
  <c r="P14" i="1"/>
  <c r="P18" i="1"/>
  <c r="M16" i="1"/>
  <c r="N16" i="1"/>
  <c r="K14" i="1"/>
  <c r="O16" i="1"/>
  <c r="N15" i="1"/>
  <c r="P16" i="1"/>
  <c r="N19" i="1"/>
  <c r="K13" i="1"/>
  <c r="M14" i="1"/>
  <c r="O15" i="1"/>
  <c r="K17" i="1"/>
  <c r="M18" i="1"/>
  <c r="O19" i="1"/>
  <c r="O13" i="1"/>
  <c r="K15" i="1"/>
  <c r="O17" i="1"/>
  <c r="K19" i="1"/>
  <c r="P13" i="1"/>
  <c r="L15" i="1"/>
  <c r="P17" i="1"/>
  <c r="L19" i="1"/>
  <c r="M15" i="1"/>
  <c r="K18" i="1"/>
  <c r="M19" i="1"/>
  <c r="L14" i="1"/>
  <c r="L18" i="1"/>
  <c r="L13" i="1"/>
  <c r="N14" i="1"/>
  <c r="P15" i="1"/>
  <c r="L17" i="1"/>
  <c r="N18" i="1"/>
  <c r="K7" i="3"/>
  <c r="K8" i="3" s="1"/>
  <c r="K9" i="3" s="1"/>
  <c r="K19" i="3" s="1"/>
  <c r="K16" i="3"/>
  <c r="O13" i="3"/>
  <c r="K15" i="3"/>
  <c r="M16" i="3"/>
  <c r="O17" i="3"/>
  <c r="P13" i="3"/>
  <c r="L15" i="3"/>
  <c r="N16" i="3"/>
  <c r="P17" i="3"/>
  <c r="L19" i="3"/>
  <c r="K14" i="3"/>
  <c r="M15" i="3"/>
  <c r="O16" i="3"/>
  <c r="M19" i="3"/>
  <c r="L16" i="3"/>
  <c r="L14" i="3"/>
  <c r="N15" i="3"/>
  <c r="P16" i="3"/>
  <c r="L18" i="3"/>
  <c r="N19" i="3"/>
  <c r="K13" i="3"/>
  <c r="M14" i="3"/>
  <c r="M20" i="3" s="1"/>
  <c r="M21" i="3" s="1"/>
  <c r="O15" i="3"/>
  <c r="M18" i="3"/>
  <c r="O19" i="3"/>
  <c r="L13" i="3"/>
  <c r="N14" i="3"/>
  <c r="P15" i="3"/>
  <c r="L17" i="3"/>
  <c r="N18" i="3"/>
  <c r="M20" i="1" l="1"/>
  <c r="M21" i="1" s="1"/>
  <c r="O20" i="1"/>
  <c r="O21" i="1" s="1"/>
  <c r="O20" i="3"/>
  <c r="O21" i="3" s="1"/>
  <c r="P20" i="3"/>
  <c r="P21" i="3" s="1"/>
  <c r="N20" i="3"/>
  <c r="N21" i="3" s="1"/>
  <c r="L20" i="3"/>
  <c r="L21" i="3" s="1"/>
  <c r="K17" i="3"/>
  <c r="K27" i="2"/>
  <c r="K28" i="2" s="1"/>
  <c r="N27" i="2"/>
  <c r="N28" i="2" s="1"/>
  <c r="P27" i="2"/>
  <c r="P28" i="2" s="1"/>
  <c r="M27" i="2"/>
  <c r="M28" i="2" s="1"/>
  <c r="L27" i="2"/>
  <c r="L28" i="2" s="1"/>
  <c r="N20" i="1"/>
  <c r="N21" i="1" s="1"/>
  <c r="K20" i="1"/>
  <c r="K21" i="1" s="1"/>
  <c r="P20" i="1"/>
  <c r="P21" i="1" s="1"/>
  <c r="L20" i="1"/>
  <c r="L21" i="1" s="1"/>
  <c r="O27" i="2"/>
  <c r="O28" i="2" s="1"/>
  <c r="K18" i="3"/>
  <c r="K20" i="3" l="1"/>
  <c r="K21" i="3" s="1"/>
</calcChain>
</file>

<file path=xl/sharedStrings.xml><?xml version="1.0" encoding="utf-8"?>
<sst xmlns="http://schemas.openxmlformats.org/spreadsheetml/2006/main" count="174" uniqueCount="57">
  <si>
    <t>ARAXÁ</t>
  </si>
  <si>
    <t>CAMPOS ALTOS</t>
  </si>
  <si>
    <t>IBIÁ</t>
  </si>
  <si>
    <t>PEDRINÓPOLIS</t>
  </si>
  <si>
    <t>PERDIZES</t>
  </si>
  <si>
    <t>PRATINHA</t>
  </si>
  <si>
    <t>SANTA JULIANA</t>
  </si>
  <si>
    <t>TAPIRA</t>
  </si>
  <si>
    <t>CARNEIRINHO</t>
  </si>
  <si>
    <t>COMENDADOR GOMES</t>
  </si>
  <si>
    <t>FRONTEIRA</t>
  </si>
  <si>
    <t>FRUTAL</t>
  </si>
  <si>
    <t>ITAPAGIPE</t>
  </si>
  <si>
    <t>ITURAMA</t>
  </si>
  <si>
    <t>LIMEIRA DO OESTE</t>
  </si>
  <si>
    <t>PIRAJUBA</t>
  </si>
  <si>
    <t>PLANURA</t>
  </si>
  <si>
    <t>SÃO FRANCISCO DE SALES</t>
  </si>
  <si>
    <t>UNIÃO DE MINAS</t>
  </si>
  <si>
    <t>UBERABA</t>
  </si>
  <si>
    <t>ÁGUA COMPRIDA</t>
  </si>
  <si>
    <t>CAMPO FLORIDO</t>
  </si>
  <si>
    <t>CONCEIÇÃO DAS ALAGOAS</t>
  </si>
  <si>
    <t>CONQUISTA</t>
  </si>
  <si>
    <t>DELTA</t>
  </si>
  <si>
    <t>SACRAMENTO</t>
  </si>
  <si>
    <t>VERÍSSIMO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</si>
  <si>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</si>
  <si>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</si>
  <si>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</si>
  <si>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</si>
  <si>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</si>
  <si>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</si>
  <si>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</si>
  <si>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</si>
  <si>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</si>
  <si>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</si>
  <si>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</si>
  <si>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</si>
  <si>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</si>
  <si>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</si>
  <si>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</si>
  <si>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</si>
  <si>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</si>
  <si>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</si>
  <si>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</si>
  <si>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</si>
  <si>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</si>
  <si>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</si>
  <si>
    <t>JOSÉ GONÇALVES DE MINAS</t>
  </si>
  <si>
    <t>LEME DO PRADO</t>
  </si>
  <si>
    <t>ARICANDUVA</t>
  </si>
  <si>
    <t>VEREDINHA</t>
  </si>
  <si>
    <t>CHAPADA DO NORTE</t>
  </si>
  <si>
    <t>TURMALINA</t>
  </si>
  <si>
    <t>MINAS NOVAS</t>
  </si>
  <si>
    <t>CAPELINHA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</si>
</sst>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2" fontId="1" fillId="2" borderId="1" xfId="0" applyNumberFormat="1" applyFont="1" applyFill="1" applyBorder="1" applyAlignment="1">
      <alignment vertical="center"/>
    </xf>
    <xf numFmtId="2" fontId="1" fillId="3" borderId="1" xfId="0" applyNumberFormat="1" applyFont="1" applyFill="1" applyBorder="1" applyAlignment="1">
      <alignment vertical="center" wrapText="1"/>
    </xf>
    <xf numFmtId="2" fontId="1" fillId="4" borderId="1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horizontal="left" vertical="center" wrapText="1"/>
    </xf>
    <xf numFmtId="2" fontId="1" fillId="7" borderId="1" xfId="0" applyNumberFormat="1" applyFont="1" applyFill="1" applyBorder="1" applyAlignment="1">
      <alignment vertical="center" wrapText="1"/>
    </xf>
    <xf numFmtId="2" fontId="1" fillId="6" borderId="1" xfId="0" applyNumberFormat="1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2" fontId="0" fillId="0" borderId="2" xfId="0" applyNumberFormat="1" applyBorder="1"/>
    <xf numFmtId="2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ARAXÁ!$J$1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ARAXÁ!$J$2:$J$9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03-4D05-9088-30FA00C83F35}"/>
            </c:ext>
          </c:extLst>
        </c:ser>
        <c:ser>
          <c:idx val="1"/>
          <c:order val="1"/>
          <c:tx>
            <c:strRef>
              <c:f>ARAXÁ!$K$1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ARAXÁ!$K$2:$K$9</c:f>
              <c:numCache>
                <c:formatCode>0.00</c:formatCode>
                <c:ptCount val="8"/>
                <c:pt idx="0">
                  <c:v>0</c:v>
                </c:pt>
                <c:pt idx="1">
                  <c:v>1.020408163265306E-2</c:v>
                </c:pt>
                <c:pt idx="2">
                  <c:v>3.5714285714285712E-2</c:v>
                </c:pt>
                <c:pt idx="3">
                  <c:v>0.13775510204081631</c:v>
                </c:pt>
                <c:pt idx="4">
                  <c:v>0.30102040816326525</c:v>
                </c:pt>
                <c:pt idx="5">
                  <c:v>0.35204081632653056</c:v>
                </c:pt>
                <c:pt idx="6">
                  <c:v>0.58163265306122447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03-4D05-9088-30FA00C83F35}"/>
            </c:ext>
          </c:extLst>
        </c:ser>
        <c:ser>
          <c:idx val="2"/>
          <c:order val="2"/>
          <c:tx>
            <c:strRef>
              <c:f>ARAXÁ!$L$1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ARAXÁ!$L$2:$L$9</c:f>
              <c:numCache>
                <c:formatCode>0.00</c:formatCode>
                <c:ptCount val="8"/>
                <c:pt idx="0">
                  <c:v>1.3333333333333334E-2</c:v>
                </c:pt>
                <c:pt idx="1">
                  <c:v>0.04</c:v>
                </c:pt>
                <c:pt idx="2">
                  <c:v>5.3333333333333337E-2</c:v>
                </c:pt>
                <c:pt idx="3">
                  <c:v>0.12</c:v>
                </c:pt>
                <c:pt idx="4">
                  <c:v>0.34666666666666668</c:v>
                </c:pt>
                <c:pt idx="5">
                  <c:v>0.41333333333333333</c:v>
                </c:pt>
                <c:pt idx="6">
                  <c:v>0.54666666666666663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03-4D05-9088-30FA00C83F35}"/>
            </c:ext>
          </c:extLst>
        </c:ser>
        <c:ser>
          <c:idx val="3"/>
          <c:order val="3"/>
          <c:tx>
            <c:strRef>
              <c:f>ARAXÁ!$M$1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ARAXÁ!$M$2:$M$9</c:f>
              <c:numCache>
                <c:formatCode>0.00</c:formatCode>
                <c:ptCount val="8"/>
                <c:pt idx="0">
                  <c:v>3.125E-2</c:v>
                </c:pt>
                <c:pt idx="1">
                  <c:v>3.125E-2</c:v>
                </c:pt>
                <c:pt idx="2">
                  <c:v>3.125E-2</c:v>
                </c:pt>
                <c:pt idx="3">
                  <c:v>4.6875E-2</c:v>
                </c:pt>
                <c:pt idx="4">
                  <c:v>0.25</c:v>
                </c:pt>
                <c:pt idx="5">
                  <c:v>0.34375</c:v>
                </c:pt>
                <c:pt idx="6">
                  <c:v>0.65625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03-4D05-9088-30FA00C83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74208"/>
        <c:axId val="562879968"/>
      </c:scatterChart>
      <c:valAx>
        <c:axId val="5628742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79968"/>
        <c:crosses val="autoZero"/>
        <c:crossBetween val="midCat"/>
      </c:valAx>
      <c:valAx>
        <c:axId val="5628799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74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ARAXÁ!$J$1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ARAXÁ!$J$2:$J$9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68-4935-A848-F54A5C887371}"/>
            </c:ext>
          </c:extLst>
        </c:ser>
        <c:ser>
          <c:idx val="1"/>
          <c:order val="1"/>
          <c:tx>
            <c:strRef>
              <c:f>ARAXÁ!$N$1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ARAXÁ!$N$2:$N$9</c:f>
              <c:numCache>
                <c:formatCode>0.00</c:formatCode>
                <c:ptCount val="8"/>
                <c:pt idx="0">
                  <c:v>8.9285714285714281E-3</c:v>
                </c:pt>
                <c:pt idx="1">
                  <c:v>8.9285714285714281E-3</c:v>
                </c:pt>
                <c:pt idx="2">
                  <c:v>4.4642857142857137E-2</c:v>
                </c:pt>
                <c:pt idx="3">
                  <c:v>0.23214285714285715</c:v>
                </c:pt>
                <c:pt idx="4">
                  <c:v>0.3482142857142857</c:v>
                </c:pt>
                <c:pt idx="5">
                  <c:v>0.4196428571428571</c:v>
                </c:pt>
                <c:pt idx="6">
                  <c:v>0.76785714285714279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68-4935-A848-F54A5C887371}"/>
            </c:ext>
          </c:extLst>
        </c:ser>
        <c:ser>
          <c:idx val="2"/>
          <c:order val="2"/>
          <c:tx>
            <c:strRef>
              <c:f>ARAXÁ!$O$1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ARAXÁ!$O$2:$O$9</c:f>
              <c:numCache>
                <c:formatCode>0.00</c:formatCode>
                <c:ptCount val="8"/>
                <c:pt idx="0">
                  <c:v>3.8095238095238099E-2</c:v>
                </c:pt>
                <c:pt idx="1">
                  <c:v>4.7619047619047623E-2</c:v>
                </c:pt>
                <c:pt idx="2">
                  <c:v>6.666666666666668E-2</c:v>
                </c:pt>
                <c:pt idx="3">
                  <c:v>0.10476190476190478</c:v>
                </c:pt>
                <c:pt idx="4">
                  <c:v>0.27619047619047621</c:v>
                </c:pt>
                <c:pt idx="5">
                  <c:v>0.30476190476190479</c:v>
                </c:pt>
                <c:pt idx="6">
                  <c:v>0.68571428571428572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68-4935-A848-F54A5C887371}"/>
            </c:ext>
          </c:extLst>
        </c:ser>
        <c:ser>
          <c:idx val="3"/>
          <c:order val="3"/>
          <c:tx>
            <c:strRef>
              <c:f>ARAXÁ!$P$1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ARAXÁ!$P$2:$P$9</c:f>
              <c:numCache>
                <c:formatCode>0.00</c:formatCode>
                <c:ptCount val="8"/>
                <c:pt idx="0">
                  <c:v>1.5873015873015872E-2</c:v>
                </c:pt>
                <c:pt idx="1">
                  <c:v>1.5873015873015872E-2</c:v>
                </c:pt>
                <c:pt idx="2">
                  <c:v>3.1746031746031744E-2</c:v>
                </c:pt>
                <c:pt idx="3">
                  <c:v>7.9365079365079361E-2</c:v>
                </c:pt>
                <c:pt idx="4">
                  <c:v>0.25396825396825395</c:v>
                </c:pt>
                <c:pt idx="5">
                  <c:v>0.30158730158730157</c:v>
                </c:pt>
                <c:pt idx="6">
                  <c:v>0.71428571428571419</c:v>
                </c:pt>
                <c:pt idx="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68-4935-A848-F54A5C887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913088"/>
        <c:axId val="562913568"/>
      </c:scatterChart>
      <c:valAx>
        <c:axId val="5629130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913568"/>
        <c:crosses val="autoZero"/>
        <c:crossBetween val="midCat"/>
      </c:valAx>
      <c:valAx>
        <c:axId val="5629135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91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'FRUTAL-ITURAMA'!$J$1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'FRUTAL-ITURAMA'!$J$2:$J$12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5C-433A-B8BF-97E6EA5FF284}"/>
            </c:ext>
          </c:extLst>
        </c:ser>
        <c:ser>
          <c:idx val="1"/>
          <c:order val="1"/>
          <c:tx>
            <c:strRef>
              <c:f>'FRUTAL-ITURAMA'!$K$1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'FRUTAL-ITURAMA'!$K$2:$K$12</c:f>
              <c:numCache>
                <c:formatCode>0.00</c:formatCode>
                <c:ptCount val="11"/>
                <c:pt idx="0">
                  <c:v>7.5187969924812026E-3</c:v>
                </c:pt>
                <c:pt idx="1">
                  <c:v>3.007518796992481E-2</c:v>
                </c:pt>
                <c:pt idx="2">
                  <c:v>5.2631578947368418E-2</c:v>
                </c:pt>
                <c:pt idx="3">
                  <c:v>6.0150375939849621E-2</c:v>
                </c:pt>
                <c:pt idx="4">
                  <c:v>6.7669172932330823E-2</c:v>
                </c:pt>
                <c:pt idx="5">
                  <c:v>9.0225563909774431E-2</c:v>
                </c:pt>
                <c:pt idx="6">
                  <c:v>0.15037593984962405</c:v>
                </c:pt>
                <c:pt idx="7">
                  <c:v>0.17293233082706766</c:v>
                </c:pt>
                <c:pt idx="8">
                  <c:v>0.20300751879699247</c:v>
                </c:pt>
                <c:pt idx="9">
                  <c:v>0.39849624060150374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5C-433A-B8BF-97E6EA5FF284}"/>
            </c:ext>
          </c:extLst>
        </c:ser>
        <c:ser>
          <c:idx val="2"/>
          <c:order val="2"/>
          <c:tx>
            <c:strRef>
              <c:f>'FRUTAL-ITURAMA'!$L$1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'FRUTAL-ITURAMA'!$L$2:$L$12</c:f>
              <c:numCache>
                <c:formatCode>0.00</c:formatCode>
                <c:ptCount val="11"/>
                <c:pt idx="0">
                  <c:v>0</c:v>
                </c:pt>
                <c:pt idx="1">
                  <c:v>5.1724137931034482E-2</c:v>
                </c:pt>
                <c:pt idx="2">
                  <c:v>5.1724137931034482E-2</c:v>
                </c:pt>
                <c:pt idx="3">
                  <c:v>8.6206896551724144E-2</c:v>
                </c:pt>
                <c:pt idx="4">
                  <c:v>0.1206896551724138</c:v>
                </c:pt>
                <c:pt idx="5">
                  <c:v>0.13793103448275862</c:v>
                </c:pt>
                <c:pt idx="6">
                  <c:v>0.17241379310344829</c:v>
                </c:pt>
                <c:pt idx="7">
                  <c:v>0.20689655172413796</c:v>
                </c:pt>
                <c:pt idx="8">
                  <c:v>0.24137931034482762</c:v>
                </c:pt>
                <c:pt idx="9">
                  <c:v>0.5862068965517242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5C-433A-B8BF-97E6EA5FF284}"/>
            </c:ext>
          </c:extLst>
        </c:ser>
        <c:ser>
          <c:idx val="3"/>
          <c:order val="3"/>
          <c:tx>
            <c:strRef>
              <c:f>'FRUTAL-ITURAMA'!$M$1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'FRUTAL-ITURAMA'!$M$2:$M$12</c:f>
              <c:numCache>
                <c:formatCode>0.00</c:formatCode>
                <c:ptCount val="11"/>
                <c:pt idx="0">
                  <c:v>2.7027027027027029E-2</c:v>
                </c:pt>
                <c:pt idx="1">
                  <c:v>2.7027027027027029E-2</c:v>
                </c:pt>
                <c:pt idx="2">
                  <c:v>8.1081081081081086E-2</c:v>
                </c:pt>
                <c:pt idx="3">
                  <c:v>8.1081081081081086E-2</c:v>
                </c:pt>
                <c:pt idx="4">
                  <c:v>0.16216216216216217</c:v>
                </c:pt>
                <c:pt idx="5">
                  <c:v>0.24324324324324326</c:v>
                </c:pt>
                <c:pt idx="6">
                  <c:v>0.24324324324324326</c:v>
                </c:pt>
                <c:pt idx="7">
                  <c:v>0.40540540540540543</c:v>
                </c:pt>
                <c:pt idx="8">
                  <c:v>0.56756756756756754</c:v>
                </c:pt>
                <c:pt idx="9">
                  <c:v>0.72972972972972971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95C-433A-B8BF-97E6EA5FF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87488"/>
        <c:axId val="195387968"/>
      </c:scatterChart>
      <c:valAx>
        <c:axId val="195387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87968"/>
        <c:crosses val="autoZero"/>
        <c:crossBetween val="midCat"/>
      </c:valAx>
      <c:valAx>
        <c:axId val="1953879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87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'FRUTAL-ITURAMA'!$J$1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'FRUTAL-ITURAMA'!$J$2:$J$12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DC-43B2-8202-C738D2B3F585}"/>
            </c:ext>
          </c:extLst>
        </c:ser>
        <c:ser>
          <c:idx val="1"/>
          <c:order val="1"/>
          <c:tx>
            <c:strRef>
              <c:f>'FRUTAL-ITURAMA'!$N$1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'FRUTAL-ITURAMA'!$N$2:$N$12</c:f>
              <c:numCache>
                <c:formatCode>0.00</c:formatCode>
                <c:ptCount val="11"/>
                <c:pt idx="0">
                  <c:v>1.7543859649122806E-2</c:v>
                </c:pt>
                <c:pt idx="1">
                  <c:v>3.5087719298245612E-2</c:v>
                </c:pt>
                <c:pt idx="2">
                  <c:v>5.2631578947368418E-2</c:v>
                </c:pt>
                <c:pt idx="3">
                  <c:v>7.0175438596491224E-2</c:v>
                </c:pt>
                <c:pt idx="4">
                  <c:v>0.17543859649122806</c:v>
                </c:pt>
                <c:pt idx="5">
                  <c:v>0.19298245614035087</c:v>
                </c:pt>
                <c:pt idx="6">
                  <c:v>0.22807017543859648</c:v>
                </c:pt>
                <c:pt idx="7">
                  <c:v>0.26315789473684209</c:v>
                </c:pt>
                <c:pt idx="8">
                  <c:v>0.31578947368421051</c:v>
                </c:pt>
                <c:pt idx="9">
                  <c:v>0.7543859649122806</c:v>
                </c:pt>
                <c:pt idx="10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DC-43B2-8202-C738D2B3F585}"/>
            </c:ext>
          </c:extLst>
        </c:ser>
        <c:ser>
          <c:idx val="2"/>
          <c:order val="2"/>
          <c:tx>
            <c:strRef>
              <c:f>'FRUTAL-ITURAMA'!$O$1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'FRUTAL-ITURAMA'!$O$2:$O$12</c:f>
              <c:numCache>
                <c:formatCode>0.00</c:formatCode>
                <c:ptCount val="11"/>
                <c:pt idx="0">
                  <c:v>0</c:v>
                </c:pt>
                <c:pt idx="1">
                  <c:v>0.125</c:v>
                </c:pt>
                <c:pt idx="2">
                  <c:v>0.17499999999999999</c:v>
                </c:pt>
                <c:pt idx="3">
                  <c:v>0.19999999999999998</c:v>
                </c:pt>
                <c:pt idx="4">
                  <c:v>0.22499999999999998</c:v>
                </c:pt>
                <c:pt idx="5">
                  <c:v>0.27499999999999997</c:v>
                </c:pt>
                <c:pt idx="6">
                  <c:v>0.27499999999999997</c:v>
                </c:pt>
                <c:pt idx="7">
                  <c:v>0.27499999999999997</c:v>
                </c:pt>
                <c:pt idx="8">
                  <c:v>0.3</c:v>
                </c:pt>
                <c:pt idx="9">
                  <c:v>0.85000000000000009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DC-43B2-8202-C738D2B3F585}"/>
            </c:ext>
          </c:extLst>
        </c:ser>
        <c:ser>
          <c:idx val="3"/>
          <c:order val="3"/>
          <c:tx>
            <c:strRef>
              <c:f>'FRUTAL-ITURAMA'!$P$1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'FRUTAL-ITURAMA'!$P$2:$P$12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0.19444444444444445</c:v>
                </c:pt>
                <c:pt idx="4">
                  <c:v>0.27777777777777779</c:v>
                </c:pt>
                <c:pt idx="5">
                  <c:v>0.27777777777777779</c:v>
                </c:pt>
                <c:pt idx="6">
                  <c:v>0.27777777777777779</c:v>
                </c:pt>
                <c:pt idx="7">
                  <c:v>0.27777777777777779</c:v>
                </c:pt>
                <c:pt idx="8">
                  <c:v>0.30555555555555558</c:v>
                </c:pt>
                <c:pt idx="9">
                  <c:v>0.75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DC-43B2-8202-C738D2B3F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93248"/>
        <c:axId val="88195184"/>
      </c:scatterChart>
      <c:valAx>
        <c:axId val="1953932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195184"/>
        <c:crosses val="autoZero"/>
        <c:crossBetween val="midCat"/>
      </c:valAx>
      <c:valAx>
        <c:axId val="8819518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93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UBERABA!$J$1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UBERABA!$J$2:$J$9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73-47F2-BF6F-DD94CFB8A3E8}"/>
            </c:ext>
          </c:extLst>
        </c:ser>
        <c:ser>
          <c:idx val="1"/>
          <c:order val="1"/>
          <c:tx>
            <c:strRef>
              <c:f>UBERABA!$K$1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UBERABA!$K$2:$K$9</c:f>
              <c:numCache>
                <c:formatCode>0.00</c:formatCode>
                <c:ptCount val="8"/>
                <c:pt idx="0">
                  <c:v>2.2727272727272726E-3</c:v>
                </c:pt>
                <c:pt idx="1">
                  <c:v>6.8181818181818179E-3</c:v>
                </c:pt>
                <c:pt idx="2">
                  <c:v>1.1363636363636364E-2</c:v>
                </c:pt>
                <c:pt idx="3">
                  <c:v>2.2727272727272728E-2</c:v>
                </c:pt>
                <c:pt idx="4">
                  <c:v>4.3181818181818182E-2</c:v>
                </c:pt>
                <c:pt idx="5">
                  <c:v>0.21363636363636362</c:v>
                </c:pt>
                <c:pt idx="6">
                  <c:v>0.33181818181818179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73-47F2-BF6F-DD94CFB8A3E8}"/>
            </c:ext>
          </c:extLst>
        </c:ser>
        <c:ser>
          <c:idx val="2"/>
          <c:order val="2"/>
          <c:tx>
            <c:strRef>
              <c:f>UBERABA!$L$1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UBERABA!$L$2:$L$9</c:f>
              <c:numCache>
                <c:formatCode>0.00</c:formatCode>
                <c:ptCount val="8"/>
                <c:pt idx="0">
                  <c:v>3.8610038610038611E-3</c:v>
                </c:pt>
                <c:pt idx="1">
                  <c:v>1.9305019305019305E-2</c:v>
                </c:pt>
                <c:pt idx="2">
                  <c:v>3.4749034749034749E-2</c:v>
                </c:pt>
                <c:pt idx="3">
                  <c:v>6.5637065637065645E-2</c:v>
                </c:pt>
                <c:pt idx="4">
                  <c:v>7.7220077220077232E-2</c:v>
                </c:pt>
                <c:pt idx="5">
                  <c:v>0.18532818532818535</c:v>
                </c:pt>
                <c:pt idx="6">
                  <c:v>0.35521235521235522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73-47F2-BF6F-DD94CFB8A3E8}"/>
            </c:ext>
          </c:extLst>
        </c:ser>
        <c:ser>
          <c:idx val="3"/>
          <c:order val="3"/>
          <c:tx>
            <c:strRef>
              <c:f>UBERABA!$M$1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UBERABA!$M$2:$M$9</c:f>
              <c:numCache>
                <c:formatCode>0.00</c:formatCode>
                <c:ptCount val="8"/>
                <c:pt idx="0">
                  <c:v>0</c:v>
                </c:pt>
                <c:pt idx="1">
                  <c:v>1.4354066985645933E-2</c:v>
                </c:pt>
                <c:pt idx="2">
                  <c:v>1.9138755980861243E-2</c:v>
                </c:pt>
                <c:pt idx="3">
                  <c:v>2.3923444976076555E-2</c:v>
                </c:pt>
                <c:pt idx="4">
                  <c:v>2.8708133971291867E-2</c:v>
                </c:pt>
                <c:pt idx="5">
                  <c:v>0.16267942583732059</c:v>
                </c:pt>
                <c:pt idx="6">
                  <c:v>0.30143540669856461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73-47F2-BF6F-DD94CFB8A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295600"/>
        <c:axId val="893292720"/>
      </c:scatterChart>
      <c:valAx>
        <c:axId val="8932956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292720"/>
        <c:crosses val="autoZero"/>
        <c:crossBetween val="midCat"/>
      </c:valAx>
      <c:valAx>
        <c:axId val="8932927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295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UBERABA!$J$1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UBERABA!$J$2:$J$9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9A-4716-8E59-24379F67FD09}"/>
            </c:ext>
          </c:extLst>
        </c:ser>
        <c:ser>
          <c:idx val="1"/>
          <c:order val="1"/>
          <c:tx>
            <c:strRef>
              <c:f>UBERABA!$N$1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UBERABA!$N$2:$N$9</c:f>
              <c:numCache>
                <c:formatCode>0.00</c:formatCode>
                <c:ptCount val="8"/>
                <c:pt idx="0">
                  <c:v>0</c:v>
                </c:pt>
                <c:pt idx="1">
                  <c:v>5.1150895140664966E-3</c:v>
                </c:pt>
                <c:pt idx="2">
                  <c:v>1.2787723785166242E-2</c:v>
                </c:pt>
                <c:pt idx="3">
                  <c:v>3.0690537084398978E-2</c:v>
                </c:pt>
                <c:pt idx="4">
                  <c:v>3.3248081841432228E-2</c:v>
                </c:pt>
                <c:pt idx="5">
                  <c:v>0.18414322250639387</c:v>
                </c:pt>
                <c:pt idx="6">
                  <c:v>0.30946291560102301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9A-4716-8E59-24379F67FD09}"/>
            </c:ext>
          </c:extLst>
        </c:ser>
        <c:ser>
          <c:idx val="2"/>
          <c:order val="2"/>
          <c:tx>
            <c:strRef>
              <c:f>UBERABA!$O$1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UBERABA!$O$2:$O$9</c:f>
              <c:numCache>
                <c:formatCode>0.00</c:formatCode>
                <c:ptCount val="8"/>
                <c:pt idx="0">
                  <c:v>2.6525198938992041E-3</c:v>
                </c:pt>
                <c:pt idx="1">
                  <c:v>1.0610079575596816E-2</c:v>
                </c:pt>
                <c:pt idx="2">
                  <c:v>2.1220159151193633E-2</c:v>
                </c:pt>
                <c:pt idx="3">
                  <c:v>2.9177718832891247E-2</c:v>
                </c:pt>
                <c:pt idx="4">
                  <c:v>3.7135278514588858E-2</c:v>
                </c:pt>
                <c:pt idx="5">
                  <c:v>0.1830238726790451</c:v>
                </c:pt>
                <c:pt idx="6">
                  <c:v>0.34482758620689657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9A-4716-8E59-24379F67FD09}"/>
            </c:ext>
          </c:extLst>
        </c:ser>
        <c:ser>
          <c:idx val="3"/>
          <c:order val="3"/>
          <c:tx>
            <c:strRef>
              <c:f>UBERABA!$P$1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UBERABA!$P$2:$P$9</c:f>
              <c:numCache>
                <c:formatCode>0.00</c:formatCode>
                <c:ptCount val="8"/>
                <c:pt idx="0">
                  <c:v>4.4052863436123352E-3</c:v>
                </c:pt>
                <c:pt idx="1">
                  <c:v>8.8105726872246704E-3</c:v>
                </c:pt>
                <c:pt idx="2">
                  <c:v>1.3215859030837006E-2</c:v>
                </c:pt>
                <c:pt idx="3">
                  <c:v>2.2026431718061679E-2</c:v>
                </c:pt>
                <c:pt idx="4">
                  <c:v>3.0837004405286347E-2</c:v>
                </c:pt>
                <c:pt idx="5">
                  <c:v>0.18942731277533043</c:v>
                </c:pt>
                <c:pt idx="6">
                  <c:v>0.32599118942731281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9A-4716-8E59-24379F67F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354432"/>
        <c:axId val="618341472"/>
      </c:scatterChart>
      <c:valAx>
        <c:axId val="6183544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341472"/>
        <c:crosses val="autoZero"/>
        <c:crossBetween val="midCat"/>
      </c:valAx>
      <c:valAx>
        <c:axId val="6183414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35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45720</xdr:colOff>
      <xdr:row>0</xdr:row>
      <xdr:rowOff>34290</xdr:rowOff>
    </xdr:from>
    <xdr:to>
      <xdr:col>23</xdr:col>
      <xdr:colOff>350520</xdr:colOff>
      <xdr:row>12</xdr:row>
      <xdr:rowOff>118110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B926901-5DCA-759C-1D6E-282CEA6F3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45720</xdr:colOff>
      <xdr:row>13</xdr:row>
      <xdr:rowOff>3810</xdr:rowOff>
    </xdr:from>
    <xdr:to>
      <xdr:col>23</xdr:col>
      <xdr:colOff>350520</xdr:colOff>
      <xdr:row>28</xdr:row>
      <xdr:rowOff>3810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6BC509D-7AA2-A14F-52BC-5465B02E7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60960</xdr:colOff>
      <xdr:row>0</xdr:row>
      <xdr:rowOff>49530</xdr:rowOff>
    </xdr:from>
    <xdr:to>
      <xdr:col>23</xdr:col>
      <xdr:colOff>365760</xdr:colOff>
      <xdr:row>13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C7A6950-D186-CCE0-2FC5-F0B83CB25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14</xdr:row>
      <xdr:rowOff>11430</xdr:rowOff>
    </xdr:from>
    <xdr:to>
      <xdr:col>23</xdr:col>
      <xdr:colOff>365760</xdr:colOff>
      <xdr:row>28</xdr:row>
      <xdr:rowOff>11430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7E4CE9F-C703-EEF6-CFD4-AB996E313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0</xdr:row>
      <xdr:rowOff>87630</xdr:rowOff>
    </xdr:from>
    <xdr:to>
      <xdr:col>23</xdr:col>
      <xdr:colOff>426720</xdr:colOff>
      <xdr:row>12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56268BE-9D32-F3A9-0914-A5948565D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144780</xdr:colOff>
      <xdr:row>13</xdr:row>
      <xdr:rowOff>41910</xdr:rowOff>
    </xdr:from>
    <xdr:to>
      <xdr:col>23</xdr:col>
      <xdr:colOff>449580</xdr:colOff>
      <xdr:row>28</xdr:row>
      <xdr:rowOff>41910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CA7DB76-BC77-A477-81C0-D5E5084CB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BA7F-D08A-4C30-B563-D452E61A7F97}">
  <dimension ref="A1:P21"/>
  <sheetViews>
    <sheetView tabSelected="1" workbookViewId="0">
      <selection activeCell="A11" sqref="A11"/>
    </sheetView>
  </sheetViews>
  <sheetFormatPr defaultRowHeight="14.4" x14ac:dyDescent="0.3"/>
  <sheetData>
    <row r="1" spans="1:16" ht="36.6" customHeight="1" x14ac:dyDescent="0.3">
      <c r="A1" s="1" t="s">
        <v>27</v>
      </c>
      <c r="B1" s="2" t="s">
        <v>28</v>
      </c>
      <c r="C1" s="3" t="s">
        <v>29</v>
      </c>
      <c r="D1" s="3" t="s">
        <v>30</v>
      </c>
      <c r="E1" s="3" t="s">
        <v>31</v>
      </c>
      <c r="F1" s="2" t="s">
        <v>32</v>
      </c>
      <c r="G1" s="3" t="s">
        <v>33</v>
      </c>
      <c r="H1" s="3" t="s">
        <v>34</v>
      </c>
      <c r="I1" s="4" t="s">
        <v>28</v>
      </c>
      <c r="J1" s="5" t="s">
        <v>28</v>
      </c>
      <c r="K1" s="6" t="s">
        <v>29</v>
      </c>
      <c r="L1" s="6" t="s">
        <v>30</v>
      </c>
      <c r="M1" s="6" t="s">
        <v>31</v>
      </c>
      <c r="N1" s="7" t="s">
        <v>32</v>
      </c>
      <c r="O1" s="6" t="s">
        <v>33</v>
      </c>
      <c r="P1" s="6" t="s">
        <v>34</v>
      </c>
    </row>
    <row r="2" spans="1:16" x14ac:dyDescent="0.3">
      <c r="A2" s="9" t="s">
        <v>3</v>
      </c>
      <c r="B2" s="17">
        <v>1.8942616996990763E-2</v>
      </c>
      <c r="C2" s="17">
        <v>0</v>
      </c>
      <c r="D2" s="17">
        <v>1.3333333333333334E-2</v>
      </c>
      <c r="E2" s="17">
        <v>3.125E-2</v>
      </c>
      <c r="F2" s="17">
        <v>8.9285714285714281E-3</v>
      </c>
      <c r="G2" s="17">
        <v>3.8095238095238099E-2</v>
      </c>
      <c r="H2" s="17">
        <v>1.5873015873015872E-2</v>
      </c>
      <c r="I2" s="9">
        <v>1.8942616996990763E-2</v>
      </c>
      <c r="J2" s="18">
        <v>1.8942616996990763E-2</v>
      </c>
      <c r="K2" s="18">
        <v>0</v>
      </c>
      <c r="L2" s="18">
        <v>1.3333333333333334E-2</v>
      </c>
      <c r="M2" s="18">
        <v>3.125E-2</v>
      </c>
      <c r="N2" s="18">
        <v>8.9285714285714281E-3</v>
      </c>
      <c r="O2" s="18">
        <v>3.8095238095238099E-2</v>
      </c>
      <c r="P2" s="18">
        <v>1.5873015873015872E-2</v>
      </c>
    </row>
    <row r="3" spans="1:16" x14ac:dyDescent="0.3">
      <c r="A3" s="9" t="s">
        <v>5</v>
      </c>
      <c r="B3" s="17">
        <v>1.8978935353325725E-2</v>
      </c>
      <c r="C3" s="17">
        <v>1.020408163265306E-2</v>
      </c>
      <c r="D3" s="17">
        <v>2.6666666666666668E-2</v>
      </c>
      <c r="E3" s="17">
        <v>0</v>
      </c>
      <c r="F3" s="17">
        <v>0</v>
      </c>
      <c r="G3" s="17">
        <v>9.5238095238095247E-3</v>
      </c>
      <c r="H3" s="17">
        <v>0</v>
      </c>
      <c r="I3" s="9">
        <v>3.7921552350316488E-2</v>
      </c>
      <c r="J3" s="9">
        <f t="shared" ref="J3:P9" si="0">J2+B3</f>
        <v>3.7921552350316488E-2</v>
      </c>
      <c r="K3" s="9">
        <f t="shared" si="0"/>
        <v>1.020408163265306E-2</v>
      </c>
      <c r="L3" s="16">
        <f t="shared" si="0"/>
        <v>0.04</v>
      </c>
      <c r="M3" s="9">
        <f t="shared" si="0"/>
        <v>3.125E-2</v>
      </c>
      <c r="N3" s="9">
        <f t="shared" si="0"/>
        <v>8.9285714285714281E-3</v>
      </c>
      <c r="O3" s="9">
        <f t="shared" si="0"/>
        <v>4.7619047619047623E-2</v>
      </c>
      <c r="P3" s="9">
        <f t="shared" si="0"/>
        <v>1.5873015873015872E-2</v>
      </c>
    </row>
    <row r="4" spans="1:16" x14ac:dyDescent="0.3">
      <c r="A4" s="9" t="s">
        <v>7</v>
      </c>
      <c r="B4" s="17">
        <v>2.537096606827851E-2</v>
      </c>
      <c r="C4" s="17">
        <v>2.5510204081632654E-2</v>
      </c>
      <c r="D4" s="17">
        <v>1.3333333333333334E-2</v>
      </c>
      <c r="E4" s="17">
        <v>0</v>
      </c>
      <c r="F4" s="17">
        <v>3.5714285714285712E-2</v>
      </c>
      <c r="G4" s="17">
        <v>1.9047619047619049E-2</v>
      </c>
      <c r="H4" s="17">
        <v>1.5873015873015872E-2</v>
      </c>
      <c r="I4" s="9">
        <v>6.3292518418594998E-2</v>
      </c>
      <c r="J4" s="9">
        <f t="shared" si="0"/>
        <v>6.3292518418594998E-2</v>
      </c>
      <c r="K4" s="9">
        <f t="shared" si="0"/>
        <v>3.5714285714285712E-2</v>
      </c>
      <c r="L4" s="16">
        <f t="shared" si="0"/>
        <v>5.3333333333333337E-2</v>
      </c>
      <c r="M4" s="9">
        <f t="shared" si="0"/>
        <v>3.125E-2</v>
      </c>
      <c r="N4" s="9">
        <f t="shared" si="0"/>
        <v>4.4642857142857137E-2</v>
      </c>
      <c r="O4" s="9">
        <f t="shared" si="0"/>
        <v>6.666666666666668E-2</v>
      </c>
      <c r="P4" s="9">
        <f t="shared" si="0"/>
        <v>3.1746031746031744E-2</v>
      </c>
    </row>
    <row r="5" spans="1:16" x14ac:dyDescent="0.3">
      <c r="A5" s="9" t="s">
        <v>6</v>
      </c>
      <c r="B5" s="17">
        <v>7.5215315969700117E-2</v>
      </c>
      <c r="C5" s="17">
        <v>0.10204081632653061</v>
      </c>
      <c r="D5" s="17">
        <v>6.6666666666666666E-2</v>
      </c>
      <c r="E5" s="17">
        <v>1.5625E-2</v>
      </c>
      <c r="F5" s="17">
        <v>0.1875</v>
      </c>
      <c r="G5" s="17">
        <v>3.8095238095238099E-2</v>
      </c>
      <c r="H5" s="17">
        <v>4.7619047619047616E-2</v>
      </c>
      <c r="I5" s="9">
        <v>0.13850783438829511</v>
      </c>
      <c r="J5" s="9">
        <f t="shared" si="0"/>
        <v>0.13850783438829511</v>
      </c>
      <c r="K5" s="9">
        <f t="shared" si="0"/>
        <v>0.13775510204081631</v>
      </c>
      <c r="L5" s="16">
        <f t="shared" si="0"/>
        <v>0.12</v>
      </c>
      <c r="M5" s="9">
        <f t="shared" si="0"/>
        <v>4.6875E-2</v>
      </c>
      <c r="N5" s="9">
        <f t="shared" si="0"/>
        <v>0.23214285714285715</v>
      </c>
      <c r="O5" s="9">
        <f t="shared" si="0"/>
        <v>0.10476190476190478</v>
      </c>
      <c r="P5" s="9">
        <f t="shared" si="0"/>
        <v>7.9365079365079361E-2</v>
      </c>
    </row>
    <row r="6" spans="1:16" x14ac:dyDescent="0.3">
      <c r="A6" s="9" t="s">
        <v>1</v>
      </c>
      <c r="B6" s="17">
        <v>8.1254539794541863E-2</v>
      </c>
      <c r="C6" s="17">
        <v>0.16326530612244897</v>
      </c>
      <c r="D6" s="17">
        <v>0.22666666666666666</v>
      </c>
      <c r="E6" s="17">
        <v>0.203125</v>
      </c>
      <c r="F6" s="17">
        <v>0.11607142857142858</v>
      </c>
      <c r="G6" s="17">
        <v>0.17142857142857143</v>
      </c>
      <c r="H6" s="17">
        <v>0.17460317460317459</v>
      </c>
      <c r="I6" s="9">
        <v>0.21976237418283698</v>
      </c>
      <c r="J6" s="9">
        <f t="shared" si="0"/>
        <v>0.21976237418283698</v>
      </c>
      <c r="K6" s="9">
        <f t="shared" si="0"/>
        <v>0.30102040816326525</v>
      </c>
      <c r="L6" s="16">
        <f t="shared" si="0"/>
        <v>0.34666666666666668</v>
      </c>
      <c r="M6" s="9">
        <f t="shared" si="0"/>
        <v>0.25</v>
      </c>
      <c r="N6" s="9">
        <f t="shared" si="0"/>
        <v>0.3482142857142857</v>
      </c>
      <c r="O6" s="9">
        <f t="shared" si="0"/>
        <v>0.27619047619047621</v>
      </c>
      <c r="P6" s="9">
        <f t="shared" si="0"/>
        <v>0.25396825396825395</v>
      </c>
    </row>
    <row r="7" spans="1:16" x14ac:dyDescent="0.3">
      <c r="A7" s="9" t="s">
        <v>4</v>
      </c>
      <c r="B7" s="17">
        <v>8.5446715782919999E-2</v>
      </c>
      <c r="C7" s="17">
        <v>5.1020408163265307E-2</v>
      </c>
      <c r="D7" s="17">
        <v>6.6666666666666666E-2</v>
      </c>
      <c r="E7" s="17">
        <v>9.375E-2</v>
      </c>
      <c r="F7" s="17">
        <v>7.1428571428571425E-2</v>
      </c>
      <c r="G7" s="17">
        <v>2.8571428571428571E-2</v>
      </c>
      <c r="H7" s="17">
        <v>4.7619047619047616E-2</v>
      </c>
      <c r="I7" s="9">
        <v>0.30520908996575696</v>
      </c>
      <c r="J7" s="9">
        <f t="shared" si="0"/>
        <v>0.30520908996575696</v>
      </c>
      <c r="K7" s="9">
        <f t="shared" si="0"/>
        <v>0.35204081632653056</v>
      </c>
      <c r="L7" s="16">
        <f t="shared" si="0"/>
        <v>0.41333333333333333</v>
      </c>
      <c r="M7" s="9">
        <f t="shared" si="0"/>
        <v>0.34375</v>
      </c>
      <c r="N7" s="9">
        <f t="shared" si="0"/>
        <v>0.4196428571428571</v>
      </c>
      <c r="O7" s="9">
        <f t="shared" si="0"/>
        <v>0.30476190476190479</v>
      </c>
      <c r="P7" s="9">
        <f t="shared" si="0"/>
        <v>0.30158730158730157</v>
      </c>
    </row>
    <row r="8" spans="1:16" x14ac:dyDescent="0.3">
      <c r="A8" s="9" t="s">
        <v>2</v>
      </c>
      <c r="B8" s="17">
        <v>0.13235965549444847</v>
      </c>
      <c r="C8" s="17">
        <v>0.22959183673469388</v>
      </c>
      <c r="D8" s="17">
        <v>0.13333333333333333</v>
      </c>
      <c r="E8" s="17">
        <v>0.3125</v>
      </c>
      <c r="F8" s="17">
        <v>0.3482142857142857</v>
      </c>
      <c r="G8" s="17">
        <v>0.38095238095238093</v>
      </c>
      <c r="H8" s="17">
        <v>0.41269841269841268</v>
      </c>
      <c r="I8" s="9">
        <v>0.43756874546020541</v>
      </c>
      <c r="J8" s="9">
        <f t="shared" si="0"/>
        <v>0.43756874546020541</v>
      </c>
      <c r="K8" s="9">
        <f t="shared" si="0"/>
        <v>0.58163265306122447</v>
      </c>
      <c r="L8" s="16">
        <f t="shared" si="0"/>
        <v>0.54666666666666663</v>
      </c>
      <c r="M8" s="9">
        <f t="shared" si="0"/>
        <v>0.65625</v>
      </c>
      <c r="N8" s="9">
        <f t="shared" si="0"/>
        <v>0.76785714285714279</v>
      </c>
      <c r="O8" s="9">
        <f t="shared" si="0"/>
        <v>0.68571428571428572</v>
      </c>
      <c r="P8" s="9">
        <f t="shared" si="0"/>
        <v>0.71428571428571419</v>
      </c>
    </row>
    <row r="9" spans="1:16" x14ac:dyDescent="0.3">
      <c r="A9" s="9" t="s">
        <v>0</v>
      </c>
      <c r="B9" s="17">
        <v>0.56243125453979459</v>
      </c>
      <c r="C9" s="17">
        <v>0.41836734693877553</v>
      </c>
      <c r="D9" s="17">
        <v>0.45333333333333331</v>
      </c>
      <c r="E9" s="17">
        <v>0.34375</v>
      </c>
      <c r="F9" s="17">
        <v>0.23214285714285715</v>
      </c>
      <c r="G9" s="17">
        <v>0.31428571428571428</v>
      </c>
      <c r="H9" s="17">
        <v>0.2857142857142857</v>
      </c>
      <c r="I9" s="9">
        <v>1</v>
      </c>
      <c r="J9" s="9">
        <f t="shared" si="0"/>
        <v>1</v>
      </c>
      <c r="K9" s="9">
        <f t="shared" si="0"/>
        <v>1</v>
      </c>
      <c r="L9" s="16">
        <f t="shared" si="0"/>
        <v>1</v>
      </c>
      <c r="M9" s="9">
        <f t="shared" si="0"/>
        <v>1</v>
      </c>
      <c r="N9" s="9">
        <f t="shared" si="0"/>
        <v>1</v>
      </c>
      <c r="O9" s="9">
        <f t="shared" si="0"/>
        <v>1</v>
      </c>
      <c r="P9" s="9">
        <f t="shared" si="0"/>
        <v>0.99999999999999989</v>
      </c>
    </row>
    <row r="11" spans="1:16" ht="28.8" x14ac:dyDescent="0.3">
      <c r="B11" s="10" t="s">
        <v>27</v>
      </c>
      <c r="C11" s="11" t="s">
        <v>35</v>
      </c>
      <c r="D11" s="11" t="s">
        <v>36</v>
      </c>
      <c r="E11" s="11" t="s">
        <v>37</v>
      </c>
      <c r="F11" s="11" t="s">
        <v>38</v>
      </c>
      <c r="G11" s="11" t="s">
        <v>39</v>
      </c>
      <c r="H11" s="11" t="s">
        <v>40</v>
      </c>
      <c r="J11" s="8"/>
      <c r="K11" s="12" t="s">
        <v>41</v>
      </c>
      <c r="L11" s="12" t="s">
        <v>42</v>
      </c>
      <c r="M11" s="12" t="s">
        <v>43</v>
      </c>
      <c r="N11" s="12" t="s">
        <v>44</v>
      </c>
      <c r="O11" s="12" t="s">
        <v>45</v>
      </c>
      <c r="P11" s="12" t="s">
        <v>46</v>
      </c>
    </row>
    <row r="12" spans="1:16" x14ac:dyDescent="0.3">
      <c r="B12" s="8" t="s">
        <v>49</v>
      </c>
      <c r="C12" s="9">
        <f>C2-B2</f>
        <v>-1.8942616996990763E-2</v>
      </c>
      <c r="D12" s="9">
        <f>D2-B2</f>
        <v>-5.609283663657429E-3</v>
      </c>
      <c r="E12" s="9">
        <f>E2-B2</f>
        <v>1.2307383003009237E-2</v>
      </c>
      <c r="F12" s="9">
        <f>F2-B2</f>
        <v>-1.0014045568419335E-2</v>
      </c>
      <c r="G12" s="9">
        <f>G2-B2</f>
        <v>1.9152621098247335E-2</v>
      </c>
      <c r="H12" s="9">
        <f>H2-B2</f>
        <v>-3.069601123974891E-3</v>
      </c>
      <c r="J12" s="8" t="s">
        <v>49</v>
      </c>
      <c r="K12" s="8">
        <f>(J2-0) * (K2+0)</f>
        <v>0</v>
      </c>
      <c r="L12" s="8">
        <f t="shared" ref="L12" si="1">(K2-0) * (L2+0)</f>
        <v>0</v>
      </c>
      <c r="M12" s="8">
        <f>(J2-0) * (M2+0)</f>
        <v>5.9195678115596135E-4</v>
      </c>
      <c r="N12" s="8">
        <f>(J2-0) * (N2+0)</f>
        <v>1.6913050890170322E-4</v>
      </c>
      <c r="O12" s="8">
        <f>(J2-0) * (O2+0)</f>
        <v>7.2162350464726724E-4</v>
      </c>
      <c r="P12" s="8">
        <f>(J2-0) * (P2+0)</f>
        <v>3.0067646026969464E-4</v>
      </c>
    </row>
    <row r="13" spans="1:16" x14ac:dyDescent="0.3">
      <c r="B13" s="8" t="s">
        <v>50</v>
      </c>
      <c r="C13" s="9">
        <f t="shared" ref="C13:C19" si="2">C3-B3</f>
        <v>-8.7748537206726648E-3</v>
      </c>
      <c r="D13" s="9">
        <f t="shared" ref="D13:D19" si="3">D3-B3</f>
        <v>7.6877313133409432E-3</v>
      </c>
      <c r="E13" s="9">
        <f t="shared" ref="E13:E19" si="4">E3-B3</f>
        <v>-1.8978935353325725E-2</v>
      </c>
      <c r="F13" s="9">
        <f t="shared" ref="F13:F19" si="5">F3-B3</f>
        <v>-1.8978935353325725E-2</v>
      </c>
      <c r="G13" s="9">
        <f t="shared" ref="G13:G19" si="6">G3-B3</f>
        <v>-9.4551258295162005E-3</v>
      </c>
      <c r="H13" s="9">
        <f t="shared" ref="H13:H19" si="7">H3-B3</f>
        <v>-1.8978935353325725E-2</v>
      </c>
      <c r="J13" s="8" t="s">
        <v>50</v>
      </c>
      <c r="K13" s="8">
        <f>(J3-J2) * (K3+K2)</f>
        <v>1.9366260564618085E-4</v>
      </c>
      <c r="L13" s="8">
        <f>(J3-J2) * (L3+L2)</f>
        <v>1.0122098855107054E-3</v>
      </c>
      <c r="M13" s="8">
        <f>(J3-J2) * (M3+M2)</f>
        <v>1.1861834595828578E-3</v>
      </c>
      <c r="N13" s="8">
        <f>(J3-J2) * (N3+N2)</f>
        <v>3.3890955988081649E-4</v>
      </c>
      <c r="O13" s="8">
        <f>(J3-J2) * (O3+O2)</f>
        <v>1.6267658874279194E-3</v>
      </c>
      <c r="P13" s="8">
        <f>(J3-J2) * (P3+P2)</f>
        <v>6.0250588423256264E-4</v>
      </c>
    </row>
    <row r="14" spans="1:16" x14ac:dyDescent="0.3">
      <c r="B14" s="8" t="s">
        <v>51</v>
      </c>
      <c r="C14" s="9">
        <f t="shared" si="2"/>
        <v>1.3923801335414404E-4</v>
      </c>
      <c r="D14" s="9">
        <f t="shared" si="3"/>
        <v>-1.2037632734945175E-2</v>
      </c>
      <c r="E14" s="9">
        <f t="shared" si="4"/>
        <v>-2.537096606827851E-2</v>
      </c>
      <c r="F14" s="9">
        <f t="shared" si="5"/>
        <v>1.0343319646007203E-2</v>
      </c>
      <c r="G14" s="9">
        <f t="shared" si="6"/>
        <v>-6.3233470206594602E-3</v>
      </c>
      <c r="H14" s="9">
        <f t="shared" si="7"/>
        <v>-9.4979501952626375E-3</v>
      </c>
      <c r="J14" s="8" t="s">
        <v>51</v>
      </c>
      <c r="K14" s="8">
        <f t="shared" ref="K14:K19" si="8">(J4-J3) * (K4+K3)</f>
        <v>1.1649933398699315E-3</v>
      </c>
      <c r="L14" s="8">
        <f t="shared" ref="L14:L19" si="9">(J4-J3) * (L4+L3)</f>
        <v>2.3679568330393277E-3</v>
      </c>
      <c r="M14" s="8">
        <f t="shared" ref="M14:M19" si="10">(J4-J3) * (M4+M3)</f>
        <v>1.5856853792674068E-3</v>
      </c>
      <c r="N14" s="8">
        <f t="shared" ref="N14:N19" si="11">(J4-J3) * (N4+N3)</f>
        <v>1.3591588965149199E-3</v>
      </c>
      <c r="O14" s="8">
        <f t="shared" ref="O14:O19" si="12">(J4-J3) * (O4+O3)</f>
        <v>2.8995389792318299E-3</v>
      </c>
      <c r="P14" s="8">
        <f t="shared" ref="P14:P19" si="13">(J4-J3) * (P4+P3)</f>
        <v>1.2081412413465957E-3</v>
      </c>
    </row>
    <row r="15" spans="1:16" x14ac:dyDescent="0.3">
      <c r="B15" s="8" t="s">
        <v>52</v>
      </c>
      <c r="C15" s="9">
        <f t="shared" si="2"/>
        <v>2.6825500356830498E-2</v>
      </c>
      <c r="D15" s="9">
        <f t="shared" si="3"/>
        <v>-8.5486493030334509E-3</v>
      </c>
      <c r="E15" s="9">
        <f t="shared" si="4"/>
        <v>-5.9590315969700117E-2</v>
      </c>
      <c r="F15" s="9">
        <f t="shared" si="5"/>
        <v>0.11228468403029988</v>
      </c>
      <c r="G15" s="9">
        <f t="shared" si="6"/>
        <v>-3.7120077874462018E-2</v>
      </c>
      <c r="H15" s="9">
        <f t="shared" si="7"/>
        <v>-2.75962683506525E-2</v>
      </c>
      <c r="J15" s="8" t="s">
        <v>52</v>
      </c>
      <c r="K15" s="8">
        <f t="shared" si="8"/>
        <v>1.3047554811070426E-2</v>
      </c>
      <c r="L15" s="8">
        <f t="shared" si="9"/>
        <v>1.303732143474802E-2</v>
      </c>
      <c r="M15" s="8">
        <f t="shared" si="10"/>
        <v>5.8761965601328214E-3</v>
      </c>
      <c r="N15" s="8">
        <f t="shared" si="11"/>
        <v>2.0818524955899139E-2</v>
      </c>
      <c r="O15" s="8">
        <f t="shared" si="12"/>
        <v>1.2894054166234308E-2</v>
      </c>
      <c r="P15" s="8">
        <f t="shared" si="13"/>
        <v>8.3572573299666789E-3</v>
      </c>
    </row>
    <row r="16" spans="1:16" x14ac:dyDescent="0.3">
      <c r="B16" s="8" t="s">
        <v>53</v>
      </c>
      <c r="C16" s="9">
        <f t="shared" si="2"/>
        <v>8.2010766327907103E-2</v>
      </c>
      <c r="D16" s="9">
        <f t="shared" si="3"/>
        <v>0.14541212687212479</v>
      </c>
      <c r="E16" s="9">
        <f t="shared" si="4"/>
        <v>0.12187046020545814</v>
      </c>
      <c r="F16" s="9">
        <f t="shared" si="5"/>
        <v>3.4816888776886712E-2</v>
      </c>
      <c r="G16" s="9">
        <f t="shared" si="6"/>
        <v>9.0174031634029567E-2</v>
      </c>
      <c r="H16" s="9">
        <f t="shared" si="7"/>
        <v>9.334863480863273E-2</v>
      </c>
      <c r="J16" s="8" t="s">
        <v>53</v>
      </c>
      <c r="K16" s="8">
        <f t="shared" si="8"/>
        <v>3.5652502154747953E-2</v>
      </c>
      <c r="L16" s="8">
        <f t="shared" si="9"/>
        <v>3.7918785237452873E-2</v>
      </c>
      <c r="M16" s="8">
        <f t="shared" si="10"/>
        <v>2.4122441501504617E-2</v>
      </c>
      <c r="N16" s="8">
        <f t="shared" si="11"/>
        <v>4.7156652559332324E-2</v>
      </c>
      <c r="O16" s="8">
        <f t="shared" si="12"/>
        <v>3.0954110397920714E-2</v>
      </c>
      <c r="P16" s="8">
        <f t="shared" si="13"/>
        <v>2.7084846598180619E-2</v>
      </c>
    </row>
    <row r="17" spans="2:16" x14ac:dyDescent="0.3">
      <c r="B17" s="8" t="s">
        <v>54</v>
      </c>
      <c r="C17" s="9">
        <f t="shared" si="2"/>
        <v>-3.4426307619654692E-2</v>
      </c>
      <c r="D17" s="9">
        <f t="shared" si="3"/>
        <v>-1.8780049116253333E-2</v>
      </c>
      <c r="E17" s="9">
        <f t="shared" si="4"/>
        <v>8.3032842170800009E-3</v>
      </c>
      <c r="F17" s="9">
        <f t="shared" si="5"/>
        <v>-1.4018144354348575E-2</v>
      </c>
      <c r="G17" s="9">
        <f t="shared" si="6"/>
        <v>-5.6875287211491432E-2</v>
      </c>
      <c r="H17" s="9">
        <f t="shared" si="7"/>
        <v>-3.7827668163872383E-2</v>
      </c>
      <c r="J17" s="8" t="s">
        <v>54</v>
      </c>
      <c r="K17" s="8">
        <f t="shared" si="8"/>
        <v>5.5801936837825285E-2</v>
      </c>
      <c r="L17" s="8">
        <f t="shared" si="9"/>
        <v>6.4939503995019188E-2</v>
      </c>
      <c r="M17" s="8">
        <f t="shared" si="10"/>
        <v>5.0733987496108739E-2</v>
      </c>
      <c r="N17" s="8">
        <f t="shared" si="11"/>
        <v>6.5610871047599273E-2</v>
      </c>
      <c r="O17" s="8">
        <f t="shared" si="12"/>
        <v>4.9640472978648757E-2</v>
      </c>
      <c r="P17" s="8">
        <f t="shared" si="13"/>
        <v>4.7470397657177775E-2</v>
      </c>
    </row>
    <row r="18" spans="2:16" x14ac:dyDescent="0.3">
      <c r="B18" s="8" t="s">
        <v>55</v>
      </c>
      <c r="C18" s="9">
        <f t="shared" si="2"/>
        <v>9.7232181240245408E-2</v>
      </c>
      <c r="D18" s="9">
        <f t="shared" si="3"/>
        <v>9.7367783888485659E-4</v>
      </c>
      <c r="E18" s="9">
        <f t="shared" si="4"/>
        <v>0.18014034450555153</v>
      </c>
      <c r="F18" s="9">
        <f t="shared" si="5"/>
        <v>0.21585463021983722</v>
      </c>
      <c r="G18" s="9">
        <f t="shared" si="6"/>
        <v>0.24859272545793246</v>
      </c>
      <c r="H18" s="9">
        <f t="shared" si="7"/>
        <v>0.28033875720396417</v>
      </c>
      <c r="J18" s="8" t="s">
        <v>55</v>
      </c>
      <c r="K18" s="8">
        <f t="shared" si="8"/>
        <v>0.12358069875246973</v>
      </c>
      <c r="L18" s="8">
        <f t="shared" si="9"/>
        <v>0.12706526927467052</v>
      </c>
      <c r="M18" s="8">
        <f t="shared" si="10"/>
        <v>0.13235965549444845</v>
      </c>
      <c r="N18" s="8">
        <f t="shared" si="11"/>
        <v>0.15717709089965753</v>
      </c>
      <c r="O18" s="8">
        <f t="shared" si="12"/>
        <v>0.13109908734688228</v>
      </c>
      <c r="P18" s="8">
        <f t="shared" si="13"/>
        <v>0.13446060240705873</v>
      </c>
    </row>
    <row r="19" spans="2:16" x14ac:dyDescent="0.3">
      <c r="B19" s="8" t="s">
        <v>56</v>
      </c>
      <c r="C19" s="9">
        <f t="shared" si="2"/>
        <v>-0.14406390760101906</v>
      </c>
      <c r="D19" s="9">
        <f t="shared" si="3"/>
        <v>-0.10909792120646128</v>
      </c>
      <c r="E19" s="9">
        <f t="shared" si="4"/>
        <v>-0.21868125453979459</v>
      </c>
      <c r="F19" s="9">
        <f t="shared" si="5"/>
        <v>-0.33028839739693744</v>
      </c>
      <c r="G19" s="9">
        <f t="shared" si="6"/>
        <v>-0.24814554025408031</v>
      </c>
      <c r="H19" s="9">
        <f t="shared" si="7"/>
        <v>-0.27671696882550889</v>
      </c>
      <c r="J19" s="8" t="s">
        <v>56</v>
      </c>
      <c r="K19" s="8">
        <f t="shared" si="8"/>
        <v>0.88955963728232823</v>
      </c>
      <c r="L19" s="8">
        <f t="shared" si="9"/>
        <v>0.86989367368821557</v>
      </c>
      <c r="M19" s="8">
        <f t="shared" si="10"/>
        <v>0.93152676533153478</v>
      </c>
      <c r="N19" s="8">
        <f t="shared" si="11"/>
        <v>0.99429811070427965</v>
      </c>
      <c r="O19" s="8">
        <f t="shared" si="12"/>
        <v>0.94809840050993943</v>
      </c>
      <c r="P19" s="8">
        <f t="shared" si="13"/>
        <v>0.96416786492536199</v>
      </c>
    </row>
    <row r="20" spans="2:16" x14ac:dyDescent="0.3">
      <c r="J20" s="12" t="s">
        <v>47</v>
      </c>
      <c r="K20" s="12">
        <f>SUM(K12:K19)</f>
        <v>1.1190009857839578</v>
      </c>
      <c r="L20" s="12">
        <f t="shared" ref="L20:P20" si="14">SUM(L12:L19)</f>
        <v>1.1162347203486562</v>
      </c>
      <c r="M20" s="12">
        <f t="shared" si="14"/>
        <v>1.1479828720037357</v>
      </c>
      <c r="N20" s="12">
        <f t="shared" si="14"/>
        <v>1.2869284491320654</v>
      </c>
      <c r="O20" s="12">
        <f t="shared" si="14"/>
        <v>1.1779340537709324</v>
      </c>
      <c r="P20" s="12">
        <f t="shared" si="14"/>
        <v>1.1836522925035946</v>
      </c>
    </row>
    <row r="21" spans="2:16" x14ac:dyDescent="0.3">
      <c r="J21" s="15" t="s">
        <v>48</v>
      </c>
      <c r="K21" s="15">
        <f>1-K20</f>
        <v>-0.11900098578395779</v>
      </c>
      <c r="L21" s="15">
        <f t="shared" ref="L21:P21" si="15">1-L20</f>
        <v>-0.11623472034865623</v>
      </c>
      <c r="M21" s="15">
        <f t="shared" si="15"/>
        <v>-0.14798287200373572</v>
      </c>
      <c r="N21" s="15">
        <f t="shared" si="15"/>
        <v>-0.28692844913206539</v>
      </c>
      <c r="O21" s="15">
        <f t="shared" si="15"/>
        <v>-0.17793405377093241</v>
      </c>
      <c r="P21" s="15">
        <f t="shared" si="15"/>
        <v>-0.18365229250359461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BEE0-F157-4CDC-83B5-218C4AE9FC5E}">
  <dimension ref="A1:P28"/>
  <sheetViews>
    <sheetView workbookViewId="0">
      <selection activeCell="A15" sqref="A15"/>
    </sheetView>
  </sheetViews>
  <sheetFormatPr defaultRowHeight="14.4" x14ac:dyDescent="0.3"/>
  <sheetData>
    <row r="1" spans="1:16" ht="36.6" customHeight="1" x14ac:dyDescent="0.3">
      <c r="A1" s="1" t="s">
        <v>27</v>
      </c>
      <c r="B1" s="2" t="s">
        <v>28</v>
      </c>
      <c r="C1" s="3" t="s">
        <v>29</v>
      </c>
      <c r="D1" s="3" t="s">
        <v>30</v>
      </c>
      <c r="E1" s="3" t="s">
        <v>31</v>
      </c>
      <c r="F1" s="2" t="s">
        <v>32</v>
      </c>
      <c r="G1" s="3" t="s">
        <v>33</v>
      </c>
      <c r="H1" s="3" t="s">
        <v>34</v>
      </c>
      <c r="I1" s="4" t="s">
        <v>28</v>
      </c>
      <c r="J1" s="5" t="s">
        <v>28</v>
      </c>
      <c r="K1" s="6" t="s">
        <v>29</v>
      </c>
      <c r="L1" s="6" t="s">
        <v>30</v>
      </c>
      <c r="M1" s="6" t="s">
        <v>31</v>
      </c>
      <c r="N1" s="7" t="s">
        <v>32</v>
      </c>
      <c r="O1" s="6" t="s">
        <v>33</v>
      </c>
      <c r="P1" s="6" t="s">
        <v>34</v>
      </c>
    </row>
    <row r="2" spans="1:16" x14ac:dyDescent="0.3">
      <c r="A2" s="9" t="s">
        <v>9</v>
      </c>
      <c r="B2" s="17">
        <v>1.6874632485825415E-2</v>
      </c>
      <c r="C2" s="17">
        <v>7.5187969924812026E-3</v>
      </c>
      <c r="D2" s="17">
        <v>0</v>
      </c>
      <c r="E2" s="17">
        <v>2.7027027027027029E-2</v>
      </c>
      <c r="F2" s="17">
        <v>1.7543859649122806E-2</v>
      </c>
      <c r="G2" s="17">
        <v>0</v>
      </c>
      <c r="H2" s="17">
        <v>0</v>
      </c>
      <c r="I2" s="18">
        <v>1.6874632485825415E-2</v>
      </c>
      <c r="J2" s="18">
        <v>1.6874632485825415E-2</v>
      </c>
      <c r="K2" s="18">
        <v>7.5187969924812026E-3</v>
      </c>
      <c r="L2" s="18">
        <v>0</v>
      </c>
      <c r="M2" s="18">
        <v>2.7027027027027029E-2</v>
      </c>
      <c r="N2" s="18">
        <v>1.7543859649122806E-2</v>
      </c>
      <c r="O2" s="18">
        <v>0</v>
      </c>
      <c r="P2" s="18">
        <v>0</v>
      </c>
    </row>
    <row r="3" spans="1:16" x14ac:dyDescent="0.3">
      <c r="A3" s="9" t="s">
        <v>18</v>
      </c>
      <c r="B3" s="17">
        <v>2.3008410342725511E-2</v>
      </c>
      <c r="C3" s="17">
        <v>2.2556390977443608E-2</v>
      </c>
      <c r="D3" s="17">
        <v>5.1724137931034482E-2</v>
      </c>
      <c r="E3" s="17">
        <v>0</v>
      </c>
      <c r="F3" s="17">
        <v>1.7543859649122806E-2</v>
      </c>
      <c r="G3" s="17">
        <v>0.125</v>
      </c>
      <c r="H3" s="17">
        <v>0</v>
      </c>
      <c r="I3" s="9">
        <v>3.988304282855093E-2</v>
      </c>
      <c r="J3" s="9">
        <f>J2+B3</f>
        <v>3.988304282855093E-2</v>
      </c>
      <c r="K3" s="9">
        <f>K2+C3</f>
        <v>3.007518796992481E-2</v>
      </c>
      <c r="L3" s="9">
        <f t="shared" ref="L3:P12" si="0">L2+D3</f>
        <v>5.1724137931034482E-2</v>
      </c>
      <c r="M3" s="9">
        <f t="shared" si="0"/>
        <v>2.7027027027027029E-2</v>
      </c>
      <c r="N3" s="9">
        <f t="shared" si="0"/>
        <v>3.5087719298245612E-2</v>
      </c>
      <c r="O3" s="9">
        <f t="shared" si="0"/>
        <v>0.125</v>
      </c>
      <c r="P3" s="9">
        <f t="shared" si="0"/>
        <v>0</v>
      </c>
    </row>
    <row r="4" spans="1:16" x14ac:dyDescent="0.3">
      <c r="A4" s="9" t="s">
        <v>17</v>
      </c>
      <c r="B4" s="17">
        <v>3.4035184256097362E-2</v>
      </c>
      <c r="C4" s="17">
        <v>2.2556390977443608E-2</v>
      </c>
      <c r="D4" s="17">
        <v>0</v>
      </c>
      <c r="E4" s="17">
        <v>5.4054054054054057E-2</v>
      </c>
      <c r="F4" s="17">
        <v>1.7543859649122806E-2</v>
      </c>
      <c r="G4" s="17">
        <v>0.05</v>
      </c>
      <c r="H4" s="17">
        <v>0</v>
      </c>
      <c r="I4" s="9">
        <v>7.3918227084648291E-2</v>
      </c>
      <c r="J4" s="9">
        <f t="shared" ref="J4:K12" si="1">J3+B4</f>
        <v>7.3918227084648291E-2</v>
      </c>
      <c r="K4" s="9">
        <f t="shared" si="1"/>
        <v>5.2631578947368418E-2</v>
      </c>
      <c r="L4" s="9">
        <f t="shared" si="0"/>
        <v>5.1724137931034482E-2</v>
      </c>
      <c r="M4" s="9">
        <f t="shared" si="0"/>
        <v>8.1081081081081086E-2</v>
      </c>
      <c r="N4" s="9">
        <f t="shared" si="0"/>
        <v>5.2631578947368418E-2</v>
      </c>
      <c r="O4" s="9">
        <f t="shared" si="0"/>
        <v>0.17499999999999999</v>
      </c>
      <c r="P4" s="9">
        <f t="shared" si="0"/>
        <v>0</v>
      </c>
    </row>
    <row r="5" spans="1:16" x14ac:dyDescent="0.3">
      <c r="A5" s="9" t="s">
        <v>15</v>
      </c>
      <c r="B5" s="17">
        <v>3.501702028947979E-2</v>
      </c>
      <c r="C5" s="17">
        <v>7.5187969924812026E-3</v>
      </c>
      <c r="D5" s="17">
        <v>3.4482758620689655E-2</v>
      </c>
      <c r="E5" s="17">
        <v>0</v>
      </c>
      <c r="F5" s="17">
        <v>1.7543859649122806E-2</v>
      </c>
      <c r="G5" s="17">
        <v>2.5000000000000001E-2</v>
      </c>
      <c r="H5" s="17">
        <v>0.19444444444444445</v>
      </c>
      <c r="I5" s="9">
        <v>0.10893524737412807</v>
      </c>
      <c r="J5" s="9">
        <f t="shared" si="1"/>
        <v>0.10893524737412807</v>
      </c>
      <c r="K5" s="9">
        <f t="shared" si="1"/>
        <v>6.0150375939849621E-2</v>
      </c>
      <c r="L5" s="9">
        <f t="shared" si="0"/>
        <v>8.6206896551724144E-2</v>
      </c>
      <c r="M5" s="9">
        <f t="shared" si="0"/>
        <v>8.1081081081081086E-2</v>
      </c>
      <c r="N5" s="9">
        <f t="shared" si="0"/>
        <v>7.0175438596491224E-2</v>
      </c>
      <c r="O5" s="9">
        <f t="shared" si="0"/>
        <v>0.19999999999999998</v>
      </c>
      <c r="P5" s="9">
        <f t="shared" si="0"/>
        <v>0.19444444444444445</v>
      </c>
    </row>
    <row r="6" spans="1:16" x14ac:dyDescent="0.3">
      <c r="A6" s="9" t="s">
        <v>14</v>
      </c>
      <c r="B6" s="17">
        <v>4.121553458814136E-2</v>
      </c>
      <c r="C6" s="17">
        <v>7.5187969924812026E-3</v>
      </c>
      <c r="D6" s="17">
        <v>3.4482758620689655E-2</v>
      </c>
      <c r="E6" s="17">
        <v>8.1081081081081086E-2</v>
      </c>
      <c r="F6" s="17">
        <v>0.10526315789473684</v>
      </c>
      <c r="G6" s="17">
        <v>2.5000000000000001E-2</v>
      </c>
      <c r="H6" s="17">
        <v>8.3333333333333329E-2</v>
      </c>
      <c r="I6" s="9">
        <v>0.15015078196226944</v>
      </c>
      <c r="J6" s="9">
        <f t="shared" si="1"/>
        <v>0.15015078196226944</v>
      </c>
      <c r="K6" s="9">
        <f t="shared" si="1"/>
        <v>6.7669172932330823E-2</v>
      </c>
      <c r="L6" s="9">
        <f t="shared" si="0"/>
        <v>0.1206896551724138</v>
      </c>
      <c r="M6" s="9">
        <f t="shared" si="0"/>
        <v>0.16216216216216217</v>
      </c>
      <c r="N6" s="9">
        <f t="shared" si="0"/>
        <v>0.17543859649122806</v>
      </c>
      <c r="O6" s="9">
        <f t="shared" si="0"/>
        <v>0.22499999999999998</v>
      </c>
      <c r="P6" s="9">
        <f t="shared" si="0"/>
        <v>0.27777777777777779</v>
      </c>
    </row>
    <row r="7" spans="1:16" x14ac:dyDescent="0.3">
      <c r="A7" s="9" t="s">
        <v>8</v>
      </c>
      <c r="B7" s="17">
        <v>5.4502689259684843E-2</v>
      </c>
      <c r="C7" s="17">
        <v>2.2556390977443608E-2</v>
      </c>
      <c r="D7" s="17">
        <v>1.7241379310344827E-2</v>
      </c>
      <c r="E7" s="17">
        <v>8.1081081081081086E-2</v>
      </c>
      <c r="F7" s="17">
        <v>1.7543859649122806E-2</v>
      </c>
      <c r="G7" s="17">
        <v>0.05</v>
      </c>
      <c r="H7" s="17">
        <v>0</v>
      </c>
      <c r="I7" s="9">
        <v>0.20465347122195429</v>
      </c>
      <c r="J7" s="9">
        <f t="shared" si="1"/>
        <v>0.20465347122195429</v>
      </c>
      <c r="K7" s="9">
        <f t="shared" si="1"/>
        <v>9.0225563909774431E-2</v>
      </c>
      <c r="L7" s="9">
        <f t="shared" si="0"/>
        <v>0.13793103448275862</v>
      </c>
      <c r="M7" s="9">
        <f t="shared" si="0"/>
        <v>0.24324324324324326</v>
      </c>
      <c r="N7" s="9">
        <f t="shared" si="0"/>
        <v>0.19298245614035087</v>
      </c>
      <c r="O7" s="9">
        <f t="shared" si="0"/>
        <v>0.27499999999999997</v>
      </c>
      <c r="P7" s="9">
        <f t="shared" si="0"/>
        <v>0.27777777777777779</v>
      </c>
    </row>
    <row r="8" spans="1:16" x14ac:dyDescent="0.3">
      <c r="A8" s="9" t="s">
        <v>16</v>
      </c>
      <c r="B8" s="17">
        <v>6.7137084810133404E-2</v>
      </c>
      <c r="C8" s="17">
        <v>6.0150375939849621E-2</v>
      </c>
      <c r="D8" s="17">
        <v>3.4482758620689655E-2</v>
      </c>
      <c r="E8" s="17">
        <v>0</v>
      </c>
      <c r="F8" s="17">
        <v>3.5087719298245612E-2</v>
      </c>
      <c r="G8" s="17">
        <v>0</v>
      </c>
      <c r="H8" s="17">
        <v>0</v>
      </c>
      <c r="I8" s="9">
        <v>0.27179055603208768</v>
      </c>
      <c r="J8" s="9">
        <f t="shared" si="1"/>
        <v>0.27179055603208768</v>
      </c>
      <c r="K8" s="9">
        <f t="shared" si="1"/>
        <v>0.15037593984962405</v>
      </c>
      <c r="L8" s="9">
        <f t="shared" si="0"/>
        <v>0.17241379310344829</v>
      </c>
      <c r="M8" s="9">
        <f t="shared" si="0"/>
        <v>0.24324324324324326</v>
      </c>
      <c r="N8" s="9">
        <f t="shared" si="0"/>
        <v>0.22807017543859648</v>
      </c>
      <c r="O8" s="9">
        <f t="shared" si="0"/>
        <v>0.27499999999999997</v>
      </c>
      <c r="P8" s="9">
        <f t="shared" si="0"/>
        <v>0.27777777777777779</v>
      </c>
    </row>
    <row r="9" spans="1:16" x14ac:dyDescent="0.3">
      <c r="A9" s="9" t="s">
        <v>12</v>
      </c>
      <c r="B9" s="17">
        <v>8.3677245680191192E-2</v>
      </c>
      <c r="C9" s="17">
        <v>2.2556390977443608E-2</v>
      </c>
      <c r="D9" s="17">
        <v>3.4482758620689655E-2</v>
      </c>
      <c r="E9" s="17">
        <v>0.16216216216216217</v>
      </c>
      <c r="F9" s="17">
        <v>3.5087719298245612E-2</v>
      </c>
      <c r="G9" s="17">
        <v>0</v>
      </c>
      <c r="H9" s="17">
        <v>0</v>
      </c>
      <c r="I9" s="9">
        <v>0.35546780171227887</v>
      </c>
      <c r="J9" s="9">
        <f t="shared" si="1"/>
        <v>0.35546780171227887</v>
      </c>
      <c r="K9" s="9">
        <f t="shared" si="1"/>
        <v>0.17293233082706766</v>
      </c>
      <c r="L9" s="9">
        <f t="shared" si="0"/>
        <v>0.20689655172413796</v>
      </c>
      <c r="M9" s="9">
        <f t="shared" si="0"/>
        <v>0.40540540540540543</v>
      </c>
      <c r="N9" s="9">
        <f t="shared" si="0"/>
        <v>0.26315789473684209</v>
      </c>
      <c r="O9" s="9">
        <f t="shared" si="0"/>
        <v>0.27499999999999997</v>
      </c>
      <c r="P9" s="9">
        <f t="shared" si="0"/>
        <v>0.27777777777777779</v>
      </c>
    </row>
    <row r="10" spans="1:16" x14ac:dyDescent="0.3">
      <c r="A10" s="9" t="s">
        <v>10</v>
      </c>
      <c r="B10" s="17">
        <v>0.10177647585600458</v>
      </c>
      <c r="C10" s="17">
        <v>3.007518796992481E-2</v>
      </c>
      <c r="D10" s="17">
        <v>3.4482758620689655E-2</v>
      </c>
      <c r="E10" s="17">
        <v>0.16216216216216217</v>
      </c>
      <c r="F10" s="17">
        <v>5.2631578947368418E-2</v>
      </c>
      <c r="G10" s="17">
        <v>2.5000000000000001E-2</v>
      </c>
      <c r="H10" s="17">
        <v>2.7777777777777776E-2</v>
      </c>
      <c r="I10" s="9">
        <v>0.45724427756828345</v>
      </c>
      <c r="J10" s="9">
        <f t="shared" si="1"/>
        <v>0.45724427756828345</v>
      </c>
      <c r="K10" s="9">
        <f t="shared" si="1"/>
        <v>0.20300751879699247</v>
      </c>
      <c r="L10" s="9">
        <f t="shared" si="0"/>
        <v>0.24137931034482762</v>
      </c>
      <c r="M10" s="9">
        <f t="shared" si="0"/>
        <v>0.56756756756756754</v>
      </c>
      <c r="N10" s="9">
        <f t="shared" si="0"/>
        <v>0.31578947368421051</v>
      </c>
      <c r="O10" s="9">
        <f t="shared" si="0"/>
        <v>0.3</v>
      </c>
      <c r="P10" s="9">
        <f t="shared" si="0"/>
        <v>0.30555555555555558</v>
      </c>
    </row>
    <row r="11" spans="1:16" x14ac:dyDescent="0.3">
      <c r="A11" s="9" t="s">
        <v>13</v>
      </c>
      <c r="B11" s="17">
        <v>0.21633300425642105</v>
      </c>
      <c r="C11" s="17">
        <v>0.19548872180451127</v>
      </c>
      <c r="D11" s="17">
        <v>0.34482758620689657</v>
      </c>
      <c r="E11" s="17">
        <v>0.16216216216216217</v>
      </c>
      <c r="F11" s="17">
        <v>0.43859649122807015</v>
      </c>
      <c r="G11" s="17">
        <v>0.55000000000000004</v>
      </c>
      <c r="H11" s="17">
        <v>0.44444444444444442</v>
      </c>
      <c r="I11" s="9">
        <v>0.67357728182470455</v>
      </c>
      <c r="J11" s="9">
        <f t="shared" si="1"/>
        <v>0.67357728182470455</v>
      </c>
      <c r="K11" s="9">
        <f t="shared" si="1"/>
        <v>0.39849624060150374</v>
      </c>
      <c r="L11" s="9">
        <f t="shared" si="0"/>
        <v>0.5862068965517242</v>
      </c>
      <c r="M11" s="9">
        <f t="shared" si="0"/>
        <v>0.72972972972972971</v>
      </c>
      <c r="N11" s="9">
        <f t="shared" si="0"/>
        <v>0.7543859649122806</v>
      </c>
      <c r="O11" s="9">
        <f t="shared" si="0"/>
        <v>0.85000000000000009</v>
      </c>
      <c r="P11" s="9">
        <f t="shared" si="0"/>
        <v>0.75</v>
      </c>
    </row>
    <row r="12" spans="1:16" x14ac:dyDescent="0.3">
      <c r="A12" s="9" t="s">
        <v>11</v>
      </c>
      <c r="B12" s="17">
        <v>0.3264227181752955</v>
      </c>
      <c r="C12" s="17">
        <v>0.60150375939849621</v>
      </c>
      <c r="D12" s="17">
        <v>0.41379310344827586</v>
      </c>
      <c r="E12" s="17">
        <v>0.27027027027027029</v>
      </c>
      <c r="F12" s="17">
        <v>0.24561403508771928</v>
      </c>
      <c r="G12" s="17">
        <v>0.15</v>
      </c>
      <c r="H12" s="17">
        <v>0.25</v>
      </c>
      <c r="I12" s="9">
        <v>1</v>
      </c>
      <c r="J12" s="9">
        <f t="shared" si="1"/>
        <v>1</v>
      </c>
      <c r="K12" s="9">
        <f t="shared" si="1"/>
        <v>1</v>
      </c>
      <c r="L12" s="9">
        <f t="shared" si="0"/>
        <v>1</v>
      </c>
      <c r="M12" s="9">
        <f t="shared" si="0"/>
        <v>1</v>
      </c>
      <c r="N12" s="9">
        <f t="shared" si="0"/>
        <v>0.99999999999999989</v>
      </c>
      <c r="O12" s="9">
        <f t="shared" si="0"/>
        <v>1</v>
      </c>
      <c r="P12" s="9">
        <f t="shared" si="0"/>
        <v>1</v>
      </c>
    </row>
    <row r="15" spans="1:16" ht="28.8" x14ac:dyDescent="0.3">
      <c r="B15" s="10" t="s">
        <v>27</v>
      </c>
      <c r="C15" s="11" t="s">
        <v>35</v>
      </c>
      <c r="D15" s="11" t="s">
        <v>36</v>
      </c>
      <c r="E15" s="11" t="s">
        <v>37</v>
      </c>
      <c r="F15" s="11" t="s">
        <v>38</v>
      </c>
      <c r="G15" s="11" t="s">
        <v>39</v>
      </c>
      <c r="H15" s="11" t="s">
        <v>40</v>
      </c>
      <c r="J15" s="8"/>
      <c r="K15" s="12" t="s">
        <v>41</v>
      </c>
      <c r="L15" s="12" t="s">
        <v>42</v>
      </c>
      <c r="M15" s="12" t="s">
        <v>43</v>
      </c>
      <c r="N15" s="12" t="s">
        <v>44</v>
      </c>
      <c r="O15" s="12" t="s">
        <v>45</v>
      </c>
      <c r="P15" s="12" t="s">
        <v>46</v>
      </c>
    </row>
    <row r="16" spans="1:16" x14ac:dyDescent="0.3">
      <c r="B16" s="9" t="s">
        <v>9</v>
      </c>
      <c r="C16" s="9">
        <f>C2-B2</f>
        <v>-9.3558354933442126E-3</v>
      </c>
      <c r="D16" s="9">
        <f>D2-B2</f>
        <v>-1.6874632485825415E-2</v>
      </c>
      <c r="E16" s="9">
        <f>E2-B2</f>
        <v>1.0152394541201613E-2</v>
      </c>
      <c r="F16" s="9">
        <f>F2-B2</f>
        <v>6.692271632973909E-4</v>
      </c>
      <c r="G16" s="9">
        <f>G2-B2</f>
        <v>-1.6874632485825415E-2</v>
      </c>
      <c r="H16" s="9">
        <f>H2-B2</f>
        <v>-1.6874632485825415E-2</v>
      </c>
      <c r="J16" s="9" t="s">
        <v>9</v>
      </c>
      <c r="K16" s="8">
        <f>(J2-0) * ((K2+0))</f>
        <v>1.2687693598364974E-4</v>
      </c>
      <c r="L16" s="8">
        <f>(J2-0) * ((L2+0))</f>
        <v>0</v>
      </c>
      <c r="M16" s="8">
        <f>(J2-0) * ((M2+0))</f>
        <v>4.560711482655518E-4</v>
      </c>
      <c r="N16" s="8">
        <f>(J2-0) * ((N2+0))</f>
        <v>2.9604618396184939E-4</v>
      </c>
      <c r="O16" s="8">
        <f>(J2-0) * ((O2+0))</f>
        <v>0</v>
      </c>
      <c r="P16" s="8">
        <f>(J2-0) * ((P2+0))</f>
        <v>0</v>
      </c>
    </row>
    <row r="17" spans="2:16" x14ac:dyDescent="0.3">
      <c r="B17" s="9" t="s">
        <v>18</v>
      </c>
      <c r="C17" s="9">
        <f t="shared" ref="C17:C26" si="2">C3-B3</f>
        <v>-4.5201936528190337E-4</v>
      </c>
      <c r="D17" s="9">
        <f t="shared" ref="D17:D26" si="3">D3-B3</f>
        <v>2.8715727588308971E-2</v>
      </c>
      <c r="E17" s="9">
        <f t="shared" ref="E17:E26" si="4">E3-B3</f>
        <v>-2.3008410342725511E-2</v>
      </c>
      <c r="F17" s="9">
        <f t="shared" ref="F17:F26" si="5">F3-B3</f>
        <v>-5.4645506936027051E-3</v>
      </c>
      <c r="G17" s="9">
        <f t="shared" ref="G17:G26" si="6">G3-B3</f>
        <v>0.10199158965727449</v>
      </c>
      <c r="H17" s="9">
        <f t="shared" ref="H17:H26" si="7">H3-B3</f>
        <v>-2.3008410342725511E-2</v>
      </c>
      <c r="J17" s="9" t="s">
        <v>18</v>
      </c>
      <c r="K17" s="8">
        <f>(J3-J2) * ((K3+K2))</f>
        <v>8.6497783243329001E-4</v>
      </c>
      <c r="L17" s="8">
        <f>(J3-J2) * ((L3+L2))</f>
        <v>1.1900901901409748E-3</v>
      </c>
      <c r="M17" s="8">
        <f>(J3-J2) * ((M3+M2))</f>
        <v>1.2436978563635415E-3</v>
      </c>
      <c r="N17" s="8">
        <f>(J3-J2) * ((N3+N2))</f>
        <v>1.210968965406606E-3</v>
      </c>
      <c r="O17" s="8">
        <f>(J3-J2) * ((O3+O2))</f>
        <v>2.8760512928406893E-3</v>
      </c>
      <c r="P17" s="8">
        <f>(J3-J2) * ((P3+P2))</f>
        <v>0</v>
      </c>
    </row>
    <row r="18" spans="2:16" x14ac:dyDescent="0.3">
      <c r="B18" s="9" t="s">
        <v>17</v>
      </c>
      <c r="C18" s="9">
        <f t="shared" si="2"/>
        <v>-1.1478793278653754E-2</v>
      </c>
      <c r="D18" s="9">
        <f t="shared" si="3"/>
        <v>-3.4035184256097362E-2</v>
      </c>
      <c r="E18" s="9">
        <f t="shared" si="4"/>
        <v>2.0018869797956695E-2</v>
      </c>
      <c r="F18" s="9">
        <f t="shared" si="5"/>
        <v>-1.6491324606974556E-2</v>
      </c>
      <c r="G18" s="9">
        <f t="shared" si="6"/>
        <v>1.5964815743902641E-2</v>
      </c>
      <c r="H18" s="9">
        <f t="shared" si="7"/>
        <v>-3.4035184256097362E-2</v>
      </c>
      <c r="J18" s="9" t="s">
        <v>17</v>
      </c>
      <c r="K18" s="8">
        <f t="shared" ref="K18:K26" si="8">(J4-J3) * ((K4+K3))</f>
        <v>2.8149400512561726E-3</v>
      </c>
      <c r="L18" s="8">
        <f t="shared" ref="L18:L26" si="9">(J4-J3) * ((L4+L3))</f>
        <v>3.5208811299411065E-3</v>
      </c>
      <c r="M18" s="8">
        <f t="shared" ref="M18:M26" si="10">(J4-J3) * ((M4+M3))</f>
        <v>3.6794793790375529E-3</v>
      </c>
      <c r="N18" s="8">
        <f t="shared" ref="N18:N26" si="11">(J4-J3) * ((N4+N3))</f>
        <v>2.9855424786050314E-3</v>
      </c>
      <c r="O18" s="8">
        <f t="shared" ref="O18:O26" si="12">(J4-J3) * ((O4+O3))</f>
        <v>1.0210555276829208E-2</v>
      </c>
      <c r="P18" s="8">
        <f t="shared" ref="P18:P26" si="13">(J4-J3) * ((P4+P3))</f>
        <v>0</v>
      </c>
    </row>
    <row r="19" spans="2:16" x14ac:dyDescent="0.3">
      <c r="B19" s="9" t="s">
        <v>15</v>
      </c>
      <c r="C19" s="9">
        <f t="shared" si="2"/>
        <v>-2.7498223296998588E-2</v>
      </c>
      <c r="D19" s="9">
        <f t="shared" si="3"/>
        <v>-5.3426166879013554E-4</v>
      </c>
      <c r="E19" s="9">
        <f t="shared" si="4"/>
        <v>-3.501702028947979E-2</v>
      </c>
      <c r="F19" s="9">
        <f t="shared" si="5"/>
        <v>-1.7473160640356984E-2</v>
      </c>
      <c r="G19" s="9">
        <f t="shared" si="6"/>
        <v>-1.0017020289479789E-2</v>
      </c>
      <c r="H19" s="9">
        <f t="shared" si="7"/>
        <v>0.15942742415496466</v>
      </c>
      <c r="J19" s="9" t="s">
        <v>15</v>
      </c>
      <c r="K19" s="8">
        <f t="shared" si="8"/>
        <v>3.9492880025729076E-3</v>
      </c>
      <c r="L19" s="8">
        <f t="shared" si="9"/>
        <v>4.8299338330316938E-3</v>
      </c>
      <c r="M19" s="8">
        <f t="shared" si="10"/>
        <v>5.6784357226183435E-3</v>
      </c>
      <c r="N19" s="8">
        <f t="shared" si="11"/>
        <v>4.3003358250238329E-3</v>
      </c>
      <c r="O19" s="8">
        <f t="shared" si="12"/>
        <v>1.3131382608554919E-2</v>
      </c>
      <c r="P19" s="8">
        <f t="shared" si="13"/>
        <v>6.8088650562877356E-3</v>
      </c>
    </row>
    <row r="20" spans="2:16" x14ac:dyDescent="0.3">
      <c r="B20" s="9" t="s">
        <v>14</v>
      </c>
      <c r="C20" s="9">
        <f t="shared" si="2"/>
        <v>-3.3696737595660158E-2</v>
      </c>
      <c r="D20" s="9">
        <f t="shared" si="3"/>
        <v>-6.7327759674517054E-3</v>
      </c>
      <c r="E20" s="9">
        <f t="shared" si="4"/>
        <v>3.9865546492939725E-2</v>
      </c>
      <c r="F20" s="9">
        <f t="shared" si="5"/>
        <v>6.4047623306595469E-2</v>
      </c>
      <c r="G20" s="9">
        <f t="shared" si="6"/>
        <v>-1.6215534588141359E-2</v>
      </c>
      <c r="H20" s="9">
        <f t="shared" si="7"/>
        <v>4.2117798745191969E-2</v>
      </c>
      <c r="J20" s="9" t="s">
        <v>14</v>
      </c>
      <c r="K20" s="8">
        <f t="shared" si="8"/>
        <v>5.2681510375819788E-3</v>
      </c>
      <c r="L20" s="8">
        <f t="shared" si="9"/>
        <v>8.5273519837533868E-3</v>
      </c>
      <c r="M20" s="8">
        <f t="shared" si="10"/>
        <v>1.0025400305223576E-2</v>
      </c>
      <c r="N20" s="8">
        <f t="shared" si="11"/>
        <v>1.0123113758490862E-2</v>
      </c>
      <c r="O20" s="8">
        <f t="shared" si="12"/>
        <v>1.7516602199960079E-2</v>
      </c>
      <c r="P20" s="8">
        <f t="shared" si="13"/>
        <v>1.9462891333288979E-2</v>
      </c>
    </row>
    <row r="21" spans="2:16" x14ac:dyDescent="0.3">
      <c r="B21" s="9" t="s">
        <v>8</v>
      </c>
      <c r="C21" s="9">
        <f t="shared" si="2"/>
        <v>-3.1946298282241235E-2</v>
      </c>
      <c r="D21" s="9">
        <f t="shared" si="3"/>
        <v>-3.7261309949340016E-2</v>
      </c>
      <c r="E21" s="9">
        <f t="shared" si="4"/>
        <v>2.6578391821396243E-2</v>
      </c>
      <c r="F21" s="9">
        <f t="shared" si="5"/>
        <v>-3.6958829610562037E-2</v>
      </c>
      <c r="G21" s="9">
        <f t="shared" si="6"/>
        <v>-4.5026892596848403E-3</v>
      </c>
      <c r="H21" s="9">
        <f t="shared" si="7"/>
        <v>-5.4502689259684843E-2</v>
      </c>
      <c r="J21" s="9" t="s">
        <v>8</v>
      </c>
      <c r="K21" s="8">
        <f t="shared" si="8"/>
        <v>8.6056877778449767E-3</v>
      </c>
      <c r="L21" s="8">
        <f t="shared" si="9"/>
        <v>1.4095523084401256E-2</v>
      </c>
      <c r="M21" s="8">
        <f t="shared" si="10"/>
        <v>2.2095684835007373E-2</v>
      </c>
      <c r="N21" s="8">
        <f t="shared" si="11"/>
        <v>2.0079938148304943E-2</v>
      </c>
      <c r="O21" s="8">
        <f t="shared" si="12"/>
        <v>2.7251344629842422E-2</v>
      </c>
      <c r="P21" s="8">
        <f t="shared" si="13"/>
        <v>3.027927181093603E-2</v>
      </c>
    </row>
    <row r="22" spans="2:16" x14ac:dyDescent="0.3">
      <c r="B22" s="9" t="s">
        <v>16</v>
      </c>
      <c r="C22" s="9">
        <f t="shared" si="2"/>
        <v>-6.9867088702837837E-3</v>
      </c>
      <c r="D22" s="9">
        <f t="shared" si="3"/>
        <v>-3.265432618944375E-2</v>
      </c>
      <c r="E22" s="9">
        <f t="shared" si="4"/>
        <v>-6.7137084810133404E-2</v>
      </c>
      <c r="F22" s="9">
        <f t="shared" si="5"/>
        <v>-3.2049365511887792E-2</v>
      </c>
      <c r="G22" s="9">
        <f t="shared" si="6"/>
        <v>-6.7137084810133404E-2</v>
      </c>
      <c r="H22" s="9">
        <f t="shared" si="7"/>
        <v>-6.7137084810133404E-2</v>
      </c>
      <c r="J22" s="9" t="s">
        <v>16</v>
      </c>
      <c r="K22" s="8">
        <f t="shared" si="8"/>
        <v>1.6153283563340365E-2</v>
      </c>
      <c r="L22" s="8">
        <f t="shared" si="9"/>
        <v>2.0835647010041397E-2</v>
      </c>
      <c r="M22" s="8">
        <f t="shared" si="10"/>
        <v>3.2661284502227057E-2</v>
      </c>
      <c r="N22" s="8">
        <f t="shared" si="11"/>
        <v>2.8268246235845635E-2</v>
      </c>
      <c r="O22" s="8">
        <f t="shared" si="12"/>
        <v>3.6925396645573358E-2</v>
      </c>
      <c r="P22" s="8">
        <f t="shared" si="13"/>
        <v>3.7298380450074109E-2</v>
      </c>
    </row>
    <row r="23" spans="2:16" x14ac:dyDescent="0.3">
      <c r="B23" s="9" t="s">
        <v>12</v>
      </c>
      <c r="C23" s="9">
        <f t="shared" si="2"/>
        <v>-6.1120854702747585E-2</v>
      </c>
      <c r="D23" s="9">
        <f t="shared" si="3"/>
        <v>-4.9194487059501538E-2</v>
      </c>
      <c r="E23" s="9">
        <f t="shared" si="4"/>
        <v>7.8484916481970979E-2</v>
      </c>
      <c r="F23" s="9">
        <f t="shared" si="5"/>
        <v>-4.858952638194558E-2</v>
      </c>
      <c r="G23" s="9">
        <f t="shared" si="6"/>
        <v>-8.3677245680191192E-2</v>
      </c>
      <c r="H23" s="9">
        <f t="shared" si="7"/>
        <v>-8.3677245680191192E-2</v>
      </c>
      <c r="J23" s="9" t="s">
        <v>12</v>
      </c>
      <c r="K23" s="8">
        <f t="shared" si="8"/>
        <v>2.7053545595851287E-2</v>
      </c>
      <c r="L23" s="8">
        <f t="shared" si="9"/>
        <v>3.173964491317597E-2</v>
      </c>
      <c r="M23" s="8">
        <f t="shared" si="10"/>
        <v>5.4277132333096993E-2</v>
      </c>
      <c r="N23" s="8">
        <f t="shared" si="11"/>
        <v>4.1104611913076371E-2</v>
      </c>
      <c r="O23" s="8">
        <f t="shared" si="12"/>
        <v>4.6022485124105152E-2</v>
      </c>
      <c r="P23" s="8">
        <f t="shared" si="13"/>
        <v>4.6487358711217334E-2</v>
      </c>
    </row>
    <row r="24" spans="2:16" x14ac:dyDescent="0.3">
      <c r="B24" s="9" t="s">
        <v>10</v>
      </c>
      <c r="C24" s="9">
        <f t="shared" si="2"/>
        <v>-7.1701287886079768E-2</v>
      </c>
      <c r="D24" s="9">
        <f t="shared" si="3"/>
        <v>-6.7293717235314923E-2</v>
      </c>
      <c r="E24" s="9">
        <f t="shared" si="4"/>
        <v>6.0385686306157593E-2</v>
      </c>
      <c r="F24" s="9">
        <f t="shared" si="5"/>
        <v>-4.914489690863616E-2</v>
      </c>
      <c r="G24" s="9">
        <f t="shared" si="6"/>
        <v>-7.6776475856004583E-2</v>
      </c>
      <c r="H24" s="9">
        <f t="shared" si="7"/>
        <v>-7.3998698078226802E-2</v>
      </c>
      <c r="J24" s="9" t="s">
        <v>10</v>
      </c>
      <c r="K24" s="8">
        <f t="shared" si="8"/>
        <v>3.8261833028573146E-2</v>
      </c>
      <c r="L24" s="8">
        <f t="shared" si="9"/>
        <v>4.5623937452691714E-2</v>
      </c>
      <c r="M24" s="8">
        <f t="shared" si="10"/>
        <v>9.9025760292328791E-2</v>
      </c>
      <c r="N24" s="8">
        <f t="shared" si="11"/>
        <v>5.8923222864002651E-2</v>
      </c>
      <c r="O24" s="8">
        <f t="shared" si="12"/>
        <v>5.8521473617202627E-2</v>
      </c>
      <c r="P24" s="8">
        <f t="shared" si="13"/>
        <v>5.9369610916002673E-2</v>
      </c>
    </row>
    <row r="25" spans="2:16" x14ac:dyDescent="0.3">
      <c r="B25" s="9" t="s">
        <v>13</v>
      </c>
      <c r="C25" s="9">
        <f t="shared" si="2"/>
        <v>-2.0844282451909779E-2</v>
      </c>
      <c r="D25" s="9">
        <f t="shared" si="3"/>
        <v>0.12849458195047553</v>
      </c>
      <c r="E25" s="9">
        <f t="shared" si="4"/>
        <v>-5.4170842094258875E-2</v>
      </c>
      <c r="F25" s="9">
        <f t="shared" si="5"/>
        <v>0.2222634869716491</v>
      </c>
      <c r="G25" s="9">
        <f t="shared" si="6"/>
        <v>0.333666995743579</v>
      </c>
      <c r="H25" s="9">
        <f t="shared" si="7"/>
        <v>0.22811144018802337</v>
      </c>
      <c r="J25" s="9" t="s">
        <v>13</v>
      </c>
      <c r="K25" s="8">
        <f t="shared" si="8"/>
        <v>0.13012511534220816</v>
      </c>
      <c r="L25" s="8">
        <f t="shared" si="9"/>
        <v>0.17903421041910714</v>
      </c>
      <c r="M25" s="8">
        <f t="shared" si="10"/>
        <v>0.28064822173805981</v>
      </c>
      <c r="N25" s="8">
        <f t="shared" si="11"/>
        <v>0.23151426771301201</v>
      </c>
      <c r="O25" s="8">
        <f t="shared" si="12"/>
        <v>0.24878295489488431</v>
      </c>
      <c r="P25" s="8">
        <f t="shared" si="13"/>
        <v>0.22835150449288893</v>
      </c>
    </row>
    <row r="26" spans="2:16" x14ac:dyDescent="0.3">
      <c r="B26" s="9" t="s">
        <v>11</v>
      </c>
      <c r="C26" s="9">
        <f t="shared" si="2"/>
        <v>0.27508104122320071</v>
      </c>
      <c r="D26" s="9">
        <f t="shared" si="3"/>
        <v>8.7370385272980355E-2</v>
      </c>
      <c r="E26" s="9">
        <f t="shared" si="4"/>
        <v>-5.6152447905025216E-2</v>
      </c>
      <c r="F26" s="9">
        <f t="shared" si="5"/>
        <v>-8.0808683087576216E-2</v>
      </c>
      <c r="G26" s="9">
        <f t="shared" si="6"/>
        <v>-0.17642271817529551</v>
      </c>
      <c r="H26" s="9">
        <f t="shared" si="7"/>
        <v>-7.6422718175295501E-2</v>
      </c>
      <c r="J26" s="9" t="s">
        <v>11</v>
      </c>
      <c r="K26" s="8">
        <f t="shared" si="8"/>
        <v>0.45650094421507487</v>
      </c>
      <c r="L26" s="8">
        <f t="shared" si="9"/>
        <v>0.51777396676081344</v>
      </c>
      <c r="M26" s="8">
        <f t="shared" si="10"/>
        <v>0.56462308008699758</v>
      </c>
      <c r="N26" s="8">
        <f t="shared" si="11"/>
        <v>0.57267143539525511</v>
      </c>
      <c r="O26" s="8">
        <f t="shared" si="12"/>
        <v>0.60388202862429663</v>
      </c>
      <c r="P26" s="8">
        <f t="shared" si="13"/>
        <v>0.57123975680676708</v>
      </c>
    </row>
    <row r="27" spans="2:16" x14ac:dyDescent="0.3">
      <c r="J27" s="13" t="s">
        <v>47</v>
      </c>
      <c r="K27" s="12">
        <f>SUM(K16:K26)</f>
        <v>0.68972464338272077</v>
      </c>
      <c r="L27" s="12">
        <f t="shared" ref="L27:P27" si="14">SUM(L16:L26)</f>
        <v>0.82717118677709811</v>
      </c>
      <c r="M27" s="12">
        <f t="shared" si="14"/>
        <v>1.074414248199226</v>
      </c>
      <c r="N27" s="12">
        <f t="shared" si="14"/>
        <v>0.97147772948098488</v>
      </c>
      <c r="O27" s="12">
        <f t="shared" si="14"/>
        <v>1.0651202749140893</v>
      </c>
      <c r="P27" s="12">
        <f t="shared" si="14"/>
        <v>0.99929763957746287</v>
      </c>
    </row>
    <row r="28" spans="2:16" x14ac:dyDescent="0.3">
      <c r="J28" s="14" t="s">
        <v>48</v>
      </c>
      <c r="K28" s="15">
        <f>1-K27</f>
        <v>0.31027535661727923</v>
      </c>
      <c r="L28" s="15">
        <f t="shared" ref="L28:P28" si="15">1-L27</f>
        <v>0.17282881322290189</v>
      </c>
      <c r="M28" s="15">
        <f t="shared" si="15"/>
        <v>-7.4414248199226041E-2</v>
      </c>
      <c r="N28" s="15">
        <f t="shared" si="15"/>
        <v>2.8522270519015125E-2</v>
      </c>
      <c r="O28" s="15">
        <f t="shared" si="15"/>
        <v>-6.5120274914089338E-2</v>
      </c>
      <c r="P28" s="15">
        <f t="shared" si="15"/>
        <v>7.0236042253712938E-4</v>
      </c>
    </row>
  </sheetData>
  <sortState xmlns:xlrd2="http://schemas.microsoft.com/office/spreadsheetml/2017/richdata2" ref="A2:P13">
    <sortCondition ref="B1:B13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ABEB-1DDC-472B-B05A-4B33E5481984}">
  <dimension ref="A1:P21"/>
  <sheetViews>
    <sheetView workbookViewId="0">
      <selection activeCell="A13" sqref="A13"/>
    </sheetView>
  </sheetViews>
  <sheetFormatPr defaultRowHeight="14.4" x14ac:dyDescent="0.3"/>
  <sheetData>
    <row r="1" spans="1:16" ht="36.6" customHeight="1" x14ac:dyDescent="0.3">
      <c r="A1" s="1" t="s">
        <v>27</v>
      </c>
      <c r="B1" s="2" t="s">
        <v>28</v>
      </c>
      <c r="C1" s="3" t="s">
        <v>29</v>
      </c>
      <c r="D1" s="3" t="s">
        <v>30</v>
      </c>
      <c r="E1" s="3" t="s">
        <v>31</v>
      </c>
      <c r="F1" s="2" t="s">
        <v>32</v>
      </c>
      <c r="G1" s="3" t="s">
        <v>33</v>
      </c>
      <c r="H1" s="3" t="s">
        <v>34</v>
      </c>
      <c r="I1" s="4" t="s">
        <v>28</v>
      </c>
      <c r="J1" s="5" t="s">
        <v>28</v>
      </c>
      <c r="K1" s="6" t="s">
        <v>29</v>
      </c>
      <c r="L1" s="6" t="s">
        <v>30</v>
      </c>
      <c r="M1" s="6" t="s">
        <v>31</v>
      </c>
      <c r="N1" s="7" t="s">
        <v>32</v>
      </c>
      <c r="O1" s="6" t="s">
        <v>33</v>
      </c>
      <c r="P1" s="6" t="s">
        <v>34</v>
      </c>
    </row>
    <row r="2" spans="1:16" x14ac:dyDescent="0.3">
      <c r="A2" s="9" t="s">
        <v>20</v>
      </c>
      <c r="B2" s="17">
        <v>4.6394823216100358E-3</v>
      </c>
      <c r="C2" s="17">
        <v>2.2727272727272726E-3</v>
      </c>
      <c r="D2" s="17">
        <v>3.8610038610038611E-3</v>
      </c>
      <c r="E2" s="17">
        <v>0</v>
      </c>
      <c r="F2" s="17">
        <v>0</v>
      </c>
      <c r="G2" s="17">
        <v>2.6525198938992041E-3</v>
      </c>
      <c r="H2" s="17">
        <v>4.4052863436123352E-3</v>
      </c>
      <c r="I2" s="9">
        <v>4.6394823216100358E-3</v>
      </c>
      <c r="J2" s="18">
        <v>4.6394823216100358E-3</v>
      </c>
      <c r="K2" s="18">
        <v>2.2727272727272726E-3</v>
      </c>
      <c r="L2" s="18">
        <v>3.8610038610038611E-3</v>
      </c>
      <c r="M2" s="18">
        <v>0</v>
      </c>
      <c r="N2" s="18">
        <v>0</v>
      </c>
      <c r="O2" s="18">
        <v>2.6525198938992041E-3</v>
      </c>
      <c r="P2" s="18">
        <v>4.4052863436123352E-3</v>
      </c>
    </row>
    <row r="3" spans="1:16" x14ac:dyDescent="0.3">
      <c r="A3" s="9" t="s">
        <v>26</v>
      </c>
      <c r="B3" s="17">
        <v>9.554623713688341E-3</v>
      </c>
      <c r="C3" s="17">
        <v>4.5454545454545452E-3</v>
      </c>
      <c r="D3" s="17">
        <v>1.5444015444015444E-2</v>
      </c>
      <c r="E3" s="17">
        <v>1.4354066985645933E-2</v>
      </c>
      <c r="F3" s="17">
        <v>5.1150895140664966E-3</v>
      </c>
      <c r="G3" s="17">
        <v>7.9575596816976128E-3</v>
      </c>
      <c r="H3" s="17">
        <v>4.4052863436123352E-3</v>
      </c>
      <c r="I3" s="9">
        <v>1.4194106035298377E-2</v>
      </c>
      <c r="J3" s="9">
        <f t="shared" ref="J3:P9" si="0">J2+B3</f>
        <v>1.4194106035298377E-2</v>
      </c>
      <c r="K3" s="9">
        <f t="shared" si="0"/>
        <v>6.8181818181818179E-3</v>
      </c>
      <c r="L3" s="16">
        <f t="shared" si="0"/>
        <v>1.9305019305019305E-2</v>
      </c>
      <c r="M3" s="9">
        <f t="shared" si="0"/>
        <v>1.4354066985645933E-2</v>
      </c>
      <c r="N3" s="9">
        <f t="shared" si="0"/>
        <v>5.1150895140664966E-3</v>
      </c>
      <c r="O3" s="9">
        <f t="shared" si="0"/>
        <v>1.0610079575596816E-2</v>
      </c>
      <c r="P3" s="9">
        <f t="shared" si="0"/>
        <v>8.8105726872246704E-3</v>
      </c>
    </row>
    <row r="4" spans="1:16" x14ac:dyDescent="0.3">
      <c r="A4" s="9" t="s">
        <v>23</v>
      </c>
      <c r="B4" s="17">
        <v>1.6345648441241402E-2</v>
      </c>
      <c r="C4" s="17">
        <v>4.5454545454545452E-3</v>
      </c>
      <c r="D4" s="17">
        <v>1.5444015444015444E-2</v>
      </c>
      <c r="E4" s="17">
        <v>4.7846889952153108E-3</v>
      </c>
      <c r="F4" s="17">
        <v>7.6726342710997444E-3</v>
      </c>
      <c r="G4" s="17">
        <v>1.0610079575596816E-2</v>
      </c>
      <c r="H4" s="17">
        <v>4.4052863436123352E-3</v>
      </c>
      <c r="I4" s="9">
        <v>3.0539754476539779E-2</v>
      </c>
      <c r="J4" s="9">
        <f t="shared" si="0"/>
        <v>3.0539754476539779E-2</v>
      </c>
      <c r="K4" s="9">
        <f t="shared" si="0"/>
        <v>1.1363636363636364E-2</v>
      </c>
      <c r="L4" s="16">
        <f t="shared" si="0"/>
        <v>3.4749034749034749E-2</v>
      </c>
      <c r="M4" s="9">
        <f t="shared" si="0"/>
        <v>1.9138755980861243E-2</v>
      </c>
      <c r="N4" s="9">
        <f t="shared" si="0"/>
        <v>1.2787723785166242E-2</v>
      </c>
      <c r="O4" s="9">
        <f t="shared" si="0"/>
        <v>2.1220159151193633E-2</v>
      </c>
      <c r="P4" s="9">
        <f t="shared" si="0"/>
        <v>1.3215859030837006E-2</v>
      </c>
    </row>
    <row r="5" spans="1:16" x14ac:dyDescent="0.3">
      <c r="A5" s="9" t="s">
        <v>21</v>
      </c>
      <c r="B5" s="17">
        <v>1.958347447233481E-2</v>
      </c>
      <c r="C5" s="17">
        <v>1.1363636363636364E-2</v>
      </c>
      <c r="D5" s="17">
        <v>3.0888030888030889E-2</v>
      </c>
      <c r="E5" s="17">
        <v>4.7846889952153108E-3</v>
      </c>
      <c r="F5" s="17">
        <v>1.7902813299232736E-2</v>
      </c>
      <c r="G5" s="17">
        <v>7.9575596816976128E-3</v>
      </c>
      <c r="H5" s="17">
        <v>8.8105726872246704E-3</v>
      </c>
      <c r="I5" s="9">
        <v>5.0123228948874589E-2</v>
      </c>
      <c r="J5" s="9">
        <f t="shared" si="0"/>
        <v>5.0123228948874589E-2</v>
      </c>
      <c r="K5" s="9">
        <f t="shared" si="0"/>
        <v>2.2727272727272728E-2</v>
      </c>
      <c r="L5" s="16">
        <f t="shared" si="0"/>
        <v>6.5637065637065645E-2</v>
      </c>
      <c r="M5" s="9">
        <f t="shared" si="0"/>
        <v>2.3923444976076555E-2</v>
      </c>
      <c r="N5" s="9">
        <f t="shared" si="0"/>
        <v>3.0690537084398978E-2</v>
      </c>
      <c r="O5" s="9">
        <f t="shared" si="0"/>
        <v>2.9177718832891247E-2</v>
      </c>
      <c r="P5" s="9">
        <f t="shared" si="0"/>
        <v>2.2026431718061679E-2</v>
      </c>
    </row>
    <row r="6" spans="1:16" x14ac:dyDescent="0.3">
      <c r="A6" s="9" t="s">
        <v>24</v>
      </c>
      <c r="B6" s="17">
        <v>2.5683015429899664E-2</v>
      </c>
      <c r="C6" s="17">
        <v>2.0454545454545454E-2</v>
      </c>
      <c r="D6" s="17">
        <v>1.1583011583011582E-2</v>
      </c>
      <c r="E6" s="17">
        <v>4.7846889952153108E-3</v>
      </c>
      <c r="F6" s="17">
        <v>2.5575447570332483E-3</v>
      </c>
      <c r="G6" s="17">
        <v>7.9575596816976128E-3</v>
      </c>
      <c r="H6" s="17">
        <v>8.8105726872246704E-3</v>
      </c>
      <c r="I6" s="9">
        <v>7.5806244378774257E-2</v>
      </c>
      <c r="J6" s="9">
        <f t="shared" si="0"/>
        <v>7.5806244378774257E-2</v>
      </c>
      <c r="K6" s="9">
        <f t="shared" si="0"/>
        <v>4.3181818181818182E-2</v>
      </c>
      <c r="L6" s="16">
        <f t="shared" si="0"/>
        <v>7.7220077220077232E-2</v>
      </c>
      <c r="M6" s="9">
        <f t="shared" si="0"/>
        <v>2.8708133971291867E-2</v>
      </c>
      <c r="N6" s="9">
        <f t="shared" si="0"/>
        <v>3.3248081841432228E-2</v>
      </c>
      <c r="O6" s="9">
        <f t="shared" si="0"/>
        <v>3.7135278514588858E-2</v>
      </c>
      <c r="P6" s="9">
        <f t="shared" si="0"/>
        <v>3.0837004405286347E-2</v>
      </c>
    </row>
    <row r="7" spans="1:16" x14ac:dyDescent="0.3">
      <c r="A7" s="9" t="s">
        <v>25</v>
      </c>
      <c r="B7" s="17">
        <v>6.2037307418265915E-2</v>
      </c>
      <c r="C7" s="17">
        <v>0.17045454545454544</v>
      </c>
      <c r="D7" s="17">
        <v>0.10810810810810811</v>
      </c>
      <c r="E7" s="17">
        <v>0.13397129186602871</v>
      </c>
      <c r="F7" s="17">
        <v>0.15089514066496162</v>
      </c>
      <c r="G7" s="17">
        <v>0.14588859416445624</v>
      </c>
      <c r="H7" s="17">
        <v>0.15859030837004406</v>
      </c>
      <c r="I7" s="9">
        <v>0.13784355179704016</v>
      </c>
      <c r="J7" s="9">
        <f t="shared" si="0"/>
        <v>0.13784355179704016</v>
      </c>
      <c r="K7" s="9">
        <f t="shared" si="0"/>
        <v>0.21363636363636362</v>
      </c>
      <c r="L7" s="16">
        <f t="shared" si="0"/>
        <v>0.18532818532818535</v>
      </c>
      <c r="M7" s="9">
        <f t="shared" si="0"/>
        <v>0.16267942583732059</v>
      </c>
      <c r="N7" s="9">
        <f t="shared" si="0"/>
        <v>0.18414322250639387</v>
      </c>
      <c r="O7" s="9">
        <f t="shared" si="0"/>
        <v>0.1830238726790451</v>
      </c>
      <c r="P7" s="9">
        <f t="shared" si="0"/>
        <v>0.18942731277533043</v>
      </c>
    </row>
    <row r="8" spans="1:16" x14ac:dyDescent="0.3">
      <c r="A8" s="9" t="s">
        <v>22</v>
      </c>
      <c r="B8" s="17">
        <v>6.7237452256082603E-2</v>
      </c>
      <c r="C8" s="17">
        <v>0.11818181818181818</v>
      </c>
      <c r="D8" s="17">
        <v>0.16988416988416988</v>
      </c>
      <c r="E8" s="17">
        <v>0.13875598086124402</v>
      </c>
      <c r="F8" s="17">
        <v>0.12531969309462915</v>
      </c>
      <c r="G8" s="17">
        <v>0.16180371352785147</v>
      </c>
      <c r="H8" s="17">
        <v>0.13656387665198239</v>
      </c>
      <c r="I8" s="9">
        <v>0.20508100405312277</v>
      </c>
      <c r="J8" s="9">
        <f t="shared" si="0"/>
        <v>0.20508100405312277</v>
      </c>
      <c r="K8" s="9">
        <f t="shared" si="0"/>
        <v>0.33181818181818179</v>
      </c>
      <c r="L8" s="16">
        <f t="shared" si="0"/>
        <v>0.35521235521235522</v>
      </c>
      <c r="M8" s="9">
        <f t="shared" si="0"/>
        <v>0.30143540669856461</v>
      </c>
      <c r="N8" s="9">
        <f t="shared" si="0"/>
        <v>0.30946291560102301</v>
      </c>
      <c r="O8" s="9">
        <f t="shared" si="0"/>
        <v>0.34482758620689657</v>
      </c>
      <c r="P8" s="9">
        <f t="shared" si="0"/>
        <v>0.32599118942731281</v>
      </c>
    </row>
    <row r="9" spans="1:16" x14ac:dyDescent="0.3">
      <c r="A9" s="9" t="s">
        <v>19</v>
      </c>
      <c r="B9" s="17">
        <v>0.7949189959468772</v>
      </c>
      <c r="C9" s="17">
        <v>0.66818181818181821</v>
      </c>
      <c r="D9" s="17">
        <v>0.64478764478764483</v>
      </c>
      <c r="E9" s="17">
        <v>0.69856459330143539</v>
      </c>
      <c r="F9" s="17">
        <v>0.69053708439897699</v>
      </c>
      <c r="G9" s="17">
        <v>0.65517241379310343</v>
      </c>
      <c r="H9" s="17">
        <v>0.67400881057268724</v>
      </c>
      <c r="I9" s="9">
        <v>1</v>
      </c>
      <c r="J9" s="9">
        <f t="shared" si="0"/>
        <v>1</v>
      </c>
      <c r="K9" s="9">
        <f t="shared" si="0"/>
        <v>1</v>
      </c>
      <c r="L9" s="16">
        <f t="shared" si="0"/>
        <v>1</v>
      </c>
      <c r="M9" s="9">
        <f t="shared" si="0"/>
        <v>1</v>
      </c>
      <c r="N9" s="9">
        <f t="shared" si="0"/>
        <v>1</v>
      </c>
      <c r="O9" s="9">
        <f t="shared" si="0"/>
        <v>1</v>
      </c>
      <c r="P9" s="9">
        <f t="shared" si="0"/>
        <v>1</v>
      </c>
    </row>
    <row r="11" spans="1:16" ht="28.8" x14ac:dyDescent="0.3">
      <c r="B11" s="10" t="s">
        <v>27</v>
      </c>
      <c r="C11" s="11" t="s">
        <v>35</v>
      </c>
      <c r="D11" s="11" t="s">
        <v>36</v>
      </c>
      <c r="E11" s="11" t="s">
        <v>37</v>
      </c>
      <c r="F11" s="11" t="s">
        <v>38</v>
      </c>
      <c r="G11" s="11" t="s">
        <v>39</v>
      </c>
      <c r="H11" s="11" t="s">
        <v>40</v>
      </c>
      <c r="J11" s="8"/>
      <c r="K11" s="12" t="s">
        <v>41</v>
      </c>
      <c r="L11" s="12" t="s">
        <v>42</v>
      </c>
      <c r="M11" s="12" t="s">
        <v>43</v>
      </c>
      <c r="N11" s="12" t="s">
        <v>44</v>
      </c>
      <c r="O11" s="12" t="s">
        <v>45</v>
      </c>
      <c r="P11" s="12" t="s">
        <v>46</v>
      </c>
    </row>
    <row r="12" spans="1:16" x14ac:dyDescent="0.3">
      <c r="B12" s="8" t="s">
        <v>49</v>
      </c>
      <c r="C12" s="9">
        <f>C2-B2</f>
        <v>-2.3667550488827632E-3</v>
      </c>
      <c r="D12" s="9">
        <f>D2-B2</f>
        <v>-7.7847846060617471E-4</v>
      </c>
      <c r="E12" s="9">
        <f>E2-B2</f>
        <v>-4.6394823216100358E-3</v>
      </c>
      <c r="F12" s="9">
        <f>F2-B2</f>
        <v>-4.6394823216100358E-3</v>
      </c>
      <c r="G12" s="9">
        <f>G2-B2</f>
        <v>-1.9869624277108317E-3</v>
      </c>
      <c r="H12" s="9">
        <f>H2-B2</f>
        <v>-2.341959779977006E-4</v>
      </c>
      <c r="J12" s="8" t="s">
        <v>49</v>
      </c>
      <c r="K12" s="8">
        <f>(J2-0) * (K2+0)</f>
        <v>1.0544278003659172E-5</v>
      </c>
      <c r="L12" s="8">
        <f t="shared" ref="L12" si="1">(K2-0) * (L2+0)</f>
        <v>8.7750087750087753E-6</v>
      </c>
      <c r="M12" s="8">
        <f>(J2-0) * (M2+0)</f>
        <v>0</v>
      </c>
      <c r="N12" s="8">
        <f>(J2-0) * (N2+0)</f>
        <v>0</v>
      </c>
      <c r="O12" s="8">
        <f>(J2-0) * (O2+0)</f>
        <v>1.2306319155464285E-5</v>
      </c>
      <c r="P12" s="8">
        <f>(J2-0) * (P2+0)</f>
        <v>2.0438248112819542E-5</v>
      </c>
    </row>
    <row r="13" spans="1:16" x14ac:dyDescent="0.3">
      <c r="B13" s="8" t="s">
        <v>50</v>
      </c>
      <c r="C13" s="9">
        <f t="shared" ref="C13:C19" si="2">C3-B3</f>
        <v>-5.0091691682337958E-3</v>
      </c>
      <c r="D13" s="9">
        <f t="shared" ref="D13:D19" si="3">D3-B3</f>
        <v>5.8893917303271034E-3</v>
      </c>
      <c r="E13" s="9">
        <f t="shared" ref="E13:E19" si="4">E3-B3</f>
        <v>4.7994432719575923E-3</v>
      </c>
      <c r="F13" s="9">
        <f t="shared" ref="F13:F19" si="5">F3-B3</f>
        <v>-4.4395341996218444E-3</v>
      </c>
      <c r="G13" s="9">
        <f t="shared" ref="G13:G19" si="6">G3-B3</f>
        <v>-1.5970640319907282E-3</v>
      </c>
      <c r="H13" s="9">
        <f t="shared" ref="H13:H19" si="7">H3-B3</f>
        <v>-5.1493373700760058E-3</v>
      </c>
      <c r="J13" s="8" t="s">
        <v>50</v>
      </c>
      <c r="K13" s="8">
        <f>(J3-J2) * (K3+K2)</f>
        <v>8.6860215578984912E-5</v>
      </c>
      <c r="L13" s="8">
        <f>(J3-J2) * (L3+L2)</f>
        <v>2.2134263429393839E-4</v>
      </c>
      <c r="M13" s="8">
        <f>(J3-J2) * (M3+M2)</f>
        <v>1.3714770880892356E-4</v>
      </c>
      <c r="N13" s="8">
        <f>(J3-J2) * (N3+N2)</f>
        <v>4.8872755568738322E-5</v>
      </c>
      <c r="O13" s="8">
        <f>(J3-J2) * (O3+O2)</f>
        <v>1.2671914739639708E-4</v>
      </c>
      <c r="P13" s="8">
        <f>(J3-J2) * (P3+P2)</f>
        <v>1.2627256009279747E-4</v>
      </c>
    </row>
    <row r="14" spans="1:16" x14ac:dyDescent="0.3">
      <c r="B14" s="8" t="s">
        <v>51</v>
      </c>
      <c r="C14" s="9">
        <f t="shared" si="2"/>
        <v>-1.1800193895786857E-2</v>
      </c>
      <c r="D14" s="9">
        <f t="shared" si="3"/>
        <v>-9.0163299722595749E-4</v>
      </c>
      <c r="E14" s="9">
        <f t="shared" si="4"/>
        <v>-1.156095944602609E-2</v>
      </c>
      <c r="F14" s="9">
        <f t="shared" si="5"/>
        <v>-8.6730141701416574E-3</v>
      </c>
      <c r="G14" s="9">
        <f t="shared" si="6"/>
        <v>-5.7355688656445854E-3</v>
      </c>
      <c r="H14" s="9">
        <f t="shared" si="7"/>
        <v>-1.1940362097629068E-2</v>
      </c>
      <c r="J14" s="8" t="s">
        <v>51</v>
      </c>
      <c r="K14" s="8">
        <f t="shared" ref="K14:K19" si="8">(J4-J3) * (K4+K3)</f>
        <v>2.9719360802257094E-4</v>
      </c>
      <c r="L14" s="8">
        <f t="shared" ref="L14:L19" si="9">(J4-J3) * (L4+L3)</f>
        <v>8.8354856439142721E-4</v>
      </c>
      <c r="M14" s="8">
        <f t="shared" ref="M14:M19" si="10">(J4-J3) * (M4+M3)</f>
        <v>5.4746190951526232E-4</v>
      </c>
      <c r="N14" s="8">
        <f t="shared" ref="N14:N19" si="11">(J4-J3) * (N4+N3)</f>
        <v>2.9263309229843944E-4</v>
      </c>
      <c r="O14" s="8">
        <f t="shared" ref="O14:O19" si="12">(J4-J3) * (O4+O3)</f>
        <v>5.2028589202890408E-4</v>
      </c>
      <c r="P14" s="8">
        <f t="shared" ref="P14:P19" si="13">(J4-J3) * (P4+P3)</f>
        <v>3.6003630927844502E-4</v>
      </c>
    </row>
    <row r="15" spans="1:16" x14ac:dyDescent="0.3">
      <c r="B15" s="8" t="s">
        <v>52</v>
      </c>
      <c r="C15" s="9">
        <f t="shared" si="2"/>
        <v>-8.2198381086984462E-3</v>
      </c>
      <c r="D15" s="9">
        <f t="shared" si="3"/>
        <v>1.1304556415696079E-2</v>
      </c>
      <c r="E15" s="9">
        <f t="shared" si="4"/>
        <v>-1.4798785477119498E-2</v>
      </c>
      <c r="F15" s="9">
        <f t="shared" si="5"/>
        <v>-1.6806611731020743E-3</v>
      </c>
      <c r="G15" s="9">
        <f t="shared" si="6"/>
        <v>-1.1625914790637197E-2</v>
      </c>
      <c r="H15" s="9">
        <f t="shared" si="7"/>
        <v>-1.077290178511014E-2</v>
      </c>
      <c r="J15" s="8" t="s">
        <v>52</v>
      </c>
      <c r="K15" s="8">
        <f t="shared" si="8"/>
        <v>6.6761844792050486E-4</v>
      </c>
      <c r="L15" s="8">
        <f t="shared" si="9"/>
        <v>1.9659086342884366E-3</v>
      </c>
      <c r="M15" s="8">
        <f t="shared" si="10"/>
        <v>8.4330751316274305E-4</v>
      </c>
      <c r="N15" s="8">
        <f t="shared" si="11"/>
        <v>8.5145541184064393E-4</v>
      </c>
      <c r="O15" s="8">
        <f t="shared" si="12"/>
        <v>9.8696555696117078E-4</v>
      </c>
      <c r="P15" s="8">
        <f t="shared" si="13"/>
        <v>6.9016650122765875E-4</v>
      </c>
    </row>
    <row r="16" spans="1:16" x14ac:dyDescent="0.3">
      <c r="B16" s="8" t="s">
        <v>53</v>
      </c>
      <c r="C16" s="9">
        <f t="shared" si="2"/>
        <v>-5.2284699753542101E-3</v>
      </c>
      <c r="D16" s="9">
        <f t="shared" si="3"/>
        <v>-1.4100003846888082E-2</v>
      </c>
      <c r="E16" s="9">
        <f t="shared" si="4"/>
        <v>-2.0898326434684353E-2</v>
      </c>
      <c r="F16" s="9">
        <f t="shared" si="5"/>
        <v>-2.3125470672866417E-2</v>
      </c>
      <c r="G16" s="9">
        <f t="shared" si="6"/>
        <v>-1.772545574820205E-2</v>
      </c>
      <c r="H16" s="9">
        <f t="shared" si="7"/>
        <v>-1.6872442742674992E-2</v>
      </c>
      <c r="J16" s="8" t="s">
        <v>53</v>
      </c>
      <c r="K16" s="8">
        <f t="shared" si="8"/>
        <v>1.6927441987888419E-3</v>
      </c>
      <c r="L16" s="8">
        <f t="shared" si="9"/>
        <v>3.6690022042713817E-3</v>
      </c>
      <c r="M16" s="8">
        <f t="shared" si="10"/>
        <v>1.3517376542052455E-3</v>
      </c>
      <c r="N16" s="8">
        <f t="shared" si="11"/>
        <v>1.6421365364385977E-3</v>
      </c>
      <c r="O16" s="8">
        <f t="shared" si="12"/>
        <v>1.7031177340782275E-3</v>
      </c>
      <c r="P16" s="8">
        <f t="shared" si="13"/>
        <v>1.3576924456334628E-3</v>
      </c>
    </row>
    <row r="17" spans="2:16" x14ac:dyDescent="0.3">
      <c r="B17" s="8" t="s">
        <v>54</v>
      </c>
      <c r="C17" s="9">
        <f t="shared" si="2"/>
        <v>0.10841723803627953</v>
      </c>
      <c r="D17" s="9">
        <f t="shared" si="3"/>
        <v>4.6070800689842199E-2</v>
      </c>
      <c r="E17" s="9">
        <f t="shared" si="4"/>
        <v>7.1933984447762805E-2</v>
      </c>
      <c r="F17" s="9">
        <f t="shared" si="5"/>
        <v>8.8857833246695717E-2</v>
      </c>
      <c r="G17" s="9">
        <f t="shared" si="6"/>
        <v>8.3851286746190329E-2</v>
      </c>
      <c r="H17" s="9">
        <f t="shared" si="7"/>
        <v>9.6553000951778156E-2</v>
      </c>
      <c r="J17" s="8" t="s">
        <v>54</v>
      </c>
      <c r="K17" s="8">
        <f t="shared" si="8"/>
        <v>1.5932308496054655E-2</v>
      </c>
      <c r="L17" s="8">
        <f t="shared" si="9"/>
        <v>1.6287787275838156E-2</v>
      </c>
      <c r="M17" s="8">
        <f t="shared" si="10"/>
        <v>1.1873168883878644E-2</v>
      </c>
      <c r="N17" s="8">
        <f t="shared" si="11"/>
        <v>1.3486371177883894E-2</v>
      </c>
      <c r="O17" s="8">
        <f t="shared" si="12"/>
        <v>1.3658080943543954E-2</v>
      </c>
      <c r="P17" s="8">
        <f t="shared" si="13"/>
        <v>1.3664605158208352E-2</v>
      </c>
    </row>
    <row r="18" spans="2:16" x14ac:dyDescent="0.3">
      <c r="B18" s="8" t="s">
        <v>55</v>
      </c>
      <c r="C18" s="9">
        <f t="shared" si="2"/>
        <v>5.0944365925735577E-2</v>
      </c>
      <c r="D18" s="9">
        <f t="shared" si="3"/>
        <v>0.10264671762808728</v>
      </c>
      <c r="E18" s="9">
        <f t="shared" si="4"/>
        <v>7.1518528605161419E-2</v>
      </c>
      <c r="F18" s="9">
        <f t="shared" si="5"/>
        <v>5.8082240838546545E-2</v>
      </c>
      <c r="G18" s="9">
        <f t="shared" si="6"/>
        <v>9.456626127176887E-2</v>
      </c>
      <c r="H18" s="9">
        <f t="shared" si="7"/>
        <v>6.9326424395899783E-2</v>
      </c>
      <c r="J18" s="8" t="s">
        <v>55</v>
      </c>
      <c r="K18" s="8">
        <f t="shared" si="8"/>
        <v>3.6674973957863233E-2</v>
      </c>
      <c r="L18" s="8">
        <f t="shared" si="9"/>
        <v>3.6344568787071679E-2</v>
      </c>
      <c r="M18" s="8">
        <f t="shared" si="10"/>
        <v>3.1205898893971355E-2</v>
      </c>
      <c r="N18" s="8">
        <f t="shared" si="11"/>
        <v>3.3188819144306755E-2</v>
      </c>
      <c r="O18" s="8">
        <f t="shared" si="12"/>
        <v>3.5491387265147049E-2</v>
      </c>
      <c r="P18" s="8">
        <f t="shared" si="13"/>
        <v>3.4655426933751829E-2</v>
      </c>
    </row>
    <row r="19" spans="2:16" x14ac:dyDescent="0.3">
      <c r="B19" s="8" t="s">
        <v>56</v>
      </c>
      <c r="C19" s="9">
        <f t="shared" si="2"/>
        <v>-0.12673717776505899</v>
      </c>
      <c r="D19" s="9">
        <f t="shared" si="3"/>
        <v>-0.15013135115923237</v>
      </c>
      <c r="E19" s="9">
        <f t="shared" si="4"/>
        <v>-9.6354402645441817E-2</v>
      </c>
      <c r="F19" s="9">
        <f t="shared" si="5"/>
        <v>-0.10438191154790022</v>
      </c>
      <c r="G19" s="9">
        <f t="shared" si="6"/>
        <v>-0.13974658215377378</v>
      </c>
      <c r="H19" s="9">
        <f t="shared" si="7"/>
        <v>-0.12091018537418996</v>
      </c>
      <c r="J19" s="8" t="s">
        <v>56</v>
      </c>
      <c r="K19" s="8">
        <f t="shared" si="8"/>
        <v>1.0586875718747046</v>
      </c>
      <c r="L19" s="8">
        <f t="shared" si="9"/>
        <v>1.0772840447002081</v>
      </c>
      <c r="M19" s="8">
        <f t="shared" si="10"/>
        <v>1.0345357267825388</v>
      </c>
      <c r="N19" s="8">
        <f t="shared" si="11"/>
        <v>1.0409169460992356</v>
      </c>
      <c r="O19" s="8">
        <f t="shared" si="12"/>
        <v>1.0690289945492486</v>
      </c>
      <c r="P19" s="8">
        <f t="shared" si="13"/>
        <v>1.054055584933965</v>
      </c>
    </row>
    <row r="20" spans="2:16" x14ac:dyDescent="0.3">
      <c r="J20" s="12" t="s">
        <v>47</v>
      </c>
      <c r="K20" s="12">
        <f>SUM(K12:K19)</f>
        <v>1.1140498150769371</v>
      </c>
      <c r="L20" s="12">
        <f t="shared" ref="L20:P20" si="14">SUM(L12:L19)</f>
        <v>1.1366649778091382</v>
      </c>
      <c r="M20" s="12">
        <f t="shared" si="14"/>
        <v>1.0804944493460811</v>
      </c>
      <c r="N20" s="12">
        <f t="shared" si="14"/>
        <v>1.0904272342175727</v>
      </c>
      <c r="O20" s="12">
        <f t="shared" si="14"/>
        <v>1.1215278574075598</v>
      </c>
      <c r="P20" s="12">
        <f t="shared" si="14"/>
        <v>1.1049302230902704</v>
      </c>
    </row>
    <row r="21" spans="2:16" x14ac:dyDescent="0.3">
      <c r="J21" s="15" t="s">
        <v>48</v>
      </c>
      <c r="K21" s="15">
        <f>1-K20</f>
        <v>-0.11404981507693712</v>
      </c>
      <c r="L21" s="15">
        <f t="shared" ref="L21:P21" si="15">1-L20</f>
        <v>-0.13666497780913822</v>
      </c>
      <c r="M21" s="15">
        <f t="shared" si="15"/>
        <v>-8.0494449346081076E-2</v>
      </c>
      <c r="N21" s="15">
        <f t="shared" si="15"/>
        <v>-9.0427234217572705E-2</v>
      </c>
      <c r="O21" s="15">
        <f t="shared" si="15"/>
        <v>-0.12152785740755978</v>
      </c>
      <c r="P21" s="15">
        <f t="shared" si="15"/>
        <v>-0.10493022309027045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ARAXÁ</vt:lpstr>
      <vt:lpstr>FRUTAL-ITURAMA</vt:lpstr>
      <vt:lpstr>UBERABA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2025-04-25T02:06:39Z</dcterms:created>
  <dcterms:modified xsi:type="dcterms:W3CDTF">2025-11-26T01:31:58Z</dcterms:modified>
</cp:coreProperties>
</file>