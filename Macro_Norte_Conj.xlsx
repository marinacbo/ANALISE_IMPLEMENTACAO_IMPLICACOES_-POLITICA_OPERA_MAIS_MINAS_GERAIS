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junto/"/>
    </mc:Choice>
  </mc:AlternateContent>
  <xr:revisionPtr revIDLastSave="83" documentId="8_{F9FCDCF1-1019-4763-ABA7-E319BEBF0601}" xr6:coauthVersionLast="47" xr6:coauthVersionMax="47" xr10:uidLastSave="{CC28900E-A63D-44E6-A2B8-7E503D5F61E2}"/>
  <bookViews>
    <workbookView xWindow="-108" yWindow="-108" windowWidth="23256" windowHeight="12456" xr2:uid="{BEDDCC82-91A3-4128-9439-6FAA85F8CDBD}"/>
  </bookViews>
  <sheets>
    <sheet name="BOCAIUVA" sheetId="1" r:id="rId1"/>
    <sheet name="BRASÍLIA DE MINAS" sheetId="2" r:id="rId2"/>
    <sheet name="CORAÇÃO DE JESUS" sheetId="3" r:id="rId3"/>
    <sheet name="FRANCISCO SÁ" sheetId="4" r:id="rId4"/>
    <sheet name="JANAÚBA - MONTE AZUL" sheetId="5" r:id="rId5"/>
    <sheet name="JANUÁRIA" sheetId="6" r:id="rId6"/>
    <sheet name="MANGA" sheetId="7" r:id="rId7"/>
    <sheet name="MONTES CLAROS" sheetId="8" r:id="rId8"/>
    <sheet name="PIRAPORA" sheetId="9" r:id="rId9"/>
    <sheet name="SALINAS" sheetId="10" r:id="rId10"/>
    <sheet name="TAIOBEIR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 s="1"/>
  <c r="J5" i="8" s="1"/>
  <c r="J6" i="8" s="1"/>
  <c r="J7" i="8" s="1"/>
  <c r="P17" i="11"/>
  <c r="N18" i="11"/>
  <c r="P19" i="11"/>
  <c r="N20" i="11"/>
  <c r="N21" i="11"/>
  <c r="P21" i="11"/>
  <c r="P14" i="11"/>
  <c r="O14" i="11"/>
  <c r="N14" i="11"/>
  <c r="M14" i="11"/>
  <c r="L14" i="11"/>
  <c r="K14" i="11"/>
  <c r="P10" i="10"/>
  <c r="O10" i="10"/>
  <c r="N10" i="10"/>
  <c r="M10" i="10"/>
  <c r="L10" i="10"/>
  <c r="K10" i="10"/>
  <c r="P11" i="9"/>
  <c r="O11" i="9"/>
  <c r="N11" i="9"/>
  <c r="M11" i="9"/>
  <c r="L11" i="9"/>
  <c r="K11" i="9"/>
  <c r="P10" i="8"/>
  <c r="O10" i="8"/>
  <c r="N10" i="8"/>
  <c r="M10" i="8"/>
  <c r="L10" i="8"/>
  <c r="K10" i="8"/>
  <c r="P9" i="7"/>
  <c r="O9" i="7"/>
  <c r="N9" i="7"/>
  <c r="M9" i="7"/>
  <c r="L9" i="7"/>
  <c r="K9" i="7"/>
  <c r="P9" i="6"/>
  <c r="O9" i="6"/>
  <c r="N9" i="6"/>
  <c r="M9" i="6"/>
  <c r="L9" i="6"/>
  <c r="K9" i="6"/>
  <c r="P19" i="5"/>
  <c r="O19" i="5"/>
  <c r="N19" i="5"/>
  <c r="M19" i="5"/>
  <c r="L19" i="5"/>
  <c r="K19" i="5"/>
  <c r="P10" i="4"/>
  <c r="O10" i="4"/>
  <c r="N10" i="4"/>
  <c r="M10" i="4"/>
  <c r="L10" i="4"/>
  <c r="K10" i="4"/>
  <c r="P9" i="3"/>
  <c r="O9" i="3"/>
  <c r="N9" i="3"/>
  <c r="M9" i="3"/>
  <c r="L9" i="3"/>
  <c r="K9" i="3"/>
  <c r="P19" i="2"/>
  <c r="O19" i="2"/>
  <c r="N19" i="2"/>
  <c r="M19" i="2"/>
  <c r="L19" i="2"/>
  <c r="K19" i="2"/>
  <c r="P10" i="1"/>
  <c r="O10" i="1"/>
  <c r="N10" i="1"/>
  <c r="M10" i="1"/>
  <c r="L10" i="1"/>
  <c r="K10" i="1"/>
  <c r="H15" i="11"/>
  <c r="H16" i="11"/>
  <c r="H17" i="11"/>
  <c r="H18" i="11"/>
  <c r="H19" i="11"/>
  <c r="H20" i="11"/>
  <c r="H21" i="11"/>
  <c r="H22" i="11"/>
  <c r="H23" i="11"/>
  <c r="H14" i="11"/>
  <c r="G15" i="11"/>
  <c r="G16" i="11"/>
  <c r="G17" i="11"/>
  <c r="G18" i="11"/>
  <c r="G19" i="11"/>
  <c r="G20" i="11"/>
  <c r="G21" i="11"/>
  <c r="G22" i="11"/>
  <c r="G23" i="11"/>
  <c r="G14" i="11"/>
  <c r="F15" i="11"/>
  <c r="F16" i="11"/>
  <c r="F17" i="11"/>
  <c r="F18" i="11"/>
  <c r="F19" i="11"/>
  <c r="F20" i="11"/>
  <c r="F21" i="11"/>
  <c r="F22" i="11"/>
  <c r="F23" i="11"/>
  <c r="F14" i="11"/>
  <c r="E15" i="11"/>
  <c r="E16" i="11"/>
  <c r="E17" i="11"/>
  <c r="E18" i="11"/>
  <c r="E19" i="11"/>
  <c r="E20" i="11"/>
  <c r="E21" i="11"/>
  <c r="E22" i="11"/>
  <c r="E23" i="11"/>
  <c r="E14" i="11"/>
  <c r="D15" i="11"/>
  <c r="D16" i="11"/>
  <c r="D17" i="11"/>
  <c r="D18" i="11"/>
  <c r="D19" i="11"/>
  <c r="D20" i="11"/>
  <c r="D21" i="11"/>
  <c r="D22" i="11"/>
  <c r="D23" i="11"/>
  <c r="D14" i="11"/>
  <c r="C20" i="11"/>
  <c r="C21" i="11"/>
  <c r="C22" i="11"/>
  <c r="C23" i="11"/>
  <c r="C15" i="11"/>
  <c r="C16" i="11"/>
  <c r="C17" i="11"/>
  <c r="C18" i="11"/>
  <c r="C19" i="11"/>
  <c r="C14" i="11"/>
  <c r="P3" i="11"/>
  <c r="P4" i="11" s="1"/>
  <c r="P5" i="11" s="1"/>
  <c r="P6" i="11" s="1"/>
  <c r="P7" i="11" s="1"/>
  <c r="P8" i="11" s="1"/>
  <c r="P9" i="11" s="1"/>
  <c r="P10" i="11" s="1"/>
  <c r="P11" i="11" s="1"/>
  <c r="O3" i="11"/>
  <c r="O4" i="11" s="1"/>
  <c r="O5" i="11" s="1"/>
  <c r="O6" i="11" s="1"/>
  <c r="O7" i="11" s="1"/>
  <c r="O8" i="11" s="1"/>
  <c r="O9" i="11" s="1"/>
  <c r="O10" i="11" s="1"/>
  <c r="O11" i="11" s="1"/>
  <c r="N3" i="11"/>
  <c r="N4" i="11" s="1"/>
  <c r="N5" i="11" s="1"/>
  <c r="N6" i="11" s="1"/>
  <c r="N7" i="11" s="1"/>
  <c r="N8" i="11" s="1"/>
  <c r="N9" i="11" s="1"/>
  <c r="N10" i="11" s="1"/>
  <c r="N11" i="11" s="1"/>
  <c r="M3" i="11"/>
  <c r="M4" i="11" s="1"/>
  <c r="M5" i="11" s="1"/>
  <c r="M6" i="11" s="1"/>
  <c r="M7" i="11" s="1"/>
  <c r="M8" i="11" s="1"/>
  <c r="M9" i="11" s="1"/>
  <c r="M10" i="11" s="1"/>
  <c r="M11" i="11" s="1"/>
  <c r="L3" i="11"/>
  <c r="L4" i="11" s="1"/>
  <c r="L5" i="11" s="1"/>
  <c r="L6" i="11" s="1"/>
  <c r="L7" i="11" s="1"/>
  <c r="L8" i="11" s="1"/>
  <c r="L9" i="11" s="1"/>
  <c r="L10" i="11" s="1"/>
  <c r="L11" i="11" s="1"/>
  <c r="L23" i="11" s="1"/>
  <c r="K3" i="11"/>
  <c r="K4" i="11" s="1"/>
  <c r="K5" i="11" s="1"/>
  <c r="K6" i="11" s="1"/>
  <c r="K7" i="11" s="1"/>
  <c r="K8" i="11" s="1"/>
  <c r="K9" i="11" s="1"/>
  <c r="K10" i="11" s="1"/>
  <c r="K11" i="11" s="1"/>
  <c r="J3" i="11"/>
  <c r="J4" i="11" s="1"/>
  <c r="J5" i="11" s="1"/>
  <c r="J6" i="11" s="1"/>
  <c r="J7" i="11" s="1"/>
  <c r="J8" i="11" s="1"/>
  <c r="J9" i="11" s="1"/>
  <c r="J10" i="11" s="1"/>
  <c r="J11" i="11" s="1"/>
  <c r="K23" i="11" s="1"/>
  <c r="H15" i="10"/>
  <c r="G15" i="10"/>
  <c r="F15" i="10"/>
  <c r="E15" i="10"/>
  <c r="D15" i="10"/>
  <c r="C15" i="10"/>
  <c r="H14" i="10"/>
  <c r="G14" i="10"/>
  <c r="F14" i="10"/>
  <c r="E14" i="10"/>
  <c r="D14" i="10"/>
  <c r="C14" i="10"/>
  <c r="H13" i="10"/>
  <c r="G13" i="10"/>
  <c r="F13" i="10"/>
  <c r="E13" i="10"/>
  <c r="D13" i="10"/>
  <c r="C13" i="10"/>
  <c r="H12" i="10"/>
  <c r="G12" i="10"/>
  <c r="F12" i="10"/>
  <c r="E12" i="10"/>
  <c r="D12" i="10"/>
  <c r="C12" i="10"/>
  <c r="H11" i="10"/>
  <c r="G11" i="10"/>
  <c r="F11" i="10"/>
  <c r="E11" i="10"/>
  <c r="D11" i="10"/>
  <c r="C11" i="10"/>
  <c r="H10" i="10"/>
  <c r="G10" i="10"/>
  <c r="F10" i="10"/>
  <c r="E10" i="10"/>
  <c r="D10" i="10"/>
  <c r="C10" i="10"/>
  <c r="P3" i="10"/>
  <c r="P4" i="10" s="1"/>
  <c r="P5" i="10" s="1"/>
  <c r="P6" i="10" s="1"/>
  <c r="P7" i="10" s="1"/>
  <c r="O3" i="10"/>
  <c r="O4" i="10" s="1"/>
  <c r="O5" i="10" s="1"/>
  <c r="O6" i="10" s="1"/>
  <c r="O7" i="10" s="1"/>
  <c r="N3" i="10"/>
  <c r="N4" i="10" s="1"/>
  <c r="N5" i="10" s="1"/>
  <c r="N6" i="10" s="1"/>
  <c r="N7" i="10" s="1"/>
  <c r="M3" i="10"/>
  <c r="M4" i="10" s="1"/>
  <c r="M5" i="10" s="1"/>
  <c r="M6" i="10" s="1"/>
  <c r="M7" i="10" s="1"/>
  <c r="L3" i="10"/>
  <c r="L4" i="10" s="1"/>
  <c r="L5" i="10" s="1"/>
  <c r="L6" i="10" s="1"/>
  <c r="L7" i="10" s="1"/>
  <c r="K3" i="10"/>
  <c r="K4" i="10" s="1"/>
  <c r="K5" i="10" s="1"/>
  <c r="K6" i="10" s="1"/>
  <c r="K7" i="10" s="1"/>
  <c r="J3" i="10"/>
  <c r="J4" i="10" s="1"/>
  <c r="J5" i="10" s="1"/>
  <c r="J6" i="10" s="1"/>
  <c r="J7" i="10" s="1"/>
  <c r="O15" i="10" s="1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P3" i="9"/>
  <c r="P4" i="9" s="1"/>
  <c r="P5" i="9" s="1"/>
  <c r="P6" i="9" s="1"/>
  <c r="P7" i="9" s="1"/>
  <c r="P8" i="9" s="1"/>
  <c r="O3" i="9"/>
  <c r="O4" i="9" s="1"/>
  <c r="O5" i="9" s="1"/>
  <c r="O6" i="9" s="1"/>
  <c r="O7" i="9" s="1"/>
  <c r="O8" i="9" s="1"/>
  <c r="N3" i="9"/>
  <c r="N4" i="9" s="1"/>
  <c r="N5" i="9" s="1"/>
  <c r="N6" i="9" s="1"/>
  <c r="N7" i="9" s="1"/>
  <c r="N8" i="9" s="1"/>
  <c r="M3" i="9"/>
  <c r="M4" i="9" s="1"/>
  <c r="M5" i="9" s="1"/>
  <c r="M6" i="9" s="1"/>
  <c r="M7" i="9" s="1"/>
  <c r="M8" i="9" s="1"/>
  <c r="L3" i="9"/>
  <c r="L4" i="9" s="1"/>
  <c r="L5" i="9" s="1"/>
  <c r="L6" i="9" s="1"/>
  <c r="L7" i="9" s="1"/>
  <c r="L8" i="9" s="1"/>
  <c r="K3" i="9"/>
  <c r="K4" i="9" s="1"/>
  <c r="K5" i="9" s="1"/>
  <c r="K6" i="9" s="1"/>
  <c r="K7" i="9" s="1"/>
  <c r="K8" i="9" s="1"/>
  <c r="J3" i="9"/>
  <c r="J4" i="9" s="1"/>
  <c r="J5" i="9" s="1"/>
  <c r="J6" i="9" s="1"/>
  <c r="J7" i="9" s="1"/>
  <c r="J8" i="9" s="1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P3" i="8"/>
  <c r="P4" i="8" s="1"/>
  <c r="P5" i="8" s="1"/>
  <c r="P6" i="8" s="1"/>
  <c r="P7" i="8" s="1"/>
  <c r="O3" i="8"/>
  <c r="O4" i="8" s="1"/>
  <c r="O5" i="8" s="1"/>
  <c r="O6" i="8" s="1"/>
  <c r="O7" i="8" s="1"/>
  <c r="N3" i="8"/>
  <c r="N4" i="8" s="1"/>
  <c r="N5" i="8" s="1"/>
  <c r="N6" i="8" s="1"/>
  <c r="N7" i="8" s="1"/>
  <c r="M3" i="8"/>
  <c r="M4" i="8" s="1"/>
  <c r="M5" i="8" s="1"/>
  <c r="M6" i="8" s="1"/>
  <c r="M7" i="8" s="1"/>
  <c r="L3" i="8"/>
  <c r="L4" i="8" s="1"/>
  <c r="L5" i="8" s="1"/>
  <c r="L6" i="8" s="1"/>
  <c r="L7" i="8" s="1"/>
  <c r="K3" i="8"/>
  <c r="K4" i="8" s="1"/>
  <c r="K5" i="8" s="1"/>
  <c r="K6" i="8" s="1"/>
  <c r="K7" i="8" s="1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P3" i="7"/>
  <c r="P4" i="7" s="1"/>
  <c r="P5" i="7" s="1"/>
  <c r="P6" i="7" s="1"/>
  <c r="O3" i="7"/>
  <c r="O4" i="7" s="1"/>
  <c r="O5" i="7" s="1"/>
  <c r="O6" i="7" s="1"/>
  <c r="N3" i="7"/>
  <c r="N4" i="7" s="1"/>
  <c r="N5" i="7" s="1"/>
  <c r="N6" i="7" s="1"/>
  <c r="M3" i="7"/>
  <c r="M4" i="7" s="1"/>
  <c r="M5" i="7" s="1"/>
  <c r="M6" i="7" s="1"/>
  <c r="L3" i="7"/>
  <c r="L4" i="7" s="1"/>
  <c r="L5" i="7" s="1"/>
  <c r="L6" i="7" s="1"/>
  <c r="K3" i="7"/>
  <c r="K4" i="7" s="1"/>
  <c r="K5" i="7" s="1"/>
  <c r="K6" i="7" s="1"/>
  <c r="J3" i="7"/>
  <c r="J4" i="7" s="1"/>
  <c r="J5" i="7" s="1"/>
  <c r="J6" i="7" s="1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4" i="6" s="1"/>
  <c r="M5" i="6" s="1"/>
  <c r="M6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P13" i="6" s="1"/>
  <c r="H33" i="5"/>
  <c r="G33" i="5"/>
  <c r="F33" i="5"/>
  <c r="E33" i="5"/>
  <c r="D33" i="5"/>
  <c r="C33" i="5"/>
  <c r="H32" i="5"/>
  <c r="G32" i="5"/>
  <c r="F32" i="5"/>
  <c r="E32" i="5"/>
  <c r="D32" i="5"/>
  <c r="C32" i="5"/>
  <c r="H31" i="5"/>
  <c r="G31" i="5"/>
  <c r="F31" i="5"/>
  <c r="E31" i="5"/>
  <c r="D31" i="5"/>
  <c r="C31" i="5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N3" i="5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P3" i="4"/>
  <c r="P4" i="4" s="1"/>
  <c r="P5" i="4" s="1"/>
  <c r="P6" i="4" s="1"/>
  <c r="P7" i="4" s="1"/>
  <c r="P15" i="4" s="1"/>
  <c r="O3" i="4"/>
  <c r="O4" i="4" s="1"/>
  <c r="O5" i="4" s="1"/>
  <c r="O6" i="4" s="1"/>
  <c r="O7" i="4" s="1"/>
  <c r="N3" i="4"/>
  <c r="N4" i="4" s="1"/>
  <c r="N5" i="4" s="1"/>
  <c r="N6" i="4" s="1"/>
  <c r="N7" i="4" s="1"/>
  <c r="M3" i="4"/>
  <c r="M4" i="4" s="1"/>
  <c r="M5" i="4" s="1"/>
  <c r="M6" i="4" s="1"/>
  <c r="M7" i="4" s="1"/>
  <c r="L3" i="4"/>
  <c r="L4" i="4" s="1"/>
  <c r="L5" i="4" s="1"/>
  <c r="L6" i="4" s="1"/>
  <c r="L7" i="4" s="1"/>
  <c r="L15" i="4" s="1"/>
  <c r="K3" i="4"/>
  <c r="K4" i="4" s="1"/>
  <c r="K5" i="4" s="1"/>
  <c r="K6" i="4" s="1"/>
  <c r="K7" i="4" s="1"/>
  <c r="J3" i="4"/>
  <c r="J4" i="4" s="1"/>
  <c r="J5" i="4" s="1"/>
  <c r="J6" i="4" s="1"/>
  <c r="J7" i="4" s="1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P3" i="3"/>
  <c r="P4" i="3" s="1"/>
  <c r="P5" i="3" s="1"/>
  <c r="P6" i="3" s="1"/>
  <c r="O3" i="3"/>
  <c r="O4" i="3" s="1"/>
  <c r="O5" i="3" s="1"/>
  <c r="O6" i="3" s="1"/>
  <c r="N3" i="3"/>
  <c r="N4" i="3" s="1"/>
  <c r="N5" i="3" s="1"/>
  <c r="N6" i="3" s="1"/>
  <c r="M3" i="3"/>
  <c r="M4" i="3" s="1"/>
  <c r="M5" i="3" s="1"/>
  <c r="M6" i="3" s="1"/>
  <c r="L3" i="3"/>
  <c r="L4" i="3" s="1"/>
  <c r="L5" i="3" s="1"/>
  <c r="L6" i="3" s="1"/>
  <c r="K3" i="3"/>
  <c r="K4" i="3" s="1"/>
  <c r="K5" i="3" s="1"/>
  <c r="K6" i="3" s="1"/>
  <c r="J3" i="3"/>
  <c r="J4" i="3" s="1"/>
  <c r="J5" i="3" s="1"/>
  <c r="J6" i="3" s="1"/>
  <c r="P13" i="3" s="1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N3" i="2"/>
  <c r="N4" i="2" s="1"/>
  <c r="N5" i="2" s="1"/>
  <c r="N6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K33" i="2" s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P3" i="1"/>
  <c r="P4" i="1" s="1"/>
  <c r="P5" i="1" s="1"/>
  <c r="P6" i="1" s="1"/>
  <c r="P7" i="1" s="1"/>
  <c r="O3" i="1"/>
  <c r="O4" i="1" s="1"/>
  <c r="O5" i="1" s="1"/>
  <c r="O6" i="1" s="1"/>
  <c r="O7" i="1" s="1"/>
  <c r="N3" i="1"/>
  <c r="N4" i="1" s="1"/>
  <c r="N5" i="1" s="1"/>
  <c r="N6" i="1" s="1"/>
  <c r="N7" i="1" s="1"/>
  <c r="M3" i="1"/>
  <c r="M4" i="1" s="1"/>
  <c r="M5" i="1" s="1"/>
  <c r="M6" i="1" s="1"/>
  <c r="M7" i="1" s="1"/>
  <c r="L3" i="1"/>
  <c r="L4" i="1" s="1"/>
  <c r="L5" i="1" s="1"/>
  <c r="L6" i="1" s="1"/>
  <c r="L7" i="1" s="1"/>
  <c r="K3" i="1"/>
  <c r="K4" i="1" s="1"/>
  <c r="K5" i="1" s="1"/>
  <c r="K6" i="1" s="1"/>
  <c r="K7" i="1" s="1"/>
  <c r="J3" i="1"/>
  <c r="J4" i="1" s="1"/>
  <c r="J5" i="1" s="1"/>
  <c r="J6" i="1" s="1"/>
  <c r="J7" i="1" s="1"/>
  <c r="L16" i="11" l="1"/>
  <c r="N22" i="11"/>
  <c r="P18" i="11"/>
  <c r="L21" i="11"/>
  <c r="N17" i="11"/>
  <c r="O15" i="11"/>
  <c r="L17" i="11"/>
  <c r="P23" i="11"/>
  <c r="L20" i="11"/>
  <c r="N16" i="11"/>
  <c r="P22" i="11"/>
  <c r="L19" i="11"/>
  <c r="P15" i="11"/>
  <c r="O22" i="11"/>
  <c r="M21" i="11"/>
  <c r="K20" i="11"/>
  <c r="O18" i="11"/>
  <c r="M17" i="11"/>
  <c r="K16" i="11"/>
  <c r="O23" i="11"/>
  <c r="M22" i="11"/>
  <c r="K21" i="11"/>
  <c r="O19" i="11"/>
  <c r="M18" i="11"/>
  <c r="K17" i="11"/>
  <c r="K15" i="11"/>
  <c r="N23" i="11"/>
  <c r="L22" i="11"/>
  <c r="P20" i="11"/>
  <c r="N19" i="11"/>
  <c r="L18" i="11"/>
  <c r="P16" i="11"/>
  <c r="L15" i="11"/>
  <c r="M23" i="11"/>
  <c r="K22" i="11"/>
  <c r="O20" i="11"/>
  <c r="M19" i="11"/>
  <c r="K18" i="11"/>
  <c r="O16" i="11"/>
  <c r="M15" i="11"/>
  <c r="N15" i="11"/>
  <c r="O21" i="11"/>
  <c r="M20" i="11"/>
  <c r="K19" i="11"/>
  <c r="O17" i="11"/>
  <c r="M16" i="11"/>
  <c r="P11" i="10"/>
  <c r="K12" i="10"/>
  <c r="N15" i="10"/>
  <c r="P12" i="10"/>
  <c r="L13" i="10"/>
  <c r="M13" i="10"/>
  <c r="P15" i="10"/>
  <c r="P17" i="9"/>
  <c r="O16" i="9"/>
  <c r="N15" i="9"/>
  <c r="O12" i="9"/>
  <c r="K14" i="9"/>
  <c r="L14" i="9"/>
  <c r="M15" i="9"/>
  <c r="P15" i="8"/>
  <c r="P13" i="7"/>
  <c r="O11" i="7"/>
  <c r="K13" i="7"/>
  <c r="K10" i="6"/>
  <c r="L10" i="6"/>
  <c r="O12" i="6"/>
  <c r="P12" i="6"/>
  <c r="N33" i="5"/>
  <c r="P33" i="5"/>
  <c r="P26" i="5"/>
  <c r="L24" i="5"/>
  <c r="L28" i="5"/>
  <c r="P30" i="5"/>
  <c r="L32" i="5"/>
  <c r="M32" i="5"/>
  <c r="L20" i="5"/>
  <c r="P22" i="5"/>
  <c r="O15" i="4"/>
  <c r="N14" i="4"/>
  <c r="K12" i="4"/>
  <c r="M12" i="4"/>
  <c r="K11" i="4"/>
  <c r="N12" i="4"/>
  <c r="K15" i="4"/>
  <c r="P12" i="3"/>
  <c r="M11" i="3"/>
  <c r="N11" i="3"/>
  <c r="K10" i="3"/>
  <c r="O12" i="3"/>
  <c r="O28" i="2"/>
  <c r="M23" i="2"/>
  <c r="O24" i="2"/>
  <c r="P28" i="2"/>
  <c r="O20" i="2"/>
  <c r="P24" i="2"/>
  <c r="K29" i="2"/>
  <c r="P20" i="2"/>
  <c r="K25" i="2"/>
  <c r="K30" i="2"/>
  <c r="K21" i="2"/>
  <c r="K26" i="2"/>
  <c r="L30" i="2"/>
  <c r="K22" i="2"/>
  <c r="L26" i="2"/>
  <c r="M30" i="2"/>
  <c r="P33" i="2"/>
  <c r="L22" i="2"/>
  <c r="M26" i="2"/>
  <c r="M31" i="2"/>
  <c r="M22" i="2"/>
  <c r="M27" i="2"/>
  <c r="O32" i="2"/>
  <c r="L15" i="1"/>
  <c r="P13" i="1"/>
  <c r="K15" i="1"/>
  <c r="K11" i="1"/>
  <c r="O15" i="1"/>
  <c r="L11" i="1"/>
  <c r="P15" i="1"/>
  <c r="P11" i="1"/>
  <c r="M12" i="1"/>
  <c r="L13" i="1"/>
  <c r="O13" i="1"/>
  <c r="L12" i="8"/>
  <c r="N12" i="8"/>
  <c r="K14" i="8"/>
  <c r="P14" i="8"/>
  <c r="M12" i="8"/>
  <c r="L14" i="8"/>
  <c r="O12" i="8"/>
  <c r="K15" i="8"/>
  <c r="K11" i="8"/>
  <c r="P12" i="8"/>
  <c r="L15" i="8"/>
  <c r="L11" i="8"/>
  <c r="N13" i="8"/>
  <c r="M15" i="8"/>
  <c r="M11" i="8"/>
  <c r="O13" i="8"/>
  <c r="N15" i="8"/>
  <c r="N11" i="8"/>
  <c r="P13" i="8"/>
  <c r="O11" i="8"/>
  <c r="K13" i="8"/>
  <c r="M14" i="8"/>
  <c r="O15" i="8"/>
  <c r="P11" i="8"/>
  <c r="L13" i="8"/>
  <c r="N14" i="8"/>
  <c r="K12" i="8"/>
  <c r="M13" i="8"/>
  <c r="O14" i="8"/>
  <c r="O14" i="10"/>
  <c r="L12" i="10"/>
  <c r="N13" i="10"/>
  <c r="P14" i="10"/>
  <c r="K11" i="10"/>
  <c r="M12" i="10"/>
  <c r="O13" i="10"/>
  <c r="K15" i="10"/>
  <c r="N14" i="10"/>
  <c r="L11" i="10"/>
  <c r="N12" i="10"/>
  <c r="P13" i="10"/>
  <c r="L15" i="10"/>
  <c r="M11" i="10"/>
  <c r="O12" i="10"/>
  <c r="K14" i="10"/>
  <c r="M15" i="10"/>
  <c r="N11" i="10"/>
  <c r="L14" i="10"/>
  <c r="O11" i="10"/>
  <c r="K13" i="10"/>
  <c r="M14" i="10"/>
  <c r="P12" i="9"/>
  <c r="P16" i="9"/>
  <c r="K13" i="9"/>
  <c r="M14" i="9"/>
  <c r="O15" i="9"/>
  <c r="K17" i="9"/>
  <c r="L13" i="9"/>
  <c r="N14" i="9"/>
  <c r="P15" i="9"/>
  <c r="L17" i="9"/>
  <c r="K12" i="9"/>
  <c r="M13" i="9"/>
  <c r="O14" i="9"/>
  <c r="K16" i="9"/>
  <c r="M17" i="9"/>
  <c r="L12" i="9"/>
  <c r="N13" i="9"/>
  <c r="P14" i="9"/>
  <c r="L16" i="9"/>
  <c r="N17" i="9"/>
  <c r="M12" i="9"/>
  <c r="O13" i="9"/>
  <c r="K15" i="9"/>
  <c r="M16" i="9"/>
  <c r="O17" i="9"/>
  <c r="N12" i="9"/>
  <c r="P13" i="9"/>
  <c r="L15" i="9"/>
  <c r="N16" i="9"/>
  <c r="M10" i="7"/>
  <c r="K10" i="7"/>
  <c r="M11" i="7"/>
  <c r="O12" i="7"/>
  <c r="L10" i="7"/>
  <c r="N11" i="7"/>
  <c r="P12" i="7"/>
  <c r="N10" i="7"/>
  <c r="P11" i="7"/>
  <c r="L13" i="7"/>
  <c r="O10" i="7"/>
  <c r="K12" i="7"/>
  <c r="M13" i="7"/>
  <c r="P10" i="7"/>
  <c r="L12" i="7"/>
  <c r="N13" i="7"/>
  <c r="K11" i="7"/>
  <c r="M12" i="7"/>
  <c r="O13" i="7"/>
  <c r="L11" i="7"/>
  <c r="N12" i="7"/>
  <c r="M10" i="6"/>
  <c r="O11" i="6"/>
  <c r="K13" i="6"/>
  <c r="N10" i="6"/>
  <c r="P11" i="6"/>
  <c r="L13" i="6"/>
  <c r="N11" i="6"/>
  <c r="O10" i="6"/>
  <c r="K12" i="6"/>
  <c r="M13" i="6"/>
  <c r="P10" i="6"/>
  <c r="L12" i="6"/>
  <c r="N13" i="6"/>
  <c r="M11" i="6"/>
  <c r="K11" i="6"/>
  <c r="M12" i="6"/>
  <c r="O13" i="6"/>
  <c r="L11" i="6"/>
  <c r="N12" i="6"/>
  <c r="O20" i="5"/>
  <c r="K26" i="5"/>
  <c r="O32" i="5"/>
  <c r="P20" i="5"/>
  <c r="L22" i="5"/>
  <c r="N23" i="5"/>
  <c r="P24" i="5"/>
  <c r="L26" i="5"/>
  <c r="N27" i="5"/>
  <c r="P28" i="5"/>
  <c r="L30" i="5"/>
  <c r="N31" i="5"/>
  <c r="P32" i="5"/>
  <c r="K22" i="5"/>
  <c r="O24" i="5"/>
  <c r="M27" i="5"/>
  <c r="O28" i="5"/>
  <c r="K21" i="5"/>
  <c r="M22" i="5"/>
  <c r="O23" i="5"/>
  <c r="K25" i="5"/>
  <c r="M26" i="5"/>
  <c r="O27" i="5"/>
  <c r="K29" i="5"/>
  <c r="M30" i="5"/>
  <c r="O31" i="5"/>
  <c r="K33" i="5"/>
  <c r="N21" i="5"/>
  <c r="N25" i="5"/>
  <c r="M23" i="5"/>
  <c r="M31" i="5"/>
  <c r="L21" i="5"/>
  <c r="N22" i="5"/>
  <c r="P23" i="5"/>
  <c r="L25" i="5"/>
  <c r="N26" i="5"/>
  <c r="P27" i="5"/>
  <c r="L29" i="5"/>
  <c r="N30" i="5"/>
  <c r="P31" i="5"/>
  <c r="L33" i="5"/>
  <c r="N29" i="5"/>
  <c r="K30" i="5"/>
  <c r="K20" i="5"/>
  <c r="M21" i="5"/>
  <c r="O22" i="5"/>
  <c r="K24" i="5"/>
  <c r="M25" i="5"/>
  <c r="O26" i="5"/>
  <c r="K28" i="5"/>
  <c r="M29" i="5"/>
  <c r="O30" i="5"/>
  <c r="K32" i="5"/>
  <c r="M33" i="5"/>
  <c r="M20" i="5"/>
  <c r="O21" i="5"/>
  <c r="K23" i="5"/>
  <c r="M24" i="5"/>
  <c r="O25" i="5"/>
  <c r="K27" i="5"/>
  <c r="M28" i="5"/>
  <c r="O29" i="5"/>
  <c r="K31" i="5"/>
  <c r="O33" i="5"/>
  <c r="N20" i="5"/>
  <c r="P21" i="5"/>
  <c r="L23" i="5"/>
  <c r="N24" i="5"/>
  <c r="P25" i="5"/>
  <c r="L27" i="5"/>
  <c r="N28" i="5"/>
  <c r="P29" i="5"/>
  <c r="L31" i="5"/>
  <c r="N32" i="5"/>
  <c r="M13" i="4"/>
  <c r="O14" i="4"/>
  <c r="L12" i="4"/>
  <c r="N13" i="4"/>
  <c r="P14" i="4"/>
  <c r="L11" i="4"/>
  <c r="P13" i="4"/>
  <c r="O13" i="4"/>
  <c r="M11" i="4"/>
  <c r="O12" i="4"/>
  <c r="K14" i="4"/>
  <c r="M15" i="4"/>
  <c r="N11" i="4"/>
  <c r="P12" i="4"/>
  <c r="L14" i="4"/>
  <c r="N15" i="4"/>
  <c r="O11" i="4"/>
  <c r="K13" i="4"/>
  <c r="M14" i="4"/>
  <c r="P11" i="4"/>
  <c r="L13" i="4"/>
  <c r="M10" i="3"/>
  <c r="O11" i="3"/>
  <c r="K13" i="3"/>
  <c r="N10" i="3"/>
  <c r="P11" i="3"/>
  <c r="L13" i="3"/>
  <c r="O10" i="3"/>
  <c r="K12" i="3"/>
  <c r="M13" i="3"/>
  <c r="L10" i="3"/>
  <c r="P10" i="3"/>
  <c r="L12" i="3"/>
  <c r="N13" i="3"/>
  <c r="K11" i="3"/>
  <c r="M12" i="3"/>
  <c r="O13" i="3"/>
  <c r="L11" i="3"/>
  <c r="N12" i="3"/>
  <c r="N7" i="2"/>
  <c r="N8" i="2" s="1"/>
  <c r="N9" i="2" s="1"/>
  <c r="N10" i="2" s="1"/>
  <c r="N23" i="2"/>
  <c r="P32" i="2"/>
  <c r="L21" i="2"/>
  <c r="N22" i="2"/>
  <c r="P23" i="2"/>
  <c r="L25" i="2"/>
  <c r="N26" i="2"/>
  <c r="P27" i="2"/>
  <c r="L29" i="2"/>
  <c r="P31" i="2"/>
  <c r="L33" i="2"/>
  <c r="K20" i="2"/>
  <c r="M21" i="2"/>
  <c r="O22" i="2"/>
  <c r="K24" i="2"/>
  <c r="M25" i="2"/>
  <c r="O26" i="2"/>
  <c r="K28" i="2"/>
  <c r="M29" i="2"/>
  <c r="O30" i="2"/>
  <c r="K32" i="2"/>
  <c r="M33" i="2"/>
  <c r="O23" i="2"/>
  <c r="O31" i="2"/>
  <c r="L20" i="2"/>
  <c r="N21" i="2"/>
  <c r="P22" i="2"/>
  <c r="L24" i="2"/>
  <c r="P26" i="2"/>
  <c r="L28" i="2"/>
  <c r="P30" i="2"/>
  <c r="L32" i="2"/>
  <c r="M20" i="2"/>
  <c r="O21" i="2"/>
  <c r="K23" i="2"/>
  <c r="M24" i="2"/>
  <c r="O25" i="2"/>
  <c r="K27" i="2"/>
  <c r="M28" i="2"/>
  <c r="O29" i="2"/>
  <c r="K31" i="2"/>
  <c r="M32" i="2"/>
  <c r="O33" i="2"/>
  <c r="O27" i="2"/>
  <c r="N20" i="2"/>
  <c r="P21" i="2"/>
  <c r="L23" i="2"/>
  <c r="N24" i="2"/>
  <c r="P25" i="2"/>
  <c r="L27" i="2"/>
  <c r="P29" i="2"/>
  <c r="L31" i="2"/>
  <c r="K12" i="1"/>
  <c r="M13" i="1"/>
  <c r="O14" i="1"/>
  <c r="N14" i="1"/>
  <c r="L12" i="1"/>
  <c r="N13" i="1"/>
  <c r="P14" i="1"/>
  <c r="N12" i="1"/>
  <c r="M11" i="1"/>
  <c r="O12" i="1"/>
  <c r="K14" i="1"/>
  <c r="M15" i="1"/>
  <c r="N11" i="1"/>
  <c r="P12" i="1"/>
  <c r="L14" i="1"/>
  <c r="N15" i="1"/>
  <c r="O11" i="1"/>
  <c r="K13" i="1"/>
  <c r="M14" i="1"/>
  <c r="O24" i="11" l="1"/>
  <c r="K24" i="11"/>
  <c r="K25" i="11" s="1"/>
  <c r="L24" i="11"/>
  <c r="L25" i="11" s="1"/>
  <c r="N24" i="11"/>
  <c r="N25" i="11" s="1"/>
  <c r="M24" i="11"/>
  <c r="M25" i="11" s="1"/>
  <c r="P24" i="11"/>
  <c r="P25" i="11" s="1"/>
  <c r="P16" i="10"/>
  <c r="P17" i="10" s="1"/>
  <c r="N16" i="10"/>
  <c r="N17" i="10" s="1"/>
  <c r="O16" i="10"/>
  <c r="O17" i="10" s="1"/>
  <c r="N18" i="9"/>
  <c r="N19" i="9" s="1"/>
  <c r="O18" i="9"/>
  <c r="O19" i="9" s="1"/>
  <c r="K14" i="7"/>
  <c r="K15" i="7" s="1"/>
  <c r="N14" i="7"/>
  <c r="N15" i="7" s="1"/>
  <c r="P14" i="6"/>
  <c r="P15" i="6" s="1"/>
  <c r="K14" i="6"/>
  <c r="K15" i="6" s="1"/>
  <c r="N14" i="6"/>
  <c r="N15" i="6" s="1"/>
  <c r="L14" i="6"/>
  <c r="L15" i="6" s="1"/>
  <c r="O14" i="6"/>
  <c r="O15" i="6" s="1"/>
  <c r="L34" i="5"/>
  <c r="L35" i="5" s="1"/>
  <c r="P34" i="5"/>
  <c r="P35" i="5" s="1"/>
  <c r="M34" i="5"/>
  <c r="M35" i="5" s="1"/>
  <c r="O16" i="4"/>
  <c r="O17" i="4" s="1"/>
  <c r="K16" i="4"/>
  <c r="K17" i="4" s="1"/>
  <c r="M16" i="4"/>
  <c r="M17" i="4" s="1"/>
  <c r="P14" i="3"/>
  <c r="P15" i="3" s="1"/>
  <c r="O14" i="3"/>
  <c r="O15" i="3" s="1"/>
  <c r="K14" i="3"/>
  <c r="K15" i="3" s="1"/>
  <c r="N25" i="2"/>
  <c r="O34" i="2"/>
  <c r="O35" i="2" s="1"/>
  <c r="M34" i="2"/>
  <c r="M35" i="2" s="1"/>
  <c r="L34" i="2"/>
  <c r="L35" i="2" s="1"/>
  <c r="P16" i="1"/>
  <c r="P17" i="1" s="1"/>
  <c r="K16" i="1"/>
  <c r="K17" i="1" s="1"/>
  <c r="N16" i="8"/>
  <c r="N17" i="8" s="1"/>
  <c r="K16" i="8"/>
  <c r="K17" i="8" s="1"/>
  <c r="L16" i="8"/>
  <c r="L17" i="8" s="1"/>
  <c r="P16" i="8"/>
  <c r="P17" i="8" s="1"/>
  <c r="O16" i="8"/>
  <c r="O17" i="8" s="1"/>
  <c r="M16" i="8"/>
  <c r="M17" i="8" s="1"/>
  <c r="O25" i="11"/>
  <c r="M16" i="10"/>
  <c r="M17" i="10" s="1"/>
  <c r="K16" i="10"/>
  <c r="K17" i="10" s="1"/>
  <c r="L16" i="10"/>
  <c r="L17" i="10" s="1"/>
  <c r="K18" i="9"/>
  <c r="K19" i="9" s="1"/>
  <c r="M18" i="9"/>
  <c r="M19" i="9" s="1"/>
  <c r="L18" i="9"/>
  <c r="L19" i="9" s="1"/>
  <c r="P18" i="9"/>
  <c r="P19" i="9" s="1"/>
  <c r="P14" i="7"/>
  <c r="P15" i="7" s="1"/>
  <c r="L14" i="7"/>
  <c r="L15" i="7" s="1"/>
  <c r="O14" i="7"/>
  <c r="O15" i="7" s="1"/>
  <c r="M14" i="7"/>
  <c r="M15" i="7" s="1"/>
  <c r="M14" i="6"/>
  <c r="M15" i="6" s="1"/>
  <c r="K34" i="5"/>
  <c r="K35" i="5" s="1"/>
  <c r="N34" i="5"/>
  <c r="N35" i="5" s="1"/>
  <c r="O34" i="5"/>
  <c r="O35" i="5" s="1"/>
  <c r="L16" i="4"/>
  <c r="L17" i="4" s="1"/>
  <c r="P16" i="4"/>
  <c r="P17" i="4" s="1"/>
  <c r="N16" i="4"/>
  <c r="N17" i="4" s="1"/>
  <c r="N14" i="3"/>
  <c r="N15" i="3" s="1"/>
  <c r="L14" i="3"/>
  <c r="L15" i="3" s="1"/>
  <c r="M14" i="3"/>
  <c r="M15" i="3" s="1"/>
  <c r="K34" i="2"/>
  <c r="K35" i="2" s="1"/>
  <c r="P34" i="2"/>
  <c r="P35" i="2" s="1"/>
  <c r="N11" i="2"/>
  <c r="N27" i="2"/>
  <c r="N16" i="1"/>
  <c r="N17" i="1" s="1"/>
  <c r="L16" i="1"/>
  <c r="L17" i="1" s="1"/>
  <c r="O16" i="1"/>
  <c r="O17" i="1" s="1"/>
  <c r="M16" i="1"/>
  <c r="M17" i="1" s="1"/>
  <c r="N12" i="2" l="1"/>
  <c r="N28" i="2"/>
  <c r="N13" i="2" l="1"/>
  <c r="N29" i="2"/>
  <c r="N14" i="2" l="1"/>
  <c r="N30" i="2"/>
  <c r="N15" i="2" l="1"/>
  <c r="N31" i="2"/>
  <c r="N16" i="2" l="1"/>
  <c r="N33" i="2" s="1"/>
  <c r="N34" i="2" s="1"/>
  <c r="N35" i="2" s="1"/>
  <c r="N32" i="2"/>
</calcChain>
</file>

<file path=xl/sharedStrings.xml><?xml version="1.0" encoding="utf-8"?>
<sst xmlns="http://schemas.openxmlformats.org/spreadsheetml/2006/main" count="604" uniqueCount="108">
  <si>
    <t>BOCAIÚVA</t>
  </si>
  <si>
    <t>ENGENHEIRO NAVARRO</t>
  </si>
  <si>
    <t>FRANCISCO DUMONT</t>
  </si>
  <si>
    <t>GUARACIAMA</t>
  </si>
  <si>
    <t>JOAQUIM FELÍCIO</t>
  </si>
  <si>
    <t>OLHOS-D'ÁGUA</t>
  </si>
  <si>
    <t>BRASÍLIA DE MINAS</t>
  </si>
  <si>
    <t>CAMPO AZUL</t>
  </si>
  <si>
    <t>IBIRACATU</t>
  </si>
  <si>
    <t>ICARAÍ DE MINAS</t>
  </si>
  <si>
    <t>JAPONVAR</t>
  </si>
  <si>
    <t>LONTRA</t>
  </si>
  <si>
    <t>LUISLÂNDIA</t>
  </si>
  <si>
    <t>PATIS</t>
  </si>
  <si>
    <t>PINTÓPOLIS</t>
  </si>
  <si>
    <t>SÃO FRANCISCO</t>
  </si>
  <si>
    <t>SÃO JOÃO DA PONTE</t>
  </si>
  <si>
    <t>SÃO ROMÃO</t>
  </si>
  <si>
    <t>UBAÍ</t>
  </si>
  <si>
    <t>URUCUIA</t>
  </si>
  <si>
    <t>VARZELÂNDIA</t>
  </si>
  <si>
    <t>CORAÇÃO DE JESUS</t>
  </si>
  <si>
    <t>JEQUITAÍ</t>
  </si>
  <si>
    <t>LAGOA DOS PATOS</t>
  </si>
  <si>
    <t>SÃO JOÃO DA LAGOA</t>
  </si>
  <si>
    <t>SÃO JOÃO DO PACUÍ</t>
  </si>
  <si>
    <t>FRANCISCO SÁ</t>
  </si>
  <si>
    <t>BOTUMIRIM</t>
  </si>
  <si>
    <t>CAPITÃO ENÉAS</t>
  </si>
  <si>
    <t>CRISTÁLIA</t>
  </si>
  <si>
    <t>GRÃO MOGOL</t>
  </si>
  <si>
    <t>JOSENÓPOLIS</t>
  </si>
  <si>
    <t>CATUTI</t>
  </si>
  <si>
    <t>ESPINOSA</t>
  </si>
  <si>
    <t>GAMELEIRAS</t>
  </si>
  <si>
    <t>JAÍBA</t>
  </si>
  <si>
    <t>JANAÚBA</t>
  </si>
  <si>
    <t>MAMONAS</t>
  </si>
  <si>
    <t>MATIAS CARDOSO</t>
  </si>
  <si>
    <t>MATO VERDE</t>
  </si>
  <si>
    <t>MONTE AZUL</t>
  </si>
  <si>
    <t>NOVA PORTEIRINHA</t>
  </si>
  <si>
    <t>PAI PEDRO</t>
  </si>
  <si>
    <t>PORTEIRINHA</t>
  </si>
  <si>
    <t>RIACHO DOS MACHADOS</t>
  </si>
  <si>
    <t>SERRANÓPOLIS DE MINAS</t>
  </si>
  <si>
    <t>VERDELÂNDIA</t>
  </si>
  <si>
    <t>JANUÁRIA</t>
  </si>
  <si>
    <t>BONITO DE MINAS</t>
  </si>
  <si>
    <t>CÔNEGO MARINHO</t>
  </si>
  <si>
    <t>ITACARAMBI</t>
  </si>
  <si>
    <t>PEDRAS DE MARIA DA CRUZ</t>
  </si>
  <si>
    <t>MANGA</t>
  </si>
  <si>
    <t>JUVENÍLIA</t>
  </si>
  <si>
    <t>MIRAVÂNIA</t>
  </si>
  <si>
    <t>MONTALVÂNIA</t>
  </si>
  <si>
    <t>SÃO JOÃO DAS MISSÕES</t>
  </si>
  <si>
    <t>MONTES CLAROS</t>
  </si>
  <si>
    <t>CLARO DOS POÇÕES</t>
  </si>
  <si>
    <t>GLAUCILÂNDIA</t>
  </si>
  <si>
    <t>ITACAMBIRA</t>
  </si>
  <si>
    <t>JURAMENTO</t>
  </si>
  <si>
    <t>MIRABELA</t>
  </si>
  <si>
    <t>PIRAPORA</t>
  </si>
  <si>
    <t>BURITIZEIRO</t>
  </si>
  <si>
    <t>IBIAÍ</t>
  </si>
  <si>
    <t>LASSANCE</t>
  </si>
  <si>
    <t>PONTO CHIQUE</t>
  </si>
  <si>
    <t>SANTA FÉ DE MINAS</t>
  </si>
  <si>
    <t>VÁRZEA DA PALMA</t>
  </si>
  <si>
    <t>SALINAS</t>
  </si>
  <si>
    <t>FRUTA DE LEITE</t>
  </si>
  <si>
    <t>NOVORIZONTE</t>
  </si>
  <si>
    <t>PADRE CARVALHO</t>
  </si>
  <si>
    <t>RUBELITA</t>
  </si>
  <si>
    <t>SANTA CRUZ DE SALINAS</t>
  </si>
  <si>
    <t>TAIOBEIRAS</t>
  </si>
  <si>
    <t>BERIZAL</t>
  </si>
  <si>
    <t>CURRAL DE DENTRO</t>
  </si>
  <si>
    <t>INDAIABIRA</t>
  </si>
  <si>
    <t>MONTEZUMA</t>
  </si>
  <si>
    <t>NINHEIRA</t>
  </si>
  <si>
    <t>RIO PARDO DE MINAS</t>
  </si>
  <si>
    <t>SANTO ANTÔNIO DO RETIRO</t>
  </si>
  <si>
    <t>SÃO JOÃO DO PARAÍSO</t>
  </si>
  <si>
    <t>VARGEM GRANDE DO RIO PARDO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</si>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</sst>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BOCAIUVA!$J$1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BOCAIUVA!$J$2:$J$7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63-48D8-AD54-9C97B62622BD}"/>
            </c:ext>
          </c:extLst>
        </c:ser>
        <c:ser>
          <c:idx val="1"/>
          <c:order val="1"/>
          <c:tx>
            <c:strRef>
              <c:f>BOCAIUVA!$K$1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BOCAIUVA!$K$2:$K$7</c:f>
              <c:numCache>
                <c:formatCode>0.00</c:formatCode>
                <c:ptCount val="6"/>
                <c:pt idx="0">
                  <c:v>1.0309278350515464E-2</c:v>
                </c:pt>
                <c:pt idx="1">
                  <c:v>0.1134020618556701</c:v>
                </c:pt>
                <c:pt idx="2">
                  <c:v>0.13402061855670103</c:v>
                </c:pt>
                <c:pt idx="3">
                  <c:v>0.21649484536082475</c:v>
                </c:pt>
                <c:pt idx="4">
                  <c:v>0.25773195876288663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63-48D8-AD54-9C97B62622BD}"/>
            </c:ext>
          </c:extLst>
        </c:ser>
        <c:ser>
          <c:idx val="2"/>
          <c:order val="2"/>
          <c:tx>
            <c:strRef>
              <c:f>BOCAIUVA!$L$1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BOCAIUVA!$L$2:$L$7</c:f>
              <c:numCache>
                <c:formatCode>0.00</c:formatCode>
                <c:ptCount val="6"/>
                <c:pt idx="0">
                  <c:v>2.7777777777777776E-2</c:v>
                </c:pt>
                <c:pt idx="1">
                  <c:v>5.5555555555555552E-2</c:v>
                </c:pt>
                <c:pt idx="2">
                  <c:v>8.3333333333333329E-2</c:v>
                </c:pt>
                <c:pt idx="3">
                  <c:v>0.1111111111111111</c:v>
                </c:pt>
                <c:pt idx="4">
                  <c:v>0.125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63-48D8-AD54-9C97B62622BD}"/>
            </c:ext>
          </c:extLst>
        </c:ser>
        <c:ser>
          <c:idx val="3"/>
          <c:order val="3"/>
          <c:tx>
            <c:strRef>
              <c:f>BOCAIUVA!$M$1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BOCAIUVA!$M$2:$M$7</c:f>
              <c:numCache>
                <c:formatCode>0.00</c:formatCode>
                <c:ptCount val="6"/>
                <c:pt idx="0">
                  <c:v>8.1081081081081086E-2</c:v>
                </c:pt>
                <c:pt idx="1">
                  <c:v>0.10810810810810811</c:v>
                </c:pt>
                <c:pt idx="2">
                  <c:v>0.1891891891891892</c:v>
                </c:pt>
                <c:pt idx="3">
                  <c:v>0.27027027027027029</c:v>
                </c:pt>
                <c:pt idx="4">
                  <c:v>0.35135135135135137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63-48D8-AD54-9C97B6262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19696"/>
        <c:axId val="388076944"/>
      </c:scatterChart>
      <c:valAx>
        <c:axId val="4150196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076944"/>
        <c:crosses val="autoZero"/>
        <c:crossBetween val="midCat"/>
      </c:valAx>
      <c:valAx>
        <c:axId val="38807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1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BOCAIUVA!$J$1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BOCAIUVA!$J$2:$J$7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A-47AB-82D9-F0E2DC1CDF08}"/>
            </c:ext>
          </c:extLst>
        </c:ser>
        <c:ser>
          <c:idx val="1"/>
          <c:order val="1"/>
          <c:tx>
            <c:strRef>
              <c:f>BOCAIUVA!$N$1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BOCAIUVA!$N$2:$N$7</c:f>
              <c:numCache>
                <c:formatCode>0.00</c:formatCode>
                <c:ptCount val="6"/>
                <c:pt idx="0">
                  <c:v>4.9180327868852458E-2</c:v>
                </c:pt>
                <c:pt idx="1">
                  <c:v>9.8360655737704916E-2</c:v>
                </c:pt>
                <c:pt idx="2">
                  <c:v>0.12295081967213115</c:v>
                </c:pt>
                <c:pt idx="3">
                  <c:v>0.22131147540983606</c:v>
                </c:pt>
                <c:pt idx="4">
                  <c:v>0.31147540983606559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A-47AB-82D9-F0E2DC1CDF08}"/>
            </c:ext>
          </c:extLst>
        </c:ser>
        <c:ser>
          <c:idx val="2"/>
          <c:order val="2"/>
          <c:tx>
            <c:strRef>
              <c:f>BOCAIUVA!$O$1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BOCAIUVA!$O$2:$O$7</c:f>
              <c:numCache>
                <c:formatCode>0.00</c:formatCode>
                <c:ptCount val="6"/>
                <c:pt idx="0">
                  <c:v>6.3291139240506333E-2</c:v>
                </c:pt>
                <c:pt idx="1">
                  <c:v>0.12025316455696203</c:v>
                </c:pt>
                <c:pt idx="2">
                  <c:v>0.15189873417721519</c:v>
                </c:pt>
                <c:pt idx="3">
                  <c:v>0.189873417721519</c:v>
                </c:pt>
                <c:pt idx="4">
                  <c:v>0.33544303797468356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2A-47AB-82D9-F0E2DC1CDF08}"/>
            </c:ext>
          </c:extLst>
        </c:ser>
        <c:ser>
          <c:idx val="3"/>
          <c:order val="3"/>
          <c:tx>
            <c:strRef>
              <c:f>BOCAIUVA!$P$1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BOCAIUVA!$P$2:$P$7</c:f>
              <c:numCache>
                <c:formatCode>0.00</c:formatCode>
                <c:ptCount val="6"/>
                <c:pt idx="0">
                  <c:v>0.1044776119402985</c:v>
                </c:pt>
                <c:pt idx="1">
                  <c:v>0.15671641791044777</c:v>
                </c:pt>
                <c:pt idx="2">
                  <c:v>0.19402985074626866</c:v>
                </c:pt>
                <c:pt idx="3">
                  <c:v>0.21641791044776121</c:v>
                </c:pt>
                <c:pt idx="4">
                  <c:v>0.35074626865671643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2A-47AB-82D9-F0E2DC1CD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71616"/>
        <c:axId val="544870176"/>
      </c:scatterChart>
      <c:valAx>
        <c:axId val="5448716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0176"/>
        <c:crosses val="autoZero"/>
        <c:crossBetween val="midCat"/>
      </c:valAx>
      <c:valAx>
        <c:axId val="5448701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'BRASÍLIA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MINAS'!$J$2:$J$16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49-4B28-8D39-D249243E6BC2}"/>
            </c:ext>
          </c:extLst>
        </c:ser>
        <c:ser>
          <c:idx val="1"/>
          <c:order val="1"/>
          <c:tx>
            <c:strRef>
              <c:f>'BRASÍLIA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MINAS'!$K$2:$K$16</c:f>
              <c:numCache>
                <c:formatCode>0.00</c:formatCode>
                <c:ptCount val="15"/>
                <c:pt idx="0">
                  <c:v>1.0869565217391304E-2</c:v>
                </c:pt>
                <c:pt idx="1">
                  <c:v>1.0869565217391304E-2</c:v>
                </c:pt>
                <c:pt idx="2">
                  <c:v>7.6086956521739135E-2</c:v>
                </c:pt>
                <c:pt idx="3">
                  <c:v>8.6956521739130432E-2</c:v>
                </c:pt>
                <c:pt idx="4">
                  <c:v>0.14130434782608695</c:v>
                </c:pt>
                <c:pt idx="5">
                  <c:v>0.20652173913043476</c:v>
                </c:pt>
                <c:pt idx="6">
                  <c:v>0.2608695652173913</c:v>
                </c:pt>
                <c:pt idx="7">
                  <c:v>0.33695652173913043</c:v>
                </c:pt>
                <c:pt idx="8">
                  <c:v>0.36956521739130432</c:v>
                </c:pt>
                <c:pt idx="9">
                  <c:v>0.39130434782608692</c:v>
                </c:pt>
                <c:pt idx="10">
                  <c:v>0.46739130434782605</c:v>
                </c:pt>
                <c:pt idx="11">
                  <c:v>0.51086956521739124</c:v>
                </c:pt>
                <c:pt idx="12">
                  <c:v>0.60869565217391297</c:v>
                </c:pt>
                <c:pt idx="13">
                  <c:v>0.79347826086956519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49-4B28-8D39-D249243E6BC2}"/>
            </c:ext>
          </c:extLst>
        </c:ser>
        <c:ser>
          <c:idx val="2"/>
          <c:order val="2"/>
          <c:tx>
            <c:strRef>
              <c:f>'BRASÍLIA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MINAS'!$L$2:$L$16</c:f>
              <c:numCache>
                <c:formatCode>0.00</c:formatCode>
                <c:ptCount val="15"/>
                <c:pt idx="0">
                  <c:v>0</c:v>
                </c:pt>
                <c:pt idx="1">
                  <c:v>3.4482758620689655E-2</c:v>
                </c:pt>
                <c:pt idx="2">
                  <c:v>3.4482758620689655E-2</c:v>
                </c:pt>
                <c:pt idx="3">
                  <c:v>6.8965517241379309E-2</c:v>
                </c:pt>
                <c:pt idx="4">
                  <c:v>0.10344827586206896</c:v>
                </c:pt>
                <c:pt idx="5">
                  <c:v>0.24137931034482757</c:v>
                </c:pt>
                <c:pt idx="6">
                  <c:v>0.31034482758620685</c:v>
                </c:pt>
                <c:pt idx="7">
                  <c:v>0.36206896551724133</c:v>
                </c:pt>
                <c:pt idx="8">
                  <c:v>0.36206896551724133</c:v>
                </c:pt>
                <c:pt idx="9">
                  <c:v>0.39655172413793099</c:v>
                </c:pt>
                <c:pt idx="10">
                  <c:v>0.39655172413793099</c:v>
                </c:pt>
                <c:pt idx="11">
                  <c:v>0.43103448275862066</c:v>
                </c:pt>
                <c:pt idx="12">
                  <c:v>0.60344827586206895</c:v>
                </c:pt>
                <c:pt idx="13">
                  <c:v>0.84482758620689657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49-4B28-8D39-D249243E6BC2}"/>
            </c:ext>
          </c:extLst>
        </c:ser>
        <c:ser>
          <c:idx val="3"/>
          <c:order val="3"/>
          <c:tx>
            <c:strRef>
              <c:f>'BRASÍLIA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MINAS'!$M$2:$M$16</c:f>
              <c:numCache>
                <c:formatCode>0.00</c:formatCode>
                <c:ptCount val="15"/>
                <c:pt idx="0">
                  <c:v>1.6129032258064516E-2</c:v>
                </c:pt>
                <c:pt idx="1">
                  <c:v>1.6129032258064516E-2</c:v>
                </c:pt>
                <c:pt idx="2">
                  <c:v>3.2258064516129031E-2</c:v>
                </c:pt>
                <c:pt idx="3">
                  <c:v>4.8387096774193547E-2</c:v>
                </c:pt>
                <c:pt idx="4">
                  <c:v>9.6774193548387094E-2</c:v>
                </c:pt>
                <c:pt idx="5">
                  <c:v>0.11290322580645161</c:v>
                </c:pt>
                <c:pt idx="6">
                  <c:v>0.11290322580645161</c:v>
                </c:pt>
                <c:pt idx="7">
                  <c:v>0.14516129032258063</c:v>
                </c:pt>
                <c:pt idx="8">
                  <c:v>0.24193548387096772</c:v>
                </c:pt>
                <c:pt idx="9">
                  <c:v>0.29032258064516125</c:v>
                </c:pt>
                <c:pt idx="10">
                  <c:v>0.32258064516129026</c:v>
                </c:pt>
                <c:pt idx="11">
                  <c:v>0.37096774193548382</c:v>
                </c:pt>
                <c:pt idx="12">
                  <c:v>0.58064516129032251</c:v>
                </c:pt>
                <c:pt idx="13">
                  <c:v>0.79032258064516125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49-4B28-8D39-D249243E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0256"/>
        <c:axId val="562540736"/>
      </c:scatterChart>
      <c:valAx>
        <c:axId val="562540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0736"/>
        <c:crosses val="autoZero"/>
        <c:crossBetween val="midCat"/>
      </c:valAx>
      <c:valAx>
        <c:axId val="562540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'BRASÍLIA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MINAS'!$J$2:$J$16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6C-4D64-AAAC-18ABF9FB6616}"/>
            </c:ext>
          </c:extLst>
        </c:ser>
        <c:ser>
          <c:idx val="1"/>
          <c:order val="1"/>
          <c:tx>
            <c:strRef>
              <c:f>'BRASÍLIA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MINAS'!$N$2:$N$16</c:f>
              <c:numCache>
                <c:formatCode>0.00</c:formatCode>
                <c:ptCount val="15"/>
                <c:pt idx="0">
                  <c:v>1.6393442622950821E-2</c:v>
                </c:pt>
                <c:pt idx="1">
                  <c:v>1.6393442622950821E-2</c:v>
                </c:pt>
                <c:pt idx="2">
                  <c:v>2.4590163934426229E-2</c:v>
                </c:pt>
                <c:pt idx="3">
                  <c:v>3.2786885245901641E-2</c:v>
                </c:pt>
                <c:pt idx="4">
                  <c:v>8.1967213114754106E-2</c:v>
                </c:pt>
                <c:pt idx="5">
                  <c:v>0.12295081967213115</c:v>
                </c:pt>
                <c:pt idx="6">
                  <c:v>0.14754098360655737</c:v>
                </c:pt>
                <c:pt idx="7">
                  <c:v>0.18852459016393441</c:v>
                </c:pt>
                <c:pt idx="8">
                  <c:v>0.23770491803278687</c:v>
                </c:pt>
                <c:pt idx="9">
                  <c:v>0.27049180327868849</c:v>
                </c:pt>
                <c:pt idx="10">
                  <c:v>0.34426229508196715</c:v>
                </c:pt>
                <c:pt idx="11">
                  <c:v>0.39344262295081961</c:v>
                </c:pt>
                <c:pt idx="12">
                  <c:v>0.68032786885245899</c:v>
                </c:pt>
                <c:pt idx="13">
                  <c:v>0.80327868852459017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6C-4D64-AAAC-18ABF9FB6616}"/>
            </c:ext>
          </c:extLst>
        </c:ser>
        <c:ser>
          <c:idx val="2"/>
          <c:order val="2"/>
          <c:tx>
            <c:strRef>
              <c:f>'BRASÍLIA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MINAS'!$O$2:$O$16</c:f>
              <c:numCache>
                <c:formatCode>0.00</c:formatCode>
                <c:ptCount val="15"/>
                <c:pt idx="0">
                  <c:v>2.8089887640449437E-2</c:v>
                </c:pt>
                <c:pt idx="1">
                  <c:v>3.3707865168539325E-2</c:v>
                </c:pt>
                <c:pt idx="2">
                  <c:v>6.1797752808988762E-2</c:v>
                </c:pt>
                <c:pt idx="3">
                  <c:v>8.98876404494382E-2</c:v>
                </c:pt>
                <c:pt idx="4">
                  <c:v>0.10112359550561797</c:v>
                </c:pt>
                <c:pt idx="5">
                  <c:v>0.14606741573033707</c:v>
                </c:pt>
                <c:pt idx="6">
                  <c:v>0.20224719101123595</c:v>
                </c:pt>
                <c:pt idx="7">
                  <c:v>0.2696629213483146</c:v>
                </c:pt>
                <c:pt idx="8">
                  <c:v>0.28651685393258425</c:v>
                </c:pt>
                <c:pt idx="9">
                  <c:v>0.33707865168539325</c:v>
                </c:pt>
                <c:pt idx="10">
                  <c:v>0.42134831460674155</c:v>
                </c:pt>
                <c:pt idx="11">
                  <c:v>0.46067415730337075</c:v>
                </c:pt>
                <c:pt idx="12">
                  <c:v>0.61235955056179769</c:v>
                </c:pt>
                <c:pt idx="13">
                  <c:v>0.8033707865168539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6C-4D64-AAAC-18ABF9FB6616}"/>
            </c:ext>
          </c:extLst>
        </c:ser>
        <c:ser>
          <c:idx val="3"/>
          <c:order val="3"/>
          <c:tx>
            <c:strRef>
              <c:f>'BRASÍLIA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MINAS'!$P$2:$P$16</c:f>
              <c:numCache>
                <c:formatCode>0.00</c:formatCode>
                <c:ptCount val="15"/>
                <c:pt idx="0">
                  <c:v>4.9382716049382713E-2</c:v>
                </c:pt>
                <c:pt idx="1">
                  <c:v>4.9382716049382713E-2</c:v>
                </c:pt>
                <c:pt idx="2">
                  <c:v>0.1111111111111111</c:v>
                </c:pt>
                <c:pt idx="3">
                  <c:v>0.14814814814814814</c:v>
                </c:pt>
                <c:pt idx="4">
                  <c:v>0.14814814814814814</c:v>
                </c:pt>
                <c:pt idx="5">
                  <c:v>0.25925925925925924</c:v>
                </c:pt>
                <c:pt idx="6">
                  <c:v>0.30864197530864196</c:v>
                </c:pt>
                <c:pt idx="7">
                  <c:v>0.44444444444444442</c:v>
                </c:pt>
                <c:pt idx="8">
                  <c:v>0.4567901234567901</c:v>
                </c:pt>
                <c:pt idx="9">
                  <c:v>0.4567901234567901</c:v>
                </c:pt>
                <c:pt idx="10">
                  <c:v>0.48148148148148145</c:v>
                </c:pt>
                <c:pt idx="11">
                  <c:v>0.53086419753086411</c:v>
                </c:pt>
                <c:pt idx="12">
                  <c:v>0.61728395061728381</c:v>
                </c:pt>
                <c:pt idx="13">
                  <c:v>0.76543209876543195</c:v>
                </c:pt>
                <c:pt idx="14">
                  <c:v>0.99999999999999978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6C-4D64-AAAC-18ABF9FB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4096"/>
        <c:axId val="562546496"/>
      </c:scatterChart>
      <c:valAx>
        <c:axId val="5625440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6496"/>
        <c:crosses val="autoZero"/>
        <c:crossBetween val="midCat"/>
      </c:valAx>
      <c:valAx>
        <c:axId val="562546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'CORAÇÃO DE JESUS'!$J$1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JESUS'!$J$2:$J$6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F5-4731-80FC-2E21F3527C5C}"/>
            </c:ext>
          </c:extLst>
        </c:ser>
        <c:ser>
          <c:idx val="1"/>
          <c:order val="1"/>
          <c:tx>
            <c:strRef>
              <c:f>'CORAÇÃO DE JESUS'!$K$1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JESUS'!$K$2:$K$6</c:f>
              <c:numCache>
                <c:formatCode>0.00</c:formatCode>
                <c:ptCount val="5"/>
                <c:pt idx="0">
                  <c:v>0.12048192771084337</c:v>
                </c:pt>
                <c:pt idx="1">
                  <c:v>0.16867469879518071</c:v>
                </c:pt>
                <c:pt idx="2">
                  <c:v>0.31325301204819278</c:v>
                </c:pt>
                <c:pt idx="3">
                  <c:v>0.36144578313253012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F5-4731-80FC-2E21F3527C5C}"/>
            </c:ext>
          </c:extLst>
        </c:ser>
        <c:ser>
          <c:idx val="2"/>
          <c:order val="2"/>
          <c:tx>
            <c:strRef>
              <c:f>'CORAÇÃO DE JESUS'!$L$1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JESUS'!$L$2:$L$6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0.26666666666666666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F5-4731-80FC-2E21F3527C5C}"/>
            </c:ext>
          </c:extLst>
        </c:ser>
        <c:ser>
          <c:idx val="3"/>
          <c:order val="3"/>
          <c:tx>
            <c:strRef>
              <c:f>'CORAÇÃO DE JESUS'!$M$1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JESUS'!$M$2:$M$6</c:f>
              <c:numCache>
                <c:formatCode>0.00</c:formatCode>
                <c:ptCount val="5"/>
                <c:pt idx="0">
                  <c:v>3.5714285714285712E-2</c:v>
                </c:pt>
                <c:pt idx="1">
                  <c:v>0.10714285714285714</c:v>
                </c:pt>
                <c:pt idx="2">
                  <c:v>0.10714285714285714</c:v>
                </c:pt>
                <c:pt idx="3">
                  <c:v>0.17857142857142855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F5-4731-80FC-2E21F352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32992"/>
        <c:axId val="424030112"/>
      </c:scatterChart>
      <c:valAx>
        <c:axId val="424032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30112"/>
        <c:crosses val="autoZero"/>
        <c:crossBetween val="midCat"/>
      </c:valAx>
      <c:valAx>
        <c:axId val="424030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3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'CORAÇÃO DE JESUS'!$J$1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JESUS'!$J$2:$J$6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0-4B88-989F-683C9BC4C792}"/>
            </c:ext>
          </c:extLst>
        </c:ser>
        <c:ser>
          <c:idx val="1"/>
          <c:order val="1"/>
          <c:tx>
            <c:strRef>
              <c:f>'CORAÇÃO DE JESUS'!$N$1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JESUS'!$N$2:$N$6</c:f>
              <c:numCache>
                <c:formatCode>0.00</c:formatCode>
                <c:ptCount val="5"/>
                <c:pt idx="0">
                  <c:v>0.02</c:v>
                </c:pt>
                <c:pt idx="1">
                  <c:v>0.04</c:v>
                </c:pt>
                <c:pt idx="2">
                  <c:v>0.05</c:v>
                </c:pt>
                <c:pt idx="3">
                  <c:v>0.2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20-4B88-989F-683C9BC4C792}"/>
            </c:ext>
          </c:extLst>
        </c:ser>
        <c:ser>
          <c:idx val="2"/>
          <c:order val="2"/>
          <c:tx>
            <c:strRef>
              <c:f>'CORAÇÃO DE JESUS'!$O$1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JESUS'!$O$2:$O$6</c:f>
              <c:numCache>
                <c:formatCode>0.00</c:formatCode>
                <c:ptCount val="5"/>
                <c:pt idx="0">
                  <c:v>5.6603773584905662E-2</c:v>
                </c:pt>
                <c:pt idx="1">
                  <c:v>7.5471698113207544E-2</c:v>
                </c:pt>
                <c:pt idx="2">
                  <c:v>0.14150943396226415</c:v>
                </c:pt>
                <c:pt idx="3">
                  <c:v>0.26415094339622641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20-4B88-989F-683C9BC4C792}"/>
            </c:ext>
          </c:extLst>
        </c:ser>
        <c:ser>
          <c:idx val="3"/>
          <c:order val="3"/>
          <c:tx>
            <c:strRef>
              <c:f>'CORAÇÃO DE JESUS'!$P$1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JESUS'!$P$2:$P$6</c:f>
              <c:numCache>
                <c:formatCode>0.00</c:formatCode>
                <c:ptCount val="5"/>
                <c:pt idx="0">
                  <c:v>7.2164948453608241E-2</c:v>
                </c:pt>
                <c:pt idx="1">
                  <c:v>0.12371134020618556</c:v>
                </c:pt>
                <c:pt idx="2">
                  <c:v>0.20618556701030927</c:v>
                </c:pt>
                <c:pt idx="3">
                  <c:v>0.31958762886597936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20-4B88-989F-683C9BC4C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1264"/>
        <c:axId val="655523184"/>
      </c:scatterChart>
      <c:valAx>
        <c:axId val="655521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3184"/>
        <c:crosses val="autoZero"/>
        <c:crossBetween val="midCat"/>
      </c:valAx>
      <c:valAx>
        <c:axId val="655523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'FRANCISCO SÁ'!$J$1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SÁ'!$J$2:$J$7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F6-49CC-B6B0-E014528B047C}"/>
            </c:ext>
          </c:extLst>
        </c:ser>
        <c:ser>
          <c:idx val="1"/>
          <c:order val="1"/>
          <c:tx>
            <c:strRef>
              <c:f>'FRANCISCO SÁ'!$K$1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SÁ'!$K$2:$K$7</c:f>
              <c:numCache>
                <c:formatCode>0.00</c:formatCode>
                <c:ptCount val="6"/>
                <c:pt idx="0">
                  <c:v>6.8181818181818177E-2</c:v>
                </c:pt>
                <c:pt idx="1">
                  <c:v>0.22727272727272727</c:v>
                </c:pt>
                <c:pt idx="2">
                  <c:v>0.34090909090909088</c:v>
                </c:pt>
                <c:pt idx="3">
                  <c:v>0.36363636363636359</c:v>
                </c:pt>
                <c:pt idx="4">
                  <c:v>0.61363636363636354</c:v>
                </c:pt>
                <c:pt idx="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6-49CC-B6B0-E014528B047C}"/>
            </c:ext>
          </c:extLst>
        </c:ser>
        <c:ser>
          <c:idx val="2"/>
          <c:order val="2"/>
          <c:tx>
            <c:strRef>
              <c:f>'FRANCISCO SÁ'!$L$1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SÁ'!$L$2:$L$7</c:f>
              <c:numCache>
                <c:formatCode>0.00</c:formatCode>
                <c:ptCount val="6"/>
                <c:pt idx="0">
                  <c:v>0</c:v>
                </c:pt>
                <c:pt idx="1">
                  <c:v>0.14285714285714285</c:v>
                </c:pt>
                <c:pt idx="2">
                  <c:v>0.14285714285714285</c:v>
                </c:pt>
                <c:pt idx="3">
                  <c:v>0.23809523809523808</c:v>
                </c:pt>
                <c:pt idx="4">
                  <c:v>0.80952380952380953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6-49CC-B6B0-E014528B047C}"/>
            </c:ext>
          </c:extLst>
        </c:ser>
        <c:ser>
          <c:idx val="3"/>
          <c:order val="3"/>
          <c:tx>
            <c:strRef>
              <c:f>'FRANCISCO SÁ'!$M$1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SÁ'!$M$2:$M$7</c:f>
              <c:numCache>
                <c:formatCode>0.00</c:formatCode>
                <c:ptCount val="6"/>
                <c:pt idx="0">
                  <c:v>0</c:v>
                </c:pt>
                <c:pt idx="1">
                  <c:v>6.8965517241379309E-2</c:v>
                </c:pt>
                <c:pt idx="2">
                  <c:v>0.17241379310344829</c:v>
                </c:pt>
                <c:pt idx="3">
                  <c:v>0.20689655172413796</c:v>
                </c:pt>
                <c:pt idx="4">
                  <c:v>0.24137931034482762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F6-49CC-B6B0-E014528B0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8656"/>
        <c:axId val="544866336"/>
      </c:scatterChart>
      <c:valAx>
        <c:axId val="54485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66336"/>
        <c:crosses val="autoZero"/>
        <c:crossBetween val="midCat"/>
      </c:valAx>
      <c:valAx>
        <c:axId val="544866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5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'FRANCISCO SÁ'!$J$1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SÁ'!$J$2:$J$7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D-413C-BADE-646DA47797C7}"/>
            </c:ext>
          </c:extLst>
        </c:ser>
        <c:ser>
          <c:idx val="1"/>
          <c:order val="1"/>
          <c:tx>
            <c:strRef>
              <c:f>'FRANCISCO SÁ'!$N$1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SÁ'!$N$2:$N$7</c:f>
              <c:numCache>
                <c:formatCode>0.00</c:formatCode>
                <c:ptCount val="6"/>
                <c:pt idx="0">
                  <c:v>1.6129032258064516E-2</c:v>
                </c:pt>
                <c:pt idx="1">
                  <c:v>8.0645161290322578E-2</c:v>
                </c:pt>
                <c:pt idx="2">
                  <c:v>9.6774193548387094E-2</c:v>
                </c:pt>
                <c:pt idx="3">
                  <c:v>0.12903225806451613</c:v>
                </c:pt>
                <c:pt idx="4">
                  <c:v>0.33870967741935487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D-413C-BADE-646DA47797C7}"/>
            </c:ext>
          </c:extLst>
        </c:ser>
        <c:ser>
          <c:idx val="2"/>
          <c:order val="2"/>
          <c:tx>
            <c:strRef>
              <c:f>'FRANCISCO SÁ'!$O$1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SÁ'!$O$2:$O$7</c:f>
              <c:numCache>
                <c:formatCode>0.00</c:formatCode>
                <c:ptCount val="6"/>
                <c:pt idx="0">
                  <c:v>3.3707865168539325E-2</c:v>
                </c:pt>
                <c:pt idx="1">
                  <c:v>0.1348314606741573</c:v>
                </c:pt>
                <c:pt idx="2">
                  <c:v>0.14606741573033707</c:v>
                </c:pt>
                <c:pt idx="3">
                  <c:v>0.3258426966292135</c:v>
                </c:pt>
                <c:pt idx="4">
                  <c:v>0.4719101123595506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2D-413C-BADE-646DA47797C7}"/>
            </c:ext>
          </c:extLst>
        </c:ser>
        <c:ser>
          <c:idx val="3"/>
          <c:order val="3"/>
          <c:tx>
            <c:strRef>
              <c:f>'FRANCISCO SÁ'!$P$1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SÁ'!$P$2:$P$7</c:f>
              <c:numCache>
                <c:formatCode>0.00</c:formatCode>
                <c:ptCount val="6"/>
                <c:pt idx="0">
                  <c:v>4.9180327868852458E-2</c:v>
                </c:pt>
                <c:pt idx="1">
                  <c:v>0.13114754098360654</c:v>
                </c:pt>
                <c:pt idx="2">
                  <c:v>0.16393442622950818</c:v>
                </c:pt>
                <c:pt idx="3">
                  <c:v>0.37704918032786883</c:v>
                </c:pt>
                <c:pt idx="4">
                  <c:v>0.49180327868852458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2D-413C-BADE-646DA477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7504"/>
        <c:axId val="655530384"/>
      </c:scatterChart>
      <c:valAx>
        <c:axId val="6555275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0384"/>
        <c:crosses val="autoZero"/>
        <c:crossBetween val="midCat"/>
      </c:valAx>
      <c:valAx>
        <c:axId val="655530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'JANAÚBA - MONTE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AZUL'!$J$2:$J$16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5-4451-8921-D4862A458DEA}"/>
            </c:ext>
          </c:extLst>
        </c:ser>
        <c:ser>
          <c:idx val="1"/>
          <c:order val="1"/>
          <c:tx>
            <c:strRef>
              <c:f>'JANAÚBA - MONTE AZUL'!$K$1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AZUL'!$K$2:$K$16</c:f>
              <c:numCache>
                <c:formatCode>0.00</c:formatCode>
                <c:ptCount val="15"/>
                <c:pt idx="0">
                  <c:v>5.1813471502590676E-3</c:v>
                </c:pt>
                <c:pt idx="1">
                  <c:v>2.072538860103627E-2</c:v>
                </c:pt>
                <c:pt idx="2">
                  <c:v>4.145077720207254E-2</c:v>
                </c:pt>
                <c:pt idx="3">
                  <c:v>7.7720207253886009E-2</c:v>
                </c:pt>
                <c:pt idx="4">
                  <c:v>0.10362694300518134</c:v>
                </c:pt>
                <c:pt idx="5">
                  <c:v>0.13989637305699482</c:v>
                </c:pt>
                <c:pt idx="6">
                  <c:v>0.16062176165803108</c:v>
                </c:pt>
                <c:pt idx="7">
                  <c:v>0.20207253886010362</c:v>
                </c:pt>
                <c:pt idx="8">
                  <c:v>0.22279792746113988</c:v>
                </c:pt>
                <c:pt idx="9">
                  <c:v>0.29533678756476683</c:v>
                </c:pt>
                <c:pt idx="10">
                  <c:v>0.34196891191709844</c:v>
                </c:pt>
                <c:pt idx="11">
                  <c:v>0.39378238341968913</c:v>
                </c:pt>
                <c:pt idx="12">
                  <c:v>0.45595854922279794</c:v>
                </c:pt>
                <c:pt idx="13">
                  <c:v>0.57512953367875652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5-4451-8921-D4862A458DEA}"/>
            </c:ext>
          </c:extLst>
        </c:ser>
        <c:ser>
          <c:idx val="2"/>
          <c:order val="2"/>
          <c:tx>
            <c:strRef>
              <c:f>'JANAÚBA - MONTE AZUL'!$L$1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AZUL'!$L$2:$L$16</c:f>
              <c:numCache>
                <c:formatCode>0.00</c:formatCode>
                <c:ptCount val="15"/>
                <c:pt idx="0">
                  <c:v>0</c:v>
                </c:pt>
                <c:pt idx="1">
                  <c:v>3.2786885245901641E-2</c:v>
                </c:pt>
                <c:pt idx="2">
                  <c:v>3.2786885245901641E-2</c:v>
                </c:pt>
                <c:pt idx="3">
                  <c:v>6.5573770491803282E-2</c:v>
                </c:pt>
                <c:pt idx="4">
                  <c:v>0.13114754098360656</c:v>
                </c:pt>
                <c:pt idx="5">
                  <c:v>0.14754098360655737</c:v>
                </c:pt>
                <c:pt idx="6">
                  <c:v>0.18032786885245902</c:v>
                </c:pt>
                <c:pt idx="7">
                  <c:v>0.21311475409836067</c:v>
                </c:pt>
                <c:pt idx="8">
                  <c:v>0.26229508196721313</c:v>
                </c:pt>
                <c:pt idx="9">
                  <c:v>0.32786885245901642</c:v>
                </c:pt>
                <c:pt idx="10">
                  <c:v>0.4098360655737705</c:v>
                </c:pt>
                <c:pt idx="11">
                  <c:v>0.4754098360655738</c:v>
                </c:pt>
                <c:pt idx="12">
                  <c:v>0.54098360655737709</c:v>
                </c:pt>
                <c:pt idx="13">
                  <c:v>0.62295081967213117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5-4451-8921-D4862A458DEA}"/>
            </c:ext>
          </c:extLst>
        </c:ser>
        <c:ser>
          <c:idx val="3"/>
          <c:order val="3"/>
          <c:tx>
            <c:strRef>
              <c:f>'JANAÚBA - MONTE AZUL'!$M$1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AZUL'!$M$2:$M$16</c:f>
              <c:numCache>
                <c:formatCode>0.00</c:formatCode>
                <c:ptCount val="15"/>
                <c:pt idx="0">
                  <c:v>1.6393442622950821E-2</c:v>
                </c:pt>
                <c:pt idx="1">
                  <c:v>6.5573770491803282E-2</c:v>
                </c:pt>
                <c:pt idx="2">
                  <c:v>6.5573770491803282E-2</c:v>
                </c:pt>
                <c:pt idx="3">
                  <c:v>8.1967213114754106E-2</c:v>
                </c:pt>
                <c:pt idx="4">
                  <c:v>9.836065573770493E-2</c:v>
                </c:pt>
                <c:pt idx="5">
                  <c:v>0.13114754098360656</c:v>
                </c:pt>
                <c:pt idx="6">
                  <c:v>0.13114754098360656</c:v>
                </c:pt>
                <c:pt idx="7">
                  <c:v>0.14754098360655737</c:v>
                </c:pt>
                <c:pt idx="8">
                  <c:v>0.16393442622950818</c:v>
                </c:pt>
                <c:pt idx="9">
                  <c:v>0.19672131147540983</c:v>
                </c:pt>
                <c:pt idx="10">
                  <c:v>0.32786885245901642</c:v>
                </c:pt>
                <c:pt idx="11">
                  <c:v>0.49180327868852458</c:v>
                </c:pt>
                <c:pt idx="12">
                  <c:v>0.50819672131147542</c:v>
                </c:pt>
                <c:pt idx="13">
                  <c:v>0.63934426229508201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15-4451-8921-D4862A458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88976"/>
        <c:axId val="415000016"/>
      </c:scatterChart>
      <c:valAx>
        <c:axId val="4149889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016"/>
        <c:crosses val="autoZero"/>
        <c:crossBetween val="midCat"/>
      </c:valAx>
      <c:valAx>
        <c:axId val="415000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98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'JANAÚBA - MONTE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AZUL'!$J$2:$J$16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0-4DFE-AA0E-C7138BF90DB4}"/>
            </c:ext>
          </c:extLst>
        </c:ser>
        <c:ser>
          <c:idx val="1"/>
          <c:order val="1"/>
          <c:tx>
            <c:strRef>
              <c:f>'JANAÚBA - MONTE AZUL'!$N$1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AZUL'!$N$2:$N$16</c:f>
              <c:numCache>
                <c:formatCode>0.00</c:formatCode>
                <c:ptCount val="15"/>
                <c:pt idx="0">
                  <c:v>2.1739130434782608E-2</c:v>
                </c:pt>
                <c:pt idx="1">
                  <c:v>3.9130434782608692E-2</c:v>
                </c:pt>
                <c:pt idx="2">
                  <c:v>5.2173913043478258E-2</c:v>
                </c:pt>
                <c:pt idx="3">
                  <c:v>8.2608695652173908E-2</c:v>
                </c:pt>
                <c:pt idx="4">
                  <c:v>9.5652173913043467E-2</c:v>
                </c:pt>
                <c:pt idx="5">
                  <c:v>0.12608695652173912</c:v>
                </c:pt>
                <c:pt idx="6">
                  <c:v>0.15652173913043477</c:v>
                </c:pt>
                <c:pt idx="7">
                  <c:v>0.18695652173913041</c:v>
                </c:pt>
                <c:pt idx="8">
                  <c:v>0.21739130434782605</c:v>
                </c:pt>
                <c:pt idx="9">
                  <c:v>0.26521739130434779</c:v>
                </c:pt>
                <c:pt idx="10">
                  <c:v>0.32608695652173908</c:v>
                </c:pt>
                <c:pt idx="11">
                  <c:v>0.37391304347826082</c:v>
                </c:pt>
                <c:pt idx="12">
                  <c:v>0.43043478260869561</c:v>
                </c:pt>
                <c:pt idx="13">
                  <c:v>0.49565217391304345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0-4DFE-AA0E-C7138BF90DB4}"/>
            </c:ext>
          </c:extLst>
        </c:ser>
        <c:ser>
          <c:idx val="2"/>
          <c:order val="2"/>
          <c:tx>
            <c:strRef>
              <c:f>'JANAÚBA - MONTE AZUL'!$O$1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AZUL'!$O$2:$O$16</c:f>
              <c:numCache>
                <c:formatCode>0.00</c:formatCode>
                <c:ptCount val="15"/>
                <c:pt idx="0">
                  <c:v>1.7241379310344827E-2</c:v>
                </c:pt>
                <c:pt idx="1">
                  <c:v>2.5862068965517241E-2</c:v>
                </c:pt>
                <c:pt idx="2">
                  <c:v>2.5862068965517241E-2</c:v>
                </c:pt>
                <c:pt idx="3">
                  <c:v>4.3103448275862072E-2</c:v>
                </c:pt>
                <c:pt idx="4">
                  <c:v>6.0344827586206899E-2</c:v>
                </c:pt>
                <c:pt idx="5">
                  <c:v>6.8965517241379309E-2</c:v>
                </c:pt>
                <c:pt idx="6">
                  <c:v>8.6206896551724144E-2</c:v>
                </c:pt>
                <c:pt idx="7">
                  <c:v>0.13362068965517243</c:v>
                </c:pt>
                <c:pt idx="8">
                  <c:v>0.15517241379310348</c:v>
                </c:pt>
                <c:pt idx="9">
                  <c:v>0.20258620689655177</c:v>
                </c:pt>
                <c:pt idx="10">
                  <c:v>0.24568965517241384</c:v>
                </c:pt>
                <c:pt idx="11">
                  <c:v>0.28879310344827591</c:v>
                </c:pt>
                <c:pt idx="12">
                  <c:v>0.35775862068965525</c:v>
                </c:pt>
                <c:pt idx="13">
                  <c:v>0.44396551724137939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0-4DFE-AA0E-C7138BF90DB4}"/>
            </c:ext>
          </c:extLst>
        </c:ser>
        <c:ser>
          <c:idx val="3"/>
          <c:order val="3"/>
          <c:tx>
            <c:strRef>
              <c:f>'JANAÚBA - MONTE AZUL'!$P$1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AZUL'!$P$2:$P$16</c:f>
              <c:numCache>
                <c:formatCode>0.00</c:formatCode>
                <c:ptCount val="15"/>
                <c:pt idx="0">
                  <c:v>1.0563380281690141E-2</c:v>
                </c:pt>
                <c:pt idx="1">
                  <c:v>1.7605633802816902E-2</c:v>
                </c:pt>
                <c:pt idx="2">
                  <c:v>2.8169014084507043E-2</c:v>
                </c:pt>
                <c:pt idx="3">
                  <c:v>3.1690140845070422E-2</c:v>
                </c:pt>
                <c:pt idx="4">
                  <c:v>3.5211267605633804E-2</c:v>
                </c:pt>
                <c:pt idx="5">
                  <c:v>7.3943661971830985E-2</c:v>
                </c:pt>
                <c:pt idx="6">
                  <c:v>9.5070422535211266E-2</c:v>
                </c:pt>
                <c:pt idx="7">
                  <c:v>0.13028169014084506</c:v>
                </c:pt>
                <c:pt idx="8">
                  <c:v>0.176056338028169</c:v>
                </c:pt>
                <c:pt idx="9">
                  <c:v>0.20774647887323944</c:v>
                </c:pt>
                <c:pt idx="10">
                  <c:v>0.23591549295774647</c:v>
                </c:pt>
                <c:pt idx="11">
                  <c:v>0.26056338028169013</c:v>
                </c:pt>
                <c:pt idx="12">
                  <c:v>0.40140845070422537</c:v>
                </c:pt>
                <c:pt idx="13">
                  <c:v>0.44718309859154931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C0-4DFE-AA0E-C7138BF9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42864"/>
        <c:axId val="655548144"/>
      </c:scatterChart>
      <c:valAx>
        <c:axId val="65554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8144"/>
        <c:crosses val="autoZero"/>
        <c:crossBetween val="midCat"/>
      </c:valAx>
      <c:valAx>
        <c:axId val="655548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JANUÁRIA!$J$1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JANUÁRIA!$J$2:$J$6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E-475A-B3AE-EF0A96C26A12}"/>
            </c:ext>
          </c:extLst>
        </c:ser>
        <c:ser>
          <c:idx val="1"/>
          <c:order val="1"/>
          <c:tx>
            <c:strRef>
              <c:f>JANUÁRIA!$K$1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JANUÁRIA!$K$2:$K$6</c:f>
              <c:numCache>
                <c:formatCode>0.00</c:formatCode>
                <c:ptCount val="5"/>
                <c:pt idx="0">
                  <c:v>0.13157894736842105</c:v>
                </c:pt>
                <c:pt idx="1">
                  <c:v>0.21052631578947367</c:v>
                </c:pt>
                <c:pt idx="2">
                  <c:v>0.28947368421052633</c:v>
                </c:pt>
                <c:pt idx="3">
                  <c:v>0.57894736842105265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E-475A-B3AE-EF0A96C26A12}"/>
            </c:ext>
          </c:extLst>
        </c:ser>
        <c:ser>
          <c:idx val="2"/>
          <c:order val="2"/>
          <c:tx>
            <c:strRef>
              <c:f>JANUÁRIA!$L$1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JANUÁRIA!$L$2:$L$6</c:f>
              <c:numCache>
                <c:formatCode>0.00</c:formatCode>
                <c:ptCount val="5"/>
                <c:pt idx="0">
                  <c:v>0.21428571428571427</c:v>
                </c:pt>
                <c:pt idx="1">
                  <c:v>0.21428571428571427</c:v>
                </c:pt>
                <c:pt idx="2">
                  <c:v>0.21428571428571427</c:v>
                </c:pt>
                <c:pt idx="3">
                  <c:v>0.2857142857142857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FE-475A-B3AE-EF0A96C26A12}"/>
            </c:ext>
          </c:extLst>
        </c:ser>
        <c:ser>
          <c:idx val="3"/>
          <c:order val="3"/>
          <c:tx>
            <c:strRef>
              <c:f>JANUÁRIA!$M$1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JANUÁRIA!$M$2:$M$6</c:f>
              <c:numCache>
                <c:formatCode>0.00</c:formatCode>
                <c:ptCount val="5"/>
                <c:pt idx="0">
                  <c:v>0.125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FE-475A-B3AE-EF0A96C2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43552"/>
        <c:axId val="217241152"/>
      </c:scatterChart>
      <c:valAx>
        <c:axId val="217243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1152"/>
        <c:crosses val="autoZero"/>
        <c:crossBetween val="midCat"/>
      </c:valAx>
      <c:valAx>
        <c:axId val="217241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JANUÁRIA!$J$1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JANUÁRIA!$J$2:$J$6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3-4AEB-B4F8-1E828A7CA42D}"/>
            </c:ext>
          </c:extLst>
        </c:ser>
        <c:ser>
          <c:idx val="1"/>
          <c:order val="1"/>
          <c:tx>
            <c:strRef>
              <c:f>JANUÁRIA!$N$1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JANUÁRIA!$N$2:$N$6</c:f>
              <c:numCache>
                <c:formatCode>0.00</c:formatCode>
                <c:ptCount val="5"/>
                <c:pt idx="0">
                  <c:v>7.2463768115942032E-2</c:v>
                </c:pt>
                <c:pt idx="1">
                  <c:v>0.13043478260869565</c:v>
                </c:pt>
                <c:pt idx="2">
                  <c:v>0.18115942028985507</c:v>
                </c:pt>
                <c:pt idx="3">
                  <c:v>0.34782608695652173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3-4AEB-B4F8-1E828A7CA42D}"/>
            </c:ext>
          </c:extLst>
        </c:ser>
        <c:ser>
          <c:idx val="2"/>
          <c:order val="2"/>
          <c:tx>
            <c:strRef>
              <c:f>JANUÁRIA!$O$1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JANUÁRIA!$O$2:$O$6</c:f>
              <c:numCache>
                <c:formatCode>0.00</c:formatCode>
                <c:ptCount val="5"/>
                <c:pt idx="0">
                  <c:v>9.1836734693877556E-2</c:v>
                </c:pt>
                <c:pt idx="1">
                  <c:v>0.14285714285714285</c:v>
                </c:pt>
                <c:pt idx="2">
                  <c:v>0.23469387755102039</c:v>
                </c:pt>
                <c:pt idx="3">
                  <c:v>0.45918367346938771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3-4AEB-B4F8-1E828A7CA42D}"/>
            </c:ext>
          </c:extLst>
        </c:ser>
        <c:ser>
          <c:idx val="3"/>
          <c:order val="3"/>
          <c:tx>
            <c:strRef>
              <c:f>JANUÁRIA!$P$1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JANUÁRIA!$P$2:$P$6</c:f>
              <c:numCache>
                <c:formatCode>0.00</c:formatCode>
                <c:ptCount val="5"/>
                <c:pt idx="0">
                  <c:v>9.4339622641509441E-2</c:v>
                </c:pt>
                <c:pt idx="1">
                  <c:v>0.32075471698113212</c:v>
                </c:pt>
                <c:pt idx="2">
                  <c:v>0.37735849056603776</c:v>
                </c:pt>
                <c:pt idx="3">
                  <c:v>0.58490566037735858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3-4AEB-B4F8-1E828A7CA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8464"/>
        <c:axId val="655530864"/>
      </c:scatterChart>
      <c:valAx>
        <c:axId val="655528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0864"/>
        <c:crosses val="autoZero"/>
        <c:crossBetween val="midCat"/>
      </c:valAx>
      <c:valAx>
        <c:axId val="655530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MANGA!$J$2:$J$6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0B-4988-926B-1495E99C8922}"/>
            </c:ext>
          </c:extLst>
        </c:ser>
        <c:ser>
          <c:idx val="1"/>
          <c:order val="1"/>
          <c:tx>
            <c:strRef>
              <c:f>MANGA!$K$1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MANGA!$K$2:$K$6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0.16666666666666666</c:v>
                </c:pt>
                <c:pt idx="3">
                  <c:v>0.61111111111111105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0B-4988-926B-1495E99C8922}"/>
            </c:ext>
          </c:extLst>
        </c:ser>
        <c:ser>
          <c:idx val="2"/>
          <c:order val="2"/>
          <c:tx>
            <c:strRef>
              <c:f>MANGA!$L$1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MANGA!$L$2:$L$6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0B-4988-926B-1495E99C8922}"/>
            </c:ext>
          </c:extLst>
        </c:ser>
        <c:ser>
          <c:idx val="3"/>
          <c:order val="3"/>
          <c:tx>
            <c:strRef>
              <c:f>MANGA!$M$1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MANGA!$M$2:$M$6</c:f>
              <c:numCache>
                <c:formatCode>0.00</c:formatCode>
                <c:ptCount val="5"/>
                <c:pt idx="0">
                  <c:v>6.25E-2</c:v>
                </c:pt>
                <c:pt idx="1">
                  <c:v>0.3125</c:v>
                </c:pt>
                <c:pt idx="2">
                  <c:v>0.375</c:v>
                </c:pt>
                <c:pt idx="3">
                  <c:v>0.6875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0B-4988-926B-1495E99C8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8656"/>
        <c:axId val="544875456"/>
      </c:scatterChart>
      <c:valAx>
        <c:axId val="544858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5456"/>
        <c:crosses val="autoZero"/>
        <c:crossBetween val="midCat"/>
      </c:valAx>
      <c:valAx>
        <c:axId val="5448754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5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MANGA!$J$2:$J$6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D-442A-9DBF-20000DC2CFAA}"/>
            </c:ext>
          </c:extLst>
        </c:ser>
        <c:ser>
          <c:idx val="1"/>
          <c:order val="1"/>
          <c:tx>
            <c:strRef>
              <c:f>MANGA!$N$1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MANGA!$N$2:$N$6</c:f>
              <c:numCache>
                <c:formatCode>0.00</c:formatCode>
                <c:ptCount val="5"/>
                <c:pt idx="0">
                  <c:v>0.11764705882352941</c:v>
                </c:pt>
                <c:pt idx="1">
                  <c:v>0.26470588235294118</c:v>
                </c:pt>
                <c:pt idx="2">
                  <c:v>0.3235294117647059</c:v>
                </c:pt>
                <c:pt idx="3">
                  <c:v>0.3235294117647059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D-442A-9DBF-20000DC2CFAA}"/>
            </c:ext>
          </c:extLst>
        </c:ser>
        <c:ser>
          <c:idx val="2"/>
          <c:order val="2"/>
          <c:tx>
            <c:strRef>
              <c:f>MANGA!$O$1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MANGA!$O$2:$O$6</c:f>
              <c:numCache>
                <c:formatCode>0.00</c:formatCode>
                <c:ptCount val="5"/>
                <c:pt idx="0">
                  <c:v>9.375E-2</c:v>
                </c:pt>
                <c:pt idx="1">
                  <c:v>0.25</c:v>
                </c:pt>
                <c:pt idx="2">
                  <c:v>0.375</c:v>
                </c:pt>
                <c:pt idx="3">
                  <c:v>0.59375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2D-442A-9DBF-20000DC2CFAA}"/>
            </c:ext>
          </c:extLst>
        </c:ser>
        <c:ser>
          <c:idx val="3"/>
          <c:order val="3"/>
          <c:tx>
            <c:strRef>
              <c:f>MANGA!$P$1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MANGA!$P$2:$P$6</c:f>
              <c:numCache>
                <c:formatCode>0.00</c:formatCode>
                <c:ptCount val="5"/>
                <c:pt idx="0">
                  <c:v>0.18518518518518517</c:v>
                </c:pt>
                <c:pt idx="1">
                  <c:v>0.33333333333333331</c:v>
                </c:pt>
                <c:pt idx="2">
                  <c:v>0.59259259259259256</c:v>
                </c:pt>
                <c:pt idx="3">
                  <c:v>0.77777777777777768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2D-442A-9DBF-20000DC2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0976"/>
        <c:axId val="415001936"/>
      </c:scatterChart>
      <c:valAx>
        <c:axId val="4150009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1936"/>
        <c:crosses val="autoZero"/>
        <c:crossBetween val="midCat"/>
      </c:valAx>
      <c:valAx>
        <c:axId val="41500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'MONTES CLAROS'!$J$1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CLAROS'!$J$2:$J$7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9-4A64-A8D5-9D24CFBC4B51}"/>
            </c:ext>
          </c:extLst>
        </c:ser>
        <c:ser>
          <c:idx val="1"/>
          <c:order val="1"/>
          <c:tx>
            <c:strRef>
              <c:f>'MONTES CLAROS'!$K$1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CLAROS'!$K$2:$K$7</c:f>
              <c:numCache>
                <c:formatCode>0.00</c:formatCode>
                <c:ptCount val="6"/>
                <c:pt idx="0">
                  <c:v>5.2770448548812663E-3</c:v>
                </c:pt>
                <c:pt idx="1">
                  <c:v>1.5831134564643801E-2</c:v>
                </c:pt>
                <c:pt idx="2">
                  <c:v>2.1108179419525065E-2</c:v>
                </c:pt>
                <c:pt idx="3">
                  <c:v>5.0131926121372031E-2</c:v>
                </c:pt>
                <c:pt idx="4">
                  <c:v>6.860158311345646E-2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9-4A64-A8D5-9D24CFBC4B51}"/>
            </c:ext>
          </c:extLst>
        </c:ser>
        <c:ser>
          <c:idx val="2"/>
          <c:order val="2"/>
          <c:tx>
            <c:strRef>
              <c:f>'MONTES CLAROS'!$L$1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CLAROS'!$L$2:$L$7</c:f>
              <c:numCache>
                <c:formatCode>0.00</c:formatCode>
                <c:ptCount val="6"/>
                <c:pt idx="0">
                  <c:v>0</c:v>
                </c:pt>
                <c:pt idx="1">
                  <c:v>7.5187969924812026E-3</c:v>
                </c:pt>
                <c:pt idx="2">
                  <c:v>1.5037593984962405E-2</c:v>
                </c:pt>
                <c:pt idx="3">
                  <c:v>2.2556390977443608E-2</c:v>
                </c:pt>
                <c:pt idx="4">
                  <c:v>6.0150375939849621E-2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F9-4A64-A8D5-9D24CFBC4B51}"/>
            </c:ext>
          </c:extLst>
        </c:ser>
        <c:ser>
          <c:idx val="3"/>
          <c:order val="3"/>
          <c:tx>
            <c:strRef>
              <c:f>'MONTES CLAROS'!$M$1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CLAROS'!$M$2:$M$7</c:f>
              <c:numCache>
                <c:formatCode>0.00</c:formatCode>
                <c:ptCount val="6"/>
                <c:pt idx="0">
                  <c:v>0</c:v>
                </c:pt>
                <c:pt idx="1">
                  <c:v>1.8987341772151899E-2</c:v>
                </c:pt>
                <c:pt idx="2">
                  <c:v>2.5316455696202531E-2</c:v>
                </c:pt>
                <c:pt idx="3">
                  <c:v>3.7974683544303799E-2</c:v>
                </c:pt>
                <c:pt idx="4">
                  <c:v>6.3291139240506333E-2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F9-4A64-A8D5-9D24CFBC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87664"/>
        <c:axId val="655492944"/>
      </c:scatterChart>
      <c:valAx>
        <c:axId val="65548766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2944"/>
        <c:crosses val="autoZero"/>
        <c:crossBetween val="midCat"/>
      </c:valAx>
      <c:valAx>
        <c:axId val="6554929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8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'MONTES CLAROS'!$J$1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CLAROS'!$J$2:$J$7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A-4694-A75A-72D1B9A4AA59}"/>
            </c:ext>
          </c:extLst>
        </c:ser>
        <c:ser>
          <c:idx val="1"/>
          <c:order val="1"/>
          <c:tx>
            <c:strRef>
              <c:f>'MONTES CLAROS'!$N$1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CLAROS'!$N$2:$N$7</c:f>
              <c:numCache>
                <c:formatCode>0.00</c:formatCode>
                <c:ptCount val="6"/>
                <c:pt idx="0">
                  <c:v>5.8055152394775036E-3</c:v>
                </c:pt>
                <c:pt idx="1">
                  <c:v>1.3062409288824383E-2</c:v>
                </c:pt>
                <c:pt idx="2">
                  <c:v>2.6124818577648767E-2</c:v>
                </c:pt>
                <c:pt idx="3">
                  <c:v>4.7895500725689405E-2</c:v>
                </c:pt>
                <c:pt idx="4">
                  <c:v>6.6763425253991288E-2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3A-4694-A75A-72D1B9A4AA59}"/>
            </c:ext>
          </c:extLst>
        </c:ser>
        <c:ser>
          <c:idx val="2"/>
          <c:order val="2"/>
          <c:tx>
            <c:strRef>
              <c:f>'MONTES CLAROS'!$O$1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CLAROS'!$O$2:$O$7</c:f>
              <c:numCache>
                <c:formatCode>0.00</c:formatCode>
                <c:ptCount val="6"/>
                <c:pt idx="0">
                  <c:v>1.7878426698450536E-2</c:v>
                </c:pt>
                <c:pt idx="1">
                  <c:v>3.9332538736591177E-2</c:v>
                </c:pt>
                <c:pt idx="2">
                  <c:v>5.1251489868891532E-2</c:v>
                </c:pt>
                <c:pt idx="3">
                  <c:v>6.7938021454112041E-2</c:v>
                </c:pt>
                <c:pt idx="4">
                  <c:v>7.508939213349225E-2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3A-4694-A75A-72D1B9A4AA59}"/>
            </c:ext>
          </c:extLst>
        </c:ser>
        <c:ser>
          <c:idx val="3"/>
          <c:order val="3"/>
          <c:tx>
            <c:strRef>
              <c:f>'MONTES CLAROS'!$P$1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CLAROS'!$P$2:$P$7</c:f>
              <c:numCache>
                <c:formatCode>0.00</c:formatCode>
                <c:ptCount val="6"/>
                <c:pt idx="0">
                  <c:v>1.2915129151291513E-2</c:v>
                </c:pt>
                <c:pt idx="1">
                  <c:v>1.8450184501845018E-2</c:v>
                </c:pt>
                <c:pt idx="2">
                  <c:v>2.7675276752767528E-2</c:v>
                </c:pt>
                <c:pt idx="3">
                  <c:v>4.0590405904059039E-2</c:v>
                </c:pt>
                <c:pt idx="4">
                  <c:v>6.6420664206642069E-2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3A-4694-A75A-72D1B9A4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28176"/>
        <c:axId val="309843056"/>
      </c:scatterChart>
      <c:valAx>
        <c:axId val="30982817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3056"/>
        <c:crosses val="autoZero"/>
        <c:crossBetween val="midCat"/>
      </c:valAx>
      <c:valAx>
        <c:axId val="3098430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2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PIRAPORA!$J$1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PIRAPORA!$J$2:$J$8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3-413F-812B-344D308D00EA}"/>
            </c:ext>
          </c:extLst>
        </c:ser>
        <c:ser>
          <c:idx val="1"/>
          <c:order val="1"/>
          <c:tx>
            <c:strRef>
              <c:f>PIRAPORA!$K$1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PIRAPORA!$K$2:$K$8</c:f>
              <c:numCache>
                <c:formatCode>0.00</c:formatCode>
                <c:ptCount val="7"/>
                <c:pt idx="0">
                  <c:v>3.237410071942446E-2</c:v>
                </c:pt>
                <c:pt idx="1">
                  <c:v>8.9928057553956831E-2</c:v>
                </c:pt>
                <c:pt idx="2">
                  <c:v>0.11510791366906474</c:v>
                </c:pt>
                <c:pt idx="3">
                  <c:v>0.14748201438848921</c:v>
                </c:pt>
                <c:pt idx="4">
                  <c:v>0.30575539568345322</c:v>
                </c:pt>
                <c:pt idx="5">
                  <c:v>0.44244604316546765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C3-413F-812B-344D308D00EA}"/>
            </c:ext>
          </c:extLst>
        </c:ser>
        <c:ser>
          <c:idx val="2"/>
          <c:order val="2"/>
          <c:tx>
            <c:strRef>
              <c:f>PIRAPORA!$L$1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PIRAPORA!$L$2:$L$8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5.2631578947368418E-2</c:v>
                </c:pt>
                <c:pt idx="3">
                  <c:v>7.8947368421052627E-2</c:v>
                </c:pt>
                <c:pt idx="4">
                  <c:v>0.28947368421052633</c:v>
                </c:pt>
                <c:pt idx="5">
                  <c:v>0.38596491228070173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C3-413F-812B-344D308D00EA}"/>
            </c:ext>
          </c:extLst>
        </c:ser>
        <c:ser>
          <c:idx val="3"/>
          <c:order val="3"/>
          <c:tx>
            <c:strRef>
              <c:f>PIRAPORA!$M$1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PIRAPORA!$M$2:$M$8</c:f>
              <c:numCache>
                <c:formatCode>0.00</c:formatCode>
                <c:ptCount val="7"/>
                <c:pt idx="0">
                  <c:v>1.0752688172043012E-2</c:v>
                </c:pt>
                <c:pt idx="1">
                  <c:v>3.2258064516129031E-2</c:v>
                </c:pt>
                <c:pt idx="2">
                  <c:v>0.11827956989247312</c:v>
                </c:pt>
                <c:pt idx="3">
                  <c:v>0.15053763440860216</c:v>
                </c:pt>
                <c:pt idx="4">
                  <c:v>0.33333333333333337</c:v>
                </c:pt>
                <c:pt idx="5">
                  <c:v>0.4623655913978495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C3-413F-812B-344D308D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896608"/>
        <c:axId val="265898048"/>
      </c:scatterChart>
      <c:valAx>
        <c:axId val="2658966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898048"/>
        <c:crosses val="autoZero"/>
        <c:crossBetween val="midCat"/>
      </c:valAx>
      <c:valAx>
        <c:axId val="2658980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8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PIRAPORA!$J$1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PIRAPORA!$J$2:$J$8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6-4B4E-BA6E-63C3C979196E}"/>
            </c:ext>
          </c:extLst>
        </c:ser>
        <c:ser>
          <c:idx val="1"/>
          <c:order val="1"/>
          <c:tx>
            <c:strRef>
              <c:f>PIRAPORA!$N$1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PIRAPORA!$N$2:$N$8</c:f>
              <c:numCache>
                <c:formatCode>0.00</c:formatCode>
                <c:ptCount val="7"/>
                <c:pt idx="0">
                  <c:v>1.2345679012345678E-2</c:v>
                </c:pt>
                <c:pt idx="1">
                  <c:v>5.5555555555555552E-2</c:v>
                </c:pt>
                <c:pt idx="2">
                  <c:v>0.1388888888888889</c:v>
                </c:pt>
                <c:pt idx="3">
                  <c:v>0.18518518518518517</c:v>
                </c:pt>
                <c:pt idx="4">
                  <c:v>0.34259259259259256</c:v>
                </c:pt>
                <c:pt idx="5">
                  <c:v>0.56481481481481477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6-4B4E-BA6E-63C3C979196E}"/>
            </c:ext>
          </c:extLst>
        </c:ser>
        <c:ser>
          <c:idx val="2"/>
          <c:order val="2"/>
          <c:tx>
            <c:strRef>
              <c:f>PIRAPORA!$O$1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PIRAPORA!$O$2:$O$8</c:f>
              <c:numCache>
                <c:formatCode>0.00</c:formatCode>
                <c:ptCount val="7"/>
                <c:pt idx="0">
                  <c:v>1.3698630136986301E-2</c:v>
                </c:pt>
                <c:pt idx="1">
                  <c:v>3.4246575342465752E-2</c:v>
                </c:pt>
                <c:pt idx="2">
                  <c:v>9.5890410958904104E-2</c:v>
                </c:pt>
                <c:pt idx="3">
                  <c:v>0.13356164383561642</c:v>
                </c:pt>
                <c:pt idx="4">
                  <c:v>0.39726027397260272</c:v>
                </c:pt>
                <c:pt idx="5">
                  <c:v>0.57191780821917804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06-4B4E-BA6E-63C3C979196E}"/>
            </c:ext>
          </c:extLst>
        </c:ser>
        <c:ser>
          <c:idx val="3"/>
          <c:order val="3"/>
          <c:tx>
            <c:strRef>
              <c:f>PIRAPORA!$P$1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PIRAPORA!$P$2:$P$8</c:f>
              <c:numCache>
                <c:formatCode>0.00</c:formatCode>
                <c:ptCount val="7"/>
                <c:pt idx="0">
                  <c:v>3.125E-2</c:v>
                </c:pt>
                <c:pt idx="1">
                  <c:v>0.05</c:v>
                </c:pt>
                <c:pt idx="2">
                  <c:v>8.7499999999999994E-2</c:v>
                </c:pt>
                <c:pt idx="3">
                  <c:v>0.15625</c:v>
                </c:pt>
                <c:pt idx="4">
                  <c:v>0.27500000000000002</c:v>
                </c:pt>
                <c:pt idx="5">
                  <c:v>0.51249999999999996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06-4B4E-BA6E-63C3C979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8256"/>
        <c:axId val="309846416"/>
      </c:scatterChart>
      <c:valAx>
        <c:axId val="309838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6416"/>
        <c:crosses val="autoZero"/>
        <c:crossBetween val="midCat"/>
      </c:valAx>
      <c:valAx>
        <c:axId val="309846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8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SALINAS!$J$1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SALINAS!$J$2:$J$7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10-4DD5-B06A-4A7A13A55B46}"/>
            </c:ext>
          </c:extLst>
        </c:ser>
        <c:ser>
          <c:idx val="1"/>
          <c:order val="1"/>
          <c:tx>
            <c:strRef>
              <c:f>SALINAS!$K$1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SALINAS!$K$2:$K$7</c:f>
              <c:numCache>
                <c:formatCode>0.00</c:formatCode>
                <c:ptCount val="6"/>
                <c:pt idx="0">
                  <c:v>0.13513513513513514</c:v>
                </c:pt>
                <c:pt idx="1">
                  <c:v>0.3783783783783784</c:v>
                </c:pt>
                <c:pt idx="2">
                  <c:v>0.40540540540540543</c:v>
                </c:pt>
                <c:pt idx="3">
                  <c:v>0.54054054054054057</c:v>
                </c:pt>
                <c:pt idx="4">
                  <c:v>0.54054054054054057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10-4DD5-B06A-4A7A13A55B46}"/>
            </c:ext>
          </c:extLst>
        </c:ser>
        <c:ser>
          <c:idx val="2"/>
          <c:order val="2"/>
          <c:tx>
            <c:strRef>
              <c:f>SALINAS!$L$1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SALINAS!$L$2:$L$7</c:f>
              <c:numCache>
                <c:formatCode>0.00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0.30000000000000004</c:v>
                </c:pt>
                <c:pt idx="4">
                  <c:v>0.30000000000000004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10-4DD5-B06A-4A7A13A55B46}"/>
            </c:ext>
          </c:extLst>
        </c:ser>
        <c:ser>
          <c:idx val="3"/>
          <c:order val="3"/>
          <c:tx>
            <c:strRef>
              <c:f>SALINAS!$M$1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SALINAS!$M$2:$M$7</c:f>
              <c:numCache>
                <c:formatCode>0.00</c:formatCode>
                <c:ptCount val="6"/>
                <c:pt idx="0">
                  <c:v>4.1666666666666664E-2</c:v>
                </c:pt>
                <c:pt idx="1">
                  <c:v>8.3333333333333329E-2</c:v>
                </c:pt>
                <c:pt idx="2">
                  <c:v>8.3333333333333329E-2</c:v>
                </c:pt>
                <c:pt idx="3">
                  <c:v>0.20833333333333331</c:v>
                </c:pt>
                <c:pt idx="4">
                  <c:v>0.24999999999999997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10-4DD5-B06A-4A7A13A5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1488"/>
        <c:axId val="296720528"/>
      </c:scatterChart>
      <c:valAx>
        <c:axId val="296721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0528"/>
        <c:crosses val="autoZero"/>
        <c:crossBetween val="midCat"/>
      </c:valAx>
      <c:valAx>
        <c:axId val="29672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SALINAS!$J$1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SALINAS!$J$2:$J$7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E2-4370-9378-294451C0EF69}"/>
            </c:ext>
          </c:extLst>
        </c:ser>
        <c:ser>
          <c:idx val="1"/>
          <c:order val="1"/>
          <c:tx>
            <c:strRef>
              <c:f>SALINAS!$N$1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SALINAS!$N$2:$N$7</c:f>
              <c:numCache>
                <c:formatCode>0.00</c:formatCode>
                <c:ptCount val="6"/>
                <c:pt idx="0">
                  <c:v>0.05</c:v>
                </c:pt>
                <c:pt idx="1">
                  <c:v>0.25</c:v>
                </c:pt>
                <c:pt idx="2">
                  <c:v>0.38571428571428568</c:v>
                </c:pt>
                <c:pt idx="3">
                  <c:v>0.44999999999999996</c:v>
                </c:pt>
                <c:pt idx="4">
                  <c:v>0.57857142857142851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E2-4370-9378-294451C0EF69}"/>
            </c:ext>
          </c:extLst>
        </c:ser>
        <c:ser>
          <c:idx val="2"/>
          <c:order val="2"/>
          <c:tx>
            <c:strRef>
              <c:f>SALINAS!$O$1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SALINAS!$O$2:$O$7</c:f>
              <c:numCache>
                <c:formatCode>0.00</c:formatCode>
                <c:ptCount val="6"/>
                <c:pt idx="0">
                  <c:v>0.11320754716981132</c:v>
                </c:pt>
                <c:pt idx="1">
                  <c:v>0.24528301886792453</c:v>
                </c:pt>
                <c:pt idx="2">
                  <c:v>0.28301886792452829</c:v>
                </c:pt>
                <c:pt idx="3">
                  <c:v>0.37735849056603776</c:v>
                </c:pt>
                <c:pt idx="4">
                  <c:v>0.39622641509433965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E2-4370-9378-294451C0EF69}"/>
            </c:ext>
          </c:extLst>
        </c:ser>
        <c:ser>
          <c:idx val="3"/>
          <c:order val="3"/>
          <c:tx>
            <c:strRef>
              <c:f>SALINAS!$P$1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SALINAS!$P$2:$P$7</c:f>
              <c:numCache>
                <c:formatCode>0.00</c:formatCode>
                <c:ptCount val="6"/>
                <c:pt idx="0">
                  <c:v>0.11224489795918367</c:v>
                </c:pt>
                <c:pt idx="1">
                  <c:v>0.26530612244897961</c:v>
                </c:pt>
                <c:pt idx="2">
                  <c:v>0.30612244897959184</c:v>
                </c:pt>
                <c:pt idx="3">
                  <c:v>0.39795918367346939</c:v>
                </c:pt>
                <c:pt idx="4">
                  <c:v>0.40816326530612246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E2-4370-9378-294451C0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91984"/>
        <c:axId val="655496304"/>
      </c:scatterChart>
      <c:valAx>
        <c:axId val="655491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6304"/>
        <c:crosses val="autoZero"/>
        <c:crossBetween val="midCat"/>
      </c:valAx>
      <c:valAx>
        <c:axId val="655496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TAIOBEIRAS!$J$1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TAIOBEIRAS!$J$2:$J$11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2-4AF4-95F7-0DBD865AD9EA}"/>
            </c:ext>
          </c:extLst>
        </c:ser>
        <c:ser>
          <c:idx val="1"/>
          <c:order val="1"/>
          <c:tx>
            <c:strRef>
              <c:f>TAIOBEIRAS!$K$1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TAIOBEIRAS!$K$2:$K$11</c:f>
              <c:numCache>
                <c:formatCode>0.00</c:formatCode>
                <c:ptCount val="10"/>
                <c:pt idx="0">
                  <c:v>8.4507042253521125E-2</c:v>
                </c:pt>
                <c:pt idx="1">
                  <c:v>0.12676056338028169</c:v>
                </c:pt>
                <c:pt idx="2">
                  <c:v>0.15492957746478872</c:v>
                </c:pt>
                <c:pt idx="3">
                  <c:v>0.15492957746478872</c:v>
                </c:pt>
                <c:pt idx="4">
                  <c:v>0.19718309859154928</c:v>
                </c:pt>
                <c:pt idx="5">
                  <c:v>0.28169014084507038</c:v>
                </c:pt>
                <c:pt idx="6">
                  <c:v>0.29577464788732388</c:v>
                </c:pt>
                <c:pt idx="7">
                  <c:v>0.36619718309859151</c:v>
                </c:pt>
                <c:pt idx="8">
                  <c:v>0.47887323943661969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82-4AF4-95F7-0DBD865AD9EA}"/>
            </c:ext>
          </c:extLst>
        </c:ser>
        <c:ser>
          <c:idx val="2"/>
          <c:order val="2"/>
          <c:tx>
            <c:strRef>
              <c:f>TAIOBEIRAS!$L$1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TAIOBEIRAS!$L$2:$L$11</c:f>
              <c:numCache>
                <c:formatCode>0.00</c:formatCode>
                <c:ptCount val="10"/>
                <c:pt idx="0">
                  <c:v>0</c:v>
                </c:pt>
                <c:pt idx="1">
                  <c:v>3.6363636363636362E-2</c:v>
                </c:pt>
                <c:pt idx="2">
                  <c:v>0.10909090909090909</c:v>
                </c:pt>
                <c:pt idx="3">
                  <c:v>0.18181818181818182</c:v>
                </c:pt>
                <c:pt idx="4">
                  <c:v>0.2</c:v>
                </c:pt>
                <c:pt idx="5">
                  <c:v>0.27272727272727271</c:v>
                </c:pt>
                <c:pt idx="6">
                  <c:v>0.30909090909090908</c:v>
                </c:pt>
                <c:pt idx="7">
                  <c:v>0.34545454545454546</c:v>
                </c:pt>
                <c:pt idx="8">
                  <c:v>0.78181818181818175</c:v>
                </c:pt>
                <c:pt idx="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82-4AF4-95F7-0DBD865AD9EA}"/>
            </c:ext>
          </c:extLst>
        </c:ser>
        <c:ser>
          <c:idx val="3"/>
          <c:order val="3"/>
          <c:tx>
            <c:strRef>
              <c:f>TAIOBEIRAS!$M$1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TAIOBEIRAS!$M$2:$M$11</c:f>
              <c:numCache>
                <c:formatCode>0.00</c:formatCode>
                <c:ptCount val="10"/>
                <c:pt idx="0">
                  <c:v>0.10714285714285714</c:v>
                </c:pt>
                <c:pt idx="1">
                  <c:v>0.10714285714285714</c:v>
                </c:pt>
                <c:pt idx="2">
                  <c:v>0.17857142857142855</c:v>
                </c:pt>
                <c:pt idx="3">
                  <c:v>0.17857142857142855</c:v>
                </c:pt>
                <c:pt idx="4">
                  <c:v>0.24999999999999997</c:v>
                </c:pt>
                <c:pt idx="5">
                  <c:v>0.2857142857142857</c:v>
                </c:pt>
                <c:pt idx="6">
                  <c:v>0.3214285714285714</c:v>
                </c:pt>
                <c:pt idx="7">
                  <c:v>0.3214285714285714</c:v>
                </c:pt>
                <c:pt idx="8">
                  <c:v>0.5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82-4AF4-95F7-0DBD865A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983632"/>
        <c:axId val="424984112"/>
      </c:scatterChart>
      <c:valAx>
        <c:axId val="4249836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984112"/>
        <c:crosses val="autoZero"/>
        <c:crossBetween val="midCat"/>
      </c:valAx>
      <c:valAx>
        <c:axId val="424984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98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TAIOBEIRAS!$J$1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TAIOBEIRAS!$J$2:$J$11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B-4758-8727-39899A5C62E4}"/>
            </c:ext>
          </c:extLst>
        </c:ser>
        <c:ser>
          <c:idx val="1"/>
          <c:order val="1"/>
          <c:tx>
            <c:strRef>
              <c:f>TAIOBEIRAS!$N$1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TAIOBEIRAS!$N$2:$N$11</c:f>
              <c:numCache>
                <c:formatCode>0.00</c:formatCode>
                <c:ptCount val="10"/>
                <c:pt idx="0">
                  <c:v>3.5087719298245612E-2</c:v>
                </c:pt>
                <c:pt idx="1">
                  <c:v>6.1403508771929821E-2</c:v>
                </c:pt>
                <c:pt idx="2">
                  <c:v>6.1403508771929821E-2</c:v>
                </c:pt>
                <c:pt idx="3">
                  <c:v>7.8947368421052627E-2</c:v>
                </c:pt>
                <c:pt idx="4">
                  <c:v>0.18421052631578946</c:v>
                </c:pt>
                <c:pt idx="5">
                  <c:v>0.21929824561403508</c:v>
                </c:pt>
                <c:pt idx="6">
                  <c:v>0.27192982456140347</c:v>
                </c:pt>
                <c:pt idx="7">
                  <c:v>0.42982456140350872</c:v>
                </c:pt>
                <c:pt idx="8">
                  <c:v>0.54385964912280693</c:v>
                </c:pt>
                <c:pt idx="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B-4758-8727-39899A5C62E4}"/>
            </c:ext>
          </c:extLst>
        </c:ser>
        <c:ser>
          <c:idx val="2"/>
          <c:order val="2"/>
          <c:tx>
            <c:strRef>
              <c:f>TAIOBEIRAS!$O$1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TAIOBEIRAS!$O$2:$O$11</c:f>
              <c:numCache>
                <c:formatCode>0.00</c:formatCode>
                <c:ptCount val="10"/>
                <c:pt idx="0">
                  <c:v>4.7619047619047616E-2</c:v>
                </c:pt>
                <c:pt idx="1">
                  <c:v>7.4829931972789115E-2</c:v>
                </c:pt>
                <c:pt idx="2">
                  <c:v>7.4829931972789115E-2</c:v>
                </c:pt>
                <c:pt idx="3">
                  <c:v>0.12925170068027211</c:v>
                </c:pt>
                <c:pt idx="4">
                  <c:v>0.17687074829931973</c:v>
                </c:pt>
                <c:pt idx="5">
                  <c:v>0.22448979591836735</c:v>
                </c:pt>
                <c:pt idx="6">
                  <c:v>0.25850340136054423</c:v>
                </c:pt>
                <c:pt idx="7">
                  <c:v>0.35374149659863946</c:v>
                </c:pt>
                <c:pt idx="8">
                  <c:v>0.48979591836734693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B-4758-8727-39899A5C62E4}"/>
            </c:ext>
          </c:extLst>
        </c:ser>
        <c:ser>
          <c:idx val="3"/>
          <c:order val="3"/>
          <c:tx>
            <c:strRef>
              <c:f>TAIOBEIRAS!$P$1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TAIOBEIRAS!$P$2:$P$11</c:f>
              <c:numCache>
                <c:formatCode>0.00</c:formatCode>
                <c:ptCount val="10"/>
                <c:pt idx="0">
                  <c:v>3.5087719298245612E-2</c:v>
                </c:pt>
                <c:pt idx="1">
                  <c:v>7.0175438596491224E-2</c:v>
                </c:pt>
                <c:pt idx="2">
                  <c:v>7.8947368421052627E-2</c:v>
                </c:pt>
                <c:pt idx="3">
                  <c:v>0.13157894736842105</c:v>
                </c:pt>
                <c:pt idx="4">
                  <c:v>0.18421052631578946</c:v>
                </c:pt>
                <c:pt idx="5">
                  <c:v>0.21929824561403508</c:v>
                </c:pt>
                <c:pt idx="6">
                  <c:v>0.26315789473684209</c:v>
                </c:pt>
                <c:pt idx="7">
                  <c:v>0.35964912280701755</c:v>
                </c:pt>
                <c:pt idx="8">
                  <c:v>0.52631578947368418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B-4758-8727-39899A5C6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99376"/>
        <c:axId val="309810896"/>
      </c:scatterChart>
      <c:valAx>
        <c:axId val="309799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10896"/>
        <c:crosses val="autoZero"/>
        <c:crossBetween val="midCat"/>
      </c:valAx>
      <c:valAx>
        <c:axId val="309810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79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26670</xdr:rowOff>
    </xdr:from>
    <xdr:to>
      <xdr:col>23</xdr:col>
      <xdr:colOff>403860</xdr:colOff>
      <xdr:row>12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36310EC-2282-23C8-42FE-E0CCC6F8F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156210</xdr:rowOff>
    </xdr:from>
    <xdr:to>
      <xdr:col>23</xdr:col>
      <xdr:colOff>365760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4A2B8CD-E18F-426B-D3F3-2651FD34D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49530</xdr:rowOff>
    </xdr:from>
    <xdr:to>
      <xdr:col>23</xdr:col>
      <xdr:colOff>403860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FCA580-6B42-3CDD-D28C-95648DE0A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14</xdr:row>
      <xdr:rowOff>19050</xdr:rowOff>
    </xdr:from>
    <xdr:to>
      <xdr:col>23</xdr:col>
      <xdr:colOff>388620</xdr:colOff>
      <xdr:row>28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CDB167-8629-CC9A-AF8F-496F95681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57150</xdr:rowOff>
    </xdr:from>
    <xdr:to>
      <xdr:col>23</xdr:col>
      <xdr:colOff>525780</xdr:colOff>
      <xdr:row>12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0FB148-61C1-83E4-FD01-FF7E5B14D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259080</xdr:colOff>
      <xdr:row>12</xdr:row>
      <xdr:rowOff>156210</xdr:rowOff>
    </xdr:from>
    <xdr:to>
      <xdr:col>23</xdr:col>
      <xdr:colOff>563880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CDD74E9-46FC-9A4B-5C52-3E8A4281D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129540</xdr:colOff>
      <xdr:row>0</xdr:row>
      <xdr:rowOff>0</xdr:rowOff>
    </xdr:from>
    <xdr:to>
      <xdr:col>23</xdr:col>
      <xdr:colOff>434340</xdr:colOff>
      <xdr:row>12</xdr:row>
      <xdr:rowOff>83820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EB9E5E-0B26-0F86-46FB-A6A92229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12</xdr:row>
      <xdr:rowOff>140970</xdr:rowOff>
    </xdr:from>
    <xdr:to>
      <xdr:col>23</xdr:col>
      <xdr:colOff>571500</xdr:colOff>
      <xdr:row>27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CD46141-44AE-9B73-843E-EB12694F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57150</xdr:rowOff>
    </xdr:from>
    <xdr:to>
      <xdr:col>23</xdr:col>
      <xdr:colOff>480060</xdr:colOff>
      <xdr:row>13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17CDB0-3897-EFE6-2589-F4FDB46B0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179070</xdr:rowOff>
    </xdr:from>
    <xdr:to>
      <xdr:col>23</xdr:col>
      <xdr:colOff>449580</xdr:colOff>
      <xdr:row>27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7779612-B0E5-72DE-0C5F-AF75F765F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41910</xdr:rowOff>
    </xdr:from>
    <xdr:to>
      <xdr:col>23</xdr:col>
      <xdr:colOff>396240</xdr:colOff>
      <xdr:row>12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12DC2E-2542-3134-16DA-5670673D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13</xdr:row>
      <xdr:rowOff>11430</xdr:rowOff>
    </xdr:from>
    <xdr:to>
      <xdr:col>23</xdr:col>
      <xdr:colOff>388620</xdr:colOff>
      <xdr:row>28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836FF-F319-3E6A-76C1-A846522B8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194829</xdr:colOff>
      <xdr:row>0</xdr:row>
      <xdr:rowOff>39832</xdr:rowOff>
    </xdr:from>
    <xdr:to>
      <xdr:col>23</xdr:col>
      <xdr:colOff>523875</xdr:colOff>
      <xdr:row>12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8A42926-AEB6-1F91-9C03-7EBF7F576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186170</xdr:colOff>
      <xdr:row>12</xdr:row>
      <xdr:rowOff>169718</xdr:rowOff>
    </xdr:from>
    <xdr:to>
      <xdr:col>23</xdr:col>
      <xdr:colOff>515216</xdr:colOff>
      <xdr:row>28</xdr:row>
      <xdr:rowOff>3464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192AA17-B03E-E737-6FCD-9BDEC080B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45720</xdr:rowOff>
    </xdr:from>
    <xdr:to>
      <xdr:col>23</xdr:col>
      <xdr:colOff>373380</xdr:colOff>
      <xdr:row>12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A3500-78E6-C38E-48F4-2B781C455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67236</xdr:colOff>
      <xdr:row>13</xdr:row>
      <xdr:rowOff>35859</xdr:rowOff>
    </xdr:from>
    <xdr:to>
      <xdr:col>23</xdr:col>
      <xdr:colOff>372036</xdr:colOff>
      <xdr:row>28</xdr:row>
      <xdr:rowOff>89647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C27FC3-9202-F0F1-19BF-A5762D474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155510</xdr:colOff>
      <xdr:row>0</xdr:row>
      <xdr:rowOff>62981</xdr:rowOff>
    </xdr:from>
    <xdr:to>
      <xdr:col>23</xdr:col>
      <xdr:colOff>482082</xdr:colOff>
      <xdr:row>12</xdr:row>
      <xdr:rowOff>108079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909EBAA-417A-4672-7EC4-7E49B96D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171062</xdr:colOff>
      <xdr:row>12</xdr:row>
      <xdr:rowOff>148512</xdr:rowOff>
    </xdr:from>
    <xdr:to>
      <xdr:col>23</xdr:col>
      <xdr:colOff>497634</xdr:colOff>
      <xdr:row>27</xdr:row>
      <xdr:rowOff>92528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714E1C4-F0FF-5C2E-7AB6-FBD9962F6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57150</xdr:rowOff>
    </xdr:from>
    <xdr:to>
      <xdr:col>23</xdr:col>
      <xdr:colOff>502920</xdr:colOff>
      <xdr:row>12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DD41B0-8876-B840-0157-5BEF3B410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13</xdr:row>
      <xdr:rowOff>3810</xdr:rowOff>
    </xdr:from>
    <xdr:to>
      <xdr:col>23</xdr:col>
      <xdr:colOff>487680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F6FDED-41C3-896F-B791-42D13BAB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49530</xdr:rowOff>
    </xdr:from>
    <xdr:to>
      <xdr:col>23</xdr:col>
      <xdr:colOff>403860</xdr:colOff>
      <xdr:row>12</xdr:row>
      <xdr:rowOff>316230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32D0321-02A4-74BC-C95B-73AEE8548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3810</xdr:rowOff>
    </xdr:from>
    <xdr:to>
      <xdr:col>23</xdr:col>
      <xdr:colOff>396240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11742A-6FBA-A553-0BFF-C7A853BF5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36F3-19D5-43E9-BEA4-DE4E28F7D501}">
  <dimension ref="A1:P17"/>
  <sheetViews>
    <sheetView tabSelected="1" zoomScale="96" workbookViewId="0"/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4</v>
      </c>
      <c r="B2" s="11">
        <v>6.0189285623908698E-2</v>
      </c>
      <c r="C2" s="11">
        <v>1.0309278350515464E-2</v>
      </c>
      <c r="D2" s="11">
        <v>2.7777777777777776E-2</v>
      </c>
      <c r="E2" s="11">
        <v>8.1081081081081086E-2</v>
      </c>
      <c r="F2" s="11">
        <v>4.9180327868852458E-2</v>
      </c>
      <c r="G2" s="11">
        <v>6.3291139240506333E-2</v>
      </c>
      <c r="H2" s="11">
        <v>0.1044776119402985</v>
      </c>
      <c r="I2" s="11">
        <v>6.0189285623908698E-2</v>
      </c>
      <c r="J2" s="11">
        <v>6.0189285623908698E-2</v>
      </c>
      <c r="K2" s="11">
        <v>1.0309278350515464E-2</v>
      </c>
      <c r="L2" s="11">
        <v>2.7777777777777776E-2</v>
      </c>
      <c r="M2" s="11">
        <v>8.1081081081081086E-2</v>
      </c>
      <c r="N2" s="11">
        <v>4.9180327868852458E-2</v>
      </c>
      <c r="O2" s="11">
        <v>6.3291139240506333E-2</v>
      </c>
      <c r="P2" s="11">
        <v>0.1044776119402985</v>
      </c>
    </row>
    <row r="3" spans="1:16" x14ac:dyDescent="0.3">
      <c r="A3" s="11" t="s">
        <v>3</v>
      </c>
      <c r="B3" s="11">
        <v>6.3327175645924536E-2</v>
      </c>
      <c r="C3" s="11">
        <v>0.10309278350515463</v>
      </c>
      <c r="D3" s="11">
        <v>2.7777777777777776E-2</v>
      </c>
      <c r="E3" s="11">
        <v>2.7027027027027029E-2</v>
      </c>
      <c r="F3" s="11">
        <v>4.9180327868852458E-2</v>
      </c>
      <c r="G3" s="11">
        <v>5.6962025316455694E-2</v>
      </c>
      <c r="H3" s="11">
        <v>5.2238805970149252E-2</v>
      </c>
      <c r="I3" s="11">
        <v>0.12351646126983323</v>
      </c>
      <c r="J3" s="11">
        <f t="shared" ref="J3:P7" si="0">J2+B3</f>
        <v>0.12351646126983323</v>
      </c>
      <c r="K3" s="11">
        <f t="shared" si="0"/>
        <v>0.1134020618556701</v>
      </c>
      <c r="L3" s="11">
        <f t="shared" si="0"/>
        <v>5.5555555555555552E-2</v>
      </c>
      <c r="M3" s="11">
        <f t="shared" si="0"/>
        <v>0.10810810810810811</v>
      </c>
      <c r="N3" s="11">
        <f t="shared" si="0"/>
        <v>9.8360655737704916E-2</v>
      </c>
      <c r="O3" s="11">
        <f t="shared" si="0"/>
        <v>0.12025316455696203</v>
      </c>
      <c r="P3" s="11">
        <f t="shared" si="0"/>
        <v>0.15671641791044777</v>
      </c>
    </row>
    <row r="4" spans="1:16" x14ac:dyDescent="0.3">
      <c r="A4" s="11" t="s">
        <v>2</v>
      </c>
      <c r="B4" s="11">
        <v>6.6654857403142947E-2</v>
      </c>
      <c r="C4" s="11">
        <v>2.0618556701030927E-2</v>
      </c>
      <c r="D4" s="11">
        <v>2.7777777777777776E-2</v>
      </c>
      <c r="E4" s="11">
        <v>8.1081081081081086E-2</v>
      </c>
      <c r="F4" s="11">
        <v>2.4590163934426229E-2</v>
      </c>
      <c r="G4" s="11">
        <v>3.1645569620253167E-2</v>
      </c>
      <c r="H4" s="11">
        <v>3.7313432835820892E-2</v>
      </c>
      <c r="I4" s="11">
        <v>0.19017131867297618</v>
      </c>
      <c r="J4" s="11">
        <f t="shared" si="0"/>
        <v>0.19017131867297618</v>
      </c>
      <c r="K4" s="11">
        <f t="shared" si="0"/>
        <v>0.13402061855670103</v>
      </c>
      <c r="L4" s="11">
        <f t="shared" si="0"/>
        <v>8.3333333333333329E-2</v>
      </c>
      <c r="M4" s="11">
        <f t="shared" si="0"/>
        <v>0.1891891891891892</v>
      </c>
      <c r="N4" s="11">
        <f t="shared" si="0"/>
        <v>0.12295081967213115</v>
      </c>
      <c r="O4" s="11">
        <f t="shared" si="0"/>
        <v>0.15189873417721519</v>
      </c>
      <c r="P4" s="11">
        <f t="shared" si="0"/>
        <v>0.19402985074626866</v>
      </c>
    </row>
    <row r="5" spans="1:16" x14ac:dyDescent="0.3">
      <c r="A5" s="11" t="s">
        <v>5</v>
      </c>
      <c r="B5" s="11">
        <v>7.8991320191310069E-2</v>
      </c>
      <c r="C5" s="11">
        <v>8.247422680412371E-2</v>
      </c>
      <c r="D5" s="11">
        <v>2.7777777777777776E-2</v>
      </c>
      <c r="E5" s="11">
        <v>8.1081081081081086E-2</v>
      </c>
      <c r="F5" s="11">
        <v>9.8360655737704916E-2</v>
      </c>
      <c r="G5" s="11">
        <v>3.7974683544303799E-2</v>
      </c>
      <c r="H5" s="11">
        <v>2.2388059701492536E-2</v>
      </c>
      <c r="I5" s="11">
        <v>0.26916263886428626</v>
      </c>
      <c r="J5" s="11">
        <f t="shared" si="0"/>
        <v>0.26916263886428626</v>
      </c>
      <c r="K5" s="11">
        <f t="shared" si="0"/>
        <v>0.21649484536082475</v>
      </c>
      <c r="L5" s="11">
        <f t="shared" si="0"/>
        <v>0.1111111111111111</v>
      </c>
      <c r="M5" s="11">
        <f t="shared" si="0"/>
        <v>0.27027027027027029</v>
      </c>
      <c r="N5" s="11">
        <f t="shared" si="0"/>
        <v>0.22131147540983606</v>
      </c>
      <c r="O5" s="11">
        <f t="shared" si="0"/>
        <v>0.189873417721519</v>
      </c>
      <c r="P5" s="11">
        <f t="shared" si="0"/>
        <v>0.21641791044776121</v>
      </c>
    </row>
    <row r="6" spans="1:16" x14ac:dyDescent="0.3">
      <c r="A6" s="11" t="s">
        <v>1</v>
      </c>
      <c r="B6" s="11">
        <v>9.160614419110763E-2</v>
      </c>
      <c r="C6" s="11">
        <v>4.1237113402061855E-2</v>
      </c>
      <c r="D6" s="11">
        <v>1.3888888888888888E-2</v>
      </c>
      <c r="E6" s="11">
        <v>8.1081081081081086E-2</v>
      </c>
      <c r="F6" s="11">
        <v>9.0163934426229511E-2</v>
      </c>
      <c r="G6" s="11">
        <v>0.14556962025316456</v>
      </c>
      <c r="H6" s="11">
        <v>0.13432835820895522</v>
      </c>
      <c r="I6" s="11">
        <v>0.36076878305539389</v>
      </c>
      <c r="J6" s="11">
        <f t="shared" si="0"/>
        <v>0.36076878305539389</v>
      </c>
      <c r="K6" s="11">
        <f t="shared" si="0"/>
        <v>0.25773195876288663</v>
      </c>
      <c r="L6" s="11">
        <f t="shared" si="0"/>
        <v>0.125</v>
      </c>
      <c r="M6" s="11">
        <f t="shared" si="0"/>
        <v>0.35135135135135137</v>
      </c>
      <c r="N6" s="11">
        <f t="shared" si="0"/>
        <v>0.31147540983606559</v>
      </c>
      <c r="O6" s="11">
        <f t="shared" si="0"/>
        <v>0.33544303797468356</v>
      </c>
      <c r="P6" s="11">
        <f t="shared" si="0"/>
        <v>0.35074626865671643</v>
      </c>
    </row>
    <row r="7" spans="1:16" x14ac:dyDescent="0.3">
      <c r="A7" s="11" t="s">
        <v>0</v>
      </c>
      <c r="B7" s="11">
        <v>0.63923121694460616</v>
      </c>
      <c r="C7" s="11">
        <v>0.74226804123711343</v>
      </c>
      <c r="D7" s="11">
        <v>0.875</v>
      </c>
      <c r="E7" s="11">
        <v>0.64864864864864868</v>
      </c>
      <c r="F7" s="11">
        <v>0.68852459016393441</v>
      </c>
      <c r="G7" s="11">
        <v>0.66455696202531644</v>
      </c>
      <c r="H7" s="11">
        <v>0.64925373134328357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4</v>
      </c>
      <c r="C10" s="11">
        <f>C2-B2</f>
        <v>-4.9880007273393236E-2</v>
      </c>
      <c r="D10" s="11">
        <f>D2-B2</f>
        <v>-3.2411507846130921E-2</v>
      </c>
      <c r="E10" s="11">
        <f>E2-B2</f>
        <v>2.0891795457172388E-2</v>
      </c>
      <c r="F10" s="11">
        <f>F2-B2</f>
        <v>-1.100895775505624E-2</v>
      </c>
      <c r="G10" s="11">
        <f>G2-B2</f>
        <v>3.1018536165976357E-3</v>
      </c>
      <c r="H10" s="11">
        <f>H2-B2</f>
        <v>4.4288326316389806E-2</v>
      </c>
      <c r="J10" s="11" t="s">
        <v>4</v>
      </c>
      <c r="K10" s="3">
        <f>(J2-0) * ((K2+0))</f>
        <v>6.2050809921555361E-4</v>
      </c>
      <c r="L10" s="3">
        <f>(J2-0) * ((L2+0))</f>
        <v>1.6719246006641304E-3</v>
      </c>
      <c r="M10" s="3">
        <f>(J2-0) * ((M2+0))</f>
        <v>4.8802123478844895E-3</v>
      </c>
      <c r="N10" s="3">
        <f>(J2-0) * ((N2+0))</f>
        <v>2.9601288011758377E-3</v>
      </c>
      <c r="O10" s="3">
        <f>(J2-0) * ((O2+0))</f>
        <v>3.8094484572094114E-3</v>
      </c>
      <c r="P10" s="3">
        <f>(J2-0) * ((P2+0))</f>
        <v>6.2884328263785204E-3</v>
      </c>
    </row>
    <row r="11" spans="1:16" x14ac:dyDescent="0.3">
      <c r="B11" s="11" t="s">
        <v>3</v>
      </c>
      <c r="C11" s="11">
        <f t="shared" ref="C11:C15" si="1">C3-B3</f>
        <v>3.9765607859230098E-2</v>
      </c>
      <c r="D11" s="11">
        <f t="shared" ref="D11:D15" si="2">D3-B3</f>
        <v>-3.5549397868146759E-2</v>
      </c>
      <c r="E11" s="11">
        <f t="shared" ref="E11:E15" si="3">E3-B3</f>
        <v>-3.6300148618897507E-2</v>
      </c>
      <c r="F11" s="11">
        <f t="shared" ref="F11:F15" si="4">F3-B3</f>
        <v>-1.4146847777072077E-2</v>
      </c>
      <c r="G11" s="11">
        <f t="shared" ref="G11:G15" si="5">G3-B3</f>
        <v>-6.3651503294688411E-3</v>
      </c>
      <c r="H11" s="11">
        <f t="shared" ref="H11:H15" si="6">H3-B3</f>
        <v>-1.1088369675775284E-2</v>
      </c>
      <c r="J11" s="11" t="s">
        <v>3</v>
      </c>
      <c r="K11" s="3">
        <f>(J3-J2) * ((K3+K2))</f>
        <v>7.8342897706298389E-3</v>
      </c>
      <c r="L11" s="3">
        <f>(J3-J2) * ((L3+L2))</f>
        <v>5.2772646371603777E-3</v>
      </c>
      <c r="M11" s="3">
        <f>(J3-J2) * ((M3+M2))</f>
        <v>1.1980817014093832E-2</v>
      </c>
      <c r="N11" s="3">
        <f>(J3-J2) * ((N3+N2))</f>
        <v>9.3433537838249307E-3</v>
      </c>
      <c r="O11" s="3">
        <f>(J3-J2) * ((O3+O2))</f>
        <v>1.1623342365391212E-2</v>
      </c>
      <c r="P11" s="3">
        <f>(J3-J2) * ((P3+P2))</f>
        <v>1.6540680206025064E-2</v>
      </c>
    </row>
    <row r="12" spans="1:16" x14ac:dyDescent="0.3">
      <c r="B12" s="11" t="s">
        <v>2</v>
      </c>
      <c r="C12" s="11">
        <f t="shared" si="1"/>
        <v>-4.6036300702112024E-2</v>
      </c>
      <c r="D12" s="11">
        <f t="shared" si="2"/>
        <v>-3.8877079625365171E-2</v>
      </c>
      <c r="E12" s="11">
        <f t="shared" si="3"/>
        <v>1.4426223677938138E-2</v>
      </c>
      <c r="F12" s="11">
        <f t="shared" si="4"/>
        <v>-4.2064693468716718E-2</v>
      </c>
      <c r="G12" s="11">
        <f t="shared" si="5"/>
        <v>-3.5009287782889781E-2</v>
      </c>
      <c r="H12" s="11">
        <f t="shared" si="6"/>
        <v>-2.9341424567322055E-2</v>
      </c>
      <c r="J12" s="11" t="s">
        <v>2</v>
      </c>
      <c r="K12" s="3">
        <f t="shared" ref="K12:K15" si="7">(J4-J3) * ((K4+K3))</f>
        <v>1.6491923481190007E-2</v>
      </c>
      <c r="L12" s="3">
        <f t="shared" ref="L12:L15" si="8">(J4-J3) * ((L4+L3))</f>
        <v>9.2576190837698538E-3</v>
      </c>
      <c r="M12" s="3">
        <f t="shared" ref="M12:M15" si="9">(J4-J3) * ((M4+M3))</f>
        <v>1.9816308957691146E-2</v>
      </c>
      <c r="N12" s="3">
        <f t="shared" ref="N12:N15" si="10">(J4-J3) * ((N4+N3))</f>
        <v>1.47514848351218E-2</v>
      </c>
      <c r="O12" s="3">
        <f t="shared" ref="O12:O15" si="11">(J4-J3) * ((O4+O3))</f>
        <v>1.8140246002121184E-2</v>
      </c>
      <c r="P12" s="3">
        <f t="shared" ref="P12:P15" si="12">(J4-J3) * ((P4+P3))</f>
        <v>2.33789425219979E-2</v>
      </c>
    </row>
    <row r="13" spans="1:16" x14ac:dyDescent="0.3">
      <c r="B13" s="11" t="s">
        <v>5</v>
      </c>
      <c r="C13" s="11">
        <f t="shared" si="1"/>
        <v>3.482906612813641E-3</v>
      </c>
      <c r="D13" s="11">
        <f t="shared" si="2"/>
        <v>-5.1213542413532293E-2</v>
      </c>
      <c r="E13" s="11">
        <f t="shared" si="3"/>
        <v>2.0897608897710168E-3</v>
      </c>
      <c r="F13" s="11">
        <f t="shared" si="4"/>
        <v>1.9369335546394847E-2</v>
      </c>
      <c r="G13" s="11">
        <f t="shared" si="5"/>
        <v>-4.101663664700627E-2</v>
      </c>
      <c r="H13" s="11">
        <f t="shared" si="6"/>
        <v>-5.6603260489817536E-2</v>
      </c>
      <c r="J13" s="11" t="s">
        <v>5</v>
      </c>
      <c r="K13" s="3">
        <f t="shared" si="7"/>
        <v>2.7687679242314873E-2</v>
      </c>
      <c r="L13" s="3">
        <f t="shared" si="8"/>
        <v>1.5359423370532515E-2</v>
      </c>
      <c r="M13" s="3">
        <f t="shared" si="9"/>
        <v>3.6293309277088417E-2</v>
      </c>
      <c r="N13" s="3">
        <f t="shared" si="10"/>
        <v>2.7193733180614944E-2</v>
      </c>
      <c r="O13" s="3">
        <f t="shared" si="11"/>
        <v>2.6997033483105982E-2</v>
      </c>
      <c r="P13" s="3">
        <f t="shared" si="12"/>
        <v>3.2421810526283991E-2</v>
      </c>
    </row>
    <row r="14" spans="1:16" x14ac:dyDescent="0.3">
      <c r="B14" s="11" t="s">
        <v>1</v>
      </c>
      <c r="C14" s="11">
        <f t="shared" si="1"/>
        <v>-5.0369030789045775E-2</v>
      </c>
      <c r="D14" s="11">
        <f t="shared" si="2"/>
        <v>-7.7717255302218735E-2</v>
      </c>
      <c r="E14" s="11">
        <f t="shared" si="3"/>
        <v>-1.0525063110026545E-2</v>
      </c>
      <c r="F14" s="11">
        <f t="shared" si="4"/>
        <v>-1.442209764878119E-3</v>
      </c>
      <c r="G14" s="11">
        <f t="shared" si="5"/>
        <v>5.3963476062056925E-2</v>
      </c>
      <c r="H14" s="11">
        <f t="shared" si="6"/>
        <v>4.2722214017847593E-2</v>
      </c>
      <c r="J14" s="11" t="s">
        <v>1</v>
      </c>
      <c r="K14" s="3">
        <f t="shared" si="7"/>
        <v>4.3442088997844859E-2</v>
      </c>
      <c r="L14" s="3">
        <f t="shared" si="8"/>
        <v>2.1629228489567078E-2</v>
      </c>
      <c r="M14" s="3">
        <f t="shared" si="9"/>
        <v>5.6944359902580427E-2</v>
      </c>
      <c r="N14" s="3">
        <f t="shared" si="10"/>
        <v>4.8806552232967183E-2</v>
      </c>
      <c r="O14" s="3">
        <f t="shared" si="11"/>
        <v>4.8122214986467932E-2</v>
      </c>
      <c r="P14" s="3">
        <f t="shared" si="12"/>
        <v>5.1955723571075973E-2</v>
      </c>
    </row>
    <row r="15" spans="1:16" x14ac:dyDescent="0.3">
      <c r="B15" s="11" t="s">
        <v>0</v>
      </c>
      <c r="C15" s="11">
        <f t="shared" si="1"/>
        <v>0.10303682429250727</v>
      </c>
      <c r="D15" s="11">
        <f t="shared" si="2"/>
        <v>0.23576878305539384</v>
      </c>
      <c r="E15" s="11">
        <f t="shared" si="3"/>
        <v>9.4174317040425226E-3</v>
      </c>
      <c r="F15" s="11">
        <f t="shared" si="4"/>
        <v>4.9293373219328251E-2</v>
      </c>
      <c r="G15" s="11">
        <f t="shared" si="5"/>
        <v>2.5325745080710282E-2</v>
      </c>
      <c r="H15" s="11">
        <f t="shared" si="6"/>
        <v>1.0022514398677407E-2</v>
      </c>
      <c r="J15" s="11" t="s">
        <v>0</v>
      </c>
      <c r="K15" s="3">
        <f t="shared" si="7"/>
        <v>0.80398153059012323</v>
      </c>
      <c r="L15" s="3">
        <f t="shared" si="8"/>
        <v>0.7191351190626819</v>
      </c>
      <c r="M15" s="3">
        <f t="shared" si="9"/>
        <v>0.86382596884406238</v>
      </c>
      <c r="N15" s="3">
        <f t="shared" si="10"/>
        <v>0.83833602222243442</v>
      </c>
      <c r="O15" s="3">
        <f t="shared" si="11"/>
        <v>0.85365687832475889</v>
      </c>
      <c r="P15" s="3">
        <f t="shared" si="12"/>
        <v>0.86343918109681883</v>
      </c>
    </row>
    <row r="16" spans="1:16" x14ac:dyDescent="0.3">
      <c r="J16" s="13" t="s">
        <v>106</v>
      </c>
      <c r="K16" s="12">
        <f>SUM(K10:K15)</f>
        <v>0.90005802018131842</v>
      </c>
      <c r="L16" s="12">
        <f t="shared" ref="L16:P16" si="13">SUM(L10:L15)</f>
        <v>0.77233057924437587</v>
      </c>
      <c r="M16" s="12">
        <f t="shared" si="13"/>
        <v>0.99374097634340064</v>
      </c>
      <c r="N16" s="12">
        <f t="shared" si="13"/>
        <v>0.94139127505613907</v>
      </c>
      <c r="O16" s="12">
        <f t="shared" si="13"/>
        <v>0.96234916361905465</v>
      </c>
      <c r="P16" s="12">
        <f t="shared" si="13"/>
        <v>0.99402477074858031</v>
      </c>
    </row>
    <row r="17" spans="10:16" x14ac:dyDescent="0.3">
      <c r="J17" s="14" t="s">
        <v>107</v>
      </c>
      <c r="K17" s="15">
        <f>1-K16</f>
        <v>9.9941979818681581E-2</v>
      </c>
      <c r="L17" s="15">
        <f t="shared" ref="L17:P17" si="14">1-L16</f>
        <v>0.22766942075562413</v>
      </c>
      <c r="M17" s="15">
        <f t="shared" si="14"/>
        <v>6.2590236565993607E-3</v>
      </c>
      <c r="N17" s="15">
        <f t="shared" si="14"/>
        <v>5.8608724943860935E-2</v>
      </c>
      <c r="O17" s="15">
        <f t="shared" si="14"/>
        <v>3.7650836380945352E-2</v>
      </c>
      <c r="P17" s="15">
        <f t="shared" si="14"/>
        <v>5.9752292514196892E-3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9D33-5F6C-46DA-ABC4-758B94943C43}">
  <dimension ref="A1:P35"/>
  <sheetViews>
    <sheetView workbookViewId="0"/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</v>
      </c>
      <c r="B2" s="11">
        <v>1.6250503850478392E-2</v>
      </c>
      <c r="C2" s="11">
        <v>1.0869565217391304E-2</v>
      </c>
      <c r="D2" s="11">
        <v>0</v>
      </c>
      <c r="E2" s="11">
        <v>1.6129032258064516E-2</v>
      </c>
      <c r="F2" s="11">
        <v>1.6393442622950821E-2</v>
      </c>
      <c r="G2" s="11">
        <v>2.8089887640449437E-2</v>
      </c>
      <c r="H2" s="11">
        <v>4.9382716049382713E-2</v>
      </c>
      <c r="I2" s="11">
        <v>1.6250503850478392E-2</v>
      </c>
      <c r="J2" s="11">
        <v>1.6250503850478392E-2</v>
      </c>
      <c r="K2" s="11">
        <v>1.0869565217391304E-2</v>
      </c>
      <c r="L2" s="11">
        <v>0</v>
      </c>
      <c r="M2" s="11">
        <v>1.6129032258064516E-2</v>
      </c>
      <c r="N2" s="11">
        <v>1.6393442622950821E-2</v>
      </c>
      <c r="O2" s="11">
        <v>2.8089887640449437E-2</v>
      </c>
      <c r="P2" s="11">
        <v>4.9382716049382713E-2</v>
      </c>
    </row>
    <row r="3" spans="1:16" x14ac:dyDescent="0.3">
      <c r="A3" s="11" t="s">
        <v>8</v>
      </c>
      <c r="B3" s="11">
        <v>2.2657360459935931E-2</v>
      </c>
      <c r="C3" s="11">
        <v>0</v>
      </c>
      <c r="D3" s="11">
        <v>3.4482758620689655E-2</v>
      </c>
      <c r="E3" s="11">
        <v>0</v>
      </c>
      <c r="F3" s="11">
        <v>0</v>
      </c>
      <c r="G3" s="11">
        <v>5.6179775280898875E-3</v>
      </c>
      <c r="H3" s="11">
        <v>0</v>
      </c>
      <c r="I3" s="11">
        <v>3.890786431041432E-2</v>
      </c>
      <c r="J3" s="11">
        <f>J2+B3</f>
        <v>3.890786431041432E-2</v>
      </c>
      <c r="K3" s="11">
        <f t="shared" ref="K3:P16" si="0">K2+C3</f>
        <v>1.0869565217391304E-2</v>
      </c>
      <c r="L3" s="11">
        <f t="shared" si="0"/>
        <v>3.4482758620689655E-2</v>
      </c>
      <c r="M3" s="11">
        <f t="shared" si="0"/>
        <v>1.6129032258064516E-2</v>
      </c>
      <c r="N3" s="11">
        <f t="shared" si="0"/>
        <v>1.6393442622950821E-2</v>
      </c>
      <c r="O3" s="11">
        <f t="shared" si="0"/>
        <v>3.3707865168539325E-2</v>
      </c>
      <c r="P3" s="11">
        <f t="shared" si="0"/>
        <v>4.9382716049382713E-2</v>
      </c>
    </row>
    <row r="4" spans="1:16" x14ac:dyDescent="0.3">
      <c r="A4" s="11" t="s">
        <v>13</v>
      </c>
      <c r="B4" s="11">
        <v>2.5589239875257228E-2</v>
      </c>
      <c r="C4" s="11">
        <v>6.5217391304347824E-2</v>
      </c>
      <c r="D4" s="11">
        <v>0</v>
      </c>
      <c r="E4" s="11">
        <v>1.6129032258064516E-2</v>
      </c>
      <c r="F4" s="11">
        <v>8.1967213114754103E-3</v>
      </c>
      <c r="G4" s="11">
        <v>2.8089887640449437E-2</v>
      </c>
      <c r="H4" s="11">
        <v>6.1728395061728392E-2</v>
      </c>
      <c r="I4" s="11">
        <v>6.4497104185671547E-2</v>
      </c>
      <c r="J4" s="11">
        <f t="shared" ref="J4:J16" si="1">J3+B4</f>
        <v>6.4497104185671547E-2</v>
      </c>
      <c r="K4" s="11">
        <f t="shared" si="0"/>
        <v>7.6086956521739135E-2</v>
      </c>
      <c r="L4" s="11">
        <f t="shared" si="0"/>
        <v>3.4482758620689655E-2</v>
      </c>
      <c r="M4" s="11">
        <f t="shared" si="0"/>
        <v>3.2258064516129031E-2</v>
      </c>
      <c r="N4" s="11">
        <f t="shared" si="0"/>
        <v>2.4590163934426229E-2</v>
      </c>
      <c r="O4" s="11">
        <f t="shared" si="0"/>
        <v>6.1797752808988762E-2</v>
      </c>
      <c r="P4" s="11">
        <f t="shared" si="0"/>
        <v>0.1111111111111111</v>
      </c>
    </row>
    <row r="5" spans="1:16" x14ac:dyDescent="0.3">
      <c r="A5" s="11" t="s">
        <v>12</v>
      </c>
      <c r="B5" s="11">
        <v>2.8576277658739418E-2</v>
      </c>
      <c r="C5" s="11">
        <v>1.0869565217391304E-2</v>
      </c>
      <c r="D5" s="11">
        <v>3.4482758620689655E-2</v>
      </c>
      <c r="E5" s="11">
        <v>1.6129032258064516E-2</v>
      </c>
      <c r="F5" s="11">
        <v>8.1967213114754103E-3</v>
      </c>
      <c r="G5" s="11">
        <v>2.8089887640449437E-2</v>
      </c>
      <c r="H5" s="11">
        <v>3.7037037037037035E-2</v>
      </c>
      <c r="I5" s="11">
        <v>9.3073381844410968E-2</v>
      </c>
      <c r="J5" s="11">
        <f t="shared" si="1"/>
        <v>9.3073381844410968E-2</v>
      </c>
      <c r="K5" s="11">
        <f t="shared" si="0"/>
        <v>8.6956521739130432E-2</v>
      </c>
      <c r="L5" s="11">
        <f t="shared" si="0"/>
        <v>6.8965517241379309E-2</v>
      </c>
      <c r="M5" s="11">
        <f t="shared" si="0"/>
        <v>4.8387096774193547E-2</v>
      </c>
      <c r="N5" s="11">
        <f t="shared" si="0"/>
        <v>3.2786885245901641E-2</v>
      </c>
      <c r="O5" s="11">
        <f t="shared" si="0"/>
        <v>8.98876404494382E-2</v>
      </c>
      <c r="P5" s="11">
        <f t="shared" si="0"/>
        <v>0.14814814814814814</v>
      </c>
    </row>
    <row r="6" spans="1:16" x14ac:dyDescent="0.3">
      <c r="A6" s="11" t="s">
        <v>14</v>
      </c>
      <c r="B6" s="11">
        <v>3.1991853533317773E-2</v>
      </c>
      <c r="C6" s="11">
        <v>5.434782608695652E-2</v>
      </c>
      <c r="D6" s="11">
        <v>3.4482758620689655E-2</v>
      </c>
      <c r="E6" s="11">
        <v>4.8387096774193547E-2</v>
      </c>
      <c r="F6" s="11">
        <v>4.9180327868852458E-2</v>
      </c>
      <c r="G6" s="11">
        <v>1.1235955056179775E-2</v>
      </c>
      <c r="H6" s="11">
        <v>0</v>
      </c>
      <c r="I6" s="11">
        <v>0.12506523537772873</v>
      </c>
      <c r="J6" s="11">
        <f t="shared" si="1"/>
        <v>0.12506523537772873</v>
      </c>
      <c r="K6" s="11">
        <f t="shared" si="0"/>
        <v>0.14130434782608695</v>
      </c>
      <c r="L6" s="11">
        <f t="shared" si="0"/>
        <v>0.10344827586206896</v>
      </c>
      <c r="M6" s="11">
        <f t="shared" si="0"/>
        <v>9.6774193548387094E-2</v>
      </c>
      <c r="N6" s="11">
        <f t="shared" si="0"/>
        <v>8.1967213114754106E-2</v>
      </c>
      <c r="O6" s="11">
        <f t="shared" si="0"/>
        <v>0.10112359550561797</v>
      </c>
      <c r="P6" s="11">
        <f t="shared" si="0"/>
        <v>0.14814814814814814</v>
      </c>
    </row>
    <row r="7" spans="1:16" x14ac:dyDescent="0.3">
      <c r="A7" s="11" t="s">
        <v>10</v>
      </c>
      <c r="B7" s="11">
        <v>3.3905424613361053E-2</v>
      </c>
      <c r="C7" s="11">
        <v>6.5217391304347824E-2</v>
      </c>
      <c r="D7" s="11">
        <v>0.13793103448275862</v>
      </c>
      <c r="E7" s="11">
        <v>1.6129032258064516E-2</v>
      </c>
      <c r="F7" s="11">
        <v>4.0983606557377046E-2</v>
      </c>
      <c r="G7" s="11">
        <v>4.49438202247191E-2</v>
      </c>
      <c r="H7" s="11">
        <v>0.1111111111111111</v>
      </c>
      <c r="I7" s="11">
        <v>0.15897065999108978</v>
      </c>
      <c r="J7" s="11">
        <f t="shared" si="1"/>
        <v>0.15897065999108978</v>
      </c>
      <c r="K7" s="11">
        <f t="shared" si="0"/>
        <v>0.20652173913043476</v>
      </c>
      <c r="L7" s="11">
        <f t="shared" si="0"/>
        <v>0.24137931034482757</v>
      </c>
      <c r="M7" s="11">
        <f t="shared" si="0"/>
        <v>0.11290322580645161</v>
      </c>
      <c r="N7" s="11">
        <f t="shared" si="0"/>
        <v>0.12295081967213115</v>
      </c>
      <c r="O7" s="11">
        <f t="shared" si="0"/>
        <v>0.14606741573033707</v>
      </c>
      <c r="P7" s="11">
        <f t="shared" si="0"/>
        <v>0.25925925925925924</v>
      </c>
    </row>
    <row r="8" spans="1:16" x14ac:dyDescent="0.3">
      <c r="A8" s="11" t="s">
        <v>11</v>
      </c>
      <c r="B8" s="11">
        <v>4.1436663343021408E-2</v>
      </c>
      <c r="C8" s="11">
        <v>5.434782608695652E-2</v>
      </c>
      <c r="D8" s="11">
        <v>6.8965517241379309E-2</v>
      </c>
      <c r="E8" s="11">
        <v>0</v>
      </c>
      <c r="F8" s="11">
        <v>2.4590163934426229E-2</v>
      </c>
      <c r="G8" s="11">
        <v>5.6179775280898875E-2</v>
      </c>
      <c r="H8" s="11">
        <v>4.9382716049382713E-2</v>
      </c>
      <c r="I8" s="11">
        <v>0.20040732333411118</v>
      </c>
      <c r="J8" s="11">
        <f t="shared" si="1"/>
        <v>0.20040732333411118</v>
      </c>
      <c r="K8" s="11">
        <f t="shared" si="0"/>
        <v>0.2608695652173913</v>
      </c>
      <c r="L8" s="11">
        <f t="shared" si="0"/>
        <v>0.31034482758620685</v>
      </c>
      <c r="M8" s="11">
        <f t="shared" si="0"/>
        <v>0.11290322580645161</v>
      </c>
      <c r="N8" s="11">
        <f t="shared" si="0"/>
        <v>0.14754098360655737</v>
      </c>
      <c r="O8" s="11">
        <f t="shared" si="0"/>
        <v>0.20224719101123595</v>
      </c>
      <c r="P8" s="11">
        <f t="shared" si="0"/>
        <v>0.30864197530864196</v>
      </c>
    </row>
    <row r="9" spans="1:16" x14ac:dyDescent="0.3">
      <c r="A9" s="11" t="s">
        <v>9</v>
      </c>
      <c r="B9" s="11">
        <v>5.1764007043299316E-2</v>
      </c>
      <c r="C9" s="11">
        <v>7.6086956521739135E-2</v>
      </c>
      <c r="D9" s="11">
        <v>5.1724137931034482E-2</v>
      </c>
      <c r="E9" s="11">
        <v>3.2258064516129031E-2</v>
      </c>
      <c r="F9" s="11">
        <v>4.0983606557377046E-2</v>
      </c>
      <c r="G9" s="11">
        <v>6.741573033707865E-2</v>
      </c>
      <c r="H9" s="11">
        <v>0.13580246913580246</v>
      </c>
      <c r="I9" s="11">
        <v>0.25217133037741052</v>
      </c>
      <c r="J9" s="11">
        <f t="shared" si="1"/>
        <v>0.25217133037741052</v>
      </c>
      <c r="K9" s="11">
        <f t="shared" si="0"/>
        <v>0.33695652173913043</v>
      </c>
      <c r="L9" s="11">
        <f t="shared" si="0"/>
        <v>0.36206896551724133</v>
      </c>
      <c r="M9" s="11">
        <f t="shared" si="0"/>
        <v>0.14516129032258063</v>
      </c>
      <c r="N9" s="11">
        <f t="shared" si="0"/>
        <v>0.18852459016393441</v>
      </c>
      <c r="O9" s="11">
        <f t="shared" si="0"/>
        <v>0.2696629213483146</v>
      </c>
      <c r="P9" s="11">
        <f t="shared" si="0"/>
        <v>0.44444444444444442</v>
      </c>
    </row>
    <row r="10" spans="1:16" x14ac:dyDescent="0.3">
      <c r="A10" s="11" t="s">
        <v>18</v>
      </c>
      <c r="B10" s="11">
        <v>5.3720007637312515E-2</v>
      </c>
      <c r="C10" s="11">
        <v>3.2608695652173912E-2</v>
      </c>
      <c r="D10" s="11">
        <v>0</v>
      </c>
      <c r="E10" s="11">
        <v>9.6774193548387094E-2</v>
      </c>
      <c r="F10" s="11">
        <v>4.9180327868852458E-2</v>
      </c>
      <c r="G10" s="11">
        <v>1.6853932584269662E-2</v>
      </c>
      <c r="H10" s="11">
        <v>1.2345679012345678E-2</v>
      </c>
      <c r="I10" s="11">
        <v>0.30589133801472301</v>
      </c>
      <c r="J10" s="11">
        <f t="shared" si="1"/>
        <v>0.30589133801472301</v>
      </c>
      <c r="K10" s="11">
        <f t="shared" si="0"/>
        <v>0.36956521739130432</v>
      </c>
      <c r="L10" s="11">
        <f t="shared" si="0"/>
        <v>0.36206896551724133</v>
      </c>
      <c r="M10" s="11">
        <f t="shared" si="0"/>
        <v>0.24193548387096772</v>
      </c>
      <c r="N10" s="11">
        <f t="shared" si="0"/>
        <v>0.23770491803278687</v>
      </c>
      <c r="O10" s="11">
        <f t="shared" si="0"/>
        <v>0.28651685393258425</v>
      </c>
      <c r="P10" s="11">
        <f t="shared" si="0"/>
        <v>0.4567901234567901</v>
      </c>
    </row>
    <row r="11" spans="1:16" x14ac:dyDescent="0.3">
      <c r="A11" s="11" t="s">
        <v>17</v>
      </c>
      <c r="B11" s="11">
        <v>5.3940641109956083E-2</v>
      </c>
      <c r="C11" s="11">
        <v>2.1739130434782608E-2</v>
      </c>
      <c r="D11" s="11">
        <v>3.4482758620689655E-2</v>
      </c>
      <c r="E11" s="11">
        <v>4.8387096774193547E-2</v>
      </c>
      <c r="F11" s="11">
        <v>3.2786885245901641E-2</v>
      </c>
      <c r="G11" s="11">
        <v>5.0561797752808987E-2</v>
      </c>
      <c r="H11" s="11">
        <v>0</v>
      </c>
      <c r="I11" s="11">
        <v>0.35983197912467912</v>
      </c>
      <c r="J11" s="11">
        <f t="shared" si="1"/>
        <v>0.35983197912467912</v>
      </c>
      <c r="K11" s="11">
        <f t="shared" si="0"/>
        <v>0.39130434782608692</v>
      </c>
      <c r="L11" s="11">
        <f t="shared" si="0"/>
        <v>0.39655172413793099</v>
      </c>
      <c r="M11" s="11">
        <f t="shared" si="0"/>
        <v>0.29032258064516125</v>
      </c>
      <c r="N11" s="11">
        <f t="shared" si="0"/>
        <v>0.27049180327868849</v>
      </c>
      <c r="O11" s="11">
        <f t="shared" si="0"/>
        <v>0.33707865168539325</v>
      </c>
      <c r="P11" s="11">
        <f t="shared" si="0"/>
        <v>0.4567901234567901</v>
      </c>
    </row>
    <row r="12" spans="1:16" x14ac:dyDescent="0.3">
      <c r="A12" s="11" t="s">
        <v>19</v>
      </c>
      <c r="B12" s="11">
        <v>7.412436090544583E-2</v>
      </c>
      <c r="C12" s="11">
        <v>7.6086956521739135E-2</v>
      </c>
      <c r="D12" s="11">
        <v>0</v>
      </c>
      <c r="E12" s="11">
        <v>3.2258064516129031E-2</v>
      </c>
      <c r="F12" s="11">
        <v>7.3770491803278687E-2</v>
      </c>
      <c r="G12" s="11">
        <v>8.4269662921348312E-2</v>
      </c>
      <c r="H12" s="11">
        <v>2.4691358024691357E-2</v>
      </c>
      <c r="I12" s="11">
        <v>0.43395634003012495</v>
      </c>
      <c r="J12" s="11">
        <f t="shared" si="1"/>
        <v>0.43395634003012495</v>
      </c>
      <c r="K12" s="11">
        <f t="shared" si="0"/>
        <v>0.46739130434782605</v>
      </c>
      <c r="L12" s="11">
        <f t="shared" si="0"/>
        <v>0.39655172413793099</v>
      </c>
      <c r="M12" s="11">
        <f t="shared" si="0"/>
        <v>0.32258064516129026</v>
      </c>
      <c r="N12" s="11">
        <f t="shared" si="0"/>
        <v>0.34426229508196715</v>
      </c>
      <c r="O12" s="11">
        <f t="shared" si="0"/>
        <v>0.42134831460674155</v>
      </c>
      <c r="P12" s="11">
        <f t="shared" si="0"/>
        <v>0.48148148148148145</v>
      </c>
    </row>
    <row r="13" spans="1:16" x14ac:dyDescent="0.3">
      <c r="A13" s="11" t="s">
        <v>20</v>
      </c>
      <c r="B13" s="11">
        <v>8.1846532447970813E-2</v>
      </c>
      <c r="C13" s="11">
        <v>4.3478260869565216E-2</v>
      </c>
      <c r="D13" s="11">
        <v>3.4482758620689655E-2</v>
      </c>
      <c r="E13" s="11">
        <v>4.8387096774193547E-2</v>
      </c>
      <c r="F13" s="11">
        <v>4.9180327868852458E-2</v>
      </c>
      <c r="G13" s="11">
        <v>3.9325842696629212E-2</v>
      </c>
      <c r="H13" s="11">
        <v>4.9382716049382713E-2</v>
      </c>
      <c r="I13" s="11">
        <v>0.51580287247809575</v>
      </c>
      <c r="J13" s="11">
        <f t="shared" si="1"/>
        <v>0.51580287247809575</v>
      </c>
      <c r="K13" s="11">
        <f t="shared" si="0"/>
        <v>0.51086956521739124</v>
      </c>
      <c r="L13" s="11">
        <f t="shared" si="0"/>
        <v>0.43103448275862066</v>
      </c>
      <c r="M13" s="11">
        <f t="shared" si="0"/>
        <v>0.37096774193548382</v>
      </c>
      <c r="N13" s="11">
        <f t="shared" si="0"/>
        <v>0.39344262295081961</v>
      </c>
      <c r="O13" s="11">
        <f t="shared" si="0"/>
        <v>0.46067415730337075</v>
      </c>
      <c r="P13" s="11">
        <f t="shared" si="0"/>
        <v>0.53086419753086411</v>
      </c>
    </row>
    <row r="14" spans="1:16" x14ac:dyDescent="0.3">
      <c r="A14" s="11" t="s">
        <v>16</v>
      </c>
      <c r="B14" s="11">
        <v>0.10621380232089442</v>
      </c>
      <c r="C14" s="11">
        <v>9.7826086956521743E-2</v>
      </c>
      <c r="D14" s="11">
        <v>0.17241379310344829</v>
      </c>
      <c r="E14" s="11">
        <v>0.20967741935483872</v>
      </c>
      <c r="F14" s="11">
        <v>0.28688524590163933</v>
      </c>
      <c r="G14" s="11">
        <v>0.15168539325842698</v>
      </c>
      <c r="H14" s="11">
        <v>8.6419753086419748E-2</v>
      </c>
      <c r="I14" s="11">
        <v>0.62201667479899014</v>
      </c>
      <c r="J14" s="11">
        <f t="shared" si="1"/>
        <v>0.62201667479899014</v>
      </c>
      <c r="K14" s="11">
        <f t="shared" si="0"/>
        <v>0.60869565217391297</v>
      </c>
      <c r="L14" s="11">
        <f t="shared" si="0"/>
        <v>0.60344827586206895</v>
      </c>
      <c r="M14" s="11">
        <f t="shared" si="0"/>
        <v>0.58064516129032251</v>
      </c>
      <c r="N14" s="11">
        <f t="shared" si="0"/>
        <v>0.68032786885245899</v>
      </c>
      <c r="O14" s="11">
        <f t="shared" si="0"/>
        <v>0.61235955056179769</v>
      </c>
      <c r="P14" s="11">
        <f t="shared" si="0"/>
        <v>0.61728395061728381</v>
      </c>
    </row>
    <row r="15" spans="1:16" x14ac:dyDescent="0.3">
      <c r="A15" s="11" t="s">
        <v>6</v>
      </c>
      <c r="B15" s="11">
        <v>0.13772620234635213</v>
      </c>
      <c r="C15" s="11">
        <v>0.18478260869565216</v>
      </c>
      <c r="D15" s="11">
        <v>0.2413793103448276</v>
      </c>
      <c r="E15" s="11">
        <v>0.20967741935483872</v>
      </c>
      <c r="F15" s="11">
        <v>0.12295081967213115</v>
      </c>
      <c r="G15" s="11">
        <v>0.19101123595505617</v>
      </c>
      <c r="H15" s="11">
        <v>0.14814814814814814</v>
      </c>
      <c r="I15" s="11">
        <v>0.75974287714534228</v>
      </c>
      <c r="J15" s="11">
        <f t="shared" si="1"/>
        <v>0.75974287714534228</v>
      </c>
      <c r="K15" s="11">
        <f t="shared" si="0"/>
        <v>0.79347826086956519</v>
      </c>
      <c r="L15" s="11">
        <f t="shared" si="0"/>
        <v>0.84482758620689657</v>
      </c>
      <c r="M15" s="11">
        <f t="shared" si="0"/>
        <v>0.79032258064516125</v>
      </c>
      <c r="N15" s="11">
        <f t="shared" si="0"/>
        <v>0.80327868852459017</v>
      </c>
      <c r="O15" s="11">
        <f t="shared" si="0"/>
        <v>0.8033707865168539</v>
      </c>
      <c r="P15" s="11">
        <f t="shared" si="0"/>
        <v>0.76543209876543195</v>
      </c>
    </row>
    <row r="16" spans="1:16" x14ac:dyDescent="0.3">
      <c r="A16" s="11" t="s">
        <v>15</v>
      </c>
      <c r="B16" s="11">
        <v>0.2402571228546577</v>
      </c>
      <c r="C16" s="11">
        <v>0.20652173913043478</v>
      </c>
      <c r="D16" s="11">
        <v>0.15517241379310345</v>
      </c>
      <c r="E16" s="11">
        <v>0.20967741935483872</v>
      </c>
      <c r="F16" s="11">
        <v>0.19672131147540983</v>
      </c>
      <c r="G16" s="11">
        <v>0.19662921348314608</v>
      </c>
      <c r="H16" s="11">
        <v>0.23456790123456789</v>
      </c>
      <c r="I16" s="11">
        <v>1</v>
      </c>
      <c r="J16" s="11">
        <f t="shared" si="1"/>
        <v>1</v>
      </c>
      <c r="K16" s="11">
        <f t="shared" si="0"/>
        <v>1</v>
      </c>
      <c r="L16" s="11">
        <f t="shared" si="0"/>
        <v>1</v>
      </c>
      <c r="M16" s="11">
        <f t="shared" si="0"/>
        <v>1</v>
      </c>
      <c r="N16" s="11">
        <f t="shared" si="0"/>
        <v>1</v>
      </c>
      <c r="O16" s="11">
        <f t="shared" si="0"/>
        <v>1</v>
      </c>
      <c r="P16" s="11">
        <f t="shared" si="0"/>
        <v>0.99999999999999978</v>
      </c>
    </row>
    <row r="18" spans="2:16" ht="28.8" x14ac:dyDescent="0.3">
      <c r="B18" s="1" t="s">
        <v>86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J18" s="3"/>
      <c r="K18" s="12" t="s">
        <v>100</v>
      </c>
      <c r="L18" s="12" t="s">
        <v>101</v>
      </c>
      <c r="M18" s="12" t="s">
        <v>102</v>
      </c>
      <c r="N18" s="12" t="s">
        <v>103</v>
      </c>
      <c r="O18" s="12" t="s">
        <v>104</v>
      </c>
      <c r="P18" s="12" t="s">
        <v>105</v>
      </c>
    </row>
    <row r="19" spans="2:16" x14ac:dyDescent="0.3">
      <c r="B19" s="11" t="s">
        <v>7</v>
      </c>
      <c r="C19" s="11">
        <f>C2-B2</f>
        <v>-5.380938633087088E-3</v>
      </c>
      <c r="D19" s="11">
        <f>D2-B2</f>
        <v>-1.6250503850478392E-2</v>
      </c>
      <c r="E19" s="11">
        <f>E2-B2</f>
        <v>-1.2147159241387637E-4</v>
      </c>
      <c r="F19" s="11">
        <f>F2-B2</f>
        <v>1.4293877247242848E-4</v>
      </c>
      <c r="G19" s="11">
        <f>G2-B2</f>
        <v>1.1839383789971045E-2</v>
      </c>
      <c r="H19" s="11">
        <f>H2-B2</f>
        <v>3.3132212198904318E-2</v>
      </c>
      <c r="J19" s="11" t="s">
        <v>7</v>
      </c>
      <c r="K19" s="3">
        <f>(J2-0) * ((K2+0))</f>
        <v>1.7663591141824339E-4</v>
      </c>
      <c r="L19" s="3">
        <f>(J2-0) * ((L2+0))</f>
        <v>0</v>
      </c>
      <c r="M19" s="3">
        <f>(J2-0) * ((M2+0))</f>
        <v>2.621049008141676E-4</v>
      </c>
      <c r="N19" s="3">
        <f>(J2-0) * ((N2+0))</f>
        <v>2.6640170246685892E-4</v>
      </c>
      <c r="O19" s="3">
        <f>(J2-0) * ((O2+0))</f>
        <v>4.5647482726062898E-4</v>
      </c>
      <c r="P19" s="3">
        <f>(J2-0) * ((P2+0))</f>
        <v>8.0249401730757492E-4</v>
      </c>
    </row>
    <row r="20" spans="2:16" x14ac:dyDescent="0.3">
      <c r="B20" s="11" t="s">
        <v>8</v>
      </c>
      <c r="C20" s="11">
        <f t="shared" ref="C20:C33" si="2">C3-B3</f>
        <v>-2.2657360459935931E-2</v>
      </c>
      <c r="D20" s="11">
        <f t="shared" ref="D20:D33" si="3">D3-B3</f>
        <v>1.1825398160753724E-2</v>
      </c>
      <c r="E20" s="11">
        <f t="shared" ref="E20:E33" si="4">E3-B3</f>
        <v>-2.2657360459935931E-2</v>
      </c>
      <c r="F20" s="11">
        <f t="shared" ref="F20:F33" si="5">F3-B3</f>
        <v>-2.2657360459935931E-2</v>
      </c>
      <c r="G20" s="11">
        <f t="shared" ref="G20:G33" si="6">G3-B3</f>
        <v>-1.7039382931846044E-2</v>
      </c>
      <c r="H20" s="11">
        <f t="shared" ref="H20:H33" si="7">H3-B3</f>
        <v>-2.2657360459935931E-2</v>
      </c>
      <c r="J20" s="11" t="s">
        <v>8</v>
      </c>
      <c r="K20" s="3">
        <f>(J3-J2) * ((K3+K2))</f>
        <v>4.9255131434643314E-4</v>
      </c>
      <c r="L20" s="3">
        <f>(J3-J2) * ((L3+L2))</f>
        <v>7.8128829172192851E-4</v>
      </c>
      <c r="M20" s="3">
        <f>(J3-J2) * ((M3+M2))</f>
        <v>7.3088259548180414E-4</v>
      </c>
      <c r="N20" s="3">
        <f>(J3-J2) * ((N3+N2))</f>
        <v>7.4286427737494851E-4</v>
      </c>
      <c r="O20" s="3">
        <f>(J3-J2) * ((O3+O2))</f>
        <v>1.4001739610072764E-3</v>
      </c>
      <c r="P20" s="3">
        <f>(J3-J2) * ((P3+P2))</f>
        <v>2.2377639960430543E-3</v>
      </c>
    </row>
    <row r="21" spans="2:16" x14ac:dyDescent="0.3">
      <c r="B21" s="11" t="s">
        <v>13</v>
      </c>
      <c r="C21" s="11">
        <f t="shared" si="2"/>
        <v>3.9628151429090597E-2</v>
      </c>
      <c r="D21" s="11">
        <f t="shared" si="3"/>
        <v>-2.5589239875257228E-2</v>
      </c>
      <c r="E21" s="11">
        <f t="shared" si="4"/>
        <v>-9.4602076171927119E-3</v>
      </c>
      <c r="F21" s="11">
        <f t="shared" si="5"/>
        <v>-1.7392518563781816E-2</v>
      </c>
      <c r="G21" s="11">
        <f t="shared" si="6"/>
        <v>2.5006477651922099E-3</v>
      </c>
      <c r="H21" s="11">
        <f t="shared" si="7"/>
        <v>3.6139155186471164E-2</v>
      </c>
      <c r="J21" s="11" t="s">
        <v>13</v>
      </c>
      <c r="K21" s="3">
        <f t="shared" ref="K21:K33" si="8">(J4-J3) * ((K4+K3))</f>
        <v>2.2251512935006286E-3</v>
      </c>
      <c r="L21" s="3">
        <f t="shared" ref="L21:L33" si="9">(J4-J3) * ((L4+L3))</f>
        <v>1.7647751638108433E-3</v>
      </c>
      <c r="M21" s="3">
        <f t="shared" ref="M21:M33" si="10">(J4-J3) * ((M4+M3))</f>
        <v>1.2381890262221239E-3</v>
      </c>
      <c r="N21" s="3">
        <f t="shared" ref="N21:N33" si="11">(J4-J3) * ((N4+N3))</f>
        <v>1.0487393391498865E-3</v>
      </c>
      <c r="O21" s="3">
        <f t="shared" ref="O21:O33" si="12">(J4-J3) * ((O4+O3))</f>
        <v>2.4439161678616451E-3</v>
      </c>
      <c r="P21" s="3">
        <f t="shared" ref="P21:P33" si="13">(J4-J3) * ((P4+P3))</f>
        <v>4.1069150417079496E-3</v>
      </c>
    </row>
    <row r="22" spans="2:16" x14ac:dyDescent="0.3">
      <c r="B22" s="11" t="s">
        <v>12</v>
      </c>
      <c r="C22" s="11">
        <f t="shared" si="2"/>
        <v>-1.7706712441348114E-2</v>
      </c>
      <c r="D22" s="11">
        <f t="shared" si="3"/>
        <v>5.9064809619502369E-3</v>
      </c>
      <c r="E22" s="11">
        <f t="shared" si="4"/>
        <v>-1.2447245400674902E-2</v>
      </c>
      <c r="F22" s="11">
        <f t="shared" si="5"/>
        <v>-2.0379556347264009E-2</v>
      </c>
      <c r="G22" s="11">
        <f t="shared" si="6"/>
        <v>-4.8639001828998038E-4</v>
      </c>
      <c r="H22" s="11">
        <f t="shared" si="7"/>
        <v>8.4607593782976172E-3</v>
      </c>
      <c r="J22" s="11" t="s">
        <v>12</v>
      </c>
      <c r="K22" s="3">
        <f t="shared" si="8"/>
        <v>4.6591757052292532E-3</v>
      </c>
      <c r="L22" s="3">
        <f t="shared" si="9"/>
        <v>2.9561666543523541E-3</v>
      </c>
      <c r="M22" s="3">
        <f t="shared" si="10"/>
        <v>2.3045385208660821E-3</v>
      </c>
      <c r="N22" s="3">
        <f t="shared" si="11"/>
        <v>1.6396224886161964E-3</v>
      </c>
      <c r="O22" s="3">
        <f t="shared" si="12"/>
        <v>4.3346039145278894E-3</v>
      </c>
      <c r="P22" s="3">
        <f t="shared" si="13"/>
        <v>7.4086645781917017E-3</v>
      </c>
    </row>
    <row r="23" spans="2:16" x14ac:dyDescent="0.3">
      <c r="B23" s="11" t="s">
        <v>14</v>
      </c>
      <c r="C23" s="11">
        <f t="shared" si="2"/>
        <v>2.2355972553638748E-2</v>
      </c>
      <c r="D23" s="11">
        <f t="shared" si="3"/>
        <v>2.4909050873718822E-3</v>
      </c>
      <c r="E23" s="11">
        <f t="shared" si="4"/>
        <v>1.6395243240875775E-2</v>
      </c>
      <c r="F23" s="11">
        <f t="shared" si="5"/>
        <v>1.7188474335534686E-2</v>
      </c>
      <c r="G23" s="11">
        <f t="shared" si="6"/>
        <v>-2.0755898477137998E-2</v>
      </c>
      <c r="H23" s="11">
        <f t="shared" si="7"/>
        <v>-3.1991853533317773E-2</v>
      </c>
      <c r="J23" s="11" t="s">
        <v>14</v>
      </c>
      <c r="K23" s="3">
        <f t="shared" si="8"/>
        <v>7.3024883065181852E-3</v>
      </c>
      <c r="L23" s="3">
        <f t="shared" si="9"/>
        <v>5.5158368160892705E-3</v>
      </c>
      <c r="M23" s="3">
        <f t="shared" si="10"/>
        <v>4.6439787387074173E-3</v>
      </c>
      <c r="N23" s="3">
        <f t="shared" si="11"/>
        <v>3.6711963071020394E-3</v>
      </c>
      <c r="O23" s="3">
        <f t="shared" si="12"/>
        <v>6.110803483892157E-3</v>
      </c>
      <c r="P23" s="3">
        <f t="shared" si="13"/>
        <v>9.4790677135756334E-3</v>
      </c>
    </row>
    <row r="24" spans="2:16" x14ac:dyDescent="0.3">
      <c r="B24" s="11" t="s">
        <v>10</v>
      </c>
      <c r="C24" s="11">
        <f t="shared" si="2"/>
        <v>3.1311966690986771E-2</v>
      </c>
      <c r="D24" s="11">
        <f t="shared" si="3"/>
        <v>0.10402560986939757</v>
      </c>
      <c r="E24" s="11">
        <f t="shared" si="4"/>
        <v>-1.7776392355296537E-2</v>
      </c>
      <c r="F24" s="11">
        <f t="shared" si="5"/>
        <v>7.0781819440159932E-3</v>
      </c>
      <c r="G24" s="11">
        <f t="shared" si="6"/>
        <v>1.1038395611358047E-2</v>
      </c>
      <c r="H24" s="11">
        <f t="shared" si="7"/>
        <v>7.7205686497750059E-2</v>
      </c>
      <c r="J24" s="11" t="s">
        <v>10</v>
      </c>
      <c r="K24" s="3">
        <f t="shared" si="8"/>
        <v>1.1793191169864711E-2</v>
      </c>
      <c r="L24" s="3">
        <f t="shared" si="9"/>
        <v>1.1691525728745187E-2</v>
      </c>
      <c r="M24" s="3">
        <f t="shared" si="10"/>
        <v>7.1092019350595731E-3</v>
      </c>
      <c r="N24" s="3">
        <f t="shared" si="11"/>
        <v>6.9478329125739853E-3</v>
      </c>
      <c r="O24" s="3">
        <f t="shared" si="12"/>
        <v>8.3811161965611572E-3</v>
      </c>
      <c r="P24" s="3">
        <f t="shared" si="13"/>
        <v>1.3813321138776721E-2</v>
      </c>
    </row>
    <row r="25" spans="2:16" x14ac:dyDescent="0.3">
      <c r="B25" s="11" t="s">
        <v>11</v>
      </c>
      <c r="C25" s="11">
        <f t="shared" si="2"/>
        <v>1.2911162743935112E-2</v>
      </c>
      <c r="D25" s="11">
        <f t="shared" si="3"/>
        <v>2.7528853898357901E-2</v>
      </c>
      <c r="E25" s="11">
        <f t="shared" si="4"/>
        <v>-4.1436663343021408E-2</v>
      </c>
      <c r="F25" s="11">
        <f t="shared" si="5"/>
        <v>-1.6846499408595179E-2</v>
      </c>
      <c r="G25" s="11">
        <f t="shared" si="6"/>
        <v>1.4743111937877466E-2</v>
      </c>
      <c r="H25" s="11">
        <f t="shared" si="7"/>
        <v>7.9460527063613048E-3</v>
      </c>
      <c r="J25" s="11" t="s">
        <v>11</v>
      </c>
      <c r="K25" s="3">
        <f t="shared" si="8"/>
        <v>1.9367136127716525E-2</v>
      </c>
      <c r="L25" s="3">
        <f t="shared" si="9"/>
        <v>2.286160736166698E-2</v>
      </c>
      <c r="M25" s="3">
        <f t="shared" si="10"/>
        <v>9.3566659161661223E-3</v>
      </c>
      <c r="N25" s="3">
        <f t="shared" si="11"/>
        <v>1.1208277789505788E-2</v>
      </c>
      <c r="O25" s="3">
        <f t="shared" si="12"/>
        <v>1.4432995097007453E-2</v>
      </c>
      <c r="P25" s="3">
        <f t="shared" si="13"/>
        <v>2.353193226887635E-2</v>
      </c>
    </row>
    <row r="26" spans="2:16" x14ac:dyDescent="0.3">
      <c r="B26" s="11" t="s">
        <v>9</v>
      </c>
      <c r="C26" s="11">
        <f t="shared" si="2"/>
        <v>2.4322949478439819E-2</v>
      </c>
      <c r="D26" s="11">
        <f t="shared" si="3"/>
        <v>-3.986911226483425E-5</v>
      </c>
      <c r="E26" s="11">
        <f t="shared" si="4"/>
        <v>-1.9505942527170285E-2</v>
      </c>
      <c r="F26" s="11">
        <f t="shared" si="5"/>
        <v>-1.078040048592227E-2</v>
      </c>
      <c r="G26" s="11">
        <f t="shared" si="6"/>
        <v>1.5651723293779334E-2</v>
      </c>
      <c r="H26" s="11">
        <f t="shared" si="7"/>
        <v>8.4038462092503152E-2</v>
      </c>
      <c r="J26" s="11" t="s">
        <v>9</v>
      </c>
      <c r="K26" s="3">
        <f t="shared" si="8"/>
        <v>3.0945873775885473E-2</v>
      </c>
      <c r="L26" s="3">
        <f t="shared" si="9"/>
        <v>3.4806832322218512E-2</v>
      </c>
      <c r="M26" s="3">
        <f t="shared" si="10"/>
        <v>1.335845343052886E-2</v>
      </c>
      <c r="N26" s="3">
        <f t="shared" si="11"/>
        <v>1.7396100727666172E-2</v>
      </c>
      <c r="O26" s="3">
        <f t="shared" si="12"/>
        <v>2.4427958379983957E-2</v>
      </c>
      <c r="P26" s="3">
        <f t="shared" si="13"/>
        <v>3.8982770736311845E-2</v>
      </c>
    </row>
    <row r="27" spans="2:16" x14ac:dyDescent="0.3">
      <c r="B27" s="11" t="s">
        <v>18</v>
      </c>
      <c r="C27" s="11">
        <f t="shared" si="2"/>
        <v>-2.1111311985138603E-2</v>
      </c>
      <c r="D27" s="11">
        <f t="shared" si="3"/>
        <v>-5.3720007637312515E-2</v>
      </c>
      <c r="E27" s="11">
        <f t="shared" si="4"/>
        <v>4.3054185911074579E-2</v>
      </c>
      <c r="F27" s="11">
        <f t="shared" si="5"/>
        <v>-4.5396797684600573E-3</v>
      </c>
      <c r="G27" s="11">
        <f t="shared" si="6"/>
        <v>-3.6866075053042853E-2</v>
      </c>
      <c r="H27" s="11">
        <f t="shared" si="7"/>
        <v>-4.1374328624966837E-2</v>
      </c>
      <c r="J27" s="11" t="s">
        <v>18</v>
      </c>
      <c r="K27" s="3">
        <f t="shared" si="8"/>
        <v>3.7954353222014264E-2</v>
      </c>
      <c r="L27" s="3">
        <f t="shared" si="9"/>
        <v>3.8900695185640079E-2</v>
      </c>
      <c r="M27" s="3">
        <f t="shared" si="10"/>
        <v>2.0794841666056448E-2</v>
      </c>
      <c r="N27" s="3">
        <f t="shared" si="11"/>
        <v>2.2897052435575816E-2</v>
      </c>
      <c r="O27" s="3">
        <f t="shared" si="12"/>
        <v>2.9877981775808631E-2</v>
      </c>
      <c r="P27" s="3">
        <f t="shared" si="13"/>
        <v>4.8414327870664346E-2</v>
      </c>
    </row>
    <row r="28" spans="2:16" x14ac:dyDescent="0.3">
      <c r="B28" s="11" t="s">
        <v>17</v>
      </c>
      <c r="C28" s="11">
        <f t="shared" si="2"/>
        <v>-3.2201510675173475E-2</v>
      </c>
      <c r="D28" s="11">
        <f t="shared" si="3"/>
        <v>-1.9457882489266429E-2</v>
      </c>
      <c r="E28" s="11">
        <f t="shared" si="4"/>
        <v>-5.5535443357625364E-3</v>
      </c>
      <c r="F28" s="11">
        <f t="shared" si="5"/>
        <v>-2.1153755864054442E-2</v>
      </c>
      <c r="G28" s="11">
        <f t="shared" si="6"/>
        <v>-3.378843357147096E-3</v>
      </c>
      <c r="H28" s="11">
        <f t="shared" si="7"/>
        <v>-5.3940641109956083E-2</v>
      </c>
      <c r="J28" s="11" t="s">
        <v>17</v>
      </c>
      <c r="K28" s="3">
        <f t="shared" si="8"/>
        <v>4.1041792148879645E-2</v>
      </c>
      <c r="L28" s="3">
        <f t="shared" si="9"/>
        <v>4.0920486359277045E-2</v>
      </c>
      <c r="M28" s="3">
        <f t="shared" si="10"/>
        <v>2.8710341235944379E-2</v>
      </c>
      <c r="N28" s="3">
        <f t="shared" si="11"/>
        <v>2.7412456957518674E-2</v>
      </c>
      <c r="O28" s="3">
        <f t="shared" si="12"/>
        <v>3.3637141366320941E-2</v>
      </c>
      <c r="P28" s="3">
        <f t="shared" si="13"/>
        <v>4.9279104223910519E-2</v>
      </c>
    </row>
    <row r="29" spans="2:16" x14ac:dyDescent="0.3">
      <c r="B29" s="11" t="s">
        <v>19</v>
      </c>
      <c r="C29" s="11">
        <f t="shared" si="2"/>
        <v>1.9625956162933056E-3</v>
      </c>
      <c r="D29" s="11">
        <f t="shared" si="3"/>
        <v>-7.412436090544583E-2</v>
      </c>
      <c r="E29" s="11">
        <f t="shared" si="4"/>
        <v>-4.1866296389316798E-2</v>
      </c>
      <c r="F29" s="11">
        <f t="shared" si="5"/>
        <v>-3.5386910216714251E-4</v>
      </c>
      <c r="G29" s="11">
        <f t="shared" si="6"/>
        <v>1.0145302015902483E-2</v>
      </c>
      <c r="H29" s="11">
        <f t="shared" si="7"/>
        <v>-4.9433002880754473E-2</v>
      </c>
      <c r="J29" s="11" t="s">
        <v>19</v>
      </c>
      <c r="K29" s="3">
        <f t="shared" si="8"/>
        <v>6.3650266429676305E-2</v>
      </c>
      <c r="L29" s="3">
        <f t="shared" si="9"/>
        <v>5.8788286235353586E-2</v>
      </c>
      <c r="M29" s="3">
        <f t="shared" si="10"/>
        <v>4.5431059909789372E-2</v>
      </c>
      <c r="N29" s="3">
        <f t="shared" si="11"/>
        <v>4.5568254654987185E-2</v>
      </c>
      <c r="O29" s="3">
        <f t="shared" si="12"/>
        <v>5.6217914169860599E-2</v>
      </c>
      <c r="P29" s="3">
        <f t="shared" si="13"/>
        <v>6.9548783071776324E-2</v>
      </c>
    </row>
    <row r="30" spans="2:16" x14ac:dyDescent="0.3">
      <c r="B30" s="11" t="s">
        <v>20</v>
      </c>
      <c r="C30" s="11">
        <f t="shared" si="2"/>
        <v>-3.8368271578405597E-2</v>
      </c>
      <c r="D30" s="11">
        <f t="shared" si="3"/>
        <v>-4.7363773827281158E-2</v>
      </c>
      <c r="E30" s="11">
        <f t="shared" si="4"/>
        <v>-3.3459435673777266E-2</v>
      </c>
      <c r="F30" s="11">
        <f t="shared" si="5"/>
        <v>-3.2666204579118355E-2</v>
      </c>
      <c r="G30" s="11">
        <f t="shared" si="6"/>
        <v>-4.25206897513416E-2</v>
      </c>
      <c r="H30" s="11">
        <f t="shared" si="7"/>
        <v>-3.24638163985881E-2</v>
      </c>
      <c r="J30" s="11" t="s">
        <v>20</v>
      </c>
      <c r="K30" s="3">
        <f t="shared" si="8"/>
        <v>8.0067260003449686E-2</v>
      </c>
      <c r="L30" s="3">
        <f t="shared" si="9"/>
        <v>6.7735061336251692E-2</v>
      </c>
      <c r="M30" s="3">
        <f t="shared" si="10"/>
        <v>5.6764530568753926E-2</v>
      </c>
      <c r="N30" s="3">
        <f t="shared" si="11"/>
        <v>6.0378589510798122E-2</v>
      </c>
      <c r="O30" s="3">
        <f t="shared" si="12"/>
        <v>7.2190480867030421E-2</v>
      </c>
      <c r="P30" s="3">
        <f t="shared" si="13"/>
        <v>8.2856983465846967E-2</v>
      </c>
    </row>
    <row r="31" spans="2:16" x14ac:dyDescent="0.3">
      <c r="B31" s="11" t="s">
        <v>16</v>
      </c>
      <c r="C31" s="11">
        <f t="shared" si="2"/>
        <v>-8.3877153643726748E-3</v>
      </c>
      <c r="D31" s="11">
        <f t="shared" si="3"/>
        <v>6.6199990782553869E-2</v>
      </c>
      <c r="E31" s="11">
        <f t="shared" si="4"/>
        <v>0.1034636170339443</v>
      </c>
      <c r="F31" s="11">
        <f t="shared" si="5"/>
        <v>0.18067144358074491</v>
      </c>
      <c r="G31" s="11">
        <f t="shared" si="6"/>
        <v>4.5471590937532558E-2</v>
      </c>
      <c r="H31" s="11">
        <f t="shared" si="7"/>
        <v>-1.979404923447467E-2</v>
      </c>
      <c r="J31" s="11" t="s">
        <v>16</v>
      </c>
      <c r="K31" s="3">
        <f t="shared" si="8"/>
        <v>0.11891327868534914</v>
      </c>
      <c r="L31" s="3">
        <f t="shared" si="9"/>
        <v>0.10987634722851142</v>
      </c>
      <c r="M31" s="3">
        <f t="shared" si="10"/>
        <v>0.10107442478923818</v>
      </c>
      <c r="N31" s="3">
        <f t="shared" si="11"/>
        <v>0.11404924675440299</v>
      </c>
      <c r="O31" s="3">
        <f t="shared" si="12"/>
        <v>0.11397099013084734</v>
      </c>
      <c r="P31" s="3">
        <f t="shared" si="13"/>
        <v>0.12194918044250835</v>
      </c>
    </row>
    <row r="32" spans="2:16" x14ac:dyDescent="0.3">
      <c r="B32" s="11" t="s">
        <v>6</v>
      </c>
      <c r="C32" s="11">
        <f t="shared" si="2"/>
        <v>4.7056406349300028E-2</v>
      </c>
      <c r="D32" s="11">
        <f t="shared" si="3"/>
        <v>0.10365310799847546</v>
      </c>
      <c r="E32" s="11">
        <f t="shared" si="4"/>
        <v>7.1951217008486584E-2</v>
      </c>
      <c r="F32" s="11">
        <f t="shared" si="5"/>
        <v>-1.4775382674220988E-2</v>
      </c>
      <c r="G32" s="11">
        <f t="shared" si="6"/>
        <v>5.3285033608704041E-2</v>
      </c>
      <c r="H32" s="11">
        <f t="shared" si="7"/>
        <v>1.0421945801796006E-2</v>
      </c>
      <c r="J32" s="11" t="s">
        <v>6</v>
      </c>
      <c r="K32" s="3">
        <f t="shared" si="8"/>
        <v>0.19311608807260242</v>
      </c>
      <c r="L32" s="3">
        <f t="shared" si="9"/>
        <v>0.19946553443264792</v>
      </c>
      <c r="M32" s="3">
        <f t="shared" si="10"/>
        <v>0.1888181806361279</v>
      </c>
      <c r="N32" s="3">
        <f t="shared" si="11"/>
        <v>0.20433149692368635</v>
      </c>
      <c r="O32" s="3">
        <f t="shared" si="12"/>
        <v>0.19498316287236367</v>
      </c>
      <c r="P32" s="3">
        <f t="shared" si="13"/>
        <v>0.19043623040483254</v>
      </c>
    </row>
    <row r="33" spans="2:16" x14ac:dyDescent="0.3">
      <c r="B33" s="11" t="s">
        <v>15</v>
      </c>
      <c r="C33" s="11">
        <f t="shared" si="2"/>
        <v>-3.3735383724222912E-2</v>
      </c>
      <c r="D33" s="11">
        <f t="shared" si="3"/>
        <v>-8.5084709061554242E-2</v>
      </c>
      <c r="E33" s="11">
        <f t="shared" si="4"/>
        <v>-3.0579703499818978E-2</v>
      </c>
      <c r="F33" s="11">
        <f t="shared" si="5"/>
        <v>-4.3535811379247863E-2</v>
      </c>
      <c r="G33" s="11">
        <f t="shared" si="6"/>
        <v>-4.362790937151162E-2</v>
      </c>
      <c r="H33" s="11">
        <f t="shared" si="7"/>
        <v>-5.6892216200898071E-3</v>
      </c>
      <c r="J33" s="11" t="s">
        <v>15</v>
      </c>
      <c r="K33" s="3">
        <f t="shared" si="8"/>
        <v>0.43089592685889699</v>
      </c>
      <c r="L33" s="3">
        <f t="shared" si="9"/>
        <v>0.44323296802497203</v>
      </c>
      <c r="M33" s="3">
        <f t="shared" si="10"/>
        <v>0.43013775220753236</v>
      </c>
      <c r="N33" s="3">
        <f t="shared" si="11"/>
        <v>0.43325054941003854</v>
      </c>
      <c r="O33" s="3">
        <f t="shared" si="12"/>
        <v>0.43327267660868052</v>
      </c>
      <c r="P33" s="3">
        <f t="shared" si="13"/>
        <v>0.42415763664464257</v>
      </c>
    </row>
    <row r="34" spans="2:16" x14ac:dyDescent="0.3">
      <c r="J34" s="13" t="s">
        <v>106</v>
      </c>
      <c r="K34" s="12">
        <f>SUM(K19:K33)</f>
        <v>1.0426011690253478</v>
      </c>
      <c r="L34" s="12">
        <f t="shared" ref="L34:P34" si="14">SUM(L19:L33)</f>
        <v>1.0392974111412587</v>
      </c>
      <c r="M34" s="12">
        <f t="shared" si="14"/>
        <v>0.91073514607728867</v>
      </c>
      <c r="N34" s="12">
        <f t="shared" si="14"/>
        <v>0.95080868219146342</v>
      </c>
      <c r="O34" s="12">
        <f t="shared" si="14"/>
        <v>0.99613838981901437</v>
      </c>
      <c r="P34" s="12">
        <f t="shared" si="14"/>
        <v>1.0870051756149723</v>
      </c>
    </row>
    <row r="35" spans="2:16" x14ac:dyDescent="0.3">
      <c r="J35" s="14" t="s">
        <v>107</v>
      </c>
      <c r="K35" s="15">
        <f>1-K34</f>
        <v>-4.2601169025347829E-2</v>
      </c>
      <c r="L35" s="15">
        <f t="shared" ref="L35:P35" si="15">1-L34</f>
        <v>-3.9297411141258731E-2</v>
      </c>
      <c r="M35" s="15">
        <f t="shared" si="15"/>
        <v>8.9264853922711329E-2</v>
      </c>
      <c r="N35" s="15">
        <f t="shared" si="15"/>
        <v>4.9191317808536583E-2</v>
      </c>
      <c r="O35" s="15">
        <f t="shared" si="15"/>
        <v>3.8616101809856307E-3</v>
      </c>
      <c r="P35" s="15">
        <f t="shared" si="15"/>
        <v>-8.7005175614972341E-2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40DF-E92D-486B-B565-616B738E210F}">
  <dimension ref="A1:P15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23</v>
      </c>
      <c r="B2" s="11">
        <v>8.5490592246495772E-2</v>
      </c>
      <c r="C2" s="11">
        <v>0.12048192771084337</v>
      </c>
      <c r="D2" s="11">
        <v>0.1</v>
      </c>
      <c r="E2" s="11">
        <v>3.5714285714285712E-2</v>
      </c>
      <c r="F2" s="11">
        <v>0.02</v>
      </c>
      <c r="G2" s="11">
        <v>5.6603773584905662E-2</v>
      </c>
      <c r="H2" s="11">
        <v>7.2164948453608241E-2</v>
      </c>
      <c r="I2" s="11">
        <v>8.5490592246495772E-2</v>
      </c>
      <c r="J2" s="11">
        <v>8.5490592246495772E-2</v>
      </c>
      <c r="K2" s="11">
        <v>0.12048192771084337</v>
      </c>
      <c r="L2" s="11">
        <v>0.1</v>
      </c>
      <c r="M2" s="11">
        <v>3.5714285714285712E-2</v>
      </c>
      <c r="N2" s="11">
        <v>0.02</v>
      </c>
      <c r="O2" s="11">
        <v>5.6603773584905662E-2</v>
      </c>
      <c r="P2" s="11">
        <v>7.2164948453608241E-2</v>
      </c>
    </row>
    <row r="3" spans="1:16" x14ac:dyDescent="0.3">
      <c r="A3" s="11" t="s">
        <v>25</v>
      </c>
      <c r="B3" s="11">
        <v>9.4203813612829909E-2</v>
      </c>
      <c r="C3" s="11">
        <v>4.8192771084337352E-2</v>
      </c>
      <c r="D3" s="11">
        <v>0</v>
      </c>
      <c r="E3" s="11">
        <v>7.1428571428571425E-2</v>
      </c>
      <c r="F3" s="11">
        <v>0.02</v>
      </c>
      <c r="G3" s="11">
        <v>1.8867924528301886E-2</v>
      </c>
      <c r="H3" s="11">
        <v>5.1546391752577317E-2</v>
      </c>
      <c r="I3" s="11">
        <v>0.17969440585932567</v>
      </c>
      <c r="J3" s="11">
        <f t="shared" ref="J3:P6" si="0">J2+B3</f>
        <v>0.17969440585932567</v>
      </c>
      <c r="K3" s="11">
        <f t="shared" si="0"/>
        <v>0.16867469879518071</v>
      </c>
      <c r="L3" s="11">
        <f t="shared" si="0"/>
        <v>0.1</v>
      </c>
      <c r="M3" s="11">
        <f t="shared" si="0"/>
        <v>0.10714285714285714</v>
      </c>
      <c r="N3" s="11">
        <f t="shared" si="0"/>
        <v>0.04</v>
      </c>
      <c r="O3" s="11">
        <f t="shared" si="0"/>
        <v>7.5471698113207544E-2</v>
      </c>
      <c r="P3" s="11">
        <f t="shared" si="0"/>
        <v>0.12371134020618556</v>
      </c>
    </row>
    <row r="4" spans="1:16" x14ac:dyDescent="0.3">
      <c r="A4" s="11" t="s">
        <v>24</v>
      </c>
      <c r="B4" s="11">
        <v>0.10415877425600875</v>
      </c>
      <c r="C4" s="11">
        <v>0.14457831325301204</v>
      </c>
      <c r="D4" s="11">
        <v>0</v>
      </c>
      <c r="E4" s="11">
        <v>0</v>
      </c>
      <c r="F4" s="11">
        <v>0.01</v>
      </c>
      <c r="G4" s="11">
        <v>6.6037735849056603E-2</v>
      </c>
      <c r="H4" s="11">
        <v>8.247422680412371E-2</v>
      </c>
      <c r="I4" s="11">
        <v>0.28385318011533445</v>
      </c>
      <c r="J4" s="11">
        <f t="shared" si="0"/>
        <v>0.28385318011533445</v>
      </c>
      <c r="K4" s="11">
        <f t="shared" si="0"/>
        <v>0.31325301204819278</v>
      </c>
      <c r="L4" s="11">
        <f t="shared" si="0"/>
        <v>0.1</v>
      </c>
      <c r="M4" s="11">
        <f t="shared" si="0"/>
        <v>0.10714285714285714</v>
      </c>
      <c r="N4" s="11">
        <f t="shared" si="0"/>
        <v>0.05</v>
      </c>
      <c r="O4" s="11">
        <f t="shared" si="0"/>
        <v>0.14150943396226415</v>
      </c>
      <c r="P4" s="11">
        <f t="shared" si="0"/>
        <v>0.20618556701030927</v>
      </c>
    </row>
    <row r="5" spans="1:16" x14ac:dyDescent="0.3">
      <c r="A5" s="11" t="s">
        <v>22</v>
      </c>
      <c r="B5" s="11">
        <v>0.15589089531506503</v>
      </c>
      <c r="C5" s="11">
        <v>4.8192771084337352E-2</v>
      </c>
      <c r="D5" s="11">
        <v>0.16666666666666666</v>
      </c>
      <c r="E5" s="11">
        <v>7.1428571428571425E-2</v>
      </c>
      <c r="F5" s="11">
        <v>0.15</v>
      </c>
      <c r="G5" s="11">
        <v>0.12264150943396226</v>
      </c>
      <c r="H5" s="11">
        <v>0.1134020618556701</v>
      </c>
      <c r="I5" s="11">
        <v>0.43974407543039951</v>
      </c>
      <c r="J5" s="11">
        <f t="shared" si="0"/>
        <v>0.43974407543039951</v>
      </c>
      <c r="K5" s="11">
        <f t="shared" si="0"/>
        <v>0.36144578313253012</v>
      </c>
      <c r="L5" s="11">
        <f t="shared" si="0"/>
        <v>0.26666666666666666</v>
      </c>
      <c r="M5" s="11">
        <f t="shared" si="0"/>
        <v>0.17857142857142855</v>
      </c>
      <c r="N5" s="11">
        <f t="shared" si="0"/>
        <v>0.2</v>
      </c>
      <c r="O5" s="11">
        <f t="shared" si="0"/>
        <v>0.26415094339622641</v>
      </c>
      <c r="P5" s="11">
        <f t="shared" si="0"/>
        <v>0.31958762886597936</v>
      </c>
    </row>
    <row r="6" spans="1:16" x14ac:dyDescent="0.3">
      <c r="A6" s="11" t="s">
        <v>21</v>
      </c>
      <c r="B6" s="11">
        <v>0.56025592456960049</v>
      </c>
      <c r="C6" s="11">
        <v>0.63855421686746983</v>
      </c>
      <c r="D6" s="11">
        <v>0.73333333333333328</v>
      </c>
      <c r="E6" s="11">
        <v>0.8214285714285714</v>
      </c>
      <c r="F6" s="11">
        <v>0.8</v>
      </c>
      <c r="G6" s="11">
        <v>0.73584905660377353</v>
      </c>
      <c r="H6" s="11">
        <v>0.68041237113402064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2" t="s">
        <v>100</v>
      </c>
      <c r="L8" s="12" t="s">
        <v>101</v>
      </c>
      <c r="M8" s="12" t="s">
        <v>102</v>
      </c>
      <c r="N8" s="12" t="s">
        <v>103</v>
      </c>
      <c r="O8" s="12" t="s">
        <v>104</v>
      </c>
      <c r="P8" s="12" t="s">
        <v>105</v>
      </c>
    </row>
    <row r="9" spans="1:16" x14ac:dyDescent="0.3">
      <c r="B9" s="11" t="s">
        <v>23</v>
      </c>
      <c r="C9" s="11">
        <f>C2-B2</f>
        <v>3.49913354643476E-2</v>
      </c>
      <c r="D9" s="11">
        <f>D2-B2</f>
        <v>1.4509407753504233E-2</v>
      </c>
      <c r="E9" s="11">
        <f>E2-B2</f>
        <v>-4.977630653221006E-2</v>
      </c>
      <c r="F9" s="11">
        <f>F2-B2</f>
        <v>-6.5490592246495768E-2</v>
      </c>
      <c r="G9" s="11">
        <f>G2-B2</f>
        <v>-2.8886818661590111E-2</v>
      </c>
      <c r="H9" s="11">
        <f>H2-B2</f>
        <v>-1.3325643792887532E-2</v>
      </c>
      <c r="J9" s="11" t="s">
        <v>23</v>
      </c>
      <c r="K9" s="3">
        <f>(J2-0) * ((K2+0))</f>
        <v>1.0300071354999491E-2</v>
      </c>
      <c r="L9" s="3">
        <f>(J2-0) * ((L2+0))</f>
        <v>8.5490592246495779E-3</v>
      </c>
      <c r="M9" s="3">
        <f>(J2-0) * ((M2+0))</f>
        <v>3.0532354373748486E-3</v>
      </c>
      <c r="N9" s="3">
        <f>(J2-0) * ((N2+0))</f>
        <v>1.7098118449299154E-3</v>
      </c>
      <c r="O9" s="3">
        <f>(J2-0) * ((O2+0))</f>
        <v>4.8390901271601382E-3</v>
      </c>
      <c r="P9" s="3">
        <f>(J2-0) * ((P2+0))</f>
        <v>6.1694241827368081E-3</v>
      </c>
    </row>
    <row r="10" spans="1:16" x14ac:dyDescent="0.3">
      <c r="B10" s="11" t="s">
        <v>25</v>
      </c>
      <c r="C10" s="11">
        <f t="shared" ref="C10:C13" si="1">C3-B3</f>
        <v>-4.6011042528492557E-2</v>
      </c>
      <c r="D10" s="11">
        <f t="shared" ref="D10:D13" si="2">D3-B3</f>
        <v>-9.4203813612829909E-2</v>
      </c>
      <c r="E10" s="11">
        <f t="shared" ref="E10:E13" si="3">E3-B3</f>
        <v>-2.2775242184258485E-2</v>
      </c>
      <c r="F10" s="11">
        <f t="shared" ref="F10:F13" si="4">F3-B3</f>
        <v>-7.4203813612829905E-2</v>
      </c>
      <c r="G10" s="11">
        <f t="shared" ref="G10:G13" si="5">G3-B3</f>
        <v>-7.5335889084528027E-2</v>
      </c>
      <c r="H10" s="11">
        <f t="shared" ref="H10:H13" si="6">H3-B3</f>
        <v>-4.2657421860252592E-2</v>
      </c>
      <c r="J10" s="11" t="s">
        <v>25</v>
      </c>
      <c r="K10" s="3">
        <f>(J3-J2) * ((K3+K2))</f>
        <v>2.7239656948288161E-2</v>
      </c>
      <c r="L10" s="3">
        <f>(J3-J2) * ((L3+L2))</f>
        <v>1.884076272256598E-2</v>
      </c>
      <c r="M10" s="3">
        <f>(J3-J2) * ((M3+M2))</f>
        <v>1.3457687658975698E-2</v>
      </c>
      <c r="N10" s="3">
        <f>(J3-J2) * ((N3+N2))</f>
        <v>5.6522288167697938E-3</v>
      </c>
      <c r="O10" s="3">
        <f>(J3-J2) * ((O3+O2))</f>
        <v>1.2442013118675646E-2</v>
      </c>
      <c r="P10" s="3">
        <f>(J3-J2) * ((P3+P2))</f>
        <v>1.845229338808008E-2</v>
      </c>
    </row>
    <row r="11" spans="1:16" x14ac:dyDescent="0.3">
      <c r="B11" s="11" t="s">
        <v>24</v>
      </c>
      <c r="C11" s="11">
        <f t="shared" si="1"/>
        <v>4.041953899700329E-2</v>
      </c>
      <c r="D11" s="11">
        <f t="shared" si="2"/>
        <v>-0.10415877425600875</v>
      </c>
      <c r="E11" s="11">
        <f t="shared" si="3"/>
        <v>-0.10415877425600875</v>
      </c>
      <c r="F11" s="11">
        <f t="shared" si="4"/>
        <v>-9.4158774256008756E-2</v>
      </c>
      <c r="G11" s="11">
        <f t="shared" si="5"/>
        <v>-3.8121038406952149E-2</v>
      </c>
      <c r="H11" s="11">
        <f t="shared" si="6"/>
        <v>-2.1684547451885042E-2</v>
      </c>
      <c r="J11" s="11" t="s">
        <v>24</v>
      </c>
      <c r="K11" s="3">
        <f t="shared" ref="K11:K13" si="7">(J4-J3) * ((K4+K3))</f>
        <v>5.0196999641450017E-2</v>
      </c>
      <c r="L11" s="3">
        <f t="shared" ref="L11:L13" si="8">(J4-J3) * ((L4+L3))</f>
        <v>2.0831754851201756E-2</v>
      </c>
      <c r="M11" s="3">
        <f t="shared" ref="M11:M13" si="9">(J4-J3) * ((M4+M3))</f>
        <v>2.2319737340573308E-2</v>
      </c>
      <c r="N11" s="3">
        <f t="shared" ref="N11:N13" si="10">(J4-J3) * ((N4+N3))</f>
        <v>9.3742896830407898E-3</v>
      </c>
      <c r="O11" s="3">
        <f t="shared" ref="O11:O13" si="11">(J4-J3) * ((O4+O3))</f>
        <v>2.2600488753662284E-2</v>
      </c>
      <c r="P11" s="3">
        <f t="shared" ref="P11:P13" si="12">(J4-J3) * ((P4+P3))</f>
        <v>3.4361657486518357E-2</v>
      </c>
    </row>
    <row r="12" spans="1:16" x14ac:dyDescent="0.3">
      <c r="B12" s="11" t="s">
        <v>22</v>
      </c>
      <c r="C12" s="11">
        <f t="shared" si="1"/>
        <v>-0.10769812423072768</v>
      </c>
      <c r="D12" s="11">
        <f t="shared" si="2"/>
        <v>1.0775771351601626E-2</v>
      </c>
      <c r="E12" s="11">
        <f t="shared" si="3"/>
        <v>-8.4462323886493607E-2</v>
      </c>
      <c r="F12" s="11">
        <f t="shared" si="4"/>
        <v>-5.8908953150650367E-3</v>
      </c>
      <c r="G12" s="11">
        <f t="shared" si="5"/>
        <v>-3.3249385881102766E-2</v>
      </c>
      <c r="H12" s="11">
        <f t="shared" si="6"/>
        <v>-4.2488833459394929E-2</v>
      </c>
      <c r="J12" s="11" t="s">
        <v>22</v>
      </c>
      <c r="K12" s="3">
        <f t="shared" si="7"/>
        <v>0.10517939924871858</v>
      </c>
      <c r="L12" s="3">
        <f t="shared" si="8"/>
        <v>5.7159994948857193E-2</v>
      </c>
      <c r="M12" s="3">
        <f t="shared" si="9"/>
        <v>4.4540255804304298E-2</v>
      </c>
      <c r="N12" s="3">
        <f t="shared" si="10"/>
        <v>3.8972723828766265E-2</v>
      </c>
      <c r="O12" s="3">
        <f t="shared" si="11"/>
        <v>6.3238759420262247E-2</v>
      </c>
      <c r="P12" s="3">
        <f t="shared" si="12"/>
        <v>8.1963254237817695E-2</v>
      </c>
    </row>
    <row r="13" spans="1:16" x14ac:dyDescent="0.3">
      <c r="B13" s="11" t="s">
        <v>21</v>
      </c>
      <c r="C13" s="11">
        <f t="shared" si="1"/>
        <v>7.8298292297869332E-2</v>
      </c>
      <c r="D13" s="11">
        <f t="shared" si="2"/>
        <v>0.17307740876373279</v>
      </c>
      <c r="E13" s="11">
        <f t="shared" si="3"/>
        <v>0.2611726468589709</v>
      </c>
      <c r="F13" s="11">
        <f t="shared" si="4"/>
        <v>0.23974407543039955</v>
      </c>
      <c r="G13" s="11">
        <f t="shared" si="5"/>
        <v>0.17559313203417304</v>
      </c>
      <c r="H13" s="11">
        <f t="shared" si="6"/>
        <v>0.12015644656442015</v>
      </c>
      <c r="J13" s="11" t="s">
        <v>21</v>
      </c>
      <c r="K13" s="3">
        <f t="shared" si="7"/>
        <v>0.76275806598029949</v>
      </c>
      <c r="L13" s="3">
        <f t="shared" si="8"/>
        <v>0.70965750445482723</v>
      </c>
      <c r="M13" s="3">
        <f t="shared" si="9"/>
        <v>0.66030162538560055</v>
      </c>
      <c r="N13" s="3">
        <f t="shared" si="10"/>
        <v>0.67230710948352057</v>
      </c>
      <c r="O13" s="3">
        <f t="shared" si="11"/>
        <v>0.70824805558798554</v>
      </c>
      <c r="P13" s="3">
        <f t="shared" si="12"/>
        <v>0.73930678706091613</v>
      </c>
    </row>
    <row r="14" spans="1:16" x14ac:dyDescent="0.3">
      <c r="J14" s="12" t="s">
        <v>106</v>
      </c>
      <c r="K14" s="12">
        <f>SUM(K9:K13)</f>
        <v>0.95567419317375579</v>
      </c>
      <c r="L14" s="12">
        <f t="shared" ref="L14:P14" si="13">SUM(L9:L13)</f>
        <v>0.8150390762021017</v>
      </c>
      <c r="M14" s="12">
        <f t="shared" si="13"/>
        <v>0.74367254162682872</v>
      </c>
      <c r="N14" s="12">
        <f t="shared" si="13"/>
        <v>0.72801616365702737</v>
      </c>
      <c r="O14" s="12">
        <f t="shared" si="13"/>
        <v>0.81136840700774582</v>
      </c>
      <c r="P14" s="12">
        <f t="shared" si="13"/>
        <v>0.88025341635606913</v>
      </c>
    </row>
    <row r="15" spans="1:16" x14ac:dyDescent="0.3">
      <c r="J15" s="15" t="s">
        <v>107</v>
      </c>
      <c r="K15" s="15">
        <f>1-K14</f>
        <v>4.4325806826244207E-2</v>
      </c>
      <c r="L15" s="15">
        <f t="shared" ref="L15:P15" si="14">1-L14</f>
        <v>0.1849609237978983</v>
      </c>
      <c r="M15" s="15">
        <f t="shared" si="14"/>
        <v>0.25632745837317128</v>
      </c>
      <c r="N15" s="15">
        <f t="shared" si="14"/>
        <v>0.27198383634297263</v>
      </c>
      <c r="O15" s="15">
        <f t="shared" si="14"/>
        <v>0.18863159299225418</v>
      </c>
      <c r="P15" s="15">
        <f t="shared" si="14"/>
        <v>0.11974658364393087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FEE7-B7DA-4588-8F52-D828CB07228D}">
  <dimension ref="A1:P17"/>
  <sheetViews>
    <sheetView zoomScale="78" workbookViewId="0">
      <selection activeCell="H20" sqref="H20"/>
    </sheetView>
  </sheetViews>
  <sheetFormatPr defaultRowHeight="14.4" x14ac:dyDescent="0.3"/>
  <cols>
    <col min="1" max="1" width="15.88671875" customWidth="1"/>
  </cols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31</v>
      </c>
      <c r="B2" s="11">
        <v>6.5521934037784182E-2</v>
      </c>
      <c r="C2" s="11">
        <v>6.8181818181818177E-2</v>
      </c>
      <c r="D2" s="11">
        <v>0</v>
      </c>
      <c r="E2" s="11">
        <v>0</v>
      </c>
      <c r="F2" s="11">
        <v>1.6129032258064516E-2</v>
      </c>
      <c r="G2" s="11">
        <v>3.3707865168539325E-2</v>
      </c>
      <c r="H2" s="11">
        <v>4.9180327868852458E-2</v>
      </c>
      <c r="I2" s="11">
        <v>6.5521934037784182E-2</v>
      </c>
      <c r="J2" s="11">
        <v>6.5521934037784182E-2</v>
      </c>
      <c r="K2" s="11">
        <v>6.8181818181818177E-2</v>
      </c>
      <c r="L2" s="11">
        <v>0</v>
      </c>
      <c r="M2" s="11">
        <v>0</v>
      </c>
      <c r="N2" s="11">
        <v>1.6129032258064516E-2</v>
      </c>
      <c r="O2" s="11">
        <v>3.3707865168539325E-2</v>
      </c>
      <c r="P2" s="11">
        <v>4.9180327868852458E-2</v>
      </c>
    </row>
    <row r="3" spans="1:16" x14ac:dyDescent="0.3">
      <c r="A3" s="11" t="s">
        <v>29</v>
      </c>
      <c r="B3" s="11">
        <v>7.9944497811932969E-2</v>
      </c>
      <c r="C3" s="11">
        <v>0.15909090909090909</v>
      </c>
      <c r="D3" s="11">
        <v>0.14285714285714285</v>
      </c>
      <c r="E3" s="11">
        <v>6.8965517241379309E-2</v>
      </c>
      <c r="F3" s="11">
        <v>6.4516129032258063E-2</v>
      </c>
      <c r="G3" s="11">
        <v>0.10112359550561797</v>
      </c>
      <c r="H3" s="11">
        <v>8.1967213114754092E-2</v>
      </c>
      <c r="I3" s="11">
        <v>0.14546643184971714</v>
      </c>
      <c r="J3" s="11">
        <f t="shared" ref="J3:P7" si="0">J2+B3</f>
        <v>0.14546643184971714</v>
      </c>
      <c r="K3" s="11">
        <f t="shared" si="0"/>
        <v>0.22727272727272727</v>
      </c>
      <c r="L3" s="11">
        <f t="shared" si="0"/>
        <v>0.14285714285714285</v>
      </c>
      <c r="M3" s="11">
        <f t="shared" si="0"/>
        <v>6.8965517241379309E-2</v>
      </c>
      <c r="N3" s="11">
        <f t="shared" si="0"/>
        <v>8.0645161290322578E-2</v>
      </c>
      <c r="O3" s="11">
        <f t="shared" si="0"/>
        <v>0.1348314606741573</v>
      </c>
      <c r="P3" s="11">
        <f t="shared" si="0"/>
        <v>0.13114754098360654</v>
      </c>
    </row>
    <row r="4" spans="1:16" x14ac:dyDescent="0.3">
      <c r="A4" s="11" t="s">
        <v>27</v>
      </c>
      <c r="B4" s="11">
        <v>8.3506777671042795E-2</v>
      </c>
      <c r="C4" s="11">
        <v>0.11363636363636363</v>
      </c>
      <c r="D4" s="11">
        <v>0</v>
      </c>
      <c r="E4" s="11">
        <v>0.10344827586206896</v>
      </c>
      <c r="F4" s="11">
        <v>1.6129032258064516E-2</v>
      </c>
      <c r="G4" s="11">
        <v>1.1235955056179775E-2</v>
      </c>
      <c r="H4" s="11">
        <v>3.2786885245901641E-2</v>
      </c>
      <c r="I4" s="11">
        <v>0.22897320952075995</v>
      </c>
      <c r="J4" s="11">
        <f t="shared" si="0"/>
        <v>0.22897320952075995</v>
      </c>
      <c r="K4" s="11">
        <f t="shared" si="0"/>
        <v>0.34090909090909088</v>
      </c>
      <c r="L4" s="11">
        <f t="shared" si="0"/>
        <v>0.14285714285714285</v>
      </c>
      <c r="M4" s="11">
        <f t="shared" si="0"/>
        <v>0.17241379310344829</v>
      </c>
      <c r="N4" s="11">
        <f t="shared" si="0"/>
        <v>9.6774193548387094E-2</v>
      </c>
      <c r="O4" s="11">
        <f t="shared" si="0"/>
        <v>0.14606741573033707</v>
      </c>
      <c r="P4" s="11">
        <f t="shared" si="0"/>
        <v>0.16393442622950818</v>
      </c>
    </row>
    <row r="5" spans="1:16" x14ac:dyDescent="0.3">
      <c r="A5" s="11" t="s">
        <v>28</v>
      </c>
      <c r="B5" s="11">
        <v>0.20530472835948341</v>
      </c>
      <c r="C5" s="11">
        <v>2.2727272727272728E-2</v>
      </c>
      <c r="D5" s="11">
        <v>9.5238095238095233E-2</v>
      </c>
      <c r="E5" s="11">
        <v>3.4482758620689655E-2</v>
      </c>
      <c r="F5" s="11">
        <v>3.2258064516129031E-2</v>
      </c>
      <c r="G5" s="11">
        <v>0.1797752808988764</v>
      </c>
      <c r="H5" s="11">
        <v>0.21311475409836064</v>
      </c>
      <c r="I5" s="11">
        <v>0.43427793788024338</v>
      </c>
      <c r="J5" s="11">
        <f t="shared" si="0"/>
        <v>0.43427793788024338</v>
      </c>
      <c r="K5" s="11">
        <f t="shared" si="0"/>
        <v>0.36363636363636359</v>
      </c>
      <c r="L5" s="11">
        <f t="shared" si="0"/>
        <v>0.23809523809523808</v>
      </c>
      <c r="M5" s="11">
        <f t="shared" si="0"/>
        <v>0.20689655172413796</v>
      </c>
      <c r="N5" s="11">
        <f t="shared" si="0"/>
        <v>0.12903225806451613</v>
      </c>
      <c r="O5" s="11">
        <f t="shared" si="0"/>
        <v>0.3258426966292135</v>
      </c>
      <c r="P5" s="11">
        <f t="shared" si="0"/>
        <v>0.37704918032786883</v>
      </c>
    </row>
    <row r="6" spans="1:16" x14ac:dyDescent="0.3">
      <c r="A6" s="11" t="s">
        <v>30</v>
      </c>
      <c r="B6" s="11">
        <v>0.21270946739246452</v>
      </c>
      <c r="C6" s="11">
        <v>0.25</v>
      </c>
      <c r="D6" s="11">
        <v>0.5714285714285714</v>
      </c>
      <c r="E6" s="11">
        <v>3.4482758620689655E-2</v>
      </c>
      <c r="F6" s="11">
        <v>0.20967741935483872</v>
      </c>
      <c r="G6" s="11">
        <v>0.14606741573033707</v>
      </c>
      <c r="H6" s="11">
        <v>0.11475409836065574</v>
      </c>
      <c r="I6" s="11">
        <v>0.64698740527270793</v>
      </c>
      <c r="J6" s="11">
        <f t="shared" si="0"/>
        <v>0.64698740527270793</v>
      </c>
      <c r="K6" s="11">
        <f t="shared" si="0"/>
        <v>0.61363636363636354</v>
      </c>
      <c r="L6" s="11">
        <f t="shared" si="0"/>
        <v>0.80952380952380953</v>
      </c>
      <c r="M6" s="11">
        <f t="shared" si="0"/>
        <v>0.24137931034482762</v>
      </c>
      <c r="N6" s="11">
        <f t="shared" si="0"/>
        <v>0.33870967741935487</v>
      </c>
      <c r="O6" s="11">
        <f t="shared" si="0"/>
        <v>0.4719101123595506</v>
      </c>
      <c r="P6" s="11">
        <f t="shared" si="0"/>
        <v>0.49180327868852458</v>
      </c>
    </row>
    <row r="7" spans="1:16" x14ac:dyDescent="0.3">
      <c r="A7" s="11" t="s">
        <v>26</v>
      </c>
      <c r="B7" s="11">
        <v>0.35301259472729213</v>
      </c>
      <c r="C7" s="11">
        <v>0.38636363636363635</v>
      </c>
      <c r="D7" s="11">
        <v>0.19047619047619047</v>
      </c>
      <c r="E7" s="11">
        <v>0.75862068965517238</v>
      </c>
      <c r="F7" s="11">
        <v>0.66129032258064513</v>
      </c>
      <c r="G7" s="11">
        <v>0.5280898876404494</v>
      </c>
      <c r="H7" s="11">
        <v>0.50819672131147542</v>
      </c>
      <c r="I7" s="11">
        <v>1</v>
      </c>
      <c r="J7" s="11">
        <f t="shared" si="0"/>
        <v>1</v>
      </c>
      <c r="K7" s="11">
        <f t="shared" si="0"/>
        <v>0.99999999999999989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31</v>
      </c>
      <c r="C10" s="11">
        <f>C2-B2</f>
        <v>2.6598841440339943E-3</v>
      </c>
      <c r="D10" s="11">
        <f>D2-B2</f>
        <v>-6.5521934037784182E-2</v>
      </c>
      <c r="E10" s="11">
        <f>E2-B2</f>
        <v>-6.5521934037784182E-2</v>
      </c>
      <c r="F10" s="11">
        <f>F2-B2</f>
        <v>-4.9392901779719667E-2</v>
      </c>
      <c r="G10" s="11">
        <f>G2-B2</f>
        <v>-3.1814068869244858E-2</v>
      </c>
      <c r="H10" s="11">
        <f>H2-B2</f>
        <v>-1.6341606168931724E-2</v>
      </c>
      <c r="J10" s="11" t="s">
        <v>31</v>
      </c>
      <c r="K10" s="3">
        <f>(J2-0) * ((K2+0))</f>
        <v>4.4674045934852847E-3</v>
      </c>
      <c r="L10" s="3">
        <f>(J2-0) * ((L2+0))</f>
        <v>0</v>
      </c>
      <c r="M10" s="3">
        <f>(J2-0) * ((M2+0))</f>
        <v>0</v>
      </c>
      <c r="N10" s="3">
        <f>(J2-0) * ((N2+0))</f>
        <v>1.0568053877061964E-3</v>
      </c>
      <c r="O10" s="3">
        <f>(J2-0) * ((O2+0))</f>
        <v>2.2086045181275568E-3</v>
      </c>
      <c r="P10" s="3">
        <f>(J2-0) * ((P2+0))</f>
        <v>3.2223901985795498E-3</v>
      </c>
    </row>
    <row r="11" spans="1:16" x14ac:dyDescent="0.3">
      <c r="B11" s="11" t="s">
        <v>29</v>
      </c>
      <c r="C11" s="11">
        <f t="shared" ref="C11:C15" si="1">C3-B3</f>
        <v>7.914641127897612E-2</v>
      </c>
      <c r="D11" s="11">
        <f t="shared" ref="D11:D15" si="2">D3-B3</f>
        <v>6.2912645045209881E-2</v>
      </c>
      <c r="E11" s="11">
        <f t="shared" ref="E11:E15" si="3">E3-B3</f>
        <v>-1.0978980570553659E-2</v>
      </c>
      <c r="F11" s="11">
        <f t="shared" ref="F11:F15" si="4">F3-B3</f>
        <v>-1.5428368779674906E-2</v>
      </c>
      <c r="G11" s="11">
        <f t="shared" ref="G11:G15" si="5">G3-B3</f>
        <v>2.1179097693685006E-2</v>
      </c>
      <c r="H11" s="11">
        <f t="shared" ref="H11:H15" si="6">H3-B3</f>
        <v>2.0227153028211237E-3</v>
      </c>
      <c r="J11" s="11" t="s">
        <v>29</v>
      </c>
      <c r="K11" s="3">
        <f>(J3-J2) * ((K3+K2))</f>
        <v>2.3619965262616553E-2</v>
      </c>
      <c r="L11" s="3">
        <f>(J3-J2) * ((L3+L2))</f>
        <v>1.142064254456185E-2</v>
      </c>
      <c r="M11" s="3">
        <f>(J3-J2) * ((M3+M2))</f>
        <v>5.5134136422022723E-3</v>
      </c>
      <c r="N11" s="3">
        <f>(J3-J2) * ((N3+N2))</f>
        <v>7.736564304380608E-3</v>
      </c>
      <c r="O11" s="3">
        <f>(J3-J2) * ((O3+O2))</f>
        <v>1.3473791766056115E-2</v>
      </c>
      <c r="P11" s="3">
        <f>(J3-J2) * ((P3+P2))</f>
        <v>1.441622091690594E-2</v>
      </c>
    </row>
    <row r="12" spans="1:16" x14ac:dyDescent="0.3">
      <c r="B12" s="11" t="s">
        <v>27</v>
      </c>
      <c r="C12" s="11">
        <f t="shared" si="1"/>
        <v>3.0129585965320838E-2</v>
      </c>
      <c r="D12" s="11">
        <f t="shared" si="2"/>
        <v>-8.3506777671042795E-2</v>
      </c>
      <c r="E12" s="11">
        <f t="shared" si="3"/>
        <v>1.9941498191026169E-2</v>
      </c>
      <c r="F12" s="11">
        <f t="shared" si="4"/>
        <v>-6.7377745412978279E-2</v>
      </c>
      <c r="G12" s="11">
        <f t="shared" si="5"/>
        <v>-7.227082261486302E-2</v>
      </c>
      <c r="H12" s="11">
        <f t="shared" si="6"/>
        <v>-5.0719892425141154E-2</v>
      </c>
      <c r="J12" s="11" t="s">
        <v>27</v>
      </c>
      <c r="K12" s="3">
        <f t="shared" ref="K12:K15" si="7">(J4-J3) * ((K4+K3))</f>
        <v>4.7447032767637953E-2</v>
      </c>
      <c r="L12" s="3">
        <f t="shared" ref="L12:L15" si="8">(J4-J3) * ((L4+L3))</f>
        <v>2.3859079334583658E-2</v>
      </c>
      <c r="M12" s="3">
        <f t="shared" ref="M12:M15" si="9">(J4-J3) * ((M4+M3))</f>
        <v>2.015680840335516E-2</v>
      </c>
      <c r="N12" s="3">
        <f t="shared" ref="N12:N15" si="10">(J4-J3) * ((N4+N3))</f>
        <v>1.4815718619055982E-2</v>
      </c>
      <c r="O12" s="3">
        <f t="shared" ref="O12:O15" si="11">(J4-J3) * ((O4+O3))</f>
        <v>2.3456960019955848E-2</v>
      </c>
      <c r="P12" s="3">
        <f t="shared" ref="P12:P15" si="12">(J4-J3) * ((P4+P3))</f>
        <v>2.4641344230799517E-2</v>
      </c>
    </row>
    <row r="13" spans="1:16" x14ac:dyDescent="0.3">
      <c r="B13" s="11" t="s">
        <v>28</v>
      </c>
      <c r="C13" s="11">
        <f t="shared" si="1"/>
        <v>-0.18257745563221067</v>
      </c>
      <c r="D13" s="11">
        <f t="shared" si="2"/>
        <v>-0.11006663312138817</v>
      </c>
      <c r="E13" s="11">
        <f t="shared" si="3"/>
        <v>-0.17082196973879377</v>
      </c>
      <c r="F13" s="11">
        <f t="shared" si="4"/>
        <v>-0.17304666384335438</v>
      </c>
      <c r="G13" s="11">
        <f t="shared" si="5"/>
        <v>-2.5529447460607008E-2</v>
      </c>
      <c r="H13" s="11">
        <f t="shared" si="6"/>
        <v>7.8100257388772354E-3</v>
      </c>
      <c r="J13" s="11" t="s">
        <v>28</v>
      </c>
      <c r="K13" s="3">
        <f t="shared" si="7"/>
        <v>0.14464651316236332</v>
      </c>
      <c r="L13" s="3">
        <f t="shared" si="8"/>
        <v>7.8211325089327016E-2</v>
      </c>
      <c r="M13" s="3">
        <f t="shared" si="9"/>
        <v>7.787420730876958E-2</v>
      </c>
      <c r="N13" s="3">
        <f t="shared" si="10"/>
        <v>4.6359132210205933E-2</v>
      </c>
      <c r="O13" s="3">
        <f t="shared" si="11"/>
        <v>9.6885377428070837E-2</v>
      </c>
      <c r="P13" s="3">
        <f t="shared" si="12"/>
        <v>0.11106649239119594</v>
      </c>
    </row>
    <row r="14" spans="1:16" x14ac:dyDescent="0.3">
      <c r="B14" s="11" t="s">
        <v>30</v>
      </c>
      <c r="C14" s="11">
        <f t="shared" si="1"/>
        <v>3.7290532607535481E-2</v>
      </c>
      <c r="D14" s="11">
        <f t="shared" si="2"/>
        <v>0.35871910403610685</v>
      </c>
      <c r="E14" s="11">
        <f t="shared" si="3"/>
        <v>-0.17822670877177488</v>
      </c>
      <c r="F14" s="11">
        <f t="shared" si="4"/>
        <v>-3.0320480376258008E-3</v>
      </c>
      <c r="G14" s="11">
        <f t="shared" si="5"/>
        <v>-6.6642051662127444E-2</v>
      </c>
      <c r="H14" s="11">
        <f t="shared" si="6"/>
        <v>-9.7955369031808778E-2</v>
      </c>
      <c r="J14" s="11" t="s">
        <v>30</v>
      </c>
      <c r="K14" s="3">
        <f t="shared" si="7"/>
        <v>0.20787516131536304</v>
      </c>
      <c r="L14" s="3">
        <f t="shared" si="8"/>
        <v>0.22283848964924857</v>
      </c>
      <c r="M14" s="3">
        <f t="shared" si="9"/>
        <v>9.5352519865587571E-2</v>
      </c>
      <c r="N14" s="3">
        <f t="shared" si="10"/>
        <v>9.949313797389471E-2</v>
      </c>
      <c r="O14" s="3">
        <f t="shared" si="11"/>
        <v>0.16968957511084251</v>
      </c>
      <c r="P14" s="3">
        <f t="shared" si="12"/>
        <v>0.18481314380001018</v>
      </c>
    </row>
    <row r="15" spans="1:16" x14ac:dyDescent="0.3">
      <c r="B15" s="11" t="s">
        <v>26</v>
      </c>
      <c r="C15" s="11">
        <f t="shared" si="1"/>
        <v>3.3351041636344225E-2</v>
      </c>
      <c r="D15" s="11">
        <f t="shared" si="2"/>
        <v>-0.16253640425110166</v>
      </c>
      <c r="E15" s="11">
        <f t="shared" si="3"/>
        <v>0.40560809492788025</v>
      </c>
      <c r="F15" s="11">
        <f t="shared" si="4"/>
        <v>0.308277727853353</v>
      </c>
      <c r="G15" s="11">
        <f t="shared" si="5"/>
        <v>0.17507729291315727</v>
      </c>
      <c r="H15" s="11">
        <f t="shared" si="6"/>
        <v>0.15518412658418329</v>
      </c>
      <c r="J15" s="11" t="s">
        <v>26</v>
      </c>
      <c r="K15" s="3">
        <f t="shared" si="7"/>
        <v>0.56963395967358477</v>
      </c>
      <c r="L15" s="3">
        <f t="shared" si="8"/>
        <v>0.63878469522081427</v>
      </c>
      <c r="M15" s="3">
        <f t="shared" si="9"/>
        <v>0.43822253138560396</v>
      </c>
      <c r="N15" s="3">
        <f t="shared" si="10"/>
        <v>0.47258137681234269</v>
      </c>
      <c r="O15" s="3">
        <f t="shared" si="11"/>
        <v>0.51960280796938496</v>
      </c>
      <c r="P15" s="3">
        <f t="shared" si="12"/>
        <v>0.52662534623251767</v>
      </c>
    </row>
    <row r="16" spans="1:16" x14ac:dyDescent="0.3">
      <c r="J16" s="13" t="s">
        <v>106</v>
      </c>
      <c r="K16" s="12">
        <f>SUM(K10:K15)</f>
        <v>0.99769003677505097</v>
      </c>
      <c r="L16" s="12">
        <f t="shared" ref="L16:P16" si="13">SUM(L10:L15)</f>
        <v>0.97511423183853529</v>
      </c>
      <c r="M16" s="12">
        <f t="shared" si="13"/>
        <v>0.63711948060551848</v>
      </c>
      <c r="N16" s="12">
        <f t="shared" si="13"/>
        <v>0.64204273530758615</v>
      </c>
      <c r="O16" s="12">
        <f t="shared" si="13"/>
        <v>0.8253171168124378</v>
      </c>
      <c r="P16" s="12">
        <f t="shared" si="13"/>
        <v>0.86478493777000875</v>
      </c>
    </row>
    <row r="17" spans="10:16" x14ac:dyDescent="0.3">
      <c r="J17" s="14" t="s">
        <v>107</v>
      </c>
      <c r="K17" s="15">
        <f>1-K16</f>
        <v>2.3099632249490298E-3</v>
      </c>
      <c r="L17" s="15">
        <f t="shared" ref="L17:P17" si="14">1-L16</f>
        <v>2.4885768161464705E-2</v>
      </c>
      <c r="M17" s="15">
        <f t="shared" si="14"/>
        <v>0.36288051939448152</v>
      </c>
      <c r="N17" s="15">
        <f t="shared" si="14"/>
        <v>0.35795726469241385</v>
      </c>
      <c r="O17" s="15">
        <f t="shared" si="14"/>
        <v>0.1746828831875622</v>
      </c>
      <c r="P17" s="15">
        <f t="shared" si="14"/>
        <v>0.13521506222999125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AE63-F1BE-4A20-8F64-E9A495781992}">
  <dimension ref="A1:P35"/>
  <sheetViews>
    <sheetView workbookViewId="0">
      <selection activeCell="I18" sqref="I18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45</v>
      </c>
      <c r="B2" s="11">
        <v>1.7275192095420788E-2</v>
      </c>
      <c r="C2" s="11">
        <v>5.1813471502590676E-3</v>
      </c>
      <c r="D2" s="11">
        <v>0</v>
      </c>
      <c r="E2" s="11">
        <v>1.6393442622950821E-2</v>
      </c>
      <c r="F2" s="11">
        <v>2.1739130434782608E-2</v>
      </c>
      <c r="G2" s="11">
        <v>1.7241379310344827E-2</v>
      </c>
      <c r="H2" s="11">
        <v>1.0563380281690141E-2</v>
      </c>
      <c r="I2" s="11">
        <v>1.7275192095420788E-2</v>
      </c>
      <c r="J2" s="11">
        <v>1.7275192095420788E-2</v>
      </c>
      <c r="K2" s="11">
        <v>5.1813471502590676E-3</v>
      </c>
      <c r="L2" s="11">
        <v>0</v>
      </c>
      <c r="M2" s="11">
        <v>1.6393442622950821E-2</v>
      </c>
      <c r="N2" s="11">
        <v>2.1739130434782608E-2</v>
      </c>
      <c r="O2" s="11">
        <v>1.7241379310344827E-2</v>
      </c>
      <c r="P2" s="11">
        <v>1.0563380281690141E-2</v>
      </c>
    </row>
    <row r="3" spans="1:16" x14ac:dyDescent="0.3">
      <c r="A3" s="11" t="s">
        <v>32</v>
      </c>
      <c r="B3" s="11">
        <v>1.7660990430057977E-2</v>
      </c>
      <c r="C3" s="11">
        <v>1.5544041450777202E-2</v>
      </c>
      <c r="D3" s="11">
        <v>3.2786885245901641E-2</v>
      </c>
      <c r="E3" s="11">
        <v>4.9180327868852458E-2</v>
      </c>
      <c r="F3" s="11">
        <v>1.7391304347826087E-2</v>
      </c>
      <c r="G3" s="11">
        <v>8.6206896551724137E-3</v>
      </c>
      <c r="H3" s="11">
        <v>7.0422535211267607E-3</v>
      </c>
      <c r="I3" s="11">
        <v>3.4936182525478768E-2</v>
      </c>
      <c r="J3" s="11">
        <f>J2+B3</f>
        <v>3.4936182525478768E-2</v>
      </c>
      <c r="K3" s="11">
        <f t="shared" ref="K3:P16" si="0">K2+C3</f>
        <v>2.072538860103627E-2</v>
      </c>
      <c r="L3" s="11">
        <f t="shared" si="0"/>
        <v>3.2786885245901641E-2</v>
      </c>
      <c r="M3" s="11">
        <f t="shared" si="0"/>
        <v>6.5573770491803282E-2</v>
      </c>
      <c r="N3" s="11">
        <f t="shared" si="0"/>
        <v>3.9130434782608692E-2</v>
      </c>
      <c r="O3" s="11">
        <f t="shared" si="0"/>
        <v>2.5862068965517241E-2</v>
      </c>
      <c r="P3" s="11">
        <f t="shared" si="0"/>
        <v>1.7605633802816902E-2</v>
      </c>
    </row>
    <row r="4" spans="1:16" x14ac:dyDescent="0.3">
      <c r="A4" s="11" t="s">
        <v>34</v>
      </c>
      <c r="B4" s="11">
        <v>1.8161099382365445E-2</v>
      </c>
      <c r="C4" s="11">
        <v>2.072538860103627E-2</v>
      </c>
      <c r="D4" s="11">
        <v>0</v>
      </c>
      <c r="E4" s="11">
        <v>0</v>
      </c>
      <c r="F4" s="11">
        <v>1.3043478260869565E-2</v>
      </c>
      <c r="G4" s="11">
        <v>0</v>
      </c>
      <c r="H4" s="11">
        <v>1.0563380281690141E-2</v>
      </c>
      <c r="I4" s="11">
        <v>5.3097281907844213E-2</v>
      </c>
      <c r="J4" s="11">
        <f t="shared" ref="J4:J16" si="1">J3+B4</f>
        <v>5.3097281907844213E-2</v>
      </c>
      <c r="K4" s="11">
        <f t="shared" si="0"/>
        <v>4.145077720207254E-2</v>
      </c>
      <c r="L4" s="11">
        <f t="shared" si="0"/>
        <v>3.2786885245901641E-2</v>
      </c>
      <c r="M4" s="11">
        <f t="shared" si="0"/>
        <v>6.5573770491803282E-2</v>
      </c>
      <c r="N4" s="11">
        <f t="shared" si="0"/>
        <v>5.2173913043478258E-2</v>
      </c>
      <c r="O4" s="11">
        <f t="shared" si="0"/>
        <v>2.5862068965517241E-2</v>
      </c>
      <c r="P4" s="11">
        <f t="shared" si="0"/>
        <v>2.8169014084507043E-2</v>
      </c>
    </row>
    <row r="5" spans="1:16" x14ac:dyDescent="0.3">
      <c r="A5" s="11" t="s">
        <v>42</v>
      </c>
      <c r="B5" s="11">
        <v>2.1783317079792384E-2</v>
      </c>
      <c r="C5" s="11">
        <v>3.6269430051813469E-2</v>
      </c>
      <c r="D5" s="11">
        <v>3.2786885245901641E-2</v>
      </c>
      <c r="E5" s="11">
        <v>1.6393442622950821E-2</v>
      </c>
      <c r="F5" s="11">
        <v>3.0434782608695653E-2</v>
      </c>
      <c r="G5" s="11">
        <v>1.7241379310344827E-2</v>
      </c>
      <c r="H5" s="11">
        <v>3.5211267605633804E-3</v>
      </c>
      <c r="I5" s="11">
        <v>7.4880598987636604E-2</v>
      </c>
      <c r="J5" s="11">
        <f t="shared" si="1"/>
        <v>7.4880598987636604E-2</v>
      </c>
      <c r="K5" s="11">
        <f t="shared" si="0"/>
        <v>7.7720207253886009E-2</v>
      </c>
      <c r="L5" s="11">
        <f t="shared" si="0"/>
        <v>6.5573770491803282E-2</v>
      </c>
      <c r="M5" s="11">
        <f t="shared" si="0"/>
        <v>8.1967213114754106E-2</v>
      </c>
      <c r="N5" s="11">
        <f t="shared" si="0"/>
        <v>8.2608695652173908E-2</v>
      </c>
      <c r="O5" s="11">
        <f t="shared" si="0"/>
        <v>4.3103448275862072E-2</v>
      </c>
      <c r="P5" s="11">
        <f t="shared" si="0"/>
        <v>3.1690140845070422E-2</v>
      </c>
    </row>
    <row r="6" spans="1:16" x14ac:dyDescent="0.3">
      <c r="A6" s="11" t="s">
        <v>37</v>
      </c>
      <c r="B6" s="11">
        <v>2.3451537656418005E-2</v>
      </c>
      <c r="C6" s="11">
        <v>2.5906735751295335E-2</v>
      </c>
      <c r="D6" s="11">
        <v>6.5573770491803282E-2</v>
      </c>
      <c r="E6" s="11">
        <v>1.6393442622950821E-2</v>
      </c>
      <c r="F6" s="11">
        <v>1.3043478260869565E-2</v>
      </c>
      <c r="G6" s="11">
        <v>1.7241379310344827E-2</v>
      </c>
      <c r="H6" s="11">
        <v>3.5211267605633804E-3</v>
      </c>
      <c r="I6" s="11">
        <v>9.8332136644054602E-2</v>
      </c>
      <c r="J6" s="11">
        <f t="shared" si="1"/>
        <v>9.8332136644054602E-2</v>
      </c>
      <c r="K6" s="11">
        <f t="shared" si="0"/>
        <v>0.10362694300518134</v>
      </c>
      <c r="L6" s="11">
        <f t="shared" si="0"/>
        <v>0.13114754098360656</v>
      </c>
      <c r="M6" s="11">
        <f t="shared" si="0"/>
        <v>9.836065573770493E-2</v>
      </c>
      <c r="N6" s="11">
        <f t="shared" si="0"/>
        <v>9.5652173913043467E-2</v>
      </c>
      <c r="O6" s="11">
        <f t="shared" si="0"/>
        <v>6.0344827586206899E-2</v>
      </c>
      <c r="P6" s="11">
        <f t="shared" si="0"/>
        <v>3.5211267605633804E-2</v>
      </c>
    </row>
    <row r="7" spans="1:16" x14ac:dyDescent="0.3">
      <c r="A7" s="11" t="s">
        <v>41</v>
      </c>
      <c r="B7" s="11">
        <v>2.6766545568856073E-2</v>
      </c>
      <c r="C7" s="11">
        <v>3.6269430051813469E-2</v>
      </c>
      <c r="D7" s="11">
        <v>1.6393442622950821E-2</v>
      </c>
      <c r="E7" s="11">
        <v>3.2786885245901641E-2</v>
      </c>
      <c r="F7" s="11">
        <v>3.0434782608695653E-2</v>
      </c>
      <c r="G7" s="11">
        <v>8.6206896551724137E-3</v>
      </c>
      <c r="H7" s="11">
        <v>3.873239436619718E-2</v>
      </c>
      <c r="I7" s="11">
        <v>0.12509868221291068</v>
      </c>
      <c r="J7" s="11">
        <f t="shared" si="1"/>
        <v>0.12509868221291068</v>
      </c>
      <c r="K7" s="11">
        <f t="shared" si="0"/>
        <v>0.13989637305699482</v>
      </c>
      <c r="L7" s="11">
        <f t="shared" si="0"/>
        <v>0.14754098360655737</v>
      </c>
      <c r="M7" s="11">
        <f t="shared" si="0"/>
        <v>0.13114754098360656</v>
      </c>
      <c r="N7" s="11">
        <f t="shared" si="0"/>
        <v>0.12608695652173912</v>
      </c>
      <c r="O7" s="11">
        <f t="shared" si="0"/>
        <v>6.8965517241379309E-2</v>
      </c>
      <c r="P7" s="11">
        <f t="shared" si="0"/>
        <v>7.3943661971830985E-2</v>
      </c>
    </row>
    <row r="8" spans="1:16" x14ac:dyDescent="0.3">
      <c r="A8" s="11" t="s">
        <v>44</v>
      </c>
      <c r="B8" s="11">
        <v>3.3832370623600144E-2</v>
      </c>
      <c r="C8" s="11">
        <v>2.072538860103627E-2</v>
      </c>
      <c r="D8" s="11">
        <v>3.2786885245901641E-2</v>
      </c>
      <c r="E8" s="11">
        <v>0</v>
      </c>
      <c r="F8" s="11">
        <v>3.0434782608695653E-2</v>
      </c>
      <c r="G8" s="11">
        <v>1.7241379310344827E-2</v>
      </c>
      <c r="H8" s="11">
        <v>2.1126760563380281E-2</v>
      </c>
      <c r="I8" s="11">
        <v>0.15893105283651082</v>
      </c>
      <c r="J8" s="11">
        <f t="shared" si="1"/>
        <v>0.15893105283651082</v>
      </c>
      <c r="K8" s="11">
        <f t="shared" si="0"/>
        <v>0.16062176165803108</v>
      </c>
      <c r="L8" s="11">
        <f t="shared" si="0"/>
        <v>0.18032786885245902</v>
      </c>
      <c r="M8" s="11">
        <f t="shared" si="0"/>
        <v>0.13114754098360656</v>
      </c>
      <c r="N8" s="11">
        <f t="shared" si="0"/>
        <v>0.15652173913043477</v>
      </c>
      <c r="O8" s="11">
        <f t="shared" si="0"/>
        <v>8.6206896551724144E-2</v>
      </c>
      <c r="P8" s="11">
        <f t="shared" si="0"/>
        <v>9.5070422535211266E-2</v>
      </c>
    </row>
    <row r="9" spans="1:16" x14ac:dyDescent="0.3">
      <c r="A9" s="11" t="s">
        <v>46</v>
      </c>
      <c r="B9" s="11">
        <v>3.4032414204523131E-2</v>
      </c>
      <c r="C9" s="11">
        <v>4.145077720207254E-2</v>
      </c>
      <c r="D9" s="11">
        <v>3.2786885245901641E-2</v>
      </c>
      <c r="E9" s="11">
        <v>1.6393442622950821E-2</v>
      </c>
      <c r="F9" s="11">
        <v>3.0434782608695653E-2</v>
      </c>
      <c r="G9" s="11">
        <v>4.7413793103448273E-2</v>
      </c>
      <c r="H9" s="11">
        <v>3.5211267605633804E-2</v>
      </c>
      <c r="I9" s="11">
        <v>0.19296346704103395</v>
      </c>
      <c r="J9" s="11">
        <f t="shared" si="1"/>
        <v>0.19296346704103395</v>
      </c>
      <c r="K9" s="11">
        <f t="shared" si="0"/>
        <v>0.20207253886010362</v>
      </c>
      <c r="L9" s="11">
        <f t="shared" si="0"/>
        <v>0.21311475409836067</v>
      </c>
      <c r="M9" s="11">
        <f t="shared" si="0"/>
        <v>0.14754098360655737</v>
      </c>
      <c r="N9" s="11">
        <f t="shared" si="0"/>
        <v>0.18695652173913041</v>
      </c>
      <c r="O9" s="11">
        <f t="shared" si="0"/>
        <v>0.13362068965517243</v>
      </c>
      <c r="P9" s="11">
        <f t="shared" si="0"/>
        <v>0.13028169014084506</v>
      </c>
    </row>
    <row r="10" spans="1:16" x14ac:dyDescent="0.3">
      <c r="A10" s="11" t="s">
        <v>38</v>
      </c>
      <c r="B10" s="11">
        <v>4.0580269272948749E-2</v>
      </c>
      <c r="C10" s="11">
        <v>2.072538860103627E-2</v>
      </c>
      <c r="D10" s="11">
        <v>4.9180327868852458E-2</v>
      </c>
      <c r="E10" s="11">
        <v>1.6393442622950821E-2</v>
      </c>
      <c r="F10" s="11">
        <v>3.0434782608695653E-2</v>
      </c>
      <c r="G10" s="11">
        <v>2.1551724137931036E-2</v>
      </c>
      <c r="H10" s="11">
        <v>4.5774647887323945E-2</v>
      </c>
      <c r="I10" s="11">
        <v>0.2335437363139827</v>
      </c>
      <c r="J10" s="11">
        <f t="shared" si="1"/>
        <v>0.2335437363139827</v>
      </c>
      <c r="K10" s="11">
        <f t="shared" si="0"/>
        <v>0.22279792746113988</v>
      </c>
      <c r="L10" s="11">
        <f t="shared" si="0"/>
        <v>0.26229508196721313</v>
      </c>
      <c r="M10" s="11">
        <f t="shared" si="0"/>
        <v>0.16393442622950818</v>
      </c>
      <c r="N10" s="11">
        <f t="shared" si="0"/>
        <v>0.21739130434782605</v>
      </c>
      <c r="O10" s="11">
        <f t="shared" si="0"/>
        <v>0.15517241379310348</v>
      </c>
      <c r="P10" s="11">
        <f t="shared" si="0"/>
        <v>0.176056338028169</v>
      </c>
    </row>
    <row r="11" spans="1:16" x14ac:dyDescent="0.3">
      <c r="A11" s="11" t="s">
        <v>39</v>
      </c>
      <c r="B11" s="11">
        <v>4.4177481522760319E-2</v>
      </c>
      <c r="C11" s="11">
        <v>7.2538860103626937E-2</v>
      </c>
      <c r="D11" s="11">
        <v>6.5573770491803282E-2</v>
      </c>
      <c r="E11" s="11">
        <v>3.2786885245901641E-2</v>
      </c>
      <c r="F11" s="11">
        <v>4.7826086956521741E-2</v>
      </c>
      <c r="G11" s="11">
        <v>4.7413793103448273E-2</v>
      </c>
      <c r="H11" s="11">
        <v>3.1690140845070422E-2</v>
      </c>
      <c r="I11" s="11">
        <v>0.27772121783674303</v>
      </c>
      <c r="J11" s="11">
        <f t="shared" si="1"/>
        <v>0.27772121783674303</v>
      </c>
      <c r="K11" s="11">
        <f t="shared" si="0"/>
        <v>0.29533678756476683</v>
      </c>
      <c r="L11" s="11">
        <f t="shared" si="0"/>
        <v>0.32786885245901642</v>
      </c>
      <c r="M11" s="11">
        <f t="shared" si="0"/>
        <v>0.19672131147540983</v>
      </c>
      <c r="N11" s="11">
        <f t="shared" si="0"/>
        <v>0.26521739130434779</v>
      </c>
      <c r="O11" s="11">
        <f t="shared" si="0"/>
        <v>0.20258620689655177</v>
      </c>
      <c r="P11" s="11">
        <f t="shared" si="0"/>
        <v>0.20774647887323944</v>
      </c>
    </row>
    <row r="12" spans="1:16" x14ac:dyDescent="0.3">
      <c r="A12" s="11" t="s">
        <v>40</v>
      </c>
      <c r="B12" s="11">
        <v>7.3387416544318587E-2</v>
      </c>
      <c r="C12" s="11">
        <v>4.6632124352331605E-2</v>
      </c>
      <c r="D12" s="11">
        <v>8.1967213114754092E-2</v>
      </c>
      <c r="E12" s="11">
        <v>0.13114754098360656</v>
      </c>
      <c r="F12" s="11">
        <v>6.0869565217391307E-2</v>
      </c>
      <c r="G12" s="11">
        <v>4.3103448275862072E-2</v>
      </c>
      <c r="H12" s="11">
        <v>2.8169014084507043E-2</v>
      </c>
      <c r="I12" s="11">
        <v>0.3511086343810616</v>
      </c>
      <c r="J12" s="11">
        <f t="shared" si="1"/>
        <v>0.3511086343810616</v>
      </c>
      <c r="K12" s="11">
        <f t="shared" si="0"/>
        <v>0.34196891191709844</v>
      </c>
      <c r="L12" s="11">
        <f t="shared" si="0"/>
        <v>0.4098360655737705</v>
      </c>
      <c r="M12" s="11">
        <f t="shared" si="0"/>
        <v>0.32786885245901642</v>
      </c>
      <c r="N12" s="11">
        <f t="shared" si="0"/>
        <v>0.32608695652173908</v>
      </c>
      <c r="O12" s="11">
        <f t="shared" si="0"/>
        <v>0.24568965517241384</v>
      </c>
      <c r="P12" s="11">
        <f t="shared" si="0"/>
        <v>0.23591549295774647</v>
      </c>
    </row>
    <row r="13" spans="1:16" x14ac:dyDescent="0.3">
      <c r="A13" s="11" t="s">
        <v>33</v>
      </c>
      <c r="B13" s="11">
        <v>0.11289245156980628</v>
      </c>
      <c r="C13" s="11">
        <v>5.181347150259067E-2</v>
      </c>
      <c r="D13" s="11">
        <v>6.5573770491803282E-2</v>
      </c>
      <c r="E13" s="11">
        <v>0.16393442622950818</v>
      </c>
      <c r="F13" s="11">
        <v>4.7826086956521741E-2</v>
      </c>
      <c r="G13" s="11">
        <v>4.3103448275862072E-2</v>
      </c>
      <c r="H13" s="11">
        <v>2.464788732394366E-2</v>
      </c>
      <c r="I13" s="11">
        <v>0.46400108595086786</v>
      </c>
      <c r="J13" s="11">
        <f t="shared" si="1"/>
        <v>0.46400108595086786</v>
      </c>
      <c r="K13" s="11">
        <f t="shared" si="0"/>
        <v>0.39378238341968913</v>
      </c>
      <c r="L13" s="11">
        <f t="shared" si="0"/>
        <v>0.4754098360655738</v>
      </c>
      <c r="M13" s="11">
        <f t="shared" si="0"/>
        <v>0.49180327868852458</v>
      </c>
      <c r="N13" s="11">
        <f t="shared" si="0"/>
        <v>0.37391304347826082</v>
      </c>
      <c r="O13" s="11">
        <f t="shared" si="0"/>
        <v>0.28879310344827591</v>
      </c>
      <c r="P13" s="11">
        <f t="shared" si="0"/>
        <v>0.26056338028169013</v>
      </c>
    </row>
    <row r="14" spans="1:16" x14ac:dyDescent="0.3">
      <c r="A14" s="11" t="s">
        <v>43</v>
      </c>
      <c r="B14" s="11">
        <v>0.13511157787946659</v>
      </c>
      <c r="C14" s="11">
        <v>6.2176165803108807E-2</v>
      </c>
      <c r="D14" s="11">
        <v>6.5573770491803282E-2</v>
      </c>
      <c r="E14" s="11">
        <v>1.6393442622950821E-2</v>
      </c>
      <c r="F14" s="11">
        <v>5.6521739130434782E-2</v>
      </c>
      <c r="G14" s="11">
        <v>6.8965517241379309E-2</v>
      </c>
      <c r="H14" s="11">
        <v>0.14084507042253522</v>
      </c>
      <c r="I14" s="11">
        <v>0.59911266383033446</v>
      </c>
      <c r="J14" s="11">
        <f t="shared" si="1"/>
        <v>0.59911266383033446</v>
      </c>
      <c r="K14" s="11">
        <f t="shared" si="0"/>
        <v>0.45595854922279794</v>
      </c>
      <c r="L14" s="11">
        <f t="shared" si="0"/>
        <v>0.54098360655737709</v>
      </c>
      <c r="M14" s="11">
        <f t="shared" si="0"/>
        <v>0.50819672131147542</v>
      </c>
      <c r="N14" s="11">
        <f t="shared" si="0"/>
        <v>0.43043478260869561</v>
      </c>
      <c r="O14" s="11">
        <f t="shared" si="0"/>
        <v>0.35775862068965525</v>
      </c>
      <c r="P14" s="11">
        <f t="shared" si="0"/>
        <v>0.40140845070422537</v>
      </c>
    </row>
    <row r="15" spans="1:16" x14ac:dyDescent="0.3">
      <c r="A15" s="11" t="s">
        <v>35</v>
      </c>
      <c r="B15" s="11">
        <v>0.14235244106751829</v>
      </c>
      <c r="C15" s="11">
        <v>0.11917098445595854</v>
      </c>
      <c r="D15" s="11">
        <v>8.1967213114754092E-2</v>
      </c>
      <c r="E15" s="11">
        <v>0.13114754098360656</v>
      </c>
      <c r="F15" s="11">
        <v>6.5217391304347824E-2</v>
      </c>
      <c r="G15" s="11">
        <v>8.6206896551724144E-2</v>
      </c>
      <c r="H15" s="11">
        <v>4.5774647887323945E-2</v>
      </c>
      <c r="I15" s="11">
        <v>0.74146510489785278</v>
      </c>
      <c r="J15" s="11">
        <f t="shared" si="1"/>
        <v>0.74146510489785278</v>
      </c>
      <c r="K15" s="11">
        <f t="shared" si="0"/>
        <v>0.57512953367875652</v>
      </c>
      <c r="L15" s="11">
        <f t="shared" si="0"/>
        <v>0.62295081967213117</v>
      </c>
      <c r="M15" s="11">
        <f t="shared" si="0"/>
        <v>0.63934426229508201</v>
      </c>
      <c r="N15" s="11">
        <f t="shared" si="0"/>
        <v>0.49565217391304345</v>
      </c>
      <c r="O15" s="11">
        <f t="shared" si="0"/>
        <v>0.44396551724137939</v>
      </c>
      <c r="P15" s="11">
        <f t="shared" si="0"/>
        <v>0.44718309859154931</v>
      </c>
    </row>
    <row r="16" spans="1:16" x14ac:dyDescent="0.3">
      <c r="A16" s="11" t="s">
        <v>36</v>
      </c>
      <c r="B16" s="11">
        <v>0.25853489510214728</v>
      </c>
      <c r="C16" s="11">
        <v>0.42487046632124353</v>
      </c>
      <c r="D16" s="11">
        <v>0.37704918032786883</v>
      </c>
      <c r="E16" s="11">
        <v>0.36065573770491804</v>
      </c>
      <c r="F16" s="11">
        <v>0.5043478260869565</v>
      </c>
      <c r="G16" s="11">
        <v>0.55603448275862066</v>
      </c>
      <c r="H16" s="11">
        <v>0.55281690140845074</v>
      </c>
      <c r="I16" s="11">
        <v>1</v>
      </c>
      <c r="J16" s="11">
        <f t="shared" si="1"/>
        <v>1</v>
      </c>
      <c r="K16" s="11">
        <f t="shared" si="0"/>
        <v>1</v>
      </c>
      <c r="L16" s="11">
        <f t="shared" si="0"/>
        <v>1</v>
      </c>
      <c r="M16" s="11">
        <f t="shared" si="0"/>
        <v>1</v>
      </c>
      <c r="N16" s="11">
        <f t="shared" si="0"/>
        <v>1</v>
      </c>
      <c r="O16" s="11">
        <f t="shared" si="0"/>
        <v>1</v>
      </c>
      <c r="P16" s="11">
        <f t="shared" si="0"/>
        <v>1</v>
      </c>
    </row>
    <row r="18" spans="2:16" ht="28.8" x14ac:dyDescent="0.3">
      <c r="B18" s="1" t="s">
        <v>86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J18" s="3"/>
      <c r="K18" s="12" t="s">
        <v>100</v>
      </c>
      <c r="L18" s="12" t="s">
        <v>101</v>
      </c>
      <c r="M18" s="12" t="s">
        <v>102</v>
      </c>
      <c r="N18" s="12" t="s">
        <v>103</v>
      </c>
      <c r="O18" s="12" t="s">
        <v>104</v>
      </c>
      <c r="P18" s="12" t="s">
        <v>105</v>
      </c>
    </row>
    <row r="19" spans="2:16" x14ac:dyDescent="0.3">
      <c r="B19" s="11" t="s">
        <v>45</v>
      </c>
      <c r="C19" s="11">
        <f>C2-B2</f>
        <v>-1.2093844945161719E-2</v>
      </c>
      <c r="D19" s="11">
        <f>D2-B2</f>
        <v>-1.7275192095420788E-2</v>
      </c>
      <c r="E19" s="11">
        <f>E2-B2</f>
        <v>-8.8174947246996704E-4</v>
      </c>
      <c r="F19" s="11">
        <f>F2-B2</f>
        <v>4.4639383393618205E-3</v>
      </c>
      <c r="G19" s="11">
        <f>G2-B2</f>
        <v>-3.3812785075960222E-5</v>
      </c>
      <c r="H19" s="11">
        <f>H2-B2</f>
        <v>-6.7118118137306469E-3</v>
      </c>
      <c r="J19" s="11" t="s">
        <v>45</v>
      </c>
      <c r="K19" s="3">
        <f>(J2-0) * ((K2+0))</f>
        <v>8.9508767333786461E-5</v>
      </c>
      <c r="L19" s="3">
        <f>(J2-0) * ((L2+0))</f>
        <v>0</v>
      </c>
      <c r="M19" s="3">
        <f>(J2-0) * ((M2+0))</f>
        <v>2.8319987041673422E-4</v>
      </c>
      <c r="N19" s="3">
        <f>(J2-0) * ((N2+0))</f>
        <v>3.75547654248278E-4</v>
      </c>
      <c r="O19" s="3">
        <f>(J2-0) * ((O2+0))</f>
        <v>2.9784813957622045E-4</v>
      </c>
      <c r="P19" s="3">
        <f>(J2-0) * ((P2+0))</f>
        <v>1.8248442354317732E-4</v>
      </c>
    </row>
    <row r="20" spans="2:16" x14ac:dyDescent="0.3">
      <c r="B20" s="11" t="s">
        <v>32</v>
      </c>
      <c r="C20" s="11">
        <f t="shared" ref="C20:C33" si="2">C3-B3</f>
        <v>-2.116948979280775E-3</v>
      </c>
      <c r="D20" s="11">
        <f t="shared" ref="D20:D33" si="3">D3-B3</f>
        <v>1.5125894815843664E-2</v>
      </c>
      <c r="E20" s="11">
        <f t="shared" ref="E20:E33" si="4">E3-B3</f>
        <v>3.1519337438794481E-2</v>
      </c>
      <c r="F20" s="11">
        <f t="shared" ref="F20:F33" si="5">F3-B3</f>
        <v>-2.6968608223188958E-4</v>
      </c>
      <c r="G20" s="11">
        <f t="shared" ref="G20:G33" si="6">G3-B3</f>
        <v>-9.0403007748855631E-3</v>
      </c>
      <c r="H20" s="11">
        <f t="shared" ref="H20:H33" si="7">H3-B3</f>
        <v>-1.0618736908931215E-2</v>
      </c>
      <c r="J20" s="11" t="s">
        <v>32</v>
      </c>
      <c r="K20" s="3">
        <f>(J3-J2) * ((K3+K2))</f>
        <v>4.5753861217766789E-4</v>
      </c>
      <c r="L20" s="3">
        <f>(J3-J2) * ((L3+L2))</f>
        <v>5.7904886655927809E-4</v>
      </c>
      <c r="M20" s="3">
        <f>(J3-J2) * ((M3+M2))</f>
        <v>1.4476221663981953E-3</v>
      </c>
      <c r="N20" s="3">
        <f>(J3-J2) * ((N3+N2))</f>
        <v>1.0750168087861379E-3</v>
      </c>
      <c r="O20" s="3">
        <f>(J3-J2) * ((O3+O2))</f>
        <v>7.6124958750249921E-4</v>
      </c>
      <c r="P20" s="3">
        <f>(J3-J2) * ((P3+P2))</f>
        <v>4.974926881706473E-4</v>
      </c>
    </row>
    <row r="21" spans="2:16" x14ac:dyDescent="0.3">
      <c r="B21" s="11" t="s">
        <v>34</v>
      </c>
      <c r="C21" s="11">
        <f t="shared" si="2"/>
        <v>2.5642892186708253E-3</v>
      </c>
      <c r="D21" s="11">
        <f t="shared" si="3"/>
        <v>-1.8161099382365445E-2</v>
      </c>
      <c r="E21" s="11">
        <f t="shared" si="4"/>
        <v>-1.8161099382365445E-2</v>
      </c>
      <c r="F21" s="11">
        <f t="shared" si="5"/>
        <v>-5.1176211214958803E-3</v>
      </c>
      <c r="G21" s="11">
        <f t="shared" si="6"/>
        <v>-1.8161099382365445E-2</v>
      </c>
      <c r="H21" s="11">
        <f t="shared" si="7"/>
        <v>-7.5977191006753042E-3</v>
      </c>
      <c r="J21" s="11" t="s">
        <v>34</v>
      </c>
      <c r="K21" s="3">
        <f t="shared" ref="K21:K33" si="8">(J4-J3) * ((K4+K3))</f>
        <v>1.1291875263646908E-3</v>
      </c>
      <c r="L21" s="3">
        <f t="shared" ref="L21:L33" si="9">(J4-J3) * ((L4+L3))</f>
        <v>1.190891762778062E-3</v>
      </c>
      <c r="M21" s="3">
        <f t="shared" ref="M21:M33" si="10">(J4-J3) * ((M4+M3))</f>
        <v>2.381783525556124E-3</v>
      </c>
      <c r="N21" s="3">
        <f t="shared" ref="N21:N33" si="11">(J4-J3) * ((N4+N3))</f>
        <v>1.6581873349116275E-3</v>
      </c>
      <c r="O21" s="3">
        <f t="shared" ref="O21:O33" si="12">(J4-J3) * ((O4+O3))</f>
        <v>9.3936720943269545E-4</v>
      </c>
      <c r="P21" s="3">
        <f t="shared" ref="P21:P33" si="13">(J4-J3) * ((P4+P3))</f>
        <v>8.3131792947447464E-4</v>
      </c>
    </row>
    <row r="22" spans="2:16" x14ac:dyDescent="0.3">
      <c r="B22" s="11" t="s">
        <v>42</v>
      </c>
      <c r="C22" s="11">
        <f t="shared" si="2"/>
        <v>1.4486112972021084E-2</v>
      </c>
      <c r="D22" s="11">
        <f t="shared" si="3"/>
        <v>1.1003568166109257E-2</v>
      </c>
      <c r="E22" s="11">
        <f t="shared" si="4"/>
        <v>-5.3898744568415639E-3</v>
      </c>
      <c r="F22" s="11">
        <f t="shared" si="5"/>
        <v>8.6514655289032689E-3</v>
      </c>
      <c r="G22" s="11">
        <f t="shared" si="6"/>
        <v>-4.5419377694475571E-3</v>
      </c>
      <c r="H22" s="11">
        <f t="shared" si="7"/>
        <v>-1.8262190319229005E-2</v>
      </c>
      <c r="J22" s="11" t="s">
        <v>42</v>
      </c>
      <c r="K22" s="3">
        <f t="shared" si="8"/>
        <v>2.5959393411151555E-3</v>
      </c>
      <c r="L22" s="3">
        <f t="shared" si="9"/>
        <v>2.1426213521107268E-3</v>
      </c>
      <c r="M22" s="3">
        <f t="shared" si="10"/>
        <v>3.2139320281660906E-3</v>
      </c>
      <c r="N22" s="3">
        <f t="shared" si="11"/>
        <v>2.9360123020589746E-3</v>
      </c>
      <c r="O22" s="3">
        <f t="shared" si="12"/>
        <v>1.5022977296408546E-3</v>
      </c>
      <c r="P22" s="3">
        <f t="shared" si="13"/>
        <v>1.3039309519594037E-3</v>
      </c>
    </row>
    <row r="23" spans="2:16" x14ac:dyDescent="0.3">
      <c r="B23" s="11" t="s">
        <v>37</v>
      </c>
      <c r="C23" s="11">
        <f t="shared" si="2"/>
        <v>2.4551980948773304E-3</v>
      </c>
      <c r="D23" s="11">
        <f t="shared" si="3"/>
        <v>4.2122232835385277E-2</v>
      </c>
      <c r="E23" s="11">
        <f t="shared" si="4"/>
        <v>-7.0580950334671842E-3</v>
      </c>
      <c r="F23" s="11">
        <f t="shared" si="5"/>
        <v>-1.040805939554844E-2</v>
      </c>
      <c r="G23" s="11">
        <f t="shared" si="6"/>
        <v>-6.2101583460731774E-3</v>
      </c>
      <c r="H23" s="11">
        <f t="shared" si="7"/>
        <v>-1.9930410895854626E-2</v>
      </c>
      <c r="J23" s="11" t="s">
        <v>37</v>
      </c>
      <c r="K23" s="3">
        <f t="shared" si="8"/>
        <v>4.2528695231846105E-3</v>
      </c>
      <c r="L23" s="3">
        <f t="shared" si="9"/>
        <v>4.613417243885508E-3</v>
      </c>
      <c r="M23" s="3">
        <f t="shared" si="10"/>
        <v>4.2289658068950494E-3</v>
      </c>
      <c r="N23" s="3">
        <f t="shared" si="11"/>
        <v>4.1804914952745121E-3</v>
      </c>
      <c r="O23" s="3">
        <f t="shared" si="12"/>
        <v>2.4260211368708276E-3</v>
      </c>
      <c r="P23" s="3">
        <f t="shared" si="13"/>
        <v>1.5689408995490913E-3</v>
      </c>
    </row>
    <row r="24" spans="2:16" x14ac:dyDescent="0.3">
      <c r="B24" s="11" t="s">
        <v>41</v>
      </c>
      <c r="C24" s="11">
        <f t="shared" si="2"/>
        <v>9.5028844829573959E-3</v>
      </c>
      <c r="D24" s="11">
        <f t="shared" si="3"/>
        <v>-1.0373102945905252E-2</v>
      </c>
      <c r="E24" s="11">
        <f t="shared" si="4"/>
        <v>6.0203396770455685E-3</v>
      </c>
      <c r="F24" s="11">
        <f t="shared" si="5"/>
        <v>3.6682370398395808E-3</v>
      </c>
      <c r="G24" s="11">
        <f t="shared" si="6"/>
        <v>-1.8145855913683659E-2</v>
      </c>
      <c r="H24" s="11">
        <f t="shared" si="7"/>
        <v>1.1965848797341107E-2</v>
      </c>
      <c r="J24" s="11" t="s">
        <v>41</v>
      </c>
      <c r="K24" s="3">
        <f t="shared" si="8"/>
        <v>6.5182779364571786E-3</v>
      </c>
      <c r="L24" s="3">
        <f t="shared" si="9"/>
        <v>7.4595290929598893E-3</v>
      </c>
      <c r="M24" s="3">
        <f t="shared" si="10"/>
        <v>6.1431416059669688E-3</v>
      </c>
      <c r="N24" s="3">
        <f t="shared" si="11"/>
        <v>5.9351905391811302E-3</v>
      </c>
      <c r="O24" s="3">
        <f t="shared" si="12"/>
        <v>3.4611912373520791E-3</v>
      </c>
      <c r="P24" s="3">
        <f t="shared" si="13"/>
        <v>2.921700396600487E-3</v>
      </c>
    </row>
    <row r="25" spans="2:16" x14ac:dyDescent="0.3">
      <c r="B25" s="11" t="s">
        <v>44</v>
      </c>
      <c r="C25" s="11">
        <f t="shared" si="2"/>
        <v>-1.3106982022563874E-2</v>
      </c>
      <c r="D25" s="11">
        <f t="shared" si="3"/>
        <v>-1.0454853776985032E-3</v>
      </c>
      <c r="E25" s="11">
        <f t="shared" si="4"/>
        <v>-3.3832370623600144E-2</v>
      </c>
      <c r="F25" s="11">
        <f t="shared" si="5"/>
        <v>-3.3975880149044908E-3</v>
      </c>
      <c r="G25" s="11">
        <f t="shared" si="6"/>
        <v>-1.6590991313255317E-2</v>
      </c>
      <c r="H25" s="11">
        <f t="shared" si="7"/>
        <v>-1.2705610060219863E-2</v>
      </c>
      <c r="J25" s="11" t="s">
        <v>44</v>
      </c>
      <c r="K25" s="3">
        <f t="shared" si="8"/>
        <v>1.0167240912791751E-2</v>
      </c>
      <c r="L25" s="3">
        <f t="shared" si="9"/>
        <v>1.1092580532327917E-2</v>
      </c>
      <c r="M25" s="3">
        <f t="shared" si="10"/>
        <v>8.8740644258623342E-3</v>
      </c>
      <c r="N25" s="3">
        <f t="shared" si="11"/>
        <v>9.5613221327565615E-3</v>
      </c>
      <c r="O25" s="3">
        <f t="shared" si="12"/>
        <v>5.2498506140069194E-3</v>
      </c>
      <c r="P25" s="3">
        <f t="shared" si="13"/>
        <v>5.7181471476507283E-3</v>
      </c>
    </row>
    <row r="26" spans="2:16" x14ac:dyDescent="0.3">
      <c r="B26" s="11" t="s">
        <v>46</v>
      </c>
      <c r="C26" s="11">
        <f t="shared" si="2"/>
        <v>7.4183629975494089E-3</v>
      </c>
      <c r="D26" s="11">
        <f t="shared" si="3"/>
        <v>-1.2455289586214904E-3</v>
      </c>
      <c r="E26" s="11">
        <f t="shared" si="4"/>
        <v>-1.7638971581572311E-2</v>
      </c>
      <c r="F26" s="11">
        <f t="shared" si="5"/>
        <v>-3.5976315958274781E-3</v>
      </c>
      <c r="G26" s="11">
        <f t="shared" si="6"/>
        <v>1.3381378898925142E-2</v>
      </c>
      <c r="H26" s="11">
        <f t="shared" si="7"/>
        <v>1.178853401110673E-3</v>
      </c>
      <c r="J26" s="11" t="s">
        <v>46</v>
      </c>
      <c r="K26" s="3">
        <f t="shared" si="8"/>
        <v>1.2343362664852947E-2</v>
      </c>
      <c r="L26" s="3">
        <f t="shared" si="9"/>
        <v>1.3389802309976313E-2</v>
      </c>
      <c r="M26" s="3">
        <f t="shared" si="10"/>
        <v>9.4844433028998879E-3</v>
      </c>
      <c r="N26" s="3">
        <f t="shared" si="11"/>
        <v>1.1689394444162291E-2</v>
      </c>
      <c r="O26" s="3">
        <f t="shared" si="12"/>
        <v>7.48126346737362E-3</v>
      </c>
      <c r="P26" s="3">
        <f t="shared" si="13"/>
        <v>7.6692764404559166E-3</v>
      </c>
    </row>
    <row r="27" spans="2:16" x14ac:dyDescent="0.3">
      <c r="B27" s="11" t="s">
        <v>38</v>
      </c>
      <c r="C27" s="11">
        <f t="shared" si="2"/>
        <v>-1.9854880671912479E-2</v>
      </c>
      <c r="D27" s="11">
        <f t="shared" si="3"/>
        <v>8.600058595903709E-3</v>
      </c>
      <c r="E27" s="11">
        <f t="shared" si="4"/>
        <v>-2.4186826649997929E-2</v>
      </c>
      <c r="F27" s="11">
        <f t="shared" si="5"/>
        <v>-1.0145486664253096E-2</v>
      </c>
      <c r="G27" s="11">
        <f t="shared" si="6"/>
        <v>-1.9028545135017713E-2</v>
      </c>
      <c r="H27" s="11">
        <f t="shared" si="7"/>
        <v>5.194378614375196E-3</v>
      </c>
      <c r="J27" s="11" t="s">
        <v>38</v>
      </c>
      <c r="K27" s="3">
        <f t="shared" si="8"/>
        <v>1.7241357929439365E-2</v>
      </c>
      <c r="L27" s="3">
        <f t="shared" si="9"/>
        <v>1.9292259162549407E-2</v>
      </c>
      <c r="M27" s="3">
        <f t="shared" si="10"/>
        <v>1.2639756003049611E-2</v>
      </c>
      <c r="N27" s="3">
        <f t="shared" si="11"/>
        <v>1.6408543662540145E-2</v>
      </c>
      <c r="O27" s="3">
        <f t="shared" si="12"/>
        <v>1.1719301902101581E-2</v>
      </c>
      <c r="P27" s="3">
        <f t="shared" si="13"/>
        <v>1.243127967164275E-2</v>
      </c>
    </row>
    <row r="28" spans="2:16" x14ac:dyDescent="0.3">
      <c r="B28" s="11" t="s">
        <v>39</v>
      </c>
      <c r="C28" s="11">
        <f t="shared" si="2"/>
        <v>2.8361378580866618E-2</v>
      </c>
      <c r="D28" s="11">
        <f t="shared" si="3"/>
        <v>2.1396288969042963E-2</v>
      </c>
      <c r="E28" s="11">
        <f t="shared" si="4"/>
        <v>-1.1390596276858678E-2</v>
      </c>
      <c r="F28" s="11">
        <f t="shared" si="5"/>
        <v>3.6486054337614218E-3</v>
      </c>
      <c r="G28" s="11">
        <f t="shared" si="6"/>
        <v>3.2363115806879547E-3</v>
      </c>
      <c r="H28" s="11">
        <f t="shared" si="7"/>
        <v>-1.2487340677689897E-2</v>
      </c>
      <c r="J28" s="11" t="s">
        <v>39</v>
      </c>
      <c r="K28" s="3">
        <f t="shared" si="8"/>
        <v>2.2889886799357679E-2</v>
      </c>
      <c r="L28" s="3">
        <f t="shared" si="9"/>
        <v>2.6071956308514291E-2</v>
      </c>
      <c r="M28" s="3">
        <f t="shared" si="10"/>
        <v>1.5932862188536508E-2</v>
      </c>
      <c r="N28" s="3">
        <f t="shared" si="11"/>
        <v>2.132043673489737E-2</v>
      </c>
      <c r="O28" s="3">
        <f t="shared" si="12"/>
        <v>1.5804874855125464E-2</v>
      </c>
      <c r="P28" s="3">
        <f t="shared" si="13"/>
        <v>1.6955441852045335E-2</v>
      </c>
    </row>
    <row r="29" spans="2:16" x14ac:dyDescent="0.3">
      <c r="B29" s="11" t="s">
        <v>40</v>
      </c>
      <c r="C29" s="11">
        <f t="shared" si="2"/>
        <v>-2.6755292191986982E-2</v>
      </c>
      <c r="D29" s="11">
        <f t="shared" si="3"/>
        <v>8.579796570435505E-3</v>
      </c>
      <c r="E29" s="11">
        <f t="shared" si="4"/>
        <v>5.7760124439287977E-2</v>
      </c>
      <c r="F29" s="11">
        <f t="shared" si="5"/>
        <v>-1.251785132692728E-2</v>
      </c>
      <c r="G29" s="11">
        <f t="shared" si="6"/>
        <v>-3.0283968268456515E-2</v>
      </c>
      <c r="H29" s="11">
        <f t="shared" si="7"/>
        <v>-4.5218402459811541E-2</v>
      </c>
      <c r="J29" s="11" t="s">
        <v>40</v>
      </c>
      <c r="K29" s="3">
        <f t="shared" si="8"/>
        <v>4.6770218833943965E-2</v>
      </c>
      <c r="L29" s="3">
        <f t="shared" si="9"/>
        <v>5.4138258106464526E-2</v>
      </c>
      <c r="M29" s="3">
        <f t="shared" si="10"/>
        <v>3.8498316875708108E-2</v>
      </c>
      <c r="N29" s="3">
        <f t="shared" si="11"/>
        <v>4.3394298478379674E-2</v>
      </c>
      <c r="O29" s="3">
        <f t="shared" si="12"/>
        <v>3.2897807416418678E-2</v>
      </c>
      <c r="P29" s="3">
        <f t="shared" si="13"/>
        <v>3.2559205931634291E-2</v>
      </c>
    </row>
    <row r="30" spans="2:16" x14ac:dyDescent="0.3">
      <c r="B30" s="11" t="s">
        <v>33</v>
      </c>
      <c r="C30" s="11">
        <f t="shared" si="2"/>
        <v>-6.1078980067215606E-2</v>
      </c>
      <c r="D30" s="11">
        <f t="shared" si="3"/>
        <v>-4.7318681078002994E-2</v>
      </c>
      <c r="E30" s="11">
        <f t="shared" si="4"/>
        <v>5.1041974659701908E-2</v>
      </c>
      <c r="F30" s="11">
        <f t="shared" si="5"/>
        <v>-6.5066364613284536E-2</v>
      </c>
      <c r="G30" s="11">
        <f t="shared" si="6"/>
        <v>-6.9789003293944205E-2</v>
      </c>
      <c r="H30" s="11">
        <f t="shared" si="7"/>
        <v>-8.8244564245862619E-2</v>
      </c>
      <c r="J30" s="11" t="s">
        <v>33</v>
      </c>
      <c r="K30" s="3">
        <f t="shared" si="8"/>
        <v>8.3060767476230507E-2</v>
      </c>
      <c r="L30" s="3">
        <f t="shared" si="9"/>
        <v>9.9937580078189162E-2</v>
      </c>
      <c r="M30" s="3">
        <f t="shared" si="10"/>
        <v>9.2534796368693661E-2</v>
      </c>
      <c r="N30" s="3">
        <f t="shared" si="11"/>
        <v>7.9024716098864384E-2</v>
      </c>
      <c r="O30" s="3">
        <f t="shared" si="12"/>
        <v>6.0339068942482664E-2</v>
      </c>
      <c r="P30" s="3">
        <f t="shared" si="13"/>
        <v>5.6048717152615078E-2</v>
      </c>
    </row>
    <row r="31" spans="2:16" x14ac:dyDescent="0.3">
      <c r="B31" s="11" t="s">
        <v>43</v>
      </c>
      <c r="C31" s="11">
        <f t="shared" si="2"/>
        <v>-7.2935412076357786E-2</v>
      </c>
      <c r="D31" s="11">
        <f t="shared" si="3"/>
        <v>-6.9537807387663311E-2</v>
      </c>
      <c r="E31" s="11">
        <f t="shared" si="4"/>
        <v>-0.11871813525651577</v>
      </c>
      <c r="F31" s="11">
        <f t="shared" si="5"/>
        <v>-7.8589838749031804E-2</v>
      </c>
      <c r="G31" s="11">
        <f t="shared" si="6"/>
        <v>-6.6146060638087284E-2</v>
      </c>
      <c r="H31" s="11">
        <f t="shared" si="7"/>
        <v>5.7334925430686245E-3</v>
      </c>
      <c r="J31" s="11" t="s">
        <v>43</v>
      </c>
      <c r="K31" s="3">
        <f t="shared" si="8"/>
        <v>0.11480983819809597</v>
      </c>
      <c r="L31" s="3">
        <f t="shared" si="9"/>
        <v>0.13732652177912999</v>
      </c>
      <c r="M31" s="3">
        <f t="shared" si="10"/>
        <v>0.13511157787946659</v>
      </c>
      <c r="N31" s="3">
        <f t="shared" si="11"/>
        <v>0.10867670394652747</v>
      </c>
      <c r="O31" s="3">
        <f t="shared" si="12"/>
        <v>8.7356623628965485E-2</v>
      </c>
      <c r="P31" s="3">
        <f t="shared" si="13"/>
        <v>8.9440058596266622E-2</v>
      </c>
    </row>
    <row r="32" spans="2:16" x14ac:dyDescent="0.3">
      <c r="B32" s="11" t="s">
        <v>35</v>
      </c>
      <c r="C32" s="11">
        <f t="shared" si="2"/>
        <v>-2.318145661155975E-2</v>
      </c>
      <c r="D32" s="11">
        <f t="shared" si="3"/>
        <v>-6.0385227952764201E-2</v>
      </c>
      <c r="E32" s="11">
        <f t="shared" si="4"/>
        <v>-1.1204900083911729E-2</v>
      </c>
      <c r="F32" s="11">
        <f t="shared" si="5"/>
        <v>-7.7135049763170468E-2</v>
      </c>
      <c r="G32" s="11">
        <f t="shared" si="6"/>
        <v>-5.6145544515794149E-2</v>
      </c>
      <c r="H32" s="11">
        <f t="shared" si="7"/>
        <v>-9.6577793180194355E-2</v>
      </c>
      <c r="J32" s="11" t="s">
        <v>35</v>
      </c>
      <c r="K32" s="3">
        <f t="shared" si="8"/>
        <v>0.14677790555666398</v>
      </c>
      <c r="L32" s="3">
        <f t="shared" si="9"/>
        <v>0.16568890681629184</v>
      </c>
      <c r="M32" s="3">
        <f t="shared" si="10"/>
        <v>0.16335526024141445</v>
      </c>
      <c r="N32" s="3">
        <f t="shared" si="11"/>
        <v>0.13183073890165828</v>
      </c>
      <c r="O32" s="3">
        <f t="shared" si="12"/>
        <v>0.11412738809723455</v>
      </c>
      <c r="P32" s="3">
        <f t="shared" si="13"/>
        <v>0.12079907851152084</v>
      </c>
    </row>
    <row r="33" spans="2:16" x14ac:dyDescent="0.3">
      <c r="B33" s="11" t="s">
        <v>36</v>
      </c>
      <c r="C33" s="11">
        <f t="shared" si="2"/>
        <v>0.16633557121909626</v>
      </c>
      <c r="D33" s="11">
        <f t="shared" si="3"/>
        <v>0.11851428522572155</v>
      </c>
      <c r="E33" s="11">
        <f t="shared" si="4"/>
        <v>0.10212084260277077</v>
      </c>
      <c r="F33" s="11">
        <f t="shared" si="5"/>
        <v>0.24581293098480922</v>
      </c>
      <c r="G33" s="11">
        <f t="shared" si="6"/>
        <v>0.29749958765647339</v>
      </c>
      <c r="H33" s="11">
        <f t="shared" si="7"/>
        <v>0.29428200630630347</v>
      </c>
      <c r="J33" s="11" t="s">
        <v>36</v>
      </c>
      <c r="K33" s="3">
        <f t="shared" si="8"/>
        <v>0.40722594876193141</v>
      </c>
      <c r="L33" s="3">
        <f t="shared" si="9"/>
        <v>0.4195894199198783</v>
      </c>
      <c r="M33" s="3">
        <f t="shared" si="10"/>
        <v>0.42382769688876593</v>
      </c>
      <c r="N33" s="3">
        <f t="shared" si="11"/>
        <v>0.38667827789190717</v>
      </c>
      <c r="O33" s="3">
        <f t="shared" si="12"/>
        <v>0.37331547353111777</v>
      </c>
      <c r="P33" s="3">
        <f t="shared" si="13"/>
        <v>0.37414733058796656</v>
      </c>
    </row>
    <row r="34" spans="2:16" x14ac:dyDescent="0.3">
      <c r="J34" s="13" t="s">
        <v>106</v>
      </c>
      <c r="K34" s="12">
        <f>SUM(K19:K33)</f>
        <v>0.87632984883994069</v>
      </c>
      <c r="L34" s="12">
        <f t="shared" ref="L34:P34" si="14">SUM(L19:L33)</f>
        <v>0.96251279333161521</v>
      </c>
      <c r="M34" s="12">
        <f t="shared" si="14"/>
        <v>0.91795741917779616</v>
      </c>
      <c r="N34" s="12">
        <f t="shared" si="14"/>
        <v>0.82474487842615396</v>
      </c>
      <c r="O34" s="12">
        <f t="shared" si="14"/>
        <v>0.71767962749520198</v>
      </c>
      <c r="P34" s="12">
        <f t="shared" si="14"/>
        <v>0.72307440318109539</v>
      </c>
    </row>
    <row r="35" spans="2:16" x14ac:dyDescent="0.3">
      <c r="J35" s="14" t="s">
        <v>107</v>
      </c>
      <c r="K35" s="15">
        <f>1-K34</f>
        <v>0.12367015116005931</v>
      </c>
      <c r="L35" s="15">
        <f t="shared" ref="L35:P35" si="15">1-L34</f>
        <v>3.7487206668384787E-2</v>
      </c>
      <c r="M35" s="15">
        <f t="shared" si="15"/>
        <v>8.2042580822203837E-2</v>
      </c>
      <c r="N35" s="15">
        <f t="shared" si="15"/>
        <v>0.17525512157384604</v>
      </c>
      <c r="O35" s="15">
        <f t="shared" si="15"/>
        <v>0.28232037250479802</v>
      </c>
      <c r="P35" s="15">
        <f t="shared" si="15"/>
        <v>0.27692559681890461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FCF9-85B0-4C19-8A0B-4D4113371121}">
  <dimension ref="A1:P15"/>
  <sheetViews>
    <sheetView workbookViewId="0">
      <selection activeCell="A11" sqref="A11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3" t="s">
        <v>49</v>
      </c>
      <c r="B2" s="11">
        <v>6.5687724128554184E-2</v>
      </c>
      <c r="C2" s="11">
        <v>0.13157894736842105</v>
      </c>
      <c r="D2" s="11">
        <v>0.21428571428571427</v>
      </c>
      <c r="E2" s="11">
        <v>0.125</v>
      </c>
      <c r="F2" s="11">
        <v>7.2463768115942032E-2</v>
      </c>
      <c r="G2" s="11">
        <v>9.1836734693877556E-2</v>
      </c>
      <c r="H2" s="11">
        <v>9.4339622641509441E-2</v>
      </c>
      <c r="I2" s="11">
        <v>6.5687724128554184E-2</v>
      </c>
      <c r="J2" s="11">
        <v>6.5687724128554184E-2</v>
      </c>
      <c r="K2" s="11">
        <v>0.13157894736842105</v>
      </c>
      <c r="L2" s="11">
        <v>0.21428571428571427</v>
      </c>
      <c r="M2" s="11">
        <v>0.125</v>
      </c>
      <c r="N2" s="11">
        <v>7.2463768115942032E-2</v>
      </c>
      <c r="O2" s="11">
        <v>9.1836734693877556E-2</v>
      </c>
      <c r="P2" s="11">
        <v>9.4339622641509441E-2</v>
      </c>
    </row>
    <row r="3" spans="1:16" x14ac:dyDescent="0.3">
      <c r="A3" s="3" t="s">
        <v>48</v>
      </c>
      <c r="B3" s="11">
        <v>9.7741294039667567E-2</v>
      </c>
      <c r="C3" s="11">
        <v>7.8947368421052627E-2</v>
      </c>
      <c r="D3" s="11">
        <v>0</v>
      </c>
      <c r="E3" s="11">
        <v>6.25E-2</v>
      </c>
      <c r="F3" s="11">
        <v>5.7971014492753624E-2</v>
      </c>
      <c r="G3" s="11">
        <v>5.1020408163265307E-2</v>
      </c>
      <c r="H3" s="11">
        <v>0.22641509433962265</v>
      </c>
      <c r="I3" s="11">
        <v>0.16342901816822175</v>
      </c>
      <c r="J3" s="11">
        <f t="shared" ref="J3:P6" si="0">J2+B3</f>
        <v>0.16342901816822175</v>
      </c>
      <c r="K3" s="11">
        <f t="shared" si="0"/>
        <v>0.21052631578947367</v>
      </c>
      <c r="L3" s="11">
        <f t="shared" si="0"/>
        <v>0.21428571428571427</v>
      </c>
      <c r="M3" s="11">
        <f t="shared" si="0"/>
        <v>0.1875</v>
      </c>
      <c r="N3" s="11">
        <f t="shared" si="0"/>
        <v>0.13043478260869565</v>
      </c>
      <c r="O3" s="11">
        <f t="shared" si="0"/>
        <v>0.14285714285714285</v>
      </c>
      <c r="P3" s="11">
        <f t="shared" si="0"/>
        <v>0.32075471698113212</v>
      </c>
    </row>
    <row r="4" spans="1:16" x14ac:dyDescent="0.3">
      <c r="A4" s="3" t="s">
        <v>51</v>
      </c>
      <c r="B4" s="11">
        <v>0.1046329815258587</v>
      </c>
      <c r="C4" s="11">
        <v>7.8947368421052627E-2</v>
      </c>
      <c r="D4" s="11">
        <v>0</v>
      </c>
      <c r="E4" s="11">
        <v>0</v>
      </c>
      <c r="F4" s="11">
        <v>5.0724637681159424E-2</v>
      </c>
      <c r="G4" s="11">
        <v>9.1836734693877556E-2</v>
      </c>
      <c r="H4" s="11">
        <v>5.6603773584905662E-2</v>
      </c>
      <c r="I4" s="11">
        <v>0.26806199969408046</v>
      </c>
      <c r="J4" s="11">
        <f t="shared" si="0"/>
        <v>0.26806199969408046</v>
      </c>
      <c r="K4" s="11">
        <f t="shared" si="0"/>
        <v>0.28947368421052633</v>
      </c>
      <c r="L4" s="11">
        <f t="shared" si="0"/>
        <v>0.21428571428571427</v>
      </c>
      <c r="M4" s="11">
        <f t="shared" si="0"/>
        <v>0.1875</v>
      </c>
      <c r="N4" s="11">
        <f t="shared" si="0"/>
        <v>0.18115942028985507</v>
      </c>
      <c r="O4" s="11">
        <f t="shared" si="0"/>
        <v>0.23469387755102039</v>
      </c>
      <c r="P4" s="11">
        <f t="shared" si="0"/>
        <v>0.37735849056603776</v>
      </c>
    </row>
    <row r="5" spans="1:16" x14ac:dyDescent="0.3">
      <c r="A5" s="3" t="s">
        <v>50</v>
      </c>
      <c r="B5" s="11">
        <v>0.15444688047043628</v>
      </c>
      <c r="C5" s="11">
        <v>0.28947368421052633</v>
      </c>
      <c r="D5" s="11">
        <v>7.1428571428571425E-2</v>
      </c>
      <c r="E5" s="11">
        <v>6.25E-2</v>
      </c>
      <c r="F5" s="11">
        <v>0.16666666666666666</v>
      </c>
      <c r="G5" s="11">
        <v>0.22448979591836735</v>
      </c>
      <c r="H5" s="11">
        <v>0.20754716981132076</v>
      </c>
      <c r="I5" s="11">
        <v>0.42250888016451671</v>
      </c>
      <c r="J5" s="11">
        <f t="shared" si="0"/>
        <v>0.42250888016451671</v>
      </c>
      <c r="K5" s="11">
        <f t="shared" si="0"/>
        <v>0.57894736842105265</v>
      </c>
      <c r="L5" s="11">
        <f t="shared" si="0"/>
        <v>0.2857142857142857</v>
      </c>
      <c r="M5" s="11">
        <f t="shared" si="0"/>
        <v>0.25</v>
      </c>
      <c r="N5" s="11">
        <f t="shared" si="0"/>
        <v>0.34782608695652173</v>
      </c>
      <c r="O5" s="11">
        <f t="shared" si="0"/>
        <v>0.45918367346938771</v>
      </c>
      <c r="P5" s="11">
        <f t="shared" si="0"/>
        <v>0.58490566037735858</v>
      </c>
    </row>
    <row r="6" spans="1:16" x14ac:dyDescent="0.3">
      <c r="A6" s="3" t="s">
        <v>47</v>
      </c>
      <c r="B6" s="11">
        <v>0.57749111983548329</v>
      </c>
      <c r="C6" s="11">
        <v>0.42105263157894735</v>
      </c>
      <c r="D6" s="11">
        <v>0.7142857142857143</v>
      </c>
      <c r="E6" s="11">
        <v>0.75</v>
      </c>
      <c r="F6" s="11">
        <v>0.65217391304347827</v>
      </c>
      <c r="G6" s="11">
        <v>0.54081632653061229</v>
      </c>
      <c r="H6" s="11">
        <v>0.41509433962264153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2" t="s">
        <v>100</v>
      </c>
      <c r="L8" s="12" t="s">
        <v>101</v>
      </c>
      <c r="M8" s="12" t="s">
        <v>102</v>
      </c>
      <c r="N8" s="12" t="s">
        <v>103</v>
      </c>
      <c r="O8" s="12" t="s">
        <v>104</v>
      </c>
      <c r="P8" s="12" t="s">
        <v>105</v>
      </c>
    </row>
    <row r="9" spans="1:16" x14ac:dyDescent="0.3">
      <c r="B9" s="3" t="s">
        <v>49</v>
      </c>
      <c r="C9" s="11">
        <f>C2-B2</f>
        <v>6.5891223239866861E-2</v>
      </c>
      <c r="D9" s="11">
        <f>D2-B2</f>
        <v>0.14859799015716008</v>
      </c>
      <c r="E9" s="11">
        <f>E2-B2</f>
        <v>5.9312275871445816E-2</v>
      </c>
      <c r="F9" s="11">
        <f>F2-B2</f>
        <v>6.7760439873878475E-3</v>
      </c>
      <c r="G9" s="11">
        <f>G2-B2</f>
        <v>2.6149010565323372E-2</v>
      </c>
      <c r="H9" s="11">
        <f>H2-B2</f>
        <v>2.8651898512955257E-2</v>
      </c>
      <c r="J9" s="3" t="s">
        <v>49</v>
      </c>
      <c r="K9" s="3">
        <f>(J2-0) * ((K2+0))</f>
        <v>8.6431215958623926E-3</v>
      </c>
      <c r="L9" s="3">
        <f>(J2-0) * ((L2+0))</f>
        <v>1.4075940884690181E-2</v>
      </c>
      <c r="M9" s="3">
        <f>(J2-0) * ((M2+0))</f>
        <v>8.210965516069273E-3</v>
      </c>
      <c r="N9" s="3">
        <f>(J2-0) * ((N2+0))</f>
        <v>4.759980009315521E-3</v>
      </c>
      <c r="O9" s="3">
        <f>(J2-0) * ((O2+0))</f>
        <v>6.0325460934386498E-3</v>
      </c>
      <c r="P9" s="3">
        <f>(J2-0) * ((P2+0))</f>
        <v>6.1969551064673762E-3</v>
      </c>
    </row>
    <row r="10" spans="1:16" x14ac:dyDescent="0.3">
      <c r="B10" s="3" t="s">
        <v>48</v>
      </c>
      <c r="C10" s="11">
        <f t="shared" ref="C10:C13" si="1">C3-B3</f>
        <v>-1.879392561861494E-2</v>
      </c>
      <c r="D10" s="11">
        <f t="shared" ref="D10:D13" si="2">D3-B3</f>
        <v>-9.7741294039667567E-2</v>
      </c>
      <c r="E10" s="11">
        <f t="shared" ref="E10:E13" si="3">E3-B3</f>
        <v>-3.5241294039667567E-2</v>
      </c>
      <c r="F10" s="11">
        <f t="shared" ref="F10:F13" si="4">F3-B3</f>
        <v>-3.9770279546913943E-2</v>
      </c>
      <c r="G10" s="11">
        <f t="shared" ref="G10:G13" si="5">G3-B3</f>
        <v>-4.672088587640226E-2</v>
      </c>
      <c r="H10" s="11">
        <f t="shared" ref="H10:H13" si="6">H3-B3</f>
        <v>0.12867380029995507</v>
      </c>
      <c r="J10" s="3" t="s">
        <v>48</v>
      </c>
      <c r="K10" s="3">
        <f>(J3-J2) * ((K3+K2))</f>
        <v>3.3437811118833635E-2</v>
      </c>
      <c r="L10" s="3">
        <f>(J3-J2) * ((L3+L2))</f>
        <v>4.1889126017000386E-2</v>
      </c>
      <c r="M10" s="3">
        <f>(J3-J2) * ((M3+M2))</f>
        <v>3.0544154387396116E-2</v>
      </c>
      <c r="N10" s="3">
        <f>(J3-J2) * ((N3+N2))</f>
        <v>1.9831566906599218E-2</v>
      </c>
      <c r="O10" s="3">
        <f>(J3-J2) * ((O3+O2))</f>
        <v>2.293928329502402E-2</v>
      </c>
      <c r="P10" s="3">
        <f>(J3-J2) * ((P3+P2))</f>
        <v>4.0571857903258235E-2</v>
      </c>
    </row>
    <row r="11" spans="1:16" x14ac:dyDescent="0.3">
      <c r="B11" s="3" t="s">
        <v>51</v>
      </c>
      <c r="C11" s="11">
        <f t="shared" si="1"/>
        <v>-2.5685613104806077E-2</v>
      </c>
      <c r="D11" s="11">
        <f t="shared" si="2"/>
        <v>-0.1046329815258587</v>
      </c>
      <c r="E11" s="11">
        <f t="shared" si="3"/>
        <v>-0.1046329815258587</v>
      </c>
      <c r="F11" s="11">
        <f t="shared" si="4"/>
        <v>-5.390834384469928E-2</v>
      </c>
      <c r="G11" s="11">
        <f t="shared" si="5"/>
        <v>-1.2796246831981148E-2</v>
      </c>
      <c r="H11" s="11">
        <f t="shared" si="6"/>
        <v>-4.8029207940953042E-2</v>
      </c>
      <c r="J11" s="3" t="s">
        <v>51</v>
      </c>
      <c r="K11" s="3">
        <f t="shared" ref="K11:K13" si="7">(J4-J3) * ((K4+K3))</f>
        <v>5.2316490762929352E-2</v>
      </c>
      <c r="L11" s="3">
        <f t="shared" ref="L11:L13" si="8">(J4-J3) * ((L4+L3))</f>
        <v>4.4842706368225155E-2</v>
      </c>
      <c r="M11" s="3">
        <f t="shared" ref="M11:M13" si="9">(J4-J3) * ((M4+M3))</f>
        <v>3.9237368072197014E-2</v>
      </c>
      <c r="N11" s="3">
        <f t="shared" ref="N11:N13" si="10">(J4-J3) * ((N4+N3))</f>
        <v>3.2603030475448727E-2</v>
      </c>
      <c r="O11" s="3">
        <f t="shared" ref="O11:O13" si="11">(J4-J3) * ((O4+O3))</f>
        <v>3.9504288943436446E-2</v>
      </c>
      <c r="P11" s="3">
        <f t="shared" ref="P11:P13" si="12">(J4-J3) * ((P4+P3))</f>
        <v>7.3045666348240987E-2</v>
      </c>
    </row>
    <row r="12" spans="1:16" x14ac:dyDescent="0.3">
      <c r="B12" s="3" t="s">
        <v>50</v>
      </c>
      <c r="C12" s="11">
        <f t="shared" si="1"/>
        <v>0.13502680374009005</v>
      </c>
      <c r="D12" s="11">
        <f t="shared" si="2"/>
        <v>-8.3018309041864857E-2</v>
      </c>
      <c r="E12" s="11">
        <f t="shared" si="3"/>
        <v>-9.1946880470436282E-2</v>
      </c>
      <c r="F12" s="11">
        <f t="shared" si="4"/>
        <v>1.2219786196230376E-2</v>
      </c>
      <c r="G12" s="11">
        <f t="shared" si="5"/>
        <v>7.0042915447931064E-2</v>
      </c>
      <c r="H12" s="11">
        <f t="shared" si="6"/>
        <v>5.3100289340884482E-2</v>
      </c>
      <c r="J12" s="3" t="s">
        <v>50</v>
      </c>
      <c r="K12" s="3">
        <f t="shared" si="7"/>
        <v>0.1341249225137999</v>
      </c>
      <c r="L12" s="3">
        <f t="shared" si="8"/>
        <v>7.7223440235218127E-2</v>
      </c>
      <c r="M12" s="3">
        <f t="shared" si="9"/>
        <v>6.7570510205815865E-2</v>
      </c>
      <c r="N12" s="3">
        <f t="shared" si="10"/>
        <v>8.1700161408274255E-2</v>
      </c>
      <c r="O12" s="3">
        <f t="shared" si="11"/>
        <v>0.107167223183568</v>
      </c>
      <c r="P12" s="3">
        <f t="shared" si="12"/>
        <v>0.14861869630174057</v>
      </c>
    </row>
    <row r="13" spans="1:16" x14ac:dyDescent="0.3">
      <c r="B13" s="3" t="s">
        <v>47</v>
      </c>
      <c r="C13" s="11">
        <f t="shared" si="1"/>
        <v>-0.15643848825653595</v>
      </c>
      <c r="D13" s="11">
        <f t="shared" si="2"/>
        <v>0.13679459445023101</v>
      </c>
      <c r="E13" s="11">
        <f t="shared" si="3"/>
        <v>0.17250888016451671</v>
      </c>
      <c r="F13" s="11">
        <f t="shared" si="4"/>
        <v>7.468279320799498E-2</v>
      </c>
      <c r="G13" s="11">
        <f t="shared" si="5"/>
        <v>-3.6674793304871001E-2</v>
      </c>
      <c r="H13" s="11">
        <f t="shared" si="6"/>
        <v>-0.16239678021284176</v>
      </c>
      <c r="J13" s="3" t="s">
        <v>47</v>
      </c>
      <c r="K13" s="3">
        <f t="shared" si="7"/>
        <v>0.91182808395076309</v>
      </c>
      <c r="L13" s="3">
        <f t="shared" si="8"/>
        <v>0.74248858264562134</v>
      </c>
      <c r="M13" s="3">
        <f t="shared" si="9"/>
        <v>0.72186389979435406</v>
      </c>
      <c r="N13" s="3">
        <f t="shared" si="10"/>
        <v>0.77835759629999923</v>
      </c>
      <c r="O13" s="3">
        <f t="shared" si="11"/>
        <v>0.84266561363749093</v>
      </c>
      <c r="P13" s="3">
        <f t="shared" si="12"/>
        <v>0.91526894464491693</v>
      </c>
    </row>
    <row r="14" spans="1:16" x14ac:dyDescent="0.3">
      <c r="J14" s="12" t="s">
        <v>106</v>
      </c>
      <c r="K14" s="12">
        <f>SUM(K9:K13)</f>
        <v>1.1403504299421883</v>
      </c>
      <c r="L14" s="12">
        <f t="shared" ref="L14:P14" si="13">SUM(L9:L13)</f>
        <v>0.92051979615075519</v>
      </c>
      <c r="M14" s="12">
        <f t="shared" si="13"/>
        <v>0.86742689797583239</v>
      </c>
      <c r="N14" s="12">
        <f t="shared" si="13"/>
        <v>0.91725233509963688</v>
      </c>
      <c r="O14" s="12">
        <f t="shared" si="13"/>
        <v>1.0183089551529581</v>
      </c>
      <c r="P14" s="12">
        <f t="shared" si="13"/>
        <v>1.1837021203046241</v>
      </c>
    </row>
    <row r="15" spans="1:16" x14ac:dyDescent="0.3">
      <c r="J15" s="15" t="s">
        <v>107</v>
      </c>
      <c r="K15" s="15">
        <f>1-K14</f>
        <v>-0.14035042994218827</v>
      </c>
      <c r="L15" s="15">
        <f t="shared" ref="L15:P15" si="14">1-L14</f>
        <v>7.9480203849244813E-2</v>
      </c>
      <c r="M15" s="15">
        <f t="shared" si="14"/>
        <v>0.13257310202416761</v>
      </c>
      <c r="N15" s="15">
        <f t="shared" si="14"/>
        <v>8.2747664900363116E-2</v>
      </c>
      <c r="O15" s="15">
        <f t="shared" si="14"/>
        <v>-1.8308955152958051E-2</v>
      </c>
      <c r="P15" s="15">
        <f t="shared" si="14"/>
        <v>-0.18370212030462407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5759-137F-4CCE-838E-1BDB9590AE7D}">
  <dimension ref="A1:P15"/>
  <sheetViews>
    <sheetView zoomScale="88" workbookViewId="0">
      <selection activeCell="A13" sqref="A13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54</v>
      </c>
      <c r="B2" s="11">
        <v>8.7340182850271453E-2</v>
      </c>
      <c r="C2" s="11">
        <v>0</v>
      </c>
      <c r="D2" s="11">
        <v>0</v>
      </c>
      <c r="E2" s="11">
        <v>6.25E-2</v>
      </c>
      <c r="F2" s="11">
        <v>0.11764705882352941</v>
      </c>
      <c r="G2" s="11">
        <v>9.375E-2</v>
      </c>
      <c r="H2" s="11">
        <v>0.18518518518518517</v>
      </c>
      <c r="I2" s="11">
        <v>8.7340182850271453E-2</v>
      </c>
      <c r="J2" s="11">
        <v>8.7340182850271453E-2</v>
      </c>
      <c r="K2" s="11">
        <v>0</v>
      </c>
      <c r="L2" s="11">
        <v>0</v>
      </c>
      <c r="M2" s="11">
        <v>6.25E-2</v>
      </c>
      <c r="N2" s="11">
        <v>0.11764705882352941</v>
      </c>
      <c r="O2" s="11">
        <v>9.375E-2</v>
      </c>
      <c r="P2" s="11">
        <v>0.18518518518518517</v>
      </c>
    </row>
    <row r="3" spans="1:16" x14ac:dyDescent="0.3">
      <c r="A3" s="11" t="s">
        <v>53</v>
      </c>
      <c r="B3" s="11">
        <v>0.10090364109002811</v>
      </c>
      <c r="C3" s="11">
        <v>0</v>
      </c>
      <c r="D3" s="11">
        <v>0</v>
      </c>
      <c r="E3" s="11">
        <v>0.25</v>
      </c>
      <c r="F3" s="11">
        <v>0.14705882352941177</v>
      </c>
      <c r="G3" s="11">
        <v>0.15625</v>
      </c>
      <c r="H3" s="11">
        <v>0.14814814814814814</v>
      </c>
      <c r="I3" s="11">
        <v>0.18824382394029957</v>
      </c>
      <c r="J3" s="11">
        <f t="shared" ref="J3:P6" si="0">J2+B3</f>
        <v>0.18824382394029957</v>
      </c>
      <c r="K3" s="11">
        <f t="shared" si="0"/>
        <v>0</v>
      </c>
      <c r="L3" s="11">
        <f t="shared" si="0"/>
        <v>0</v>
      </c>
      <c r="M3" s="11">
        <f t="shared" si="0"/>
        <v>0.3125</v>
      </c>
      <c r="N3" s="11">
        <f t="shared" si="0"/>
        <v>0.26470588235294118</v>
      </c>
      <c r="O3" s="11">
        <f t="shared" si="0"/>
        <v>0.25</v>
      </c>
      <c r="P3" s="11">
        <f t="shared" si="0"/>
        <v>0.33333333333333331</v>
      </c>
    </row>
    <row r="4" spans="1:16" x14ac:dyDescent="0.3">
      <c r="A4" s="11" t="s">
        <v>56</v>
      </c>
      <c r="B4" s="11">
        <v>0.23399175935913985</v>
      </c>
      <c r="C4" s="11">
        <v>0.16666666666666666</v>
      </c>
      <c r="D4" s="11">
        <v>0.2</v>
      </c>
      <c r="E4" s="11">
        <v>6.25E-2</v>
      </c>
      <c r="F4" s="11">
        <v>5.8823529411764705E-2</v>
      </c>
      <c r="G4" s="11">
        <v>0.125</v>
      </c>
      <c r="H4" s="11">
        <v>0.25925925925925924</v>
      </c>
      <c r="I4" s="11">
        <v>0.42223558329943944</v>
      </c>
      <c r="J4" s="11">
        <f t="shared" si="0"/>
        <v>0.42223558329943944</v>
      </c>
      <c r="K4" s="11">
        <f t="shared" si="0"/>
        <v>0.16666666666666666</v>
      </c>
      <c r="L4" s="11">
        <f t="shared" si="0"/>
        <v>0.2</v>
      </c>
      <c r="M4" s="11">
        <f t="shared" si="0"/>
        <v>0.375</v>
      </c>
      <c r="N4" s="11">
        <f t="shared" si="0"/>
        <v>0.3235294117647059</v>
      </c>
      <c r="O4" s="11">
        <f t="shared" si="0"/>
        <v>0.375</v>
      </c>
      <c r="P4" s="11">
        <f t="shared" si="0"/>
        <v>0.59259259259259256</v>
      </c>
    </row>
    <row r="5" spans="1:16" x14ac:dyDescent="0.3">
      <c r="A5" s="11" t="s">
        <v>55</v>
      </c>
      <c r="B5" s="11">
        <v>0.25855452793152839</v>
      </c>
      <c r="C5" s="11">
        <v>0.44444444444444442</v>
      </c>
      <c r="D5" s="11">
        <v>0</v>
      </c>
      <c r="E5" s="11">
        <v>0.3125</v>
      </c>
      <c r="F5" s="11">
        <v>0</v>
      </c>
      <c r="G5" s="11">
        <v>0.21875</v>
      </c>
      <c r="H5" s="11">
        <v>0.18518518518518517</v>
      </c>
      <c r="I5" s="11">
        <v>0.68079011123096778</v>
      </c>
      <c r="J5" s="11">
        <f t="shared" si="0"/>
        <v>0.68079011123096778</v>
      </c>
      <c r="K5" s="11">
        <f t="shared" si="0"/>
        <v>0.61111111111111105</v>
      </c>
      <c r="L5" s="11">
        <f t="shared" si="0"/>
        <v>0.2</v>
      </c>
      <c r="M5" s="11">
        <f t="shared" si="0"/>
        <v>0.6875</v>
      </c>
      <c r="N5" s="11">
        <f t="shared" si="0"/>
        <v>0.3235294117647059</v>
      </c>
      <c r="O5" s="11">
        <f t="shared" si="0"/>
        <v>0.59375</v>
      </c>
      <c r="P5" s="11">
        <f t="shared" si="0"/>
        <v>0.77777777777777768</v>
      </c>
    </row>
    <row r="6" spans="1:16" x14ac:dyDescent="0.3">
      <c r="A6" s="11" t="s">
        <v>52</v>
      </c>
      <c r="B6" s="11">
        <v>0.31920988876903217</v>
      </c>
      <c r="C6" s="11">
        <v>0.3888888888888889</v>
      </c>
      <c r="D6" s="11">
        <v>0.8</v>
      </c>
      <c r="E6" s="11">
        <v>0.3125</v>
      </c>
      <c r="F6" s="11">
        <v>0.67647058823529416</v>
      </c>
      <c r="G6" s="11">
        <v>0.40625</v>
      </c>
      <c r="H6" s="11">
        <v>0.22222222222222221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0.99999999999999989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2" t="s">
        <v>100</v>
      </c>
      <c r="L8" s="12" t="s">
        <v>101</v>
      </c>
      <c r="M8" s="12" t="s">
        <v>102</v>
      </c>
      <c r="N8" s="12" t="s">
        <v>103</v>
      </c>
      <c r="O8" s="12" t="s">
        <v>104</v>
      </c>
      <c r="P8" s="12" t="s">
        <v>105</v>
      </c>
    </row>
    <row r="9" spans="1:16" x14ac:dyDescent="0.3">
      <c r="B9" s="11" t="s">
        <v>54</v>
      </c>
      <c r="C9" s="11">
        <f>C2-B2</f>
        <v>-8.7340182850271453E-2</v>
      </c>
      <c r="D9" s="11">
        <f>D2-B2</f>
        <v>-8.7340182850271453E-2</v>
      </c>
      <c r="E9" s="11">
        <f>E2-B2</f>
        <v>-2.4840182850271453E-2</v>
      </c>
      <c r="F9" s="11">
        <f>F2-B2</f>
        <v>3.0306875973257957E-2</v>
      </c>
      <c r="G9" s="11">
        <f>G2-B2</f>
        <v>6.4098171497285472E-3</v>
      </c>
      <c r="H9" s="11">
        <f>H2-B2</f>
        <v>9.7845002334913722E-2</v>
      </c>
      <c r="J9" s="11" t="s">
        <v>54</v>
      </c>
      <c r="K9" s="3">
        <f>(J2-0) * ((K2+0))</f>
        <v>0</v>
      </c>
      <c r="L9" s="3">
        <f>(J2-0) * ((L2+0))</f>
        <v>0</v>
      </c>
      <c r="M9" s="3">
        <f>(J2-0) * ((M2+0))</f>
        <v>5.4587614281419658E-3</v>
      </c>
      <c r="N9" s="3">
        <f>(J2-0) * ((N2+0))</f>
        <v>1.02753156294437E-2</v>
      </c>
      <c r="O9" s="3">
        <f>(J2-0) * ((O2+0))</f>
        <v>8.1881421422129487E-3</v>
      </c>
      <c r="P9" s="3">
        <f>(J2-0) * ((P2+0))</f>
        <v>1.6174107935235452E-2</v>
      </c>
    </row>
    <row r="10" spans="1:16" x14ac:dyDescent="0.3">
      <c r="B10" s="11" t="s">
        <v>53</v>
      </c>
      <c r="C10" s="11">
        <f t="shared" ref="C10:C13" si="1">C3-B3</f>
        <v>-0.10090364109002811</v>
      </c>
      <c r="D10" s="11">
        <f t="shared" ref="D10:D13" si="2">D3-B3</f>
        <v>-0.10090364109002811</v>
      </c>
      <c r="E10" s="11">
        <f t="shared" ref="E10:E13" si="3">E3-B3</f>
        <v>0.14909635890997189</v>
      </c>
      <c r="F10" s="11">
        <f t="shared" ref="F10:F13" si="4">F3-B3</f>
        <v>4.6155182439383657E-2</v>
      </c>
      <c r="G10" s="11">
        <f t="shared" ref="G10:G13" si="5">G3-B3</f>
        <v>5.5346358909971888E-2</v>
      </c>
      <c r="H10" s="11">
        <f t="shared" ref="H10:H13" si="6">H3-B3</f>
        <v>4.7244507058120028E-2</v>
      </c>
      <c r="J10" s="11" t="s">
        <v>53</v>
      </c>
      <c r="K10" s="3">
        <f>(J3-J2) * ((K3+K2))</f>
        <v>0</v>
      </c>
      <c r="L10" s="3">
        <f>(J3-J2) * ((L3+L2))</f>
        <v>0</v>
      </c>
      <c r="M10" s="3">
        <f>(J3-J2) * ((M3+M2))</f>
        <v>3.7838865408760539E-2</v>
      </c>
      <c r="N10" s="3">
        <f>(J3-J2) * ((N3+N2))</f>
        <v>3.8580803946187216E-2</v>
      </c>
      <c r="O10" s="3">
        <f>(J3-J2) * ((O3+O2))</f>
        <v>3.4685626624697166E-2</v>
      </c>
      <c r="P10" s="3">
        <f>(J3-J2) * ((P3+P2))</f>
        <v>5.2320406491125682E-2</v>
      </c>
    </row>
    <row r="11" spans="1:16" x14ac:dyDescent="0.3">
      <c r="B11" s="11" t="s">
        <v>56</v>
      </c>
      <c r="C11" s="11">
        <f t="shared" si="1"/>
        <v>-6.7325092692473193E-2</v>
      </c>
      <c r="D11" s="11">
        <f t="shared" si="2"/>
        <v>-3.3991759359139839E-2</v>
      </c>
      <c r="E11" s="11">
        <f t="shared" si="3"/>
        <v>-0.17149175935913985</v>
      </c>
      <c r="F11" s="11">
        <f t="shared" si="4"/>
        <v>-0.17516822994737513</v>
      </c>
      <c r="G11" s="11">
        <f t="shared" si="5"/>
        <v>-0.10899175935913985</v>
      </c>
      <c r="H11" s="11">
        <f t="shared" si="6"/>
        <v>2.5267499900119395E-2</v>
      </c>
      <c r="J11" s="11" t="s">
        <v>56</v>
      </c>
      <c r="K11" s="3">
        <f t="shared" ref="K11:K13" si="7">(J4-J3) * ((K4+K3))</f>
        <v>3.8998626559856642E-2</v>
      </c>
      <c r="L11" s="3">
        <f t="shared" ref="L11:L13" si="8">(J4-J3) * ((L4+L3))</f>
        <v>4.679835187182798E-2</v>
      </c>
      <c r="M11" s="3">
        <f t="shared" ref="M11:M13" si="9">(J4-J3) * ((M4+M3))</f>
        <v>0.16086933455940866</v>
      </c>
      <c r="N11" s="3">
        <f t="shared" ref="N11:N13" si="10">(J4-J3) * ((N4+N3))</f>
        <v>0.13764221138772934</v>
      </c>
      <c r="O11" s="3">
        <f t="shared" ref="O11:O13" si="11">(J4-J3) * ((O4+O3))</f>
        <v>0.14624484959946243</v>
      </c>
      <c r="P11" s="3">
        <f t="shared" ref="P11:P13" si="12">(J4-J3) * ((P4+P3))</f>
        <v>0.21665903644364801</v>
      </c>
    </row>
    <row r="12" spans="1:16" x14ac:dyDescent="0.3">
      <c r="B12" s="11" t="s">
        <v>55</v>
      </c>
      <c r="C12" s="11">
        <f t="shared" si="1"/>
        <v>0.18588991651291603</v>
      </c>
      <c r="D12" s="11">
        <f t="shared" si="2"/>
        <v>-0.25855452793152839</v>
      </c>
      <c r="E12" s="11">
        <f t="shared" si="3"/>
        <v>5.3945472068471612E-2</v>
      </c>
      <c r="F12" s="11">
        <f t="shared" si="4"/>
        <v>-0.25855452793152839</v>
      </c>
      <c r="G12" s="11">
        <f t="shared" si="5"/>
        <v>-3.9804527931528388E-2</v>
      </c>
      <c r="H12" s="11">
        <f t="shared" si="6"/>
        <v>-7.3369342746343214E-2</v>
      </c>
      <c r="J12" s="11" t="s">
        <v>55</v>
      </c>
      <c r="K12" s="3">
        <f t="shared" si="7"/>
        <v>0.20109796616896647</v>
      </c>
      <c r="L12" s="3">
        <f t="shared" si="8"/>
        <v>0.10342181117261134</v>
      </c>
      <c r="M12" s="3">
        <f t="shared" si="9"/>
        <v>0.27471418592724883</v>
      </c>
      <c r="N12" s="3">
        <f t="shared" si="10"/>
        <v>0.16729998866157716</v>
      </c>
      <c r="O12" s="3">
        <f t="shared" si="11"/>
        <v>0.25047469893366808</v>
      </c>
      <c r="P12" s="3">
        <f t="shared" si="12"/>
        <v>0.35431546420246474</v>
      </c>
    </row>
    <row r="13" spans="1:16" x14ac:dyDescent="0.3">
      <c r="B13" s="11" t="s">
        <v>52</v>
      </c>
      <c r="C13" s="11">
        <f t="shared" si="1"/>
        <v>6.9679000119856727E-2</v>
      </c>
      <c r="D13" s="11">
        <f t="shared" si="2"/>
        <v>0.48079011123096788</v>
      </c>
      <c r="E13" s="11">
        <f t="shared" si="3"/>
        <v>-6.7098887690321685E-3</v>
      </c>
      <c r="F13" s="11">
        <f t="shared" si="4"/>
        <v>0.35726069946626199</v>
      </c>
      <c r="G13" s="11">
        <f t="shared" si="5"/>
        <v>8.7040111230967832E-2</v>
      </c>
      <c r="H13" s="11">
        <f t="shared" si="6"/>
        <v>-9.6987666546809959E-2</v>
      </c>
      <c r="J13" s="11" t="s">
        <v>52</v>
      </c>
      <c r="K13" s="3">
        <f t="shared" si="7"/>
        <v>0.51428259857232972</v>
      </c>
      <c r="L13" s="3">
        <f t="shared" si="8"/>
        <v>0.38305186652283868</v>
      </c>
      <c r="M13" s="3">
        <f t="shared" si="9"/>
        <v>0.53866668729774192</v>
      </c>
      <c r="N13" s="3">
        <f t="shared" si="10"/>
        <v>0.42248367631195438</v>
      </c>
      <c r="O13" s="3">
        <f t="shared" si="11"/>
        <v>0.50874076022564507</v>
      </c>
      <c r="P13" s="3">
        <f t="shared" si="12"/>
        <v>0.56748424670050168</v>
      </c>
    </row>
    <row r="14" spans="1:16" x14ac:dyDescent="0.3">
      <c r="J14" s="12" t="s">
        <v>106</v>
      </c>
      <c r="K14" s="12">
        <f>SUM(K9:K13)</f>
        <v>0.75437919130115283</v>
      </c>
      <c r="L14" s="12">
        <f t="shared" ref="L14:P14" si="13">SUM(L9:L13)</f>
        <v>0.53327202956727804</v>
      </c>
      <c r="M14" s="12">
        <f t="shared" si="13"/>
        <v>1.0175478346213018</v>
      </c>
      <c r="N14" s="12">
        <f t="shared" si="13"/>
        <v>0.77628199593689184</v>
      </c>
      <c r="O14" s="12">
        <f t="shared" si="13"/>
        <v>0.94833407752568566</v>
      </c>
      <c r="P14" s="12">
        <f t="shared" si="13"/>
        <v>1.2069532617729757</v>
      </c>
    </row>
    <row r="15" spans="1:16" x14ac:dyDescent="0.3">
      <c r="J15" s="15" t="s">
        <v>107</v>
      </c>
      <c r="K15" s="15">
        <f>1-K14</f>
        <v>0.24562080869884717</v>
      </c>
      <c r="L15" s="15">
        <f t="shared" ref="L15:P15" si="14">1-L14</f>
        <v>0.46672797043272196</v>
      </c>
      <c r="M15" s="15">
        <f t="shared" si="14"/>
        <v>-1.7547834621301828E-2</v>
      </c>
      <c r="N15" s="15">
        <f t="shared" si="14"/>
        <v>0.22371800406310816</v>
      </c>
      <c r="O15" s="15">
        <f t="shared" si="14"/>
        <v>5.1665922474314341E-2</v>
      </c>
      <c r="P15" s="15">
        <f t="shared" si="14"/>
        <v>-0.20695326177297568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485-BB85-4411-A324-A0BDB346725E}">
  <dimension ref="A1:P17"/>
  <sheetViews>
    <sheetView zoomScale="71" zoomScaleNormal="100" workbookViewId="0">
      <selection activeCell="A10" sqref="A10"/>
    </sheetView>
  </sheetViews>
  <sheetFormatPr defaultRowHeight="14.4" x14ac:dyDescent="0.3"/>
  <cols>
    <col min="1" max="1" width="13.44140625" customWidth="1"/>
    <col min="2" max="10" width="9" bestFit="1" customWidth="1"/>
    <col min="11" max="11" width="12.6640625" bestFit="1" customWidth="1"/>
    <col min="12" max="12" width="9" bestFit="1" customWidth="1"/>
    <col min="13" max="15" width="12.6640625" bestFit="1" customWidth="1"/>
    <col min="16" max="16" width="11.6640625" bestFit="1" customWidth="1"/>
  </cols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59</v>
      </c>
      <c r="B2" s="16">
        <v>7.0351424965123229E-3</v>
      </c>
      <c r="C2" s="16">
        <v>5.2770448548812663E-3</v>
      </c>
      <c r="D2" s="16">
        <v>0</v>
      </c>
      <c r="E2" s="16">
        <v>0</v>
      </c>
      <c r="F2" s="16">
        <v>5.8055152394775036E-3</v>
      </c>
      <c r="G2" s="16">
        <v>1.7878426698450536E-2</v>
      </c>
      <c r="H2" s="16">
        <v>1.2915129151291513E-2</v>
      </c>
      <c r="I2" s="11">
        <v>7.0351424965123229E-3</v>
      </c>
      <c r="J2" s="16">
        <v>7.0351424965123229E-3</v>
      </c>
      <c r="K2" s="16">
        <v>5.2770448548812663E-3</v>
      </c>
      <c r="L2" s="16">
        <v>0</v>
      </c>
      <c r="M2" s="16">
        <v>0</v>
      </c>
      <c r="N2" s="16">
        <v>5.8055152394775036E-3</v>
      </c>
      <c r="O2" s="16">
        <v>1.7878426698450536E-2</v>
      </c>
      <c r="P2" s="16">
        <v>1.2915129151291513E-2</v>
      </c>
    </row>
    <row r="3" spans="1:16" x14ac:dyDescent="0.3">
      <c r="A3" s="11" t="s">
        <v>61</v>
      </c>
      <c r="B3" s="16">
        <v>9.6525609513053879E-3</v>
      </c>
      <c r="C3" s="16">
        <v>1.0554089709762533E-2</v>
      </c>
      <c r="D3" s="16">
        <v>7.5187969924812026E-3</v>
      </c>
      <c r="E3" s="16">
        <v>1.8987341772151899E-2</v>
      </c>
      <c r="F3" s="16">
        <v>7.2568940493468797E-3</v>
      </c>
      <c r="G3" s="16">
        <v>2.1454112038140644E-2</v>
      </c>
      <c r="H3" s="16">
        <v>5.5350553505535052E-3</v>
      </c>
      <c r="I3" s="11">
        <v>1.6687703447817712E-2</v>
      </c>
      <c r="J3" s="11">
        <f>J2+B3</f>
        <v>1.6687703447817712E-2</v>
      </c>
      <c r="K3" s="11">
        <f t="shared" ref="K3:P7" si="0">K2+C3</f>
        <v>1.5831134564643801E-2</v>
      </c>
      <c r="L3" s="11">
        <f t="shared" si="0"/>
        <v>7.5187969924812026E-3</v>
      </c>
      <c r="M3" s="11">
        <f t="shared" si="0"/>
        <v>1.8987341772151899E-2</v>
      </c>
      <c r="N3" s="11">
        <f t="shared" si="0"/>
        <v>1.3062409288824383E-2</v>
      </c>
      <c r="O3" s="11">
        <f t="shared" si="0"/>
        <v>3.9332538736591177E-2</v>
      </c>
      <c r="P3" s="11">
        <f t="shared" si="0"/>
        <v>1.8450184501845018E-2</v>
      </c>
    </row>
    <row r="4" spans="1:16" x14ac:dyDescent="0.3">
      <c r="A4" s="11" t="s">
        <v>60</v>
      </c>
      <c r="B4" s="16">
        <v>1.2061825992603911E-2</v>
      </c>
      <c r="C4" s="16">
        <v>5.2770448548812663E-3</v>
      </c>
      <c r="D4" s="16">
        <v>7.5187969924812026E-3</v>
      </c>
      <c r="E4" s="16">
        <v>6.3291139240506328E-3</v>
      </c>
      <c r="F4" s="16">
        <v>1.3062409288824383E-2</v>
      </c>
      <c r="G4" s="16">
        <v>1.1918951132300357E-2</v>
      </c>
      <c r="H4" s="16">
        <v>9.2250922509225092E-3</v>
      </c>
      <c r="I4" s="11">
        <v>2.8749529440421622E-2</v>
      </c>
      <c r="J4" s="11">
        <f t="shared" ref="J4:J7" si="1">J3+B4</f>
        <v>2.8749529440421622E-2</v>
      </c>
      <c r="K4" s="11">
        <f t="shared" si="0"/>
        <v>2.1108179419525065E-2</v>
      </c>
      <c r="L4" s="11">
        <f t="shared" si="0"/>
        <v>1.5037593984962405E-2</v>
      </c>
      <c r="M4" s="11">
        <f t="shared" si="0"/>
        <v>2.5316455696202531E-2</v>
      </c>
      <c r="N4" s="11">
        <f t="shared" si="0"/>
        <v>2.6124818577648767E-2</v>
      </c>
      <c r="O4" s="11">
        <f t="shared" si="0"/>
        <v>5.1251489868891532E-2</v>
      </c>
      <c r="P4" s="11">
        <f t="shared" si="0"/>
        <v>2.7675276752767528E-2</v>
      </c>
    </row>
    <row r="5" spans="1:16" x14ac:dyDescent="0.3">
      <c r="A5" s="11" t="s">
        <v>58</v>
      </c>
      <c r="B5" s="16">
        <v>1.6559268362895545E-2</v>
      </c>
      <c r="C5" s="16">
        <v>2.9023746701846966E-2</v>
      </c>
      <c r="D5" s="16">
        <v>7.5187969924812026E-3</v>
      </c>
      <c r="E5" s="16">
        <v>1.2658227848101266E-2</v>
      </c>
      <c r="F5" s="16">
        <v>2.1770682148040638E-2</v>
      </c>
      <c r="G5" s="16">
        <v>1.6686531585220502E-2</v>
      </c>
      <c r="H5" s="16">
        <v>1.2915129151291513E-2</v>
      </c>
      <c r="I5" s="11">
        <v>4.5308797803317168E-2</v>
      </c>
      <c r="J5" s="11">
        <f t="shared" si="1"/>
        <v>4.5308797803317168E-2</v>
      </c>
      <c r="K5" s="11">
        <f t="shared" si="0"/>
        <v>5.0131926121372031E-2</v>
      </c>
      <c r="L5" s="11">
        <f t="shared" si="0"/>
        <v>2.2556390977443608E-2</v>
      </c>
      <c r="M5" s="11">
        <f t="shared" si="0"/>
        <v>3.7974683544303799E-2</v>
      </c>
      <c r="N5" s="11">
        <f t="shared" si="0"/>
        <v>4.7895500725689405E-2</v>
      </c>
      <c r="O5" s="11">
        <f t="shared" si="0"/>
        <v>6.7938021454112041E-2</v>
      </c>
      <c r="P5" s="11">
        <f t="shared" si="0"/>
        <v>4.0590405904059039E-2</v>
      </c>
    </row>
    <row r="6" spans="1:16" x14ac:dyDescent="0.3">
      <c r="A6" s="11" t="s">
        <v>62</v>
      </c>
      <c r="B6" s="16">
        <v>3.0228747315042406E-2</v>
      </c>
      <c r="C6" s="16">
        <v>1.8469656992084433E-2</v>
      </c>
      <c r="D6" s="16">
        <v>3.7593984962406013E-2</v>
      </c>
      <c r="E6" s="16">
        <v>2.5316455696202531E-2</v>
      </c>
      <c r="F6" s="16">
        <v>1.8867924528301886E-2</v>
      </c>
      <c r="G6" s="16">
        <v>7.1513706793802142E-3</v>
      </c>
      <c r="H6" s="16">
        <v>2.5830258302583026E-2</v>
      </c>
      <c r="I6" s="11">
        <v>7.553754511835957E-2</v>
      </c>
      <c r="J6" s="11">
        <f t="shared" si="1"/>
        <v>7.553754511835957E-2</v>
      </c>
      <c r="K6" s="11">
        <f t="shared" si="0"/>
        <v>6.860158311345646E-2</v>
      </c>
      <c r="L6" s="11">
        <f t="shared" si="0"/>
        <v>6.0150375939849621E-2</v>
      </c>
      <c r="M6" s="11">
        <f t="shared" si="0"/>
        <v>6.3291139240506333E-2</v>
      </c>
      <c r="N6" s="11">
        <f t="shared" si="0"/>
        <v>6.6763425253991288E-2</v>
      </c>
      <c r="O6" s="11">
        <f t="shared" si="0"/>
        <v>7.508939213349225E-2</v>
      </c>
      <c r="P6" s="11">
        <f t="shared" si="0"/>
        <v>6.6420664206642069E-2</v>
      </c>
    </row>
    <row r="7" spans="1:16" x14ac:dyDescent="0.3">
      <c r="A7" s="11" t="s">
        <v>57</v>
      </c>
      <c r="B7" s="16">
        <v>0.92446245488164047</v>
      </c>
      <c r="C7" s="16">
        <v>0.93139841688654357</v>
      </c>
      <c r="D7" s="16">
        <v>0.93984962406015038</v>
      </c>
      <c r="E7" s="16">
        <v>0.93670886075949367</v>
      </c>
      <c r="F7" s="16">
        <v>0.93323657474600874</v>
      </c>
      <c r="G7" s="16">
        <v>0.92491060786650769</v>
      </c>
      <c r="H7" s="16">
        <v>0.93357933579335795</v>
      </c>
      <c r="I7" s="11">
        <v>1</v>
      </c>
      <c r="J7" s="11">
        <f t="shared" si="1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59</v>
      </c>
      <c r="C10" s="11">
        <f>C2-B2</f>
        <v>-1.7580976416310566E-3</v>
      </c>
      <c r="D10" s="11">
        <f>D2-B2</f>
        <v>-7.0351424965123229E-3</v>
      </c>
      <c r="E10" s="11">
        <f>E2-B2</f>
        <v>-7.0351424965123229E-3</v>
      </c>
      <c r="F10" s="11">
        <f>F2-B2</f>
        <v>-1.2296272570348193E-3</v>
      </c>
      <c r="G10" s="11">
        <f>G2-B2</f>
        <v>1.0843284201938214E-2</v>
      </c>
      <c r="H10" s="11">
        <f>H2-B2</f>
        <v>5.8799866547791903E-3</v>
      </c>
      <c r="J10" s="11" t="s">
        <v>59</v>
      </c>
      <c r="K10" s="3">
        <f>(J2-0) * ((K2+0))</f>
        <v>3.7124762514576903E-5</v>
      </c>
      <c r="L10" s="3">
        <f>(J2-0) * ((L2+0))</f>
        <v>0</v>
      </c>
      <c r="M10" s="3">
        <f>(J2-0) * ((M2+0))</f>
        <v>0</v>
      </c>
      <c r="N10" s="3">
        <f>(J2-0) * ((N2+0))</f>
        <v>4.0842626975398099E-5</v>
      </c>
      <c r="O10" s="3">
        <f>(J2-0) * ((O2+0))</f>
        <v>1.2577727943704987E-4</v>
      </c>
      <c r="P10" s="3">
        <f>(J2-0) * ((P2+0))</f>
        <v>9.0859773940196048E-5</v>
      </c>
    </row>
    <row r="11" spans="1:16" x14ac:dyDescent="0.3">
      <c r="B11" s="11" t="s">
        <v>61</v>
      </c>
      <c r="C11" s="11">
        <f t="shared" ref="C11:C15" si="2">C3-B3</f>
        <v>9.0152875845714471E-4</v>
      </c>
      <c r="D11" s="11">
        <f t="shared" ref="D11:D15" si="3">D3-B3</f>
        <v>-2.1337639588241853E-3</v>
      </c>
      <c r="E11" s="11">
        <f t="shared" ref="E11:E15" si="4">E3-B3</f>
        <v>9.3347808208465114E-3</v>
      </c>
      <c r="F11" s="11">
        <f t="shared" ref="F11:F15" si="5">F3-B3</f>
        <v>-2.3956669019585082E-3</v>
      </c>
      <c r="G11" s="11">
        <f t="shared" ref="G11:G15" si="6">G3-B3</f>
        <v>1.1801551086835256E-2</v>
      </c>
      <c r="H11" s="11">
        <f t="shared" ref="H11:H15" si="7">H3-B3</f>
        <v>-4.1175056007518827E-3</v>
      </c>
      <c r="J11" s="11" t="s">
        <v>61</v>
      </c>
      <c r="K11" s="3">
        <f>(J3-J2) * ((K3+K2))</f>
        <v>2.0374798841805571E-4</v>
      </c>
      <c r="L11" s="3">
        <f>(J3-J2) * ((L3+L2))</f>
        <v>7.2575646250416464E-5</v>
      </c>
      <c r="M11" s="3">
        <f>(J3-J2) * ((M3+M2))</f>
        <v>1.8327647375896309E-4</v>
      </c>
      <c r="N11" s="3">
        <f>(J3-J2) * ((N3+N2))</f>
        <v>1.8212379153406395E-4</v>
      </c>
      <c r="O11" s="3">
        <f>(J3-J2) * ((O3+O2))</f>
        <v>5.52232330944766E-4</v>
      </c>
      <c r="P11" s="3">
        <f>(J3-J2) * ((P3+P2))</f>
        <v>3.0275560179371147E-4</v>
      </c>
    </row>
    <row r="12" spans="1:16" x14ac:dyDescent="0.3">
      <c r="B12" s="11" t="s">
        <v>60</v>
      </c>
      <c r="C12" s="11">
        <f t="shared" si="2"/>
        <v>-6.7847811377226442E-3</v>
      </c>
      <c r="D12" s="11">
        <f t="shared" si="3"/>
        <v>-4.5430290001227079E-3</v>
      </c>
      <c r="E12" s="11">
        <f t="shared" si="4"/>
        <v>-5.7327120685532777E-3</v>
      </c>
      <c r="F12" s="11">
        <f t="shared" si="5"/>
        <v>1.0005832962204728E-3</v>
      </c>
      <c r="G12" s="11">
        <f t="shared" si="6"/>
        <v>-1.4287486030355352E-4</v>
      </c>
      <c r="H12" s="11">
        <f t="shared" si="7"/>
        <v>-2.8367337416814013E-3</v>
      </c>
      <c r="J12" s="11" t="s">
        <v>60</v>
      </c>
      <c r="K12" s="3">
        <f t="shared" ref="K12:K15" si="8">(J4-J3) * ((K4+K3))</f>
        <v>4.4555557756320515E-4</v>
      </c>
      <c r="L12" s="3">
        <f t="shared" ref="L12:L15" si="9">(J4-J3) * ((L4+L3))</f>
        <v>2.7207126299106564E-4</v>
      </c>
      <c r="M12" s="3">
        <f t="shared" ref="M12:M15" si="10">(J4-J3) * ((M4+M3))</f>
        <v>5.3438469587485681E-4</v>
      </c>
      <c r="N12" s="3">
        <f t="shared" ref="N12:N15" si="11">(J4-J3) * ((N4+N3))</f>
        <v>4.7266952365791808E-4</v>
      </c>
      <c r="O12" s="3">
        <f t="shared" ref="O12:O15" si="12">(J4-J3) * ((O4+O3))</f>
        <v>1.0926087907483875E-3</v>
      </c>
      <c r="P12" s="3">
        <f t="shared" ref="P12:P15" si="13">(J4-J3) * ((P4+P3))</f>
        <v>5.5635728748173021E-4</v>
      </c>
    </row>
    <row r="13" spans="1:16" x14ac:dyDescent="0.3">
      <c r="B13" s="11" t="s">
        <v>58</v>
      </c>
      <c r="C13" s="11">
        <f t="shared" si="2"/>
        <v>1.246447833895142E-2</v>
      </c>
      <c r="D13" s="11">
        <f t="shared" si="3"/>
        <v>-9.0404713704143429E-3</v>
      </c>
      <c r="E13" s="11">
        <f t="shared" si="4"/>
        <v>-3.9010405147942798E-3</v>
      </c>
      <c r="F13" s="11">
        <f t="shared" si="5"/>
        <v>5.2114137851450928E-3</v>
      </c>
      <c r="G13" s="11">
        <f t="shared" si="6"/>
        <v>1.2726322232495604E-4</v>
      </c>
      <c r="H13" s="11">
        <f t="shared" si="7"/>
        <v>-3.6441392116040323E-3</v>
      </c>
      <c r="J13" s="11" t="s">
        <v>58</v>
      </c>
      <c r="K13" s="3">
        <f t="shared" si="8"/>
        <v>1.179684025852717E-3</v>
      </c>
      <c r="L13" s="3">
        <f t="shared" si="9"/>
        <v>6.2252888582314076E-4</v>
      </c>
      <c r="M13" s="3">
        <f t="shared" si="10"/>
        <v>1.0480549596769333E-3</v>
      </c>
      <c r="N13" s="3">
        <f t="shared" si="11"/>
        <v>1.2257223316511942E-3</v>
      </c>
      <c r="O13" s="3">
        <f t="shared" si="12"/>
        <v>1.9736911040399933E-3</v>
      </c>
      <c r="P13" s="3">
        <f t="shared" si="13"/>
        <v>1.1304297590906552E-3</v>
      </c>
    </row>
    <row r="14" spans="1:16" x14ac:dyDescent="0.3">
      <c r="B14" s="11" t="s">
        <v>62</v>
      </c>
      <c r="C14" s="11">
        <f t="shared" si="2"/>
        <v>-1.1759090322957973E-2</v>
      </c>
      <c r="D14" s="11">
        <f t="shared" si="3"/>
        <v>7.3652376473636073E-3</v>
      </c>
      <c r="E14" s="11">
        <f t="shared" si="4"/>
        <v>-4.9122916188398744E-3</v>
      </c>
      <c r="F14" s="11">
        <f t="shared" si="5"/>
        <v>-1.136082278674052E-2</v>
      </c>
      <c r="G14" s="11">
        <f t="shared" si="6"/>
        <v>-2.3077376635662193E-2</v>
      </c>
      <c r="H14" s="11">
        <f t="shared" si="7"/>
        <v>-4.3984890124593792E-3</v>
      </c>
      <c r="J14" s="11" t="s">
        <v>62</v>
      </c>
      <c r="K14" s="3">
        <f t="shared" si="8"/>
        <v>3.589165248487884E-3</v>
      </c>
      <c r="L14" s="3">
        <f t="shared" si="9"/>
        <v>2.5001219583869654E-3</v>
      </c>
      <c r="M14" s="3">
        <f t="shared" si="10"/>
        <v>3.0611389686118892E-3</v>
      </c>
      <c r="N14" s="3">
        <f t="shared" si="11"/>
        <v>3.4659957008539182E-3</v>
      </c>
      <c r="O14" s="3">
        <f t="shared" si="12"/>
        <v>4.3235395444637522E-3</v>
      </c>
      <c r="P14" s="3">
        <f t="shared" si="13"/>
        <v>3.2348105982886702E-3</v>
      </c>
    </row>
    <row r="15" spans="1:16" x14ac:dyDescent="0.3">
      <c r="B15" s="11" t="s">
        <v>57</v>
      </c>
      <c r="C15" s="11">
        <f t="shared" si="2"/>
        <v>6.9359620049030957E-3</v>
      </c>
      <c r="D15" s="11">
        <f t="shared" si="3"/>
        <v>1.5387169178509907E-2</v>
      </c>
      <c r="E15" s="11">
        <f t="shared" si="4"/>
        <v>1.2246405877853195E-2</v>
      </c>
      <c r="F15" s="11">
        <f t="shared" si="5"/>
        <v>8.7741198643682683E-3</v>
      </c>
      <c r="G15" s="11">
        <f t="shared" si="6"/>
        <v>4.4815298486722277E-4</v>
      </c>
      <c r="H15" s="11">
        <f t="shared" si="7"/>
        <v>9.1168809117174732E-3</v>
      </c>
      <c r="J15" s="11" t="s">
        <v>57</v>
      </c>
      <c r="K15" s="3">
        <f t="shared" si="8"/>
        <v>0.98788204281547343</v>
      </c>
      <c r="L15" s="3">
        <f t="shared" si="9"/>
        <v>0.98006921908504741</v>
      </c>
      <c r="M15" s="3">
        <f t="shared" si="10"/>
        <v>0.98297273683617459</v>
      </c>
      <c r="N15" s="3">
        <f t="shared" si="11"/>
        <v>0.98618273488825214</v>
      </c>
      <c r="O15" s="3">
        <f t="shared" si="12"/>
        <v>0.99387977866893895</v>
      </c>
      <c r="P15" s="3">
        <f t="shared" si="13"/>
        <v>0.98586586516898189</v>
      </c>
    </row>
    <row r="16" spans="1:16" x14ac:dyDescent="0.3">
      <c r="J16" s="13" t="s">
        <v>106</v>
      </c>
      <c r="K16" s="12">
        <f>SUM(K10:K15)</f>
        <v>0.99333732041830991</v>
      </c>
      <c r="L16" s="12">
        <f t="shared" ref="L16:P16" si="14">SUM(L10:L15)</f>
        <v>0.98353651683849896</v>
      </c>
      <c r="M16" s="12">
        <f t="shared" si="14"/>
        <v>0.98779959193409728</v>
      </c>
      <c r="N16" s="12">
        <f t="shared" si="14"/>
        <v>0.99157008886292464</v>
      </c>
      <c r="O16" s="12">
        <f t="shared" si="14"/>
        <v>1.0019476277185728</v>
      </c>
      <c r="P16" s="12">
        <f t="shared" si="14"/>
        <v>0.9911810781895769</v>
      </c>
    </row>
    <row r="17" spans="10:16" x14ac:dyDescent="0.3">
      <c r="J17" s="14" t="s">
        <v>107</v>
      </c>
      <c r="K17" s="15">
        <f>1-K16</f>
        <v>6.6626795816900897E-3</v>
      </c>
      <c r="L17" s="15">
        <f t="shared" ref="L17:P17" si="15">1-L16</f>
        <v>1.6463483161501036E-2</v>
      </c>
      <c r="M17" s="15">
        <f t="shared" si="15"/>
        <v>1.2200408065902724E-2</v>
      </c>
      <c r="N17" s="15">
        <f t="shared" si="15"/>
        <v>8.4299111370753632E-3</v>
      </c>
      <c r="O17" s="15">
        <f t="shared" si="15"/>
        <v>-1.9476277185728197E-3</v>
      </c>
      <c r="P17" s="15">
        <f t="shared" si="15"/>
        <v>8.8189218104230971E-3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1758-775F-4E6E-B15D-EA42BB570569}">
  <dimension ref="A1:P19"/>
  <sheetViews>
    <sheetView zoomScale="98" workbookViewId="0">
      <selection activeCell="A10" sqref="A10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10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68</v>
      </c>
      <c r="B2" s="11">
        <v>2.5679258904414592E-2</v>
      </c>
      <c r="C2" s="11">
        <v>3.237410071942446E-2</v>
      </c>
      <c r="D2" s="11">
        <v>0</v>
      </c>
      <c r="E2" s="11">
        <v>1.0752688172043012E-2</v>
      </c>
      <c r="F2" s="11">
        <v>1.2345679012345678E-2</v>
      </c>
      <c r="G2" s="11">
        <v>1.3698630136986301E-2</v>
      </c>
      <c r="H2" s="11">
        <v>3.125E-2</v>
      </c>
      <c r="I2" s="11">
        <v>2.5679258904414592E-2</v>
      </c>
      <c r="J2" s="11">
        <v>2.5679258904414592E-2</v>
      </c>
      <c r="K2" s="11">
        <v>3.237410071942446E-2</v>
      </c>
      <c r="L2" s="11">
        <v>0</v>
      </c>
      <c r="M2" s="11">
        <v>1.0752688172043012E-2</v>
      </c>
      <c r="N2" s="11">
        <v>1.2345679012345678E-2</v>
      </c>
      <c r="O2" s="11">
        <v>1.3698630136986301E-2</v>
      </c>
      <c r="P2" s="11">
        <v>3.125E-2</v>
      </c>
    </row>
    <row r="3" spans="1:16" x14ac:dyDescent="0.3">
      <c r="A3" s="11" t="s">
        <v>67</v>
      </c>
      <c r="B3" s="11">
        <v>2.9046035098135792E-2</v>
      </c>
      <c r="C3" s="11">
        <v>5.7553956834532377E-2</v>
      </c>
      <c r="D3" s="11">
        <v>0</v>
      </c>
      <c r="E3" s="11">
        <v>2.1505376344086023E-2</v>
      </c>
      <c r="F3" s="11">
        <v>4.3209876543209874E-2</v>
      </c>
      <c r="G3" s="11">
        <v>2.0547945205479451E-2</v>
      </c>
      <c r="H3" s="11">
        <v>1.8749999999999999E-2</v>
      </c>
      <c r="I3" s="11">
        <v>5.4725294002550384E-2</v>
      </c>
      <c r="J3" s="11">
        <f>J2+B3</f>
        <v>5.4725294002550384E-2</v>
      </c>
      <c r="K3" s="11">
        <f t="shared" ref="K3:P8" si="0">K2+C3</f>
        <v>8.9928057553956831E-2</v>
      </c>
      <c r="L3" s="11">
        <f t="shared" si="0"/>
        <v>0</v>
      </c>
      <c r="M3" s="11">
        <f t="shared" si="0"/>
        <v>3.2258064516129031E-2</v>
      </c>
      <c r="N3" s="11">
        <f t="shared" si="0"/>
        <v>5.5555555555555552E-2</v>
      </c>
      <c r="O3" s="11">
        <f t="shared" si="0"/>
        <v>3.4246575342465752E-2</v>
      </c>
      <c r="P3" s="11">
        <f t="shared" si="0"/>
        <v>0.05</v>
      </c>
    </row>
    <row r="4" spans="1:16" x14ac:dyDescent="0.3">
      <c r="A4" s="11" t="s">
        <v>66</v>
      </c>
      <c r="B4" s="11">
        <v>4.3815319843738404E-2</v>
      </c>
      <c r="C4" s="11">
        <v>2.5179856115107913E-2</v>
      </c>
      <c r="D4" s="11">
        <v>5.2631578947368418E-2</v>
      </c>
      <c r="E4" s="11">
        <v>8.6021505376344093E-2</v>
      </c>
      <c r="F4" s="11">
        <v>8.3333333333333329E-2</v>
      </c>
      <c r="G4" s="11">
        <v>6.1643835616438353E-2</v>
      </c>
      <c r="H4" s="11">
        <v>3.7499999999999999E-2</v>
      </c>
      <c r="I4" s="11">
        <v>9.8540613846288788E-2</v>
      </c>
      <c r="J4" s="11">
        <f t="shared" ref="J4:J8" si="1">J3+B4</f>
        <v>9.8540613846288788E-2</v>
      </c>
      <c r="K4" s="11">
        <f t="shared" si="0"/>
        <v>0.11510791366906474</v>
      </c>
      <c r="L4" s="11">
        <f t="shared" si="0"/>
        <v>5.2631578947368418E-2</v>
      </c>
      <c r="M4" s="11">
        <f t="shared" si="0"/>
        <v>0.11827956989247312</v>
      </c>
      <c r="N4" s="11">
        <f t="shared" si="0"/>
        <v>0.1388888888888889</v>
      </c>
      <c r="O4" s="11">
        <f t="shared" si="0"/>
        <v>9.5890410958904104E-2</v>
      </c>
      <c r="P4" s="11">
        <f t="shared" si="0"/>
        <v>8.7499999999999994E-2</v>
      </c>
    </row>
    <row r="5" spans="1:16" x14ac:dyDescent="0.3">
      <c r="A5" s="11" t="s">
        <v>65</v>
      </c>
      <c r="B5" s="11">
        <v>5.7201460060858363E-2</v>
      </c>
      <c r="C5" s="11">
        <v>3.237410071942446E-2</v>
      </c>
      <c r="D5" s="11">
        <v>2.6315789473684209E-2</v>
      </c>
      <c r="E5" s="11">
        <v>3.2258064516129031E-2</v>
      </c>
      <c r="F5" s="11">
        <v>4.6296296296296294E-2</v>
      </c>
      <c r="G5" s="11">
        <v>3.7671232876712327E-2</v>
      </c>
      <c r="H5" s="11">
        <v>6.8750000000000006E-2</v>
      </c>
      <c r="I5" s="11">
        <v>0.15574207390714714</v>
      </c>
      <c r="J5" s="11">
        <f t="shared" si="1"/>
        <v>0.15574207390714714</v>
      </c>
      <c r="K5" s="11">
        <f t="shared" si="0"/>
        <v>0.14748201438848921</v>
      </c>
      <c r="L5" s="11">
        <f t="shared" si="0"/>
        <v>7.8947368421052627E-2</v>
      </c>
      <c r="M5" s="11">
        <f t="shared" si="0"/>
        <v>0.15053763440860216</v>
      </c>
      <c r="N5" s="11">
        <f t="shared" si="0"/>
        <v>0.18518518518518517</v>
      </c>
      <c r="O5" s="11">
        <f t="shared" si="0"/>
        <v>0.13356164383561642</v>
      </c>
      <c r="P5" s="11">
        <f t="shared" si="0"/>
        <v>0.15625</v>
      </c>
    </row>
    <row r="6" spans="1:16" x14ac:dyDescent="0.3">
      <c r="A6" s="11" t="s">
        <v>64</v>
      </c>
      <c r="B6" s="11">
        <v>0.1901587580036839</v>
      </c>
      <c r="C6" s="11">
        <v>0.15827338129496402</v>
      </c>
      <c r="D6" s="11">
        <v>0.21052631578947367</v>
      </c>
      <c r="E6" s="11">
        <v>0.18279569892473119</v>
      </c>
      <c r="F6" s="11">
        <v>0.15740740740740741</v>
      </c>
      <c r="G6" s="11">
        <v>0.2636986301369863</v>
      </c>
      <c r="H6" s="11">
        <v>0.11874999999999999</v>
      </c>
      <c r="I6" s="11">
        <v>0.34590083191083104</v>
      </c>
      <c r="J6" s="11">
        <f t="shared" si="1"/>
        <v>0.34590083191083104</v>
      </c>
      <c r="K6" s="11">
        <f t="shared" si="0"/>
        <v>0.30575539568345322</v>
      </c>
      <c r="L6" s="11">
        <f t="shared" si="0"/>
        <v>0.28947368421052633</v>
      </c>
      <c r="M6" s="11">
        <f t="shared" si="0"/>
        <v>0.33333333333333337</v>
      </c>
      <c r="N6" s="11">
        <f t="shared" si="0"/>
        <v>0.34259259259259256</v>
      </c>
      <c r="O6" s="11">
        <f t="shared" si="0"/>
        <v>0.39726027397260272</v>
      </c>
      <c r="P6" s="11">
        <f t="shared" si="0"/>
        <v>0.27500000000000002</v>
      </c>
    </row>
    <row r="7" spans="1:16" x14ac:dyDescent="0.3">
      <c r="A7" s="11" t="s">
        <v>69</v>
      </c>
      <c r="B7" s="11">
        <v>0.27056331091064889</v>
      </c>
      <c r="C7" s="11">
        <v>0.1366906474820144</v>
      </c>
      <c r="D7" s="11">
        <v>9.6491228070175433E-2</v>
      </c>
      <c r="E7" s="11">
        <v>0.12903225806451613</v>
      </c>
      <c r="F7" s="11">
        <v>0.22222222222222221</v>
      </c>
      <c r="G7" s="11">
        <v>0.17465753424657535</v>
      </c>
      <c r="H7" s="11">
        <v>0.23749999999999999</v>
      </c>
      <c r="I7" s="11">
        <v>0.61646414282147988</v>
      </c>
      <c r="J7" s="11">
        <f t="shared" si="1"/>
        <v>0.61646414282147988</v>
      </c>
      <c r="K7" s="11">
        <f t="shared" si="0"/>
        <v>0.44244604316546765</v>
      </c>
      <c r="L7" s="11">
        <f t="shared" si="0"/>
        <v>0.38596491228070173</v>
      </c>
      <c r="M7" s="11">
        <f t="shared" si="0"/>
        <v>0.4623655913978495</v>
      </c>
      <c r="N7" s="11">
        <f t="shared" si="0"/>
        <v>0.56481481481481477</v>
      </c>
      <c r="O7" s="11">
        <f t="shared" si="0"/>
        <v>0.57191780821917804</v>
      </c>
      <c r="P7" s="11">
        <f t="shared" si="0"/>
        <v>0.51249999999999996</v>
      </c>
    </row>
    <row r="8" spans="1:16" x14ac:dyDescent="0.3">
      <c r="A8" s="11" t="s">
        <v>63</v>
      </c>
      <c r="B8" s="11">
        <v>0.38353585717852012</v>
      </c>
      <c r="C8" s="11">
        <v>0.55755395683453235</v>
      </c>
      <c r="D8" s="11">
        <v>0.61403508771929827</v>
      </c>
      <c r="E8" s="11">
        <v>0.5376344086021505</v>
      </c>
      <c r="F8" s="11">
        <v>0.43518518518518517</v>
      </c>
      <c r="G8" s="11">
        <v>0.42808219178082191</v>
      </c>
      <c r="H8" s="11">
        <v>0.48749999999999999</v>
      </c>
      <c r="I8" s="11">
        <v>1</v>
      </c>
      <c r="J8" s="11">
        <f t="shared" si="1"/>
        <v>1</v>
      </c>
      <c r="K8" s="11">
        <f t="shared" si="0"/>
        <v>1</v>
      </c>
      <c r="L8" s="11">
        <f t="shared" si="0"/>
        <v>1</v>
      </c>
      <c r="M8" s="11">
        <f t="shared" si="0"/>
        <v>1</v>
      </c>
      <c r="N8" s="11">
        <f t="shared" si="0"/>
        <v>1</v>
      </c>
      <c r="O8" s="11">
        <f t="shared" si="0"/>
        <v>1</v>
      </c>
      <c r="P8" s="11">
        <f t="shared" si="0"/>
        <v>1</v>
      </c>
    </row>
    <row r="10" spans="1:16" ht="28.8" x14ac:dyDescent="0.3">
      <c r="B10" s="1" t="s">
        <v>86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J10" s="3"/>
      <c r="K10" s="12" t="s">
        <v>100</v>
      </c>
      <c r="L10" s="12" t="s">
        <v>101</v>
      </c>
      <c r="M10" s="12" t="s">
        <v>102</v>
      </c>
      <c r="N10" s="12" t="s">
        <v>103</v>
      </c>
      <c r="O10" s="12" t="s">
        <v>104</v>
      </c>
      <c r="P10" s="12" t="s">
        <v>105</v>
      </c>
    </row>
    <row r="11" spans="1:16" x14ac:dyDescent="0.3">
      <c r="B11" s="11" t="s">
        <v>68</v>
      </c>
      <c r="C11" s="11">
        <f>C2-B2</f>
        <v>6.6948418150098686E-3</v>
      </c>
      <c r="D11" s="11">
        <f>D2-B2</f>
        <v>-2.5679258904414592E-2</v>
      </c>
      <c r="E11" s="11">
        <f>E2-B2</f>
        <v>-1.492657073237158E-2</v>
      </c>
      <c r="F11" s="11">
        <f>F2-B2</f>
        <v>-1.3333579892068913E-2</v>
      </c>
      <c r="G11" s="11">
        <f>G2-B2</f>
        <v>-1.1980628767428291E-2</v>
      </c>
      <c r="H11" s="11">
        <f>H2-B2</f>
        <v>5.5707410955854082E-3</v>
      </c>
      <c r="J11" s="11" t="s">
        <v>68</v>
      </c>
      <c r="K11" s="3">
        <f>(J2-0) * ((K2+0))</f>
        <v>8.3134291417169537E-4</v>
      </c>
      <c r="L11" s="3">
        <f>(J2-0) * ((L2+0))</f>
        <v>0</v>
      </c>
      <c r="M11" s="3">
        <f>(J2-0) * ((M2+0))</f>
        <v>2.7612106348832895E-4</v>
      </c>
      <c r="N11" s="3">
        <f>(J2-0) * ((N2+0))</f>
        <v>3.1702788770882209E-4</v>
      </c>
      <c r="O11" s="3">
        <f>(J2-0) * ((O2+0))</f>
        <v>3.5177066992348756E-4</v>
      </c>
      <c r="P11" s="3">
        <f>(J2-0) * ((P2+0))</f>
        <v>8.0247684076295599E-4</v>
      </c>
    </row>
    <row r="12" spans="1:16" x14ac:dyDescent="0.3">
      <c r="B12" s="11" t="s">
        <v>67</v>
      </c>
      <c r="C12" s="11">
        <f t="shared" ref="C12:C17" si="2">C3-B3</f>
        <v>2.8507921736396585E-2</v>
      </c>
      <c r="D12" s="11">
        <f t="shared" ref="D12:D17" si="3">D3-B3</f>
        <v>-2.9046035098135792E-2</v>
      </c>
      <c r="E12" s="11">
        <f t="shared" ref="E12:E17" si="4">E3-B3</f>
        <v>-7.5406587540497692E-3</v>
      </c>
      <c r="F12" s="11">
        <f t="shared" ref="F12:F17" si="5">F3-B3</f>
        <v>1.4163841445074082E-2</v>
      </c>
      <c r="G12" s="11">
        <f t="shared" ref="G12:G17" si="6">G3-B3</f>
        <v>-8.4980898926563415E-3</v>
      </c>
      <c r="H12" s="11">
        <f t="shared" ref="H12:H17" si="7">H3-B3</f>
        <v>-1.0296035098135793E-2</v>
      </c>
      <c r="J12" s="11" t="s">
        <v>67</v>
      </c>
      <c r="K12" s="3">
        <f>(J3-J2) * ((K3+K2))</f>
        <v>3.5523927817863914E-3</v>
      </c>
      <c r="L12" s="3">
        <f>(J3-J2) * ((L3+L2))</f>
        <v>0</v>
      </c>
      <c r="M12" s="3">
        <f>(J3-J2) * ((M3+M2))</f>
        <v>1.2492918321778837E-3</v>
      </c>
      <c r="N12" s="3">
        <f>(J3-J2) * ((N3+N2))</f>
        <v>1.9722616424660104E-3</v>
      </c>
      <c r="O12" s="3">
        <f>(J3-J2) * ((O3+O2))</f>
        <v>1.3926181211434969E-3</v>
      </c>
      <c r="P12" s="3">
        <f>(J3-J2) * ((P3+P2))</f>
        <v>2.3599903517235333E-3</v>
      </c>
    </row>
    <row r="13" spans="1:16" x14ac:dyDescent="0.3">
      <c r="B13" s="11" t="s">
        <v>66</v>
      </c>
      <c r="C13" s="11">
        <f t="shared" si="2"/>
        <v>-1.8635463728630491E-2</v>
      </c>
      <c r="D13" s="11">
        <f t="shared" si="3"/>
        <v>8.8162591036300142E-3</v>
      </c>
      <c r="E13" s="11">
        <f t="shared" si="4"/>
        <v>4.2206185532605689E-2</v>
      </c>
      <c r="F13" s="11">
        <f t="shared" si="5"/>
        <v>3.9518013489594925E-2</v>
      </c>
      <c r="G13" s="11">
        <f t="shared" si="6"/>
        <v>1.7828515772699949E-2</v>
      </c>
      <c r="H13" s="11">
        <f t="shared" si="7"/>
        <v>-6.3153198437384053E-3</v>
      </c>
      <c r="J13" s="11" t="s">
        <v>66</v>
      </c>
      <c r="K13" s="3">
        <f t="shared" ref="K13:K17" si="8">(J4-J3) * ((K4+K3))</f>
        <v>8.9837166586082332E-3</v>
      </c>
      <c r="L13" s="3">
        <f t="shared" ref="L13:L17" si="9">(J4-J3) * ((L4+L3))</f>
        <v>2.3060694654599158E-3</v>
      </c>
      <c r="M13" s="3">
        <f t="shared" ref="M13:M17" si="10">(J4-J3) * ((M4+M3))</f>
        <v>6.5958546001326631E-3</v>
      </c>
      <c r="N13" s="3">
        <f t="shared" ref="N13:N17" si="11">(J4-J3) * ((N4+N3))</f>
        <v>8.5196455251713571E-3</v>
      </c>
      <c r="O13" s="3">
        <f t="shared" ref="O13:O17" si="12">(J4-J3) * ((O4+O3))</f>
        <v>5.7019936782947232E-3</v>
      </c>
      <c r="P13" s="3">
        <f t="shared" ref="P13:P17" si="13">(J4-J3) * ((P4+P3))</f>
        <v>6.0246064785140314E-3</v>
      </c>
    </row>
    <row r="14" spans="1:16" x14ac:dyDescent="0.3">
      <c r="B14" s="11" t="s">
        <v>65</v>
      </c>
      <c r="C14" s="11">
        <f t="shared" si="2"/>
        <v>-2.4827359341433902E-2</v>
      </c>
      <c r="D14" s="11">
        <f t="shared" si="3"/>
        <v>-3.0885670587174154E-2</v>
      </c>
      <c r="E14" s="11">
        <f t="shared" si="4"/>
        <v>-2.4943395544729331E-2</v>
      </c>
      <c r="F14" s="11">
        <f t="shared" si="5"/>
        <v>-1.0905163764562069E-2</v>
      </c>
      <c r="G14" s="11">
        <f t="shared" si="6"/>
        <v>-1.9530227184146036E-2</v>
      </c>
      <c r="H14" s="11">
        <f t="shared" si="7"/>
        <v>1.1548539939141643E-2</v>
      </c>
      <c r="J14" s="11" t="s">
        <v>65</v>
      </c>
      <c r="K14" s="3">
        <f t="shared" si="8"/>
        <v>1.502052728216784E-2</v>
      </c>
      <c r="L14" s="3">
        <f t="shared" si="9"/>
        <v>7.5265079027445198E-3</v>
      </c>
      <c r="M14" s="3">
        <f t="shared" si="10"/>
        <v>1.5376736575499556E-2</v>
      </c>
      <c r="N14" s="3">
        <f t="shared" si="11"/>
        <v>1.8537510204907799E-2</v>
      </c>
      <c r="O14" s="3">
        <f t="shared" si="12"/>
        <v>1.3124992548210649E-2</v>
      </c>
      <c r="P14" s="3">
        <f t="shared" si="13"/>
        <v>1.3942855889834224E-2</v>
      </c>
    </row>
    <row r="15" spans="1:16" x14ac:dyDescent="0.3">
      <c r="B15" s="11" t="s">
        <v>64</v>
      </c>
      <c r="C15" s="11">
        <f t="shared" si="2"/>
        <v>-3.1885376708719881E-2</v>
      </c>
      <c r="D15" s="11">
        <f t="shared" si="3"/>
        <v>2.0367557785789775E-2</v>
      </c>
      <c r="E15" s="11">
        <f t="shared" si="4"/>
        <v>-7.3630590789527106E-3</v>
      </c>
      <c r="F15" s="11">
        <f t="shared" si="5"/>
        <v>-3.2751350596276485E-2</v>
      </c>
      <c r="G15" s="11">
        <f t="shared" si="6"/>
        <v>7.3539872133302403E-2</v>
      </c>
      <c r="H15" s="11">
        <f t="shared" si="7"/>
        <v>-7.1408758003683903E-2</v>
      </c>
      <c r="J15" s="11" t="s">
        <v>64</v>
      </c>
      <c r="K15" s="3">
        <f t="shared" si="8"/>
        <v>8.6187062980086937E-2</v>
      </c>
      <c r="L15" s="3">
        <f t="shared" si="9"/>
        <v>7.0058489790830916E-2</v>
      </c>
      <c r="M15" s="3">
        <f t="shared" si="10"/>
        <v>9.2012302259847051E-2</v>
      </c>
      <c r="N15" s="3">
        <f t="shared" si="11"/>
        <v>0.10036156672416648</v>
      </c>
      <c r="O15" s="3">
        <f t="shared" si="12"/>
        <v>0.10094043661154453</v>
      </c>
      <c r="P15" s="3">
        <f t="shared" si="13"/>
        <v>8.2005964389088679E-2</v>
      </c>
    </row>
    <row r="16" spans="1:16" x14ac:dyDescent="0.3">
      <c r="B16" s="11" t="s">
        <v>69</v>
      </c>
      <c r="C16" s="11">
        <f t="shared" si="2"/>
        <v>-0.13387266342863449</v>
      </c>
      <c r="D16" s="11">
        <f t="shared" si="3"/>
        <v>-0.17407208284047346</v>
      </c>
      <c r="E16" s="11">
        <f t="shared" si="4"/>
        <v>-0.14153105284613277</v>
      </c>
      <c r="F16" s="11">
        <f t="shared" si="5"/>
        <v>-4.8341088688426681E-2</v>
      </c>
      <c r="G16" s="11">
        <f t="shared" si="6"/>
        <v>-9.5905776664073544E-2</v>
      </c>
      <c r="H16" s="11">
        <f t="shared" si="7"/>
        <v>-3.3063310910648902E-2</v>
      </c>
      <c r="J16" s="11" t="s">
        <v>69</v>
      </c>
      <c r="K16" s="3">
        <f t="shared" si="8"/>
        <v>0.20243585852307538</v>
      </c>
      <c r="L16" s="3">
        <f t="shared" si="9"/>
        <v>0.18274890298350843</v>
      </c>
      <c r="M16" s="3">
        <f t="shared" si="10"/>
        <v>0.21528693556331199</v>
      </c>
      <c r="N16" s="3">
        <f t="shared" si="11"/>
        <v>0.24551115249299615</v>
      </c>
      <c r="O16" s="3">
        <f t="shared" si="12"/>
        <v>0.26222403077984119</v>
      </c>
      <c r="P16" s="3">
        <f t="shared" si="13"/>
        <v>0.21306860734213595</v>
      </c>
    </row>
    <row r="17" spans="2:16" x14ac:dyDescent="0.3">
      <c r="B17" s="11" t="s">
        <v>63</v>
      </c>
      <c r="C17" s="11">
        <f t="shared" si="2"/>
        <v>0.17401809965601223</v>
      </c>
      <c r="D17" s="11">
        <f t="shared" si="3"/>
        <v>0.23049923054077814</v>
      </c>
      <c r="E17" s="11">
        <f t="shared" si="4"/>
        <v>0.15409855142363038</v>
      </c>
      <c r="F17" s="11">
        <f t="shared" si="5"/>
        <v>5.1649328006665052E-2</v>
      </c>
      <c r="G17" s="11">
        <f t="shared" si="6"/>
        <v>4.4546334602301785E-2</v>
      </c>
      <c r="H17" s="11">
        <f t="shared" si="7"/>
        <v>0.10396414282147987</v>
      </c>
      <c r="J17" s="11" t="s">
        <v>63</v>
      </c>
      <c r="K17" s="3">
        <f t="shared" si="8"/>
        <v>0.55322977959923225</v>
      </c>
      <c r="L17" s="3">
        <f t="shared" si="9"/>
        <v>0.53156724065093131</v>
      </c>
      <c r="M17" s="3">
        <f t="shared" si="10"/>
        <v>0.56086964060514777</v>
      </c>
      <c r="N17" s="3">
        <f t="shared" si="11"/>
        <v>0.60016259132564731</v>
      </c>
      <c r="O17" s="3">
        <f t="shared" si="12"/>
        <v>0.60288684398952308</v>
      </c>
      <c r="P17" s="3">
        <f t="shared" si="13"/>
        <v>0.58009798398251167</v>
      </c>
    </row>
    <row r="18" spans="2:16" x14ac:dyDescent="0.3">
      <c r="J18" s="13" t="s">
        <v>106</v>
      </c>
      <c r="K18" s="12">
        <f>SUM(K11:K17)</f>
        <v>0.87024068073912875</v>
      </c>
      <c r="L18" s="12">
        <f t="shared" ref="L18:P18" si="14">SUM(L11:L17)</f>
        <v>0.79420721079347512</v>
      </c>
      <c r="M18" s="12">
        <f t="shared" si="14"/>
        <v>0.89166688249960524</v>
      </c>
      <c r="N18" s="12">
        <f t="shared" si="14"/>
        <v>0.97538175580306397</v>
      </c>
      <c r="O18" s="12">
        <f t="shared" si="14"/>
        <v>0.98662268639848116</v>
      </c>
      <c r="P18" s="12">
        <f t="shared" si="14"/>
        <v>0.89830248527457102</v>
      </c>
    </row>
    <row r="19" spans="2:16" x14ac:dyDescent="0.3">
      <c r="J19" s="14" t="s">
        <v>107</v>
      </c>
      <c r="K19" s="15">
        <f>1-K18</f>
        <v>0.12975931926087125</v>
      </c>
      <c r="L19" s="15">
        <f t="shared" ref="L19:P19" si="15">1-L18</f>
        <v>0.20579278920652488</v>
      </c>
      <c r="M19" s="15">
        <f t="shared" si="15"/>
        <v>0.10833311750039476</v>
      </c>
      <c r="N19" s="15">
        <f t="shared" si="15"/>
        <v>2.4618244196936034E-2</v>
      </c>
      <c r="O19" s="15">
        <f t="shared" si="15"/>
        <v>1.3377313601518837E-2</v>
      </c>
      <c r="P19" s="15">
        <f t="shared" si="15"/>
        <v>0.10169751472542898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B109-4067-48F5-9D8F-ACE4BE342234}">
  <dimension ref="A1:P17"/>
  <sheetViews>
    <sheetView workbookViewId="0">
      <selection activeCell="A9" sqref="A9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75</v>
      </c>
      <c r="B2" s="11">
        <v>5.9393815695479128E-2</v>
      </c>
      <c r="C2" s="11">
        <v>0.13513513513513514</v>
      </c>
      <c r="D2" s="11">
        <v>0.1</v>
      </c>
      <c r="E2" s="11">
        <v>4.1666666666666664E-2</v>
      </c>
      <c r="F2" s="11">
        <v>0.05</v>
      </c>
      <c r="G2" s="11">
        <v>0.11320754716981132</v>
      </c>
      <c r="H2" s="11">
        <v>0.11224489795918367</v>
      </c>
      <c r="I2" s="11">
        <v>5.9393815695479128E-2</v>
      </c>
      <c r="J2" s="11">
        <v>5.9393815695479128E-2</v>
      </c>
      <c r="K2" s="11">
        <v>0.13513513513513514</v>
      </c>
      <c r="L2" s="11">
        <v>0.1</v>
      </c>
      <c r="M2" s="11">
        <v>4.1666666666666664E-2</v>
      </c>
      <c r="N2" s="11">
        <v>0.05</v>
      </c>
      <c r="O2" s="11">
        <v>0.11320754716981132</v>
      </c>
      <c r="P2" s="11">
        <v>0.11224489795918367</v>
      </c>
    </row>
    <row r="3" spans="1:16" x14ac:dyDescent="0.3">
      <c r="A3" s="11" t="s">
        <v>71</v>
      </c>
      <c r="B3" s="11">
        <v>7.6276004840144032E-2</v>
      </c>
      <c r="C3" s="11">
        <v>0.24324324324324326</v>
      </c>
      <c r="D3" s="11">
        <v>0.1</v>
      </c>
      <c r="E3" s="11">
        <v>4.1666666666666664E-2</v>
      </c>
      <c r="F3" s="11">
        <v>0.2</v>
      </c>
      <c r="G3" s="11">
        <v>0.13207547169811321</v>
      </c>
      <c r="H3" s="11">
        <v>0.15306122448979592</v>
      </c>
      <c r="I3" s="11">
        <v>0.13566982053562315</v>
      </c>
      <c r="J3" s="11">
        <f t="shared" ref="J3:P7" si="0">J2+B3</f>
        <v>0.13566982053562315</v>
      </c>
      <c r="K3" s="11">
        <f t="shared" si="0"/>
        <v>0.3783783783783784</v>
      </c>
      <c r="L3" s="11">
        <f t="shared" si="0"/>
        <v>0.2</v>
      </c>
      <c r="M3" s="11">
        <f t="shared" si="0"/>
        <v>8.3333333333333329E-2</v>
      </c>
      <c r="N3" s="11">
        <f t="shared" si="0"/>
        <v>0.25</v>
      </c>
      <c r="O3" s="11">
        <f t="shared" si="0"/>
        <v>0.24528301886792453</v>
      </c>
      <c r="P3" s="11">
        <f t="shared" si="0"/>
        <v>0.26530612244897961</v>
      </c>
    </row>
    <row r="4" spans="1:16" x14ac:dyDescent="0.3">
      <c r="A4" s="11" t="s">
        <v>72</v>
      </c>
      <c r="B4" s="11">
        <v>7.796713950403103E-2</v>
      </c>
      <c r="C4" s="11">
        <v>2.7027027027027029E-2</v>
      </c>
      <c r="D4" s="11">
        <v>0.1</v>
      </c>
      <c r="E4" s="11">
        <v>0</v>
      </c>
      <c r="F4" s="11">
        <v>0.1357142857142857</v>
      </c>
      <c r="G4" s="11">
        <v>3.7735849056603772E-2</v>
      </c>
      <c r="H4" s="11">
        <v>4.0816326530612242E-2</v>
      </c>
      <c r="I4" s="11">
        <v>0.21363696003965418</v>
      </c>
      <c r="J4" s="11">
        <f t="shared" si="0"/>
        <v>0.21363696003965418</v>
      </c>
      <c r="K4" s="11">
        <f t="shared" si="0"/>
        <v>0.40540540540540543</v>
      </c>
      <c r="L4" s="11">
        <f t="shared" si="0"/>
        <v>0.30000000000000004</v>
      </c>
      <c r="M4" s="11">
        <f t="shared" si="0"/>
        <v>8.3333333333333329E-2</v>
      </c>
      <c r="N4" s="11">
        <f t="shared" si="0"/>
        <v>0.38571428571428568</v>
      </c>
      <c r="O4" s="11">
        <f t="shared" si="0"/>
        <v>0.28301886792452829</v>
      </c>
      <c r="P4" s="11">
        <f t="shared" si="0"/>
        <v>0.30612244897959184</v>
      </c>
    </row>
    <row r="5" spans="1:16" x14ac:dyDescent="0.3">
      <c r="A5" s="11" t="s">
        <v>74</v>
      </c>
      <c r="B5" s="11">
        <v>8.1772192497776744E-2</v>
      </c>
      <c r="C5" s="11">
        <v>0.13513513513513514</v>
      </c>
      <c r="D5" s="11">
        <v>0</v>
      </c>
      <c r="E5" s="11">
        <v>0.125</v>
      </c>
      <c r="F5" s="11">
        <v>6.4285714285714279E-2</v>
      </c>
      <c r="G5" s="11">
        <v>9.4339622641509441E-2</v>
      </c>
      <c r="H5" s="11">
        <v>9.1836734693877556E-2</v>
      </c>
      <c r="I5" s="11">
        <v>0.29540915253743094</v>
      </c>
      <c r="J5" s="11">
        <f t="shared" si="0"/>
        <v>0.29540915253743094</v>
      </c>
      <c r="K5" s="11">
        <f t="shared" si="0"/>
        <v>0.54054054054054057</v>
      </c>
      <c r="L5" s="11">
        <f t="shared" si="0"/>
        <v>0.30000000000000004</v>
      </c>
      <c r="M5" s="11">
        <f t="shared" si="0"/>
        <v>0.20833333333333331</v>
      </c>
      <c r="N5" s="11">
        <f t="shared" si="0"/>
        <v>0.44999999999999996</v>
      </c>
      <c r="O5" s="11">
        <f t="shared" si="0"/>
        <v>0.37735849056603776</v>
      </c>
      <c r="P5" s="11">
        <f t="shared" si="0"/>
        <v>0.39795918367346939</v>
      </c>
    </row>
    <row r="6" spans="1:16" x14ac:dyDescent="0.3">
      <c r="A6" s="11" t="s">
        <v>73</v>
      </c>
      <c r="B6" s="11">
        <v>9.4266178764596975E-2</v>
      </c>
      <c r="C6" s="11">
        <v>0</v>
      </c>
      <c r="D6" s="11">
        <v>0</v>
      </c>
      <c r="E6" s="11">
        <v>4.1666666666666664E-2</v>
      </c>
      <c r="F6" s="11">
        <v>0.12857142857142856</v>
      </c>
      <c r="G6" s="11">
        <v>1.8867924528301886E-2</v>
      </c>
      <c r="H6" s="11">
        <v>1.020408163265306E-2</v>
      </c>
      <c r="I6" s="11">
        <v>0.38967533130202792</v>
      </c>
      <c r="J6" s="11">
        <f t="shared" si="0"/>
        <v>0.38967533130202792</v>
      </c>
      <c r="K6" s="11">
        <f t="shared" si="0"/>
        <v>0.54054054054054057</v>
      </c>
      <c r="L6" s="11">
        <f t="shared" si="0"/>
        <v>0.30000000000000004</v>
      </c>
      <c r="M6" s="11">
        <f t="shared" si="0"/>
        <v>0.24999999999999997</v>
      </c>
      <c r="N6" s="11">
        <f t="shared" si="0"/>
        <v>0.57857142857142851</v>
      </c>
      <c r="O6" s="11">
        <f t="shared" si="0"/>
        <v>0.39622641509433965</v>
      </c>
      <c r="P6" s="11">
        <f t="shared" si="0"/>
        <v>0.40816326530612246</v>
      </c>
    </row>
    <row r="7" spans="1:16" x14ac:dyDescent="0.3">
      <c r="A7" s="11" t="s">
        <v>70</v>
      </c>
      <c r="B7" s="11">
        <v>0.61032466869797208</v>
      </c>
      <c r="C7" s="11">
        <v>0.45945945945945948</v>
      </c>
      <c r="D7" s="11">
        <v>0.7</v>
      </c>
      <c r="E7" s="11">
        <v>0.75</v>
      </c>
      <c r="F7" s="11">
        <v>0.42142857142857143</v>
      </c>
      <c r="G7" s="11">
        <v>0.60377358490566035</v>
      </c>
      <c r="H7" s="11">
        <v>0.59183673469387754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2" t="s">
        <v>100</v>
      </c>
      <c r="L9" s="12" t="s">
        <v>101</v>
      </c>
      <c r="M9" s="12" t="s">
        <v>102</v>
      </c>
      <c r="N9" s="12" t="s">
        <v>103</v>
      </c>
      <c r="O9" s="12" t="s">
        <v>104</v>
      </c>
      <c r="P9" s="12" t="s">
        <v>105</v>
      </c>
    </row>
    <row r="10" spans="1:16" x14ac:dyDescent="0.3">
      <c r="B10" s="11" t="s">
        <v>75</v>
      </c>
      <c r="C10" s="11">
        <f>C2-B2</f>
        <v>7.5741319439656007E-2</v>
      </c>
      <c r="D10" s="11">
        <f>D2-B2</f>
        <v>4.0606184304520877E-2</v>
      </c>
      <c r="E10" s="11">
        <f>E2-B2</f>
        <v>-1.7727149028812464E-2</v>
      </c>
      <c r="F10" s="11">
        <f>F2-B2</f>
        <v>-9.3938156954791255E-3</v>
      </c>
      <c r="G10" s="11">
        <f>G2-B2</f>
        <v>5.3813731474332195E-2</v>
      </c>
      <c r="H10" s="11">
        <f>H2-B2</f>
        <v>5.2851082263704545E-2</v>
      </c>
      <c r="J10" s="11" t="s">
        <v>75</v>
      </c>
      <c r="K10" s="3">
        <f>(J2-0) * ((K2+0))</f>
        <v>8.0261913101998834E-3</v>
      </c>
      <c r="L10" s="3">
        <f>(J2-0) * ((L2+0))</f>
        <v>5.9393815695479128E-3</v>
      </c>
      <c r="M10" s="3">
        <f>(J2-0) * ((M2+0))</f>
        <v>2.4747423206449635E-3</v>
      </c>
      <c r="N10" s="3">
        <f>(J2-0) * ((N2+0))</f>
        <v>2.9696907847739564E-3</v>
      </c>
      <c r="O10" s="3">
        <f>(J2-0) * ((O2+0))</f>
        <v>6.7238281919410336E-3</v>
      </c>
      <c r="P10" s="3">
        <f>(J2-0) * ((P2+0))</f>
        <v>6.6666527821456168E-3</v>
      </c>
    </row>
    <row r="11" spans="1:16" x14ac:dyDescent="0.3">
      <c r="B11" s="11" t="s">
        <v>71</v>
      </c>
      <c r="C11" s="11">
        <f t="shared" ref="C11:C15" si="1">C3-B3</f>
        <v>0.16696723840309924</v>
      </c>
      <c r="D11" s="11">
        <f t="shared" ref="D11:D15" si="2">D3-B3</f>
        <v>2.3723995159855973E-2</v>
      </c>
      <c r="E11" s="11">
        <f t="shared" ref="E11:E15" si="3">E3-B3</f>
        <v>-3.4609338173477368E-2</v>
      </c>
      <c r="F11" s="11">
        <f t="shared" ref="F11:F15" si="4">F3-B3</f>
        <v>0.12372399515985598</v>
      </c>
      <c r="G11" s="11">
        <f t="shared" ref="G11:G15" si="5">G3-B3</f>
        <v>5.5799466857969174E-2</v>
      </c>
      <c r="H11" s="11">
        <f t="shared" ref="H11:H15" si="6">H3-B3</f>
        <v>7.678521964965189E-2</v>
      </c>
      <c r="J11" s="11" t="s">
        <v>71</v>
      </c>
      <c r="K11" s="3">
        <f>(J3-J2) * ((K3+K2))</f>
        <v>3.9168759242236124E-2</v>
      </c>
      <c r="L11" s="3">
        <f>(J3-J2) * ((L3+L2))</f>
        <v>2.288280145204321E-2</v>
      </c>
      <c r="M11" s="3">
        <f>(J3-J2) * ((M3+M2))</f>
        <v>9.5345006050180023E-3</v>
      </c>
      <c r="N11" s="3">
        <f>(J3-J2) * ((N3+N2))</f>
        <v>2.2882801452043206E-2</v>
      </c>
      <c r="O11" s="3">
        <f>(J3-J2) * ((O3+O2))</f>
        <v>2.7344228150240311E-2</v>
      </c>
      <c r="P11" s="3">
        <f>(J3-J2) * ((P3+P2))</f>
        <v>2.8798083460054375E-2</v>
      </c>
    </row>
    <row r="12" spans="1:16" x14ac:dyDescent="0.3">
      <c r="B12" s="11" t="s">
        <v>72</v>
      </c>
      <c r="C12" s="11">
        <f t="shared" si="1"/>
        <v>-5.0940112477004001E-2</v>
      </c>
      <c r="D12" s="11">
        <f t="shared" si="2"/>
        <v>2.2032860495968976E-2</v>
      </c>
      <c r="E12" s="11">
        <f t="shared" si="3"/>
        <v>-7.796713950403103E-2</v>
      </c>
      <c r="F12" s="11">
        <f t="shared" si="4"/>
        <v>5.7747146210254674E-2</v>
      </c>
      <c r="G12" s="11">
        <f t="shared" si="5"/>
        <v>-4.0231290447427258E-2</v>
      </c>
      <c r="H12" s="11">
        <f t="shared" si="6"/>
        <v>-3.7150812973418788E-2</v>
      </c>
      <c r="J12" s="11" t="s">
        <v>72</v>
      </c>
      <c r="K12" s="3">
        <f t="shared" ref="K12:K15" si="7">(J4-J3) * ((K4+K3))</f>
        <v>6.1109379611267563E-2</v>
      </c>
      <c r="L12" s="3">
        <f t="shared" ref="L12:L15" si="8">(J4-J3) * ((L4+L3))</f>
        <v>3.8983569752015515E-2</v>
      </c>
      <c r="M12" s="3">
        <f t="shared" ref="M12:M15" si="9">(J4-J3) * ((M4+M3))</f>
        <v>1.2994523250671838E-2</v>
      </c>
      <c r="N12" s="3">
        <f t="shared" ref="N12:N15" si="10">(J4-J3) * ((N4+N3))</f>
        <v>4.9564824398991153E-2</v>
      </c>
      <c r="O12" s="3">
        <f t="shared" ref="O12:O15" si="11">(J4-J3) * ((O4+O3))</f>
        <v>4.1190186907789979E-2</v>
      </c>
      <c r="P12" s="3">
        <f t="shared" ref="P12:P15" si="12">(J4-J3) * ((P4+P3))</f>
        <v>4.4552651145160584E-2</v>
      </c>
    </row>
    <row r="13" spans="1:16" x14ac:dyDescent="0.3">
      <c r="B13" s="11" t="s">
        <v>74</v>
      </c>
      <c r="C13" s="11">
        <f t="shared" si="1"/>
        <v>5.3362942637358399E-2</v>
      </c>
      <c r="D13" s="11">
        <f t="shared" si="2"/>
        <v>-8.1772192497776744E-2</v>
      </c>
      <c r="E13" s="11">
        <f t="shared" si="3"/>
        <v>4.3227807502223256E-2</v>
      </c>
      <c r="F13" s="11">
        <f t="shared" si="4"/>
        <v>-1.7486478212062465E-2</v>
      </c>
      <c r="G13" s="11">
        <f t="shared" si="5"/>
        <v>1.2567430143732697E-2</v>
      </c>
      <c r="H13" s="11">
        <f t="shared" si="6"/>
        <v>1.0064542196100812E-2</v>
      </c>
      <c r="J13" s="11" t="s">
        <v>74</v>
      </c>
      <c r="K13" s="3">
        <f t="shared" si="7"/>
        <v>7.7352073984383429E-2</v>
      </c>
      <c r="L13" s="3">
        <f t="shared" si="8"/>
        <v>4.9063315498666063E-2</v>
      </c>
      <c r="M13" s="3">
        <f t="shared" si="9"/>
        <v>2.3850222811851552E-2</v>
      </c>
      <c r="N13" s="3">
        <f t="shared" si="10"/>
        <v>6.8338189444570568E-2</v>
      </c>
      <c r="O13" s="3">
        <f t="shared" si="11"/>
        <v>5.4000504479663904E-2</v>
      </c>
      <c r="P13" s="3">
        <f t="shared" si="12"/>
        <v>5.7574298799455068E-2</v>
      </c>
    </row>
    <row r="14" spans="1:16" x14ac:dyDescent="0.3">
      <c r="B14" s="11" t="s">
        <v>73</v>
      </c>
      <c r="C14" s="11">
        <f t="shared" si="1"/>
        <v>-9.4266178764596975E-2</v>
      </c>
      <c r="D14" s="11">
        <f t="shared" si="2"/>
        <v>-9.4266178764596975E-2</v>
      </c>
      <c r="E14" s="11">
        <f t="shared" si="3"/>
        <v>-5.2599512097930311E-2</v>
      </c>
      <c r="F14" s="11">
        <f t="shared" si="4"/>
        <v>3.4305249806831584E-2</v>
      </c>
      <c r="G14" s="11">
        <f t="shared" si="5"/>
        <v>-7.5398254236295092E-2</v>
      </c>
      <c r="H14" s="11">
        <f t="shared" si="6"/>
        <v>-8.4062097131943916E-2</v>
      </c>
      <c r="J14" s="11" t="s">
        <v>73</v>
      </c>
      <c r="K14" s="3">
        <f t="shared" si="7"/>
        <v>0.10190938244821295</v>
      </c>
      <c r="L14" s="3">
        <f t="shared" si="8"/>
        <v>5.6559707258758196E-2</v>
      </c>
      <c r="M14" s="3">
        <f t="shared" si="9"/>
        <v>4.3205331933773607E-2</v>
      </c>
      <c r="N14" s="3">
        <f t="shared" si="10"/>
        <v>9.6959498157871166E-2</v>
      </c>
      <c r="O14" s="3">
        <f t="shared" si="11"/>
        <v>7.2922893006575021E-2</v>
      </c>
      <c r="P14" s="3">
        <f t="shared" si="12"/>
        <v>7.5990082881664908E-2</v>
      </c>
    </row>
    <row r="15" spans="1:16" x14ac:dyDescent="0.3">
      <c r="B15" s="11" t="s">
        <v>70</v>
      </c>
      <c r="C15" s="11">
        <f t="shared" si="1"/>
        <v>-0.1508652092385126</v>
      </c>
      <c r="D15" s="11">
        <f t="shared" si="2"/>
        <v>8.9675331302027872E-2</v>
      </c>
      <c r="E15" s="11">
        <f t="shared" si="3"/>
        <v>0.13967533130202792</v>
      </c>
      <c r="F15" s="11">
        <f t="shared" si="4"/>
        <v>-0.18889609726940065</v>
      </c>
      <c r="G15" s="11">
        <f t="shared" si="5"/>
        <v>-6.5510837923117293E-3</v>
      </c>
      <c r="H15" s="11">
        <f t="shared" si="6"/>
        <v>-1.8487934004094542E-2</v>
      </c>
      <c r="J15" s="11" t="s">
        <v>70</v>
      </c>
      <c r="K15" s="3">
        <f t="shared" si="7"/>
        <v>0.94022989502120025</v>
      </c>
      <c r="L15" s="3">
        <f t="shared" si="8"/>
        <v>0.7934220693073637</v>
      </c>
      <c r="M15" s="3">
        <f t="shared" si="9"/>
        <v>0.76290583587246508</v>
      </c>
      <c r="N15" s="3">
        <f t="shared" si="10"/>
        <v>0.96344108415894159</v>
      </c>
      <c r="O15" s="3">
        <f t="shared" si="11"/>
        <v>0.85215142421981016</v>
      </c>
      <c r="P15" s="3">
        <f t="shared" si="12"/>
        <v>0.85943677837061372</v>
      </c>
    </row>
    <row r="16" spans="1:16" x14ac:dyDescent="0.3">
      <c r="J16" s="13" t="s">
        <v>106</v>
      </c>
      <c r="K16" s="12">
        <f>SUM(K10:K15)</f>
        <v>1.2277956816175002</v>
      </c>
      <c r="L16" s="12">
        <f t="shared" ref="L16:P16" si="13">SUM(L10:L15)</f>
        <v>0.96685084483839456</v>
      </c>
      <c r="M16" s="12">
        <f t="shared" si="13"/>
        <v>0.85496515679442497</v>
      </c>
      <c r="N16" s="12">
        <f t="shared" si="13"/>
        <v>1.2041560883971916</v>
      </c>
      <c r="O16" s="12">
        <f t="shared" si="13"/>
        <v>1.0543330649560203</v>
      </c>
      <c r="P16" s="12">
        <f t="shared" si="13"/>
        <v>1.0730185474390943</v>
      </c>
    </row>
    <row r="17" spans="10:16" x14ac:dyDescent="0.3">
      <c r="J17" s="14" t="s">
        <v>107</v>
      </c>
      <c r="K17" s="15">
        <f>1-K16</f>
        <v>-0.22779568161750019</v>
      </c>
      <c r="L17" s="15">
        <f t="shared" ref="L17:P17" si="14">1-L16</f>
        <v>3.3149155161605437E-2</v>
      </c>
      <c r="M17" s="15">
        <f t="shared" si="14"/>
        <v>0.14503484320557503</v>
      </c>
      <c r="N17" s="15">
        <f t="shared" si="14"/>
        <v>-0.20415608839719157</v>
      </c>
      <c r="O17" s="15">
        <f t="shared" si="14"/>
        <v>-5.4333064956020305E-2</v>
      </c>
      <c r="P17" s="15">
        <f t="shared" si="14"/>
        <v>-7.3018547439094306E-2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D36D-D2A9-4A75-AD3C-739F4451C513}">
  <dimension ref="A1:P25"/>
  <sheetViews>
    <sheetView workbookViewId="0">
      <selection activeCell="I14" sqref="I14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77</v>
      </c>
      <c r="B2" s="11">
        <v>3.4057553854573111E-2</v>
      </c>
      <c r="C2" s="11">
        <v>8.4507042253521125E-2</v>
      </c>
      <c r="D2" s="11">
        <v>0</v>
      </c>
      <c r="E2" s="11">
        <v>0.10714285714285714</v>
      </c>
      <c r="F2" s="11">
        <v>3.5087719298245612E-2</v>
      </c>
      <c r="G2" s="11">
        <v>4.7619047619047616E-2</v>
      </c>
      <c r="H2" s="11">
        <v>3.5087719298245612E-2</v>
      </c>
      <c r="I2" s="11">
        <v>3.4057553854573111E-2</v>
      </c>
      <c r="J2" s="11">
        <v>3.4057553854573111E-2</v>
      </c>
      <c r="K2" s="11">
        <v>8.4507042253521125E-2</v>
      </c>
      <c r="L2" s="11">
        <v>0</v>
      </c>
      <c r="M2" s="11">
        <v>0.10714285714285714</v>
      </c>
      <c r="N2" s="11">
        <v>3.5087719298245612E-2</v>
      </c>
      <c r="O2" s="11">
        <v>4.7619047619047616E-2</v>
      </c>
      <c r="P2" s="11">
        <v>3.5087719298245612E-2</v>
      </c>
    </row>
    <row r="3" spans="1:16" x14ac:dyDescent="0.3">
      <c r="A3" s="11" t="s">
        <v>85</v>
      </c>
      <c r="B3" s="11">
        <v>3.5855667611920147E-2</v>
      </c>
      <c r="C3" s="11">
        <v>4.2253521126760563E-2</v>
      </c>
      <c r="D3" s="11">
        <v>3.6363636363636362E-2</v>
      </c>
      <c r="E3" s="11">
        <v>0</v>
      </c>
      <c r="F3" s="11">
        <v>2.6315789473684209E-2</v>
      </c>
      <c r="G3" s="11">
        <v>2.7210884353741496E-2</v>
      </c>
      <c r="H3" s="11">
        <v>3.5087719298245612E-2</v>
      </c>
      <c r="I3" s="11">
        <v>6.9913221466493258E-2</v>
      </c>
      <c r="J3" s="11">
        <f>J2+B3</f>
        <v>6.9913221466493258E-2</v>
      </c>
      <c r="K3" s="11">
        <f t="shared" ref="K3:P11" si="0">K2+C3</f>
        <v>0.12676056338028169</v>
      </c>
      <c r="L3" s="11">
        <f t="shared" si="0"/>
        <v>3.6363636363636362E-2</v>
      </c>
      <c r="M3" s="11">
        <f t="shared" si="0"/>
        <v>0.10714285714285714</v>
      </c>
      <c r="N3" s="11">
        <f t="shared" si="0"/>
        <v>6.1403508771929821E-2</v>
      </c>
      <c r="O3" s="11">
        <f t="shared" si="0"/>
        <v>7.4829931972789115E-2</v>
      </c>
      <c r="P3" s="11">
        <f t="shared" si="0"/>
        <v>7.0175438596491224E-2</v>
      </c>
    </row>
    <row r="4" spans="1:16" x14ac:dyDescent="0.3">
      <c r="A4" s="11" t="s">
        <v>83</v>
      </c>
      <c r="B4" s="11">
        <v>5.199604841403524E-2</v>
      </c>
      <c r="C4" s="11">
        <v>2.8169014084507043E-2</v>
      </c>
      <c r="D4" s="11">
        <v>7.2727272727272724E-2</v>
      </c>
      <c r="E4" s="11">
        <v>7.1428571428571425E-2</v>
      </c>
      <c r="F4" s="11">
        <v>0</v>
      </c>
      <c r="G4" s="11">
        <v>0</v>
      </c>
      <c r="H4" s="11">
        <v>8.771929824561403E-3</v>
      </c>
      <c r="I4" s="11">
        <v>0.1219092698805285</v>
      </c>
      <c r="J4" s="11">
        <f t="shared" ref="J4:J11" si="1">J3+B4</f>
        <v>0.1219092698805285</v>
      </c>
      <c r="K4" s="11">
        <f t="shared" si="0"/>
        <v>0.15492957746478872</v>
      </c>
      <c r="L4" s="11">
        <f t="shared" si="0"/>
        <v>0.10909090909090909</v>
      </c>
      <c r="M4" s="11">
        <f t="shared" si="0"/>
        <v>0.17857142857142855</v>
      </c>
      <c r="N4" s="11">
        <f t="shared" si="0"/>
        <v>6.1403508771929821E-2</v>
      </c>
      <c r="O4" s="11">
        <f t="shared" si="0"/>
        <v>7.4829931972789115E-2</v>
      </c>
      <c r="P4" s="11">
        <f t="shared" si="0"/>
        <v>7.8947368421052627E-2</v>
      </c>
    </row>
    <row r="5" spans="1:16" x14ac:dyDescent="0.3">
      <c r="A5" s="11" t="s">
        <v>79</v>
      </c>
      <c r="B5" s="11">
        <v>5.2081334442051701E-2</v>
      </c>
      <c r="C5" s="11">
        <v>0</v>
      </c>
      <c r="D5" s="11">
        <v>7.2727272727272724E-2</v>
      </c>
      <c r="E5" s="11">
        <v>0</v>
      </c>
      <c r="F5" s="11">
        <v>1.7543859649122806E-2</v>
      </c>
      <c r="G5" s="11">
        <v>5.4421768707482991E-2</v>
      </c>
      <c r="H5" s="11">
        <v>5.2631578947368418E-2</v>
      </c>
      <c r="I5" s="11">
        <v>0.17399060432258021</v>
      </c>
      <c r="J5" s="11">
        <f t="shared" si="1"/>
        <v>0.17399060432258021</v>
      </c>
      <c r="K5" s="11">
        <f t="shared" si="0"/>
        <v>0.15492957746478872</v>
      </c>
      <c r="L5" s="11">
        <f t="shared" si="0"/>
        <v>0.18181818181818182</v>
      </c>
      <c r="M5" s="11">
        <f t="shared" si="0"/>
        <v>0.17857142857142855</v>
      </c>
      <c r="N5" s="11">
        <f t="shared" si="0"/>
        <v>7.8947368421052627E-2</v>
      </c>
      <c r="O5" s="11">
        <f t="shared" si="0"/>
        <v>0.12925170068027211</v>
      </c>
      <c r="P5" s="11">
        <f t="shared" si="0"/>
        <v>0.13157894736842105</v>
      </c>
    </row>
    <row r="6" spans="1:16" x14ac:dyDescent="0.3">
      <c r="A6" s="11" t="s">
        <v>78</v>
      </c>
      <c r="B6" s="11">
        <v>5.5912098533791033E-2</v>
      </c>
      <c r="C6" s="11">
        <v>4.2253521126760563E-2</v>
      </c>
      <c r="D6" s="11">
        <v>1.8181818181818181E-2</v>
      </c>
      <c r="E6" s="11">
        <v>7.1428571428571425E-2</v>
      </c>
      <c r="F6" s="11">
        <v>0.10526315789473684</v>
      </c>
      <c r="G6" s="11">
        <v>4.7619047619047616E-2</v>
      </c>
      <c r="H6" s="11">
        <v>5.2631578947368418E-2</v>
      </c>
      <c r="I6" s="11">
        <v>0.22990270285637124</v>
      </c>
      <c r="J6" s="11">
        <f t="shared" si="1"/>
        <v>0.22990270285637124</v>
      </c>
      <c r="K6" s="11">
        <f t="shared" si="0"/>
        <v>0.19718309859154928</v>
      </c>
      <c r="L6" s="11">
        <f t="shared" si="0"/>
        <v>0.2</v>
      </c>
      <c r="M6" s="11">
        <f t="shared" si="0"/>
        <v>0.24999999999999997</v>
      </c>
      <c r="N6" s="11">
        <f t="shared" si="0"/>
        <v>0.18421052631578946</v>
      </c>
      <c r="O6" s="11">
        <f t="shared" si="0"/>
        <v>0.17687074829931973</v>
      </c>
      <c r="P6" s="11">
        <f t="shared" si="0"/>
        <v>0.18421052631578946</v>
      </c>
    </row>
    <row r="7" spans="1:16" x14ac:dyDescent="0.3">
      <c r="A7" s="11" t="s">
        <v>80</v>
      </c>
      <c r="B7" s="11">
        <v>5.9550969062493339E-2</v>
      </c>
      <c r="C7" s="11">
        <v>8.4507042253521125E-2</v>
      </c>
      <c r="D7" s="11">
        <v>7.2727272727272724E-2</v>
      </c>
      <c r="E7" s="11">
        <v>3.5714285714285712E-2</v>
      </c>
      <c r="F7" s="11">
        <v>3.5087719298245612E-2</v>
      </c>
      <c r="G7" s="11">
        <v>4.7619047619047616E-2</v>
      </c>
      <c r="H7" s="11">
        <v>3.5087719298245612E-2</v>
      </c>
      <c r="I7" s="11">
        <v>0.28945367191886456</v>
      </c>
      <c r="J7" s="11">
        <f t="shared" si="1"/>
        <v>0.28945367191886456</v>
      </c>
      <c r="K7" s="11">
        <f t="shared" si="0"/>
        <v>0.28169014084507038</v>
      </c>
      <c r="L7" s="11">
        <f t="shared" si="0"/>
        <v>0.27272727272727271</v>
      </c>
      <c r="M7" s="11">
        <f t="shared" si="0"/>
        <v>0.2857142857142857</v>
      </c>
      <c r="N7" s="11">
        <f t="shared" si="0"/>
        <v>0.21929824561403508</v>
      </c>
      <c r="O7" s="11">
        <f t="shared" si="0"/>
        <v>0.22448979591836735</v>
      </c>
      <c r="P7" s="11">
        <f t="shared" si="0"/>
        <v>0.21929824561403508</v>
      </c>
    </row>
    <row r="8" spans="1:16" x14ac:dyDescent="0.3">
      <c r="A8" s="11" t="s">
        <v>81</v>
      </c>
      <c r="B8" s="11">
        <v>7.3594735009203785E-2</v>
      </c>
      <c r="C8" s="11">
        <v>1.4084507042253521E-2</v>
      </c>
      <c r="D8" s="11">
        <v>3.6363636363636362E-2</v>
      </c>
      <c r="E8" s="11">
        <v>3.5714285714285712E-2</v>
      </c>
      <c r="F8" s="11">
        <v>5.2631578947368418E-2</v>
      </c>
      <c r="G8" s="11">
        <v>3.4013605442176874E-2</v>
      </c>
      <c r="H8" s="11">
        <v>4.3859649122807015E-2</v>
      </c>
      <c r="I8" s="11">
        <v>0.36304840692806833</v>
      </c>
      <c r="J8" s="11">
        <f t="shared" si="1"/>
        <v>0.36304840692806833</v>
      </c>
      <c r="K8" s="11">
        <f t="shared" si="0"/>
        <v>0.29577464788732388</v>
      </c>
      <c r="L8" s="11">
        <f t="shared" si="0"/>
        <v>0.30909090909090908</v>
      </c>
      <c r="M8" s="11">
        <f t="shared" si="0"/>
        <v>0.3214285714285714</v>
      </c>
      <c r="N8" s="11">
        <f t="shared" si="0"/>
        <v>0.27192982456140347</v>
      </c>
      <c r="O8" s="11">
        <f t="shared" si="0"/>
        <v>0.25850340136054423</v>
      </c>
      <c r="P8" s="11">
        <f t="shared" si="0"/>
        <v>0.26315789473684209</v>
      </c>
    </row>
    <row r="9" spans="1:16" x14ac:dyDescent="0.3">
      <c r="A9" s="11" t="s">
        <v>84</v>
      </c>
      <c r="B9" s="11">
        <v>0.16912930072564195</v>
      </c>
      <c r="C9" s="11">
        <v>7.0422535211267609E-2</v>
      </c>
      <c r="D9" s="11">
        <v>3.6363636363636362E-2</v>
      </c>
      <c r="E9" s="11">
        <v>0</v>
      </c>
      <c r="F9" s="11">
        <v>0.15789473684210525</v>
      </c>
      <c r="G9" s="11">
        <v>9.5238095238095233E-2</v>
      </c>
      <c r="H9" s="11">
        <v>9.6491228070175433E-2</v>
      </c>
      <c r="I9" s="11">
        <v>0.53217770765371031</v>
      </c>
      <c r="J9" s="11">
        <f t="shared" si="1"/>
        <v>0.53217770765371031</v>
      </c>
      <c r="K9" s="11">
        <f t="shared" si="0"/>
        <v>0.36619718309859151</v>
      </c>
      <c r="L9" s="11">
        <f t="shared" si="0"/>
        <v>0.34545454545454546</v>
      </c>
      <c r="M9" s="11">
        <f t="shared" si="0"/>
        <v>0.3214285714285714</v>
      </c>
      <c r="N9" s="11">
        <f t="shared" si="0"/>
        <v>0.42982456140350872</v>
      </c>
      <c r="O9" s="11">
        <f t="shared" si="0"/>
        <v>0.35374149659863946</v>
      </c>
      <c r="P9" s="11">
        <f t="shared" si="0"/>
        <v>0.35964912280701755</v>
      </c>
    </row>
    <row r="10" spans="1:16" x14ac:dyDescent="0.3">
      <c r="A10" s="11" t="s">
        <v>82</v>
      </c>
      <c r="B10" s="11">
        <v>0.22153756494175675</v>
      </c>
      <c r="C10" s="11">
        <v>0.11267605633802817</v>
      </c>
      <c r="D10" s="11">
        <v>0.43636363636363634</v>
      </c>
      <c r="E10" s="11">
        <v>0.17857142857142858</v>
      </c>
      <c r="F10" s="11">
        <v>0.11403508771929824</v>
      </c>
      <c r="G10" s="11">
        <v>0.1360544217687075</v>
      </c>
      <c r="H10" s="11">
        <v>0.16666666666666666</v>
      </c>
      <c r="I10" s="11">
        <v>0.753715272595467</v>
      </c>
      <c r="J10" s="11">
        <f t="shared" si="1"/>
        <v>0.753715272595467</v>
      </c>
      <c r="K10" s="11">
        <f t="shared" si="0"/>
        <v>0.47887323943661969</v>
      </c>
      <c r="L10" s="11">
        <f t="shared" si="0"/>
        <v>0.78181818181818175</v>
      </c>
      <c r="M10" s="11">
        <f t="shared" si="0"/>
        <v>0.5</v>
      </c>
      <c r="N10" s="11">
        <f t="shared" si="0"/>
        <v>0.54385964912280693</v>
      </c>
      <c r="O10" s="11">
        <f t="shared" si="0"/>
        <v>0.48979591836734693</v>
      </c>
      <c r="P10" s="11">
        <f t="shared" si="0"/>
        <v>0.52631578947368418</v>
      </c>
    </row>
    <row r="11" spans="1:16" x14ac:dyDescent="0.3">
      <c r="A11" s="11" t="s">
        <v>76</v>
      </c>
      <c r="B11" s="11">
        <v>0.24628472740453294</v>
      </c>
      <c r="C11" s="11">
        <v>0.52112676056338025</v>
      </c>
      <c r="D11" s="11">
        <v>0.21818181818181817</v>
      </c>
      <c r="E11" s="11">
        <v>0.5</v>
      </c>
      <c r="F11" s="11">
        <v>0.45614035087719296</v>
      </c>
      <c r="G11" s="11">
        <v>0.51020408163265307</v>
      </c>
      <c r="H11" s="11">
        <v>0.47368421052631576</v>
      </c>
      <c r="I11" s="11">
        <v>1</v>
      </c>
      <c r="J11" s="11">
        <f t="shared" si="1"/>
        <v>1</v>
      </c>
      <c r="K11" s="11">
        <f t="shared" si="0"/>
        <v>1</v>
      </c>
      <c r="L11" s="11">
        <f t="shared" si="0"/>
        <v>0.99999999999999989</v>
      </c>
      <c r="M11" s="11">
        <f t="shared" si="0"/>
        <v>1</v>
      </c>
      <c r="N11" s="11">
        <f t="shared" si="0"/>
        <v>0.99999999999999989</v>
      </c>
      <c r="O11" s="11">
        <f t="shared" si="0"/>
        <v>1</v>
      </c>
      <c r="P11" s="11">
        <f t="shared" si="0"/>
        <v>1</v>
      </c>
    </row>
    <row r="13" spans="1:16" ht="28.8" x14ac:dyDescent="0.3">
      <c r="B13" s="1" t="s">
        <v>86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  <c r="J13" s="1" t="s">
        <v>86</v>
      </c>
      <c r="K13" s="12" t="s">
        <v>100</v>
      </c>
      <c r="L13" s="12" t="s">
        <v>101</v>
      </c>
      <c r="M13" s="12" t="s">
        <v>102</v>
      </c>
      <c r="N13" s="12" t="s">
        <v>103</v>
      </c>
      <c r="O13" s="12" t="s">
        <v>104</v>
      </c>
      <c r="P13" s="12" t="s">
        <v>105</v>
      </c>
    </row>
    <row r="14" spans="1:16" x14ac:dyDescent="0.3">
      <c r="B14" s="11" t="s">
        <v>77</v>
      </c>
      <c r="C14" s="11">
        <f>C2-B2</f>
        <v>5.0449488398948014E-2</v>
      </c>
      <c r="D14" s="11">
        <f>D2-B2</f>
        <v>-3.4057553854573111E-2</v>
      </c>
      <c r="E14" s="11">
        <f>E2-B2</f>
        <v>7.3085303288284026E-2</v>
      </c>
      <c r="F14" s="11">
        <f>F2-B2</f>
        <v>1.0301654436725011E-3</v>
      </c>
      <c r="G14" s="11">
        <f>G2-B2</f>
        <v>1.3561493764474505E-2</v>
      </c>
      <c r="H14" s="11">
        <f>H2-B2</f>
        <v>1.0301654436725011E-3</v>
      </c>
      <c r="J14" s="11" t="s">
        <v>77</v>
      </c>
      <c r="K14" s="3">
        <f>(J2-0) * ((K2+0))</f>
        <v>2.8781031426399813E-3</v>
      </c>
      <c r="L14" s="3">
        <f>(J2-0) * ((L2+0))</f>
        <v>0</v>
      </c>
      <c r="M14" s="3">
        <f>(J2-0) * ((M2+0))</f>
        <v>3.6490236272756901E-3</v>
      </c>
      <c r="N14" s="3">
        <f>(J2-0) * ((N2+0))</f>
        <v>1.1950018896341441E-3</v>
      </c>
      <c r="O14" s="3">
        <f>(J2-0) * ((O2+0))</f>
        <v>1.6217882787891956E-3</v>
      </c>
      <c r="P14" s="3">
        <f>(J2-0) * ((P2+0))</f>
        <v>1.1950018896341441E-3</v>
      </c>
    </row>
    <row r="15" spans="1:16" x14ac:dyDescent="0.3">
      <c r="B15" s="11" t="s">
        <v>85</v>
      </c>
      <c r="C15" s="11">
        <f t="shared" ref="C15:C23" si="2">C3-B3</f>
        <v>6.3978535148404153E-3</v>
      </c>
      <c r="D15" s="11">
        <f t="shared" ref="D15:D23" si="3">D3-B3</f>
        <v>5.0796875171621458E-4</v>
      </c>
      <c r="E15" s="11">
        <f t="shared" ref="E15:E23" si="4">E3-B3</f>
        <v>-3.5855667611920147E-2</v>
      </c>
      <c r="F15" s="11">
        <f t="shared" ref="F15:F23" si="5">F3-B3</f>
        <v>-9.5398781382359382E-3</v>
      </c>
      <c r="G15" s="11">
        <f t="shared" ref="G15:G23" si="6">G3-B3</f>
        <v>-8.6447832581786517E-3</v>
      </c>
      <c r="H15" s="11">
        <f t="shared" ref="H15:H23" si="7">H3-B3</f>
        <v>-7.679483136745352E-4</v>
      </c>
      <c r="J15" s="11" t="s">
        <v>85</v>
      </c>
      <c r="K15" s="3">
        <f>(J3-J2) * ((K3+K2))</f>
        <v>7.5751410447718621E-3</v>
      </c>
      <c r="L15" s="3">
        <f>(J3-J2) * ((L3+L2))</f>
        <v>1.3038424586152781E-3</v>
      </c>
      <c r="M15" s="3">
        <f>(J3-J2) * ((M3+M2))</f>
        <v>7.6833573454114599E-3</v>
      </c>
      <c r="N15" s="3">
        <f>(J3-J2) * ((N3+N2))</f>
        <v>3.4597574011501894E-3</v>
      </c>
      <c r="O15" s="3">
        <f>(J3-J2) * ((O3+O2))</f>
        <v>4.3904899116636916E-3</v>
      </c>
      <c r="P15" s="3">
        <f>(J3-J2) * ((P3+P2))</f>
        <v>3.7742808012547523E-3</v>
      </c>
    </row>
    <row r="16" spans="1:16" x14ac:dyDescent="0.3">
      <c r="B16" s="11" t="s">
        <v>83</v>
      </c>
      <c r="C16" s="11">
        <f t="shared" si="2"/>
        <v>-2.3827034329528197E-2</v>
      </c>
      <c r="D16" s="11">
        <f t="shared" si="3"/>
        <v>2.0731224313237484E-2</v>
      </c>
      <c r="E16" s="11">
        <f t="shared" si="4"/>
        <v>1.9432523014536185E-2</v>
      </c>
      <c r="F16" s="11">
        <f t="shared" si="5"/>
        <v>-5.199604841403524E-2</v>
      </c>
      <c r="G16" s="11">
        <f t="shared" si="6"/>
        <v>-5.199604841403524E-2</v>
      </c>
      <c r="H16" s="11">
        <f t="shared" si="7"/>
        <v>-4.3224118589473837E-2</v>
      </c>
      <c r="J16" s="11" t="s">
        <v>83</v>
      </c>
      <c r="K16" s="3">
        <f t="shared" ref="K16:K23" si="8">(J4-J3) * ((K4+K3))</f>
        <v>1.4646774201136685E-2</v>
      </c>
      <c r="L16" s="3">
        <f t="shared" ref="L16:L23" si="9">(J4-J3) * ((L4+L3))</f>
        <v>7.5630615874960347E-3</v>
      </c>
      <c r="M16" s="3">
        <f t="shared" ref="M16:M23" si="10">(J4-J3) * ((M4+M3))</f>
        <v>1.4856013832581496E-2</v>
      </c>
      <c r="N16" s="3">
        <f t="shared" ref="N16:N23" si="11">(J4-J3) * ((N4+N3))</f>
        <v>6.3854796297938008E-3</v>
      </c>
      <c r="O16" s="3">
        <f t="shared" ref="O16:O23" si="12">(J4-J3) * ((O4+O3))</f>
        <v>7.7817215313522124E-3</v>
      </c>
      <c r="P16" s="3">
        <f t="shared" ref="P16:P23" si="13">(J4-J3) * ((P4+P3))</f>
        <v>7.7537966933210441E-3</v>
      </c>
    </row>
    <row r="17" spans="2:16" x14ac:dyDescent="0.3">
      <c r="B17" s="11" t="s">
        <v>79</v>
      </c>
      <c r="C17" s="11">
        <f t="shared" si="2"/>
        <v>-5.2081334442051701E-2</v>
      </c>
      <c r="D17" s="11">
        <f t="shared" si="3"/>
        <v>2.0645938285221023E-2</v>
      </c>
      <c r="E17" s="11">
        <f t="shared" si="4"/>
        <v>-5.2081334442051701E-2</v>
      </c>
      <c r="F17" s="11">
        <f t="shared" si="5"/>
        <v>-3.4537474792928895E-2</v>
      </c>
      <c r="G17" s="11">
        <f t="shared" si="6"/>
        <v>2.3404342654312904E-3</v>
      </c>
      <c r="H17" s="11">
        <f t="shared" si="7"/>
        <v>5.5024450531671737E-4</v>
      </c>
      <c r="J17" s="11" t="s">
        <v>79</v>
      </c>
      <c r="K17" s="3">
        <f t="shared" si="8"/>
        <v>1.6137878277818839E-2</v>
      </c>
      <c r="L17" s="3">
        <f t="shared" si="9"/>
        <v>1.5150933655869586E-2</v>
      </c>
      <c r="M17" s="3">
        <f t="shared" si="10"/>
        <v>1.8600476586447034E-2</v>
      </c>
      <c r="N17" s="3">
        <f t="shared" si="11"/>
        <v>7.3096609743230467E-3</v>
      </c>
      <c r="O17" s="3">
        <f t="shared" si="12"/>
        <v>1.0628843763684023E-2</v>
      </c>
      <c r="P17" s="3">
        <f t="shared" si="13"/>
        <v>1.0964491461484569E-2</v>
      </c>
    </row>
    <row r="18" spans="2:16" x14ac:dyDescent="0.3">
      <c r="B18" s="11" t="s">
        <v>78</v>
      </c>
      <c r="C18" s="11">
        <f t="shared" si="2"/>
        <v>-1.365857740703047E-2</v>
      </c>
      <c r="D18" s="11">
        <f t="shared" si="3"/>
        <v>-3.7730280351972852E-2</v>
      </c>
      <c r="E18" s="11">
        <f t="shared" si="4"/>
        <v>1.5516472894780392E-2</v>
      </c>
      <c r="F18" s="11">
        <f t="shared" si="5"/>
        <v>4.9351059360945804E-2</v>
      </c>
      <c r="G18" s="11">
        <f t="shared" si="6"/>
        <v>-8.2930509147434162E-3</v>
      </c>
      <c r="H18" s="11">
        <f t="shared" si="7"/>
        <v>-3.2805195864226144E-3</v>
      </c>
      <c r="J18" s="11" t="s">
        <v>78</v>
      </c>
      <c r="K18" s="3">
        <f t="shared" si="8"/>
        <v>1.9687358638658812E-2</v>
      </c>
      <c r="L18" s="3">
        <f t="shared" si="9"/>
        <v>2.1348255803811122E-2</v>
      </c>
      <c r="M18" s="3">
        <f t="shared" si="10"/>
        <v>2.3962327943053294E-2</v>
      </c>
      <c r="N18" s="3">
        <f t="shared" si="11"/>
        <v>1.4713710140471323E-2</v>
      </c>
      <c r="O18" s="3">
        <f t="shared" si="12"/>
        <v>1.7115948530752358E-2</v>
      </c>
      <c r="P18" s="3">
        <f t="shared" si="13"/>
        <v>1.7656452168565588E-2</v>
      </c>
    </row>
    <row r="19" spans="2:16" x14ac:dyDescent="0.3">
      <c r="B19" s="11" t="s">
        <v>80</v>
      </c>
      <c r="C19" s="11">
        <f t="shared" si="2"/>
        <v>2.4956073191027786E-2</v>
      </c>
      <c r="D19" s="11">
        <f t="shared" si="3"/>
        <v>1.3176303664779385E-2</v>
      </c>
      <c r="E19" s="11">
        <f t="shared" si="4"/>
        <v>-2.3836683348207627E-2</v>
      </c>
      <c r="F19" s="11">
        <f t="shared" si="5"/>
        <v>-2.4463249764247727E-2</v>
      </c>
      <c r="G19" s="11">
        <f t="shared" si="6"/>
        <v>-1.1931921443445723E-2</v>
      </c>
      <c r="H19" s="11">
        <f t="shared" si="7"/>
        <v>-2.4463249764247727E-2</v>
      </c>
      <c r="J19" s="11" t="s">
        <v>80</v>
      </c>
      <c r="K19" s="3">
        <f t="shared" si="8"/>
        <v>2.8517365466546093E-2</v>
      </c>
      <c r="L19" s="3">
        <f t="shared" si="9"/>
        <v>2.8151367193178661E-2</v>
      </c>
      <c r="M19" s="3">
        <f t="shared" si="10"/>
        <v>3.1902304854907138E-2</v>
      </c>
      <c r="N19" s="3">
        <f t="shared" si="11"/>
        <v>2.4029338393637655E-2</v>
      </c>
      <c r="O19" s="3">
        <f t="shared" si="12"/>
        <v>2.3901409351612966E-2</v>
      </c>
      <c r="P19" s="3">
        <f t="shared" si="13"/>
        <v>2.4029338393637655E-2</v>
      </c>
    </row>
    <row r="20" spans="2:16" x14ac:dyDescent="0.3">
      <c r="B20" s="11" t="s">
        <v>81</v>
      </c>
      <c r="C20" s="11">
        <f t="shared" si="2"/>
        <v>-5.9510227966950262E-2</v>
      </c>
      <c r="D20" s="11">
        <f t="shared" si="3"/>
        <v>-3.7231098645567423E-2</v>
      </c>
      <c r="E20" s="11">
        <f t="shared" si="4"/>
        <v>-3.7880449294918073E-2</v>
      </c>
      <c r="F20" s="11">
        <f t="shared" si="5"/>
        <v>-2.0963156061835367E-2</v>
      </c>
      <c r="G20" s="11">
        <f t="shared" si="6"/>
        <v>-3.9581129567026911E-2</v>
      </c>
      <c r="H20" s="11">
        <f t="shared" si="7"/>
        <v>-2.973508588639677E-2</v>
      </c>
      <c r="J20" s="11" t="s">
        <v>81</v>
      </c>
      <c r="K20" s="3">
        <f t="shared" si="8"/>
        <v>4.2498368103906392E-2</v>
      </c>
      <c r="L20" s="3">
        <f t="shared" si="9"/>
        <v>4.2818754914445825E-2</v>
      </c>
      <c r="M20" s="3">
        <f t="shared" si="10"/>
        <v>4.4682517684159428E-2</v>
      </c>
      <c r="N20" s="3">
        <f t="shared" si="11"/>
        <v>3.6151799653643957E-2</v>
      </c>
      <c r="O20" s="3">
        <f t="shared" si="12"/>
        <v>3.5545756364989578E-2</v>
      </c>
      <c r="P20" s="3">
        <f t="shared" si="13"/>
        <v>3.5506231802686028E-2</v>
      </c>
    </row>
    <row r="21" spans="2:16" x14ac:dyDescent="0.3">
      <c r="B21" s="11" t="s">
        <v>84</v>
      </c>
      <c r="C21" s="11">
        <f t="shared" si="2"/>
        <v>-9.8706765514374337E-2</v>
      </c>
      <c r="D21" s="11">
        <f t="shared" si="3"/>
        <v>-0.1327656643620056</v>
      </c>
      <c r="E21" s="11">
        <f t="shared" si="4"/>
        <v>-0.16912930072564195</v>
      </c>
      <c r="F21" s="11">
        <f t="shared" si="5"/>
        <v>-1.1234563883536691E-2</v>
      </c>
      <c r="G21" s="11">
        <f t="shared" si="6"/>
        <v>-7.3891205487546713E-2</v>
      </c>
      <c r="H21" s="11">
        <f t="shared" si="7"/>
        <v>-7.2638072655466512E-2</v>
      </c>
      <c r="J21" s="11" t="s">
        <v>84</v>
      </c>
      <c r="K21" s="3">
        <f t="shared" si="8"/>
        <v>0.11195883287472072</v>
      </c>
      <c r="L21" s="3">
        <f t="shared" si="9"/>
        <v>0.1107028150204202</v>
      </c>
      <c r="M21" s="3">
        <f t="shared" si="10"/>
        <v>0.10872597903791269</v>
      </c>
      <c r="N21" s="3">
        <f t="shared" si="11"/>
        <v>0.11868722857939787</v>
      </c>
      <c r="O21" s="3">
        <f t="shared" si="12"/>
        <v>0.10354855146467876</v>
      </c>
      <c r="P21" s="3">
        <f t="shared" si="13"/>
        <v>0.1053349153642156</v>
      </c>
    </row>
    <row r="22" spans="2:16" x14ac:dyDescent="0.3">
      <c r="B22" s="11" t="s">
        <v>82</v>
      </c>
      <c r="C22" s="11">
        <f t="shared" si="2"/>
        <v>-0.10886150860372858</v>
      </c>
      <c r="D22" s="11">
        <f t="shared" si="3"/>
        <v>0.21482607142187959</v>
      </c>
      <c r="E22" s="11">
        <f t="shared" si="4"/>
        <v>-4.2966136370328173E-2</v>
      </c>
      <c r="F22" s="11">
        <f t="shared" si="5"/>
        <v>-0.10750247722245851</v>
      </c>
      <c r="G22" s="11">
        <f t="shared" si="6"/>
        <v>-8.5483143173049253E-2</v>
      </c>
      <c r="H22" s="11">
        <f t="shared" si="7"/>
        <v>-5.4870898275090091E-2</v>
      </c>
      <c r="J22" s="11" t="s">
        <v>82</v>
      </c>
      <c r="K22" s="3">
        <f t="shared" si="8"/>
        <v>0.18721484361275212</v>
      </c>
      <c r="L22" s="3">
        <f t="shared" si="9"/>
        <v>0.24973325502525298</v>
      </c>
      <c r="M22" s="3">
        <f t="shared" si="10"/>
        <v>0.18197728548787157</v>
      </c>
      <c r="N22" s="3">
        <f t="shared" si="11"/>
        <v>0.21570762902223675</v>
      </c>
      <c r="O22" s="3">
        <f t="shared" si="12"/>
        <v>0.18687522484882879</v>
      </c>
      <c r="P22" s="3">
        <f t="shared" si="13"/>
        <v>0.19627450929050372</v>
      </c>
    </row>
    <row r="23" spans="2:16" x14ac:dyDescent="0.3">
      <c r="B23" s="11" t="s">
        <v>76</v>
      </c>
      <c r="C23" s="11">
        <f t="shared" si="2"/>
        <v>0.27484203315884731</v>
      </c>
      <c r="D23" s="11">
        <f t="shared" si="3"/>
        <v>-2.8102909222714773E-2</v>
      </c>
      <c r="E23" s="11">
        <f t="shared" si="4"/>
        <v>0.25371527259546706</v>
      </c>
      <c r="F23" s="11">
        <f t="shared" si="5"/>
        <v>0.20985562347266001</v>
      </c>
      <c r="G23" s="11">
        <f t="shared" si="6"/>
        <v>0.26391935422812013</v>
      </c>
      <c r="H23" s="11">
        <f t="shared" si="7"/>
        <v>0.22739948312178282</v>
      </c>
      <c r="J23" s="11" t="s">
        <v>76</v>
      </c>
      <c r="K23" s="3">
        <f t="shared" si="8"/>
        <v>0.36422389264050653</v>
      </c>
      <c r="L23" s="3">
        <f t="shared" si="9"/>
        <v>0.43883460519353151</v>
      </c>
      <c r="M23" s="3">
        <f t="shared" si="10"/>
        <v>0.3694270911067995</v>
      </c>
      <c r="N23" s="3">
        <f t="shared" si="11"/>
        <v>0.38022905283506847</v>
      </c>
      <c r="O23" s="3">
        <f t="shared" si="12"/>
        <v>0.36691398164348799</v>
      </c>
      <c r="P23" s="3">
        <f t="shared" si="13"/>
        <v>0.37590826814376088</v>
      </c>
    </row>
    <row r="24" spans="2:16" x14ac:dyDescent="0.3">
      <c r="J24" s="13" t="s">
        <v>106</v>
      </c>
      <c r="K24" s="12">
        <f>SUM(K14:K23)</f>
        <v>0.79533855800345798</v>
      </c>
      <c r="L24" s="12">
        <f t="shared" ref="L24:P24" si="14">SUM(L14:L23)</f>
        <v>0.91560689085262115</v>
      </c>
      <c r="M24" s="12">
        <f t="shared" si="14"/>
        <v>0.80546637750641925</v>
      </c>
      <c r="N24" s="12">
        <f t="shared" si="14"/>
        <v>0.80786865851935719</v>
      </c>
      <c r="O24" s="12">
        <f t="shared" si="14"/>
        <v>0.75832371568983958</v>
      </c>
      <c r="P24" s="12">
        <f t="shared" si="14"/>
        <v>0.77839728600906399</v>
      </c>
    </row>
    <row r="25" spans="2:16" x14ac:dyDescent="0.3">
      <c r="J25" s="14" t="s">
        <v>107</v>
      </c>
      <c r="K25" s="15">
        <f>1-K24</f>
        <v>0.20466144199654202</v>
      </c>
      <c r="L25" s="15">
        <f t="shared" ref="L25:P25" si="15">1-L24</f>
        <v>8.4393109147378853E-2</v>
      </c>
      <c r="M25" s="15">
        <f t="shared" si="15"/>
        <v>0.19453362249358075</v>
      </c>
      <c r="N25" s="15">
        <f t="shared" si="15"/>
        <v>0.19213134148064281</v>
      </c>
      <c r="O25" s="15">
        <f t="shared" si="15"/>
        <v>0.24167628431016042</v>
      </c>
      <c r="P25" s="15">
        <f t="shared" si="15"/>
        <v>0.22160271399093601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BOCAIUVA</vt:lpstr>
      <vt:lpstr>BRASÍLIA DE MINAS</vt:lpstr>
      <vt:lpstr>CORAÇÃO DE JESUS</vt:lpstr>
      <vt:lpstr>FRANCISCO SÁ</vt:lpstr>
      <vt:lpstr>JANAÚBA - MONTE AZUL</vt:lpstr>
      <vt:lpstr>JANUÁRIA</vt:lpstr>
      <vt:lpstr>MANGA</vt:lpstr>
      <vt:lpstr>MONTES CLAROS</vt:lpstr>
      <vt:lpstr>PIRAPORA</vt:lpstr>
      <vt:lpstr>SALINAS</vt:lpstr>
      <vt:lpstr>TAIOBEIRAS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2025-04-20T23:22:09Z</dcterms:created>
  <dcterms:modified xsi:type="dcterms:W3CDTF">2025-11-26T01:04:10Z</dcterms:modified>
</cp:coreProperties>
</file>