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66" documentId="8_{84DA395D-D4C1-40DC-A319-C393E43063A1}" xr6:coauthVersionLast="47" xr6:coauthVersionMax="47" xr10:uidLastSave="{7D2619EA-4581-4605-ABD8-0F5BCF7D99C5}"/>
  <bookViews>
    <workbookView xWindow="-108" yWindow="-108" windowWidth="23256" windowHeight="12456" firstSheet="3" activeTab="4" xr2:uid="{4C6607B1-F288-4D7F-949D-AB00E794FD7D}"/>
  </bookViews>
  <sheets>
    <sheet name="GOVERNADOR VALADARES" sheetId="1" r:id="rId1"/>
    <sheet name="MANTENA" sheetId="2" r:id="rId2"/>
    <sheet name="PEÇANHA - SÃO JOÃO EVANGELISTA" sheetId="3" r:id="rId3"/>
    <sheet name="RESPLENDOR" sheetId="5" r:id="rId4"/>
    <sheet name="SANTA MARIA DO SUAÇUÍ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N9" i="4"/>
  <c r="M9" i="4"/>
  <c r="P8" i="4"/>
  <c r="O8" i="4"/>
  <c r="N8" i="4"/>
  <c r="M8" i="4"/>
  <c r="L8" i="4"/>
  <c r="K8" i="4"/>
  <c r="L19" i="5"/>
  <c r="O18" i="5"/>
  <c r="L16" i="5"/>
  <c r="K16" i="5"/>
  <c r="L15" i="5"/>
  <c r="O14" i="5"/>
  <c r="P12" i="5"/>
  <c r="O12" i="5"/>
  <c r="N12" i="5"/>
  <c r="M12" i="5"/>
  <c r="L12" i="5"/>
  <c r="K12" i="5"/>
  <c r="P11" i="3"/>
  <c r="O11" i="3"/>
  <c r="N11" i="3"/>
  <c r="M11" i="3"/>
  <c r="L11" i="3"/>
  <c r="K11" i="3"/>
  <c r="P19" i="2"/>
  <c r="O18" i="2"/>
  <c r="N18" i="2"/>
  <c r="K16" i="2"/>
  <c r="P15" i="2"/>
  <c r="O14" i="2"/>
  <c r="N14" i="2"/>
  <c r="P12" i="2"/>
  <c r="O12" i="2"/>
  <c r="N12" i="2"/>
  <c r="M12" i="2"/>
  <c r="L12" i="2"/>
  <c r="K12" i="2"/>
  <c r="P28" i="1"/>
  <c r="O28" i="1"/>
  <c r="N28" i="1"/>
  <c r="M28" i="1"/>
  <c r="L28" i="1"/>
  <c r="K28" i="1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P3" i="4"/>
  <c r="P4" i="4" s="1"/>
  <c r="P5" i="4" s="1"/>
  <c r="O3" i="4"/>
  <c r="O4" i="4" s="1"/>
  <c r="O5" i="4" s="1"/>
  <c r="N3" i="4"/>
  <c r="N4" i="4" s="1"/>
  <c r="N5" i="4" s="1"/>
  <c r="M3" i="4"/>
  <c r="M4" i="4" s="1"/>
  <c r="M5" i="4" s="1"/>
  <c r="L3" i="4"/>
  <c r="L4" i="4" s="1"/>
  <c r="L5" i="4" s="1"/>
  <c r="K3" i="4"/>
  <c r="K4" i="4" s="1"/>
  <c r="K5" i="4" s="1"/>
  <c r="J3" i="4"/>
  <c r="J4" i="4" s="1"/>
  <c r="J5" i="4" s="1"/>
  <c r="P11" i="4" s="1"/>
  <c r="H19" i="5"/>
  <c r="G19" i="5"/>
  <c r="F19" i="5"/>
  <c r="E19" i="5"/>
  <c r="D19" i="5"/>
  <c r="C19" i="5"/>
  <c r="H18" i="5"/>
  <c r="G18" i="5"/>
  <c r="F18" i="5"/>
  <c r="E18" i="5"/>
  <c r="D18" i="5"/>
  <c r="C18" i="5"/>
  <c r="H17" i="5"/>
  <c r="G17" i="5"/>
  <c r="F17" i="5"/>
  <c r="E17" i="5"/>
  <c r="D17" i="5"/>
  <c r="C17" i="5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P3" i="5"/>
  <c r="P4" i="5" s="1"/>
  <c r="P5" i="5" s="1"/>
  <c r="P6" i="5" s="1"/>
  <c r="P7" i="5" s="1"/>
  <c r="P8" i="5" s="1"/>
  <c r="P9" i="5" s="1"/>
  <c r="O3" i="5"/>
  <c r="O4" i="5" s="1"/>
  <c r="O5" i="5" s="1"/>
  <c r="O6" i="5" s="1"/>
  <c r="O7" i="5" s="1"/>
  <c r="O8" i="5" s="1"/>
  <c r="O9" i="5" s="1"/>
  <c r="N3" i="5"/>
  <c r="N4" i="5" s="1"/>
  <c r="N5" i="5" s="1"/>
  <c r="N6" i="5" s="1"/>
  <c r="N7" i="5" s="1"/>
  <c r="N8" i="5" s="1"/>
  <c r="N9" i="5" s="1"/>
  <c r="M3" i="5"/>
  <c r="M4" i="5" s="1"/>
  <c r="M5" i="5" s="1"/>
  <c r="M6" i="5" s="1"/>
  <c r="M7" i="5" s="1"/>
  <c r="M8" i="5" s="1"/>
  <c r="M9" i="5" s="1"/>
  <c r="L3" i="5"/>
  <c r="L4" i="5" s="1"/>
  <c r="L5" i="5" s="1"/>
  <c r="L6" i="5" s="1"/>
  <c r="L7" i="5" s="1"/>
  <c r="L8" i="5" s="1"/>
  <c r="L9" i="5" s="1"/>
  <c r="K3" i="5"/>
  <c r="K4" i="5" s="1"/>
  <c r="K5" i="5" s="1"/>
  <c r="K6" i="5" s="1"/>
  <c r="K7" i="5" s="1"/>
  <c r="K8" i="5" s="1"/>
  <c r="K9" i="5" s="1"/>
  <c r="J3" i="5"/>
  <c r="J4" i="5" s="1"/>
  <c r="J5" i="5" s="1"/>
  <c r="J6" i="5" s="1"/>
  <c r="J7" i="5" s="1"/>
  <c r="J8" i="5" s="1"/>
  <c r="J9" i="5" s="1"/>
  <c r="P19" i="5" s="1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P3" i="3"/>
  <c r="P4" i="3" s="1"/>
  <c r="P5" i="3" s="1"/>
  <c r="P6" i="3" s="1"/>
  <c r="P7" i="3" s="1"/>
  <c r="P8" i="3" s="1"/>
  <c r="O3" i="3"/>
  <c r="O4" i="3" s="1"/>
  <c r="O5" i="3" s="1"/>
  <c r="O6" i="3" s="1"/>
  <c r="O7" i="3" s="1"/>
  <c r="O8" i="3" s="1"/>
  <c r="N3" i="3"/>
  <c r="N4" i="3" s="1"/>
  <c r="N5" i="3" s="1"/>
  <c r="N6" i="3" s="1"/>
  <c r="N7" i="3" s="1"/>
  <c r="N8" i="3" s="1"/>
  <c r="M3" i="3"/>
  <c r="M4" i="3" s="1"/>
  <c r="M5" i="3" s="1"/>
  <c r="M6" i="3" s="1"/>
  <c r="M7" i="3" s="1"/>
  <c r="M8" i="3" s="1"/>
  <c r="L3" i="3"/>
  <c r="L4" i="3" s="1"/>
  <c r="L5" i="3" s="1"/>
  <c r="L6" i="3" s="1"/>
  <c r="L7" i="3" s="1"/>
  <c r="L8" i="3" s="1"/>
  <c r="K3" i="3"/>
  <c r="K4" i="3" s="1"/>
  <c r="K5" i="3" s="1"/>
  <c r="K6" i="3" s="1"/>
  <c r="K7" i="3" s="1"/>
  <c r="K8" i="3" s="1"/>
  <c r="J3" i="3"/>
  <c r="J4" i="3" s="1"/>
  <c r="J5" i="3" s="1"/>
  <c r="J6" i="3" s="1"/>
  <c r="J7" i="3" s="1"/>
  <c r="J8" i="3" s="1"/>
  <c r="P17" i="3" s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s="1"/>
  <c r="J5" i="2" s="1"/>
  <c r="J6" i="2" s="1"/>
  <c r="J7" i="2" s="1"/>
  <c r="J8" i="2" s="1"/>
  <c r="J9" i="2" s="1"/>
  <c r="O19" i="2" s="1"/>
  <c r="O10" i="4" l="1"/>
  <c r="O9" i="4"/>
  <c r="P9" i="4"/>
  <c r="M11" i="4"/>
  <c r="L10" i="4"/>
  <c r="N11" i="4"/>
  <c r="P10" i="4"/>
  <c r="L11" i="4"/>
  <c r="K10" i="4"/>
  <c r="K9" i="4"/>
  <c r="K12" i="4" s="1"/>
  <c r="K13" i="4" s="1"/>
  <c r="M10" i="4"/>
  <c r="M12" i="4" s="1"/>
  <c r="M13" i="4" s="1"/>
  <c r="O11" i="4"/>
  <c r="L12" i="4"/>
  <c r="L13" i="4" s="1"/>
  <c r="L9" i="4"/>
  <c r="N10" i="4"/>
  <c r="N12" i="4" s="1"/>
  <c r="N13" i="4" s="1"/>
  <c r="M13" i="5"/>
  <c r="N13" i="5"/>
  <c r="P14" i="5"/>
  <c r="N17" i="5"/>
  <c r="P18" i="5"/>
  <c r="O13" i="5"/>
  <c r="O20" i="5" s="1"/>
  <c r="O21" i="5" s="1"/>
  <c r="K15" i="5"/>
  <c r="M16" i="5"/>
  <c r="O17" i="5"/>
  <c r="K19" i="5"/>
  <c r="K14" i="5"/>
  <c r="M15" i="5"/>
  <c r="M20" i="5" s="1"/>
  <c r="M21" i="5" s="1"/>
  <c r="O16" i="5"/>
  <c r="K18" i="5"/>
  <c r="M19" i="5"/>
  <c r="M17" i="5"/>
  <c r="L14" i="5"/>
  <c r="N15" i="5"/>
  <c r="P16" i="5"/>
  <c r="L18" i="5"/>
  <c r="N19" i="5"/>
  <c r="P13" i="5"/>
  <c r="P17" i="5"/>
  <c r="K13" i="5"/>
  <c r="K20" i="5" s="1"/>
  <c r="K21" i="5" s="1"/>
  <c r="M14" i="5"/>
  <c r="O15" i="5"/>
  <c r="K17" i="5"/>
  <c r="M18" i="5"/>
  <c r="O19" i="5"/>
  <c r="N16" i="5"/>
  <c r="L13" i="5"/>
  <c r="L20" i="5" s="1"/>
  <c r="L21" i="5" s="1"/>
  <c r="N14" i="5"/>
  <c r="P15" i="5"/>
  <c r="L17" i="5"/>
  <c r="N18" i="5"/>
  <c r="M15" i="3"/>
  <c r="L14" i="3"/>
  <c r="P16" i="3"/>
  <c r="M14" i="3"/>
  <c r="L13" i="3"/>
  <c r="L18" i="3" s="1"/>
  <c r="L19" i="3" s="1"/>
  <c r="P15" i="3"/>
  <c r="K12" i="3"/>
  <c r="K18" i="3" s="1"/>
  <c r="K19" i="3" s="1"/>
  <c r="M13" i="3"/>
  <c r="O14" i="3"/>
  <c r="K16" i="3"/>
  <c r="M17" i="3"/>
  <c r="K14" i="3"/>
  <c r="P12" i="3"/>
  <c r="K13" i="3"/>
  <c r="K17" i="3"/>
  <c r="L17" i="3"/>
  <c r="L12" i="3"/>
  <c r="N13" i="3"/>
  <c r="P14" i="3"/>
  <c r="L16" i="3"/>
  <c r="N17" i="3"/>
  <c r="O12" i="3"/>
  <c r="O16" i="3"/>
  <c r="N15" i="3"/>
  <c r="O15" i="3"/>
  <c r="N14" i="3"/>
  <c r="M12" i="3"/>
  <c r="O13" i="3"/>
  <c r="K15" i="3"/>
  <c r="M16" i="3"/>
  <c r="O17" i="3"/>
  <c r="N12" i="3"/>
  <c r="P13" i="3"/>
  <c r="L15" i="3"/>
  <c r="N16" i="3"/>
  <c r="M13" i="2"/>
  <c r="N13" i="2"/>
  <c r="P14" i="2"/>
  <c r="N17" i="2"/>
  <c r="P18" i="2"/>
  <c r="O13" i="2"/>
  <c r="O20" i="2" s="1"/>
  <c r="O21" i="2" s="1"/>
  <c r="O17" i="2"/>
  <c r="P13" i="2"/>
  <c r="P20" i="2" s="1"/>
  <c r="P21" i="2" s="1"/>
  <c r="L15" i="2"/>
  <c r="N16" i="2"/>
  <c r="P17" i="2"/>
  <c r="L19" i="2"/>
  <c r="L13" i="2"/>
  <c r="L20" i="2" s="1"/>
  <c r="L21" i="2" s="1"/>
  <c r="L17" i="2"/>
  <c r="L16" i="2"/>
  <c r="K15" i="2"/>
  <c r="M16" i="2"/>
  <c r="K19" i="2"/>
  <c r="K14" i="2"/>
  <c r="M15" i="2"/>
  <c r="O16" i="2"/>
  <c r="K18" i="2"/>
  <c r="M19" i="2"/>
  <c r="M17" i="2"/>
  <c r="L14" i="2"/>
  <c r="N15" i="2"/>
  <c r="P16" i="2"/>
  <c r="L18" i="2"/>
  <c r="N19" i="2"/>
  <c r="K13" i="2"/>
  <c r="K20" i="2" s="1"/>
  <c r="K21" i="2" s="1"/>
  <c r="M14" i="2"/>
  <c r="M20" i="2" s="1"/>
  <c r="M21" i="2" s="1"/>
  <c r="O15" i="2"/>
  <c r="K17" i="2"/>
  <c r="M18" i="2"/>
  <c r="O12" i="4" l="1"/>
  <c r="O13" i="4" s="1"/>
  <c r="P12" i="4"/>
  <c r="P13" i="4" s="1"/>
  <c r="N20" i="5"/>
  <c r="N21" i="5" s="1"/>
  <c r="P20" i="5"/>
  <c r="P21" i="5" s="1"/>
  <c r="O18" i="3"/>
  <c r="O19" i="3" s="1"/>
  <c r="P18" i="3"/>
  <c r="P19" i="3" s="1"/>
  <c r="N18" i="3"/>
  <c r="N19" i="3" s="1"/>
  <c r="M18" i="3"/>
  <c r="M19" i="3" s="1"/>
  <c r="N20" i="2"/>
  <c r="N21" i="2" s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H28" i="1"/>
  <c r="G28" i="1"/>
  <c r="F28" i="1"/>
  <c r="E28" i="1"/>
  <c r="D28" i="1"/>
  <c r="C28" i="1"/>
  <c r="N17" i="1"/>
  <c r="N18" i="1" s="1"/>
  <c r="N19" i="1" s="1"/>
  <c r="N20" i="1" s="1"/>
  <c r="N21" i="1" s="1"/>
  <c r="N22" i="1" s="1"/>
  <c r="N23" i="1" s="1"/>
  <c r="N24" i="1" s="1"/>
  <c r="N25" i="1" s="1"/>
  <c r="O17" i="1"/>
  <c r="O18" i="1" s="1"/>
  <c r="O19" i="1" s="1"/>
  <c r="O20" i="1" s="1"/>
  <c r="O21" i="1" s="1"/>
  <c r="O22" i="1" s="1"/>
  <c r="O23" i="1" s="1"/>
  <c r="O24" i="1" s="1"/>
  <c r="O25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J3" i="1"/>
  <c r="J4" i="1" l="1"/>
  <c r="K29" i="1"/>
  <c r="N29" i="1"/>
  <c r="P29" i="1"/>
  <c r="M29" i="1"/>
  <c r="L29" i="1"/>
  <c r="O29" i="1"/>
  <c r="J5" i="1" l="1"/>
  <c r="M30" i="1"/>
  <c r="L30" i="1"/>
  <c r="O30" i="1"/>
  <c r="N30" i="1"/>
  <c r="K30" i="1"/>
  <c r="P30" i="1"/>
  <c r="J6" i="1" l="1"/>
  <c r="O31" i="1"/>
  <c r="N31" i="1"/>
  <c r="M31" i="1"/>
  <c r="L31" i="1"/>
  <c r="P31" i="1"/>
  <c r="K31" i="1"/>
  <c r="J7" i="1" l="1"/>
  <c r="P32" i="1"/>
  <c r="L32" i="1"/>
  <c r="O32" i="1"/>
  <c r="N32" i="1"/>
  <c r="K32" i="1"/>
  <c r="M32" i="1"/>
  <c r="J8" i="1" l="1"/>
  <c r="K33" i="1"/>
  <c r="M33" i="1"/>
  <c r="L33" i="1"/>
  <c r="P33" i="1"/>
  <c r="N33" i="1"/>
  <c r="O33" i="1"/>
  <c r="J9" i="1" l="1"/>
  <c r="M34" i="1"/>
  <c r="L34" i="1"/>
  <c r="P34" i="1"/>
  <c r="K34" i="1"/>
  <c r="O34" i="1"/>
  <c r="N34" i="1"/>
  <c r="J10" i="1" l="1"/>
  <c r="O35" i="1"/>
  <c r="N35" i="1"/>
  <c r="P35" i="1"/>
  <c r="M35" i="1"/>
  <c r="L35" i="1"/>
  <c r="K35" i="1"/>
  <c r="J11" i="1" l="1"/>
  <c r="P36" i="1"/>
  <c r="K36" i="1"/>
  <c r="O36" i="1"/>
  <c r="N36" i="1"/>
  <c r="L36" i="1"/>
  <c r="M36" i="1"/>
  <c r="J12" i="1" l="1"/>
  <c r="K37" i="1"/>
  <c r="N37" i="1"/>
  <c r="M37" i="1"/>
  <c r="P37" i="1"/>
  <c r="L37" i="1"/>
  <c r="O37" i="1"/>
  <c r="J13" i="1" l="1"/>
  <c r="M38" i="1"/>
  <c r="L38" i="1"/>
  <c r="N38" i="1"/>
  <c r="K38" i="1"/>
  <c r="P38" i="1"/>
  <c r="O38" i="1"/>
  <c r="J14" i="1" l="1"/>
  <c r="O39" i="1"/>
  <c r="N39" i="1"/>
  <c r="M39" i="1"/>
  <c r="L39" i="1"/>
  <c r="P39" i="1"/>
  <c r="K39" i="1"/>
  <c r="J15" i="1" l="1"/>
  <c r="P40" i="1"/>
  <c r="L40" i="1"/>
  <c r="K40" i="1"/>
  <c r="O40" i="1"/>
  <c r="N40" i="1"/>
  <c r="M40" i="1"/>
  <c r="J16" i="1" l="1"/>
  <c r="K41" i="1"/>
  <c r="L41" i="1"/>
  <c r="P41" i="1"/>
  <c r="N41" i="1"/>
  <c r="M41" i="1"/>
  <c r="O41" i="1"/>
  <c r="M42" i="1" l="1"/>
  <c r="L42" i="1"/>
  <c r="P42" i="1"/>
  <c r="O42" i="1"/>
  <c r="K42" i="1"/>
  <c r="N42" i="1"/>
  <c r="J17" i="1"/>
  <c r="O43" i="1" l="1"/>
  <c r="N43" i="1"/>
  <c r="P43" i="1"/>
  <c r="M43" i="1"/>
  <c r="L43" i="1"/>
  <c r="K43" i="1"/>
  <c r="J18" i="1"/>
  <c r="P44" i="1" l="1"/>
  <c r="O44" i="1"/>
  <c r="N44" i="1"/>
  <c r="L44" i="1"/>
  <c r="K44" i="1"/>
  <c r="M44" i="1"/>
  <c r="J19" i="1"/>
  <c r="K45" i="1" l="1"/>
  <c r="N45" i="1"/>
  <c r="M45" i="1"/>
  <c r="P45" i="1"/>
  <c r="L45" i="1"/>
  <c r="O45" i="1"/>
  <c r="J20" i="1"/>
  <c r="M46" i="1" l="1"/>
  <c r="L46" i="1"/>
  <c r="N46" i="1"/>
  <c r="K46" i="1"/>
  <c r="P46" i="1"/>
  <c r="O46" i="1"/>
  <c r="J21" i="1"/>
  <c r="O47" i="1" l="1"/>
  <c r="N47" i="1"/>
  <c r="M47" i="1"/>
  <c r="L47" i="1"/>
  <c r="P47" i="1"/>
  <c r="K47" i="1"/>
  <c r="J22" i="1"/>
  <c r="P48" i="1" l="1"/>
  <c r="L48" i="1"/>
  <c r="K48" i="1"/>
  <c r="O48" i="1"/>
  <c r="N48" i="1"/>
  <c r="M48" i="1"/>
  <c r="J23" i="1"/>
  <c r="K49" i="1" l="1"/>
  <c r="N49" i="1"/>
  <c r="M49" i="1"/>
  <c r="L49" i="1"/>
  <c r="P49" i="1"/>
  <c r="O49" i="1"/>
  <c r="J24" i="1"/>
  <c r="M50" i="1" l="1"/>
  <c r="L50" i="1"/>
  <c r="K50" i="1"/>
  <c r="P50" i="1"/>
  <c r="O50" i="1"/>
  <c r="N50" i="1"/>
  <c r="J25" i="1"/>
  <c r="O51" i="1" l="1"/>
  <c r="O52" i="1" s="1"/>
  <c r="O53" i="1" s="1"/>
  <c r="N51" i="1"/>
  <c r="N52" i="1" s="1"/>
  <c r="N53" i="1" s="1"/>
  <c r="P51" i="1"/>
  <c r="P52" i="1" s="1"/>
  <c r="P53" i="1" s="1"/>
  <c r="M51" i="1"/>
  <c r="M52" i="1" s="1"/>
  <c r="M53" i="1" s="1"/>
  <c r="L51" i="1"/>
  <c r="L52" i="1" s="1"/>
  <c r="L53" i="1" s="1"/>
  <c r="K51" i="1"/>
  <c r="K52" i="1" s="1"/>
  <c r="K53" i="1" s="1"/>
</calcChain>
</file>

<file path=xl/sharedStrings.xml><?xml version="1.0" encoding="utf-8"?>
<sst xmlns="http://schemas.openxmlformats.org/spreadsheetml/2006/main" count="309" uniqueCount="74">
  <si>
    <t>GOVERNADOR VALADARES</t>
  </si>
  <si>
    <t>ALPERCATA</t>
  </si>
  <si>
    <t>CAPITÃO ANDRADE</t>
  </si>
  <si>
    <t>COROACI</t>
  </si>
  <si>
    <t>DIVINOLÂNDIA DE MINAS</t>
  </si>
  <si>
    <t>ENGENHEIRO CALDAS</t>
  </si>
  <si>
    <t>FERNANDES TOURINHO</t>
  </si>
  <si>
    <t>FREI INOCÊNCIO</t>
  </si>
  <si>
    <t>GALILÉIA</t>
  </si>
  <si>
    <t>GONZAGA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</si>
  <si>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</si>
  <si>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</si>
  <si>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</si>
  <si>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</si>
  <si>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</si>
  <si>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</si>
  <si>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</si>
  <si>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</si>
  <si>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</si>
  <si>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</si>
  <si>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</si>
  <si>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</si>
  <si>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</si>
  <si>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VIRGOLÂNDIA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</si>
  <si>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</si>
  <si>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</si>
  <si>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</si>
  <si>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</si>
  <si>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</si>
  <si>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</si>
  <si>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</si>
  <si>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</si>
  <si>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</si>
  <si>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</si>
  <si>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</si>
  <si>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</si>
  <si>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</si>
  <si>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</si>
  <si>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</si>
  <si>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</si>
  <si>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</si>
  <si>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</si>
  <si>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</si>
  <si>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</si>
  <si>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</si>
  <si>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</si>
  <si>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MANTENA</t>
  </si>
  <si>
    <t>CENTRAL DE MINAS</t>
  </si>
  <si>
    <t>DIVINO DAS LARANJEIRAS</t>
  </si>
  <si>
    <t>ITABIRINHA</t>
  </si>
  <si>
    <t>MENDES PIMENTEL</t>
  </si>
  <si>
    <t>NOVA BELÉM</t>
  </si>
  <si>
    <t>SÃO FÉLIX DE MINAS</t>
  </si>
  <si>
    <t>SÃO JOÃO DO MANTENINHA</t>
  </si>
  <si>
    <t>CANTAGALO</t>
  </si>
  <si>
    <t>FREI LAGONEGRO</t>
  </si>
  <si>
    <t>PAULISTAS</t>
  </si>
  <si>
    <t>PEÇANHA</t>
  </si>
  <si>
    <t>SÃO JOÃO EVANGELISTA</t>
  </si>
  <si>
    <t>SÃO JOSÉ DO JACURI</t>
  </si>
  <si>
    <t>SÃO PEDRO DO SUAÇUÍ</t>
  </si>
  <si>
    <t>RESPLENDOR</t>
  </si>
  <si>
    <t>AIMORÉS</t>
  </si>
  <si>
    <t>ALVARENGA</t>
  </si>
  <si>
    <t>CONSELHEIRO PENA</t>
  </si>
  <si>
    <t>CUPARAQUE</t>
  </si>
  <si>
    <t>GOIABEIRA</t>
  </si>
  <si>
    <t>ITUETA</t>
  </si>
  <si>
    <t>SANTA RITA DO ITUETO</t>
  </si>
  <si>
    <t>SANTA MARIA DO SUAÇUÍ</t>
  </si>
  <si>
    <t>ÁGUA BOA</t>
  </si>
  <si>
    <t>JOSÉ RAYDAN</t>
  </si>
  <si>
    <t>SÃO SEBASTIÃO DO MARANHÃO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</si>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</sst>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2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/>
    </xf>
    <xf numFmtId="2" fontId="0" fillId="0" borderId="2" xfId="0" applyNumberFormat="1" applyBorder="1"/>
    <xf numFmtId="0" fontId="0" fillId="0" borderId="0" xfId="0" quotePrefix="1"/>
    <xf numFmtId="2" fontId="1" fillId="7" borderId="2" xfId="0" applyNumberFormat="1" applyFont="1" applyFill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1" fillId="6" borderId="2" xfId="0" applyNumberFormat="1" applyFont="1" applyFill="1" applyBorder="1" applyAlignment="1">
      <alignment vertical="center" wrapText="1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E-47A9-8EFC-23B529C19205}"/>
            </c:ext>
          </c:extLst>
        </c:ser>
        <c:ser>
          <c:idx val="1"/>
          <c:order val="1"/>
          <c:tx>
            <c:strRef>
              <c:f>'GOVERNADOR VALADARES'!$K$1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VALADARES'!$K$2:$K$25</c:f>
              <c:numCache>
                <c:formatCode>0.00</c:formatCode>
                <c:ptCount val="24"/>
                <c:pt idx="0">
                  <c:v>3.7002775208140612E-3</c:v>
                </c:pt>
                <c:pt idx="1">
                  <c:v>3.7002775208140612E-3</c:v>
                </c:pt>
                <c:pt idx="2">
                  <c:v>8.3256244218316375E-3</c:v>
                </c:pt>
                <c:pt idx="3">
                  <c:v>1.572617946345976E-2</c:v>
                </c:pt>
                <c:pt idx="4">
                  <c:v>2.5901942645698429E-2</c:v>
                </c:pt>
                <c:pt idx="5">
                  <c:v>3.6077705827937095E-2</c:v>
                </c:pt>
                <c:pt idx="6">
                  <c:v>4.8103607770582792E-2</c:v>
                </c:pt>
                <c:pt idx="7">
                  <c:v>5.8279370952821458E-2</c:v>
                </c:pt>
                <c:pt idx="8">
                  <c:v>8.8806660499537463E-2</c:v>
                </c:pt>
                <c:pt idx="9">
                  <c:v>0.11285846438482885</c:v>
                </c:pt>
                <c:pt idx="10">
                  <c:v>0.13043478260869565</c:v>
                </c:pt>
                <c:pt idx="11">
                  <c:v>0.14986123959296946</c:v>
                </c:pt>
                <c:pt idx="12">
                  <c:v>0.16188714153561515</c:v>
                </c:pt>
                <c:pt idx="13">
                  <c:v>0.1646623496762257</c:v>
                </c:pt>
                <c:pt idx="14">
                  <c:v>0.19056429232192412</c:v>
                </c:pt>
                <c:pt idx="15">
                  <c:v>0.19796484736355224</c:v>
                </c:pt>
                <c:pt idx="16">
                  <c:v>0.2192414431082331</c:v>
                </c:pt>
                <c:pt idx="17">
                  <c:v>0.23681776133209989</c:v>
                </c:pt>
                <c:pt idx="18">
                  <c:v>0.24421831637372801</c:v>
                </c:pt>
                <c:pt idx="19">
                  <c:v>0.26364477335800185</c:v>
                </c:pt>
                <c:pt idx="20">
                  <c:v>0.27844588344125809</c:v>
                </c:pt>
                <c:pt idx="21">
                  <c:v>0.31914893617021278</c:v>
                </c:pt>
                <c:pt idx="22">
                  <c:v>0.34320074005550416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4E-47A9-8EFC-23B529C19205}"/>
            </c:ext>
          </c:extLst>
        </c:ser>
        <c:ser>
          <c:idx val="2"/>
          <c:order val="2"/>
          <c:tx>
            <c:strRef>
              <c:f>'GOVERNADOR VALADARES'!$L$1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VALADARES'!$L$2:$L$25</c:f>
              <c:numCache>
                <c:formatCode>0.00</c:formatCode>
                <c:ptCount val="24"/>
                <c:pt idx="0">
                  <c:v>3.0674846625766872E-3</c:v>
                </c:pt>
                <c:pt idx="1">
                  <c:v>6.1349693251533744E-3</c:v>
                </c:pt>
                <c:pt idx="2">
                  <c:v>1.8404907975460124E-2</c:v>
                </c:pt>
                <c:pt idx="3">
                  <c:v>2.7607361963190184E-2</c:v>
                </c:pt>
                <c:pt idx="4">
                  <c:v>2.7607361963190184E-2</c:v>
                </c:pt>
                <c:pt idx="5">
                  <c:v>3.6809815950920248E-2</c:v>
                </c:pt>
                <c:pt idx="6">
                  <c:v>3.9877300613496938E-2</c:v>
                </c:pt>
                <c:pt idx="7">
                  <c:v>4.9079754601227002E-2</c:v>
                </c:pt>
                <c:pt idx="8">
                  <c:v>8.895705521472394E-2</c:v>
                </c:pt>
                <c:pt idx="9">
                  <c:v>0.13496932515337423</c:v>
                </c:pt>
                <c:pt idx="10">
                  <c:v>0.1411042944785276</c:v>
                </c:pt>
                <c:pt idx="11">
                  <c:v>0.1411042944785276</c:v>
                </c:pt>
                <c:pt idx="12">
                  <c:v>0.14723926380368096</c:v>
                </c:pt>
                <c:pt idx="13">
                  <c:v>0.15030674846625766</c:v>
                </c:pt>
                <c:pt idx="14">
                  <c:v>0.15644171779141103</c:v>
                </c:pt>
                <c:pt idx="15">
                  <c:v>0.16257668711656439</c:v>
                </c:pt>
                <c:pt idx="16">
                  <c:v>0.17484662576687116</c:v>
                </c:pt>
                <c:pt idx="17">
                  <c:v>0.19018404907975459</c:v>
                </c:pt>
                <c:pt idx="18">
                  <c:v>0.20245398773006135</c:v>
                </c:pt>
                <c:pt idx="19">
                  <c:v>0.21165644171779141</c:v>
                </c:pt>
                <c:pt idx="20">
                  <c:v>0.22392638036809817</c:v>
                </c:pt>
                <c:pt idx="21">
                  <c:v>0.26687116564417179</c:v>
                </c:pt>
                <c:pt idx="22">
                  <c:v>0.29447852760736198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4E-47A9-8EFC-23B529C19205}"/>
            </c:ext>
          </c:extLst>
        </c:ser>
        <c:ser>
          <c:idx val="3"/>
          <c:order val="3"/>
          <c:tx>
            <c:strRef>
              <c:f>'GOVERNADOR VALADARES'!$M$1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VALADARES'!$M$2:$M$25</c:f>
              <c:numCache>
                <c:formatCode>0.00</c:formatCode>
                <c:ptCount val="24"/>
                <c:pt idx="0">
                  <c:v>7.326007326007326E-3</c:v>
                </c:pt>
                <c:pt idx="1">
                  <c:v>1.4652014652014652E-2</c:v>
                </c:pt>
                <c:pt idx="2">
                  <c:v>2.1978021978021976E-2</c:v>
                </c:pt>
                <c:pt idx="3">
                  <c:v>2.564102564102564E-2</c:v>
                </c:pt>
                <c:pt idx="4">
                  <c:v>2.564102564102564E-2</c:v>
                </c:pt>
                <c:pt idx="5">
                  <c:v>2.9304029304029304E-2</c:v>
                </c:pt>
                <c:pt idx="6">
                  <c:v>3.2967032967032968E-2</c:v>
                </c:pt>
                <c:pt idx="7">
                  <c:v>3.2967032967032968E-2</c:v>
                </c:pt>
                <c:pt idx="8">
                  <c:v>5.4945054945054944E-2</c:v>
                </c:pt>
                <c:pt idx="9">
                  <c:v>0.13553113553113555</c:v>
                </c:pt>
                <c:pt idx="10">
                  <c:v>0.14285714285714288</c:v>
                </c:pt>
                <c:pt idx="11">
                  <c:v>0.14285714285714288</c:v>
                </c:pt>
                <c:pt idx="12">
                  <c:v>0.14652014652014653</c:v>
                </c:pt>
                <c:pt idx="13">
                  <c:v>0.14652014652014653</c:v>
                </c:pt>
                <c:pt idx="14">
                  <c:v>0.17948717948717949</c:v>
                </c:pt>
                <c:pt idx="15">
                  <c:v>0.17948717948717949</c:v>
                </c:pt>
                <c:pt idx="16">
                  <c:v>0.18315018315018314</c:v>
                </c:pt>
                <c:pt idx="17">
                  <c:v>0.23076923076923075</c:v>
                </c:pt>
                <c:pt idx="18">
                  <c:v>0.24175824175824173</c:v>
                </c:pt>
                <c:pt idx="19">
                  <c:v>0.26373626373626369</c:v>
                </c:pt>
                <c:pt idx="20">
                  <c:v>0.27838827838827834</c:v>
                </c:pt>
                <c:pt idx="21">
                  <c:v>0.28937728937728935</c:v>
                </c:pt>
                <c:pt idx="22">
                  <c:v>0.29670329670329665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4E-47A9-8EFC-23B529C1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566112"/>
        <c:axId val="1705445584"/>
      </c:scatterChart>
      <c:valAx>
        <c:axId val="1735566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5445584"/>
        <c:crosses val="autoZero"/>
        <c:crossBetween val="midCat"/>
      </c:valAx>
      <c:valAx>
        <c:axId val="1705445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56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'GOVERNADOR VALADARES'!$J$1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VALADARES'!$J$2:$J$25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6-476B-A5A7-0A3AC04CE7EC}"/>
            </c:ext>
          </c:extLst>
        </c:ser>
        <c:ser>
          <c:idx val="1"/>
          <c:order val="1"/>
          <c:tx>
            <c:strRef>
              <c:f>'GOVERNADOR VALADARES'!$N$1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VALADARES'!$N$2:$N$25</c:f>
              <c:numCache>
                <c:formatCode>0.00</c:formatCode>
                <c:ptCount val="24"/>
                <c:pt idx="0">
                  <c:v>7.3995771670190271E-3</c:v>
                </c:pt>
                <c:pt idx="1">
                  <c:v>8.4566596194503175E-3</c:v>
                </c:pt>
                <c:pt idx="2">
                  <c:v>1.2684989429175477E-2</c:v>
                </c:pt>
                <c:pt idx="3">
                  <c:v>2.748414376321353E-2</c:v>
                </c:pt>
                <c:pt idx="4">
                  <c:v>4.2283298097251586E-2</c:v>
                </c:pt>
                <c:pt idx="5">
                  <c:v>6.3424947145877375E-2</c:v>
                </c:pt>
                <c:pt idx="6">
                  <c:v>9.7251585623678638E-2</c:v>
                </c:pt>
                <c:pt idx="7">
                  <c:v>0.11627906976744184</c:v>
                </c:pt>
                <c:pt idx="8">
                  <c:v>0.13319238900634248</c:v>
                </c:pt>
                <c:pt idx="9">
                  <c:v>0.15750528541226214</c:v>
                </c:pt>
                <c:pt idx="10">
                  <c:v>0.1913319238900634</c:v>
                </c:pt>
                <c:pt idx="11">
                  <c:v>0.21670190274841436</c:v>
                </c:pt>
                <c:pt idx="12">
                  <c:v>0.23150105708245242</c:v>
                </c:pt>
                <c:pt idx="13">
                  <c:v>0.2441860465116279</c:v>
                </c:pt>
                <c:pt idx="14">
                  <c:v>0.2558139534883721</c:v>
                </c:pt>
                <c:pt idx="15">
                  <c:v>0.27801268498942922</c:v>
                </c:pt>
                <c:pt idx="16">
                  <c:v>0.30126849894291757</c:v>
                </c:pt>
                <c:pt idx="17">
                  <c:v>0.32241014799154338</c:v>
                </c:pt>
                <c:pt idx="18">
                  <c:v>0.35095137420718819</c:v>
                </c:pt>
                <c:pt idx="19">
                  <c:v>0.3689217758985201</c:v>
                </c:pt>
                <c:pt idx="20">
                  <c:v>0.38583509513742076</c:v>
                </c:pt>
                <c:pt idx="21">
                  <c:v>0.43974630021141653</c:v>
                </c:pt>
                <c:pt idx="22">
                  <c:v>0.47885835095137425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E6-476B-A5A7-0A3AC04CE7EC}"/>
            </c:ext>
          </c:extLst>
        </c:ser>
        <c:ser>
          <c:idx val="2"/>
          <c:order val="2"/>
          <c:tx>
            <c:strRef>
              <c:f>'GOVERNADOR VALADARES'!$O$1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VALADARES'!$O$2:$O$25</c:f>
              <c:numCache>
                <c:formatCode>0.00</c:formatCode>
                <c:ptCount val="24"/>
                <c:pt idx="0">
                  <c:v>1.4970059880239522E-3</c:v>
                </c:pt>
                <c:pt idx="1">
                  <c:v>5.9880239520958087E-3</c:v>
                </c:pt>
                <c:pt idx="2">
                  <c:v>7.4850299401197605E-3</c:v>
                </c:pt>
                <c:pt idx="3">
                  <c:v>2.3952095808383235E-2</c:v>
                </c:pt>
                <c:pt idx="4">
                  <c:v>5.6886227544910184E-2</c:v>
                </c:pt>
                <c:pt idx="5">
                  <c:v>8.2335329341317376E-2</c:v>
                </c:pt>
                <c:pt idx="6">
                  <c:v>0.11227544910179642</c:v>
                </c:pt>
                <c:pt idx="7">
                  <c:v>0.12724550898203593</c:v>
                </c:pt>
                <c:pt idx="8">
                  <c:v>0.1437125748502994</c:v>
                </c:pt>
                <c:pt idx="9">
                  <c:v>0.16616766467065869</c:v>
                </c:pt>
                <c:pt idx="10">
                  <c:v>0.19910179640718564</c:v>
                </c:pt>
                <c:pt idx="11">
                  <c:v>0.22305389221556887</c:v>
                </c:pt>
                <c:pt idx="12">
                  <c:v>0.2440119760479042</c:v>
                </c:pt>
                <c:pt idx="13">
                  <c:v>0.2559880239520958</c:v>
                </c:pt>
                <c:pt idx="14">
                  <c:v>0.26347305389221554</c:v>
                </c:pt>
                <c:pt idx="15">
                  <c:v>0.28443113772455086</c:v>
                </c:pt>
                <c:pt idx="16">
                  <c:v>0.31586826347305386</c:v>
                </c:pt>
                <c:pt idx="17">
                  <c:v>0.34880239520958078</c:v>
                </c:pt>
                <c:pt idx="18">
                  <c:v>0.39371257485029937</c:v>
                </c:pt>
                <c:pt idx="19">
                  <c:v>0.41616766467065863</c:v>
                </c:pt>
                <c:pt idx="20">
                  <c:v>0.4386227544910179</c:v>
                </c:pt>
                <c:pt idx="21">
                  <c:v>0.49850299401197595</c:v>
                </c:pt>
                <c:pt idx="22">
                  <c:v>0.53143712574850288</c:v>
                </c:pt>
                <c:pt idx="2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E6-476B-A5A7-0A3AC04CE7EC}"/>
            </c:ext>
          </c:extLst>
        </c:ser>
        <c:ser>
          <c:idx val="3"/>
          <c:order val="3"/>
          <c:tx>
            <c:strRef>
              <c:f>'GOVERNADOR VALADARES'!$P$1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'GOVERNADOR VALADARES'!$I$2:$I$25</c:f>
              <c:numCache>
                <c:formatCode>0.00</c:formatCode>
                <c:ptCount val="24"/>
                <c:pt idx="0">
                  <c:v>7.2874587382562731E-3</c:v>
                </c:pt>
                <c:pt idx="1">
                  <c:v>1.4722651831675169E-2</c:v>
                </c:pt>
                <c:pt idx="2">
                  <c:v>2.2801874379631125E-2</c:v>
                </c:pt>
                <c:pt idx="3">
                  <c:v>3.1712102675376837E-2</c:v>
                </c:pt>
                <c:pt idx="4">
                  <c:v>4.112785946769465E-2</c:v>
                </c:pt>
                <c:pt idx="5">
                  <c:v>5.0601324992497865E-2</c:v>
                </c:pt>
                <c:pt idx="6">
                  <c:v>6.0506451836291872E-2</c:v>
                </c:pt>
                <c:pt idx="7">
                  <c:v>7.0557004685949082E-2</c:v>
                </c:pt>
                <c:pt idx="8">
                  <c:v>8.2798181020752065E-2</c:v>
                </c:pt>
                <c:pt idx="9">
                  <c:v>9.5385609750467448E-2</c:v>
                </c:pt>
                <c:pt idx="10">
                  <c:v>0.1080261305140694</c:v>
                </c:pt>
                <c:pt idx="11">
                  <c:v>0.12085824426952287</c:v>
                </c:pt>
                <c:pt idx="12">
                  <c:v>0.13513307633711133</c:v>
                </c:pt>
                <c:pt idx="13">
                  <c:v>0.14995498718866138</c:v>
                </c:pt>
                <c:pt idx="14">
                  <c:v>0.16556866184991112</c:v>
                </c:pt>
                <c:pt idx="15">
                  <c:v>0.18125851203804158</c:v>
                </c:pt>
                <c:pt idx="16">
                  <c:v>0.19845109762009186</c:v>
                </c:pt>
                <c:pt idx="17">
                  <c:v>0.21612151150712125</c:v>
                </c:pt>
                <c:pt idx="18">
                  <c:v>0.23854943330024697</c:v>
                </c:pt>
                <c:pt idx="19">
                  <c:v>0.26139516631656701</c:v>
                </c:pt>
                <c:pt idx="20">
                  <c:v>0.28740564622238635</c:v>
                </c:pt>
                <c:pt idx="21">
                  <c:v>0.31570370028392691</c:v>
                </c:pt>
                <c:pt idx="22">
                  <c:v>0.34866692827958723</c:v>
                </c:pt>
                <c:pt idx="23">
                  <c:v>1</c:v>
                </c:pt>
              </c:numCache>
            </c:numRef>
          </c:xVal>
          <c:yVal>
            <c:numRef>
              <c:f>'GOVERNADOR VALADARES'!$P$2:$P$25</c:f>
              <c:numCache>
                <c:formatCode>0.00</c:formatCode>
                <c:ptCount val="24"/>
                <c:pt idx="0">
                  <c:v>1.6722408026755852E-2</c:v>
                </c:pt>
                <c:pt idx="1">
                  <c:v>3.678929765886288E-2</c:v>
                </c:pt>
                <c:pt idx="2">
                  <c:v>3.678929765886288E-2</c:v>
                </c:pt>
                <c:pt idx="3">
                  <c:v>4.6822742474916391E-2</c:v>
                </c:pt>
                <c:pt idx="4">
                  <c:v>8.6956521739130432E-2</c:v>
                </c:pt>
                <c:pt idx="5">
                  <c:v>0.10702341137123746</c:v>
                </c:pt>
                <c:pt idx="6">
                  <c:v>0.12040133779264214</c:v>
                </c:pt>
                <c:pt idx="7">
                  <c:v>0.14046822742474918</c:v>
                </c:pt>
                <c:pt idx="8">
                  <c:v>0.16387959866220736</c:v>
                </c:pt>
                <c:pt idx="9">
                  <c:v>0.1939799331103679</c:v>
                </c:pt>
                <c:pt idx="10">
                  <c:v>0.23076923076923078</c:v>
                </c:pt>
                <c:pt idx="11">
                  <c:v>0.25418060200668896</c:v>
                </c:pt>
                <c:pt idx="12">
                  <c:v>0.30769230769230771</c:v>
                </c:pt>
                <c:pt idx="13">
                  <c:v>0.32775919732441472</c:v>
                </c:pt>
                <c:pt idx="14">
                  <c:v>0.35451505016722407</c:v>
                </c:pt>
                <c:pt idx="15">
                  <c:v>0.37123745819397991</c:v>
                </c:pt>
                <c:pt idx="16">
                  <c:v>0.39130434782608692</c:v>
                </c:pt>
                <c:pt idx="17">
                  <c:v>0.42140468227424743</c:v>
                </c:pt>
                <c:pt idx="18">
                  <c:v>0.49163879598662202</c:v>
                </c:pt>
                <c:pt idx="19">
                  <c:v>0.51839464882943143</c:v>
                </c:pt>
                <c:pt idx="20">
                  <c:v>0.5317725752508361</c:v>
                </c:pt>
                <c:pt idx="21">
                  <c:v>0.58193979933110362</c:v>
                </c:pt>
                <c:pt idx="22">
                  <c:v>0.66889632107023411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E6-476B-A5A7-0A3AC04CE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4368"/>
        <c:axId val="154795888"/>
      </c:scatterChart>
      <c:valAx>
        <c:axId val="1547843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5888"/>
        <c:crosses val="autoZero"/>
        <c:crossBetween val="midCat"/>
      </c:valAx>
      <c:valAx>
        <c:axId val="154795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C-41D3-9404-C48B076FEF60}"/>
            </c:ext>
          </c:extLst>
        </c:ser>
        <c:ser>
          <c:idx val="1"/>
          <c:order val="1"/>
          <c:tx>
            <c:strRef>
              <c:f>MANTENA!$K$1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MANTENA!$K$2:$K$9</c:f>
              <c:numCache>
                <c:formatCode>0.00</c:formatCode>
                <c:ptCount val="8"/>
                <c:pt idx="0">
                  <c:v>6.3106796116504854E-2</c:v>
                </c:pt>
                <c:pt idx="1">
                  <c:v>6.7961165048543687E-2</c:v>
                </c:pt>
                <c:pt idx="2">
                  <c:v>7.7669902912621352E-2</c:v>
                </c:pt>
                <c:pt idx="3">
                  <c:v>0.17475728155339804</c:v>
                </c:pt>
                <c:pt idx="4">
                  <c:v>0.20873786407766987</c:v>
                </c:pt>
                <c:pt idx="5">
                  <c:v>0.36407766990291257</c:v>
                </c:pt>
                <c:pt idx="6">
                  <c:v>0.53398058252427183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EC-41D3-9404-C48B076FEF60}"/>
            </c:ext>
          </c:extLst>
        </c:ser>
        <c:ser>
          <c:idx val="2"/>
          <c:order val="2"/>
          <c:tx>
            <c:strRef>
              <c:f>MANTENA!$L$1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MANTENA!$L$2:$L$9</c:f>
              <c:numCache>
                <c:formatCode>0.00</c:formatCode>
                <c:ptCount val="8"/>
                <c:pt idx="0">
                  <c:v>0.1</c:v>
                </c:pt>
                <c:pt idx="1">
                  <c:v>0.11</c:v>
                </c:pt>
                <c:pt idx="2">
                  <c:v>0.16999999999999998</c:v>
                </c:pt>
                <c:pt idx="3">
                  <c:v>0.22999999999999998</c:v>
                </c:pt>
                <c:pt idx="4">
                  <c:v>0.26999999999999996</c:v>
                </c:pt>
                <c:pt idx="5">
                  <c:v>0.28999999999999998</c:v>
                </c:pt>
                <c:pt idx="6">
                  <c:v>0.55000000000000004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EC-41D3-9404-C48B076FEF60}"/>
            </c:ext>
          </c:extLst>
        </c:ser>
        <c:ser>
          <c:idx val="3"/>
          <c:order val="3"/>
          <c:tx>
            <c:strRef>
              <c:f>MANTENA!$M$1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MANTENA!$M$2:$M$9</c:f>
              <c:numCache>
                <c:formatCode>0.00</c:formatCode>
                <c:ptCount val="8"/>
                <c:pt idx="0">
                  <c:v>5.8139534883720929E-2</c:v>
                </c:pt>
                <c:pt idx="1">
                  <c:v>6.9767441860465115E-2</c:v>
                </c:pt>
                <c:pt idx="2">
                  <c:v>0.1744186046511628</c:v>
                </c:pt>
                <c:pt idx="3">
                  <c:v>0.20930232558139536</c:v>
                </c:pt>
                <c:pt idx="4">
                  <c:v>0.22093023255813954</c:v>
                </c:pt>
                <c:pt idx="5">
                  <c:v>0.32558139534883723</c:v>
                </c:pt>
                <c:pt idx="6">
                  <c:v>0.40697674418604657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EC-41D3-9404-C48B076FE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64112"/>
        <c:axId val="1942860752"/>
      </c:scatterChart>
      <c:valAx>
        <c:axId val="1942864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0752"/>
        <c:crosses val="autoZero"/>
        <c:crossBetween val="midCat"/>
      </c:valAx>
      <c:valAx>
        <c:axId val="1942860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286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MANTENA!$J$1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MANTENA!$J$2:$J$9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9-4523-9A86-F9F163FC13CC}"/>
            </c:ext>
          </c:extLst>
        </c:ser>
        <c:ser>
          <c:idx val="1"/>
          <c:order val="1"/>
          <c:tx>
            <c:strRef>
              <c:f>MANTENA!$N$1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MANTENA!$N$2:$N$9</c:f>
              <c:numCache>
                <c:formatCode>0.00</c:formatCode>
                <c:ptCount val="8"/>
                <c:pt idx="0">
                  <c:v>3.2653061224489799E-2</c:v>
                </c:pt>
                <c:pt idx="1">
                  <c:v>4.4897959183673473E-2</c:v>
                </c:pt>
                <c:pt idx="2">
                  <c:v>0.10612244897959183</c:v>
                </c:pt>
                <c:pt idx="3">
                  <c:v>0.22448979591836735</c:v>
                </c:pt>
                <c:pt idx="4">
                  <c:v>0.30204081632653063</c:v>
                </c:pt>
                <c:pt idx="5">
                  <c:v>0.47346938775510206</c:v>
                </c:pt>
                <c:pt idx="6">
                  <c:v>0.56734693877551023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9-4523-9A86-F9F163FC13CC}"/>
            </c:ext>
          </c:extLst>
        </c:ser>
        <c:ser>
          <c:idx val="2"/>
          <c:order val="2"/>
          <c:tx>
            <c:strRef>
              <c:f>MANTENA!$O$1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MANTENA!$O$2:$O$9</c:f>
              <c:numCache>
                <c:formatCode>0.00</c:formatCode>
                <c:ptCount val="8"/>
                <c:pt idx="0">
                  <c:v>4.060913705583756E-2</c:v>
                </c:pt>
                <c:pt idx="1">
                  <c:v>5.0761421319796954E-2</c:v>
                </c:pt>
                <c:pt idx="2">
                  <c:v>0.116751269035533</c:v>
                </c:pt>
                <c:pt idx="3">
                  <c:v>0.1979695431472081</c:v>
                </c:pt>
                <c:pt idx="4">
                  <c:v>0.23350253807106597</c:v>
                </c:pt>
                <c:pt idx="5">
                  <c:v>0.35532994923857864</c:v>
                </c:pt>
                <c:pt idx="6">
                  <c:v>0.49746192893401009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69-4523-9A86-F9F163FC13CC}"/>
            </c:ext>
          </c:extLst>
        </c:ser>
        <c:ser>
          <c:idx val="3"/>
          <c:order val="3"/>
          <c:tx>
            <c:strRef>
              <c:f>MANTENA!$P$1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MANTENA!$I$2:$I$9</c:f>
              <c:numCache>
                <c:formatCode>0.00</c:formatCode>
                <c:ptCount val="8"/>
                <c:pt idx="0">
                  <c:v>4.3715613329912487E-2</c:v>
                </c:pt>
                <c:pt idx="1">
                  <c:v>9.1521993215314013E-2</c:v>
                </c:pt>
                <c:pt idx="2">
                  <c:v>0.16234784343909464</c:v>
                </c:pt>
                <c:pt idx="3">
                  <c:v>0.24751275692009467</c:v>
                </c:pt>
                <c:pt idx="4">
                  <c:v>0.33939108868553836</c:v>
                </c:pt>
                <c:pt idx="5">
                  <c:v>0.44000684170016247</c:v>
                </c:pt>
                <c:pt idx="6">
                  <c:v>0.60587531001453865</c:v>
                </c:pt>
                <c:pt idx="7">
                  <c:v>1</c:v>
                </c:pt>
              </c:numCache>
            </c:numRef>
          </c:xVal>
          <c:yVal>
            <c:numRef>
              <c:f>MANTENA!$P$2:$P$9</c:f>
              <c:numCache>
                <c:formatCode>0.00</c:formatCode>
                <c:ptCount val="8"/>
                <c:pt idx="0">
                  <c:v>1.9230769230769232E-2</c:v>
                </c:pt>
                <c:pt idx="1">
                  <c:v>0.10576923076923077</c:v>
                </c:pt>
                <c:pt idx="2">
                  <c:v>0.15384615384615385</c:v>
                </c:pt>
                <c:pt idx="3">
                  <c:v>0.22115384615384615</c:v>
                </c:pt>
                <c:pt idx="4">
                  <c:v>0.39423076923076922</c:v>
                </c:pt>
                <c:pt idx="5">
                  <c:v>0.49038461538461536</c:v>
                </c:pt>
                <c:pt idx="6">
                  <c:v>0.50961538461538458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69-4523-9A86-F9F163FC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29264"/>
        <c:axId val="2095334064"/>
      </c:scatterChart>
      <c:valAx>
        <c:axId val="209532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34064"/>
        <c:crosses val="autoZero"/>
        <c:crossBetween val="midCat"/>
      </c:valAx>
      <c:valAx>
        <c:axId val="20953340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532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9-4699-8CEA-1D1448029FCF}"/>
            </c:ext>
          </c:extLst>
        </c:ser>
        <c:ser>
          <c:idx val="1"/>
          <c:order val="1"/>
          <c:tx>
            <c:strRef>
              <c:f>'PEÇANHA - SÃO JOÃO EVANGELISTA'!$K$1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EVANGELISTA'!$K$2:$K$8</c:f>
              <c:numCache>
                <c:formatCode>0.00</c:formatCode>
                <c:ptCount val="7"/>
                <c:pt idx="0">
                  <c:v>6.8403908794788276E-2</c:v>
                </c:pt>
                <c:pt idx="1">
                  <c:v>0.13355048859934854</c:v>
                </c:pt>
                <c:pt idx="2">
                  <c:v>0.20521172638436483</c:v>
                </c:pt>
                <c:pt idx="3">
                  <c:v>0.34527687296416942</c:v>
                </c:pt>
                <c:pt idx="4">
                  <c:v>0.43973941368078179</c:v>
                </c:pt>
                <c:pt idx="5">
                  <c:v>0.6351791530944626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9-4699-8CEA-1D1448029FCF}"/>
            </c:ext>
          </c:extLst>
        </c:ser>
        <c:ser>
          <c:idx val="2"/>
          <c:order val="2"/>
          <c:tx>
            <c:strRef>
              <c:f>'PEÇANHA - SÃO JOÃO EVANGELISTA'!$L$1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EVANGELISTA'!$L$2:$L$8</c:f>
              <c:numCache>
                <c:formatCode>0.00</c:formatCode>
                <c:ptCount val="7"/>
                <c:pt idx="0">
                  <c:v>8.2191780821917804E-2</c:v>
                </c:pt>
                <c:pt idx="1">
                  <c:v>0.1095890410958904</c:v>
                </c:pt>
                <c:pt idx="2">
                  <c:v>0.12328767123287671</c:v>
                </c:pt>
                <c:pt idx="3">
                  <c:v>0.23287671232876711</c:v>
                </c:pt>
                <c:pt idx="4">
                  <c:v>0.30136986301369861</c:v>
                </c:pt>
                <c:pt idx="5">
                  <c:v>0.61643835616438358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49-4699-8CEA-1D1448029FCF}"/>
            </c:ext>
          </c:extLst>
        </c:ser>
        <c:ser>
          <c:idx val="3"/>
          <c:order val="3"/>
          <c:tx>
            <c:strRef>
              <c:f>'PEÇANHA - SÃO JOÃO EVANGELISTA'!$M$1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EVANGELISTA'!$M$2:$M$8</c:f>
              <c:numCache>
                <c:formatCode>0.00</c:formatCode>
                <c:ptCount val="7"/>
                <c:pt idx="0">
                  <c:v>5.3846153846153849E-2</c:v>
                </c:pt>
                <c:pt idx="1">
                  <c:v>0.1076923076923077</c:v>
                </c:pt>
                <c:pt idx="2">
                  <c:v>0.2</c:v>
                </c:pt>
                <c:pt idx="3">
                  <c:v>0.29230769230769232</c:v>
                </c:pt>
                <c:pt idx="4">
                  <c:v>0.36923076923076925</c:v>
                </c:pt>
                <c:pt idx="5">
                  <c:v>0.77692307692307694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49-4699-8CEA-1D1448029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60992"/>
        <c:axId val="318560032"/>
      </c:scatterChart>
      <c:valAx>
        <c:axId val="31856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032"/>
        <c:crosses val="autoZero"/>
        <c:crossBetween val="midCat"/>
      </c:valAx>
      <c:valAx>
        <c:axId val="318560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6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'PEÇANHA - SÃO JOÃO EVANGELISTA'!$J$1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EVANGELISTA'!$J$2:$J$8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7C-488A-9FCD-E20980B8CCC6}"/>
            </c:ext>
          </c:extLst>
        </c:ser>
        <c:ser>
          <c:idx val="1"/>
          <c:order val="1"/>
          <c:tx>
            <c:strRef>
              <c:f>'PEÇANHA - SÃO JOÃO EVANGELISTA'!$N$1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EVANGELISTA'!$N$2:$N$8</c:f>
              <c:numCache>
                <c:formatCode>0.00</c:formatCode>
                <c:ptCount val="7"/>
                <c:pt idx="0">
                  <c:v>8.7613293051359523E-2</c:v>
                </c:pt>
                <c:pt idx="1">
                  <c:v>0.14501510574018128</c:v>
                </c:pt>
                <c:pt idx="2">
                  <c:v>0.22960725075528704</c:v>
                </c:pt>
                <c:pt idx="3">
                  <c:v>0.31117824773413899</c:v>
                </c:pt>
                <c:pt idx="4">
                  <c:v>0.40483383685800606</c:v>
                </c:pt>
                <c:pt idx="5">
                  <c:v>0.7522658610271904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7C-488A-9FCD-E20980B8CCC6}"/>
            </c:ext>
          </c:extLst>
        </c:ser>
        <c:ser>
          <c:idx val="2"/>
          <c:order val="2"/>
          <c:tx>
            <c:strRef>
              <c:f>'PEÇANHA - SÃO JOÃO EVANGELISTA'!$O$1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EVANGELISTA'!$O$2:$O$8</c:f>
              <c:numCache>
                <c:formatCode>0.00</c:formatCode>
                <c:ptCount val="7"/>
                <c:pt idx="0">
                  <c:v>7.9584775086505188E-2</c:v>
                </c:pt>
                <c:pt idx="1">
                  <c:v>0.15916955017301038</c:v>
                </c:pt>
                <c:pt idx="2">
                  <c:v>0.22491349480968859</c:v>
                </c:pt>
                <c:pt idx="3">
                  <c:v>0.34948096885813151</c:v>
                </c:pt>
                <c:pt idx="4">
                  <c:v>0.44290657439446368</c:v>
                </c:pt>
                <c:pt idx="5">
                  <c:v>0.64013840830449831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7C-488A-9FCD-E20980B8CCC6}"/>
            </c:ext>
          </c:extLst>
        </c:ser>
        <c:ser>
          <c:idx val="3"/>
          <c:order val="3"/>
          <c:tx>
            <c:strRef>
              <c:f>'PEÇANHA - SÃO JOÃO EVANGELISTA'!$P$1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'PEÇANHA - SÃO JOÃO EVANGELISTA'!$I$2:$I$8</c:f>
              <c:numCache>
                <c:formatCode>0.00</c:formatCode>
                <c:ptCount val="7"/>
                <c:pt idx="0">
                  <c:v>6.055881792513295E-2</c:v>
                </c:pt>
                <c:pt idx="1">
                  <c:v>0.13980841518127804</c:v>
                </c:pt>
                <c:pt idx="2">
                  <c:v>0.22285159971591401</c:v>
                </c:pt>
                <c:pt idx="3">
                  <c:v>0.31223475203104156</c:v>
                </c:pt>
                <c:pt idx="4">
                  <c:v>0.42325347745500524</c:v>
                </c:pt>
                <c:pt idx="5">
                  <c:v>0.69627050529196755</c:v>
                </c:pt>
                <c:pt idx="6">
                  <c:v>0.99999999999999989</c:v>
                </c:pt>
              </c:numCache>
            </c:numRef>
          </c:xVal>
          <c:yVal>
            <c:numRef>
              <c:f>'PEÇANHA - SÃO JOÃO EVANGELISTA'!$P$2:$P$8</c:f>
              <c:numCache>
                <c:formatCode>0.00</c:formatCode>
                <c:ptCount val="7"/>
                <c:pt idx="0">
                  <c:v>4.7945205479452052E-2</c:v>
                </c:pt>
                <c:pt idx="1">
                  <c:v>0.13013698630136986</c:v>
                </c:pt>
                <c:pt idx="2">
                  <c:v>0.17123287671232876</c:v>
                </c:pt>
                <c:pt idx="3">
                  <c:v>0.25342465753424659</c:v>
                </c:pt>
                <c:pt idx="4">
                  <c:v>0.37671232876712329</c:v>
                </c:pt>
                <c:pt idx="5">
                  <c:v>0.59589041095890405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7C-488A-9FCD-E20980B8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5424"/>
        <c:axId val="297295904"/>
      </c:scatterChart>
      <c:valAx>
        <c:axId val="297295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904"/>
        <c:crosses val="autoZero"/>
        <c:crossBetween val="midCat"/>
      </c:valAx>
      <c:valAx>
        <c:axId val="297295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4-4C74-AA16-9BCCDFBDA778}"/>
            </c:ext>
          </c:extLst>
        </c:ser>
        <c:ser>
          <c:idx val="1"/>
          <c:order val="1"/>
          <c:tx>
            <c:strRef>
              <c:f>RESPLENDOR!$K$1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RESPLENDOR!$K$2:$K$9</c:f>
              <c:numCache>
                <c:formatCode>0.00</c:formatCode>
                <c:ptCount val="8"/>
                <c:pt idx="0">
                  <c:v>5.4711246200607903E-2</c:v>
                </c:pt>
                <c:pt idx="1">
                  <c:v>0.121580547112462</c:v>
                </c:pt>
                <c:pt idx="2">
                  <c:v>0.21884498480243159</c:v>
                </c:pt>
                <c:pt idx="3">
                  <c:v>0.303951367781155</c:v>
                </c:pt>
                <c:pt idx="4">
                  <c:v>0.39817629179331304</c:v>
                </c:pt>
                <c:pt idx="5">
                  <c:v>0.65957446808510634</c:v>
                </c:pt>
                <c:pt idx="6">
                  <c:v>0.8936170212765957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4-4C74-AA16-9BCCDFBDA778}"/>
            </c:ext>
          </c:extLst>
        </c:ser>
        <c:ser>
          <c:idx val="2"/>
          <c:order val="2"/>
          <c:tx>
            <c:strRef>
              <c:f>RESPLENDOR!$L$1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RESPLENDOR!$L$2:$L$9</c:f>
              <c:numCache>
                <c:formatCode>0.00</c:formatCode>
                <c:ptCount val="8"/>
                <c:pt idx="0">
                  <c:v>5.7471264367816091E-2</c:v>
                </c:pt>
                <c:pt idx="1">
                  <c:v>0.12643678160919541</c:v>
                </c:pt>
                <c:pt idx="2">
                  <c:v>0.21839080459770116</c:v>
                </c:pt>
                <c:pt idx="3">
                  <c:v>0.34482758620689657</c:v>
                </c:pt>
                <c:pt idx="4">
                  <c:v>0.52873563218390807</c:v>
                </c:pt>
                <c:pt idx="5">
                  <c:v>0.72413793103448276</c:v>
                </c:pt>
                <c:pt idx="6">
                  <c:v>0.75862068965517238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34-4C74-AA16-9BCCDFBDA778}"/>
            </c:ext>
          </c:extLst>
        </c:ser>
        <c:ser>
          <c:idx val="3"/>
          <c:order val="3"/>
          <c:tx>
            <c:strRef>
              <c:f>RESPLENDOR!$M$1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RESPLENDOR!$M$2:$M$9</c:f>
              <c:numCache>
                <c:formatCode>0.00</c:formatCode>
                <c:ptCount val="8"/>
                <c:pt idx="0">
                  <c:v>2.1739130434782608E-2</c:v>
                </c:pt>
                <c:pt idx="1">
                  <c:v>7.0652173913043487E-2</c:v>
                </c:pt>
                <c:pt idx="2">
                  <c:v>0.1141304347826087</c:v>
                </c:pt>
                <c:pt idx="3">
                  <c:v>0.22282608695652173</c:v>
                </c:pt>
                <c:pt idx="4">
                  <c:v>0.32065217391304346</c:v>
                </c:pt>
                <c:pt idx="5">
                  <c:v>0.59782608695652173</c:v>
                </c:pt>
                <c:pt idx="6">
                  <c:v>0.90760869565217384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34-4C74-AA16-9BCCDFBD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54752"/>
        <c:axId val="318547552"/>
      </c:scatterChart>
      <c:valAx>
        <c:axId val="31855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47552"/>
        <c:crosses val="autoZero"/>
        <c:crossBetween val="midCat"/>
      </c:valAx>
      <c:valAx>
        <c:axId val="318547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5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RESPLENDOR!$J$1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RESPLENDOR!$J$2:$J$9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C-4971-B279-937334820B4D}"/>
            </c:ext>
          </c:extLst>
        </c:ser>
        <c:ser>
          <c:idx val="1"/>
          <c:order val="1"/>
          <c:tx>
            <c:strRef>
              <c:f>RESPLENDOR!$N$1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RESPLENDOR!$N$2:$N$9</c:f>
              <c:numCache>
                <c:formatCode>0.00</c:formatCode>
                <c:ptCount val="8"/>
                <c:pt idx="0">
                  <c:v>4.9900199600798403E-2</c:v>
                </c:pt>
                <c:pt idx="1">
                  <c:v>9.7804391217564873E-2</c:v>
                </c:pt>
                <c:pt idx="2">
                  <c:v>0.11976047904191617</c:v>
                </c:pt>
                <c:pt idx="3">
                  <c:v>0.20758483033932135</c:v>
                </c:pt>
                <c:pt idx="4">
                  <c:v>0.28742514970059879</c:v>
                </c:pt>
                <c:pt idx="5">
                  <c:v>0.50898203592814373</c:v>
                </c:pt>
                <c:pt idx="6">
                  <c:v>0.76047904191616766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3C-4971-B279-937334820B4D}"/>
            </c:ext>
          </c:extLst>
        </c:ser>
        <c:ser>
          <c:idx val="2"/>
          <c:order val="2"/>
          <c:tx>
            <c:strRef>
              <c:f>RESPLENDOR!$O$1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RESPLENDOR!$O$2:$O$9</c:f>
              <c:numCache>
                <c:formatCode>0.00</c:formatCode>
                <c:ptCount val="8"/>
                <c:pt idx="0">
                  <c:v>6.6115702479338845E-2</c:v>
                </c:pt>
                <c:pt idx="1">
                  <c:v>0.11294765840220386</c:v>
                </c:pt>
                <c:pt idx="2">
                  <c:v>0.18732782369146006</c:v>
                </c:pt>
                <c:pt idx="3">
                  <c:v>0.24793388429752067</c:v>
                </c:pt>
                <c:pt idx="4">
                  <c:v>0.31129476584022042</c:v>
                </c:pt>
                <c:pt idx="5">
                  <c:v>0.49311294765840225</c:v>
                </c:pt>
                <c:pt idx="6">
                  <c:v>0.72451790633608826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3C-4971-B279-937334820B4D}"/>
            </c:ext>
          </c:extLst>
        </c:ser>
        <c:ser>
          <c:idx val="3"/>
          <c:order val="3"/>
          <c:tx>
            <c:strRef>
              <c:f>RESPLENDOR!$P$1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RESPLENDOR!$I$2:$I$9</c:f>
              <c:numCache>
                <c:formatCode>0.00</c:formatCode>
                <c:ptCount val="8"/>
                <c:pt idx="0">
                  <c:v>3.8139868606919439E-2</c:v>
                </c:pt>
                <c:pt idx="1">
                  <c:v>8.055113343348505E-2</c:v>
                </c:pt>
                <c:pt idx="2">
                  <c:v>0.13689768828897508</c:v>
                </c:pt>
                <c:pt idx="3">
                  <c:v>0.19772864862440861</c:v>
                </c:pt>
                <c:pt idx="4">
                  <c:v>0.2658243458373506</c:v>
                </c:pt>
                <c:pt idx="5">
                  <c:v>0.46085114016009326</c:v>
                </c:pt>
                <c:pt idx="6">
                  <c:v>0.71842417991434782</c:v>
                </c:pt>
                <c:pt idx="7">
                  <c:v>1</c:v>
                </c:pt>
              </c:numCache>
            </c:numRef>
          </c:xVal>
          <c:yVal>
            <c:numRef>
              <c:f>RESPLENDOR!$P$2:$P$9</c:f>
              <c:numCache>
                <c:formatCode>0.00</c:formatCode>
                <c:ptCount val="8"/>
                <c:pt idx="0">
                  <c:v>6.7484662576687116E-2</c:v>
                </c:pt>
                <c:pt idx="1">
                  <c:v>0.13496932515337423</c:v>
                </c:pt>
                <c:pt idx="2">
                  <c:v>0.18404907975460122</c:v>
                </c:pt>
                <c:pt idx="3">
                  <c:v>0.26993865030674846</c:v>
                </c:pt>
                <c:pt idx="4">
                  <c:v>0.30061349693251532</c:v>
                </c:pt>
                <c:pt idx="5">
                  <c:v>0.46625766871165641</c:v>
                </c:pt>
                <c:pt idx="6">
                  <c:v>0.76687116564417179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3C-4971-B279-93733482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00208"/>
        <c:axId val="154791088"/>
      </c:scatterChart>
      <c:valAx>
        <c:axId val="154800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1088"/>
        <c:crosses val="autoZero"/>
        <c:crossBetween val="midCat"/>
      </c:valAx>
      <c:valAx>
        <c:axId val="154791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0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4-443F-8083-577C39BEED6C}"/>
            </c:ext>
          </c:extLst>
        </c:ser>
        <c:ser>
          <c:idx val="1"/>
          <c:order val="1"/>
          <c:tx>
            <c:strRef>
              <c:f>'SANTA MARIA DO SUAÇUÍ'!$K$1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SUAÇUÍ'!$K$2:$K$5</c:f>
              <c:numCache>
                <c:formatCode>0.00</c:formatCode>
                <c:ptCount val="4"/>
                <c:pt idx="0">
                  <c:v>0.10256410256410256</c:v>
                </c:pt>
                <c:pt idx="1">
                  <c:v>0.48717948717948723</c:v>
                </c:pt>
                <c:pt idx="2">
                  <c:v>0.79487179487179493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4-443F-8083-577C39BEED6C}"/>
            </c:ext>
          </c:extLst>
        </c:ser>
        <c:ser>
          <c:idx val="2"/>
          <c:order val="2"/>
          <c:tx>
            <c:strRef>
              <c:f>'SANTA MARIA DO SUAÇUÍ'!$L$1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SUAÇUÍ'!$L$2:$L$5</c:f>
              <c:numCache>
                <c:formatCode>0.00</c:formatCode>
                <c:ptCount val="4"/>
                <c:pt idx="0">
                  <c:v>9.6153846153846159E-2</c:v>
                </c:pt>
                <c:pt idx="1">
                  <c:v>0.48076923076923078</c:v>
                </c:pt>
                <c:pt idx="2">
                  <c:v>0.75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4-443F-8083-577C39BEED6C}"/>
            </c:ext>
          </c:extLst>
        </c:ser>
        <c:ser>
          <c:idx val="3"/>
          <c:order val="3"/>
          <c:tx>
            <c:strRef>
              <c:f>'SANTA MARIA DO SUAÇUÍ'!$M$1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SUAÇUÍ'!$M$2:$M$5</c:f>
              <c:numCache>
                <c:formatCode>0.00</c:formatCode>
                <c:ptCount val="4"/>
                <c:pt idx="0">
                  <c:v>0.14285714285714285</c:v>
                </c:pt>
                <c:pt idx="1">
                  <c:v>0.39999999999999997</c:v>
                </c:pt>
                <c:pt idx="2">
                  <c:v>0.68571428571428572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4-443F-8083-577C39BE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82448"/>
        <c:axId val="154799248"/>
      </c:scatterChart>
      <c:valAx>
        <c:axId val="154782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99248"/>
        <c:crosses val="autoZero"/>
        <c:crossBetween val="midCat"/>
      </c:valAx>
      <c:valAx>
        <c:axId val="154799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8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'SANTA MARIA DO SUAÇUÍ'!$J$1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SUAÇUÍ'!$J$2:$J$5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7-4F6C-815A-1B52BBADBD1C}"/>
            </c:ext>
          </c:extLst>
        </c:ser>
        <c:ser>
          <c:idx val="1"/>
          <c:order val="1"/>
          <c:tx>
            <c:strRef>
              <c:f>'SANTA MARIA DO SUAÇUÍ'!$N$1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SUAÇUÍ'!$N$2:$N$5</c:f>
              <c:numCache>
                <c:formatCode>0.00</c:formatCode>
                <c:ptCount val="4"/>
                <c:pt idx="0">
                  <c:v>2.8301886792452831E-2</c:v>
                </c:pt>
                <c:pt idx="1">
                  <c:v>0.41509433962264153</c:v>
                </c:pt>
                <c:pt idx="2">
                  <c:v>0.69811320754716988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57-4F6C-815A-1B52BBADBD1C}"/>
            </c:ext>
          </c:extLst>
        </c:ser>
        <c:ser>
          <c:idx val="2"/>
          <c:order val="2"/>
          <c:tx>
            <c:strRef>
              <c:f>'SANTA MARIA DO SUAÇUÍ'!$O$1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SUAÇUÍ'!$O$2:$O$5</c:f>
              <c:numCache>
                <c:formatCode>0.00</c:formatCode>
                <c:ptCount val="4"/>
                <c:pt idx="0">
                  <c:v>0.03</c:v>
                </c:pt>
                <c:pt idx="1">
                  <c:v>0.22</c:v>
                </c:pt>
                <c:pt idx="2">
                  <c:v>0.59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57-4F6C-815A-1B52BBADBD1C}"/>
            </c:ext>
          </c:extLst>
        </c:ser>
        <c:ser>
          <c:idx val="3"/>
          <c:order val="3"/>
          <c:tx>
            <c:strRef>
              <c:f>'SANTA MARIA DO SUAÇUÍ'!$P$1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'SANTA MARIA DO SUAÇUÍ'!$I$2:$I$5</c:f>
              <c:numCache>
                <c:formatCode>0.00</c:formatCode>
                <c:ptCount val="4"/>
                <c:pt idx="0">
                  <c:v>0.1189355455096239</c:v>
                </c:pt>
                <c:pt idx="1">
                  <c:v>0.34925665284056484</c:v>
                </c:pt>
                <c:pt idx="2">
                  <c:v>0.65962156871883293</c:v>
                </c:pt>
                <c:pt idx="3">
                  <c:v>0.99999999999999989</c:v>
                </c:pt>
              </c:numCache>
            </c:numRef>
          </c:xVal>
          <c:yVal>
            <c:numRef>
              <c:f>'SANTA MARIA DO SUAÇUÍ'!$P$2:$P$5</c:f>
              <c:numCache>
                <c:formatCode>0.00</c:formatCode>
                <c:ptCount val="4"/>
                <c:pt idx="0">
                  <c:v>0.10638297872340426</c:v>
                </c:pt>
                <c:pt idx="1">
                  <c:v>0.34042553191489361</c:v>
                </c:pt>
                <c:pt idx="2">
                  <c:v>0.57446808510638303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57-4F6C-815A-1B52BBAD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1712"/>
        <c:axId val="1856248752"/>
      </c:scatterChart>
      <c:valAx>
        <c:axId val="1856261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48752"/>
        <c:crosses val="autoZero"/>
        <c:crossBetween val="midCat"/>
      </c:valAx>
      <c:valAx>
        <c:axId val="1856248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141270</xdr:colOff>
      <xdr:row>0</xdr:row>
      <xdr:rowOff>83905</xdr:rowOff>
    </xdr:from>
    <xdr:to>
      <xdr:col>23</xdr:col>
      <xdr:colOff>458056</xdr:colOff>
      <xdr:row>14</xdr:row>
      <xdr:rowOff>27397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F480B67-122A-F4F0-3ACF-8F2A0A0A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132709</xdr:colOff>
      <xdr:row>14</xdr:row>
      <xdr:rowOff>101029</xdr:rowOff>
    </xdr:from>
    <xdr:to>
      <xdr:col>23</xdr:col>
      <xdr:colOff>449495</xdr:colOff>
      <xdr:row>28</xdr:row>
      <xdr:rowOff>138701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54BED17-155A-4D84-8343-0D9C72C8E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206962</xdr:colOff>
      <xdr:row>0</xdr:row>
      <xdr:rowOff>72437</xdr:rowOff>
    </xdr:from>
    <xdr:to>
      <xdr:col>23</xdr:col>
      <xdr:colOff>498592</xdr:colOff>
      <xdr:row>13</xdr:row>
      <xdr:rowOff>21637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6A7688-0CCD-CF50-4098-ECD0E5DE2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206963</xdr:colOff>
      <xdr:row>13</xdr:row>
      <xdr:rowOff>91252</xdr:rowOff>
    </xdr:from>
    <xdr:to>
      <xdr:col>23</xdr:col>
      <xdr:colOff>498593</xdr:colOff>
      <xdr:row>28</xdr:row>
      <xdr:rowOff>153341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62D030-ACCD-804A-183C-DFDFFEAC7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0</xdr:row>
      <xdr:rowOff>90488</xdr:rowOff>
    </xdr:from>
    <xdr:to>
      <xdr:col>23</xdr:col>
      <xdr:colOff>561975</xdr:colOff>
      <xdr:row>13</xdr:row>
      <xdr:rowOff>14288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4A7372-3520-FD80-1A4E-0A93A040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247650</xdr:colOff>
      <xdr:row>13</xdr:row>
      <xdr:rowOff>61913</xdr:rowOff>
    </xdr:from>
    <xdr:to>
      <xdr:col>23</xdr:col>
      <xdr:colOff>552450</xdr:colOff>
      <xdr:row>28</xdr:row>
      <xdr:rowOff>90488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2946A23-E7A5-1537-326F-7515A18E5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516467</xdr:colOff>
      <xdr:row>0</xdr:row>
      <xdr:rowOff>110067</xdr:rowOff>
    </xdr:from>
    <xdr:to>
      <xdr:col>24</xdr:col>
      <xdr:colOff>211667</xdr:colOff>
      <xdr:row>12</xdr:row>
      <xdr:rowOff>160867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8AEF42-5603-5B5E-88CA-A4839C45E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524934</xdr:colOff>
      <xdr:row>13</xdr:row>
      <xdr:rowOff>59266</xdr:rowOff>
    </xdr:from>
    <xdr:to>
      <xdr:col>24</xdr:col>
      <xdr:colOff>220134</xdr:colOff>
      <xdr:row>28</xdr:row>
      <xdr:rowOff>8466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5248D4-29CE-8A84-F100-F4220CA3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26670</xdr:rowOff>
    </xdr:from>
    <xdr:to>
      <xdr:col>23</xdr:col>
      <xdr:colOff>411480</xdr:colOff>
      <xdr:row>12</xdr:row>
      <xdr:rowOff>110490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619A55-34A6-4FF4-0A14-18FC63511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3810</xdr:rowOff>
    </xdr:from>
    <xdr:to>
      <xdr:col>23</xdr:col>
      <xdr:colOff>426720</xdr:colOff>
      <xdr:row>28</xdr:row>
      <xdr:rowOff>3810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9ECE639-1FA3-ED25-3E6C-53DB7332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7D04-5F0D-41D4-A4AB-D8C331D10194}">
  <dimension ref="A1:P53"/>
  <sheetViews>
    <sheetView zoomScale="89" workbookViewId="0">
      <selection activeCell="J32" sqref="J32"/>
    </sheetView>
  </sheetViews>
  <sheetFormatPr defaultRowHeight="14.4" x14ac:dyDescent="0.3"/>
  <cols>
    <col min="1" max="1" width="13.6640625" style="13" customWidth="1"/>
    <col min="11" max="16" width="12" bestFit="1" customWidth="1"/>
  </cols>
  <sheetData>
    <row r="1" spans="1:16" ht="36.6" customHeight="1" x14ac:dyDescent="0.3">
      <c r="A1" s="11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12" t="s">
        <v>13</v>
      </c>
      <c r="B2" s="9">
        <v>7.2874587382562731E-3</v>
      </c>
      <c r="C2" s="9">
        <v>3.7002775208140612E-3</v>
      </c>
      <c r="D2" s="9">
        <v>3.0674846625766872E-3</v>
      </c>
      <c r="E2" s="9">
        <v>7.326007326007326E-3</v>
      </c>
      <c r="F2" s="9">
        <v>7.3995771670190271E-3</v>
      </c>
      <c r="G2" s="9">
        <v>1.4970059880239522E-3</v>
      </c>
      <c r="H2" s="9">
        <v>1.6722408026755852E-2</v>
      </c>
      <c r="I2" s="10">
        <v>7.2874587382562731E-3</v>
      </c>
      <c r="J2" s="9">
        <v>7.2874587382562731E-3</v>
      </c>
      <c r="K2" s="9">
        <v>3.7002775208140612E-3</v>
      </c>
      <c r="L2" s="9">
        <v>3.0674846625766872E-3</v>
      </c>
      <c r="M2" s="9">
        <v>7.326007326007326E-3</v>
      </c>
      <c r="N2" s="9">
        <v>7.3995771670190271E-3</v>
      </c>
      <c r="O2" s="9">
        <v>1.4970059880239522E-3</v>
      </c>
      <c r="P2" s="9">
        <v>1.6722408026755852E-2</v>
      </c>
    </row>
    <row r="3" spans="1:16" x14ac:dyDescent="0.3">
      <c r="A3" s="12" t="s">
        <v>14</v>
      </c>
      <c r="B3" s="9">
        <v>7.4351930934188964E-3</v>
      </c>
      <c r="C3" s="9">
        <v>0</v>
      </c>
      <c r="D3" s="9">
        <v>3.0674846625766872E-3</v>
      </c>
      <c r="E3" s="9">
        <v>7.326007326007326E-3</v>
      </c>
      <c r="F3" s="9">
        <v>1.0570824524312897E-3</v>
      </c>
      <c r="G3" s="9">
        <v>4.4910179640718561E-3</v>
      </c>
      <c r="H3" s="9">
        <v>2.0066889632107024E-2</v>
      </c>
      <c r="I3" s="10">
        <v>1.4722651831675169E-2</v>
      </c>
      <c r="J3" s="10">
        <f>J2+B3</f>
        <v>1.4722651831675169E-2</v>
      </c>
      <c r="K3" s="10">
        <f t="shared" ref="K3:P16" si="0">K2+C3</f>
        <v>3.7002775208140612E-3</v>
      </c>
      <c r="L3" s="10">
        <f t="shared" si="0"/>
        <v>6.1349693251533744E-3</v>
      </c>
      <c r="M3" s="10">
        <f t="shared" si="0"/>
        <v>1.4652014652014652E-2</v>
      </c>
      <c r="N3" s="10">
        <f t="shared" si="0"/>
        <v>8.4566596194503175E-3</v>
      </c>
      <c r="O3" s="10">
        <f t="shared" si="0"/>
        <v>5.9880239520958087E-3</v>
      </c>
      <c r="P3" s="10">
        <f t="shared" si="0"/>
        <v>3.678929765886288E-2</v>
      </c>
    </row>
    <row r="4" spans="1:16" x14ac:dyDescent="0.3">
      <c r="A4" s="12" t="s">
        <v>6</v>
      </c>
      <c r="B4" s="9">
        <v>8.0792225479559571E-3</v>
      </c>
      <c r="C4" s="9">
        <v>4.6253469010175763E-3</v>
      </c>
      <c r="D4" s="9">
        <v>1.2269938650306749E-2</v>
      </c>
      <c r="E4" s="9">
        <v>7.326007326007326E-3</v>
      </c>
      <c r="F4" s="9">
        <v>4.2283298097251587E-3</v>
      </c>
      <c r="G4" s="9">
        <v>1.4970059880239522E-3</v>
      </c>
      <c r="H4" s="9">
        <v>0</v>
      </c>
      <c r="I4" s="10">
        <v>2.2801874379631125E-2</v>
      </c>
      <c r="J4" s="10">
        <f t="shared" ref="J4:J16" si="1">J3+B4</f>
        <v>2.2801874379631125E-2</v>
      </c>
      <c r="K4" s="10">
        <f t="shared" si="0"/>
        <v>8.3256244218316375E-3</v>
      </c>
      <c r="L4" s="10">
        <f t="shared" si="0"/>
        <v>1.8404907975460124E-2</v>
      </c>
      <c r="M4" s="10">
        <f t="shared" si="0"/>
        <v>2.1978021978021976E-2</v>
      </c>
      <c r="N4" s="10">
        <f t="shared" si="0"/>
        <v>1.2684989429175477E-2</v>
      </c>
      <c r="O4" s="10">
        <f t="shared" si="0"/>
        <v>7.4850299401197605E-3</v>
      </c>
      <c r="P4" s="10">
        <f t="shared" si="0"/>
        <v>3.678929765886288E-2</v>
      </c>
    </row>
    <row r="5" spans="1:16" x14ac:dyDescent="0.3">
      <c r="A5" s="12" t="s">
        <v>16</v>
      </c>
      <c r="B5" s="9">
        <v>8.9102282957457118E-3</v>
      </c>
      <c r="C5" s="9">
        <v>7.4005550416281225E-3</v>
      </c>
      <c r="D5" s="9">
        <v>9.202453987730062E-3</v>
      </c>
      <c r="E5" s="9">
        <v>3.663003663003663E-3</v>
      </c>
      <c r="F5" s="9">
        <v>1.4799154334038054E-2</v>
      </c>
      <c r="G5" s="9">
        <v>1.6467065868263474E-2</v>
      </c>
      <c r="H5" s="9">
        <v>1.0033444816053512E-2</v>
      </c>
      <c r="I5" s="10">
        <v>3.1712102675376837E-2</v>
      </c>
      <c r="J5" s="10">
        <f t="shared" si="1"/>
        <v>3.1712102675376837E-2</v>
      </c>
      <c r="K5" s="10">
        <f t="shared" si="0"/>
        <v>1.572617946345976E-2</v>
      </c>
      <c r="L5" s="10">
        <f t="shared" si="0"/>
        <v>2.7607361963190184E-2</v>
      </c>
      <c r="M5" s="10">
        <f t="shared" si="0"/>
        <v>2.564102564102564E-2</v>
      </c>
      <c r="N5" s="10">
        <f t="shared" si="0"/>
        <v>2.748414376321353E-2</v>
      </c>
      <c r="O5" s="10">
        <f t="shared" si="0"/>
        <v>2.3952095808383235E-2</v>
      </c>
      <c r="P5" s="10">
        <f t="shared" si="0"/>
        <v>4.6822742474916391E-2</v>
      </c>
    </row>
    <row r="6" spans="1:16" x14ac:dyDescent="0.3">
      <c r="A6" s="12" t="s">
        <v>12</v>
      </c>
      <c r="B6" s="9">
        <v>9.4157567923178129E-3</v>
      </c>
      <c r="C6" s="9">
        <v>1.0175763182238668E-2</v>
      </c>
      <c r="D6" s="9">
        <v>0</v>
      </c>
      <c r="E6" s="9">
        <v>0</v>
      </c>
      <c r="F6" s="9">
        <v>1.4799154334038054E-2</v>
      </c>
      <c r="G6" s="9">
        <v>3.2934131736526949E-2</v>
      </c>
      <c r="H6" s="9">
        <v>4.0133779264214048E-2</v>
      </c>
      <c r="I6" s="10">
        <v>4.112785946769465E-2</v>
      </c>
      <c r="J6" s="10">
        <f t="shared" si="1"/>
        <v>4.112785946769465E-2</v>
      </c>
      <c r="K6" s="10">
        <f t="shared" si="0"/>
        <v>2.5901942645698429E-2</v>
      </c>
      <c r="L6" s="10">
        <f t="shared" si="0"/>
        <v>2.7607361963190184E-2</v>
      </c>
      <c r="M6" s="10">
        <f t="shared" si="0"/>
        <v>2.564102564102564E-2</v>
      </c>
      <c r="N6" s="10">
        <f t="shared" si="0"/>
        <v>4.2283298097251586E-2</v>
      </c>
      <c r="O6" s="10">
        <f t="shared" si="0"/>
        <v>5.6886227544910184E-2</v>
      </c>
      <c r="P6" s="10">
        <f t="shared" si="0"/>
        <v>8.6956521739130432E-2</v>
      </c>
    </row>
    <row r="7" spans="1:16" x14ac:dyDescent="0.3">
      <c r="A7" s="12" t="s">
        <v>17</v>
      </c>
      <c r="B7" s="9">
        <v>9.4734655248032134E-3</v>
      </c>
      <c r="C7" s="9">
        <v>1.0175763182238668E-2</v>
      </c>
      <c r="D7" s="9">
        <v>9.202453987730062E-3</v>
      </c>
      <c r="E7" s="9">
        <v>3.663003663003663E-3</v>
      </c>
      <c r="F7" s="9">
        <v>2.1141649048625793E-2</v>
      </c>
      <c r="G7" s="9">
        <v>2.5449101796407185E-2</v>
      </c>
      <c r="H7" s="9">
        <v>2.0066889632107024E-2</v>
      </c>
      <c r="I7" s="10">
        <v>5.0601324992497865E-2</v>
      </c>
      <c r="J7" s="10">
        <f t="shared" si="1"/>
        <v>5.0601324992497865E-2</v>
      </c>
      <c r="K7" s="10">
        <f t="shared" si="0"/>
        <v>3.6077705827937095E-2</v>
      </c>
      <c r="L7" s="10">
        <f t="shared" si="0"/>
        <v>3.6809815950920248E-2</v>
      </c>
      <c r="M7" s="10">
        <f t="shared" si="0"/>
        <v>2.9304029304029304E-2</v>
      </c>
      <c r="N7" s="10">
        <f t="shared" si="0"/>
        <v>6.3424947145877375E-2</v>
      </c>
      <c r="O7" s="10">
        <f t="shared" si="0"/>
        <v>8.2335329341317376E-2</v>
      </c>
      <c r="P7" s="10">
        <f t="shared" si="0"/>
        <v>0.10702341137123746</v>
      </c>
    </row>
    <row r="8" spans="1:16" x14ac:dyDescent="0.3">
      <c r="A8" s="12" t="s">
        <v>18</v>
      </c>
      <c r="B8" s="9">
        <v>9.9051268437940036E-3</v>
      </c>
      <c r="C8" s="9">
        <v>1.2025901942645698E-2</v>
      </c>
      <c r="D8" s="9">
        <v>3.0674846625766872E-3</v>
      </c>
      <c r="E8" s="9">
        <v>3.663003663003663E-3</v>
      </c>
      <c r="F8" s="9">
        <v>3.382663847780127E-2</v>
      </c>
      <c r="G8" s="9">
        <v>2.9940119760479042E-2</v>
      </c>
      <c r="H8" s="9">
        <v>1.3377926421404682E-2</v>
      </c>
      <c r="I8" s="10">
        <v>6.0506451836291872E-2</v>
      </c>
      <c r="J8" s="10">
        <f t="shared" si="1"/>
        <v>6.0506451836291872E-2</v>
      </c>
      <c r="K8" s="10">
        <f t="shared" si="0"/>
        <v>4.8103607770582792E-2</v>
      </c>
      <c r="L8" s="10">
        <f t="shared" si="0"/>
        <v>3.9877300613496938E-2</v>
      </c>
      <c r="M8" s="10">
        <f t="shared" si="0"/>
        <v>3.2967032967032968E-2</v>
      </c>
      <c r="N8" s="10">
        <f t="shared" si="0"/>
        <v>9.7251585623678638E-2</v>
      </c>
      <c r="O8" s="10">
        <f t="shared" si="0"/>
        <v>0.11227544910179642</v>
      </c>
      <c r="P8" s="10">
        <f t="shared" si="0"/>
        <v>0.12040133779264214</v>
      </c>
    </row>
    <row r="9" spans="1:16" x14ac:dyDescent="0.3">
      <c r="A9" s="12" t="s">
        <v>15</v>
      </c>
      <c r="B9" s="9">
        <v>1.005055284965721E-2</v>
      </c>
      <c r="C9" s="9">
        <v>1.0175763182238668E-2</v>
      </c>
      <c r="D9" s="9">
        <v>9.202453987730062E-3</v>
      </c>
      <c r="E9" s="9">
        <v>0</v>
      </c>
      <c r="F9" s="9">
        <v>1.9027484143763214E-2</v>
      </c>
      <c r="G9" s="9">
        <v>1.4970059880239521E-2</v>
      </c>
      <c r="H9" s="9">
        <v>2.0066889632107024E-2</v>
      </c>
      <c r="I9" s="10">
        <v>7.0557004685949082E-2</v>
      </c>
      <c r="J9" s="10">
        <f t="shared" si="1"/>
        <v>7.0557004685949082E-2</v>
      </c>
      <c r="K9" s="10">
        <f t="shared" si="0"/>
        <v>5.8279370952821458E-2</v>
      </c>
      <c r="L9" s="10">
        <f t="shared" si="0"/>
        <v>4.9079754601227002E-2</v>
      </c>
      <c r="M9" s="10">
        <f t="shared" si="0"/>
        <v>3.2967032967032968E-2</v>
      </c>
      <c r="N9" s="10">
        <f t="shared" si="0"/>
        <v>0.11627906976744184</v>
      </c>
      <c r="O9" s="10">
        <f t="shared" si="0"/>
        <v>0.12724550898203593</v>
      </c>
      <c r="P9" s="10">
        <f t="shared" si="0"/>
        <v>0.14046822742474918</v>
      </c>
    </row>
    <row r="10" spans="1:16" x14ac:dyDescent="0.3">
      <c r="A10" s="12" t="s">
        <v>23</v>
      </c>
      <c r="B10" s="9">
        <v>1.2241176334802982E-2</v>
      </c>
      <c r="C10" s="9">
        <v>3.0527289546716005E-2</v>
      </c>
      <c r="D10" s="9">
        <v>3.9877300613496931E-2</v>
      </c>
      <c r="E10" s="9">
        <v>2.197802197802198E-2</v>
      </c>
      <c r="F10" s="9">
        <v>1.6913319238900635E-2</v>
      </c>
      <c r="G10" s="9">
        <v>1.6467065868263474E-2</v>
      </c>
      <c r="H10" s="9">
        <v>2.3411371237458192E-2</v>
      </c>
      <c r="I10" s="10">
        <v>8.2798181020752065E-2</v>
      </c>
      <c r="J10" s="10">
        <f t="shared" si="1"/>
        <v>8.2798181020752065E-2</v>
      </c>
      <c r="K10" s="10">
        <f t="shared" si="0"/>
        <v>8.8806660499537463E-2</v>
      </c>
      <c r="L10" s="10">
        <f t="shared" si="0"/>
        <v>8.895705521472394E-2</v>
      </c>
      <c r="M10" s="10">
        <f t="shared" si="0"/>
        <v>5.4945054945054944E-2</v>
      </c>
      <c r="N10" s="10">
        <f t="shared" si="0"/>
        <v>0.13319238900634248</v>
      </c>
      <c r="O10" s="10">
        <f t="shared" si="0"/>
        <v>0.1437125748502994</v>
      </c>
      <c r="P10" s="10">
        <f t="shared" si="0"/>
        <v>0.16387959866220736</v>
      </c>
    </row>
    <row r="11" spans="1:16" x14ac:dyDescent="0.3">
      <c r="A11" s="12" t="s">
        <v>11</v>
      </c>
      <c r="B11" s="9">
        <v>1.2587428729715381E-2</v>
      </c>
      <c r="C11" s="9">
        <v>2.4051803885291396E-2</v>
      </c>
      <c r="D11" s="9">
        <v>4.6012269938650305E-2</v>
      </c>
      <c r="E11" s="9">
        <v>8.0586080586080591E-2</v>
      </c>
      <c r="F11" s="9">
        <v>2.4312896405919663E-2</v>
      </c>
      <c r="G11" s="9">
        <v>2.2455089820359281E-2</v>
      </c>
      <c r="H11" s="9">
        <v>3.0100334448160536E-2</v>
      </c>
      <c r="I11" s="10">
        <v>9.5385609750467448E-2</v>
      </c>
      <c r="J11" s="10">
        <f t="shared" si="1"/>
        <v>9.5385609750467448E-2</v>
      </c>
      <c r="K11" s="10">
        <f t="shared" si="0"/>
        <v>0.11285846438482885</v>
      </c>
      <c r="L11" s="10">
        <f t="shared" si="0"/>
        <v>0.13496932515337423</v>
      </c>
      <c r="M11" s="10">
        <f t="shared" si="0"/>
        <v>0.13553113553113555</v>
      </c>
      <c r="N11" s="10">
        <f t="shared" si="0"/>
        <v>0.15750528541226214</v>
      </c>
      <c r="O11" s="10">
        <f t="shared" si="0"/>
        <v>0.16616766467065869</v>
      </c>
      <c r="P11" s="10">
        <f t="shared" si="0"/>
        <v>0.1939799331103679</v>
      </c>
    </row>
    <row r="12" spans="1:16" x14ac:dyDescent="0.3">
      <c r="A12" s="12" t="s">
        <v>20</v>
      </c>
      <c r="B12" s="9">
        <v>1.2640520763601948E-2</v>
      </c>
      <c r="C12" s="9">
        <v>1.757631822386679E-2</v>
      </c>
      <c r="D12" s="9">
        <v>6.1349693251533744E-3</v>
      </c>
      <c r="E12" s="9">
        <v>7.326007326007326E-3</v>
      </c>
      <c r="F12" s="9">
        <v>3.382663847780127E-2</v>
      </c>
      <c r="G12" s="9">
        <v>3.2934131736526949E-2</v>
      </c>
      <c r="H12" s="9">
        <v>3.678929765886288E-2</v>
      </c>
      <c r="I12" s="10">
        <v>0.1080261305140694</v>
      </c>
      <c r="J12" s="10">
        <f t="shared" si="1"/>
        <v>0.1080261305140694</v>
      </c>
      <c r="K12" s="10">
        <f t="shared" si="0"/>
        <v>0.13043478260869565</v>
      </c>
      <c r="L12" s="10">
        <f t="shared" si="0"/>
        <v>0.1411042944785276</v>
      </c>
      <c r="M12" s="10">
        <f t="shared" si="0"/>
        <v>0.14285714285714288</v>
      </c>
      <c r="N12" s="10">
        <f t="shared" si="0"/>
        <v>0.1913319238900634</v>
      </c>
      <c r="O12" s="10">
        <f t="shared" si="0"/>
        <v>0.19910179640718564</v>
      </c>
      <c r="P12" s="10">
        <f t="shared" si="0"/>
        <v>0.23076923076923078</v>
      </c>
    </row>
    <row r="13" spans="1:16" x14ac:dyDescent="0.3">
      <c r="A13" s="12" t="s">
        <v>2</v>
      </c>
      <c r="B13" s="9">
        <v>1.2832113755453475E-2</v>
      </c>
      <c r="C13" s="9">
        <v>1.942645698427382E-2</v>
      </c>
      <c r="D13" s="9">
        <v>0</v>
      </c>
      <c r="E13" s="9">
        <v>0</v>
      </c>
      <c r="F13" s="9">
        <v>2.5369978858350951E-2</v>
      </c>
      <c r="G13" s="9">
        <v>2.3952095808383235E-2</v>
      </c>
      <c r="H13" s="9">
        <v>2.3411371237458192E-2</v>
      </c>
      <c r="I13" s="10">
        <v>0.12085824426952287</v>
      </c>
      <c r="J13" s="10">
        <f t="shared" si="1"/>
        <v>0.12085824426952287</v>
      </c>
      <c r="K13" s="10">
        <f t="shared" si="0"/>
        <v>0.14986123959296946</v>
      </c>
      <c r="L13" s="10">
        <f t="shared" si="0"/>
        <v>0.1411042944785276</v>
      </c>
      <c r="M13" s="10">
        <f t="shared" si="0"/>
        <v>0.14285714285714288</v>
      </c>
      <c r="N13" s="10">
        <f t="shared" si="0"/>
        <v>0.21670190274841436</v>
      </c>
      <c r="O13" s="10">
        <f t="shared" si="0"/>
        <v>0.22305389221556887</v>
      </c>
      <c r="P13" s="10">
        <f t="shared" si="0"/>
        <v>0.25418060200668896</v>
      </c>
    </row>
    <row r="14" spans="1:16" x14ac:dyDescent="0.3">
      <c r="A14" s="12" t="s">
        <v>9</v>
      </c>
      <c r="B14" s="9">
        <v>1.4274832067588467E-2</v>
      </c>
      <c r="C14" s="9">
        <v>1.2025901942645698E-2</v>
      </c>
      <c r="D14" s="9">
        <v>6.1349693251533744E-3</v>
      </c>
      <c r="E14" s="9">
        <v>3.663003663003663E-3</v>
      </c>
      <c r="F14" s="9">
        <v>1.4799154334038054E-2</v>
      </c>
      <c r="G14" s="9">
        <v>2.0958083832335328E-2</v>
      </c>
      <c r="H14" s="9">
        <v>5.3511705685618728E-2</v>
      </c>
      <c r="I14" s="10">
        <v>0.13513307633711133</v>
      </c>
      <c r="J14" s="10">
        <f t="shared" si="1"/>
        <v>0.13513307633711133</v>
      </c>
      <c r="K14" s="10">
        <f t="shared" si="0"/>
        <v>0.16188714153561515</v>
      </c>
      <c r="L14" s="10">
        <f t="shared" si="0"/>
        <v>0.14723926380368096</v>
      </c>
      <c r="M14" s="10">
        <f t="shared" si="0"/>
        <v>0.14652014652014653</v>
      </c>
      <c r="N14" s="10">
        <f t="shared" si="0"/>
        <v>0.23150105708245242</v>
      </c>
      <c r="O14" s="10">
        <f t="shared" si="0"/>
        <v>0.2440119760479042</v>
      </c>
      <c r="P14" s="10">
        <f t="shared" si="0"/>
        <v>0.30769230769230771</v>
      </c>
    </row>
    <row r="15" spans="1:16" x14ac:dyDescent="0.3">
      <c r="A15" s="12" t="s">
        <v>19</v>
      </c>
      <c r="B15" s="9">
        <v>1.4821910851550057E-2</v>
      </c>
      <c r="C15" s="9">
        <v>2.7752081406105457E-3</v>
      </c>
      <c r="D15" s="9">
        <v>3.0674846625766872E-3</v>
      </c>
      <c r="E15" s="9">
        <v>0</v>
      </c>
      <c r="F15" s="9">
        <v>1.2684989429175475E-2</v>
      </c>
      <c r="G15" s="9">
        <v>1.1976047904191617E-2</v>
      </c>
      <c r="H15" s="9">
        <v>2.0066889632107024E-2</v>
      </c>
      <c r="I15" s="10">
        <v>0.14995498718866138</v>
      </c>
      <c r="J15" s="10">
        <f t="shared" si="1"/>
        <v>0.14995498718866138</v>
      </c>
      <c r="K15" s="10">
        <f t="shared" si="0"/>
        <v>0.1646623496762257</v>
      </c>
      <c r="L15" s="10">
        <f t="shared" si="0"/>
        <v>0.15030674846625766</v>
      </c>
      <c r="M15" s="10">
        <f t="shared" si="0"/>
        <v>0.14652014652014653</v>
      </c>
      <c r="N15" s="10">
        <f t="shared" si="0"/>
        <v>0.2441860465116279</v>
      </c>
      <c r="O15" s="10">
        <f t="shared" si="0"/>
        <v>0.2559880239520958</v>
      </c>
      <c r="P15" s="10">
        <f t="shared" si="0"/>
        <v>0.32775919732441472</v>
      </c>
    </row>
    <row r="16" spans="1:16" x14ac:dyDescent="0.3">
      <c r="A16" s="12" t="s">
        <v>8</v>
      </c>
      <c r="B16" s="9">
        <v>1.561367466124974E-2</v>
      </c>
      <c r="C16" s="9">
        <v>2.5901942645698426E-2</v>
      </c>
      <c r="D16" s="9">
        <v>6.1349693251533744E-3</v>
      </c>
      <c r="E16" s="9">
        <v>3.2967032967032968E-2</v>
      </c>
      <c r="F16" s="9">
        <v>1.1627906976744186E-2</v>
      </c>
      <c r="G16" s="9">
        <v>7.4850299401197605E-3</v>
      </c>
      <c r="H16" s="9">
        <v>2.6755852842809364E-2</v>
      </c>
      <c r="I16" s="10">
        <v>0.16556866184991112</v>
      </c>
      <c r="J16" s="10">
        <f t="shared" si="1"/>
        <v>0.16556866184991112</v>
      </c>
      <c r="K16" s="10">
        <f t="shared" si="0"/>
        <v>0.19056429232192412</v>
      </c>
      <c r="L16" s="10">
        <f t="shared" si="0"/>
        <v>0.15644171779141103</v>
      </c>
      <c r="M16" s="10">
        <f t="shared" si="0"/>
        <v>0.17948717948717949</v>
      </c>
      <c r="N16" s="10">
        <f t="shared" si="0"/>
        <v>0.2558139534883721</v>
      </c>
      <c r="O16" s="10">
        <f t="shared" si="0"/>
        <v>0.26347305389221554</v>
      </c>
      <c r="P16" s="10">
        <f t="shared" si="0"/>
        <v>0.35451505016722407</v>
      </c>
    </row>
    <row r="17" spans="1:16" x14ac:dyDescent="0.3">
      <c r="A17" s="12" t="s">
        <v>22</v>
      </c>
      <c r="B17" s="9">
        <v>1.5689850188130468E-2</v>
      </c>
      <c r="C17" s="9">
        <v>7.4005550416281225E-3</v>
      </c>
      <c r="D17" s="9">
        <v>6.1349693251533744E-3</v>
      </c>
      <c r="E17" s="9">
        <v>0</v>
      </c>
      <c r="F17" s="9">
        <v>2.2198731501057084E-2</v>
      </c>
      <c r="G17" s="9">
        <v>2.0958083832335328E-2</v>
      </c>
      <c r="H17" s="9">
        <v>1.6722408026755852E-2</v>
      </c>
      <c r="I17" s="10">
        <v>0.18125851203804158</v>
      </c>
      <c r="J17" s="10">
        <f t="shared" ref="J17:J25" si="2">J16+B17</f>
        <v>0.18125851203804158</v>
      </c>
      <c r="K17" s="10">
        <f t="shared" ref="K17:K25" si="3">K16+C17</f>
        <v>0.19796484736355224</v>
      </c>
      <c r="L17" s="10">
        <f t="shared" ref="L17:L25" si="4">L16+D17</f>
        <v>0.16257668711656439</v>
      </c>
      <c r="M17" s="10">
        <f t="shared" ref="M17:M25" si="5">M16+E17</f>
        <v>0.17948717948717949</v>
      </c>
      <c r="N17" s="10">
        <f t="shared" ref="N17:N25" si="6">N16+F17</f>
        <v>0.27801268498942922</v>
      </c>
      <c r="O17" s="10">
        <f t="shared" ref="O17:O25" si="7">O16+G17</f>
        <v>0.28443113772455086</v>
      </c>
      <c r="P17" s="10">
        <f t="shared" ref="P17:P25" si="8">P16+H17</f>
        <v>0.37123745819397991</v>
      </c>
    </row>
    <row r="18" spans="1:16" x14ac:dyDescent="0.3">
      <c r="A18" s="12" t="s">
        <v>1</v>
      </c>
      <c r="B18" s="9">
        <v>1.7192585582050276E-2</v>
      </c>
      <c r="C18" s="9">
        <v>2.1276595744680851E-2</v>
      </c>
      <c r="D18" s="9">
        <v>1.2269938650306749E-2</v>
      </c>
      <c r="E18" s="9">
        <v>3.663003663003663E-3</v>
      </c>
      <c r="F18" s="9">
        <v>2.3255813953488372E-2</v>
      </c>
      <c r="G18" s="9">
        <v>3.1437125748502992E-2</v>
      </c>
      <c r="H18" s="9">
        <v>2.0066889632107024E-2</v>
      </c>
      <c r="I18" s="10">
        <v>0.19845109762009186</v>
      </c>
      <c r="J18" s="10">
        <f t="shared" si="2"/>
        <v>0.19845109762009186</v>
      </c>
      <c r="K18" s="10">
        <f t="shared" si="3"/>
        <v>0.2192414431082331</v>
      </c>
      <c r="L18" s="10">
        <f t="shared" si="4"/>
        <v>0.17484662576687116</v>
      </c>
      <c r="M18" s="10">
        <f t="shared" si="5"/>
        <v>0.18315018315018314</v>
      </c>
      <c r="N18" s="10">
        <f t="shared" si="6"/>
        <v>0.30126849894291757</v>
      </c>
      <c r="O18" s="10">
        <f t="shared" si="7"/>
        <v>0.31586826347305386</v>
      </c>
      <c r="P18" s="10">
        <f t="shared" si="8"/>
        <v>0.39130434782608692</v>
      </c>
    </row>
    <row r="19" spans="1:16" x14ac:dyDescent="0.3">
      <c r="A19" s="12" t="s">
        <v>4</v>
      </c>
      <c r="B19" s="9">
        <v>1.7670413887029387E-2</v>
      </c>
      <c r="C19" s="9">
        <v>1.757631822386679E-2</v>
      </c>
      <c r="D19" s="9">
        <v>1.5337423312883436E-2</v>
      </c>
      <c r="E19" s="9">
        <v>4.7619047619047616E-2</v>
      </c>
      <c r="F19" s="9">
        <v>2.1141649048625793E-2</v>
      </c>
      <c r="G19" s="9">
        <v>3.2934131736526949E-2</v>
      </c>
      <c r="H19" s="9">
        <v>3.0100334448160536E-2</v>
      </c>
      <c r="I19" s="10">
        <v>0.21612151150712125</v>
      </c>
      <c r="J19" s="10">
        <f t="shared" si="2"/>
        <v>0.21612151150712125</v>
      </c>
      <c r="K19" s="10">
        <f t="shared" si="3"/>
        <v>0.23681776133209989</v>
      </c>
      <c r="L19" s="10">
        <f t="shared" si="4"/>
        <v>0.19018404907975459</v>
      </c>
      <c r="M19" s="10">
        <f t="shared" si="5"/>
        <v>0.23076923076923075</v>
      </c>
      <c r="N19" s="10">
        <f t="shared" si="6"/>
        <v>0.32241014799154338</v>
      </c>
      <c r="O19" s="10">
        <f t="shared" si="7"/>
        <v>0.34880239520958078</v>
      </c>
      <c r="P19" s="10">
        <f t="shared" si="8"/>
        <v>0.42140468227424743</v>
      </c>
    </row>
    <row r="20" spans="1:16" x14ac:dyDescent="0.3">
      <c r="A20" s="12" t="s">
        <v>7</v>
      </c>
      <c r="B20" s="9">
        <v>2.2427921793125735E-2</v>
      </c>
      <c r="C20" s="9">
        <v>7.4005550416281225E-3</v>
      </c>
      <c r="D20" s="9">
        <v>1.2269938650306749E-2</v>
      </c>
      <c r="E20" s="9">
        <v>1.098901098901099E-2</v>
      </c>
      <c r="F20" s="9">
        <v>2.8541226215644821E-2</v>
      </c>
      <c r="G20" s="9">
        <v>4.4910179640718563E-2</v>
      </c>
      <c r="H20" s="9">
        <v>7.0234113712374577E-2</v>
      </c>
      <c r="I20" s="10">
        <v>0.23854943330024697</v>
      </c>
      <c r="J20" s="10">
        <f t="shared" si="2"/>
        <v>0.23854943330024697</v>
      </c>
      <c r="K20" s="10">
        <f t="shared" si="3"/>
        <v>0.24421831637372801</v>
      </c>
      <c r="L20" s="10">
        <f t="shared" si="4"/>
        <v>0.20245398773006135</v>
      </c>
      <c r="M20" s="10">
        <f t="shared" si="5"/>
        <v>0.24175824175824173</v>
      </c>
      <c r="N20" s="10">
        <f t="shared" si="6"/>
        <v>0.35095137420718819</v>
      </c>
      <c r="O20" s="10">
        <f t="shared" si="7"/>
        <v>0.39371257485029937</v>
      </c>
      <c r="P20" s="10">
        <f t="shared" si="8"/>
        <v>0.49163879598662202</v>
      </c>
    </row>
    <row r="21" spans="1:16" x14ac:dyDescent="0.3">
      <c r="A21" s="12" t="s">
        <v>3</v>
      </c>
      <c r="B21" s="9">
        <v>2.2845733016320029E-2</v>
      </c>
      <c r="C21" s="9">
        <v>1.942645698427382E-2</v>
      </c>
      <c r="D21" s="9">
        <v>9.202453987730062E-3</v>
      </c>
      <c r="E21" s="9">
        <v>2.197802197802198E-2</v>
      </c>
      <c r="F21" s="9">
        <v>1.7970401691331923E-2</v>
      </c>
      <c r="G21" s="9">
        <v>2.2455089820359281E-2</v>
      </c>
      <c r="H21" s="9">
        <v>2.6755852842809364E-2</v>
      </c>
      <c r="I21" s="10">
        <v>0.26139516631656701</v>
      </c>
      <c r="J21" s="10">
        <f t="shared" si="2"/>
        <v>0.26139516631656701</v>
      </c>
      <c r="K21" s="10">
        <f t="shared" si="3"/>
        <v>0.26364477335800185</v>
      </c>
      <c r="L21" s="10">
        <f t="shared" si="4"/>
        <v>0.21165644171779141</v>
      </c>
      <c r="M21" s="10">
        <f t="shared" si="5"/>
        <v>0.26373626373626369</v>
      </c>
      <c r="N21" s="10">
        <f t="shared" si="6"/>
        <v>0.3689217758985201</v>
      </c>
      <c r="O21" s="10">
        <f t="shared" si="7"/>
        <v>0.41616766467065863</v>
      </c>
      <c r="P21" s="10">
        <f t="shared" si="8"/>
        <v>0.51839464882943143</v>
      </c>
    </row>
    <row r="22" spans="1:16" x14ac:dyDescent="0.3">
      <c r="A22" s="12" t="s">
        <v>5</v>
      </c>
      <c r="B22" s="9">
        <v>2.601047990581935E-2</v>
      </c>
      <c r="C22" s="9">
        <v>1.4801110083256245E-2</v>
      </c>
      <c r="D22" s="9">
        <v>1.2269938650306749E-2</v>
      </c>
      <c r="E22" s="9">
        <v>1.4652014652014652E-2</v>
      </c>
      <c r="F22" s="9">
        <v>1.6913319238900635E-2</v>
      </c>
      <c r="G22" s="9">
        <v>2.2455089820359281E-2</v>
      </c>
      <c r="H22" s="9">
        <v>1.3377926421404682E-2</v>
      </c>
      <c r="I22" s="10">
        <v>0.28740564622238635</v>
      </c>
      <c r="J22" s="10">
        <f t="shared" si="2"/>
        <v>0.28740564622238635</v>
      </c>
      <c r="K22" s="10">
        <f t="shared" si="3"/>
        <v>0.27844588344125809</v>
      </c>
      <c r="L22" s="10">
        <f t="shared" si="4"/>
        <v>0.22392638036809817</v>
      </c>
      <c r="M22" s="10">
        <f t="shared" si="5"/>
        <v>0.27838827838827834</v>
      </c>
      <c r="N22" s="10">
        <f t="shared" si="6"/>
        <v>0.38583509513742076</v>
      </c>
      <c r="O22" s="10">
        <f t="shared" si="7"/>
        <v>0.4386227544910179</v>
      </c>
      <c r="P22" s="10">
        <f t="shared" si="8"/>
        <v>0.5317725752508361</v>
      </c>
    </row>
    <row r="23" spans="1:16" x14ac:dyDescent="0.3">
      <c r="A23" s="12" t="s">
        <v>10</v>
      </c>
      <c r="B23" s="9">
        <v>2.8298054061540592E-2</v>
      </c>
      <c r="C23" s="9">
        <v>4.0703052728954671E-2</v>
      </c>
      <c r="D23" s="9">
        <v>4.2944785276073622E-2</v>
      </c>
      <c r="E23" s="9">
        <v>1.098901098901099E-2</v>
      </c>
      <c r="F23" s="9">
        <v>5.3911205073995772E-2</v>
      </c>
      <c r="G23" s="9">
        <v>5.9880239520958084E-2</v>
      </c>
      <c r="H23" s="9">
        <v>5.016722408026756E-2</v>
      </c>
      <c r="I23" s="10">
        <v>0.31570370028392691</v>
      </c>
      <c r="J23" s="10">
        <f t="shared" si="2"/>
        <v>0.31570370028392691</v>
      </c>
      <c r="K23" s="10">
        <f t="shared" si="3"/>
        <v>0.31914893617021278</v>
      </c>
      <c r="L23" s="10">
        <f t="shared" si="4"/>
        <v>0.26687116564417179</v>
      </c>
      <c r="M23" s="10">
        <f t="shared" si="5"/>
        <v>0.28937728937728935</v>
      </c>
      <c r="N23" s="10">
        <f t="shared" si="6"/>
        <v>0.43974630021141653</v>
      </c>
      <c r="O23" s="10">
        <f t="shared" si="7"/>
        <v>0.49850299401197595</v>
      </c>
      <c r="P23" s="10">
        <f t="shared" si="8"/>
        <v>0.58193979933110362</v>
      </c>
    </row>
    <row r="24" spans="1:16" x14ac:dyDescent="0.3">
      <c r="A24" s="12" t="s">
        <v>21</v>
      </c>
      <c r="B24" s="9">
        <v>3.2963227995660302E-2</v>
      </c>
      <c r="C24" s="9">
        <v>2.4051803885291396E-2</v>
      </c>
      <c r="D24" s="9">
        <v>2.7607361963190184E-2</v>
      </c>
      <c r="E24" s="9">
        <v>7.326007326007326E-3</v>
      </c>
      <c r="F24" s="9">
        <v>3.9112050739957716E-2</v>
      </c>
      <c r="G24" s="9">
        <v>3.2934131736526949E-2</v>
      </c>
      <c r="H24" s="9">
        <v>8.6956521739130432E-2</v>
      </c>
      <c r="I24" s="10">
        <v>0.34866692827958723</v>
      </c>
      <c r="J24" s="10">
        <f t="shared" si="2"/>
        <v>0.34866692827958723</v>
      </c>
      <c r="K24" s="10">
        <f t="shared" si="3"/>
        <v>0.34320074005550416</v>
      </c>
      <c r="L24" s="10">
        <f t="shared" si="4"/>
        <v>0.29447852760736198</v>
      </c>
      <c r="M24" s="10">
        <f t="shared" si="5"/>
        <v>0.29670329670329665</v>
      </c>
      <c r="N24" s="10">
        <f t="shared" si="6"/>
        <v>0.47885835095137425</v>
      </c>
      <c r="O24" s="10">
        <f t="shared" si="7"/>
        <v>0.53143712574850288</v>
      </c>
      <c r="P24" s="10">
        <f t="shared" si="8"/>
        <v>0.66889632107023411</v>
      </c>
    </row>
    <row r="25" spans="1:16" x14ac:dyDescent="0.3">
      <c r="A25" s="12" t="s">
        <v>0</v>
      </c>
      <c r="B25" s="9">
        <v>0.65133307172041277</v>
      </c>
      <c r="C25" s="9">
        <v>0.65679925994449584</v>
      </c>
      <c r="D25" s="9">
        <v>0.70552147239263807</v>
      </c>
      <c r="E25" s="9">
        <v>0.70329670329670335</v>
      </c>
      <c r="F25" s="9">
        <v>0.52114164904862581</v>
      </c>
      <c r="G25" s="9">
        <v>0.46856287425149701</v>
      </c>
      <c r="H25" s="9">
        <v>0.33110367892976589</v>
      </c>
      <c r="I25" s="10">
        <v>1</v>
      </c>
      <c r="J25" s="10">
        <f t="shared" si="2"/>
        <v>1</v>
      </c>
      <c r="K25" s="10">
        <f t="shared" si="3"/>
        <v>1</v>
      </c>
      <c r="L25" s="10">
        <f t="shared" si="4"/>
        <v>1</v>
      </c>
      <c r="M25" s="10">
        <f t="shared" si="5"/>
        <v>1</v>
      </c>
      <c r="N25" s="10">
        <f t="shared" si="6"/>
        <v>1</v>
      </c>
      <c r="O25" s="10">
        <f t="shared" si="7"/>
        <v>0.99999999999999989</v>
      </c>
      <c r="P25" s="10">
        <f t="shared" si="8"/>
        <v>1</v>
      </c>
    </row>
    <row r="27" spans="1:16" ht="28.8" x14ac:dyDescent="0.3">
      <c r="B27" s="18" t="s">
        <v>24</v>
      </c>
      <c r="C27" s="19" t="s">
        <v>32</v>
      </c>
      <c r="D27" s="19" t="s">
        <v>33</v>
      </c>
      <c r="E27" s="19" t="s">
        <v>34</v>
      </c>
      <c r="F27" s="19" t="s">
        <v>35</v>
      </c>
      <c r="G27" s="19" t="s">
        <v>36</v>
      </c>
      <c r="H27" s="19" t="s">
        <v>37</v>
      </c>
      <c r="J27" s="3"/>
      <c r="K27" s="14" t="s">
        <v>38</v>
      </c>
      <c r="L27" s="14" t="s">
        <v>39</v>
      </c>
      <c r="M27" s="14" t="s">
        <v>40</v>
      </c>
      <c r="N27" s="14" t="s">
        <v>41</v>
      </c>
      <c r="O27" s="14" t="s">
        <v>42</v>
      </c>
      <c r="P27" s="14" t="s">
        <v>43</v>
      </c>
    </row>
    <row r="28" spans="1:16" x14ac:dyDescent="0.3">
      <c r="B28" s="12" t="s">
        <v>13</v>
      </c>
      <c r="C28" s="10">
        <f>C2-B2</f>
        <v>-3.5871812174422119E-3</v>
      </c>
      <c r="D28" s="10">
        <f>D2-B2</f>
        <v>-4.2199740756795855E-3</v>
      </c>
      <c r="E28" s="10">
        <f>E2-B2</f>
        <v>3.8548587751052917E-5</v>
      </c>
      <c r="F28" s="10">
        <f>F2-B2</f>
        <v>1.1211842876275406E-4</v>
      </c>
      <c r="G28" s="10">
        <f>G2-B2</f>
        <v>-5.7904527502323205E-3</v>
      </c>
      <c r="H28" s="10">
        <f>H2-B2</f>
        <v>9.4349492884995799E-3</v>
      </c>
      <c r="J28" s="12" t="s">
        <v>13</v>
      </c>
      <c r="K28" s="3">
        <f>(J2-0) * ((K2+0))</f>
        <v>2.6965619753029688E-5</v>
      </c>
      <c r="L28" s="3">
        <f>(J2-0) * ((L2+0))</f>
        <v>2.2354167908761574E-5</v>
      </c>
      <c r="M28" s="3">
        <f>(J2-0) * ((M2+0))</f>
        <v>5.338797610444156E-5</v>
      </c>
      <c r="N28" s="3">
        <f>(J2-0) * ((N2+0))</f>
        <v>5.3924113285194404E-5</v>
      </c>
      <c r="O28" s="3">
        <f>(J2-0) * ((O2+0))</f>
        <v>1.0909369368647115E-5</v>
      </c>
      <c r="P28" s="3">
        <f>(J2-0) * ((P2+0))</f>
        <v>1.2186385849926878E-4</v>
      </c>
    </row>
    <row r="29" spans="1:16" x14ac:dyDescent="0.3">
      <c r="B29" s="12" t="s">
        <v>14</v>
      </c>
      <c r="C29" s="10">
        <f t="shared" ref="C29:C51" si="9">C3-B3</f>
        <v>-7.4351930934188964E-3</v>
      </c>
      <c r="D29" s="10">
        <f t="shared" ref="D29:D51" si="10">D3-B3</f>
        <v>-4.3677084308422088E-3</v>
      </c>
      <c r="E29" s="10">
        <f t="shared" ref="E29:E51" si="11">E3-B3</f>
        <v>-1.0918576741157041E-4</v>
      </c>
      <c r="F29" s="10">
        <f t="shared" ref="F29:F51" si="12">F3-B3</f>
        <v>-6.3781106409876069E-3</v>
      </c>
      <c r="G29" s="10">
        <f t="shared" ref="G29:G51" si="13">G3-B3</f>
        <v>-2.9441751293470403E-3</v>
      </c>
      <c r="H29" s="10">
        <f t="shared" ref="H29:H51" si="14">H3-B3</f>
        <v>1.2631696538688127E-2</v>
      </c>
      <c r="J29" s="12" t="s">
        <v>14</v>
      </c>
      <c r="K29" s="3">
        <f>(J3-J2) * ((K3+K2))</f>
        <v>5.502455573297981E-5</v>
      </c>
      <c r="L29" s="3">
        <f>(J3-J2) * ((L3+L2))</f>
        <v>6.842202233207574E-5</v>
      </c>
      <c r="M29" s="3">
        <f>(J3-J2) * ((M3+M2))</f>
        <v>1.6341083721799771E-4</v>
      </c>
      <c r="N29" s="3">
        <f>(J3-J2) * ((N3+N2))</f>
        <v>1.178941822423715E-4</v>
      </c>
      <c r="O29" s="3">
        <f>(J3-J2) * ((O3+O2))</f>
        <v>5.5652642914812102E-5</v>
      </c>
      <c r="P29" s="3">
        <f>(J3-J2) * ((P3+P2))</f>
        <v>3.9786986453077712E-4</v>
      </c>
    </row>
    <row r="30" spans="1:16" x14ac:dyDescent="0.3">
      <c r="B30" s="12" t="s">
        <v>6</v>
      </c>
      <c r="C30" s="10">
        <f t="shared" si="9"/>
        <v>-3.4538756469383808E-3</v>
      </c>
      <c r="D30" s="10">
        <f t="shared" si="10"/>
        <v>4.1907161023507916E-3</v>
      </c>
      <c r="E30" s="10">
        <f t="shared" si="11"/>
        <v>-7.5321522194863114E-4</v>
      </c>
      <c r="F30" s="10">
        <f t="shared" si="12"/>
        <v>-3.8508927382307984E-3</v>
      </c>
      <c r="G30" s="10">
        <f t="shared" si="13"/>
        <v>-6.5822165599320054E-3</v>
      </c>
      <c r="H30" s="10">
        <f t="shared" si="14"/>
        <v>-8.0792225479559571E-3</v>
      </c>
      <c r="J30" s="12" t="s">
        <v>6</v>
      </c>
      <c r="K30" s="3">
        <f t="shared" ref="K30:K51" si="15">(J4-J3) * ((K4+K3))</f>
        <v>9.7159938134530464E-5</v>
      </c>
      <c r="L30" s="3">
        <f t="shared" ref="L30:L51" si="16">(J4-J3) * ((L4+L3))</f>
        <v>1.9826313001118911E-4</v>
      </c>
      <c r="M30" s="3">
        <f t="shared" ref="M30:M51" si="17">(J4-J3) * ((M4+M3))</f>
        <v>2.959422178738445E-4</v>
      </c>
      <c r="N30" s="3">
        <f t="shared" ref="N30:N51" si="18">(J4-J3) * ((N4+N3))</f>
        <v>1.7080808769462911E-4</v>
      </c>
      <c r="O30" s="3">
        <f t="shared" ref="O30:O51" si="19">(J4-J3) * ((O4+O3))</f>
        <v>1.0885180079581378E-4</v>
      </c>
      <c r="P30" s="3">
        <f t="shared" ref="P30:P51" si="20">(J4-J3) * ((P4+P3))</f>
        <v>5.9445784633789642E-4</v>
      </c>
    </row>
    <row r="31" spans="1:16" x14ac:dyDescent="0.3">
      <c r="B31" s="12" t="s">
        <v>16</v>
      </c>
      <c r="C31" s="10">
        <f t="shared" si="9"/>
        <v>-1.5096732541175894E-3</v>
      </c>
      <c r="D31" s="10">
        <f t="shared" si="10"/>
        <v>2.9222569198435015E-4</v>
      </c>
      <c r="E31" s="10">
        <f t="shared" si="11"/>
        <v>-5.2472246327420488E-3</v>
      </c>
      <c r="F31" s="10">
        <f t="shared" si="12"/>
        <v>5.8889260382923424E-3</v>
      </c>
      <c r="G31" s="10">
        <f t="shared" si="13"/>
        <v>7.5568375725177626E-3</v>
      </c>
      <c r="H31" s="10">
        <f t="shared" si="14"/>
        <v>1.1232165203078001E-3</v>
      </c>
      <c r="J31" s="12" t="s">
        <v>16</v>
      </c>
      <c r="K31" s="3">
        <f t="shared" si="15"/>
        <v>2.1430706354245006E-4</v>
      </c>
      <c r="L31" s="3">
        <f t="shared" si="16"/>
        <v>4.0997982955885177E-4</v>
      </c>
      <c r="M31" s="3">
        <f t="shared" si="17"/>
        <v>4.2429658551170054E-4</v>
      </c>
      <c r="N31" s="3">
        <f t="shared" si="18"/>
        <v>3.5791614718640278E-4</v>
      </c>
      <c r="O31" s="3">
        <f t="shared" si="19"/>
        <v>2.8011196738122747E-4</v>
      </c>
      <c r="P31" s="3">
        <f t="shared" si="20"/>
        <v>7.4500236586502603E-4</v>
      </c>
    </row>
    <row r="32" spans="1:16" x14ac:dyDescent="0.3">
      <c r="B32" s="12" t="s">
        <v>12</v>
      </c>
      <c r="C32" s="10">
        <f t="shared" si="9"/>
        <v>7.6000638992085486E-4</v>
      </c>
      <c r="D32" s="10">
        <f t="shared" si="10"/>
        <v>-9.4157567923178129E-3</v>
      </c>
      <c r="E32" s="10">
        <f t="shared" si="11"/>
        <v>-9.4157567923178129E-3</v>
      </c>
      <c r="F32" s="10">
        <f t="shared" si="12"/>
        <v>5.3833975417202414E-3</v>
      </c>
      <c r="G32" s="10">
        <f t="shared" si="13"/>
        <v>2.3518374944209136E-2</v>
      </c>
      <c r="H32" s="10">
        <f t="shared" si="14"/>
        <v>3.0718022471896235E-2</v>
      </c>
      <c r="J32" s="12" t="s">
        <v>12</v>
      </c>
      <c r="K32" s="3">
        <f t="shared" si="15"/>
        <v>3.9196027350074149E-4</v>
      </c>
      <c r="L32" s="3">
        <f t="shared" si="16"/>
        <v>5.1988841184576879E-4</v>
      </c>
      <c r="M32" s="3">
        <f t="shared" si="17"/>
        <v>4.8285932268296475E-4</v>
      </c>
      <c r="N32" s="3">
        <f t="shared" si="18"/>
        <v>6.5691326458031248E-4</v>
      </c>
      <c r="O32" s="3">
        <f t="shared" si="19"/>
        <v>7.611539921933561E-4</v>
      </c>
      <c r="P32" s="3">
        <f t="shared" si="20"/>
        <v>1.2596330156946906E-3</v>
      </c>
    </row>
    <row r="33" spans="2:16" x14ac:dyDescent="0.3">
      <c r="B33" s="12" t="s">
        <v>17</v>
      </c>
      <c r="C33" s="10">
        <f t="shared" si="9"/>
        <v>7.0229765743545433E-4</v>
      </c>
      <c r="D33" s="10">
        <f t="shared" si="10"/>
        <v>-2.710115370731514E-4</v>
      </c>
      <c r="E33" s="10">
        <f t="shared" si="11"/>
        <v>-5.8104618617995504E-3</v>
      </c>
      <c r="F33" s="10">
        <f t="shared" si="12"/>
        <v>1.1668183523822579E-2</v>
      </c>
      <c r="G33" s="10">
        <f t="shared" si="13"/>
        <v>1.597563627160397E-2</v>
      </c>
      <c r="H33" s="10">
        <f t="shared" si="14"/>
        <v>1.0593424107303811E-2</v>
      </c>
      <c r="J33" s="12" t="s">
        <v>17</v>
      </c>
      <c r="K33" s="3">
        <f t="shared" si="15"/>
        <v>5.8716206305440839E-4</v>
      </c>
      <c r="L33" s="3">
        <f t="shared" si="16"/>
        <v>6.102539141744403E-4</v>
      </c>
      <c r="M33" s="3">
        <f t="shared" si="17"/>
        <v>5.2052008378039648E-4</v>
      </c>
      <c r="N33" s="3">
        <f t="shared" si="18"/>
        <v>1.0014234169982256E-3</v>
      </c>
      <c r="O33" s="3">
        <f t="shared" si="19"/>
        <v>1.3189106194711065E-3</v>
      </c>
      <c r="P33" s="3">
        <f t="shared" si="20"/>
        <v>1.8376622088247037E-3</v>
      </c>
    </row>
    <row r="34" spans="2:16" x14ac:dyDescent="0.3">
      <c r="B34" s="12" t="s">
        <v>18</v>
      </c>
      <c r="C34" s="10">
        <f t="shared" si="9"/>
        <v>2.1207750988516943E-3</v>
      </c>
      <c r="D34" s="10">
        <f t="shared" si="10"/>
        <v>-6.8376421812173169E-3</v>
      </c>
      <c r="E34" s="10">
        <f t="shared" si="11"/>
        <v>-6.2421231807903406E-3</v>
      </c>
      <c r="F34" s="10">
        <f t="shared" si="12"/>
        <v>2.3921511634007266E-2</v>
      </c>
      <c r="G34" s="10">
        <f t="shared" si="13"/>
        <v>2.0034992916685038E-2</v>
      </c>
      <c r="H34" s="10">
        <f t="shared" si="14"/>
        <v>3.4727995776106784E-3</v>
      </c>
      <c r="J34" s="12" t="s">
        <v>18</v>
      </c>
      <c r="K34" s="3">
        <f t="shared" si="15"/>
        <v>8.338265890705408E-4</v>
      </c>
      <c r="L34" s="3">
        <f t="shared" si="16"/>
        <v>7.595956168553686E-4</v>
      </c>
      <c r="M34" s="3">
        <f t="shared" si="17"/>
        <v>6.1680277049266713E-4</v>
      </c>
      <c r="N34" s="3">
        <f t="shared" si="18"/>
        <v>1.5915214379034768E-3</v>
      </c>
      <c r="O34" s="3">
        <f t="shared" si="19"/>
        <v>1.9276444456485346E-3</v>
      </c>
      <c r="P34" s="3">
        <f t="shared" si="20"/>
        <v>2.2526709878862628E-3</v>
      </c>
    </row>
    <row r="35" spans="2:16" x14ac:dyDescent="0.3">
      <c r="B35" s="12" t="s">
        <v>15</v>
      </c>
      <c r="C35" s="10">
        <f t="shared" si="9"/>
        <v>1.2521033258145776E-4</v>
      </c>
      <c r="D35" s="10">
        <f t="shared" si="10"/>
        <v>-8.4809886192714797E-4</v>
      </c>
      <c r="E35" s="10">
        <f t="shared" si="11"/>
        <v>-1.005055284965721E-2</v>
      </c>
      <c r="F35" s="10">
        <f t="shared" si="12"/>
        <v>8.9769312941060039E-3</v>
      </c>
      <c r="G35" s="10">
        <f t="shared" si="13"/>
        <v>4.919507030582311E-3</v>
      </c>
      <c r="H35" s="10">
        <f t="shared" si="14"/>
        <v>1.0016336782449814E-2</v>
      </c>
      <c r="J35" s="12" t="s">
        <v>15</v>
      </c>
      <c r="K35" s="3">
        <f t="shared" si="15"/>
        <v>1.0692077499635329E-3</v>
      </c>
      <c r="L35" s="3">
        <f t="shared" si="16"/>
        <v>8.9406758478545749E-4</v>
      </c>
      <c r="M35" s="3">
        <f t="shared" si="17"/>
        <v>6.6267381426311279E-4</v>
      </c>
      <c r="N35" s="3">
        <f t="shared" si="18"/>
        <v>2.1461011370303975E-3</v>
      </c>
      <c r="O35" s="3">
        <f t="shared" si="19"/>
        <v>2.4073180478220864E-3</v>
      </c>
      <c r="P35" s="3">
        <f t="shared" si="20"/>
        <v>2.6218833520844902E-3</v>
      </c>
    </row>
    <row r="36" spans="2:16" x14ac:dyDescent="0.3">
      <c r="B36" s="12" t="s">
        <v>23</v>
      </c>
      <c r="C36" s="10">
        <f t="shared" si="9"/>
        <v>1.8286113211913022E-2</v>
      </c>
      <c r="D36" s="10">
        <f t="shared" si="10"/>
        <v>2.7636124278693948E-2</v>
      </c>
      <c r="E36" s="10">
        <f t="shared" si="11"/>
        <v>9.7368456432189981E-3</v>
      </c>
      <c r="F36" s="10">
        <f t="shared" si="12"/>
        <v>4.6721429040976533E-3</v>
      </c>
      <c r="G36" s="10">
        <f t="shared" si="13"/>
        <v>4.2258895334604928E-3</v>
      </c>
      <c r="H36" s="10">
        <f t="shared" si="14"/>
        <v>1.1170194902655211E-2</v>
      </c>
      <c r="J36" s="12" t="s">
        <v>23</v>
      </c>
      <c r="K36" s="3">
        <f t="shared" si="15"/>
        <v>1.8005060473947035E-3</v>
      </c>
      <c r="L36" s="3">
        <f t="shared" si="16"/>
        <v>1.689732929650719E-3</v>
      </c>
      <c r="M36" s="3">
        <f t="shared" si="17"/>
        <v>1.0761473700925698E-3</v>
      </c>
      <c r="N36" s="3">
        <f t="shared" si="18"/>
        <v>3.0538241173504268E-3</v>
      </c>
      <c r="O36" s="3">
        <f t="shared" si="19"/>
        <v>3.316845683531946E-3</v>
      </c>
      <c r="P36" s="3">
        <f t="shared" si="20"/>
        <v>3.7255754062443863E-3</v>
      </c>
    </row>
    <row r="37" spans="2:16" x14ac:dyDescent="0.3">
      <c r="B37" s="12" t="s">
        <v>11</v>
      </c>
      <c r="C37" s="10">
        <f t="shared" si="9"/>
        <v>1.1464375155576014E-2</v>
      </c>
      <c r="D37" s="10">
        <f t="shared" si="10"/>
        <v>3.3424841208934922E-2</v>
      </c>
      <c r="E37" s="10">
        <f t="shared" si="11"/>
        <v>6.7998651856365208E-2</v>
      </c>
      <c r="F37" s="10">
        <f t="shared" si="12"/>
        <v>1.1725467676204282E-2</v>
      </c>
      <c r="G37" s="10">
        <f t="shared" si="13"/>
        <v>9.8676610906439002E-3</v>
      </c>
      <c r="H37" s="10">
        <f t="shared" si="14"/>
        <v>1.7512905718445153E-2</v>
      </c>
      <c r="J37" s="12" t="s">
        <v>11</v>
      </c>
      <c r="K37" s="3">
        <f t="shared" si="15"/>
        <v>2.5384453867511132E-3</v>
      </c>
      <c r="L37" s="3">
        <f t="shared" si="16"/>
        <v>2.8186573535865737E-3</v>
      </c>
      <c r="M37" s="3">
        <f t="shared" si="17"/>
        <v>2.3976054723267399E-3</v>
      </c>
      <c r="N37" s="3">
        <f t="shared" si="18"/>
        <v>3.6591362586381924E-3</v>
      </c>
      <c r="O37" s="3">
        <f t="shared" si="19"/>
        <v>3.9005954297171926E-3</v>
      </c>
      <c r="P37" s="3">
        <f t="shared" si="20"/>
        <v>4.5045313514366081E-3</v>
      </c>
    </row>
    <row r="38" spans="2:16" x14ac:dyDescent="0.3">
      <c r="B38" s="12" t="s">
        <v>20</v>
      </c>
      <c r="C38" s="10">
        <f t="shared" si="9"/>
        <v>4.9357974602648423E-3</v>
      </c>
      <c r="D38" s="10">
        <f t="shared" si="10"/>
        <v>-6.5055514384485735E-3</v>
      </c>
      <c r="E38" s="10">
        <f t="shared" si="11"/>
        <v>-5.3145134375946219E-3</v>
      </c>
      <c r="F38" s="10">
        <f t="shared" si="12"/>
        <v>2.1186117714199322E-2</v>
      </c>
      <c r="G38" s="10">
        <f t="shared" si="13"/>
        <v>2.0293610972925001E-2</v>
      </c>
      <c r="H38" s="10">
        <f t="shared" si="14"/>
        <v>2.4148776895260932E-2</v>
      </c>
      <c r="J38" s="12" t="s">
        <v>20</v>
      </c>
      <c r="K38" s="3">
        <f t="shared" si="15"/>
        <v>3.0753533402657837E-3</v>
      </c>
      <c r="L38" s="3">
        <f t="shared" si="16"/>
        <v>3.4897143212398009E-3</v>
      </c>
      <c r="M38" s="3">
        <f t="shared" si="17"/>
        <v>3.5189728133104324E-3</v>
      </c>
      <c r="N38" s="3">
        <f t="shared" si="18"/>
        <v>4.4094839873030046E-3</v>
      </c>
      <c r="O38" s="3">
        <f t="shared" si="19"/>
        <v>4.6171962070641849E-3</v>
      </c>
      <c r="P38" s="3">
        <f t="shared" si="20"/>
        <v>5.3690506253426338E-3</v>
      </c>
    </row>
    <row r="39" spans="2:16" x14ac:dyDescent="0.3">
      <c r="B39" s="12" t="s">
        <v>2</v>
      </c>
      <c r="C39" s="10">
        <f t="shared" si="9"/>
        <v>6.5943432288203454E-3</v>
      </c>
      <c r="D39" s="10">
        <f t="shared" si="10"/>
        <v>-1.2832113755453475E-2</v>
      </c>
      <c r="E39" s="10">
        <f t="shared" si="11"/>
        <v>-1.2832113755453475E-2</v>
      </c>
      <c r="F39" s="10">
        <f t="shared" si="12"/>
        <v>1.2537865102897476E-2</v>
      </c>
      <c r="G39" s="10">
        <f t="shared" si="13"/>
        <v>1.111998205292976E-2</v>
      </c>
      <c r="H39" s="10">
        <f t="shared" si="14"/>
        <v>1.0579257482004717E-2</v>
      </c>
      <c r="J39" s="12" t="s">
        <v>2</v>
      </c>
      <c r="K39" s="3">
        <f t="shared" si="15"/>
        <v>3.5967904420928778E-3</v>
      </c>
      <c r="L39" s="3">
        <f t="shared" si="16"/>
        <v>3.6213327162629423E-3</v>
      </c>
      <c r="M39" s="3">
        <f t="shared" si="17"/>
        <v>3.6663182158438489E-3</v>
      </c>
      <c r="N39" s="3">
        <f t="shared" si="18"/>
        <v>5.2359364794979267E-3</v>
      </c>
      <c r="O39" s="3">
        <f t="shared" si="19"/>
        <v>5.4171498189189808E-3</v>
      </c>
      <c r="P39" s="3">
        <f t="shared" si="20"/>
        <v>6.2229314198687397E-3</v>
      </c>
    </row>
    <row r="40" spans="2:16" x14ac:dyDescent="0.3">
      <c r="B40" s="12" t="s">
        <v>9</v>
      </c>
      <c r="C40" s="10">
        <f t="shared" si="9"/>
        <v>-2.2489301249427694E-3</v>
      </c>
      <c r="D40" s="10">
        <f t="shared" si="10"/>
        <v>-8.1398627424350938E-3</v>
      </c>
      <c r="E40" s="10">
        <f t="shared" si="11"/>
        <v>-1.0611828404584803E-2</v>
      </c>
      <c r="F40" s="10">
        <f t="shared" si="12"/>
        <v>5.2432226644958703E-4</v>
      </c>
      <c r="G40" s="10">
        <f t="shared" si="13"/>
        <v>6.6832517647468608E-3</v>
      </c>
      <c r="H40" s="10">
        <f t="shared" si="14"/>
        <v>3.9236873618030257E-2</v>
      </c>
      <c r="J40" s="12" t="s">
        <v>9</v>
      </c>
      <c r="K40" s="3">
        <f t="shared" si="15"/>
        <v>4.4501557879531098E-3</v>
      </c>
      <c r="L40" s="3">
        <f t="shared" si="16"/>
        <v>4.1160558722494345E-3</v>
      </c>
      <c r="M40" s="3">
        <f t="shared" si="17"/>
        <v>4.1308122100347571E-3</v>
      </c>
      <c r="N40" s="3">
        <f t="shared" si="18"/>
        <v>6.3980219837817213E-3</v>
      </c>
      <c r="O40" s="3">
        <f t="shared" si="19"/>
        <v>6.6672868339634744E-3</v>
      </c>
      <c r="P40" s="3">
        <f t="shared" si="20"/>
        <v>8.020641429280476E-3</v>
      </c>
    </row>
    <row r="41" spans="2:16" x14ac:dyDescent="0.3">
      <c r="B41" s="12" t="s">
        <v>19</v>
      </c>
      <c r="C41" s="10">
        <f t="shared" si="9"/>
        <v>-1.2046702710939512E-2</v>
      </c>
      <c r="D41" s="10">
        <f t="shared" si="10"/>
        <v>-1.175442618897337E-2</v>
      </c>
      <c r="E41" s="10">
        <f t="shared" si="11"/>
        <v>-1.4821910851550057E-2</v>
      </c>
      <c r="F41" s="10">
        <f t="shared" si="12"/>
        <v>-2.1369214223745815E-3</v>
      </c>
      <c r="G41" s="10">
        <f t="shared" si="13"/>
        <v>-2.8458629473584393E-3</v>
      </c>
      <c r="H41" s="10">
        <f t="shared" si="14"/>
        <v>5.2449787805569671E-3</v>
      </c>
      <c r="J41" s="12" t="s">
        <v>19</v>
      </c>
      <c r="K41" s="3">
        <f t="shared" si="15"/>
        <v>4.8400874473609303E-3</v>
      </c>
      <c r="L41" s="3">
        <f t="shared" si="16"/>
        <v>4.4102004680992464E-3</v>
      </c>
      <c r="M41" s="3">
        <f t="shared" si="17"/>
        <v>4.3434170993553248E-3</v>
      </c>
      <c r="N41" s="3">
        <f t="shared" si="18"/>
        <v>7.0505918427035096E-3</v>
      </c>
      <c r="O41" s="3">
        <f t="shared" si="19"/>
        <v>7.4109554257750232E-3</v>
      </c>
      <c r="P41" s="3">
        <f t="shared" si="20"/>
        <v>9.4186055578411674E-3</v>
      </c>
    </row>
    <row r="42" spans="2:16" x14ac:dyDescent="0.3">
      <c r="B42" s="12" t="s">
        <v>8</v>
      </c>
      <c r="C42" s="10">
        <f t="shared" si="9"/>
        <v>1.0288267984448686E-2</v>
      </c>
      <c r="D42" s="10">
        <f t="shared" si="10"/>
        <v>-9.4787053360963665E-3</v>
      </c>
      <c r="E42" s="10">
        <f t="shared" si="11"/>
        <v>1.7353358305783228E-2</v>
      </c>
      <c r="F42" s="10">
        <f t="shared" si="12"/>
        <v>-3.9857676845055541E-3</v>
      </c>
      <c r="G42" s="10">
        <f t="shared" si="13"/>
        <v>-8.1286447211299795E-3</v>
      </c>
      <c r="H42" s="10">
        <f t="shared" si="14"/>
        <v>1.1142178181559624E-2</v>
      </c>
      <c r="J42" s="12" t="s">
        <v>8</v>
      </c>
      <c r="K42" s="3">
        <f t="shared" si="15"/>
        <v>5.546393219167345E-3</v>
      </c>
      <c r="L42" s="3">
        <f t="shared" si="16"/>
        <v>4.7894707549845841E-3</v>
      </c>
      <c r="M42" s="3">
        <f t="shared" si="17"/>
        <v>5.090172325462371E-3</v>
      </c>
      <c r="N42" s="3">
        <f t="shared" si="18"/>
        <v>7.8068373306248717E-3</v>
      </c>
      <c r="O42" s="3">
        <f t="shared" si="19"/>
        <v>8.1106962686432055E-3</v>
      </c>
      <c r="P42" s="3">
        <f t="shared" si="20"/>
        <v>1.0652808130083437E-2</v>
      </c>
    </row>
    <row r="43" spans="2:16" x14ac:dyDescent="0.3">
      <c r="B43" s="12" t="s">
        <v>22</v>
      </c>
      <c r="C43" s="10">
        <f t="shared" si="9"/>
        <v>-8.2892951465023453E-3</v>
      </c>
      <c r="D43" s="10">
        <f t="shared" si="10"/>
        <v>-9.5548808629770943E-3</v>
      </c>
      <c r="E43" s="10">
        <f t="shared" si="11"/>
        <v>-1.5689850188130468E-2</v>
      </c>
      <c r="F43" s="10">
        <f t="shared" si="12"/>
        <v>6.5088813129266163E-3</v>
      </c>
      <c r="G43" s="10">
        <f t="shared" si="13"/>
        <v>5.2682336442048602E-3</v>
      </c>
      <c r="H43" s="10">
        <f t="shared" si="14"/>
        <v>1.0325578386253843E-3</v>
      </c>
      <c r="J43" s="12" t="s">
        <v>22</v>
      </c>
      <c r="K43" s="3">
        <f t="shared" si="15"/>
        <v>6.0959639953883371E-3</v>
      </c>
      <c r="L43" s="3">
        <f t="shared" si="16"/>
        <v>5.0053509802624775E-3</v>
      </c>
      <c r="M43" s="3">
        <f t="shared" si="17"/>
        <v>5.6322539136878574E-3</v>
      </c>
      <c r="N43" s="3">
        <f t="shared" si="18"/>
        <v>8.3756599841499826E-3</v>
      </c>
      <c r="O43" s="3">
        <f t="shared" si="19"/>
        <v>8.5965346839157897E-3</v>
      </c>
      <c r="P43" s="3">
        <f t="shared" si="20"/>
        <v>1.1386948129847189E-2</v>
      </c>
    </row>
    <row r="44" spans="2:16" x14ac:dyDescent="0.3">
      <c r="B44" s="12" t="s">
        <v>1</v>
      </c>
      <c r="C44" s="10">
        <f t="shared" si="9"/>
        <v>4.0840101626305747E-3</v>
      </c>
      <c r="D44" s="10">
        <f t="shared" si="10"/>
        <v>-4.9226469317435271E-3</v>
      </c>
      <c r="E44" s="10">
        <f t="shared" si="11"/>
        <v>-1.3529581919046612E-2</v>
      </c>
      <c r="F44" s="10">
        <f t="shared" si="12"/>
        <v>6.0632283714380959E-3</v>
      </c>
      <c r="G44" s="10">
        <f t="shared" si="13"/>
        <v>1.4244540166452716E-2</v>
      </c>
      <c r="H44" s="10">
        <f t="shared" si="14"/>
        <v>2.8743040500567481E-3</v>
      </c>
      <c r="J44" s="12" t="s">
        <v>1</v>
      </c>
      <c r="K44" s="3">
        <f t="shared" si="15"/>
        <v>7.1728548543058979E-3</v>
      </c>
      <c r="L44" s="3">
        <f t="shared" si="16"/>
        <v>5.8011791841273939E-3</v>
      </c>
      <c r="M44" s="3">
        <f t="shared" si="17"/>
        <v>6.2346738923918597E-3</v>
      </c>
      <c r="N44" s="3">
        <f t="shared" si="18"/>
        <v>9.9593413308282815E-3</v>
      </c>
      <c r="O44" s="3">
        <f t="shared" si="19"/>
        <v>1.0320698829943355E-2</v>
      </c>
      <c r="P44" s="3">
        <f t="shared" si="20"/>
        <v>1.3110065259891182E-2</v>
      </c>
    </row>
    <row r="45" spans="2:16" x14ac:dyDescent="0.3">
      <c r="B45" s="12" t="s">
        <v>4</v>
      </c>
      <c r="C45" s="10">
        <f t="shared" si="9"/>
        <v>-9.4095663162596654E-5</v>
      </c>
      <c r="D45" s="10">
        <f t="shared" si="10"/>
        <v>-2.3329905741459513E-3</v>
      </c>
      <c r="E45" s="10">
        <f t="shared" si="11"/>
        <v>2.994863373201823E-2</v>
      </c>
      <c r="F45" s="10">
        <f t="shared" si="12"/>
        <v>3.471235161596406E-3</v>
      </c>
      <c r="G45" s="10">
        <f t="shared" si="13"/>
        <v>1.5263717849497562E-2</v>
      </c>
      <c r="H45" s="10">
        <f t="shared" si="14"/>
        <v>1.2429920561131149E-2</v>
      </c>
      <c r="J45" s="12" t="s">
        <v>4</v>
      </c>
      <c r="K45" s="3">
        <f t="shared" si="15"/>
        <v>8.0587548994500366E-3</v>
      </c>
      <c r="L45" s="3">
        <f t="shared" si="16"/>
        <v>6.4502431060015257E-3</v>
      </c>
      <c r="M45" s="3">
        <f t="shared" si="17"/>
        <v>7.3141273598326777E-3</v>
      </c>
      <c r="N45" s="3">
        <f t="shared" si="18"/>
        <v>1.1020659823834399E-2</v>
      </c>
      <c r="O45" s="3">
        <f t="shared" si="19"/>
        <v>1.1745005637486599E-2</v>
      </c>
      <c r="P45" s="3">
        <f t="shared" si="20"/>
        <v>1.4360904931599135E-2</v>
      </c>
    </row>
    <row r="46" spans="2:16" x14ac:dyDescent="0.3">
      <c r="B46" s="12" t="s">
        <v>7</v>
      </c>
      <c r="C46" s="10">
        <f t="shared" si="9"/>
        <v>-1.5027366751497613E-2</v>
      </c>
      <c r="D46" s="10">
        <f t="shared" si="10"/>
        <v>-1.0157983142818986E-2</v>
      </c>
      <c r="E46" s="10">
        <f t="shared" si="11"/>
        <v>-1.1438910804114745E-2</v>
      </c>
      <c r="F46" s="10">
        <f t="shared" si="12"/>
        <v>6.1133044225190857E-3</v>
      </c>
      <c r="G46" s="10">
        <f t="shared" si="13"/>
        <v>2.2482257847592828E-2</v>
      </c>
      <c r="H46" s="10">
        <f t="shared" si="14"/>
        <v>4.7806191919248842E-2</v>
      </c>
      <c r="J46" s="12" t="s">
        <v>7</v>
      </c>
      <c r="K46" s="3">
        <f t="shared" si="15"/>
        <v>1.0788639530458256E-2</v>
      </c>
      <c r="L46" s="3">
        <f t="shared" si="16"/>
        <v>8.8060551825769693E-3</v>
      </c>
      <c r="M46" s="3">
        <f t="shared" si="17"/>
        <v>1.0597809198949516E-2</v>
      </c>
      <c r="N46" s="3">
        <f t="shared" si="18"/>
        <v>1.5102099558373241E-2</v>
      </c>
      <c r="O46" s="3">
        <f t="shared" si="19"/>
        <v>1.6653067678728078E-2</v>
      </c>
      <c r="P46" s="3">
        <f t="shared" si="20"/>
        <v>2.0477667724158263E-2</v>
      </c>
    </row>
    <row r="47" spans="2:16" x14ac:dyDescent="0.3">
      <c r="B47" s="12" t="s">
        <v>3</v>
      </c>
      <c r="C47" s="10">
        <f t="shared" si="9"/>
        <v>-3.4192760320462083E-3</v>
      </c>
      <c r="D47" s="10">
        <f t="shared" si="10"/>
        <v>-1.3643279028589967E-2</v>
      </c>
      <c r="E47" s="10">
        <f t="shared" si="11"/>
        <v>-8.6771103829804894E-4</v>
      </c>
      <c r="F47" s="10">
        <f t="shared" si="12"/>
        <v>-4.875331324988106E-3</v>
      </c>
      <c r="G47" s="10">
        <f t="shared" si="13"/>
        <v>-3.9064319596074717E-4</v>
      </c>
      <c r="H47" s="10">
        <f t="shared" si="14"/>
        <v>3.9101198264893354E-3</v>
      </c>
      <c r="J47" s="12" t="s">
        <v>3</v>
      </c>
      <c r="K47" s="3">
        <f t="shared" si="15"/>
        <v>1.1602504556854486E-2</v>
      </c>
      <c r="L47" s="3">
        <f t="shared" si="16"/>
        <v>9.460656310439278E-3</v>
      </c>
      <c r="M47" s="3">
        <f t="shared" si="17"/>
        <v>1.1548392513744194E-2</v>
      </c>
      <c r="N47" s="3">
        <f t="shared" si="18"/>
        <v>1.644602979293229E-2</v>
      </c>
      <c r="O47" s="3">
        <f t="shared" si="19"/>
        <v>1.8502307727289127E-2</v>
      </c>
      <c r="P47" s="3">
        <f t="shared" si="20"/>
        <v>2.3074954417821574E-2</v>
      </c>
    </row>
    <row r="48" spans="2:16" x14ac:dyDescent="0.3">
      <c r="B48" s="12" t="s">
        <v>5</v>
      </c>
      <c r="C48" s="10">
        <f t="shared" si="9"/>
        <v>-1.1209369822563105E-2</v>
      </c>
      <c r="D48" s="10">
        <f t="shared" si="10"/>
        <v>-1.3740541255512601E-2</v>
      </c>
      <c r="E48" s="10">
        <f t="shared" si="11"/>
        <v>-1.1358465253804698E-2</v>
      </c>
      <c r="F48" s="10">
        <f t="shared" si="12"/>
        <v>-9.0971606669187147E-3</v>
      </c>
      <c r="G48" s="10">
        <f t="shared" si="13"/>
        <v>-3.5553900854600681E-3</v>
      </c>
      <c r="H48" s="10">
        <f t="shared" si="14"/>
        <v>-1.2632553484414668E-2</v>
      </c>
      <c r="J48" s="12" t="s">
        <v>5</v>
      </c>
      <c r="K48" s="3">
        <f t="shared" si="15"/>
        <v>1.4100038135809559E-2</v>
      </c>
      <c r="L48" s="3">
        <f t="shared" si="16"/>
        <v>1.1329718241185113E-2</v>
      </c>
      <c r="M48" s="3">
        <f t="shared" si="17"/>
        <v>1.4100919509381908E-2</v>
      </c>
      <c r="N48" s="3">
        <f t="shared" si="18"/>
        <v>1.963158842785942E-2</v>
      </c>
      <c r="O48" s="3">
        <f t="shared" si="19"/>
        <v>2.2233509021291679E-2</v>
      </c>
      <c r="P48" s="3">
        <f t="shared" si="20"/>
        <v>2.7315353479689875E-2</v>
      </c>
    </row>
    <row r="49" spans="2:16" x14ac:dyDescent="0.3">
      <c r="B49" s="12" t="s">
        <v>10</v>
      </c>
      <c r="C49" s="10">
        <f t="shared" si="9"/>
        <v>1.2404998667414079E-2</v>
      </c>
      <c r="D49" s="10">
        <f t="shared" si="10"/>
        <v>1.464673121453303E-2</v>
      </c>
      <c r="E49" s="10">
        <f t="shared" si="11"/>
        <v>-1.7309043072529604E-2</v>
      </c>
      <c r="F49" s="10">
        <f t="shared" si="12"/>
        <v>2.561315101245518E-2</v>
      </c>
      <c r="G49" s="10">
        <f t="shared" si="13"/>
        <v>3.1582185459417489E-2</v>
      </c>
      <c r="H49" s="10">
        <f t="shared" si="14"/>
        <v>2.1869170018726968E-2</v>
      </c>
      <c r="J49" s="12" t="s">
        <v>10</v>
      </c>
      <c r="K49" s="3">
        <f t="shared" si="15"/>
        <v>1.6910770512261985E-2</v>
      </c>
      <c r="L49" s="3">
        <f t="shared" si="16"/>
        <v>1.3888615490326659E-2</v>
      </c>
      <c r="M49" s="3">
        <f t="shared" si="17"/>
        <v>1.6066660730911311E-2</v>
      </c>
      <c r="N49" s="3">
        <f t="shared" si="18"/>
        <v>2.3362346957783494E-2</v>
      </c>
      <c r="O49" s="3">
        <f t="shared" si="19"/>
        <v>2.6518835093599386E-2</v>
      </c>
      <c r="P49" s="3">
        <f t="shared" si="20"/>
        <v>3.151589298492645E-2</v>
      </c>
    </row>
    <row r="50" spans="2:16" x14ac:dyDescent="0.3">
      <c r="B50" s="12" t="s">
        <v>21</v>
      </c>
      <c r="C50" s="10">
        <f t="shared" si="9"/>
        <v>-8.9114241103689061E-3</v>
      </c>
      <c r="D50" s="10">
        <f t="shared" si="10"/>
        <v>-5.3558660324701177E-3</v>
      </c>
      <c r="E50" s="10">
        <f t="shared" si="11"/>
        <v>-2.5637220669652974E-2</v>
      </c>
      <c r="F50" s="10">
        <f t="shared" si="12"/>
        <v>6.1488227442974136E-3</v>
      </c>
      <c r="G50" s="10">
        <f t="shared" si="13"/>
        <v>-2.9096259133352953E-5</v>
      </c>
      <c r="H50" s="10">
        <f t="shared" si="14"/>
        <v>5.399329374347013E-2</v>
      </c>
      <c r="J50" s="12" t="s">
        <v>21</v>
      </c>
      <c r="K50" s="3">
        <f t="shared" si="15"/>
        <v>2.1833183390280099E-2</v>
      </c>
      <c r="L50" s="3">
        <f t="shared" si="16"/>
        <v>1.8503897923944291E-2</v>
      </c>
      <c r="M50" s="3">
        <f t="shared" si="17"/>
        <v>1.9319107982804579E-2</v>
      </c>
      <c r="N50" s="3">
        <f t="shared" si="18"/>
        <v>3.0280174554153085E-2</v>
      </c>
      <c r="O50" s="3">
        <f t="shared" si="19"/>
        <v>3.3950150989542349E-2</v>
      </c>
      <c r="P50" s="3">
        <f t="shared" si="20"/>
        <v>4.1231596221996521E-2</v>
      </c>
    </row>
    <row r="51" spans="2:16" x14ac:dyDescent="0.3">
      <c r="B51" s="12" t="s">
        <v>0</v>
      </c>
      <c r="C51" s="10">
        <f t="shared" si="9"/>
        <v>5.4661882240830684E-3</v>
      </c>
      <c r="D51" s="10">
        <f t="shared" si="10"/>
        <v>5.4188400672225301E-2</v>
      </c>
      <c r="E51" s="10">
        <f t="shared" si="11"/>
        <v>5.1963631576290581E-2</v>
      </c>
      <c r="F51" s="10">
        <f t="shared" si="12"/>
        <v>-0.13019142267178696</v>
      </c>
      <c r="G51" s="10">
        <f t="shared" si="13"/>
        <v>-0.18277019746891576</v>
      </c>
      <c r="H51" s="10">
        <f t="shared" si="14"/>
        <v>-0.32022939279064688</v>
      </c>
      <c r="J51" s="12" t="s">
        <v>0</v>
      </c>
      <c r="K51" s="3">
        <f t="shared" si="15"/>
        <v>0.87487106395748315</v>
      </c>
      <c r="L51" s="3">
        <f t="shared" si="16"/>
        <v>0.84313667566262029</v>
      </c>
      <c r="M51" s="3">
        <f t="shared" si="17"/>
        <v>0.84458574135174391</v>
      </c>
      <c r="N51" s="3">
        <f t="shared" si="18"/>
        <v>0.96322935236454277</v>
      </c>
      <c r="O51" s="3">
        <f t="shared" si="19"/>
        <v>0.99747564726045224</v>
      </c>
      <c r="P51" s="3">
        <f t="shared" si="20"/>
        <v>1.0870073671855718</v>
      </c>
    </row>
    <row r="52" spans="2:16" x14ac:dyDescent="0.3">
      <c r="J52" s="15" t="s">
        <v>44</v>
      </c>
      <c r="K52" s="14">
        <f>SUM(K28:K51)</f>
        <v>1.0005571193560299</v>
      </c>
      <c r="L52" s="14">
        <f t="shared" ref="L52:P52" si="21">SUM(L28:L51)</f>
        <v>0.95080038117502919</v>
      </c>
      <c r="M52" s="14">
        <f t="shared" si="21"/>
        <v>0.96284302556780099</v>
      </c>
      <c r="N52" s="14">
        <f t="shared" si="21"/>
        <v>1.1411175865812777</v>
      </c>
      <c r="O52" s="14">
        <f t="shared" si="21"/>
        <v>1.1923070354754581</v>
      </c>
      <c r="P52" s="14">
        <f t="shared" si="21"/>
        <v>1.3272259377553226</v>
      </c>
    </row>
    <row r="53" spans="2:16" x14ac:dyDescent="0.3">
      <c r="J53" s="16" t="s">
        <v>45</v>
      </c>
      <c r="K53" s="17">
        <f>1-K52</f>
        <v>-5.5711935602986706E-4</v>
      </c>
      <c r="L53" s="17">
        <f t="shared" ref="L53:P53" si="22">1-L52</f>
        <v>4.9199618824970814E-2</v>
      </c>
      <c r="M53" s="17">
        <f t="shared" si="22"/>
        <v>3.7156974432199008E-2</v>
      </c>
      <c r="N53" s="17">
        <f t="shared" si="22"/>
        <v>-0.14111758658127771</v>
      </c>
      <c r="O53" s="17">
        <f t="shared" si="22"/>
        <v>-0.19230703547545813</v>
      </c>
      <c r="P53" s="17">
        <f t="shared" si="22"/>
        <v>-0.3272259377553226</v>
      </c>
    </row>
  </sheetData>
  <sortState xmlns:xlrd2="http://schemas.microsoft.com/office/spreadsheetml/2017/richdata2" ref="A2:P26">
    <sortCondition ref="B1:B26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D4FB-ED9C-41EC-8ACB-A55254D5BD2C}">
  <dimension ref="A1:P23"/>
  <sheetViews>
    <sheetView zoomScale="81" workbookViewId="0">
      <selection sqref="A1:P21"/>
    </sheetView>
  </sheetViews>
  <sheetFormatPr defaultRowHeight="14.4" x14ac:dyDescent="0.3"/>
  <sheetData>
    <row r="1" spans="1:16" ht="36.6" customHeight="1" x14ac:dyDescent="0.3">
      <c r="A1" s="11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23" t="s">
        <v>26</v>
      </c>
      <c r="L1" s="8" t="s">
        <v>27</v>
      </c>
      <c r="M1" s="8" t="s">
        <v>28</v>
      </c>
      <c r="N1" s="25" t="s">
        <v>29</v>
      </c>
      <c r="O1" s="8" t="s">
        <v>30</v>
      </c>
      <c r="P1" s="8" t="s">
        <v>31</v>
      </c>
    </row>
    <row r="2" spans="1:16" x14ac:dyDescent="0.3">
      <c r="A2" s="3" t="s">
        <v>51</v>
      </c>
      <c r="B2" s="9">
        <v>4.3715613329912487E-2</v>
      </c>
      <c r="C2" s="9">
        <v>6.3106796116504854E-2</v>
      </c>
      <c r="D2" s="9">
        <v>0.1</v>
      </c>
      <c r="E2" s="9">
        <v>5.8139534883720929E-2</v>
      </c>
      <c r="F2" s="9">
        <v>3.2653061224489799E-2</v>
      </c>
      <c r="G2" s="9">
        <v>4.060913705583756E-2</v>
      </c>
      <c r="H2" s="9">
        <v>1.9230769230769232E-2</v>
      </c>
      <c r="I2" s="10">
        <v>4.3715613329912487E-2</v>
      </c>
      <c r="J2" s="9">
        <v>4.3715613329912487E-2</v>
      </c>
      <c r="K2" s="24">
        <v>6.3106796116504854E-2</v>
      </c>
      <c r="L2" s="9">
        <v>0.1</v>
      </c>
      <c r="M2" s="9">
        <v>5.8139534883720929E-2</v>
      </c>
      <c r="N2" s="24">
        <v>3.2653061224489799E-2</v>
      </c>
      <c r="O2" s="9">
        <v>4.060913705583756E-2</v>
      </c>
      <c r="P2" s="9">
        <v>1.9230769230769232E-2</v>
      </c>
    </row>
    <row r="3" spans="1:16" x14ac:dyDescent="0.3">
      <c r="A3" s="3" t="s">
        <v>52</v>
      </c>
      <c r="B3" s="9">
        <v>4.7806379885401519E-2</v>
      </c>
      <c r="C3" s="9">
        <v>4.8543689320388345E-3</v>
      </c>
      <c r="D3" s="9">
        <v>0.01</v>
      </c>
      <c r="E3" s="9">
        <v>1.1627906976744186E-2</v>
      </c>
      <c r="F3" s="9">
        <v>1.2244897959183673E-2</v>
      </c>
      <c r="G3" s="9">
        <v>1.015228426395939E-2</v>
      </c>
      <c r="H3" s="9">
        <v>8.6538461538461536E-2</v>
      </c>
      <c r="I3" s="10">
        <v>9.1521993215314013E-2</v>
      </c>
      <c r="J3" s="10">
        <f t="shared" ref="J3:P9" si="0">J2+B3</f>
        <v>9.1521993215314013E-2</v>
      </c>
      <c r="K3" s="21">
        <f t="shared" si="0"/>
        <v>6.7961165048543687E-2</v>
      </c>
      <c r="L3" s="21">
        <f t="shared" si="0"/>
        <v>0.11</v>
      </c>
      <c r="M3" s="10">
        <f t="shared" si="0"/>
        <v>6.9767441860465115E-2</v>
      </c>
      <c r="N3" s="21">
        <f t="shared" si="0"/>
        <v>4.4897959183673473E-2</v>
      </c>
      <c r="O3" s="10">
        <f t="shared" si="0"/>
        <v>5.0761421319796954E-2</v>
      </c>
      <c r="P3" s="10">
        <f t="shared" si="0"/>
        <v>0.10576923076923077</v>
      </c>
    </row>
    <row r="4" spans="1:16" x14ac:dyDescent="0.3">
      <c r="A4" s="3" t="s">
        <v>48</v>
      </c>
      <c r="B4" s="9">
        <v>7.0825850223780615E-2</v>
      </c>
      <c r="C4" s="9">
        <v>9.7087378640776691E-3</v>
      </c>
      <c r="D4" s="9">
        <v>0.06</v>
      </c>
      <c r="E4" s="9">
        <v>0.10465116279069768</v>
      </c>
      <c r="F4" s="9">
        <v>6.1224489795918366E-2</v>
      </c>
      <c r="G4" s="9">
        <v>6.5989847715736044E-2</v>
      </c>
      <c r="H4" s="9">
        <v>4.807692307692308E-2</v>
      </c>
      <c r="I4" s="10">
        <v>0.16234784343909464</v>
      </c>
      <c r="J4" s="10">
        <f t="shared" si="0"/>
        <v>0.16234784343909464</v>
      </c>
      <c r="K4" s="21">
        <f t="shared" si="0"/>
        <v>7.7669902912621352E-2</v>
      </c>
      <c r="L4" s="21">
        <f t="shared" si="0"/>
        <v>0.16999999999999998</v>
      </c>
      <c r="M4" s="10">
        <f t="shared" si="0"/>
        <v>0.1744186046511628</v>
      </c>
      <c r="N4" s="21">
        <f t="shared" si="0"/>
        <v>0.10612244897959183</v>
      </c>
      <c r="O4" s="10">
        <f t="shared" si="0"/>
        <v>0.116751269035533</v>
      </c>
      <c r="P4" s="10">
        <f t="shared" si="0"/>
        <v>0.15384615384615385</v>
      </c>
    </row>
    <row r="5" spans="1:16" x14ac:dyDescent="0.3">
      <c r="A5" s="3" t="s">
        <v>53</v>
      </c>
      <c r="B5" s="9">
        <v>8.5164913481000026E-2</v>
      </c>
      <c r="C5" s="9">
        <v>9.7087378640776698E-2</v>
      </c>
      <c r="D5" s="9">
        <v>0.06</v>
      </c>
      <c r="E5" s="9">
        <v>3.4883720930232558E-2</v>
      </c>
      <c r="F5" s="9">
        <v>0.11836734693877551</v>
      </c>
      <c r="G5" s="9">
        <v>8.1218274111675121E-2</v>
      </c>
      <c r="H5" s="9">
        <v>6.7307692307692304E-2</v>
      </c>
      <c r="I5" s="10">
        <v>0.24751275692009467</v>
      </c>
      <c r="J5" s="10">
        <f t="shared" si="0"/>
        <v>0.24751275692009467</v>
      </c>
      <c r="K5" s="21">
        <f t="shared" si="0"/>
        <v>0.17475728155339804</v>
      </c>
      <c r="L5" s="21">
        <f t="shared" si="0"/>
        <v>0.22999999999999998</v>
      </c>
      <c r="M5" s="10">
        <f t="shared" si="0"/>
        <v>0.20930232558139536</v>
      </c>
      <c r="N5" s="21">
        <f t="shared" si="0"/>
        <v>0.22448979591836735</v>
      </c>
      <c r="O5" s="10">
        <f t="shared" si="0"/>
        <v>0.1979695431472081</v>
      </c>
      <c r="P5" s="10">
        <f t="shared" si="0"/>
        <v>0.22115384615384615</v>
      </c>
    </row>
    <row r="6" spans="1:16" x14ac:dyDescent="0.3">
      <c r="A6" s="3" t="s">
        <v>50</v>
      </c>
      <c r="B6" s="9">
        <v>9.1878331765443716E-2</v>
      </c>
      <c r="C6" s="9">
        <v>3.3980582524271843E-2</v>
      </c>
      <c r="D6" s="9">
        <v>0.04</v>
      </c>
      <c r="E6" s="9">
        <v>1.1627906976744186E-2</v>
      </c>
      <c r="F6" s="9">
        <v>7.7551020408163265E-2</v>
      </c>
      <c r="G6" s="9">
        <v>3.553299492385787E-2</v>
      </c>
      <c r="H6" s="9">
        <v>0.17307692307692307</v>
      </c>
      <c r="I6" s="10">
        <v>0.33939108868553836</v>
      </c>
      <c r="J6" s="10">
        <f t="shared" si="0"/>
        <v>0.33939108868553836</v>
      </c>
      <c r="K6" s="21">
        <f t="shared" si="0"/>
        <v>0.20873786407766987</v>
      </c>
      <c r="L6" s="21">
        <f t="shared" si="0"/>
        <v>0.26999999999999996</v>
      </c>
      <c r="M6" s="10">
        <f t="shared" si="0"/>
        <v>0.22093023255813954</v>
      </c>
      <c r="N6" s="21">
        <f t="shared" si="0"/>
        <v>0.30204081632653063</v>
      </c>
      <c r="O6" s="10">
        <f t="shared" si="0"/>
        <v>0.23350253807106597</v>
      </c>
      <c r="P6" s="10">
        <f t="shared" si="0"/>
        <v>0.39423076923076922</v>
      </c>
    </row>
    <row r="7" spans="1:16" x14ac:dyDescent="0.3">
      <c r="A7" s="3" t="s">
        <v>47</v>
      </c>
      <c r="B7" s="9">
        <v>0.10061575301462414</v>
      </c>
      <c r="C7" s="9">
        <v>0.1553398058252427</v>
      </c>
      <c r="D7" s="9">
        <v>0.02</v>
      </c>
      <c r="E7" s="9">
        <v>0.10465116279069768</v>
      </c>
      <c r="F7" s="9">
        <v>0.17142857142857143</v>
      </c>
      <c r="G7" s="9">
        <v>0.12182741116751269</v>
      </c>
      <c r="H7" s="9">
        <v>9.6153846153846159E-2</v>
      </c>
      <c r="I7" s="10">
        <v>0.44000684170016247</v>
      </c>
      <c r="J7" s="10">
        <f t="shared" si="0"/>
        <v>0.44000684170016247</v>
      </c>
      <c r="K7" s="21">
        <f t="shared" si="0"/>
        <v>0.36407766990291257</v>
      </c>
      <c r="L7" s="21">
        <f t="shared" si="0"/>
        <v>0.28999999999999998</v>
      </c>
      <c r="M7" s="10">
        <f t="shared" si="0"/>
        <v>0.32558139534883723</v>
      </c>
      <c r="N7" s="21">
        <f t="shared" si="0"/>
        <v>0.47346938775510206</v>
      </c>
      <c r="O7" s="10">
        <f t="shared" si="0"/>
        <v>0.35532994923857864</v>
      </c>
      <c r="P7" s="10">
        <f t="shared" si="0"/>
        <v>0.49038461538461536</v>
      </c>
    </row>
    <row r="8" spans="1:16" x14ac:dyDescent="0.3">
      <c r="A8" s="3" t="s">
        <v>49</v>
      </c>
      <c r="B8" s="9">
        <v>0.16586846831437613</v>
      </c>
      <c r="C8" s="9">
        <v>0.16990291262135923</v>
      </c>
      <c r="D8" s="9">
        <v>0.26</v>
      </c>
      <c r="E8" s="9">
        <v>8.1395348837209308E-2</v>
      </c>
      <c r="F8" s="9">
        <v>9.3877551020408165E-2</v>
      </c>
      <c r="G8" s="9">
        <v>0.14213197969543148</v>
      </c>
      <c r="H8" s="9">
        <v>1.9230769230769232E-2</v>
      </c>
      <c r="I8" s="10">
        <v>0.60587531001453865</v>
      </c>
      <c r="J8" s="10">
        <f t="shared" si="0"/>
        <v>0.60587531001453865</v>
      </c>
      <c r="K8" s="21">
        <f t="shared" si="0"/>
        <v>0.53398058252427183</v>
      </c>
      <c r="L8" s="21">
        <f t="shared" si="0"/>
        <v>0.55000000000000004</v>
      </c>
      <c r="M8" s="10">
        <f t="shared" si="0"/>
        <v>0.40697674418604657</v>
      </c>
      <c r="N8" s="21">
        <f t="shared" si="0"/>
        <v>0.56734693877551023</v>
      </c>
      <c r="O8" s="10">
        <f t="shared" si="0"/>
        <v>0.49746192893401009</v>
      </c>
      <c r="P8" s="10">
        <f t="shared" si="0"/>
        <v>0.50961538461538458</v>
      </c>
    </row>
    <row r="9" spans="1:16" x14ac:dyDescent="0.3">
      <c r="A9" s="3" t="s">
        <v>46</v>
      </c>
      <c r="B9" s="9">
        <v>0.39412468998546141</v>
      </c>
      <c r="C9" s="9">
        <v>0.46601941747572817</v>
      </c>
      <c r="D9" s="9">
        <v>0.45</v>
      </c>
      <c r="E9" s="9">
        <v>0.59302325581395354</v>
      </c>
      <c r="F9" s="9">
        <v>0.43265306122448982</v>
      </c>
      <c r="G9" s="9">
        <v>0.5025380710659898</v>
      </c>
      <c r="H9" s="9">
        <v>0.49038461538461536</v>
      </c>
      <c r="I9" s="10">
        <v>1</v>
      </c>
      <c r="J9" s="10">
        <f t="shared" si="0"/>
        <v>1</v>
      </c>
      <c r="K9" s="21">
        <f t="shared" si="0"/>
        <v>1</v>
      </c>
      <c r="L9" s="21">
        <f t="shared" si="0"/>
        <v>1</v>
      </c>
      <c r="M9" s="10">
        <f t="shared" si="0"/>
        <v>1</v>
      </c>
      <c r="N9" s="21">
        <f t="shared" si="0"/>
        <v>1</v>
      </c>
      <c r="O9" s="10">
        <f t="shared" si="0"/>
        <v>0.99999999999999989</v>
      </c>
      <c r="P9" s="10">
        <f t="shared" si="0"/>
        <v>1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4" t="s">
        <v>38</v>
      </c>
      <c r="L11" s="14" t="s">
        <v>39</v>
      </c>
      <c r="M11" s="14" t="s">
        <v>40</v>
      </c>
      <c r="N11" s="14" t="s">
        <v>41</v>
      </c>
      <c r="O11" s="14" t="s">
        <v>42</v>
      </c>
      <c r="P11" s="14" t="s">
        <v>43</v>
      </c>
    </row>
    <row r="12" spans="1:16" x14ac:dyDescent="0.3">
      <c r="B12" s="3" t="s">
        <v>51</v>
      </c>
      <c r="C12" s="10">
        <f>C2-B2</f>
        <v>1.9391182786592367E-2</v>
      </c>
      <c r="D12" s="10">
        <f>D2-B2</f>
        <v>5.6284386670087519E-2</v>
      </c>
      <c r="E12" s="10">
        <f>E2-B2</f>
        <v>1.4423921553808443E-2</v>
      </c>
      <c r="F12" s="10">
        <f>F2-B2</f>
        <v>-1.1062552105422688E-2</v>
      </c>
      <c r="G12" s="10">
        <f>G2-B2</f>
        <v>-3.1064762740749263E-3</v>
      </c>
      <c r="H12" s="10">
        <f>H2-B2</f>
        <v>-2.4484844099143255E-2</v>
      </c>
      <c r="J12" s="3" t="s">
        <v>51</v>
      </c>
      <c r="K12" s="3">
        <f>(J2-0) * ((K2+0))</f>
        <v>2.758752297518749E-3</v>
      </c>
      <c r="L12" s="3">
        <f>(J2-0) * ((L2+0))</f>
        <v>4.3715613329912487E-3</v>
      </c>
      <c r="M12" s="3">
        <f>(J2-0) * ((M2+0))</f>
        <v>2.5416054261577026E-3</v>
      </c>
      <c r="N12" s="3">
        <f>(J2-0) * ((N2+0))</f>
        <v>1.4274485985277547E-3</v>
      </c>
      <c r="O12" s="3">
        <f>(J2-0) * ((O2+0))</f>
        <v>1.7752533331944155E-3</v>
      </c>
      <c r="P12" s="3">
        <f>(J2-0) * ((P2+0))</f>
        <v>8.4068487172908634E-4</v>
      </c>
    </row>
    <row r="13" spans="1:16" x14ac:dyDescent="0.3">
      <c r="B13" s="3" t="s">
        <v>52</v>
      </c>
      <c r="C13" s="10">
        <f t="shared" ref="C13:C19" si="1">C3-B3</f>
        <v>-4.2952010953362686E-2</v>
      </c>
      <c r="D13" s="10">
        <f t="shared" ref="D13:D19" si="2">D3-B3</f>
        <v>-3.7806379885401517E-2</v>
      </c>
      <c r="E13" s="10">
        <f t="shared" ref="E13:E19" si="3">E3-B3</f>
        <v>-3.6178472908657333E-2</v>
      </c>
      <c r="F13" s="10">
        <f t="shared" ref="F13:F19" si="4">F3-B3</f>
        <v>-3.5561481926217844E-2</v>
      </c>
      <c r="G13" s="10">
        <f t="shared" ref="G13:G19" si="5">G3-B3</f>
        <v>-3.7654095621442132E-2</v>
      </c>
      <c r="H13" s="10">
        <f t="shared" ref="H13:H19" si="6">H3-B3</f>
        <v>3.8732081653060017E-2</v>
      </c>
      <c r="J13" s="3" t="s">
        <v>52</v>
      </c>
      <c r="K13" s="3">
        <f>(J3-J2) * ((K3+K2))</f>
        <v>6.2658847422613646E-3</v>
      </c>
      <c r="L13" s="3">
        <f>(J3-J2) * ((L3+L2))</f>
        <v>1.0039339775934322E-2</v>
      </c>
      <c r="M13" s="3">
        <f>(J3-J2) * ((M3+M2))</f>
        <v>6.1147695202257765E-3</v>
      </c>
      <c r="N13" s="3">
        <f>(J3-J2) * ((N3+N2))</f>
        <v>3.7074335421331804E-3</v>
      </c>
      <c r="O13" s="3">
        <f>(J3-J2) * ((O3+O2))</f>
        <v>4.36809562404684E-3</v>
      </c>
      <c r="P13" s="3">
        <f>(J3-J2) * ((P3+P2))</f>
        <v>5.9757974856751907E-3</v>
      </c>
    </row>
    <row r="14" spans="1:16" x14ac:dyDescent="0.3">
      <c r="B14" s="3" t="s">
        <v>48</v>
      </c>
      <c r="C14" s="10">
        <f t="shared" si="1"/>
        <v>-6.1117112359702949E-2</v>
      </c>
      <c r="D14" s="10">
        <f t="shared" si="2"/>
        <v>-1.0825850223780617E-2</v>
      </c>
      <c r="E14" s="10">
        <f t="shared" si="3"/>
        <v>3.3825312566917065E-2</v>
      </c>
      <c r="F14" s="10">
        <f t="shared" si="4"/>
        <v>-9.6013604278622489E-3</v>
      </c>
      <c r="G14" s="10">
        <f t="shared" si="5"/>
        <v>-4.8360025080445707E-3</v>
      </c>
      <c r="H14" s="10">
        <f t="shared" si="6"/>
        <v>-2.2748927146857535E-2</v>
      </c>
      <c r="J14" s="3" t="s">
        <v>48</v>
      </c>
      <c r="K14" s="3">
        <f t="shared" ref="K14:K19" si="7">(J4-J3) * ((K4+K3))</f>
        <v>1.0314444207346693E-2</v>
      </c>
      <c r="L14" s="3">
        <f t="shared" ref="L14:L19" si="8">(J4-J3) * ((L4+L3))</f>
        <v>1.9831238062658574E-2</v>
      </c>
      <c r="M14" s="3">
        <f t="shared" ref="M14:M19" si="9">(J4-J3) * ((M4+M3))</f>
        <v>1.7294684356969688E-2</v>
      </c>
      <c r="N14" s="3">
        <f t="shared" ref="N14:N19" si="10">(J4-J3) * ((N4+N3))</f>
        <v>1.0696148809305646E-2</v>
      </c>
      <c r="O14" s="3">
        <f t="shared" ref="O14:O19" si="11">(J4-J3) * ((O4+O3))</f>
        <v>1.1864228717689142E-2</v>
      </c>
      <c r="P14" s="3">
        <f t="shared" ref="P14:P19" si="12">(J4-J3) * ((P4+P3))</f>
        <v>1.8387480346558432E-2</v>
      </c>
    </row>
    <row r="15" spans="1:16" x14ac:dyDescent="0.3">
      <c r="B15" s="3" t="s">
        <v>53</v>
      </c>
      <c r="C15" s="10">
        <f t="shared" si="1"/>
        <v>1.1922465159776671E-2</v>
      </c>
      <c r="D15" s="10">
        <f t="shared" si="2"/>
        <v>-2.5164913481000029E-2</v>
      </c>
      <c r="E15" s="10">
        <f t="shared" si="3"/>
        <v>-5.0281192550767469E-2</v>
      </c>
      <c r="F15" s="10">
        <f t="shared" si="4"/>
        <v>3.3202433457775488E-2</v>
      </c>
      <c r="G15" s="10">
        <f t="shared" si="5"/>
        <v>-3.9466393693249058E-3</v>
      </c>
      <c r="H15" s="10">
        <f t="shared" si="6"/>
        <v>-1.7857221173307722E-2</v>
      </c>
      <c r="J15" s="3" t="s">
        <v>53</v>
      </c>
      <c r="K15" s="3">
        <f t="shared" si="7"/>
        <v>2.1497939325300978E-2</v>
      </c>
      <c r="L15" s="3">
        <f t="shared" si="8"/>
        <v>3.4065965392400005E-2</v>
      </c>
      <c r="M15" s="3">
        <f t="shared" si="9"/>
        <v>3.2679559824104663E-2</v>
      </c>
      <c r="N15" s="3">
        <f t="shared" si="10"/>
        <v>2.8156563232493884E-2</v>
      </c>
      <c r="O15" s="3">
        <f t="shared" si="11"/>
        <v>2.6803170740213208E-2</v>
      </c>
      <c r="P15" s="3">
        <f t="shared" si="12"/>
        <v>3.193684255537501E-2</v>
      </c>
    </row>
    <row r="16" spans="1:16" x14ac:dyDescent="0.3">
      <c r="B16" s="3" t="s">
        <v>50</v>
      </c>
      <c r="C16" s="10">
        <f t="shared" si="1"/>
        <v>-5.7897749241171872E-2</v>
      </c>
      <c r="D16" s="10">
        <f t="shared" si="2"/>
        <v>-5.1878331765443715E-2</v>
      </c>
      <c r="E16" s="10">
        <f t="shared" si="3"/>
        <v>-8.0250424788699537E-2</v>
      </c>
      <c r="F16" s="10">
        <f t="shared" si="4"/>
        <v>-1.4327311357280451E-2</v>
      </c>
      <c r="G16" s="10">
        <f t="shared" si="5"/>
        <v>-5.6345336841585845E-2</v>
      </c>
      <c r="H16" s="10">
        <f t="shared" si="6"/>
        <v>8.1198591311479357E-2</v>
      </c>
      <c r="J16" s="3" t="s">
        <v>50</v>
      </c>
      <c r="K16" s="3">
        <f t="shared" si="7"/>
        <v>3.5234894220728397E-2</v>
      </c>
      <c r="L16" s="3">
        <f t="shared" si="8"/>
        <v>4.5939165882721837E-2</v>
      </c>
      <c r="M16" s="3">
        <f t="shared" si="9"/>
        <v>3.9529049713039728E-2</v>
      </c>
      <c r="N16" s="3">
        <f t="shared" si="10"/>
        <v>4.8376754276498922E-2</v>
      </c>
      <c r="O16" s="3">
        <f t="shared" si="11"/>
        <v>3.9642935025699051E-2</v>
      </c>
      <c r="P16" s="3">
        <f t="shared" si="12"/>
        <v>5.6540511855657657E-2</v>
      </c>
    </row>
    <row r="17" spans="2:16" x14ac:dyDescent="0.3">
      <c r="B17" s="3" t="s">
        <v>47</v>
      </c>
      <c r="C17" s="10">
        <f t="shared" si="1"/>
        <v>5.4724052810618568E-2</v>
      </c>
      <c r="D17" s="10">
        <f t="shared" si="2"/>
        <v>-8.0615753014624134E-2</v>
      </c>
      <c r="E17" s="10">
        <f t="shared" si="3"/>
        <v>4.0354097760735425E-3</v>
      </c>
      <c r="F17" s="10">
        <f t="shared" si="4"/>
        <v>7.0812818413947293E-2</v>
      </c>
      <c r="G17" s="10">
        <f t="shared" si="5"/>
        <v>2.1211658152888557E-2</v>
      </c>
      <c r="H17" s="10">
        <f t="shared" si="6"/>
        <v>-4.4619068607779783E-3</v>
      </c>
      <c r="J17" s="3" t="s">
        <v>47</v>
      </c>
      <c r="K17" s="3">
        <f t="shared" si="7"/>
        <v>5.7634266289930312E-2</v>
      </c>
      <c r="L17" s="3">
        <f t="shared" si="8"/>
        <v>5.6344821688189495E-2</v>
      </c>
      <c r="M17" s="3">
        <f t="shared" si="9"/>
        <v>5.4987678973108536E-2</v>
      </c>
      <c r="N17" s="3">
        <f t="shared" si="10"/>
        <v>7.8028543154198285E-2</v>
      </c>
      <c r="O17" s="3">
        <f t="shared" si="11"/>
        <v>5.9245824110133995E-2</v>
      </c>
      <c r="P17" s="3">
        <f t="shared" si="12"/>
        <v>8.9006243051398246E-2</v>
      </c>
    </row>
    <row r="18" spans="2:16" x14ac:dyDescent="0.3">
      <c r="B18" s="3" t="s">
        <v>49</v>
      </c>
      <c r="C18" s="10">
        <f t="shared" si="1"/>
        <v>4.0344443069831037E-3</v>
      </c>
      <c r="D18" s="10">
        <f t="shared" si="2"/>
        <v>9.4131531685623882E-2</v>
      </c>
      <c r="E18" s="10">
        <f t="shared" si="3"/>
        <v>-8.4473119477166819E-2</v>
      </c>
      <c r="F18" s="10">
        <f t="shared" si="4"/>
        <v>-7.1990917293967963E-2</v>
      </c>
      <c r="G18" s="10">
        <f t="shared" si="5"/>
        <v>-2.3736488618944646E-2</v>
      </c>
      <c r="H18" s="10">
        <f t="shared" si="6"/>
        <v>-0.14663769908360691</v>
      </c>
      <c r="J18" s="3" t="s">
        <v>49</v>
      </c>
      <c r="K18" s="3">
        <f t="shared" si="7"/>
        <v>0.14895954678718248</v>
      </c>
      <c r="L18" s="3">
        <f t="shared" si="8"/>
        <v>0.13932951338407601</v>
      </c>
      <c r="M18" s="3">
        <f t="shared" si="9"/>
        <v>0.12150829655588025</v>
      </c>
      <c r="N18" s="3">
        <f t="shared" si="10"/>
        <v>0.17263860987822827</v>
      </c>
      <c r="O18" s="3">
        <f t="shared" si="11"/>
        <v>0.14145128262342738</v>
      </c>
      <c r="P18" s="3">
        <f t="shared" si="12"/>
        <v>0.16586846831437618</v>
      </c>
    </row>
    <row r="19" spans="2:16" x14ac:dyDescent="0.3">
      <c r="B19" s="3" t="s">
        <v>46</v>
      </c>
      <c r="C19" s="10">
        <f t="shared" si="1"/>
        <v>7.1894727490266763E-2</v>
      </c>
      <c r="D19" s="10">
        <f t="shared" si="2"/>
        <v>5.5875310014538604E-2</v>
      </c>
      <c r="E19" s="10">
        <f t="shared" si="3"/>
        <v>0.19889856582849214</v>
      </c>
      <c r="F19" s="10">
        <f t="shared" si="4"/>
        <v>3.8528371239028414E-2</v>
      </c>
      <c r="G19" s="10">
        <f t="shared" si="5"/>
        <v>0.10841338108052839</v>
      </c>
      <c r="H19" s="10">
        <f t="shared" si="6"/>
        <v>9.6259925399153956E-2</v>
      </c>
      <c r="J19" s="3" t="s">
        <v>46</v>
      </c>
      <c r="K19" s="3">
        <f t="shared" si="7"/>
        <v>0.60457962153109601</v>
      </c>
      <c r="L19" s="3">
        <f t="shared" si="8"/>
        <v>0.61089326947746514</v>
      </c>
      <c r="M19" s="3">
        <f t="shared" si="9"/>
        <v>0.55452427311907937</v>
      </c>
      <c r="N19" s="3">
        <f t="shared" si="10"/>
        <v>0.61773012634455993</v>
      </c>
      <c r="O19" s="3">
        <f t="shared" si="11"/>
        <v>0.59018671850614768</v>
      </c>
      <c r="P19" s="3">
        <f t="shared" si="12"/>
        <v>0.59497669545882148</v>
      </c>
    </row>
    <row r="20" spans="2:16" x14ac:dyDescent="0.3">
      <c r="J20" s="14" t="s">
        <v>44</v>
      </c>
      <c r="K20" s="14">
        <f>SUM(K12:K19)</f>
        <v>0.88724534940136501</v>
      </c>
      <c r="L20" s="14">
        <f t="shared" ref="L20:P20" si="13">SUM(L12:L19)</f>
        <v>0.92081487499643666</v>
      </c>
      <c r="M20" s="14">
        <f t="shared" si="13"/>
        <v>0.82917991748856568</v>
      </c>
      <c r="N20" s="14">
        <f t="shared" si="13"/>
        <v>0.96076162783594588</v>
      </c>
      <c r="O20" s="14">
        <f t="shared" si="13"/>
        <v>0.87533750868055171</v>
      </c>
      <c r="P20" s="14">
        <f t="shared" si="13"/>
        <v>0.96353272393959122</v>
      </c>
    </row>
    <row r="21" spans="2:16" x14ac:dyDescent="0.3">
      <c r="J21" s="17" t="s">
        <v>45</v>
      </c>
      <c r="K21" s="17">
        <f>1-K20</f>
        <v>0.11275465059863499</v>
      </c>
      <c r="L21" s="17">
        <f t="shared" ref="L21:P21" si="14">1-L20</f>
        <v>7.9185125003563339E-2</v>
      </c>
      <c r="M21" s="17">
        <f t="shared" si="14"/>
        <v>0.17082008251143432</v>
      </c>
      <c r="N21" s="17">
        <f t="shared" si="14"/>
        <v>3.9238372164054125E-2</v>
      </c>
      <c r="O21" s="17">
        <f t="shared" si="14"/>
        <v>0.12466249131944829</v>
      </c>
      <c r="P21" s="17">
        <f t="shared" si="14"/>
        <v>3.6467276060408782E-2</v>
      </c>
    </row>
    <row r="23" spans="2:16" x14ac:dyDescent="0.3">
      <c r="M23" s="22" t="s">
        <v>73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7D38-4F2C-4E5B-AF5C-56F5B70CB5A2}">
  <dimension ref="A1:P19"/>
  <sheetViews>
    <sheetView zoomScale="80" workbookViewId="0">
      <selection sqref="A1:P19"/>
    </sheetView>
  </sheetViews>
  <sheetFormatPr defaultRowHeight="14.4" x14ac:dyDescent="0.3"/>
  <sheetData>
    <row r="1" spans="1:16" ht="36.6" customHeight="1" x14ac:dyDescent="0.3">
      <c r="A1" s="2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55</v>
      </c>
      <c r="B2" s="9">
        <v>6.055881792513295E-2</v>
      </c>
      <c r="C2" s="9">
        <v>6.8403908794788276E-2</v>
      </c>
      <c r="D2" s="9">
        <v>8.2191780821917804E-2</v>
      </c>
      <c r="E2" s="9">
        <v>5.3846153846153849E-2</v>
      </c>
      <c r="F2" s="9">
        <v>8.7613293051359523E-2</v>
      </c>
      <c r="G2" s="9">
        <v>7.9584775086505188E-2</v>
      </c>
      <c r="H2" s="9">
        <v>4.7945205479452052E-2</v>
      </c>
      <c r="I2" s="10">
        <v>6.055881792513295E-2</v>
      </c>
      <c r="J2" s="9">
        <v>6.055881792513295E-2</v>
      </c>
      <c r="K2" s="9">
        <v>6.8403908794788276E-2</v>
      </c>
      <c r="L2" s="9">
        <v>8.2191780821917804E-2</v>
      </c>
      <c r="M2" s="9">
        <v>5.3846153846153849E-2</v>
      </c>
      <c r="N2" s="9">
        <v>8.7613293051359523E-2</v>
      </c>
      <c r="O2" s="9">
        <v>7.9584775086505188E-2</v>
      </c>
      <c r="P2" s="9">
        <v>4.7945205479452052E-2</v>
      </c>
    </row>
    <row r="3" spans="1:16" x14ac:dyDescent="0.3">
      <c r="A3" s="3" t="s">
        <v>54</v>
      </c>
      <c r="B3" s="9">
        <v>7.9249597256145096E-2</v>
      </c>
      <c r="C3" s="9">
        <v>6.5146579804560262E-2</v>
      </c>
      <c r="D3" s="9">
        <v>2.7397260273972601E-2</v>
      </c>
      <c r="E3" s="9">
        <v>5.3846153846153849E-2</v>
      </c>
      <c r="F3" s="9">
        <v>5.7401812688821753E-2</v>
      </c>
      <c r="G3" s="9">
        <v>7.9584775086505188E-2</v>
      </c>
      <c r="H3" s="9">
        <v>8.2191780821917804E-2</v>
      </c>
      <c r="I3" s="10">
        <v>0.13980841518127804</v>
      </c>
      <c r="J3" s="10">
        <f>J2+B3</f>
        <v>0.13980841518127804</v>
      </c>
      <c r="K3" s="10">
        <f t="shared" ref="K3:P8" si="0">K2+C3</f>
        <v>0.13355048859934854</v>
      </c>
      <c r="L3" s="10">
        <f t="shared" si="0"/>
        <v>0.1095890410958904</v>
      </c>
      <c r="M3" s="10">
        <f t="shared" si="0"/>
        <v>0.1076923076923077</v>
      </c>
      <c r="N3" s="10">
        <f t="shared" si="0"/>
        <v>0.14501510574018128</v>
      </c>
      <c r="O3" s="10">
        <f t="shared" si="0"/>
        <v>0.15916955017301038</v>
      </c>
      <c r="P3" s="10">
        <f t="shared" si="0"/>
        <v>0.13013698630136986</v>
      </c>
    </row>
    <row r="4" spans="1:16" x14ac:dyDescent="0.3">
      <c r="A4" s="3" t="s">
        <v>56</v>
      </c>
      <c r="B4" s="9">
        <v>8.3043184534635966E-2</v>
      </c>
      <c r="C4" s="9">
        <v>7.1661237785016291E-2</v>
      </c>
      <c r="D4" s="9">
        <v>1.3698630136986301E-2</v>
      </c>
      <c r="E4" s="9">
        <v>9.2307692307692313E-2</v>
      </c>
      <c r="F4" s="9">
        <v>8.4592145015105744E-2</v>
      </c>
      <c r="G4" s="9">
        <v>6.5743944636678195E-2</v>
      </c>
      <c r="H4" s="9">
        <v>4.1095890410958902E-2</v>
      </c>
      <c r="I4" s="10">
        <v>0.22285159971591401</v>
      </c>
      <c r="J4" s="10">
        <f t="shared" ref="J4:J8" si="1">J3+B4</f>
        <v>0.22285159971591401</v>
      </c>
      <c r="K4" s="10">
        <f t="shared" si="0"/>
        <v>0.20521172638436483</v>
      </c>
      <c r="L4" s="10">
        <f t="shared" si="0"/>
        <v>0.12328767123287671</v>
      </c>
      <c r="M4" s="10">
        <f t="shared" si="0"/>
        <v>0.2</v>
      </c>
      <c r="N4" s="10">
        <f t="shared" si="0"/>
        <v>0.22960725075528704</v>
      </c>
      <c r="O4" s="10">
        <f t="shared" si="0"/>
        <v>0.22491349480968859</v>
      </c>
      <c r="P4" s="10">
        <f t="shared" si="0"/>
        <v>0.17123287671232876</v>
      </c>
    </row>
    <row r="5" spans="1:16" x14ac:dyDescent="0.3">
      <c r="A5" s="3" t="s">
        <v>60</v>
      </c>
      <c r="B5" s="9">
        <v>8.9383152315127584E-2</v>
      </c>
      <c r="C5" s="9">
        <v>0.14006514657980457</v>
      </c>
      <c r="D5" s="9">
        <v>0.1095890410958904</v>
      </c>
      <c r="E5" s="9">
        <v>9.2307692307692313E-2</v>
      </c>
      <c r="F5" s="9">
        <v>8.1570996978851965E-2</v>
      </c>
      <c r="G5" s="9">
        <v>0.1245674740484429</v>
      </c>
      <c r="H5" s="9">
        <v>8.2191780821917804E-2</v>
      </c>
      <c r="I5" s="10">
        <v>0.31223475203104156</v>
      </c>
      <c r="J5" s="10">
        <f t="shared" si="1"/>
        <v>0.31223475203104156</v>
      </c>
      <c r="K5" s="10">
        <f t="shared" si="0"/>
        <v>0.34527687296416942</v>
      </c>
      <c r="L5" s="10">
        <f t="shared" si="0"/>
        <v>0.23287671232876711</v>
      </c>
      <c r="M5" s="10">
        <f t="shared" si="0"/>
        <v>0.29230769230769232</v>
      </c>
      <c r="N5" s="10">
        <f t="shared" si="0"/>
        <v>0.31117824773413899</v>
      </c>
      <c r="O5" s="10">
        <f t="shared" si="0"/>
        <v>0.34948096885813151</v>
      </c>
      <c r="P5" s="10">
        <f t="shared" si="0"/>
        <v>0.25342465753424659</v>
      </c>
    </row>
    <row r="6" spans="1:16" x14ac:dyDescent="0.3">
      <c r="A6" s="3" t="s">
        <v>59</v>
      </c>
      <c r="B6" s="9">
        <v>0.1110187254239637</v>
      </c>
      <c r="C6" s="9">
        <v>9.4462540716612378E-2</v>
      </c>
      <c r="D6" s="9">
        <v>6.8493150684931503E-2</v>
      </c>
      <c r="E6" s="9">
        <v>7.6923076923076927E-2</v>
      </c>
      <c r="F6" s="9">
        <v>9.3655589123867067E-2</v>
      </c>
      <c r="G6" s="9">
        <v>9.3425605536332182E-2</v>
      </c>
      <c r="H6" s="9">
        <v>0.12328767123287671</v>
      </c>
      <c r="I6" s="10">
        <v>0.42325347745500524</v>
      </c>
      <c r="J6" s="10">
        <f t="shared" si="1"/>
        <v>0.42325347745500524</v>
      </c>
      <c r="K6" s="10">
        <f t="shared" si="0"/>
        <v>0.43973941368078179</v>
      </c>
      <c r="L6" s="10">
        <f t="shared" si="0"/>
        <v>0.30136986301369861</v>
      </c>
      <c r="M6" s="10">
        <f t="shared" si="0"/>
        <v>0.36923076923076925</v>
      </c>
      <c r="N6" s="10">
        <f t="shared" si="0"/>
        <v>0.40483383685800606</v>
      </c>
      <c r="O6" s="10">
        <f t="shared" si="0"/>
        <v>0.44290657439446368</v>
      </c>
      <c r="P6" s="10">
        <f t="shared" si="0"/>
        <v>0.37671232876712329</v>
      </c>
    </row>
    <row r="7" spans="1:16" x14ac:dyDescent="0.3">
      <c r="A7" s="3" t="s">
        <v>58</v>
      </c>
      <c r="B7" s="9">
        <v>0.27301702783696236</v>
      </c>
      <c r="C7" s="9">
        <v>0.19543973941368079</v>
      </c>
      <c r="D7" s="9">
        <v>0.31506849315068491</v>
      </c>
      <c r="E7" s="9">
        <v>0.40769230769230769</v>
      </c>
      <c r="F7" s="9">
        <v>0.34743202416918428</v>
      </c>
      <c r="G7" s="9">
        <v>0.1972318339100346</v>
      </c>
      <c r="H7" s="9">
        <v>0.21917808219178081</v>
      </c>
      <c r="I7" s="10">
        <v>0.69627050529196755</v>
      </c>
      <c r="J7" s="10">
        <f t="shared" si="1"/>
        <v>0.69627050529196755</v>
      </c>
      <c r="K7" s="10">
        <f t="shared" si="0"/>
        <v>0.6351791530944626</v>
      </c>
      <c r="L7" s="10">
        <f t="shared" si="0"/>
        <v>0.61643835616438358</v>
      </c>
      <c r="M7" s="10">
        <f t="shared" si="0"/>
        <v>0.77692307692307694</v>
      </c>
      <c r="N7" s="10">
        <f t="shared" si="0"/>
        <v>0.7522658610271904</v>
      </c>
      <c r="O7" s="10">
        <f t="shared" si="0"/>
        <v>0.64013840830449831</v>
      </c>
      <c r="P7" s="10">
        <f t="shared" si="0"/>
        <v>0.59589041095890405</v>
      </c>
    </row>
    <row r="8" spans="1:16" x14ac:dyDescent="0.3">
      <c r="A8" s="3" t="s">
        <v>57</v>
      </c>
      <c r="B8" s="9">
        <v>0.30372949470803234</v>
      </c>
      <c r="C8" s="9">
        <v>0.36482084690553745</v>
      </c>
      <c r="D8" s="9">
        <v>0.38356164383561642</v>
      </c>
      <c r="E8" s="9">
        <v>0.22307692307692309</v>
      </c>
      <c r="F8" s="9">
        <v>0.24773413897280966</v>
      </c>
      <c r="G8" s="9">
        <v>0.35986159169550175</v>
      </c>
      <c r="H8" s="9">
        <v>0.4041095890410959</v>
      </c>
      <c r="I8" s="10">
        <v>0.99999999999999989</v>
      </c>
      <c r="J8" s="10">
        <f t="shared" si="1"/>
        <v>0.99999999999999989</v>
      </c>
      <c r="K8" s="10">
        <f t="shared" si="0"/>
        <v>1</v>
      </c>
      <c r="L8" s="10">
        <f t="shared" si="0"/>
        <v>1</v>
      </c>
      <c r="M8" s="10">
        <f t="shared" si="0"/>
        <v>1</v>
      </c>
      <c r="N8" s="10">
        <f t="shared" si="0"/>
        <v>1</v>
      </c>
      <c r="O8" s="10">
        <f t="shared" si="0"/>
        <v>1</v>
      </c>
      <c r="P8" s="10">
        <f t="shared" si="0"/>
        <v>1</v>
      </c>
    </row>
    <row r="10" spans="1:16" ht="28.8" x14ac:dyDescent="0.3">
      <c r="B10" s="1" t="s">
        <v>24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J10" s="3"/>
      <c r="K10" s="14" t="s">
        <v>38</v>
      </c>
      <c r="L10" s="14" t="s">
        <v>39</v>
      </c>
      <c r="M10" s="14" t="s">
        <v>40</v>
      </c>
      <c r="N10" s="14" t="s">
        <v>41</v>
      </c>
      <c r="O10" s="14" t="s">
        <v>42</v>
      </c>
      <c r="P10" s="14" t="s">
        <v>43</v>
      </c>
    </row>
    <row r="11" spans="1:16" x14ac:dyDescent="0.3">
      <c r="B11" s="3" t="s">
        <v>55</v>
      </c>
      <c r="C11" s="10">
        <f>C2-B2</f>
        <v>7.8450908696553259E-3</v>
      </c>
      <c r="D11" s="10">
        <f>D2-B2</f>
        <v>2.1632962896784853E-2</v>
      </c>
      <c r="E11" s="10">
        <f>E2-B2</f>
        <v>-6.7126640789791012E-3</v>
      </c>
      <c r="F11" s="10">
        <f>F2-B2</f>
        <v>2.7054475126226572E-2</v>
      </c>
      <c r="G11" s="10">
        <f>G2-B2</f>
        <v>1.9025957161372238E-2</v>
      </c>
      <c r="H11" s="10">
        <f>H2-B2</f>
        <v>-1.2613612445680898E-2</v>
      </c>
      <c r="J11" s="3" t="s">
        <v>55</v>
      </c>
      <c r="K11" s="3">
        <f>(J2-0) * ((K2+0))</f>
        <v>4.1424598580709834E-3</v>
      </c>
      <c r="L11" s="3">
        <f>(J2-0) * ((L2+0))</f>
        <v>4.9774370897369543E-3</v>
      </c>
      <c r="M11" s="3">
        <f>(J2-0) * ((M2+0))</f>
        <v>3.2608594267379285E-3</v>
      </c>
      <c r="N11" s="3">
        <f>(J2-0) * ((N2+0))</f>
        <v>5.3057574617185969E-3</v>
      </c>
      <c r="O11" s="3">
        <f>(J2-0) * ((O2+0))</f>
        <v>4.8195599040763244E-3</v>
      </c>
      <c r="P11" s="3">
        <f>(J2-0) * ((P2+0))</f>
        <v>2.9035049690132233E-3</v>
      </c>
    </row>
    <row r="12" spans="1:16" x14ac:dyDescent="0.3">
      <c r="B12" s="3" t="s">
        <v>54</v>
      </c>
      <c r="C12" s="10">
        <f t="shared" ref="C12:C17" si="2">C3-B3</f>
        <v>-1.4103017451584834E-2</v>
      </c>
      <c r="D12" s="10">
        <f t="shared" ref="D12:D17" si="3">D3-B3</f>
        <v>-5.1852336982172495E-2</v>
      </c>
      <c r="E12" s="10">
        <f t="shared" ref="E12:E17" si="4">E3-B3</f>
        <v>-2.5403443409991247E-2</v>
      </c>
      <c r="F12" s="10">
        <f t="shared" ref="F12:F17" si="5">F3-B3</f>
        <v>-2.1847784567323343E-2</v>
      </c>
      <c r="G12" s="10">
        <f t="shared" ref="G12:G17" si="6">G3-B3</f>
        <v>3.3517783036009219E-4</v>
      </c>
      <c r="H12" s="10">
        <f t="shared" ref="H12:H17" si="7">H3-B3</f>
        <v>2.9421835657727075E-3</v>
      </c>
      <c r="J12" s="3" t="s">
        <v>54</v>
      </c>
      <c r="K12" s="3">
        <f>(J3-J2) * ((K3+K2))</f>
        <v>1.6004804657592818E-2</v>
      </c>
      <c r="L12" s="3">
        <f>(J3-J2) * ((L3+L2))</f>
        <v>1.5198552898438782E-2</v>
      </c>
      <c r="M12" s="3">
        <f>(J3-J2) * ((M3+M2))</f>
        <v>1.2801858018300361E-2</v>
      </c>
      <c r="N12" s="3">
        <f>(J3-J2) * ((N3+N2))</f>
        <v>1.8435706914571515E-2</v>
      </c>
      <c r="O12" s="3">
        <f>(J3-J2) * ((O3+O2))</f>
        <v>1.8921184119979274E-2</v>
      </c>
      <c r="P12" s="3">
        <f>(J3-J2) * ((P3+P2))</f>
        <v>1.4112941977121726E-2</v>
      </c>
    </row>
    <row r="13" spans="1:16" x14ac:dyDescent="0.3">
      <c r="B13" s="3" t="s">
        <v>56</v>
      </c>
      <c r="C13" s="10">
        <f t="shared" si="2"/>
        <v>-1.1381946749619676E-2</v>
      </c>
      <c r="D13" s="10">
        <f t="shared" si="3"/>
        <v>-6.9344554397649666E-2</v>
      </c>
      <c r="E13" s="10">
        <f t="shared" si="4"/>
        <v>9.2645077730563463E-3</v>
      </c>
      <c r="F13" s="10">
        <f t="shared" si="5"/>
        <v>1.5489604804697771E-3</v>
      </c>
      <c r="G13" s="10">
        <f t="shared" si="6"/>
        <v>-1.7299239897957772E-2</v>
      </c>
      <c r="H13" s="10">
        <f t="shared" si="7"/>
        <v>-4.1947294123677065E-2</v>
      </c>
      <c r="J13" s="3" t="s">
        <v>56</v>
      </c>
      <c r="K13" s="3">
        <f t="shared" ref="K13:K17" si="8">(J4-J3) * ((K4+K3))</f>
        <v>2.8131893132254532E-2</v>
      </c>
      <c r="L13" s="3">
        <f t="shared" ref="L13:L17" si="9">(J4-J3) * ((L4+L3))</f>
        <v>1.9338823795737141E-2</v>
      </c>
      <c r="M13" s="3">
        <f t="shared" ref="M13:M17" si="10">(J4-J3) * ((M4+M3))</f>
        <v>2.5551749087580299E-2</v>
      </c>
      <c r="N13" s="3">
        <f t="shared" ref="N13:N17" si="11">(J4-J3) * ((N4+N3))</f>
        <v>3.1109833481253357E-2</v>
      </c>
      <c r="O13" s="3">
        <f t="shared" ref="O13:O17" si="12">(J4-J3) * ((O4+O3))</f>
        <v>3.1895479181123156E-2</v>
      </c>
      <c r="P13" s="3">
        <f t="shared" ref="P13:P17" si="13">(J4-J3) * ((P4+P3))</f>
        <v>2.5026713147424537E-2</v>
      </c>
    </row>
    <row r="14" spans="1:16" x14ac:dyDescent="0.3">
      <c r="B14" s="3" t="s">
        <v>60</v>
      </c>
      <c r="C14" s="10">
        <f t="shared" si="2"/>
        <v>5.0681994264676983E-2</v>
      </c>
      <c r="D14" s="10">
        <f t="shared" si="3"/>
        <v>2.0205888780762821E-2</v>
      </c>
      <c r="E14" s="10">
        <f t="shared" si="4"/>
        <v>2.9245399925647286E-3</v>
      </c>
      <c r="F14" s="10">
        <f t="shared" si="5"/>
        <v>-7.8121553362756196E-3</v>
      </c>
      <c r="G14" s="10">
        <f t="shared" si="6"/>
        <v>3.5184321733315316E-2</v>
      </c>
      <c r="H14" s="10">
        <f t="shared" si="7"/>
        <v>-7.1913714932097805E-3</v>
      </c>
      <c r="J14" s="3" t="s">
        <v>60</v>
      </c>
      <c r="K14" s="3">
        <f t="shared" si="8"/>
        <v>4.9204406323311266E-2</v>
      </c>
      <c r="L14" s="3">
        <f t="shared" si="9"/>
        <v>3.1835095345113924E-2</v>
      </c>
      <c r="M14" s="3">
        <f t="shared" si="10"/>
        <v>4.4004013447447414E-2</v>
      </c>
      <c r="N14" s="3">
        <f t="shared" si="11"/>
        <v>4.833711258129255E-2</v>
      </c>
      <c r="O14" s="3">
        <f t="shared" si="12"/>
        <v>5.1341187834986764E-2</v>
      </c>
      <c r="P14" s="3">
        <f t="shared" si="13"/>
        <v>3.7957229065328141E-2</v>
      </c>
    </row>
    <row r="15" spans="1:16" x14ac:dyDescent="0.3">
      <c r="B15" s="3" t="s">
        <v>59</v>
      </c>
      <c r="C15" s="10">
        <f t="shared" si="2"/>
        <v>-1.6556184707351318E-2</v>
      </c>
      <c r="D15" s="10">
        <f t="shared" si="3"/>
        <v>-4.2525574739032193E-2</v>
      </c>
      <c r="E15" s="10">
        <f t="shared" si="4"/>
        <v>-3.4095648500886769E-2</v>
      </c>
      <c r="F15" s="10">
        <f t="shared" si="5"/>
        <v>-1.7363136300096629E-2</v>
      </c>
      <c r="G15" s="10">
        <f t="shared" si="6"/>
        <v>-1.7593119887631514E-2</v>
      </c>
      <c r="H15" s="10">
        <f t="shared" si="7"/>
        <v>1.2268945808913009E-2</v>
      </c>
      <c r="J15" s="3" t="s">
        <v>59</v>
      </c>
      <c r="K15" s="3">
        <f t="shared" si="8"/>
        <v>8.7151507580375417E-2</v>
      </c>
      <c r="L15" s="3">
        <f t="shared" si="9"/>
        <v>5.9311373856638122E-2</v>
      </c>
      <c r="M15" s="3">
        <f t="shared" si="10"/>
        <v>7.3443156818929836E-2</v>
      </c>
      <c r="N15" s="3">
        <f t="shared" si="11"/>
        <v>7.9490749019575202E-2</v>
      </c>
      <c r="O15" s="3">
        <f t="shared" si="12"/>
        <v>8.796985509372901E-2</v>
      </c>
      <c r="P15" s="3">
        <f t="shared" si="13"/>
        <v>6.9957005061675751E-2</v>
      </c>
    </row>
    <row r="16" spans="1:16" x14ac:dyDescent="0.3">
      <c r="B16" s="3" t="s">
        <v>58</v>
      </c>
      <c r="C16" s="10">
        <f t="shared" si="2"/>
        <v>-7.7577288423281571E-2</v>
      </c>
      <c r="D16" s="10">
        <f t="shared" si="3"/>
        <v>4.2051465313722558E-2</v>
      </c>
      <c r="E16" s="10">
        <f t="shared" si="4"/>
        <v>0.13467527985534533</v>
      </c>
      <c r="F16" s="10">
        <f t="shared" si="5"/>
        <v>7.4414996332221928E-2</v>
      </c>
      <c r="G16" s="10">
        <f t="shared" si="6"/>
        <v>-7.5785193926927757E-2</v>
      </c>
      <c r="H16" s="10">
        <f t="shared" si="7"/>
        <v>-5.3838945645181546E-2</v>
      </c>
      <c r="J16" s="3" t="s">
        <v>58</v>
      </c>
      <c r="K16" s="3">
        <f t="shared" si="8"/>
        <v>0.29347107226774449</v>
      </c>
      <c r="L16" s="3">
        <f t="shared" si="9"/>
        <v>0.25057727212433528</v>
      </c>
      <c r="M16" s="3">
        <f t="shared" si="10"/>
        <v>0.312919516520826</v>
      </c>
      <c r="N16" s="3">
        <f t="shared" si="11"/>
        <v>0.31590792042766336</v>
      </c>
      <c r="O16" s="3">
        <f t="shared" si="12"/>
        <v>0.29568972219020484</v>
      </c>
      <c r="P16" s="3">
        <f t="shared" si="13"/>
        <v>0.26553710926608659</v>
      </c>
    </row>
    <row r="17" spans="2:16" x14ac:dyDescent="0.3">
      <c r="B17" s="3" t="s">
        <v>57</v>
      </c>
      <c r="C17" s="10">
        <f t="shared" si="2"/>
        <v>6.1091352197505111E-2</v>
      </c>
      <c r="D17" s="10">
        <f t="shared" si="3"/>
        <v>7.9832149127584073E-2</v>
      </c>
      <c r="E17" s="10">
        <f t="shared" si="4"/>
        <v>-8.0652571631109254E-2</v>
      </c>
      <c r="F17" s="10">
        <f t="shared" si="5"/>
        <v>-5.5995355735222685E-2</v>
      </c>
      <c r="G17" s="10">
        <f t="shared" si="6"/>
        <v>5.6132096987469404E-2</v>
      </c>
      <c r="H17" s="10">
        <f t="shared" si="7"/>
        <v>0.10038009433306355</v>
      </c>
      <c r="J17" s="3" t="s">
        <v>57</v>
      </c>
      <c r="K17" s="3">
        <f t="shared" si="8"/>
        <v>0.49665213792648938</v>
      </c>
      <c r="L17" s="3">
        <f t="shared" si="9"/>
        <v>0.49096000514449062</v>
      </c>
      <c r="M17" s="3">
        <f t="shared" si="10"/>
        <v>0.53970394828888824</v>
      </c>
      <c r="N17" s="3">
        <f t="shared" si="11"/>
        <v>0.53221482456392377</v>
      </c>
      <c r="O17" s="3">
        <f t="shared" si="12"/>
        <v>0.49815841000556171</v>
      </c>
      <c r="P17" s="3">
        <f t="shared" si="13"/>
        <v>0.48471898812994202</v>
      </c>
    </row>
    <row r="18" spans="2:16" x14ac:dyDescent="0.3">
      <c r="J18" s="15" t="s">
        <v>44</v>
      </c>
      <c r="K18" s="14">
        <f>SUM(K11:K17)</f>
        <v>0.97475828174583889</v>
      </c>
      <c r="L18" s="14">
        <f t="shared" ref="L18:P18" si="14">SUM(L11:L17)</f>
        <v>0.87219856025449083</v>
      </c>
      <c r="M18" s="14">
        <f t="shared" si="14"/>
        <v>1.0116851016087101</v>
      </c>
      <c r="N18" s="14">
        <f t="shared" si="14"/>
        <v>1.0308019044499983</v>
      </c>
      <c r="O18" s="14">
        <f t="shared" si="14"/>
        <v>0.98879539832966112</v>
      </c>
      <c r="P18" s="14">
        <f t="shared" si="14"/>
        <v>0.90021349161659203</v>
      </c>
    </row>
    <row r="19" spans="2:16" x14ac:dyDescent="0.3">
      <c r="J19" s="16" t="s">
        <v>45</v>
      </c>
      <c r="K19" s="17">
        <f>1-K18</f>
        <v>2.5241718254161105E-2</v>
      </c>
      <c r="L19" s="17">
        <f t="shared" ref="L19:P19" si="15">1-L18</f>
        <v>0.12780143974550917</v>
      </c>
      <c r="M19" s="17">
        <f t="shared" si="15"/>
        <v>-1.1685101608710058E-2</v>
      </c>
      <c r="N19" s="17">
        <f t="shared" si="15"/>
        <v>-3.0801904449998307E-2</v>
      </c>
      <c r="O19" s="17">
        <f t="shared" si="15"/>
        <v>1.1204601670338876E-2</v>
      </c>
      <c r="P19" s="17">
        <f t="shared" si="15"/>
        <v>9.9786508383407968E-2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F1AF-9E1F-4058-8B15-79030D089122}">
  <dimension ref="A1:P21"/>
  <sheetViews>
    <sheetView zoomScale="90" zoomScaleNormal="90" workbookViewId="0">
      <selection activeCell="G4" sqref="G4"/>
    </sheetView>
  </sheetViews>
  <sheetFormatPr defaultRowHeight="14.4" x14ac:dyDescent="0.3"/>
  <sheetData>
    <row r="1" spans="1:16" ht="36.6" customHeight="1" x14ac:dyDescent="0.3">
      <c r="A1" s="2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66</v>
      </c>
      <c r="B2" s="9">
        <v>3.8139868606919439E-2</v>
      </c>
      <c r="C2" s="9">
        <v>5.4711246200607903E-2</v>
      </c>
      <c r="D2" s="9">
        <v>5.7471264367816091E-2</v>
      </c>
      <c r="E2" s="9">
        <v>2.1739130434782608E-2</v>
      </c>
      <c r="F2" s="9">
        <v>4.9900199600798403E-2</v>
      </c>
      <c r="G2" s="9">
        <v>6.6115702479338845E-2</v>
      </c>
      <c r="H2" s="9">
        <v>6.7484662576687116E-2</v>
      </c>
      <c r="I2" s="10">
        <v>3.8139868606919439E-2</v>
      </c>
      <c r="J2" s="9">
        <v>3.8139868606919439E-2</v>
      </c>
      <c r="K2" s="9">
        <v>5.4711246200607903E-2</v>
      </c>
      <c r="L2" s="9">
        <v>5.7471264367816091E-2</v>
      </c>
      <c r="M2" s="9">
        <v>2.1739130434782608E-2</v>
      </c>
      <c r="N2" s="9">
        <v>4.9900199600798403E-2</v>
      </c>
      <c r="O2" s="9">
        <v>6.6115702479338845E-2</v>
      </c>
      <c r="P2" s="9">
        <v>6.7484662576687116E-2</v>
      </c>
    </row>
    <row r="3" spans="1:16" x14ac:dyDescent="0.3">
      <c r="A3" s="3" t="s">
        <v>63</v>
      </c>
      <c r="B3" s="9">
        <v>4.2411264826565619E-2</v>
      </c>
      <c r="C3" s="9">
        <v>6.6869300911854099E-2</v>
      </c>
      <c r="D3" s="9">
        <v>6.8965517241379309E-2</v>
      </c>
      <c r="E3" s="9">
        <v>4.8913043478260872E-2</v>
      </c>
      <c r="F3" s="9">
        <v>4.790419161676647E-2</v>
      </c>
      <c r="G3" s="9">
        <v>4.6831955922865015E-2</v>
      </c>
      <c r="H3" s="9">
        <v>6.7484662576687116E-2</v>
      </c>
      <c r="I3" s="10">
        <v>8.055113343348505E-2</v>
      </c>
      <c r="J3" s="10">
        <f t="shared" ref="J3:P9" si="0">J2+B3</f>
        <v>8.055113343348505E-2</v>
      </c>
      <c r="K3" s="10">
        <f t="shared" si="0"/>
        <v>0.121580547112462</v>
      </c>
      <c r="L3" s="21">
        <f t="shared" si="0"/>
        <v>0.12643678160919541</v>
      </c>
      <c r="M3" s="10">
        <f t="shared" si="0"/>
        <v>7.0652173913043487E-2</v>
      </c>
      <c r="N3" s="10">
        <f t="shared" si="0"/>
        <v>9.7804391217564873E-2</v>
      </c>
      <c r="O3" s="10">
        <f t="shared" si="0"/>
        <v>0.11294765840220386</v>
      </c>
      <c r="P3" s="10">
        <f t="shared" si="0"/>
        <v>0.13496932515337423</v>
      </c>
    </row>
    <row r="4" spans="1:16" x14ac:dyDescent="0.3">
      <c r="A4" s="3" t="s">
        <v>65</v>
      </c>
      <c r="B4" s="9">
        <v>5.6346554855490033E-2</v>
      </c>
      <c r="C4" s="9">
        <v>9.7264437689969604E-2</v>
      </c>
      <c r="D4" s="9">
        <v>9.1954022988505746E-2</v>
      </c>
      <c r="E4" s="9">
        <v>4.3478260869565216E-2</v>
      </c>
      <c r="F4" s="9">
        <v>2.1956087824351298E-2</v>
      </c>
      <c r="G4" s="9">
        <v>7.43801652892562E-2</v>
      </c>
      <c r="H4" s="9">
        <v>4.9079754601226995E-2</v>
      </c>
      <c r="I4" s="10">
        <v>0.13689768828897508</v>
      </c>
      <c r="J4" s="10">
        <f t="shared" si="0"/>
        <v>0.13689768828897508</v>
      </c>
      <c r="K4" s="10">
        <f t="shared" si="0"/>
        <v>0.21884498480243159</v>
      </c>
      <c r="L4" s="21">
        <f t="shared" si="0"/>
        <v>0.21839080459770116</v>
      </c>
      <c r="M4" s="10">
        <f t="shared" si="0"/>
        <v>0.1141304347826087</v>
      </c>
      <c r="N4" s="10">
        <f t="shared" si="0"/>
        <v>0.11976047904191617</v>
      </c>
      <c r="O4" s="10">
        <f t="shared" si="0"/>
        <v>0.18732782369146006</v>
      </c>
      <c r="P4" s="10">
        <f t="shared" si="0"/>
        <v>0.18404907975460122</v>
      </c>
    </row>
    <row r="5" spans="1:16" x14ac:dyDescent="0.3">
      <c r="A5" s="3" t="s">
        <v>68</v>
      </c>
      <c r="B5" s="9">
        <v>6.0830960335433532E-2</v>
      </c>
      <c r="C5" s="9">
        <v>8.5106382978723402E-2</v>
      </c>
      <c r="D5" s="9">
        <v>0.12643678160919541</v>
      </c>
      <c r="E5" s="9">
        <v>0.10869565217391304</v>
      </c>
      <c r="F5" s="9">
        <v>8.7824351297405193E-2</v>
      </c>
      <c r="G5" s="9">
        <v>6.0606060606060608E-2</v>
      </c>
      <c r="H5" s="9">
        <v>8.5889570552147243E-2</v>
      </c>
      <c r="I5" s="10">
        <v>0.19772864862440861</v>
      </c>
      <c r="J5" s="10">
        <f t="shared" si="0"/>
        <v>0.19772864862440861</v>
      </c>
      <c r="K5" s="10">
        <f t="shared" si="0"/>
        <v>0.303951367781155</v>
      </c>
      <c r="L5" s="21">
        <f t="shared" si="0"/>
        <v>0.34482758620689657</v>
      </c>
      <c r="M5" s="10">
        <f t="shared" si="0"/>
        <v>0.22282608695652173</v>
      </c>
      <c r="N5" s="10">
        <f t="shared" si="0"/>
        <v>0.20758483033932135</v>
      </c>
      <c r="O5" s="10">
        <f t="shared" si="0"/>
        <v>0.24793388429752067</v>
      </c>
      <c r="P5" s="10">
        <f t="shared" si="0"/>
        <v>0.26993865030674846</v>
      </c>
    </row>
    <row r="6" spans="1:16" x14ac:dyDescent="0.3">
      <c r="A6" s="3" t="s">
        <v>67</v>
      </c>
      <c r="B6" s="9">
        <v>6.8095697212941994E-2</v>
      </c>
      <c r="C6" s="9">
        <v>9.4224924012158054E-2</v>
      </c>
      <c r="D6" s="9">
        <v>0.18390804597701149</v>
      </c>
      <c r="E6" s="9">
        <v>9.7826086956521743E-2</v>
      </c>
      <c r="F6" s="9">
        <v>7.9840319361277445E-2</v>
      </c>
      <c r="G6" s="9">
        <v>6.3360881542699726E-2</v>
      </c>
      <c r="H6" s="9">
        <v>3.0674846625766871E-2</v>
      </c>
      <c r="I6" s="10">
        <v>0.2658243458373506</v>
      </c>
      <c r="J6" s="10">
        <f t="shared" si="0"/>
        <v>0.2658243458373506</v>
      </c>
      <c r="K6" s="10">
        <f t="shared" si="0"/>
        <v>0.39817629179331304</v>
      </c>
      <c r="L6" s="21">
        <f t="shared" si="0"/>
        <v>0.52873563218390807</v>
      </c>
      <c r="M6" s="10">
        <f t="shared" si="0"/>
        <v>0.32065217391304346</v>
      </c>
      <c r="N6" s="10">
        <f t="shared" si="0"/>
        <v>0.28742514970059879</v>
      </c>
      <c r="O6" s="10">
        <f t="shared" si="0"/>
        <v>0.31129476584022042</v>
      </c>
      <c r="P6" s="10">
        <f t="shared" si="0"/>
        <v>0.30061349693251532</v>
      </c>
    </row>
    <row r="7" spans="1:16" x14ac:dyDescent="0.3">
      <c r="A7" s="3" t="s">
        <v>61</v>
      </c>
      <c r="B7" s="9">
        <v>0.19502679432274267</v>
      </c>
      <c r="C7" s="9">
        <v>0.26139817629179329</v>
      </c>
      <c r="D7" s="9">
        <v>0.19540229885057472</v>
      </c>
      <c r="E7" s="9">
        <v>0.27717391304347827</v>
      </c>
      <c r="F7" s="9">
        <v>0.22155688622754491</v>
      </c>
      <c r="G7" s="9">
        <v>0.18181818181818182</v>
      </c>
      <c r="H7" s="9">
        <v>0.16564417177914109</v>
      </c>
      <c r="I7" s="10">
        <v>0.46085114016009326</v>
      </c>
      <c r="J7" s="10">
        <f t="shared" si="0"/>
        <v>0.46085114016009326</v>
      </c>
      <c r="K7" s="10">
        <f t="shared" si="0"/>
        <v>0.65957446808510634</v>
      </c>
      <c r="L7" s="21">
        <f t="shared" si="0"/>
        <v>0.72413793103448276</v>
      </c>
      <c r="M7" s="10">
        <f t="shared" si="0"/>
        <v>0.59782608695652173</v>
      </c>
      <c r="N7" s="10">
        <f t="shared" si="0"/>
        <v>0.50898203592814373</v>
      </c>
      <c r="O7" s="10">
        <f t="shared" si="0"/>
        <v>0.49311294765840225</v>
      </c>
      <c r="P7" s="10">
        <f t="shared" si="0"/>
        <v>0.46625766871165641</v>
      </c>
    </row>
    <row r="8" spans="1:16" x14ac:dyDescent="0.3">
      <c r="A8" s="3" t="s">
        <v>64</v>
      </c>
      <c r="B8" s="9">
        <v>0.25757303975425461</v>
      </c>
      <c r="C8" s="9">
        <v>0.23404255319148937</v>
      </c>
      <c r="D8" s="9">
        <v>3.4482758620689655E-2</v>
      </c>
      <c r="E8" s="9">
        <v>0.30978260869565216</v>
      </c>
      <c r="F8" s="9">
        <v>0.25149700598802394</v>
      </c>
      <c r="G8" s="9">
        <v>0.23140495867768596</v>
      </c>
      <c r="H8" s="9">
        <v>0.30061349693251532</v>
      </c>
      <c r="I8" s="10">
        <v>0.71842417991434782</v>
      </c>
      <c r="J8" s="10">
        <f t="shared" si="0"/>
        <v>0.71842417991434782</v>
      </c>
      <c r="K8" s="10">
        <f t="shared" si="0"/>
        <v>0.8936170212765957</v>
      </c>
      <c r="L8" s="21">
        <f t="shared" si="0"/>
        <v>0.75862068965517238</v>
      </c>
      <c r="M8" s="10">
        <f t="shared" si="0"/>
        <v>0.90760869565217384</v>
      </c>
      <c r="N8" s="10">
        <f t="shared" si="0"/>
        <v>0.76047904191616766</v>
      </c>
      <c r="O8" s="10">
        <f t="shared" si="0"/>
        <v>0.72451790633608826</v>
      </c>
      <c r="P8" s="10">
        <f t="shared" si="0"/>
        <v>0.76687116564417179</v>
      </c>
    </row>
    <row r="9" spans="1:16" x14ac:dyDescent="0.3">
      <c r="A9" s="3" t="s">
        <v>62</v>
      </c>
      <c r="B9" s="9">
        <v>0.28157582008565213</v>
      </c>
      <c r="C9" s="9">
        <v>0.10638297872340426</v>
      </c>
      <c r="D9" s="9">
        <v>0.2413793103448276</v>
      </c>
      <c r="E9" s="9">
        <v>9.2391304347826081E-2</v>
      </c>
      <c r="F9" s="9">
        <v>0.23952095808383234</v>
      </c>
      <c r="G9" s="9">
        <v>0.27548209366391185</v>
      </c>
      <c r="H9" s="9">
        <v>0.23312883435582821</v>
      </c>
      <c r="I9" s="10">
        <v>1</v>
      </c>
      <c r="J9" s="10">
        <f t="shared" si="0"/>
        <v>1</v>
      </c>
      <c r="K9" s="10">
        <f t="shared" si="0"/>
        <v>1</v>
      </c>
      <c r="L9" s="21">
        <f t="shared" si="0"/>
        <v>1</v>
      </c>
      <c r="M9" s="10">
        <f t="shared" si="0"/>
        <v>0.99999999999999989</v>
      </c>
      <c r="N9" s="10">
        <f t="shared" si="0"/>
        <v>1</v>
      </c>
      <c r="O9" s="10">
        <f t="shared" si="0"/>
        <v>1</v>
      </c>
      <c r="P9" s="10">
        <f t="shared" si="0"/>
        <v>1</v>
      </c>
    </row>
    <row r="11" spans="1:16" ht="28.8" x14ac:dyDescent="0.3">
      <c r="B11" s="1" t="s">
        <v>24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J11" s="3"/>
      <c r="K11" s="14" t="s">
        <v>38</v>
      </c>
      <c r="L11" s="14" t="s">
        <v>39</v>
      </c>
      <c r="M11" s="14" t="s">
        <v>40</v>
      </c>
      <c r="N11" s="14" t="s">
        <v>41</v>
      </c>
      <c r="O11" s="14" t="s">
        <v>42</v>
      </c>
      <c r="P11" s="14" t="s">
        <v>43</v>
      </c>
    </row>
    <row r="12" spans="1:16" x14ac:dyDescent="0.3">
      <c r="B12" s="3" t="s">
        <v>66</v>
      </c>
      <c r="C12" s="10">
        <f>C2-B2</f>
        <v>1.6571377593688465E-2</v>
      </c>
      <c r="D12" s="10">
        <f>D2-B2</f>
        <v>1.9331395760896652E-2</v>
      </c>
      <c r="E12" s="10">
        <f>E2-B2</f>
        <v>-1.6400738172136831E-2</v>
      </c>
      <c r="F12" s="10">
        <f>F2-B2</f>
        <v>1.1760330993878965E-2</v>
      </c>
      <c r="G12" s="10">
        <f>G2-B2</f>
        <v>2.7975833872419406E-2</v>
      </c>
      <c r="H12" s="10">
        <f>H2-B2</f>
        <v>2.9344793969767677E-2</v>
      </c>
      <c r="J12" s="3" t="s">
        <v>66</v>
      </c>
      <c r="K12" s="3">
        <f>(J2-0) * ((K2+0))</f>
        <v>2.0866797414120057E-3</v>
      </c>
      <c r="L12" s="3">
        <f>(J2-0) * ((L2+0))</f>
        <v>2.1919464716620369E-3</v>
      </c>
      <c r="M12" s="3">
        <f>(J2-0) * ((M2+0))</f>
        <v>8.2912757841129209E-4</v>
      </c>
      <c r="N12" s="3">
        <f>(J2-0) * ((N2+0))</f>
        <v>1.903187056233505E-3</v>
      </c>
      <c r="O12" s="3">
        <f>(J2-0) * ((O2+0))</f>
        <v>2.5216442054161615E-3</v>
      </c>
      <c r="P12" s="3">
        <f>(J2-0) * ((P2+0))</f>
        <v>2.5738561636571402E-3</v>
      </c>
    </row>
    <row r="13" spans="1:16" x14ac:dyDescent="0.3">
      <c r="B13" s="3" t="s">
        <v>63</v>
      </c>
      <c r="C13" s="10">
        <f t="shared" ref="C13:C19" si="1">C3-B3</f>
        <v>2.445803608528848E-2</v>
      </c>
      <c r="D13" s="10">
        <f t="shared" ref="D13:D19" si="2">D3-B3</f>
        <v>2.6554252414813691E-2</v>
      </c>
      <c r="E13" s="10">
        <f t="shared" ref="E13:E19" si="3">E3-B3</f>
        <v>6.501778651695253E-3</v>
      </c>
      <c r="F13" s="10">
        <f t="shared" ref="F13:F19" si="4">F3-B3</f>
        <v>5.4929267902008513E-3</v>
      </c>
      <c r="G13" s="10">
        <f t="shared" ref="G13:G19" si="5">G3-B3</f>
        <v>4.4206910962993964E-3</v>
      </c>
      <c r="H13" s="10">
        <f t="shared" ref="H13:H19" si="6">H3-B3</f>
        <v>2.5073397750121497E-2</v>
      </c>
      <c r="J13" s="3" t="s">
        <v>63</v>
      </c>
      <c r="K13" s="3">
        <f>(J3-J2) * ((K3+K2))</f>
        <v>7.4767579329507762E-3</v>
      </c>
      <c r="L13" s="3">
        <f>(J3-J2) * ((L3+L2))</f>
        <v>7.7997728416672385E-3</v>
      </c>
      <c r="M13" s="3">
        <f>(J3-J2) * ((M3+M2))</f>
        <v>3.9184320763674752E-3</v>
      </c>
      <c r="N13" s="3">
        <f>(J3-J2) * ((N3+N2))</f>
        <v>6.264338517297117E-3</v>
      </c>
      <c r="O13" s="3">
        <f>(J3-J2) * ((O3+O2))</f>
        <v>7.5943036190819968E-3</v>
      </c>
      <c r="P13" s="3">
        <f>(J3-J2) * ((P3+P2))</f>
        <v>8.5863296888138967E-3</v>
      </c>
    </row>
    <row r="14" spans="1:16" x14ac:dyDescent="0.3">
      <c r="B14" s="3" t="s">
        <v>65</v>
      </c>
      <c r="C14" s="10">
        <f t="shared" si="1"/>
        <v>4.0917882834479571E-2</v>
      </c>
      <c r="D14" s="10">
        <f t="shared" si="2"/>
        <v>3.5607468133015713E-2</v>
      </c>
      <c r="E14" s="10">
        <f t="shared" si="3"/>
        <v>-1.2868293985924817E-2</v>
      </c>
      <c r="F14" s="10">
        <f t="shared" si="4"/>
        <v>-3.4390467031138738E-2</v>
      </c>
      <c r="G14" s="10">
        <f t="shared" si="5"/>
        <v>1.8033610433766167E-2</v>
      </c>
      <c r="H14" s="10">
        <f t="shared" si="6"/>
        <v>-7.2668002542630381E-3</v>
      </c>
      <c r="J14" s="3" t="s">
        <v>65</v>
      </c>
      <c r="K14" s="3">
        <f t="shared" ref="K14:K19" si="7">(J4-J3) * ((K4+K3))</f>
        <v>1.9181805908251921E-2</v>
      </c>
      <c r="L14" s="3">
        <f t="shared" ref="L14:L19" si="8">(J4-J3) * ((L4+L3))</f>
        <v>1.9429846501893114E-2</v>
      </c>
      <c r="M14" s="3">
        <f t="shared" ref="M14:M19" si="9">(J4-J3) * ((M4+M3))</f>
        <v>1.0411863397210116E-2</v>
      </c>
      <c r="N14" s="3">
        <f t="shared" ref="N14:N19" si="10">(J4-J3) * ((N4+N3))</f>
        <v>1.225903089670342E-2</v>
      </c>
      <c r="O14" s="3">
        <f t="shared" ref="O14:O19" si="11">(J4-J3) * ((O4+O3))</f>
        <v>1.6919488923549351E-2</v>
      </c>
      <c r="P14" s="3">
        <f t="shared" ref="P14:P19" si="12">(J4-J3) * ((P4+P3))</f>
        <v>1.7975588052058171E-2</v>
      </c>
    </row>
    <row r="15" spans="1:16" x14ac:dyDescent="0.3">
      <c r="B15" s="3" t="s">
        <v>68</v>
      </c>
      <c r="C15" s="10">
        <f t="shared" si="1"/>
        <v>2.4275422643289871E-2</v>
      </c>
      <c r="D15" s="10">
        <f t="shared" si="2"/>
        <v>6.5605821273761883E-2</v>
      </c>
      <c r="E15" s="10">
        <f t="shared" si="3"/>
        <v>4.7864691838479509E-2</v>
      </c>
      <c r="F15" s="10">
        <f t="shared" si="4"/>
        <v>2.6993390961971661E-2</v>
      </c>
      <c r="G15" s="10">
        <f t="shared" si="5"/>
        <v>-2.248997293729238E-4</v>
      </c>
      <c r="H15" s="10">
        <f t="shared" si="6"/>
        <v>2.5058610216713711E-2</v>
      </c>
      <c r="J15" s="3" t="s">
        <v>68</v>
      </c>
      <c r="K15" s="3">
        <f t="shared" si="7"/>
        <v>3.1802204187521478E-2</v>
      </c>
      <c r="L15" s="3">
        <f t="shared" si="8"/>
        <v>3.4261115591221192E-2</v>
      </c>
      <c r="M15" s="3">
        <f t="shared" si="9"/>
        <v>2.0497388808678688E-2</v>
      </c>
      <c r="N15" s="3">
        <f t="shared" si="10"/>
        <v>1.9912729530960276E-2</v>
      </c>
      <c r="O15" s="3">
        <f t="shared" si="11"/>
        <v>2.6477387694210739E-2</v>
      </c>
      <c r="P15" s="3">
        <f t="shared" si="12"/>
        <v>2.7616509600135467E-2</v>
      </c>
    </row>
    <row r="16" spans="1:16" x14ac:dyDescent="0.3">
      <c r="B16" s="3" t="s">
        <v>67</v>
      </c>
      <c r="C16" s="10">
        <f t="shared" si="1"/>
        <v>2.612922679921606E-2</v>
      </c>
      <c r="D16" s="10">
        <f t="shared" si="2"/>
        <v>0.1158123487640695</v>
      </c>
      <c r="E16" s="10">
        <f t="shared" si="3"/>
        <v>2.9730389743579749E-2</v>
      </c>
      <c r="F16" s="10">
        <f t="shared" si="4"/>
        <v>1.1744622148335451E-2</v>
      </c>
      <c r="G16" s="10">
        <f t="shared" si="5"/>
        <v>-4.7348156702422678E-3</v>
      </c>
      <c r="H16" s="10">
        <f t="shared" si="6"/>
        <v>-3.742085058717512E-2</v>
      </c>
      <c r="J16" s="3" t="s">
        <v>67</v>
      </c>
      <c r="K16" s="3">
        <f t="shared" si="7"/>
        <v>4.7811872511214583E-2</v>
      </c>
      <c r="L16" s="3">
        <f t="shared" si="8"/>
        <v>5.9485896415903343E-2</v>
      </c>
      <c r="M16" s="3">
        <f t="shared" si="9"/>
        <v>3.7008531093990202E-2</v>
      </c>
      <c r="N16" s="3">
        <f t="shared" si="10"/>
        <v>3.3708049718182857E-2</v>
      </c>
      <c r="O16" s="3">
        <f t="shared" si="11"/>
        <v>3.8081064832581876E-2</v>
      </c>
      <c r="P16" s="3">
        <f t="shared" si="12"/>
        <v>3.8852146262598801E-2</v>
      </c>
    </row>
    <row r="17" spans="2:16" x14ac:dyDescent="0.3">
      <c r="B17" s="3" t="s">
        <v>61</v>
      </c>
      <c r="C17" s="10">
        <f t="shared" si="1"/>
        <v>6.6371381969050625E-2</v>
      </c>
      <c r="D17" s="10">
        <f t="shared" si="2"/>
        <v>3.7550452783205457E-4</v>
      </c>
      <c r="E17" s="10">
        <f t="shared" si="3"/>
        <v>8.2147118720735601E-2</v>
      </c>
      <c r="F17" s="10">
        <f t="shared" si="4"/>
        <v>2.6530091904802239E-2</v>
      </c>
      <c r="G17" s="10">
        <f t="shared" si="5"/>
        <v>-1.3208612504560846E-2</v>
      </c>
      <c r="H17" s="10">
        <f t="shared" si="6"/>
        <v>-2.9382622543601578E-2</v>
      </c>
      <c r="J17" s="3" t="s">
        <v>61</v>
      </c>
      <c r="K17" s="3">
        <f t="shared" si="7"/>
        <v>0.20628973989153324</v>
      </c>
      <c r="L17" s="3">
        <f t="shared" si="8"/>
        <v>0.24434391472619482</v>
      </c>
      <c r="M17" s="3">
        <f t="shared" si="9"/>
        <v>0.17912787087251908</v>
      </c>
      <c r="N17" s="3">
        <f t="shared" si="10"/>
        <v>0.15532074038877111</v>
      </c>
      <c r="O17" s="3">
        <f t="shared" si="11"/>
        <v>0.1568810576921236</v>
      </c>
      <c r="P17" s="3">
        <f t="shared" si="12"/>
        <v>0.14956042509412781</v>
      </c>
    </row>
    <row r="18" spans="2:16" x14ac:dyDescent="0.3">
      <c r="B18" s="3" t="s">
        <v>64</v>
      </c>
      <c r="C18" s="10">
        <f t="shared" si="1"/>
        <v>-2.353048656276524E-2</v>
      </c>
      <c r="D18" s="10">
        <f t="shared" si="2"/>
        <v>-0.22309028113356494</v>
      </c>
      <c r="E18" s="10">
        <f t="shared" si="3"/>
        <v>5.2209568941397555E-2</v>
      </c>
      <c r="F18" s="10">
        <f t="shared" si="4"/>
        <v>-6.0760337662306707E-3</v>
      </c>
      <c r="G18" s="10">
        <f t="shared" si="5"/>
        <v>-2.616808107656865E-2</v>
      </c>
      <c r="H18" s="10">
        <f t="shared" si="6"/>
        <v>4.3040457178260716E-2</v>
      </c>
      <c r="J18" s="3" t="s">
        <v>64</v>
      </c>
      <c r="K18" s="3">
        <f t="shared" si="7"/>
        <v>0.40006025323533151</v>
      </c>
      <c r="L18" s="3">
        <f t="shared" si="8"/>
        <v>0.38191864515286023</v>
      </c>
      <c r="M18" s="3">
        <f t="shared" si="9"/>
        <v>0.38775941310830708</v>
      </c>
      <c r="N18" s="3">
        <f t="shared" si="10"/>
        <v>0.32697894867007166</v>
      </c>
      <c r="O18" s="3">
        <f t="shared" si="11"/>
        <v>0.31362888036192982</v>
      </c>
      <c r="P18" s="3">
        <f t="shared" si="12"/>
        <v>0.31762074227365134</v>
      </c>
    </row>
    <row r="19" spans="2:16" x14ac:dyDescent="0.3">
      <c r="B19" s="3" t="s">
        <v>62</v>
      </c>
      <c r="C19" s="10">
        <f t="shared" si="1"/>
        <v>-0.17519284136224789</v>
      </c>
      <c r="D19" s="10">
        <f t="shared" si="2"/>
        <v>-4.0196509740824532E-2</v>
      </c>
      <c r="E19" s="10">
        <f t="shared" si="3"/>
        <v>-0.18918451573782605</v>
      </c>
      <c r="F19" s="10">
        <f t="shared" si="4"/>
        <v>-4.2054862001819793E-2</v>
      </c>
      <c r="G19" s="10">
        <f t="shared" si="5"/>
        <v>-6.0937264217402753E-3</v>
      </c>
      <c r="H19" s="10">
        <f t="shared" si="6"/>
        <v>-4.8446985729823921E-2</v>
      </c>
      <c r="J19" s="3" t="s">
        <v>62</v>
      </c>
      <c r="K19" s="3">
        <f t="shared" si="7"/>
        <v>0.53319676569410734</v>
      </c>
      <c r="L19" s="3">
        <f t="shared" si="8"/>
        <v>0.49518506290925041</v>
      </c>
      <c r="M19" s="3">
        <f t="shared" si="9"/>
        <v>0.53713648288078208</v>
      </c>
      <c r="N19" s="3">
        <f t="shared" si="10"/>
        <v>0.49570832997114811</v>
      </c>
      <c r="O19" s="3">
        <f t="shared" si="11"/>
        <v>0.48558254372897597</v>
      </c>
      <c r="P19" s="3">
        <f t="shared" si="12"/>
        <v>0.49750819745194985</v>
      </c>
    </row>
    <row r="20" spans="2:16" x14ac:dyDescent="0.3">
      <c r="J20" s="14" t="s">
        <v>44</v>
      </c>
      <c r="K20" s="14">
        <f>SUM(K12:K19)</f>
        <v>1.2479060791023229</v>
      </c>
      <c r="L20" s="14">
        <f t="shared" ref="L20:P20" si="13">SUM(L12:L19)</f>
        <v>1.2446162006106525</v>
      </c>
      <c r="M20" s="14">
        <f t="shared" si="13"/>
        <v>1.176689109816266</v>
      </c>
      <c r="N20" s="14">
        <f t="shared" si="13"/>
        <v>1.0520553547493681</v>
      </c>
      <c r="O20" s="14">
        <f t="shared" si="13"/>
        <v>1.0476863710578694</v>
      </c>
      <c r="P20" s="14">
        <f t="shared" si="13"/>
        <v>1.0602937945869924</v>
      </c>
    </row>
    <row r="21" spans="2:16" x14ac:dyDescent="0.3">
      <c r="J21" s="17" t="s">
        <v>45</v>
      </c>
      <c r="K21" s="17">
        <f>1-K20</f>
        <v>-0.24790607910232287</v>
      </c>
      <c r="L21" s="17">
        <f t="shared" ref="L21:P21" si="14">1-L20</f>
        <v>-0.24461620061065248</v>
      </c>
      <c r="M21" s="17">
        <f t="shared" si="14"/>
        <v>-0.17668910981626595</v>
      </c>
      <c r="N21" s="17">
        <f t="shared" si="14"/>
        <v>-5.2055354749368066E-2</v>
      </c>
      <c r="O21" s="17">
        <f t="shared" si="14"/>
        <v>-4.7686371057869437E-2</v>
      </c>
      <c r="P21" s="17">
        <f t="shared" si="14"/>
        <v>-6.0293794586992355E-2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A120-D33E-4554-86DF-A1B5DC9D1568}">
  <dimension ref="A1:W31"/>
  <sheetViews>
    <sheetView tabSelected="1" zoomScale="64" zoomScaleNormal="100" workbookViewId="0">
      <selection activeCell="L27" sqref="L27"/>
    </sheetView>
  </sheetViews>
  <sheetFormatPr defaultRowHeight="14.4" x14ac:dyDescent="0.3"/>
  <cols>
    <col min="1" max="1" width="15" customWidth="1"/>
  </cols>
  <sheetData>
    <row r="1" spans="1:16" ht="36.6" customHeight="1" x14ac:dyDescent="0.3">
      <c r="A1" s="20" t="s">
        <v>24</v>
      </c>
      <c r="B1" s="4" t="s">
        <v>25</v>
      </c>
      <c r="C1" s="5" t="s">
        <v>26</v>
      </c>
      <c r="D1" s="5" t="s">
        <v>27</v>
      </c>
      <c r="E1" s="5" t="s">
        <v>28</v>
      </c>
      <c r="F1" s="4" t="s">
        <v>29</v>
      </c>
      <c r="G1" s="5" t="s">
        <v>30</v>
      </c>
      <c r="H1" s="5" t="s">
        <v>31</v>
      </c>
      <c r="I1" s="6" t="s">
        <v>25</v>
      </c>
      <c r="J1" s="7" t="s">
        <v>25</v>
      </c>
      <c r="K1" s="8" t="s">
        <v>26</v>
      </c>
      <c r="L1" s="8" t="s">
        <v>27</v>
      </c>
      <c r="M1" s="8" t="s">
        <v>28</v>
      </c>
      <c r="N1" s="7" t="s">
        <v>29</v>
      </c>
      <c r="O1" s="8" t="s">
        <v>30</v>
      </c>
      <c r="P1" s="8" t="s">
        <v>31</v>
      </c>
    </row>
    <row r="2" spans="1:16" x14ac:dyDescent="0.3">
      <c r="A2" s="3" t="s">
        <v>71</v>
      </c>
      <c r="B2" s="9">
        <v>0.1189355455096239</v>
      </c>
      <c r="C2" s="9">
        <v>0.10256410256410256</v>
      </c>
      <c r="D2" s="9">
        <v>9.6153846153846159E-2</v>
      </c>
      <c r="E2" s="9">
        <v>0.14285714285714285</v>
      </c>
      <c r="F2" s="9">
        <v>2.8301886792452831E-2</v>
      </c>
      <c r="G2" s="9">
        <v>0.03</v>
      </c>
      <c r="H2" s="9">
        <v>0.10638297872340426</v>
      </c>
      <c r="I2" s="10">
        <v>0.1189355455096239</v>
      </c>
      <c r="J2" s="9">
        <v>0.1189355455096239</v>
      </c>
      <c r="K2" s="9">
        <v>0.10256410256410256</v>
      </c>
      <c r="L2" s="9">
        <v>9.6153846153846159E-2</v>
      </c>
      <c r="M2" s="9">
        <v>0.14285714285714285</v>
      </c>
      <c r="N2" s="9">
        <v>2.8301886792452831E-2</v>
      </c>
      <c r="O2" s="9">
        <v>0.03</v>
      </c>
      <c r="P2" s="9">
        <v>0.10638297872340426</v>
      </c>
    </row>
    <row r="3" spans="1:16" x14ac:dyDescent="0.3">
      <c r="A3" s="3" t="s">
        <v>72</v>
      </c>
      <c r="B3" s="9">
        <v>0.23032110733094094</v>
      </c>
      <c r="C3" s="9">
        <v>0.38461538461538464</v>
      </c>
      <c r="D3" s="9">
        <v>0.38461538461538464</v>
      </c>
      <c r="E3" s="9">
        <v>0.25714285714285712</v>
      </c>
      <c r="F3" s="9">
        <v>0.3867924528301887</v>
      </c>
      <c r="G3" s="9">
        <v>0.19</v>
      </c>
      <c r="H3" s="9">
        <v>0.23404255319148937</v>
      </c>
      <c r="I3" s="10">
        <v>0.34925665284056484</v>
      </c>
      <c r="J3" s="10">
        <f>J2+B3</f>
        <v>0.34925665284056484</v>
      </c>
      <c r="K3" s="10">
        <f t="shared" ref="K3:P5" si="0">K2+C3</f>
        <v>0.48717948717948723</v>
      </c>
      <c r="L3" s="10">
        <f t="shared" si="0"/>
        <v>0.48076923076923078</v>
      </c>
      <c r="M3" s="10">
        <f t="shared" si="0"/>
        <v>0.39999999999999997</v>
      </c>
      <c r="N3" s="10">
        <f t="shared" si="0"/>
        <v>0.41509433962264153</v>
      </c>
      <c r="O3" s="10">
        <f t="shared" si="0"/>
        <v>0.22</v>
      </c>
      <c r="P3" s="10">
        <f t="shared" si="0"/>
        <v>0.34042553191489361</v>
      </c>
    </row>
    <row r="4" spans="1:16" x14ac:dyDescent="0.3">
      <c r="A4" s="3" t="s">
        <v>70</v>
      </c>
      <c r="B4" s="9">
        <v>0.31036491587826814</v>
      </c>
      <c r="C4" s="9">
        <v>0.30769230769230771</v>
      </c>
      <c r="D4" s="9">
        <v>0.26923076923076922</v>
      </c>
      <c r="E4" s="9">
        <v>0.2857142857142857</v>
      </c>
      <c r="F4" s="9">
        <v>0.28301886792452829</v>
      </c>
      <c r="G4" s="9">
        <v>0.37</v>
      </c>
      <c r="H4" s="9">
        <v>0.23404255319148937</v>
      </c>
      <c r="I4" s="10">
        <v>0.65962156871883293</v>
      </c>
      <c r="J4" s="10">
        <f t="shared" ref="J4:J5" si="1">J3+B4</f>
        <v>0.65962156871883293</v>
      </c>
      <c r="K4" s="10">
        <f t="shared" si="0"/>
        <v>0.79487179487179493</v>
      </c>
      <c r="L4" s="10">
        <f t="shared" si="0"/>
        <v>0.75</v>
      </c>
      <c r="M4" s="10">
        <f t="shared" si="0"/>
        <v>0.68571428571428572</v>
      </c>
      <c r="N4" s="10">
        <f t="shared" si="0"/>
        <v>0.69811320754716988</v>
      </c>
      <c r="O4" s="10">
        <f t="shared" si="0"/>
        <v>0.59</v>
      </c>
      <c r="P4" s="10">
        <f t="shared" si="0"/>
        <v>0.57446808510638303</v>
      </c>
    </row>
    <row r="5" spans="1:16" x14ac:dyDescent="0.3">
      <c r="A5" s="3" t="s">
        <v>69</v>
      </c>
      <c r="B5" s="9">
        <v>0.34037843128116696</v>
      </c>
      <c r="C5" s="9">
        <v>0.20512820512820512</v>
      </c>
      <c r="D5" s="9">
        <v>0.25</v>
      </c>
      <c r="E5" s="9">
        <v>0.31428571428571428</v>
      </c>
      <c r="F5" s="9">
        <v>0.30188679245283018</v>
      </c>
      <c r="G5" s="9">
        <v>0.41</v>
      </c>
      <c r="H5" s="9">
        <v>0.42553191489361702</v>
      </c>
      <c r="I5" s="10">
        <v>0.99999999999999989</v>
      </c>
      <c r="J5" s="10">
        <f t="shared" si="1"/>
        <v>0.99999999999999989</v>
      </c>
      <c r="K5" s="10">
        <f t="shared" si="0"/>
        <v>1</v>
      </c>
      <c r="L5" s="10">
        <f t="shared" si="0"/>
        <v>1</v>
      </c>
      <c r="M5" s="10">
        <f t="shared" si="0"/>
        <v>1</v>
      </c>
      <c r="N5" s="10">
        <f t="shared" si="0"/>
        <v>1</v>
      </c>
      <c r="O5" s="10">
        <f t="shared" si="0"/>
        <v>1</v>
      </c>
      <c r="P5" s="10">
        <f t="shared" si="0"/>
        <v>1</v>
      </c>
    </row>
    <row r="7" spans="1:16" ht="28.8" x14ac:dyDescent="0.3">
      <c r="B7" s="1" t="s">
        <v>24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J7" s="3"/>
      <c r="K7" s="14" t="s">
        <v>38</v>
      </c>
      <c r="L7" s="14" t="s">
        <v>39</v>
      </c>
      <c r="M7" s="14" t="s">
        <v>40</v>
      </c>
      <c r="N7" s="14" t="s">
        <v>41</v>
      </c>
      <c r="O7" s="14" t="s">
        <v>42</v>
      </c>
      <c r="P7" s="14" t="s">
        <v>43</v>
      </c>
    </row>
    <row r="8" spans="1:16" x14ac:dyDescent="0.3">
      <c r="B8" s="3" t="s">
        <v>71</v>
      </c>
      <c r="C8" s="10">
        <f>C2-B2</f>
        <v>-1.6371442945521342E-2</v>
      </c>
      <c r="D8" s="10">
        <f>D2-B2</f>
        <v>-2.2781699355777743E-2</v>
      </c>
      <c r="E8" s="10">
        <f>E2-B2</f>
        <v>2.3921597347518947E-2</v>
      </c>
      <c r="F8" s="10">
        <f>F2-B2</f>
        <v>-9.0633658717171078E-2</v>
      </c>
      <c r="G8" s="10">
        <f>G2-B2</f>
        <v>-8.8935545509623903E-2</v>
      </c>
      <c r="H8" s="10">
        <f>H2-B2</f>
        <v>-1.2552566786219646E-2</v>
      </c>
      <c r="J8" s="3" t="s">
        <v>71</v>
      </c>
      <c r="K8" s="3">
        <f>($J2-0) * ((K2+0))</f>
        <v>1.2198517488166553E-2</v>
      </c>
      <c r="L8" s="3">
        <f t="shared" ref="L8:P8" si="2">($J2-0) * ((L2+0))</f>
        <v>1.1436110145156145E-2</v>
      </c>
      <c r="M8" s="3">
        <f t="shared" si="2"/>
        <v>1.6990792215660556E-2</v>
      </c>
      <c r="N8" s="3">
        <f t="shared" si="2"/>
        <v>3.3661003446119973E-3</v>
      </c>
      <c r="O8" s="3">
        <f t="shared" si="2"/>
        <v>3.5680663652887168E-3</v>
      </c>
      <c r="P8" s="3">
        <f t="shared" si="2"/>
        <v>1.2652717607406798E-2</v>
      </c>
    </row>
    <row r="9" spans="1:16" x14ac:dyDescent="0.3">
      <c r="B9" s="3" t="s">
        <v>72</v>
      </c>
      <c r="C9" s="10">
        <f t="shared" ref="C9:C11" si="3">C3-B3</f>
        <v>0.1542942772844437</v>
      </c>
      <c r="D9" s="10">
        <f t="shared" ref="D9:D11" si="4">D3-B3</f>
        <v>0.1542942772844437</v>
      </c>
      <c r="E9" s="10">
        <f t="shared" ref="E9:E11" si="5">E3-B3</f>
        <v>2.6821749811916179E-2</v>
      </c>
      <c r="F9" s="10">
        <f t="shared" ref="F9:F11" si="6">F3-B3</f>
        <v>0.15647134549924777</v>
      </c>
      <c r="G9" s="10">
        <f t="shared" ref="G9:G11" si="7">G3-B3</f>
        <v>-4.0321107330940936E-2</v>
      </c>
      <c r="H9" s="10">
        <f t="shared" ref="H9:H11" si="8">H3-B3</f>
        <v>3.721445860548428E-3</v>
      </c>
      <c r="J9" s="3" t="s">
        <v>72</v>
      </c>
      <c r="K9" s="3">
        <f>($J3-$J2) * ((K3+K2))</f>
        <v>0.13583039663106775</v>
      </c>
      <c r="L9" s="3">
        <f t="shared" ref="L9:P9" si="9">($J3-$J2) * ((L3+L2))</f>
        <v>0.1328775619216967</v>
      </c>
      <c r="M9" s="3">
        <f t="shared" si="9"/>
        <v>0.12503145826536793</v>
      </c>
      <c r="N9" s="3">
        <f t="shared" si="9"/>
        <v>0.10212350985428513</v>
      </c>
      <c r="O9" s="3">
        <f t="shared" si="9"/>
        <v>5.7580276832735235E-2</v>
      </c>
      <c r="P9" s="3">
        <f t="shared" si="9"/>
        <v>0.10290943093510127</v>
      </c>
    </row>
    <row r="10" spans="1:16" x14ac:dyDescent="0.3">
      <c r="B10" s="3" t="s">
        <v>70</v>
      </c>
      <c r="C10" s="10">
        <f t="shared" si="3"/>
        <v>-2.6726081859604345E-3</v>
      </c>
      <c r="D10" s="10">
        <f t="shared" si="4"/>
        <v>-4.1134146647498926E-2</v>
      </c>
      <c r="E10" s="10">
        <f t="shared" si="5"/>
        <v>-2.4650630163982445E-2</v>
      </c>
      <c r="F10" s="10">
        <f t="shared" si="6"/>
        <v>-2.7346047953739849E-2</v>
      </c>
      <c r="G10" s="10">
        <f t="shared" si="7"/>
        <v>5.9635084121731852E-2</v>
      </c>
      <c r="H10" s="10">
        <f t="shared" si="8"/>
        <v>-7.6322362686778777E-2</v>
      </c>
      <c r="J10" s="3" t="s">
        <v>70</v>
      </c>
      <c r="K10" s="3">
        <f t="shared" ref="K10:P11" si="10">($J4-$J3) * ((K4+K3))</f>
        <v>0.39790373830547193</v>
      </c>
      <c r="L10" s="3">
        <f t="shared" si="10"/>
        <v>0.38198758877325306</v>
      </c>
      <c r="M10" s="3">
        <f t="shared" si="10"/>
        <v>0.33696762295354821</v>
      </c>
      <c r="N10" s="3">
        <f t="shared" si="10"/>
        <v>0.34550056673241164</v>
      </c>
      <c r="O10" s="3">
        <f t="shared" si="10"/>
        <v>0.25139558186139715</v>
      </c>
      <c r="P10" s="3">
        <f t="shared" si="10"/>
        <v>0.28395088048437295</v>
      </c>
    </row>
    <row r="11" spans="1:16" x14ac:dyDescent="0.3">
      <c r="B11" s="3" t="s">
        <v>69</v>
      </c>
      <c r="C11" s="10">
        <f t="shared" si="3"/>
        <v>-0.13525022615296184</v>
      </c>
      <c r="D11" s="10">
        <f t="shared" si="4"/>
        <v>-9.037843128116696E-2</v>
      </c>
      <c r="E11" s="10">
        <f t="shared" si="5"/>
        <v>-2.6092716995452681E-2</v>
      </c>
      <c r="F11" s="10">
        <f t="shared" si="6"/>
        <v>-3.8491638828336783E-2</v>
      </c>
      <c r="G11" s="10">
        <f t="shared" si="7"/>
        <v>6.9621568718833016E-2</v>
      </c>
      <c r="H11" s="10">
        <f t="shared" si="8"/>
        <v>8.5153483612450065E-2</v>
      </c>
      <c r="J11" s="3" t="s">
        <v>69</v>
      </c>
      <c r="K11" s="3">
        <f t="shared" si="10"/>
        <v>0.61093564588927407</v>
      </c>
      <c r="L11" s="3">
        <f t="shared" si="10"/>
        <v>0.59566225474204215</v>
      </c>
      <c r="M11" s="3">
        <f t="shared" si="10"/>
        <v>0.57378078415968148</v>
      </c>
      <c r="N11" s="3">
        <f t="shared" si="10"/>
        <v>0.57800110972273633</v>
      </c>
      <c r="O11" s="3">
        <f t="shared" si="10"/>
        <v>0.54120170573705539</v>
      </c>
      <c r="P11" s="3">
        <f t="shared" si="10"/>
        <v>0.5359149769107735</v>
      </c>
    </row>
    <row r="12" spans="1:16" x14ac:dyDescent="0.3">
      <c r="J12" s="15" t="s">
        <v>44</v>
      </c>
      <c r="K12" s="14">
        <f>SUM(K8:K11)</f>
        <v>1.1568682983139804</v>
      </c>
      <c r="L12" s="14">
        <f t="shared" ref="L12:P12" si="11">SUM(L8:L11)</f>
        <v>1.1219635155821481</v>
      </c>
      <c r="M12" s="14">
        <f t="shared" si="11"/>
        <v>1.0527706575942581</v>
      </c>
      <c r="N12" s="14">
        <f t="shared" si="11"/>
        <v>1.0289912866540452</v>
      </c>
      <c r="O12" s="14">
        <f t="shared" si="11"/>
        <v>0.85374563079647647</v>
      </c>
      <c r="P12" s="14">
        <f t="shared" si="11"/>
        <v>0.93542800593765452</v>
      </c>
    </row>
    <row r="13" spans="1:16" x14ac:dyDescent="0.3">
      <c r="J13" s="16" t="s">
        <v>45</v>
      </c>
      <c r="K13" s="17">
        <f>1-K12</f>
        <v>-0.15686829831398041</v>
      </c>
      <c r="L13" s="17">
        <f t="shared" ref="L13:P13" si="12">1-L12</f>
        <v>-0.12196351558214813</v>
      </c>
      <c r="M13" s="17">
        <f t="shared" si="12"/>
        <v>-5.2770657594258141E-2</v>
      </c>
      <c r="N13" s="17">
        <f t="shared" si="12"/>
        <v>-2.8991286654045156E-2</v>
      </c>
      <c r="O13" s="17">
        <f t="shared" si="12"/>
        <v>0.14625436920352353</v>
      </c>
      <c r="P13" s="17">
        <f t="shared" si="12"/>
        <v>6.4571994062345484E-2</v>
      </c>
    </row>
    <row r="19" spans="8:23" x14ac:dyDescent="0.3">
      <c r="H19" s="26"/>
      <c r="I19" s="27"/>
      <c r="J19" s="27"/>
      <c r="K19" s="27"/>
      <c r="L19" s="27"/>
      <c r="M19" s="27"/>
      <c r="N19" s="27"/>
      <c r="O19" s="27"/>
      <c r="P19" s="26"/>
      <c r="Q19" s="27"/>
      <c r="R19" s="27"/>
      <c r="S19" s="27"/>
      <c r="T19" s="27"/>
      <c r="U19" s="27"/>
      <c r="V19" s="27"/>
      <c r="W19" s="27"/>
    </row>
    <row r="20" spans="8:23" x14ac:dyDescent="0.3">
      <c r="I20" s="28"/>
      <c r="J20" s="28"/>
      <c r="K20" s="28"/>
      <c r="L20" s="28"/>
      <c r="M20" s="28"/>
      <c r="N20" s="28"/>
      <c r="O20" s="28"/>
      <c r="P20" s="29"/>
      <c r="Q20" s="28"/>
      <c r="R20" s="28"/>
      <c r="S20" s="28"/>
      <c r="T20" s="28"/>
      <c r="U20" s="28"/>
      <c r="V20" s="28"/>
      <c r="W20" s="28"/>
    </row>
    <row r="21" spans="8:23" x14ac:dyDescent="0.3">
      <c r="I21" s="28"/>
      <c r="J21" s="28"/>
      <c r="K21" s="28"/>
      <c r="L21" s="28"/>
      <c r="M21" s="28"/>
      <c r="N21" s="28"/>
      <c r="O21" s="28"/>
      <c r="P21" s="29"/>
      <c r="Q21" s="29"/>
      <c r="R21" s="29"/>
      <c r="S21" s="29"/>
      <c r="T21" s="29"/>
      <c r="U21" s="29"/>
      <c r="V21" s="29"/>
      <c r="W21" s="29"/>
    </row>
    <row r="22" spans="8:23" x14ac:dyDescent="0.3">
      <c r="I22" s="28"/>
      <c r="J22" s="28"/>
      <c r="K22" s="28"/>
      <c r="L22" s="28"/>
      <c r="M22" s="28"/>
      <c r="N22" s="28"/>
      <c r="O22" s="28"/>
      <c r="P22" s="29"/>
      <c r="Q22" s="29"/>
      <c r="R22" s="29"/>
      <c r="S22" s="29"/>
      <c r="T22" s="29"/>
      <c r="U22" s="29"/>
      <c r="V22" s="29"/>
      <c r="W22" s="29"/>
    </row>
    <row r="23" spans="8:23" x14ac:dyDescent="0.3">
      <c r="I23" s="28"/>
      <c r="J23" s="28"/>
      <c r="K23" s="28"/>
      <c r="L23" s="28"/>
      <c r="M23" s="28"/>
      <c r="N23" s="28"/>
      <c r="O23" s="28"/>
      <c r="P23" s="29"/>
      <c r="Q23" s="29"/>
      <c r="R23" s="29"/>
      <c r="S23" s="29"/>
      <c r="T23" s="29"/>
      <c r="U23" s="29"/>
      <c r="V23" s="29"/>
      <c r="W23" s="29"/>
    </row>
    <row r="25" spans="8:23" x14ac:dyDescent="0.3">
      <c r="I25" s="30"/>
      <c r="J25" s="31"/>
      <c r="K25" s="31"/>
      <c r="L25" s="31"/>
      <c r="M25" s="31"/>
      <c r="N25" s="31"/>
      <c r="O25" s="31"/>
    </row>
    <row r="26" spans="8:23" x14ac:dyDescent="0.3">
      <c r="J26" s="29"/>
      <c r="K26" s="29"/>
      <c r="L26" s="29"/>
      <c r="M26" s="29"/>
      <c r="N26" s="29"/>
      <c r="O26" s="29"/>
    </row>
    <row r="27" spans="8:23" x14ac:dyDescent="0.3">
      <c r="J27" s="29"/>
      <c r="K27" s="29"/>
      <c r="L27" s="29"/>
      <c r="M27" s="29"/>
      <c r="N27" s="29"/>
      <c r="O27" s="29"/>
    </row>
    <row r="28" spans="8:23" x14ac:dyDescent="0.3">
      <c r="J28" s="29"/>
      <c r="K28" s="29"/>
      <c r="L28" s="29"/>
      <c r="M28" s="29"/>
      <c r="N28" s="29"/>
      <c r="O28" s="29"/>
    </row>
    <row r="29" spans="8:23" x14ac:dyDescent="0.3">
      <c r="J29" s="29"/>
      <c r="K29" s="29"/>
      <c r="L29" s="29"/>
      <c r="M29" s="29"/>
      <c r="N29" s="29"/>
      <c r="O29" s="29"/>
    </row>
    <row r="30" spans="8:23" x14ac:dyDescent="0.3">
      <c r="Q30" s="32"/>
    </row>
    <row r="31" spans="8:23" x14ac:dyDescent="0.3">
      <c r="Q31" s="33"/>
      <c r="R31" s="34"/>
      <c r="S31" s="34"/>
      <c r="T31" s="34"/>
      <c r="U31" s="34"/>
      <c r="V31" s="34"/>
      <c r="W31" s="34"/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GOVERNADOR VALADARES</vt:lpstr>
      <vt:lpstr>MANTENA</vt:lpstr>
      <vt:lpstr>PEÇANHA - SÃO JOÃO EVANGELISTA</vt:lpstr>
      <vt:lpstr>RESPLENDOR</vt:lpstr>
      <vt:lpstr>SANTA MARIA DO SUAÇUÍ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2025-04-20T13:41:53Z</dcterms:created>
  <dcterms:modified xsi:type="dcterms:W3CDTF">2025-11-25T23:39:29Z</dcterms:modified>
</cp:coreProperties>
</file>