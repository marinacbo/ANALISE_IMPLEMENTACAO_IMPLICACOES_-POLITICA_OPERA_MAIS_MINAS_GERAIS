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Distribuição_territorial/Análises_objetivo_03/analises_finais_cirurgia_geral/"/>
    </mc:Choice>
  </mc:AlternateContent>
  <xr:revisionPtr revIDLastSave="106" documentId="8_{D8E31301-935C-4473-B85E-E5B3B9B5E664}" xr6:coauthVersionLast="47" xr6:coauthVersionMax="47" xr10:uidLastSave="{CA265E8B-4307-406E-9D2C-6EAC6A2EA73F}"/>
  <bookViews>
    <workbookView xWindow="11424" yWindow="0" windowWidth="11712" windowHeight="12336" firstSheet="2" activeTab="3" xr2:uid="{4851E0E9-D75A-416B-A583-813930B32A3E}"/>
  </bookViews>
  <sheets>
    <sheet name="BARBACENA" sheetId="1" r:id="rId1"/>
    <sheet name="CONGONHAS" sheetId="2" r:id="rId2"/>
    <sheet name="C. LAFAIETE" sheetId="6" r:id="rId3"/>
    <sheet name="SÃO JOÃO DEL REI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5" i="1" l="1"/>
  <c r="P22" i="7"/>
  <c r="O22" i="7"/>
  <c r="N22" i="7"/>
  <c r="M22" i="7"/>
  <c r="L22" i="7"/>
  <c r="K22" i="7"/>
  <c r="P16" i="6"/>
  <c r="O16" i="6"/>
  <c r="N16" i="6"/>
  <c r="M16" i="6"/>
  <c r="L16" i="6"/>
  <c r="K16" i="6"/>
  <c r="P10" i="2"/>
  <c r="O10" i="2"/>
  <c r="N10" i="2"/>
  <c r="M10" i="2"/>
  <c r="L10" i="2"/>
  <c r="K10" i="2"/>
  <c r="P19" i="1" l="1"/>
  <c r="O19" i="1"/>
  <c r="N19" i="1"/>
  <c r="M19" i="1"/>
  <c r="L19" i="1"/>
  <c r="K19" i="1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H22" i="7"/>
  <c r="G22" i="7"/>
  <c r="F22" i="7"/>
  <c r="E22" i="7"/>
  <c r="D22" i="7"/>
  <c r="C22" i="7"/>
  <c r="M14" i="7"/>
  <c r="M15" i="7" s="1"/>
  <c r="M16" i="7" s="1"/>
  <c r="M17" i="7" s="1"/>
  <c r="M18" i="7" s="1"/>
  <c r="M19" i="7" s="1"/>
  <c r="P3" i="7"/>
  <c r="P4" i="7" s="1"/>
  <c r="P5" i="7" s="1"/>
  <c r="P6" i="7" s="1"/>
  <c r="P7" i="7" s="1"/>
  <c r="P8" i="7" s="1"/>
  <c r="P9" i="7" s="1"/>
  <c r="P10" i="7" s="1"/>
  <c r="P11" i="7" s="1"/>
  <c r="P12" i="7" s="1"/>
  <c r="P13" i="7" s="1"/>
  <c r="P14" i="7" s="1"/>
  <c r="P15" i="7" s="1"/>
  <c r="P16" i="7" s="1"/>
  <c r="P17" i="7" s="1"/>
  <c r="P18" i="7" s="1"/>
  <c r="P19" i="7" s="1"/>
  <c r="O3" i="7"/>
  <c r="O4" i="7" s="1"/>
  <c r="O5" i="7" s="1"/>
  <c r="O6" i="7" s="1"/>
  <c r="O7" i="7" s="1"/>
  <c r="O8" i="7" s="1"/>
  <c r="O9" i="7" s="1"/>
  <c r="O10" i="7" s="1"/>
  <c r="O11" i="7" s="1"/>
  <c r="O12" i="7" s="1"/>
  <c r="O13" i="7" s="1"/>
  <c r="O14" i="7" s="1"/>
  <c r="O15" i="7" s="1"/>
  <c r="O16" i="7" s="1"/>
  <c r="O17" i="7" s="1"/>
  <c r="O18" i="7" s="1"/>
  <c r="O19" i="7" s="1"/>
  <c r="N3" i="7"/>
  <c r="N4" i="7" s="1"/>
  <c r="N5" i="7" s="1"/>
  <c r="N6" i="7" s="1"/>
  <c r="N7" i="7" s="1"/>
  <c r="N8" i="7" s="1"/>
  <c r="N9" i="7" s="1"/>
  <c r="N10" i="7" s="1"/>
  <c r="N11" i="7" s="1"/>
  <c r="N12" i="7" s="1"/>
  <c r="N13" i="7" s="1"/>
  <c r="N14" i="7" s="1"/>
  <c r="N15" i="7" s="1"/>
  <c r="N16" i="7" s="1"/>
  <c r="N17" i="7" s="1"/>
  <c r="N18" i="7" s="1"/>
  <c r="N19" i="7" s="1"/>
  <c r="M3" i="7"/>
  <c r="M4" i="7" s="1"/>
  <c r="M5" i="7" s="1"/>
  <c r="M6" i="7" s="1"/>
  <c r="M7" i="7" s="1"/>
  <c r="M8" i="7" s="1"/>
  <c r="M9" i="7" s="1"/>
  <c r="M10" i="7" s="1"/>
  <c r="M11" i="7" s="1"/>
  <c r="M12" i="7" s="1"/>
  <c r="M13" i="7" s="1"/>
  <c r="L3" i="7"/>
  <c r="L4" i="7" s="1"/>
  <c r="L5" i="7" s="1"/>
  <c r="L6" i="7" s="1"/>
  <c r="L7" i="7" s="1"/>
  <c r="L8" i="7" s="1"/>
  <c r="L9" i="7" s="1"/>
  <c r="L10" i="7" s="1"/>
  <c r="L11" i="7" s="1"/>
  <c r="L12" i="7" s="1"/>
  <c r="L13" i="7" s="1"/>
  <c r="L14" i="7" s="1"/>
  <c r="L15" i="7" s="1"/>
  <c r="L16" i="7" s="1"/>
  <c r="L17" i="7" s="1"/>
  <c r="L18" i="7" s="1"/>
  <c r="L19" i="7" s="1"/>
  <c r="K3" i="7"/>
  <c r="K4" i="7" s="1"/>
  <c r="K5" i="7" s="1"/>
  <c r="K6" i="7" s="1"/>
  <c r="K7" i="7" s="1"/>
  <c r="K8" i="7" s="1"/>
  <c r="K9" i="7" s="1"/>
  <c r="K10" i="7" s="1"/>
  <c r="K11" i="7" s="1"/>
  <c r="K12" i="7" s="1"/>
  <c r="K13" i="7" s="1"/>
  <c r="K14" i="7" s="1"/>
  <c r="K15" i="7" s="1"/>
  <c r="K16" i="7" s="1"/>
  <c r="K17" i="7" s="1"/>
  <c r="K18" i="7" s="1"/>
  <c r="K19" i="7" s="1"/>
  <c r="J3" i="7"/>
  <c r="H17" i="6"/>
  <c r="H18" i="6"/>
  <c r="H19" i="6"/>
  <c r="H20" i="6"/>
  <c r="H21" i="6"/>
  <c r="H22" i="6"/>
  <c r="H23" i="6"/>
  <c r="H24" i="6"/>
  <c r="H25" i="6"/>
  <c r="H26" i="6"/>
  <c r="H27" i="6"/>
  <c r="H16" i="6"/>
  <c r="G17" i="6"/>
  <c r="G18" i="6"/>
  <c r="G19" i="6"/>
  <c r="G20" i="6"/>
  <c r="G21" i="6"/>
  <c r="G22" i="6"/>
  <c r="G23" i="6"/>
  <c r="G24" i="6"/>
  <c r="G25" i="6"/>
  <c r="G26" i="6"/>
  <c r="G27" i="6"/>
  <c r="G16" i="6"/>
  <c r="F17" i="6"/>
  <c r="F18" i="6"/>
  <c r="F19" i="6"/>
  <c r="F20" i="6"/>
  <c r="F21" i="6"/>
  <c r="F22" i="6"/>
  <c r="F23" i="6"/>
  <c r="F24" i="6"/>
  <c r="F25" i="6"/>
  <c r="F26" i="6"/>
  <c r="F27" i="6"/>
  <c r="F16" i="6"/>
  <c r="E17" i="6"/>
  <c r="E18" i="6"/>
  <c r="E19" i="6"/>
  <c r="E20" i="6"/>
  <c r="E21" i="6"/>
  <c r="E22" i="6"/>
  <c r="E23" i="6"/>
  <c r="E24" i="6"/>
  <c r="E25" i="6"/>
  <c r="E26" i="6"/>
  <c r="E27" i="6"/>
  <c r="E16" i="6"/>
  <c r="D17" i="6"/>
  <c r="D18" i="6"/>
  <c r="D19" i="6"/>
  <c r="D20" i="6"/>
  <c r="D21" i="6"/>
  <c r="D22" i="6"/>
  <c r="D23" i="6"/>
  <c r="D24" i="6"/>
  <c r="D25" i="6"/>
  <c r="D26" i="6"/>
  <c r="D27" i="6"/>
  <c r="D16" i="6"/>
  <c r="C17" i="6"/>
  <c r="C18" i="6"/>
  <c r="C19" i="6"/>
  <c r="C20" i="6"/>
  <c r="C21" i="6"/>
  <c r="C22" i="6"/>
  <c r="C23" i="6"/>
  <c r="C24" i="6"/>
  <c r="C25" i="6"/>
  <c r="C26" i="6"/>
  <c r="C27" i="6"/>
  <c r="C16" i="6"/>
  <c r="P3" i="6"/>
  <c r="P4" i="6" s="1"/>
  <c r="P5" i="6" s="1"/>
  <c r="P6" i="6" s="1"/>
  <c r="P7" i="6" s="1"/>
  <c r="P8" i="6" s="1"/>
  <c r="P9" i="6" s="1"/>
  <c r="P10" i="6" s="1"/>
  <c r="P11" i="6" s="1"/>
  <c r="P12" i="6" s="1"/>
  <c r="P13" i="6" s="1"/>
  <c r="O3" i="6"/>
  <c r="O4" i="6" s="1"/>
  <c r="O5" i="6" s="1"/>
  <c r="O6" i="6" s="1"/>
  <c r="O7" i="6" s="1"/>
  <c r="O8" i="6" s="1"/>
  <c r="O9" i="6" s="1"/>
  <c r="O10" i="6" s="1"/>
  <c r="O11" i="6" s="1"/>
  <c r="O12" i="6" s="1"/>
  <c r="O13" i="6" s="1"/>
  <c r="N3" i="6"/>
  <c r="N4" i="6" s="1"/>
  <c r="N5" i="6" s="1"/>
  <c r="N6" i="6" s="1"/>
  <c r="N7" i="6" s="1"/>
  <c r="N8" i="6" s="1"/>
  <c r="N9" i="6" s="1"/>
  <c r="N10" i="6" s="1"/>
  <c r="N11" i="6" s="1"/>
  <c r="N12" i="6" s="1"/>
  <c r="N13" i="6" s="1"/>
  <c r="M3" i="6"/>
  <c r="M4" i="6" s="1"/>
  <c r="M5" i="6" s="1"/>
  <c r="M6" i="6" s="1"/>
  <c r="M7" i="6" s="1"/>
  <c r="M8" i="6" s="1"/>
  <c r="M9" i="6" s="1"/>
  <c r="M10" i="6" s="1"/>
  <c r="M11" i="6" s="1"/>
  <c r="M12" i="6" s="1"/>
  <c r="M13" i="6" s="1"/>
  <c r="L3" i="6"/>
  <c r="L4" i="6" s="1"/>
  <c r="L5" i="6" s="1"/>
  <c r="L6" i="6" s="1"/>
  <c r="L7" i="6" s="1"/>
  <c r="L8" i="6" s="1"/>
  <c r="L9" i="6" s="1"/>
  <c r="L10" i="6" s="1"/>
  <c r="L11" i="6" s="1"/>
  <c r="L12" i="6" s="1"/>
  <c r="L13" i="6" s="1"/>
  <c r="K3" i="6"/>
  <c r="K4" i="6" s="1"/>
  <c r="K5" i="6" s="1"/>
  <c r="K6" i="6" s="1"/>
  <c r="K7" i="6" s="1"/>
  <c r="K8" i="6" s="1"/>
  <c r="K9" i="6" s="1"/>
  <c r="K10" i="6" s="1"/>
  <c r="K11" i="6" s="1"/>
  <c r="K12" i="6" s="1"/>
  <c r="K13" i="6" s="1"/>
  <c r="J3" i="6"/>
  <c r="J4" i="7" l="1"/>
  <c r="P23" i="7"/>
  <c r="O23" i="7"/>
  <c r="M23" i="7"/>
  <c r="N23" i="7"/>
  <c r="L23" i="7"/>
  <c r="K23" i="7"/>
  <c r="J4" i="6"/>
  <c r="M17" i="6"/>
  <c r="P17" i="6"/>
  <c r="L17" i="6"/>
  <c r="O17" i="6"/>
  <c r="K17" i="6"/>
  <c r="N17" i="6"/>
  <c r="J5" i="7" l="1"/>
  <c r="K24" i="7"/>
  <c r="L24" i="7"/>
  <c r="M24" i="7"/>
  <c r="N24" i="7"/>
  <c r="O24" i="7"/>
  <c r="P24" i="7"/>
  <c r="J5" i="6"/>
  <c r="O18" i="6"/>
  <c r="N18" i="6"/>
  <c r="P18" i="6"/>
  <c r="M18" i="6"/>
  <c r="K18" i="6"/>
  <c r="L18" i="6"/>
  <c r="H11" i="2"/>
  <c r="H12" i="2"/>
  <c r="H13" i="2"/>
  <c r="H14" i="2"/>
  <c r="H15" i="2"/>
  <c r="H10" i="2"/>
  <c r="G11" i="2"/>
  <c r="G12" i="2"/>
  <c r="G13" i="2"/>
  <c r="G14" i="2"/>
  <c r="G15" i="2"/>
  <c r="G10" i="2"/>
  <c r="F11" i="2"/>
  <c r="F12" i="2"/>
  <c r="F13" i="2"/>
  <c r="F14" i="2"/>
  <c r="F15" i="2"/>
  <c r="F10" i="2"/>
  <c r="E11" i="2"/>
  <c r="E12" i="2"/>
  <c r="E13" i="2"/>
  <c r="E14" i="2"/>
  <c r="E15" i="2"/>
  <c r="E10" i="2"/>
  <c r="D11" i="2"/>
  <c r="D12" i="2"/>
  <c r="D13" i="2"/>
  <c r="D14" i="2"/>
  <c r="D15" i="2"/>
  <c r="D10" i="2"/>
  <c r="C11" i="2"/>
  <c r="C12" i="2"/>
  <c r="C13" i="2"/>
  <c r="C14" i="2"/>
  <c r="C15" i="2"/>
  <c r="C10" i="2"/>
  <c r="P3" i="2"/>
  <c r="P4" i="2" s="1"/>
  <c r="P5" i="2" s="1"/>
  <c r="P6" i="2" s="1"/>
  <c r="P7" i="2" s="1"/>
  <c r="O3" i="2"/>
  <c r="O4" i="2" s="1"/>
  <c r="O5" i="2" s="1"/>
  <c r="O6" i="2" s="1"/>
  <c r="O7" i="2" s="1"/>
  <c r="N3" i="2"/>
  <c r="N4" i="2" s="1"/>
  <c r="N5" i="2" s="1"/>
  <c r="N6" i="2" s="1"/>
  <c r="N7" i="2" s="1"/>
  <c r="M3" i="2"/>
  <c r="M4" i="2" s="1"/>
  <c r="M5" i="2" s="1"/>
  <c r="M6" i="2" s="1"/>
  <c r="M7" i="2" s="1"/>
  <c r="L3" i="2"/>
  <c r="L4" i="2" s="1"/>
  <c r="L5" i="2" s="1"/>
  <c r="L6" i="2" s="1"/>
  <c r="L7" i="2" s="1"/>
  <c r="K3" i="2"/>
  <c r="K4" i="2" s="1"/>
  <c r="K5" i="2" s="1"/>
  <c r="K6" i="2" s="1"/>
  <c r="K7" i="2" s="1"/>
  <c r="J3" i="2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H19" i="1"/>
  <c r="G19" i="1"/>
  <c r="F19" i="1"/>
  <c r="E19" i="1"/>
  <c r="D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19" i="1"/>
  <c r="P3" i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O3" i="1"/>
  <c r="O4" i="1" s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M3" i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J3" i="1"/>
  <c r="J6" i="7" l="1"/>
  <c r="M25" i="7"/>
  <c r="K25" i="7"/>
  <c r="N25" i="7"/>
  <c r="P25" i="7"/>
  <c r="O25" i="7"/>
  <c r="L25" i="7"/>
  <c r="J6" i="6"/>
  <c r="M19" i="6"/>
  <c r="P19" i="6"/>
  <c r="L19" i="6"/>
  <c r="O19" i="6"/>
  <c r="N19" i="6"/>
  <c r="K19" i="6"/>
  <c r="J4" i="2"/>
  <c r="P11" i="2"/>
  <c r="O11" i="2"/>
  <c r="N11" i="2"/>
  <c r="K11" i="2"/>
  <c r="M11" i="2"/>
  <c r="L11" i="2"/>
  <c r="J4" i="1"/>
  <c r="P20" i="1"/>
  <c r="M20" i="1"/>
  <c r="O20" i="1"/>
  <c r="N20" i="1"/>
  <c r="K20" i="1"/>
  <c r="L20" i="1"/>
  <c r="J7" i="7" l="1"/>
  <c r="O26" i="7"/>
  <c r="M26" i="7"/>
  <c r="P26" i="7"/>
  <c r="K26" i="7"/>
  <c r="L26" i="7"/>
  <c r="N26" i="7"/>
  <c r="J7" i="6"/>
  <c r="K20" i="6"/>
  <c r="L20" i="6"/>
  <c r="O20" i="6"/>
  <c r="M20" i="6"/>
  <c r="P20" i="6"/>
  <c r="N20" i="6"/>
  <c r="J5" i="2"/>
  <c r="K12" i="2"/>
  <c r="L12" i="2"/>
  <c r="M12" i="2"/>
  <c r="O12" i="2"/>
  <c r="N12" i="2"/>
  <c r="P12" i="2"/>
  <c r="J5" i="1"/>
  <c r="K21" i="1"/>
  <c r="L21" i="1"/>
  <c r="P21" i="1"/>
  <c r="M21" i="1"/>
  <c r="N21" i="1"/>
  <c r="O21" i="1"/>
  <c r="J8" i="7" l="1"/>
  <c r="L27" i="7"/>
  <c r="O27" i="7"/>
  <c r="P27" i="7"/>
  <c r="K27" i="7"/>
  <c r="M27" i="7"/>
  <c r="N27" i="7"/>
  <c r="J8" i="6"/>
  <c r="M21" i="6"/>
  <c r="P21" i="6"/>
  <c r="O21" i="6"/>
  <c r="L21" i="6"/>
  <c r="K21" i="6"/>
  <c r="N21" i="6"/>
  <c r="J6" i="2"/>
  <c r="M13" i="2"/>
  <c r="N13" i="2"/>
  <c r="O13" i="2"/>
  <c r="P13" i="2"/>
  <c r="K13" i="2"/>
  <c r="L13" i="2"/>
  <c r="J6" i="1"/>
  <c r="K22" i="1"/>
  <c r="N22" i="1"/>
  <c r="L22" i="1"/>
  <c r="M22" i="1"/>
  <c r="O22" i="1"/>
  <c r="P22" i="1"/>
  <c r="J9" i="7" l="1"/>
  <c r="K28" i="7"/>
  <c r="N28" i="7"/>
  <c r="L28" i="7"/>
  <c r="M28" i="7"/>
  <c r="O28" i="7"/>
  <c r="P28" i="7"/>
  <c r="J9" i="6"/>
  <c r="O22" i="6"/>
  <c r="N22" i="6"/>
  <c r="P22" i="6"/>
  <c r="M22" i="6"/>
  <c r="K22" i="6"/>
  <c r="L22" i="6"/>
  <c r="J7" i="2"/>
  <c r="O14" i="2"/>
  <c r="P14" i="2"/>
  <c r="L14" i="2"/>
  <c r="N14" i="2"/>
  <c r="K14" i="2"/>
  <c r="M14" i="2"/>
  <c r="J7" i="1"/>
  <c r="M23" i="1"/>
  <c r="N23" i="1"/>
  <c r="P23" i="1"/>
  <c r="O23" i="1"/>
  <c r="K23" i="1"/>
  <c r="L23" i="1"/>
  <c r="J10" i="7" l="1"/>
  <c r="M29" i="7"/>
  <c r="K29" i="7"/>
  <c r="N29" i="7"/>
  <c r="O29" i="7"/>
  <c r="P29" i="7"/>
  <c r="L29" i="7"/>
  <c r="J10" i="6"/>
  <c r="P23" i="6"/>
  <c r="M23" i="6"/>
  <c r="L23" i="6"/>
  <c r="O23" i="6"/>
  <c r="K23" i="6"/>
  <c r="N23" i="6"/>
  <c r="L16" i="2"/>
  <c r="L17" i="2" s="1"/>
  <c r="P15" i="2"/>
  <c r="P16" i="2" s="1"/>
  <c r="P17" i="2" s="1"/>
  <c r="K15" i="2"/>
  <c r="K16" i="2" s="1"/>
  <c r="K17" i="2" s="1"/>
  <c r="M15" i="2"/>
  <c r="M16" i="2" s="1"/>
  <c r="M17" i="2" s="1"/>
  <c r="O15" i="2"/>
  <c r="O16" i="2" s="1"/>
  <c r="O17" i="2" s="1"/>
  <c r="L15" i="2"/>
  <c r="N15" i="2"/>
  <c r="N16" i="2" s="1"/>
  <c r="N17" i="2" s="1"/>
  <c r="J8" i="1"/>
  <c r="O24" i="1"/>
  <c r="P24" i="1"/>
  <c r="K24" i="1"/>
  <c r="N24" i="1"/>
  <c r="L24" i="1"/>
  <c r="M24" i="1"/>
  <c r="J11" i="7" l="1"/>
  <c r="O30" i="7"/>
  <c r="M30" i="7"/>
  <c r="P30" i="7"/>
  <c r="K30" i="7"/>
  <c r="L30" i="7"/>
  <c r="N30" i="7"/>
  <c r="J11" i="6"/>
  <c r="K24" i="6"/>
  <c r="O24" i="6"/>
  <c r="M24" i="6"/>
  <c r="L24" i="6"/>
  <c r="P24" i="6"/>
  <c r="N24" i="6"/>
  <c r="J9" i="1"/>
  <c r="L25" i="1"/>
  <c r="P25" i="1"/>
  <c r="K25" i="1"/>
  <c r="M25" i="1"/>
  <c r="O25" i="1"/>
  <c r="N25" i="1"/>
  <c r="J12" i="7" l="1"/>
  <c r="L31" i="7"/>
  <c r="O31" i="7"/>
  <c r="K31" i="7"/>
  <c r="P31" i="7"/>
  <c r="M31" i="7"/>
  <c r="N31" i="7"/>
  <c r="J12" i="6"/>
  <c r="M25" i="6"/>
  <c r="P25" i="6"/>
  <c r="L25" i="6"/>
  <c r="N25" i="6"/>
  <c r="K25" i="6"/>
  <c r="O25" i="6"/>
  <c r="J10" i="1"/>
  <c r="K26" i="1"/>
  <c r="L26" i="1"/>
  <c r="M26" i="1"/>
  <c r="N26" i="1"/>
  <c r="O26" i="1"/>
  <c r="P26" i="1"/>
  <c r="J13" i="7" l="1"/>
  <c r="K32" i="7"/>
  <c r="L32" i="7"/>
  <c r="M32" i="7"/>
  <c r="N32" i="7"/>
  <c r="O32" i="7"/>
  <c r="P32" i="7"/>
  <c r="J13" i="6"/>
  <c r="O26" i="6"/>
  <c r="N26" i="6"/>
  <c r="M26" i="6"/>
  <c r="K26" i="6"/>
  <c r="L26" i="6"/>
  <c r="P26" i="6"/>
  <c r="J11" i="1"/>
  <c r="M27" i="1"/>
  <c r="P27" i="1"/>
  <c r="L27" i="1"/>
  <c r="N27" i="1"/>
  <c r="O27" i="1"/>
  <c r="K27" i="1"/>
  <c r="M33" i="7" l="1"/>
  <c r="P33" i="7"/>
  <c r="K33" i="7"/>
  <c r="L33" i="7"/>
  <c r="N33" i="7"/>
  <c r="O33" i="7"/>
  <c r="J14" i="7"/>
  <c r="P27" i="6"/>
  <c r="P28" i="6" s="1"/>
  <c r="P29" i="6" s="1"/>
  <c r="K27" i="6"/>
  <c r="K28" i="6" s="1"/>
  <c r="K29" i="6" s="1"/>
  <c r="O27" i="6"/>
  <c r="O28" i="6" s="1"/>
  <c r="O29" i="6" s="1"/>
  <c r="L27" i="6"/>
  <c r="L28" i="6" s="1"/>
  <c r="L29" i="6" s="1"/>
  <c r="M27" i="6"/>
  <c r="M28" i="6" s="1"/>
  <c r="M29" i="6" s="1"/>
  <c r="N27" i="6"/>
  <c r="N28" i="6" s="1"/>
  <c r="N29" i="6" s="1"/>
  <c r="J12" i="1"/>
  <c r="O28" i="1"/>
  <c r="P28" i="1"/>
  <c r="K28" i="1"/>
  <c r="M28" i="1"/>
  <c r="L28" i="1"/>
  <c r="N28" i="1"/>
  <c r="J15" i="7" l="1"/>
  <c r="O34" i="7"/>
  <c r="M34" i="7"/>
  <c r="P34" i="7"/>
  <c r="K34" i="7"/>
  <c r="L34" i="7"/>
  <c r="N34" i="7"/>
  <c r="J13" i="1"/>
  <c r="K29" i="1"/>
  <c r="L29" i="1"/>
  <c r="P29" i="1"/>
  <c r="M29" i="1"/>
  <c r="N29" i="1"/>
  <c r="O29" i="1"/>
  <c r="J16" i="7" l="1"/>
  <c r="O35" i="7"/>
  <c r="P35" i="7"/>
  <c r="K35" i="7"/>
  <c r="L35" i="7"/>
  <c r="M35" i="7"/>
  <c r="N35" i="7"/>
  <c r="J14" i="1"/>
  <c r="K30" i="1"/>
  <c r="N30" i="1"/>
  <c r="L30" i="1"/>
  <c r="M30" i="1"/>
  <c r="O30" i="1"/>
  <c r="P30" i="1"/>
  <c r="J17" i="7" l="1"/>
  <c r="K36" i="7"/>
  <c r="N36" i="7"/>
  <c r="L36" i="7"/>
  <c r="M36" i="7"/>
  <c r="O36" i="7"/>
  <c r="P36" i="7"/>
  <c r="J15" i="1"/>
  <c r="M31" i="1"/>
  <c r="N31" i="1"/>
  <c r="O31" i="1"/>
  <c r="P31" i="1"/>
  <c r="K31" i="1"/>
  <c r="L31" i="1"/>
  <c r="J18" i="7" l="1"/>
  <c r="M37" i="7"/>
  <c r="K37" i="7"/>
  <c r="N37" i="7"/>
  <c r="L37" i="7"/>
  <c r="O37" i="7"/>
  <c r="P37" i="7"/>
  <c r="J16" i="1"/>
  <c r="O32" i="1"/>
  <c r="N32" i="1"/>
  <c r="P32" i="1"/>
  <c r="K32" i="1"/>
  <c r="L32" i="1"/>
  <c r="M32" i="1"/>
  <c r="J19" i="7" l="1"/>
  <c r="O38" i="7"/>
  <c r="M38" i="7"/>
  <c r="P38" i="7"/>
  <c r="N38" i="7"/>
  <c r="K38" i="7"/>
  <c r="L38" i="7"/>
  <c r="L33" i="1"/>
  <c r="L34" i="1" s="1"/>
  <c r="L35" i="1" s="1"/>
  <c r="K33" i="1"/>
  <c r="K34" i="1" s="1"/>
  <c r="P33" i="1"/>
  <c r="P34" i="1" s="1"/>
  <c r="P35" i="1" s="1"/>
  <c r="M33" i="1"/>
  <c r="M34" i="1" s="1"/>
  <c r="M35" i="1" s="1"/>
  <c r="O33" i="1"/>
  <c r="O34" i="1" s="1"/>
  <c r="O35" i="1" s="1"/>
  <c r="N33" i="1"/>
  <c r="N34" i="1" s="1"/>
  <c r="N35" i="1" s="1"/>
  <c r="L39" i="7" l="1"/>
  <c r="L40" i="7" s="1"/>
  <c r="L41" i="7" s="1"/>
  <c r="N39" i="7"/>
  <c r="N40" i="7" s="1"/>
  <c r="N41" i="7" s="1"/>
  <c r="O39" i="7"/>
  <c r="O40" i="7" s="1"/>
  <c r="O41" i="7" s="1"/>
  <c r="P39" i="7"/>
  <c r="P40" i="7" s="1"/>
  <c r="P41" i="7" s="1"/>
  <c r="K39" i="7"/>
  <c r="K40" i="7" s="1"/>
  <c r="K41" i="7" s="1"/>
  <c r="M39" i="7"/>
  <c r="M40" i="7" s="1"/>
  <c r="M41" i="7" s="1"/>
</calcChain>
</file>

<file path=xl/sharedStrings.xml><?xml version="1.0" encoding="utf-8"?>
<sst xmlns="http://schemas.openxmlformats.org/spreadsheetml/2006/main" count="278" uniqueCount="73">
  <si>
    <t>BARBACENA</t>
  </si>
  <si>
    <t>ALFREDO VASCONCELOS</t>
  </si>
  <si>
    <t>ALTO RIO DOCE</t>
  </si>
  <si>
    <t>ANTÔNIO CARLOS</t>
  </si>
  <si>
    <t>CAPELA NOVA</t>
  </si>
  <si>
    <t>CARANDAÍ</t>
  </si>
  <si>
    <t>CIPOTÂNEA</t>
  </si>
  <si>
    <t>DESTERRO DO MELO</t>
  </si>
  <si>
    <t>IBERTIOGA</t>
  </si>
  <si>
    <t>PAIVA</t>
  </si>
  <si>
    <t>RESSAQUINHA</t>
  </si>
  <si>
    <t>SANTA BÁRBARA DO TUGÚRIO</t>
  </si>
  <si>
    <t>SANTA RITA DE IBITIPOCA</t>
  </si>
  <si>
    <t>SANTANA DO GARAMBÉU</t>
  </si>
  <si>
    <t>SENHORA DOS REMÉDIOS</t>
  </si>
  <si>
    <t>MUNICÍPIO</t>
  </si>
  <si>
    <t>Pop</t>
  </si>
  <si>
    <t>Prod 2019</t>
  </si>
  <si>
    <t>Prod 2020</t>
  </si>
  <si>
    <t>Prod 2021</t>
  </si>
  <si>
    <t>Prod 2022</t>
  </si>
  <si>
    <t>Prod 2023-1-2</t>
  </si>
  <si>
    <t>Prod 2023-3</t>
  </si>
  <si>
    <t>Dif 2019</t>
  </si>
  <si>
    <t>Dif 2020</t>
  </si>
  <si>
    <t>Dif 2021</t>
  </si>
  <si>
    <t>Dif 2022</t>
  </si>
  <si>
    <t>Dif 2023 1-2</t>
  </si>
  <si>
    <t>Dif 2023 3</t>
  </si>
  <si>
    <t>area_2019</t>
  </si>
  <si>
    <t>area_2020</t>
  </si>
  <si>
    <t>area_2021</t>
  </si>
  <si>
    <t>area_2022</t>
  </si>
  <si>
    <t>area_2023-1-2</t>
  </si>
  <si>
    <t>area_2023-3</t>
  </si>
  <si>
    <t>SOMA_ÁREAS</t>
  </si>
  <si>
    <t>GINI (1-ÁREA)</t>
  </si>
  <si>
    <t>CONGONHAS</t>
  </si>
  <si>
    <t>DESTERRO DE ENTRE RIOS</t>
  </si>
  <si>
    <t>ENTRE RIOS DE MINAS</t>
  </si>
  <si>
    <t>JECEABA</t>
  </si>
  <si>
    <t>OURO BRANCO</t>
  </si>
  <si>
    <t>SÃO BRÁS DO SUAÇUÍ</t>
  </si>
  <si>
    <t>CONSELHEIRO LAFAIETE</t>
  </si>
  <si>
    <t>CARANAÍBA</t>
  </si>
  <si>
    <t>CASA GRANDE</t>
  </si>
  <si>
    <t>CATAS ALTAS DA NORUEGA</t>
  </si>
  <si>
    <t>CRISTIANO OTONI</t>
  </si>
  <si>
    <t>ITAVERAVA</t>
  </si>
  <si>
    <t>LAMIM</t>
  </si>
  <si>
    <t>PIRANGA</t>
  </si>
  <si>
    <t>QUELUZITO</t>
  </si>
  <si>
    <t>RIO ESPERA</t>
  </si>
  <si>
    <t>SANTANA DOS MONTES</t>
  </si>
  <si>
    <t>SENHORA DE OLIVEIRA</t>
  </si>
  <si>
    <t>SÃO JOÃO DEL REI</t>
  </si>
  <si>
    <t>BARROSO</t>
  </si>
  <si>
    <t>BOM SUCESSO</t>
  </si>
  <si>
    <t>CONCEIÇÃO DA BARRA DE MINAS</t>
  </si>
  <si>
    <t>CORONEL XAVIER CHAVES</t>
  </si>
  <si>
    <t>DORES DE CAMPOS</t>
  </si>
  <si>
    <t>IBITURUNA</t>
  </si>
  <si>
    <t>LAGOA DOURADA</t>
  </si>
  <si>
    <t>MADRE DE DEUS DE MINAS</t>
  </si>
  <si>
    <t>NAZARENO</t>
  </si>
  <si>
    <t>PIEDADE DO RIO GRANDE</t>
  </si>
  <si>
    <t>PRADOS</t>
  </si>
  <si>
    <t>RESENDE COSTA</t>
  </si>
  <si>
    <t>RITÁPOLIS</t>
  </si>
  <si>
    <t>SANTA CRUZ DE MINAS</t>
  </si>
  <si>
    <t>SÃO TIAGO</t>
  </si>
  <si>
    <t>SÃO VICENTE DE MINAS</t>
  </si>
  <si>
    <t>TIRADENTES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</si>
</sst>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left" indent="2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2" fontId="0" fillId="0" borderId="1" xfId="0" applyNumberFormat="1" applyBorder="1"/>
    <xf numFmtId="2" fontId="0" fillId="0" borderId="1" xfId="0" applyNumberFormat="1" applyBorder="1" applyAlignment="1">
      <alignment vertical="center" wrapText="1"/>
    </xf>
    <xf numFmtId="0" fontId="0" fillId="4" borderId="1" xfId="0" applyFill="1" applyBorder="1"/>
    <xf numFmtId="0" fontId="0" fillId="4" borderId="1" xfId="0" applyFill="1" applyBorder="1" applyAlignment="1">
      <alignment horizontal="left" indent="2"/>
    </xf>
    <xf numFmtId="0" fontId="1" fillId="2" borderId="1" xfId="0" applyFont="1" applyFill="1" applyBorder="1" applyAlignment="1">
      <alignment horizontal="left" indent="2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BARBACENA!$J$1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BARBACENA!$I$2:$I$16</c:f>
              <c:numCache>
                <c:formatCode>0.00</c:formatCode>
                <c:ptCount val="15"/>
                <c:pt idx="0">
                  <c:v>6.3075087211598834E-3</c:v>
                </c:pt>
                <c:pt idx="1">
                  <c:v>1.6677269268669935E-2</c:v>
                </c:pt>
                <c:pt idx="2">
                  <c:v>2.8597920226854104E-2</c:v>
                </c:pt>
                <c:pt idx="3">
                  <c:v>4.2651565235107505E-2</c:v>
                </c:pt>
                <c:pt idx="4">
                  <c:v>6.0883882797590091E-2</c:v>
                </c:pt>
                <c:pt idx="5">
                  <c:v>8.0076671365074611E-2</c:v>
                </c:pt>
                <c:pt idx="6">
                  <c:v>0.1001426153916518</c:v>
                </c:pt>
                <c:pt idx="7">
                  <c:v>0.1209278732011958</c:v>
                </c:pt>
                <c:pt idx="8">
                  <c:v>0.14924721525776796</c:v>
                </c:pt>
                <c:pt idx="9">
                  <c:v>0.17856860715072742</c:v>
                </c:pt>
                <c:pt idx="10">
                  <c:v>0.22211827514375881</c:v>
                </c:pt>
                <c:pt idx="11">
                  <c:v>0.26670325603828582</c:v>
                </c:pt>
                <c:pt idx="12">
                  <c:v>0.31439833352043811</c:v>
                </c:pt>
                <c:pt idx="13">
                  <c:v>0.42180061287197468</c:v>
                </c:pt>
                <c:pt idx="14">
                  <c:v>1</c:v>
                </c:pt>
              </c:numCache>
            </c:numRef>
          </c:xVal>
          <c:yVal>
            <c:numRef>
              <c:f>BARBACENA!$J$2:$J$16</c:f>
              <c:numCache>
                <c:formatCode>0.00</c:formatCode>
                <c:ptCount val="15"/>
                <c:pt idx="0">
                  <c:v>6.3075087211598834E-3</c:v>
                </c:pt>
                <c:pt idx="1">
                  <c:v>1.6677269268669935E-2</c:v>
                </c:pt>
                <c:pt idx="2">
                  <c:v>2.8597920226854104E-2</c:v>
                </c:pt>
                <c:pt idx="3">
                  <c:v>4.2651565235107505E-2</c:v>
                </c:pt>
                <c:pt idx="4">
                  <c:v>6.0883882797590091E-2</c:v>
                </c:pt>
                <c:pt idx="5">
                  <c:v>8.0076671365074611E-2</c:v>
                </c:pt>
                <c:pt idx="6">
                  <c:v>0.1001426153916518</c:v>
                </c:pt>
                <c:pt idx="7">
                  <c:v>0.1209278732011958</c:v>
                </c:pt>
                <c:pt idx="8">
                  <c:v>0.14924721525776796</c:v>
                </c:pt>
                <c:pt idx="9">
                  <c:v>0.17856860715072742</c:v>
                </c:pt>
                <c:pt idx="10">
                  <c:v>0.22211827514375881</c:v>
                </c:pt>
                <c:pt idx="11">
                  <c:v>0.26670325603828582</c:v>
                </c:pt>
                <c:pt idx="12">
                  <c:v>0.31439833352043811</c:v>
                </c:pt>
                <c:pt idx="13">
                  <c:v>0.42180061287197468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62-4947-B818-126BED97E2E0}"/>
            </c:ext>
          </c:extLst>
        </c:ser>
        <c:ser>
          <c:idx val="1"/>
          <c:order val="1"/>
          <c:tx>
            <c:strRef>
              <c:f>BARBACENA!$N$1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BARBACENA!$I$2:$I$16</c:f>
              <c:numCache>
                <c:formatCode>0.00</c:formatCode>
                <c:ptCount val="15"/>
                <c:pt idx="0">
                  <c:v>6.3075087211598834E-3</c:v>
                </c:pt>
                <c:pt idx="1">
                  <c:v>1.6677269268669935E-2</c:v>
                </c:pt>
                <c:pt idx="2">
                  <c:v>2.8597920226854104E-2</c:v>
                </c:pt>
                <c:pt idx="3">
                  <c:v>4.2651565235107505E-2</c:v>
                </c:pt>
                <c:pt idx="4">
                  <c:v>6.0883882797590091E-2</c:v>
                </c:pt>
                <c:pt idx="5">
                  <c:v>8.0076671365074611E-2</c:v>
                </c:pt>
                <c:pt idx="6">
                  <c:v>0.1001426153916518</c:v>
                </c:pt>
                <c:pt idx="7">
                  <c:v>0.1209278732011958</c:v>
                </c:pt>
                <c:pt idx="8">
                  <c:v>0.14924721525776796</c:v>
                </c:pt>
                <c:pt idx="9">
                  <c:v>0.17856860715072742</c:v>
                </c:pt>
                <c:pt idx="10">
                  <c:v>0.22211827514375881</c:v>
                </c:pt>
                <c:pt idx="11">
                  <c:v>0.26670325603828582</c:v>
                </c:pt>
                <c:pt idx="12">
                  <c:v>0.31439833352043811</c:v>
                </c:pt>
                <c:pt idx="13">
                  <c:v>0.42180061287197468</c:v>
                </c:pt>
                <c:pt idx="14">
                  <c:v>1</c:v>
                </c:pt>
              </c:numCache>
            </c:numRef>
          </c:xVal>
          <c:yVal>
            <c:numRef>
              <c:f>BARBACENA!$N$2:$N$16</c:f>
              <c:numCache>
                <c:formatCode>0.00</c:formatCode>
                <c:ptCount val="15"/>
                <c:pt idx="0">
                  <c:v>1.5936254980079681E-2</c:v>
                </c:pt>
                <c:pt idx="1">
                  <c:v>2.2620746958689306E-2</c:v>
                </c:pt>
                <c:pt idx="2">
                  <c:v>2.930523893729893E-2</c:v>
                </c:pt>
                <c:pt idx="3">
                  <c:v>4.1337324498796256E-2</c:v>
                </c:pt>
                <c:pt idx="4">
                  <c:v>5.8717003643181283E-2</c:v>
                </c:pt>
                <c:pt idx="5">
                  <c:v>7.3422885996122456E-2</c:v>
                </c:pt>
                <c:pt idx="6">
                  <c:v>9.0802565140507482E-2</c:v>
                </c:pt>
                <c:pt idx="7">
                  <c:v>0.12021432984638983</c:v>
                </c:pt>
                <c:pt idx="8">
                  <c:v>0.13893090738649677</c:v>
                </c:pt>
                <c:pt idx="9">
                  <c:v>0.16299507850949141</c:v>
                </c:pt>
                <c:pt idx="10">
                  <c:v>0.2472196774399727</c:v>
                </c:pt>
                <c:pt idx="11">
                  <c:v>0.2940111212902401</c:v>
                </c:pt>
                <c:pt idx="12">
                  <c:v>0.34481326032767323</c:v>
                </c:pt>
                <c:pt idx="13">
                  <c:v>0.46780791273409034</c:v>
                </c:pt>
                <c:pt idx="14">
                  <c:v>1.0039041694185824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62-4947-B818-126BED97E2E0}"/>
            </c:ext>
          </c:extLst>
        </c:ser>
        <c:ser>
          <c:idx val="2"/>
          <c:order val="2"/>
          <c:tx>
            <c:strRef>
              <c:f>BARBACENA!$O$1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BARBACENA!$I$2:$I$16</c:f>
              <c:numCache>
                <c:formatCode>0.00</c:formatCode>
                <c:ptCount val="15"/>
                <c:pt idx="0">
                  <c:v>6.3075087211598834E-3</c:v>
                </c:pt>
                <c:pt idx="1">
                  <c:v>1.6677269268669935E-2</c:v>
                </c:pt>
                <c:pt idx="2">
                  <c:v>2.8597920226854104E-2</c:v>
                </c:pt>
                <c:pt idx="3">
                  <c:v>4.2651565235107505E-2</c:v>
                </c:pt>
                <c:pt idx="4">
                  <c:v>6.0883882797590091E-2</c:v>
                </c:pt>
                <c:pt idx="5">
                  <c:v>8.0076671365074611E-2</c:v>
                </c:pt>
                <c:pt idx="6">
                  <c:v>0.1001426153916518</c:v>
                </c:pt>
                <c:pt idx="7">
                  <c:v>0.1209278732011958</c:v>
                </c:pt>
                <c:pt idx="8">
                  <c:v>0.14924721525776796</c:v>
                </c:pt>
                <c:pt idx="9">
                  <c:v>0.17856860715072742</c:v>
                </c:pt>
                <c:pt idx="10">
                  <c:v>0.22211827514375881</c:v>
                </c:pt>
                <c:pt idx="11">
                  <c:v>0.26670325603828582</c:v>
                </c:pt>
                <c:pt idx="12">
                  <c:v>0.31439833352043811</c:v>
                </c:pt>
                <c:pt idx="13">
                  <c:v>0.42180061287197468</c:v>
                </c:pt>
                <c:pt idx="14">
                  <c:v>1</c:v>
                </c:pt>
              </c:numCache>
            </c:numRef>
          </c:xVal>
          <c:yVal>
            <c:numRef>
              <c:f>BARBACENA!$O$2:$O$16</c:f>
              <c:numCache>
                <c:formatCode>0.00</c:formatCode>
                <c:ptCount val="15"/>
                <c:pt idx="0">
                  <c:v>9.2879256965944269E-3</c:v>
                </c:pt>
                <c:pt idx="1">
                  <c:v>1.7271957632722171E-2</c:v>
                </c:pt>
                <c:pt idx="2">
                  <c:v>2.5255989568849915E-2</c:v>
                </c:pt>
                <c:pt idx="3">
                  <c:v>3.3240021504977658E-2</c:v>
                </c:pt>
                <c:pt idx="4">
                  <c:v>5.7192117313360893E-2</c:v>
                </c:pt>
                <c:pt idx="5">
                  <c:v>6.7172157233520574E-2</c:v>
                </c:pt>
                <c:pt idx="6">
                  <c:v>8.5136229089808002E-2</c:v>
                </c:pt>
                <c:pt idx="7">
                  <c:v>0.12904840473851059</c:v>
                </c:pt>
                <c:pt idx="8">
                  <c:v>0.17096457240318125</c:v>
                </c:pt>
                <c:pt idx="9">
                  <c:v>0.21088473208381997</c:v>
                </c:pt>
                <c:pt idx="10">
                  <c:v>0.29671307539719322</c:v>
                </c:pt>
                <c:pt idx="11">
                  <c:v>0.38653343467863033</c:v>
                </c:pt>
                <c:pt idx="12">
                  <c:v>0.41647355443910938</c:v>
                </c:pt>
                <c:pt idx="13">
                  <c:v>0.55220209735328107</c:v>
                </c:pt>
                <c:pt idx="14">
                  <c:v>0.99531586980837083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662-4947-B818-126BED97E2E0}"/>
            </c:ext>
          </c:extLst>
        </c:ser>
        <c:ser>
          <c:idx val="3"/>
          <c:order val="3"/>
          <c:tx>
            <c:strRef>
              <c:f>BARBACENA!$P$1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BARBACENA!$I$2:$I$16</c:f>
              <c:numCache>
                <c:formatCode>0.00</c:formatCode>
                <c:ptCount val="15"/>
                <c:pt idx="0">
                  <c:v>6.3075087211598834E-3</c:v>
                </c:pt>
                <c:pt idx="1">
                  <c:v>1.6677269268669935E-2</c:v>
                </c:pt>
                <c:pt idx="2">
                  <c:v>2.8597920226854104E-2</c:v>
                </c:pt>
                <c:pt idx="3">
                  <c:v>4.2651565235107505E-2</c:v>
                </c:pt>
                <c:pt idx="4">
                  <c:v>6.0883882797590091E-2</c:v>
                </c:pt>
                <c:pt idx="5">
                  <c:v>8.0076671365074611E-2</c:v>
                </c:pt>
                <c:pt idx="6">
                  <c:v>0.1001426153916518</c:v>
                </c:pt>
                <c:pt idx="7">
                  <c:v>0.1209278732011958</c:v>
                </c:pt>
                <c:pt idx="8">
                  <c:v>0.14924721525776796</c:v>
                </c:pt>
                <c:pt idx="9">
                  <c:v>0.17856860715072742</c:v>
                </c:pt>
                <c:pt idx="10">
                  <c:v>0.22211827514375881</c:v>
                </c:pt>
                <c:pt idx="11">
                  <c:v>0.26670325603828582</c:v>
                </c:pt>
                <c:pt idx="12">
                  <c:v>0.31439833352043811</c:v>
                </c:pt>
                <c:pt idx="13">
                  <c:v>0.42180061287197468</c:v>
                </c:pt>
                <c:pt idx="14">
                  <c:v>1</c:v>
                </c:pt>
              </c:numCache>
            </c:numRef>
          </c:xVal>
          <c:yVal>
            <c:numRef>
              <c:f>BARBACENA!$P$2:$P$16</c:f>
              <c:numCache>
                <c:formatCode>0.00</c:formatCode>
                <c:ptCount val="15"/>
                <c:pt idx="0">
                  <c:v>2.7607361963190184E-2</c:v>
                </c:pt>
                <c:pt idx="1">
                  <c:v>3.4801606567506735E-2</c:v>
                </c:pt>
                <c:pt idx="2">
                  <c:v>4.9190095776139829E-2</c:v>
                </c:pt>
                <c:pt idx="3">
                  <c:v>7.0772829589089467E-2</c:v>
                </c:pt>
                <c:pt idx="4">
                  <c:v>9.5952685704197377E-2</c:v>
                </c:pt>
                <c:pt idx="5">
                  <c:v>0.11034117491283046</c:v>
                </c:pt>
                <c:pt idx="6">
                  <c:v>0.11393829721498874</c:v>
                </c:pt>
                <c:pt idx="7">
                  <c:v>0.1750893763516794</c:v>
                </c:pt>
                <c:pt idx="8">
                  <c:v>0.22544908858189522</c:v>
                </c:pt>
                <c:pt idx="9">
                  <c:v>0.23983757779052831</c:v>
                </c:pt>
                <c:pt idx="10">
                  <c:v>0.31537714613585205</c:v>
                </c:pt>
                <c:pt idx="11">
                  <c:v>0.40530520368980888</c:v>
                </c:pt>
                <c:pt idx="12">
                  <c:v>0.47365052743081609</c:v>
                </c:pt>
                <c:pt idx="13">
                  <c:v>0.62832678642362183</c:v>
                </c:pt>
                <c:pt idx="14">
                  <c:v>1.0096217504523988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662-4947-B818-126BED97E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8049408"/>
        <c:axId val="1898050368"/>
      </c:scatterChart>
      <c:valAx>
        <c:axId val="189804940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8050368"/>
        <c:crosses val="autoZero"/>
        <c:crossBetween val="midCat"/>
      </c:valAx>
      <c:valAx>
        <c:axId val="189805036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8049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BARBACENA!$J$1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BARBACENA!$I$2:$I$16</c:f>
              <c:numCache>
                <c:formatCode>0.00</c:formatCode>
                <c:ptCount val="15"/>
                <c:pt idx="0">
                  <c:v>6.3075087211598834E-3</c:v>
                </c:pt>
                <c:pt idx="1">
                  <c:v>1.6677269268669935E-2</c:v>
                </c:pt>
                <c:pt idx="2">
                  <c:v>2.8597920226854104E-2</c:v>
                </c:pt>
                <c:pt idx="3">
                  <c:v>4.2651565235107505E-2</c:v>
                </c:pt>
                <c:pt idx="4">
                  <c:v>6.0883882797590091E-2</c:v>
                </c:pt>
                <c:pt idx="5">
                  <c:v>8.0076671365074611E-2</c:v>
                </c:pt>
                <c:pt idx="6">
                  <c:v>0.1001426153916518</c:v>
                </c:pt>
                <c:pt idx="7">
                  <c:v>0.1209278732011958</c:v>
                </c:pt>
                <c:pt idx="8">
                  <c:v>0.14924721525776796</c:v>
                </c:pt>
                <c:pt idx="9">
                  <c:v>0.17856860715072742</c:v>
                </c:pt>
                <c:pt idx="10">
                  <c:v>0.22211827514375881</c:v>
                </c:pt>
                <c:pt idx="11">
                  <c:v>0.26670325603828582</c:v>
                </c:pt>
                <c:pt idx="12">
                  <c:v>0.31439833352043811</c:v>
                </c:pt>
                <c:pt idx="13">
                  <c:v>0.42180061287197468</c:v>
                </c:pt>
                <c:pt idx="14">
                  <c:v>1</c:v>
                </c:pt>
              </c:numCache>
            </c:numRef>
          </c:xVal>
          <c:yVal>
            <c:numRef>
              <c:f>BARBACENA!$J$2:$J$16</c:f>
              <c:numCache>
                <c:formatCode>0.00</c:formatCode>
                <c:ptCount val="15"/>
                <c:pt idx="0">
                  <c:v>6.3075087211598834E-3</c:v>
                </c:pt>
                <c:pt idx="1">
                  <c:v>1.6677269268669935E-2</c:v>
                </c:pt>
                <c:pt idx="2">
                  <c:v>2.8597920226854104E-2</c:v>
                </c:pt>
                <c:pt idx="3">
                  <c:v>4.2651565235107505E-2</c:v>
                </c:pt>
                <c:pt idx="4">
                  <c:v>6.0883882797590091E-2</c:v>
                </c:pt>
                <c:pt idx="5">
                  <c:v>8.0076671365074611E-2</c:v>
                </c:pt>
                <c:pt idx="6">
                  <c:v>0.1001426153916518</c:v>
                </c:pt>
                <c:pt idx="7">
                  <c:v>0.1209278732011958</c:v>
                </c:pt>
                <c:pt idx="8">
                  <c:v>0.14924721525776796</c:v>
                </c:pt>
                <c:pt idx="9">
                  <c:v>0.17856860715072742</c:v>
                </c:pt>
                <c:pt idx="10">
                  <c:v>0.22211827514375881</c:v>
                </c:pt>
                <c:pt idx="11">
                  <c:v>0.26670325603828582</c:v>
                </c:pt>
                <c:pt idx="12">
                  <c:v>0.31439833352043811</c:v>
                </c:pt>
                <c:pt idx="13">
                  <c:v>0.42180061287197468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77-4196-9CF3-89E0D187E309}"/>
            </c:ext>
          </c:extLst>
        </c:ser>
        <c:ser>
          <c:idx val="1"/>
          <c:order val="1"/>
          <c:tx>
            <c:strRef>
              <c:f>BARBACENA!$K$1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BARBACENA!$I$2:$I$16</c:f>
              <c:numCache>
                <c:formatCode>0.00</c:formatCode>
                <c:ptCount val="15"/>
                <c:pt idx="0">
                  <c:v>6.3075087211598834E-3</c:v>
                </c:pt>
                <c:pt idx="1">
                  <c:v>1.6677269268669935E-2</c:v>
                </c:pt>
                <c:pt idx="2">
                  <c:v>2.8597920226854104E-2</c:v>
                </c:pt>
                <c:pt idx="3">
                  <c:v>4.2651565235107505E-2</c:v>
                </c:pt>
                <c:pt idx="4">
                  <c:v>6.0883882797590091E-2</c:v>
                </c:pt>
                <c:pt idx="5">
                  <c:v>8.0076671365074611E-2</c:v>
                </c:pt>
                <c:pt idx="6">
                  <c:v>0.1001426153916518</c:v>
                </c:pt>
                <c:pt idx="7">
                  <c:v>0.1209278732011958</c:v>
                </c:pt>
                <c:pt idx="8">
                  <c:v>0.14924721525776796</c:v>
                </c:pt>
                <c:pt idx="9">
                  <c:v>0.17856860715072742</c:v>
                </c:pt>
                <c:pt idx="10">
                  <c:v>0.22211827514375881</c:v>
                </c:pt>
                <c:pt idx="11">
                  <c:v>0.26670325603828582</c:v>
                </c:pt>
                <c:pt idx="12">
                  <c:v>0.31439833352043811</c:v>
                </c:pt>
                <c:pt idx="13">
                  <c:v>0.42180061287197468</c:v>
                </c:pt>
                <c:pt idx="14">
                  <c:v>1</c:v>
                </c:pt>
              </c:numCache>
            </c:numRef>
          </c:xVal>
          <c:yVal>
            <c:numRef>
              <c:f>BARBACENA!$K$2:$K$16</c:f>
              <c:numCache>
                <c:formatCode>0.00</c:formatCode>
                <c:ptCount val="15"/>
                <c:pt idx="0">
                  <c:v>6.41025641025641E-3</c:v>
                </c:pt>
                <c:pt idx="1">
                  <c:v>1.7094017094017096E-2</c:v>
                </c:pt>
                <c:pt idx="2">
                  <c:v>4.7008547008547008E-2</c:v>
                </c:pt>
                <c:pt idx="3">
                  <c:v>6.8376068376068383E-2</c:v>
                </c:pt>
                <c:pt idx="4">
                  <c:v>9.4017094017094016E-2</c:v>
                </c:pt>
                <c:pt idx="5">
                  <c:v>0.11752136752136752</c:v>
                </c:pt>
                <c:pt idx="6">
                  <c:v>0.1388888888888889</c:v>
                </c:pt>
                <c:pt idx="7">
                  <c:v>0.18376068376068377</c:v>
                </c:pt>
                <c:pt idx="8">
                  <c:v>0.20512820512820515</c:v>
                </c:pt>
                <c:pt idx="9">
                  <c:v>0.26923076923076927</c:v>
                </c:pt>
                <c:pt idx="10">
                  <c:v>0.32264957264957267</c:v>
                </c:pt>
                <c:pt idx="11">
                  <c:v>0.36965811965811968</c:v>
                </c:pt>
                <c:pt idx="12">
                  <c:v>0.42521367521367526</c:v>
                </c:pt>
                <c:pt idx="13">
                  <c:v>0.59188034188034189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677-4196-9CF3-89E0D187E309}"/>
            </c:ext>
          </c:extLst>
        </c:ser>
        <c:ser>
          <c:idx val="2"/>
          <c:order val="2"/>
          <c:tx>
            <c:strRef>
              <c:f>BARBACENA!$L$1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BARBACENA!$I$2:$I$16</c:f>
              <c:numCache>
                <c:formatCode>0.00</c:formatCode>
                <c:ptCount val="15"/>
                <c:pt idx="0">
                  <c:v>6.3075087211598834E-3</c:v>
                </c:pt>
                <c:pt idx="1">
                  <c:v>1.6677269268669935E-2</c:v>
                </c:pt>
                <c:pt idx="2">
                  <c:v>2.8597920226854104E-2</c:v>
                </c:pt>
                <c:pt idx="3">
                  <c:v>4.2651565235107505E-2</c:v>
                </c:pt>
                <c:pt idx="4">
                  <c:v>6.0883882797590091E-2</c:v>
                </c:pt>
                <c:pt idx="5">
                  <c:v>8.0076671365074611E-2</c:v>
                </c:pt>
                <c:pt idx="6">
                  <c:v>0.1001426153916518</c:v>
                </c:pt>
                <c:pt idx="7">
                  <c:v>0.1209278732011958</c:v>
                </c:pt>
                <c:pt idx="8">
                  <c:v>0.14924721525776796</c:v>
                </c:pt>
                <c:pt idx="9">
                  <c:v>0.17856860715072742</c:v>
                </c:pt>
                <c:pt idx="10">
                  <c:v>0.22211827514375881</c:v>
                </c:pt>
                <c:pt idx="11">
                  <c:v>0.26670325603828582</c:v>
                </c:pt>
                <c:pt idx="12">
                  <c:v>0.31439833352043811</c:v>
                </c:pt>
                <c:pt idx="13">
                  <c:v>0.42180061287197468</c:v>
                </c:pt>
                <c:pt idx="14">
                  <c:v>1</c:v>
                </c:pt>
              </c:numCache>
            </c:numRef>
          </c:xVal>
          <c:yVal>
            <c:numRef>
              <c:f>BARBACENA!$L$2:$L$16</c:f>
              <c:numCache>
                <c:formatCode>0.00</c:formatCode>
                <c:ptCount val="15"/>
                <c:pt idx="0">
                  <c:v>2.0547945205479451E-2</c:v>
                </c:pt>
                <c:pt idx="1">
                  <c:v>2.0547945205479451E-2</c:v>
                </c:pt>
                <c:pt idx="2">
                  <c:v>4.7945205479452052E-2</c:v>
                </c:pt>
                <c:pt idx="3">
                  <c:v>7.5342465753424653E-2</c:v>
                </c:pt>
                <c:pt idx="4">
                  <c:v>8.9041095890410954E-2</c:v>
                </c:pt>
                <c:pt idx="5">
                  <c:v>0.11643835616438356</c:v>
                </c:pt>
                <c:pt idx="6">
                  <c:v>0.13698630136986301</c:v>
                </c:pt>
                <c:pt idx="7">
                  <c:v>0.17123287671232876</c:v>
                </c:pt>
                <c:pt idx="8">
                  <c:v>0.19178082191780821</c:v>
                </c:pt>
                <c:pt idx="9">
                  <c:v>0.21917808219178081</c:v>
                </c:pt>
                <c:pt idx="10">
                  <c:v>0.23972602739726026</c:v>
                </c:pt>
                <c:pt idx="11">
                  <c:v>0.27397260273972601</c:v>
                </c:pt>
                <c:pt idx="12">
                  <c:v>0.28767123287671231</c:v>
                </c:pt>
                <c:pt idx="13">
                  <c:v>0.6095890410958904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677-4196-9CF3-89E0D187E309}"/>
            </c:ext>
          </c:extLst>
        </c:ser>
        <c:ser>
          <c:idx val="3"/>
          <c:order val="3"/>
          <c:tx>
            <c:strRef>
              <c:f>BARBACENA!$M$1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BARBACENA!$I$2:$I$16</c:f>
              <c:numCache>
                <c:formatCode>0.00</c:formatCode>
                <c:ptCount val="15"/>
                <c:pt idx="0">
                  <c:v>6.3075087211598834E-3</c:v>
                </c:pt>
                <c:pt idx="1">
                  <c:v>1.6677269268669935E-2</c:v>
                </c:pt>
                <c:pt idx="2">
                  <c:v>2.8597920226854104E-2</c:v>
                </c:pt>
                <c:pt idx="3">
                  <c:v>4.2651565235107505E-2</c:v>
                </c:pt>
                <c:pt idx="4">
                  <c:v>6.0883882797590091E-2</c:v>
                </c:pt>
                <c:pt idx="5">
                  <c:v>8.0076671365074611E-2</c:v>
                </c:pt>
                <c:pt idx="6">
                  <c:v>0.1001426153916518</c:v>
                </c:pt>
                <c:pt idx="7">
                  <c:v>0.1209278732011958</c:v>
                </c:pt>
                <c:pt idx="8">
                  <c:v>0.14924721525776796</c:v>
                </c:pt>
                <c:pt idx="9">
                  <c:v>0.17856860715072742</c:v>
                </c:pt>
                <c:pt idx="10">
                  <c:v>0.22211827514375881</c:v>
                </c:pt>
                <c:pt idx="11">
                  <c:v>0.26670325603828582</c:v>
                </c:pt>
                <c:pt idx="12">
                  <c:v>0.31439833352043811</c:v>
                </c:pt>
                <c:pt idx="13">
                  <c:v>0.42180061287197468</c:v>
                </c:pt>
                <c:pt idx="14">
                  <c:v>1</c:v>
                </c:pt>
              </c:numCache>
            </c:numRef>
          </c:xVal>
          <c:yVal>
            <c:numRef>
              <c:f>BARBACENA!$M$2:$M$16</c:f>
              <c:numCache>
                <c:formatCode>0.00</c:formatCode>
                <c:ptCount val="15"/>
                <c:pt idx="0">
                  <c:v>2.1806853582554516E-2</c:v>
                </c:pt>
                <c:pt idx="1">
                  <c:v>2.6637771456950652E-2</c:v>
                </c:pt>
                <c:pt idx="2">
                  <c:v>2.6637771456950652E-2</c:v>
                </c:pt>
                <c:pt idx="3">
                  <c:v>5.0792360828931328E-2</c:v>
                </c:pt>
                <c:pt idx="4">
                  <c:v>8.4608785949704279E-2</c:v>
                </c:pt>
                <c:pt idx="5">
                  <c:v>0.10876337532168495</c:v>
                </c:pt>
                <c:pt idx="6">
                  <c:v>0.11359429319608108</c:v>
                </c:pt>
                <c:pt idx="7">
                  <c:v>0.12325612894487335</c:v>
                </c:pt>
                <c:pt idx="8">
                  <c:v>0.12325612894487335</c:v>
                </c:pt>
                <c:pt idx="9">
                  <c:v>0.13291796469366562</c:v>
                </c:pt>
                <c:pt idx="10">
                  <c:v>0.16190347194004243</c:v>
                </c:pt>
                <c:pt idx="11">
                  <c:v>0.1860580613120231</c:v>
                </c:pt>
                <c:pt idx="12">
                  <c:v>0.20538173280960764</c:v>
                </c:pt>
                <c:pt idx="13">
                  <c:v>0.42760395503182985</c:v>
                </c:pt>
                <c:pt idx="14">
                  <c:v>1.0218068535825544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677-4196-9CF3-89E0D187E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7981248"/>
        <c:axId val="1897989408"/>
      </c:scatterChart>
      <c:valAx>
        <c:axId val="189798124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7989408"/>
        <c:crosses val="autoZero"/>
        <c:crossBetween val="midCat"/>
      </c:valAx>
      <c:valAx>
        <c:axId val="18979894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798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CONGONHAS!$J$1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CONGONHAS!$I$2:$I$7</c:f>
              <c:numCache>
                <c:formatCode>0.00</c:formatCode>
                <c:ptCount val="6"/>
                <c:pt idx="0">
                  <c:v>2.9604617377988928E-2</c:v>
                </c:pt>
                <c:pt idx="1">
                  <c:v>6.7258235501982802E-2</c:v>
                </c:pt>
                <c:pt idx="2">
                  <c:v>0.12431583493658957</c:v>
                </c:pt>
                <c:pt idx="3">
                  <c:v>0.24570261886999881</c:v>
                </c:pt>
                <c:pt idx="4">
                  <c:v>0.56153755545957829</c:v>
                </c:pt>
                <c:pt idx="5">
                  <c:v>1</c:v>
                </c:pt>
              </c:numCache>
            </c:numRef>
          </c:xVal>
          <c:yVal>
            <c:numRef>
              <c:f>CONGONHAS!$J$2:$J$7</c:f>
              <c:numCache>
                <c:formatCode>0.00</c:formatCode>
                <c:ptCount val="6"/>
                <c:pt idx="0">
                  <c:v>2.9604617377988928E-2</c:v>
                </c:pt>
                <c:pt idx="1">
                  <c:v>6.7258235501982802E-2</c:v>
                </c:pt>
                <c:pt idx="2">
                  <c:v>0.12431583493658957</c:v>
                </c:pt>
                <c:pt idx="3">
                  <c:v>0.24570261886999881</c:v>
                </c:pt>
                <c:pt idx="4">
                  <c:v>0.56153755545957829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B2-44FD-8F7C-943E4E443FE3}"/>
            </c:ext>
          </c:extLst>
        </c:ser>
        <c:ser>
          <c:idx val="1"/>
          <c:order val="1"/>
          <c:tx>
            <c:strRef>
              <c:f>CONGONHAS!$K$1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CONGONHAS!$I$2:$I$7</c:f>
              <c:numCache>
                <c:formatCode>0.00</c:formatCode>
                <c:ptCount val="6"/>
                <c:pt idx="0">
                  <c:v>2.9604617377988928E-2</c:v>
                </c:pt>
                <c:pt idx="1">
                  <c:v>6.7258235501982802E-2</c:v>
                </c:pt>
                <c:pt idx="2">
                  <c:v>0.12431583493658957</c:v>
                </c:pt>
                <c:pt idx="3">
                  <c:v>0.24570261886999881</c:v>
                </c:pt>
                <c:pt idx="4">
                  <c:v>0.56153755545957829</c:v>
                </c:pt>
                <c:pt idx="5">
                  <c:v>1</c:v>
                </c:pt>
              </c:numCache>
            </c:numRef>
          </c:xVal>
          <c:yVal>
            <c:numRef>
              <c:f>CONGONHAS!$K$2:$K$7</c:f>
              <c:numCache>
                <c:formatCode>0.00</c:formatCode>
                <c:ptCount val="6"/>
                <c:pt idx="0">
                  <c:v>1.2987012987012988E-2</c:v>
                </c:pt>
                <c:pt idx="1">
                  <c:v>3.896103896103896E-2</c:v>
                </c:pt>
                <c:pt idx="2">
                  <c:v>0.10064935064935066</c:v>
                </c:pt>
                <c:pt idx="3">
                  <c:v>0.19480519480519481</c:v>
                </c:pt>
                <c:pt idx="4">
                  <c:v>0.36688311688311692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B2-44FD-8F7C-943E4E443FE3}"/>
            </c:ext>
          </c:extLst>
        </c:ser>
        <c:ser>
          <c:idx val="2"/>
          <c:order val="2"/>
          <c:tx>
            <c:strRef>
              <c:f>CONGONHAS!$L$1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CONGONHAS!$I$2:$I$7</c:f>
              <c:numCache>
                <c:formatCode>0.00</c:formatCode>
                <c:ptCount val="6"/>
                <c:pt idx="0">
                  <c:v>2.9604617377988928E-2</c:v>
                </c:pt>
                <c:pt idx="1">
                  <c:v>6.7258235501982802E-2</c:v>
                </c:pt>
                <c:pt idx="2">
                  <c:v>0.12431583493658957</c:v>
                </c:pt>
                <c:pt idx="3">
                  <c:v>0.24570261886999881</c:v>
                </c:pt>
                <c:pt idx="4">
                  <c:v>0.56153755545957829</c:v>
                </c:pt>
                <c:pt idx="5">
                  <c:v>1</c:v>
                </c:pt>
              </c:numCache>
            </c:numRef>
          </c:xVal>
          <c:yVal>
            <c:numRef>
              <c:f>CONGONHAS!$L$2:$L$7</c:f>
              <c:numCache>
                <c:formatCode>0.00</c:formatCode>
                <c:ptCount val="6"/>
                <c:pt idx="0">
                  <c:v>1.1363636363636364E-2</c:v>
                </c:pt>
                <c:pt idx="1">
                  <c:v>2.8409090909090908E-2</c:v>
                </c:pt>
                <c:pt idx="2">
                  <c:v>5.6818181818181816E-2</c:v>
                </c:pt>
                <c:pt idx="3">
                  <c:v>0.19886363636363638</c:v>
                </c:pt>
                <c:pt idx="4">
                  <c:v>0.34090909090909094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CB2-44FD-8F7C-943E4E443FE3}"/>
            </c:ext>
          </c:extLst>
        </c:ser>
        <c:ser>
          <c:idx val="3"/>
          <c:order val="3"/>
          <c:tx>
            <c:strRef>
              <c:f>CONGONHAS!$M$1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CONGONHAS!$I$2:$I$7</c:f>
              <c:numCache>
                <c:formatCode>0.00</c:formatCode>
                <c:ptCount val="6"/>
                <c:pt idx="0">
                  <c:v>2.9604617377988928E-2</c:v>
                </c:pt>
                <c:pt idx="1">
                  <c:v>6.7258235501982802E-2</c:v>
                </c:pt>
                <c:pt idx="2">
                  <c:v>0.12431583493658957</c:v>
                </c:pt>
                <c:pt idx="3">
                  <c:v>0.24570261886999881</c:v>
                </c:pt>
                <c:pt idx="4">
                  <c:v>0.56153755545957829</c:v>
                </c:pt>
                <c:pt idx="5">
                  <c:v>1</c:v>
                </c:pt>
              </c:numCache>
            </c:numRef>
          </c:xVal>
          <c:yVal>
            <c:numRef>
              <c:f>CONGONHAS!$M$2:$M$7</c:f>
              <c:numCache>
                <c:formatCode>0.00</c:formatCode>
                <c:ptCount val="6"/>
                <c:pt idx="0">
                  <c:v>1.3157894736842105E-2</c:v>
                </c:pt>
                <c:pt idx="1">
                  <c:v>3.2894736842105261E-2</c:v>
                </c:pt>
                <c:pt idx="2">
                  <c:v>0.13815789473684209</c:v>
                </c:pt>
                <c:pt idx="3">
                  <c:v>0.42763157894736842</c:v>
                </c:pt>
                <c:pt idx="4">
                  <c:v>0.48684210526315791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CB2-44FD-8F7C-943E4E443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5218992"/>
        <c:axId val="1745218512"/>
      </c:scatterChart>
      <c:valAx>
        <c:axId val="174521899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5218512"/>
        <c:crosses val="autoZero"/>
        <c:crossBetween val="midCat"/>
      </c:valAx>
      <c:valAx>
        <c:axId val="17452185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5218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CONGONHAS!$J$1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CONGONHAS!$I$2:$I$7</c:f>
              <c:numCache>
                <c:formatCode>0.00</c:formatCode>
                <c:ptCount val="6"/>
                <c:pt idx="0">
                  <c:v>2.9604617377988928E-2</c:v>
                </c:pt>
                <c:pt idx="1">
                  <c:v>6.7258235501982802E-2</c:v>
                </c:pt>
                <c:pt idx="2">
                  <c:v>0.12431583493658957</c:v>
                </c:pt>
                <c:pt idx="3">
                  <c:v>0.24570261886999881</c:v>
                </c:pt>
                <c:pt idx="4">
                  <c:v>0.56153755545957829</c:v>
                </c:pt>
                <c:pt idx="5">
                  <c:v>1</c:v>
                </c:pt>
              </c:numCache>
            </c:numRef>
          </c:xVal>
          <c:yVal>
            <c:numRef>
              <c:f>CONGONHAS!$J$2:$J$7</c:f>
              <c:numCache>
                <c:formatCode>0.00</c:formatCode>
                <c:ptCount val="6"/>
                <c:pt idx="0">
                  <c:v>2.9604617377988928E-2</c:v>
                </c:pt>
                <c:pt idx="1">
                  <c:v>6.7258235501982802E-2</c:v>
                </c:pt>
                <c:pt idx="2">
                  <c:v>0.12431583493658957</c:v>
                </c:pt>
                <c:pt idx="3">
                  <c:v>0.24570261886999881</c:v>
                </c:pt>
                <c:pt idx="4">
                  <c:v>0.56153755545957829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D6-4ACD-B2FC-F3D5F04989F7}"/>
            </c:ext>
          </c:extLst>
        </c:ser>
        <c:ser>
          <c:idx val="1"/>
          <c:order val="1"/>
          <c:tx>
            <c:strRef>
              <c:f>CONGONHAS!$N$1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CONGONHAS!$I$2:$I$7</c:f>
              <c:numCache>
                <c:formatCode>0.00</c:formatCode>
                <c:ptCount val="6"/>
                <c:pt idx="0">
                  <c:v>2.9604617377988928E-2</c:v>
                </c:pt>
                <c:pt idx="1">
                  <c:v>6.7258235501982802E-2</c:v>
                </c:pt>
                <c:pt idx="2">
                  <c:v>0.12431583493658957</c:v>
                </c:pt>
                <c:pt idx="3">
                  <c:v>0.24570261886999881</c:v>
                </c:pt>
                <c:pt idx="4">
                  <c:v>0.56153755545957829</c:v>
                </c:pt>
                <c:pt idx="5">
                  <c:v>1</c:v>
                </c:pt>
              </c:numCache>
            </c:numRef>
          </c:xVal>
          <c:yVal>
            <c:numRef>
              <c:f>CONGONHAS!$N$2:$N$7</c:f>
              <c:numCache>
                <c:formatCode>0.00</c:formatCode>
                <c:ptCount val="6"/>
                <c:pt idx="0">
                  <c:v>1.5444015444015444E-2</c:v>
                </c:pt>
                <c:pt idx="1">
                  <c:v>8.4942084942084939E-2</c:v>
                </c:pt>
                <c:pt idx="2">
                  <c:v>0.20463320463320461</c:v>
                </c:pt>
                <c:pt idx="3">
                  <c:v>0.26447876447876445</c:v>
                </c:pt>
                <c:pt idx="4">
                  <c:v>0.48455598455598453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D6-4ACD-B2FC-F3D5F04989F7}"/>
            </c:ext>
          </c:extLst>
        </c:ser>
        <c:ser>
          <c:idx val="2"/>
          <c:order val="2"/>
          <c:tx>
            <c:strRef>
              <c:f>CONGONHAS!$O$1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CONGONHAS!$I$2:$I$7</c:f>
              <c:numCache>
                <c:formatCode>0.00</c:formatCode>
                <c:ptCount val="6"/>
                <c:pt idx="0">
                  <c:v>2.9604617377988928E-2</c:v>
                </c:pt>
                <c:pt idx="1">
                  <c:v>6.7258235501982802E-2</c:v>
                </c:pt>
                <c:pt idx="2">
                  <c:v>0.12431583493658957</c:v>
                </c:pt>
                <c:pt idx="3">
                  <c:v>0.24570261886999881</c:v>
                </c:pt>
                <c:pt idx="4">
                  <c:v>0.56153755545957829</c:v>
                </c:pt>
                <c:pt idx="5">
                  <c:v>1</c:v>
                </c:pt>
              </c:numCache>
            </c:numRef>
          </c:xVal>
          <c:yVal>
            <c:numRef>
              <c:f>CONGONHAS!$O$2:$O$7</c:f>
              <c:numCache>
                <c:formatCode>0.00</c:formatCode>
                <c:ptCount val="6"/>
                <c:pt idx="0">
                  <c:v>4.9833887043189369E-2</c:v>
                </c:pt>
                <c:pt idx="1">
                  <c:v>0.11960132890365449</c:v>
                </c:pt>
                <c:pt idx="2">
                  <c:v>0.23588039867109634</c:v>
                </c:pt>
                <c:pt idx="3">
                  <c:v>0.34883720930232559</c:v>
                </c:pt>
                <c:pt idx="4">
                  <c:v>0.6013289036544851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0D6-4ACD-B2FC-F3D5F04989F7}"/>
            </c:ext>
          </c:extLst>
        </c:ser>
        <c:ser>
          <c:idx val="3"/>
          <c:order val="3"/>
          <c:tx>
            <c:strRef>
              <c:f>CONGONHAS!$P$1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CONGONHAS!$I$2:$I$7</c:f>
              <c:numCache>
                <c:formatCode>0.00</c:formatCode>
                <c:ptCount val="6"/>
                <c:pt idx="0">
                  <c:v>2.9604617377988928E-2</c:v>
                </c:pt>
                <c:pt idx="1">
                  <c:v>6.7258235501982802E-2</c:v>
                </c:pt>
                <c:pt idx="2">
                  <c:v>0.12431583493658957</c:v>
                </c:pt>
                <c:pt idx="3">
                  <c:v>0.24570261886999881</c:v>
                </c:pt>
                <c:pt idx="4">
                  <c:v>0.56153755545957829</c:v>
                </c:pt>
                <c:pt idx="5">
                  <c:v>1</c:v>
                </c:pt>
              </c:numCache>
            </c:numRef>
          </c:xVal>
          <c:yVal>
            <c:numRef>
              <c:f>CONGONHAS!$P$2:$P$7</c:f>
              <c:numCache>
                <c:formatCode>0.00</c:formatCode>
                <c:ptCount val="6"/>
                <c:pt idx="0">
                  <c:v>1.7857142857142856E-2</c:v>
                </c:pt>
                <c:pt idx="1">
                  <c:v>6.5476190476190466E-2</c:v>
                </c:pt>
                <c:pt idx="2">
                  <c:v>0.15476190476190477</c:v>
                </c:pt>
                <c:pt idx="3">
                  <c:v>0.39880952380952384</c:v>
                </c:pt>
                <c:pt idx="4">
                  <c:v>0.52976190476190477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0D6-4ACD-B2FC-F3D5F0498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4806320"/>
        <c:axId val="1954805360"/>
      </c:scatterChart>
      <c:valAx>
        <c:axId val="195480632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4805360"/>
        <c:crosses val="autoZero"/>
        <c:crossBetween val="midCat"/>
      </c:valAx>
      <c:valAx>
        <c:axId val="19548053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4806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'C. LAFAIETE'!$J$1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'C. LAFAIETE'!$I$2:$I$13</c:f>
              <c:numCache>
                <c:formatCode>0.00</c:formatCode>
                <c:ptCount val="12"/>
                <c:pt idx="0">
                  <c:v>1.0364017493269774E-2</c:v>
                </c:pt>
                <c:pt idx="1">
                  <c:v>2.2340097255769908E-2</c:v>
                </c:pt>
                <c:pt idx="2">
                  <c:v>3.9099160450738996E-2</c:v>
                </c:pt>
                <c:pt idx="3">
                  <c:v>5.7007416550505965E-2</c:v>
                </c:pt>
                <c:pt idx="4">
                  <c:v>7.6506453569414448E-2</c:v>
                </c:pt>
                <c:pt idx="5">
                  <c:v>9.6473680290277614E-2</c:v>
                </c:pt>
                <c:pt idx="6">
                  <c:v>0.12393194224241585</c:v>
                </c:pt>
                <c:pt idx="7">
                  <c:v>0.15224145819810808</c:v>
                </c:pt>
                <c:pt idx="8">
                  <c:v>0.18060949786654465</c:v>
                </c:pt>
                <c:pt idx="9">
                  <c:v>0.21139297077006564</c:v>
                </c:pt>
                <c:pt idx="10">
                  <c:v>0.30524904499941474</c:v>
                </c:pt>
                <c:pt idx="11">
                  <c:v>1</c:v>
                </c:pt>
              </c:numCache>
            </c:numRef>
          </c:xVal>
          <c:yVal>
            <c:numRef>
              <c:f>'C. LAFAIETE'!$J$2:$J$13</c:f>
              <c:numCache>
                <c:formatCode>0.00</c:formatCode>
                <c:ptCount val="12"/>
                <c:pt idx="0">
                  <c:v>1.0364017493269774E-2</c:v>
                </c:pt>
                <c:pt idx="1">
                  <c:v>2.2340097255769908E-2</c:v>
                </c:pt>
                <c:pt idx="2">
                  <c:v>3.9099160450738996E-2</c:v>
                </c:pt>
                <c:pt idx="3">
                  <c:v>5.7007416550505965E-2</c:v>
                </c:pt>
                <c:pt idx="4">
                  <c:v>7.6506453569414448E-2</c:v>
                </c:pt>
                <c:pt idx="5">
                  <c:v>9.6473680290277614E-2</c:v>
                </c:pt>
                <c:pt idx="6">
                  <c:v>0.12393194224241585</c:v>
                </c:pt>
                <c:pt idx="7">
                  <c:v>0.15224145819810808</c:v>
                </c:pt>
                <c:pt idx="8">
                  <c:v>0.18060949786654465</c:v>
                </c:pt>
                <c:pt idx="9">
                  <c:v>0.21139297077006564</c:v>
                </c:pt>
                <c:pt idx="10">
                  <c:v>0.30524904499941474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16-4D6D-9542-B4DD8A23D40E}"/>
            </c:ext>
          </c:extLst>
        </c:ser>
        <c:ser>
          <c:idx val="1"/>
          <c:order val="1"/>
          <c:tx>
            <c:strRef>
              <c:f>'C. LAFAIETE'!$K$1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'C. LAFAIETE'!$I$2:$I$13</c:f>
              <c:numCache>
                <c:formatCode>0.00</c:formatCode>
                <c:ptCount val="12"/>
                <c:pt idx="0">
                  <c:v>1.0364017493269774E-2</c:v>
                </c:pt>
                <c:pt idx="1">
                  <c:v>2.2340097255769908E-2</c:v>
                </c:pt>
                <c:pt idx="2">
                  <c:v>3.9099160450738996E-2</c:v>
                </c:pt>
                <c:pt idx="3">
                  <c:v>5.7007416550505965E-2</c:v>
                </c:pt>
                <c:pt idx="4">
                  <c:v>7.6506453569414448E-2</c:v>
                </c:pt>
                <c:pt idx="5">
                  <c:v>9.6473680290277614E-2</c:v>
                </c:pt>
                <c:pt idx="6">
                  <c:v>0.12393194224241585</c:v>
                </c:pt>
                <c:pt idx="7">
                  <c:v>0.15224145819810808</c:v>
                </c:pt>
                <c:pt idx="8">
                  <c:v>0.18060949786654465</c:v>
                </c:pt>
                <c:pt idx="9">
                  <c:v>0.21139297077006564</c:v>
                </c:pt>
                <c:pt idx="10">
                  <c:v>0.30524904499941474</c:v>
                </c:pt>
                <c:pt idx="11">
                  <c:v>1</c:v>
                </c:pt>
              </c:numCache>
            </c:numRef>
          </c:xVal>
          <c:yVal>
            <c:numRef>
              <c:f>'C. LAFAIETE'!$K$2:$K$13</c:f>
              <c:numCache>
                <c:formatCode>0.00</c:formatCode>
                <c:ptCount val="12"/>
                <c:pt idx="0">
                  <c:v>4.0816326530612249E-3</c:v>
                </c:pt>
                <c:pt idx="1">
                  <c:v>3.2653061224489799E-2</c:v>
                </c:pt>
                <c:pt idx="2">
                  <c:v>3.2653061224489799E-2</c:v>
                </c:pt>
                <c:pt idx="3">
                  <c:v>8.1632653061224497E-2</c:v>
                </c:pt>
                <c:pt idx="4">
                  <c:v>8.9795918367346947E-2</c:v>
                </c:pt>
                <c:pt idx="5">
                  <c:v>0.10612244897959185</c:v>
                </c:pt>
                <c:pt idx="6">
                  <c:v>0.13469387755102041</c:v>
                </c:pt>
                <c:pt idx="7">
                  <c:v>0.14285714285714285</c:v>
                </c:pt>
                <c:pt idx="8">
                  <c:v>0.19591836734693877</c:v>
                </c:pt>
                <c:pt idx="9">
                  <c:v>0.20816326530612245</c:v>
                </c:pt>
                <c:pt idx="10">
                  <c:v>0.28979591836734692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16-4D6D-9542-B4DD8A23D40E}"/>
            </c:ext>
          </c:extLst>
        </c:ser>
        <c:ser>
          <c:idx val="2"/>
          <c:order val="2"/>
          <c:tx>
            <c:strRef>
              <c:f>'C. LAFAIETE'!$L$1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'C. LAFAIETE'!$I$2:$I$13</c:f>
              <c:numCache>
                <c:formatCode>0.00</c:formatCode>
                <c:ptCount val="12"/>
                <c:pt idx="0">
                  <c:v>1.0364017493269774E-2</c:v>
                </c:pt>
                <c:pt idx="1">
                  <c:v>2.2340097255769908E-2</c:v>
                </c:pt>
                <c:pt idx="2">
                  <c:v>3.9099160450738996E-2</c:v>
                </c:pt>
                <c:pt idx="3">
                  <c:v>5.7007416550505965E-2</c:v>
                </c:pt>
                <c:pt idx="4">
                  <c:v>7.6506453569414448E-2</c:v>
                </c:pt>
                <c:pt idx="5">
                  <c:v>9.6473680290277614E-2</c:v>
                </c:pt>
                <c:pt idx="6">
                  <c:v>0.12393194224241585</c:v>
                </c:pt>
                <c:pt idx="7">
                  <c:v>0.15224145819810808</c:v>
                </c:pt>
                <c:pt idx="8">
                  <c:v>0.18060949786654465</c:v>
                </c:pt>
                <c:pt idx="9">
                  <c:v>0.21139297077006564</c:v>
                </c:pt>
                <c:pt idx="10">
                  <c:v>0.30524904499941474</c:v>
                </c:pt>
                <c:pt idx="11">
                  <c:v>1</c:v>
                </c:pt>
              </c:numCache>
            </c:numRef>
          </c:xVal>
          <c:yVal>
            <c:numRef>
              <c:f>'C. LAFAIETE'!$L$2:$L$13</c:f>
              <c:numCache>
                <c:formatCode>0.00</c:formatCode>
                <c:ptCount val="12"/>
                <c:pt idx="0">
                  <c:v>1.8404907975460124E-2</c:v>
                </c:pt>
                <c:pt idx="1">
                  <c:v>3.6809815950920248E-2</c:v>
                </c:pt>
                <c:pt idx="2">
                  <c:v>4.2944785276073622E-2</c:v>
                </c:pt>
                <c:pt idx="3">
                  <c:v>4.9079754601226995E-2</c:v>
                </c:pt>
                <c:pt idx="4">
                  <c:v>4.9079754601226995E-2</c:v>
                </c:pt>
                <c:pt idx="5">
                  <c:v>5.5214723926380369E-2</c:v>
                </c:pt>
                <c:pt idx="6">
                  <c:v>9.202453987730061E-2</c:v>
                </c:pt>
                <c:pt idx="7">
                  <c:v>0.11042944785276074</c:v>
                </c:pt>
                <c:pt idx="8">
                  <c:v>0.12269938650306748</c:v>
                </c:pt>
                <c:pt idx="9">
                  <c:v>0.12883435582822086</c:v>
                </c:pt>
                <c:pt idx="10">
                  <c:v>0.15950920245398773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16-4D6D-9542-B4DD8A23D40E}"/>
            </c:ext>
          </c:extLst>
        </c:ser>
        <c:ser>
          <c:idx val="3"/>
          <c:order val="3"/>
          <c:tx>
            <c:strRef>
              <c:f>'C. LAFAIETE'!$M$1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'C. LAFAIETE'!$I$2:$I$13</c:f>
              <c:numCache>
                <c:formatCode>0.00</c:formatCode>
                <c:ptCount val="12"/>
                <c:pt idx="0">
                  <c:v>1.0364017493269774E-2</c:v>
                </c:pt>
                <c:pt idx="1">
                  <c:v>2.2340097255769908E-2</c:v>
                </c:pt>
                <c:pt idx="2">
                  <c:v>3.9099160450738996E-2</c:v>
                </c:pt>
                <c:pt idx="3">
                  <c:v>5.7007416550505965E-2</c:v>
                </c:pt>
                <c:pt idx="4">
                  <c:v>7.6506453569414448E-2</c:v>
                </c:pt>
                <c:pt idx="5">
                  <c:v>9.6473680290277614E-2</c:v>
                </c:pt>
                <c:pt idx="6">
                  <c:v>0.12393194224241585</c:v>
                </c:pt>
                <c:pt idx="7">
                  <c:v>0.15224145819810808</c:v>
                </c:pt>
                <c:pt idx="8">
                  <c:v>0.18060949786654465</c:v>
                </c:pt>
                <c:pt idx="9">
                  <c:v>0.21139297077006564</c:v>
                </c:pt>
                <c:pt idx="10">
                  <c:v>0.30524904499941474</c:v>
                </c:pt>
                <c:pt idx="11">
                  <c:v>1</c:v>
                </c:pt>
              </c:numCache>
            </c:numRef>
          </c:xVal>
          <c:yVal>
            <c:numRef>
              <c:f>'C. LAFAIETE'!$M$2:$M$13</c:f>
              <c:numCache>
                <c:formatCode>0.00</c:formatCode>
                <c:ptCount val="12"/>
                <c:pt idx="0">
                  <c:v>6.8965517241379309E-3</c:v>
                </c:pt>
                <c:pt idx="1">
                  <c:v>1.3793103448275862E-2</c:v>
                </c:pt>
                <c:pt idx="2">
                  <c:v>1.3793103448275862E-2</c:v>
                </c:pt>
                <c:pt idx="3">
                  <c:v>1.3793103448275862E-2</c:v>
                </c:pt>
                <c:pt idx="4">
                  <c:v>1.3793103448275862E-2</c:v>
                </c:pt>
                <c:pt idx="5">
                  <c:v>4.1379310344827586E-2</c:v>
                </c:pt>
                <c:pt idx="6">
                  <c:v>7.586206896551724E-2</c:v>
                </c:pt>
                <c:pt idx="7">
                  <c:v>8.2758620689655171E-2</c:v>
                </c:pt>
                <c:pt idx="8">
                  <c:v>0.10344827586206896</c:v>
                </c:pt>
                <c:pt idx="9">
                  <c:v>0.16551724137931034</c:v>
                </c:pt>
                <c:pt idx="10">
                  <c:v>0.22068965517241379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D16-4D6D-9542-B4DD8A23D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2775488"/>
        <c:axId val="1284581616"/>
      </c:scatterChart>
      <c:valAx>
        <c:axId val="173277548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4581616"/>
        <c:crosses val="autoZero"/>
        <c:crossBetween val="midCat"/>
      </c:valAx>
      <c:valAx>
        <c:axId val="12845816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2775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'C. LAFAIETE'!$J$1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'C. LAFAIETE'!$I$2:$I$13</c:f>
              <c:numCache>
                <c:formatCode>0.00</c:formatCode>
                <c:ptCount val="12"/>
                <c:pt idx="0">
                  <c:v>1.0364017493269774E-2</c:v>
                </c:pt>
                <c:pt idx="1">
                  <c:v>2.2340097255769908E-2</c:v>
                </c:pt>
                <c:pt idx="2">
                  <c:v>3.9099160450738996E-2</c:v>
                </c:pt>
                <c:pt idx="3">
                  <c:v>5.7007416550505965E-2</c:v>
                </c:pt>
                <c:pt idx="4">
                  <c:v>7.6506453569414448E-2</c:v>
                </c:pt>
                <c:pt idx="5">
                  <c:v>9.6473680290277614E-2</c:v>
                </c:pt>
                <c:pt idx="6">
                  <c:v>0.12393194224241585</c:v>
                </c:pt>
                <c:pt idx="7">
                  <c:v>0.15224145819810808</c:v>
                </c:pt>
                <c:pt idx="8">
                  <c:v>0.18060949786654465</c:v>
                </c:pt>
                <c:pt idx="9">
                  <c:v>0.21139297077006564</c:v>
                </c:pt>
                <c:pt idx="10">
                  <c:v>0.30524904499941474</c:v>
                </c:pt>
                <c:pt idx="11">
                  <c:v>1</c:v>
                </c:pt>
              </c:numCache>
            </c:numRef>
          </c:xVal>
          <c:yVal>
            <c:numRef>
              <c:f>'C. LAFAIETE'!$J$2:$J$13</c:f>
              <c:numCache>
                <c:formatCode>0.00</c:formatCode>
                <c:ptCount val="12"/>
                <c:pt idx="0">
                  <c:v>1.0364017493269774E-2</c:v>
                </c:pt>
                <c:pt idx="1">
                  <c:v>2.2340097255769908E-2</c:v>
                </c:pt>
                <c:pt idx="2">
                  <c:v>3.9099160450738996E-2</c:v>
                </c:pt>
                <c:pt idx="3">
                  <c:v>5.7007416550505965E-2</c:v>
                </c:pt>
                <c:pt idx="4">
                  <c:v>7.6506453569414448E-2</c:v>
                </c:pt>
                <c:pt idx="5">
                  <c:v>9.6473680290277614E-2</c:v>
                </c:pt>
                <c:pt idx="6">
                  <c:v>0.12393194224241585</c:v>
                </c:pt>
                <c:pt idx="7">
                  <c:v>0.15224145819810808</c:v>
                </c:pt>
                <c:pt idx="8">
                  <c:v>0.18060949786654465</c:v>
                </c:pt>
                <c:pt idx="9">
                  <c:v>0.21139297077006564</c:v>
                </c:pt>
                <c:pt idx="10">
                  <c:v>0.30524904499941474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F7-44FC-B9AF-3F83378EE567}"/>
            </c:ext>
          </c:extLst>
        </c:ser>
        <c:ser>
          <c:idx val="1"/>
          <c:order val="1"/>
          <c:tx>
            <c:strRef>
              <c:f>'C. LAFAIETE'!$N$1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'C. LAFAIETE'!$I$2:$I$13</c:f>
              <c:numCache>
                <c:formatCode>0.00</c:formatCode>
                <c:ptCount val="12"/>
                <c:pt idx="0">
                  <c:v>1.0364017493269774E-2</c:v>
                </c:pt>
                <c:pt idx="1">
                  <c:v>2.2340097255769908E-2</c:v>
                </c:pt>
                <c:pt idx="2">
                  <c:v>3.9099160450738996E-2</c:v>
                </c:pt>
                <c:pt idx="3">
                  <c:v>5.7007416550505965E-2</c:v>
                </c:pt>
                <c:pt idx="4">
                  <c:v>7.6506453569414448E-2</c:v>
                </c:pt>
                <c:pt idx="5">
                  <c:v>9.6473680290277614E-2</c:v>
                </c:pt>
                <c:pt idx="6">
                  <c:v>0.12393194224241585</c:v>
                </c:pt>
                <c:pt idx="7">
                  <c:v>0.15224145819810808</c:v>
                </c:pt>
                <c:pt idx="8">
                  <c:v>0.18060949786654465</c:v>
                </c:pt>
                <c:pt idx="9">
                  <c:v>0.21139297077006564</c:v>
                </c:pt>
                <c:pt idx="10">
                  <c:v>0.30524904499941474</c:v>
                </c:pt>
                <c:pt idx="11">
                  <c:v>1</c:v>
                </c:pt>
              </c:numCache>
            </c:numRef>
          </c:xVal>
          <c:yVal>
            <c:numRef>
              <c:f>'C. LAFAIETE'!$N$2:$N$13</c:f>
              <c:numCache>
                <c:formatCode>0.00</c:formatCode>
                <c:ptCount val="12"/>
                <c:pt idx="0">
                  <c:v>1.1111111111111112E-2</c:v>
                </c:pt>
                <c:pt idx="1">
                  <c:v>2.4444444444444446E-2</c:v>
                </c:pt>
                <c:pt idx="2">
                  <c:v>0.04</c:v>
                </c:pt>
                <c:pt idx="3">
                  <c:v>6.222222222222222E-2</c:v>
                </c:pt>
                <c:pt idx="4">
                  <c:v>7.3333333333333334E-2</c:v>
                </c:pt>
                <c:pt idx="5">
                  <c:v>8.4444444444444447E-2</c:v>
                </c:pt>
                <c:pt idx="6">
                  <c:v>0.14000000000000001</c:v>
                </c:pt>
                <c:pt idx="7">
                  <c:v>0.14666666666666667</c:v>
                </c:pt>
                <c:pt idx="8">
                  <c:v>0.17555555555555555</c:v>
                </c:pt>
                <c:pt idx="9">
                  <c:v>0.27555555555555555</c:v>
                </c:pt>
                <c:pt idx="10">
                  <c:v>0.38444444444444442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F7-44FC-B9AF-3F83378EE567}"/>
            </c:ext>
          </c:extLst>
        </c:ser>
        <c:ser>
          <c:idx val="2"/>
          <c:order val="2"/>
          <c:tx>
            <c:strRef>
              <c:f>'C. LAFAIETE'!$O$1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'C. LAFAIETE'!$I$2:$I$13</c:f>
              <c:numCache>
                <c:formatCode>0.00</c:formatCode>
                <c:ptCount val="12"/>
                <c:pt idx="0">
                  <c:v>1.0364017493269774E-2</c:v>
                </c:pt>
                <c:pt idx="1">
                  <c:v>2.2340097255769908E-2</c:v>
                </c:pt>
                <c:pt idx="2">
                  <c:v>3.9099160450738996E-2</c:v>
                </c:pt>
                <c:pt idx="3">
                  <c:v>5.7007416550505965E-2</c:v>
                </c:pt>
                <c:pt idx="4">
                  <c:v>7.6506453569414448E-2</c:v>
                </c:pt>
                <c:pt idx="5">
                  <c:v>9.6473680290277614E-2</c:v>
                </c:pt>
                <c:pt idx="6">
                  <c:v>0.12393194224241585</c:v>
                </c:pt>
                <c:pt idx="7">
                  <c:v>0.15224145819810808</c:v>
                </c:pt>
                <c:pt idx="8">
                  <c:v>0.18060949786654465</c:v>
                </c:pt>
                <c:pt idx="9">
                  <c:v>0.21139297077006564</c:v>
                </c:pt>
                <c:pt idx="10">
                  <c:v>0.30524904499941474</c:v>
                </c:pt>
                <c:pt idx="11">
                  <c:v>1</c:v>
                </c:pt>
              </c:numCache>
            </c:numRef>
          </c:xVal>
          <c:yVal>
            <c:numRef>
              <c:f>'C. LAFAIETE'!$O$2:$O$13</c:f>
              <c:numCache>
                <c:formatCode>0.00</c:formatCode>
                <c:ptCount val="12"/>
                <c:pt idx="0">
                  <c:v>0</c:v>
                </c:pt>
                <c:pt idx="1">
                  <c:v>8.2872928176795577E-3</c:v>
                </c:pt>
                <c:pt idx="2">
                  <c:v>1.3812154696132596E-2</c:v>
                </c:pt>
                <c:pt idx="3">
                  <c:v>2.7624309392265192E-2</c:v>
                </c:pt>
                <c:pt idx="4">
                  <c:v>4.1436464088397788E-2</c:v>
                </c:pt>
                <c:pt idx="5">
                  <c:v>4.4198895027624308E-2</c:v>
                </c:pt>
                <c:pt idx="6">
                  <c:v>7.4585635359116026E-2</c:v>
                </c:pt>
                <c:pt idx="7">
                  <c:v>8.8397790055248615E-2</c:v>
                </c:pt>
                <c:pt idx="8">
                  <c:v>0.12154696132596685</c:v>
                </c:pt>
                <c:pt idx="9">
                  <c:v>0.18784530386740331</c:v>
                </c:pt>
                <c:pt idx="10">
                  <c:v>0.30110497237569062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0F7-44FC-B9AF-3F83378EE567}"/>
            </c:ext>
          </c:extLst>
        </c:ser>
        <c:ser>
          <c:idx val="3"/>
          <c:order val="3"/>
          <c:tx>
            <c:strRef>
              <c:f>'C. LAFAIETE'!$P$1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'C. LAFAIETE'!$I$2:$I$13</c:f>
              <c:numCache>
                <c:formatCode>0.00</c:formatCode>
                <c:ptCount val="12"/>
                <c:pt idx="0">
                  <c:v>1.0364017493269774E-2</c:v>
                </c:pt>
                <c:pt idx="1">
                  <c:v>2.2340097255769908E-2</c:v>
                </c:pt>
                <c:pt idx="2">
                  <c:v>3.9099160450738996E-2</c:v>
                </c:pt>
                <c:pt idx="3">
                  <c:v>5.7007416550505965E-2</c:v>
                </c:pt>
                <c:pt idx="4">
                  <c:v>7.6506453569414448E-2</c:v>
                </c:pt>
                <c:pt idx="5">
                  <c:v>9.6473680290277614E-2</c:v>
                </c:pt>
                <c:pt idx="6">
                  <c:v>0.12393194224241585</c:v>
                </c:pt>
                <c:pt idx="7">
                  <c:v>0.15224145819810808</c:v>
                </c:pt>
                <c:pt idx="8">
                  <c:v>0.18060949786654465</c:v>
                </c:pt>
                <c:pt idx="9">
                  <c:v>0.21139297077006564</c:v>
                </c:pt>
                <c:pt idx="10">
                  <c:v>0.30524904499941474</c:v>
                </c:pt>
                <c:pt idx="11">
                  <c:v>1</c:v>
                </c:pt>
              </c:numCache>
            </c:numRef>
          </c:xVal>
          <c:yVal>
            <c:numRef>
              <c:f>'C. LAFAIETE'!$P$2:$P$13</c:f>
              <c:numCache>
                <c:formatCode>0.00</c:formatCode>
                <c:ptCount val="12"/>
                <c:pt idx="0">
                  <c:v>0</c:v>
                </c:pt>
                <c:pt idx="1">
                  <c:v>1.7094017094017096E-2</c:v>
                </c:pt>
                <c:pt idx="2">
                  <c:v>2.5641025641025644E-2</c:v>
                </c:pt>
                <c:pt idx="3">
                  <c:v>4.7008547008547008E-2</c:v>
                </c:pt>
                <c:pt idx="4">
                  <c:v>5.9829059829059825E-2</c:v>
                </c:pt>
                <c:pt idx="5">
                  <c:v>7.2649572649572641E-2</c:v>
                </c:pt>
                <c:pt idx="6">
                  <c:v>0.1111111111111111</c:v>
                </c:pt>
                <c:pt idx="7">
                  <c:v>0.12820512820512819</c:v>
                </c:pt>
                <c:pt idx="8">
                  <c:v>0.14529914529914528</c:v>
                </c:pt>
                <c:pt idx="9">
                  <c:v>0.20085470085470084</c:v>
                </c:pt>
                <c:pt idx="10">
                  <c:v>0.38461538461538458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0F7-44FC-B9AF-3F83378EE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790384"/>
        <c:axId val="85794224"/>
      </c:scatterChart>
      <c:valAx>
        <c:axId val="8579038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794224"/>
        <c:crosses val="autoZero"/>
        <c:crossBetween val="midCat"/>
      </c:valAx>
      <c:valAx>
        <c:axId val="8579422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790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'SÃO JOÃO DEL REI'!$J$1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'SÃO JOÃO DEL REI'!$I$2:$I$19</c:f>
              <c:numCache>
                <c:formatCode>0.00</c:formatCode>
                <c:ptCount val="18"/>
                <c:pt idx="0">
                  <c:v>1.2382688152534266E-2</c:v>
                </c:pt>
                <c:pt idx="1">
                  <c:v>2.66003067838823E-2</c:v>
                </c:pt>
                <c:pt idx="2">
                  <c:v>4.2842534100842829E-2</c:v>
                </c:pt>
                <c:pt idx="3">
                  <c:v>6.1134110739085257E-2</c:v>
                </c:pt>
                <c:pt idx="4">
                  <c:v>7.9776179715977502E-2</c:v>
                </c:pt>
                <c:pt idx="5">
                  <c:v>0.10088406538125319</c:v>
                </c:pt>
                <c:pt idx="6">
                  <c:v>0.1333602731366178</c:v>
                </c:pt>
                <c:pt idx="7">
                  <c:v>0.16700753764700063</c:v>
                </c:pt>
                <c:pt idx="8">
                  <c:v>0.20292269376041172</c:v>
                </c:pt>
                <c:pt idx="9">
                  <c:v>0.23889145458443983</c:v>
                </c:pt>
                <c:pt idx="10">
                  <c:v>0.27653020831615238</c:v>
                </c:pt>
                <c:pt idx="11">
                  <c:v>0.31896452192845015</c:v>
                </c:pt>
                <c:pt idx="12">
                  <c:v>0.36423576176417233</c:v>
                </c:pt>
                <c:pt idx="13">
                  <c:v>0.41197694172755617</c:v>
                </c:pt>
                <c:pt idx="14">
                  <c:v>0.46605584786158444</c:v>
                </c:pt>
                <c:pt idx="15">
                  <c:v>0.53867786042982735</c:v>
                </c:pt>
                <c:pt idx="16">
                  <c:v>0.62519173992643784</c:v>
                </c:pt>
                <c:pt idx="17">
                  <c:v>1</c:v>
                </c:pt>
              </c:numCache>
            </c:numRef>
          </c:xVal>
          <c:yVal>
            <c:numRef>
              <c:f>'SÃO JOÃO DEL REI'!$J$2:$J$19</c:f>
              <c:numCache>
                <c:formatCode>0.00</c:formatCode>
                <c:ptCount val="18"/>
                <c:pt idx="0">
                  <c:v>1.2382688152534266E-2</c:v>
                </c:pt>
                <c:pt idx="1">
                  <c:v>2.66003067838823E-2</c:v>
                </c:pt>
                <c:pt idx="2">
                  <c:v>4.2842534100842829E-2</c:v>
                </c:pt>
                <c:pt idx="3">
                  <c:v>6.1134110739085257E-2</c:v>
                </c:pt>
                <c:pt idx="4">
                  <c:v>7.9776179715977502E-2</c:v>
                </c:pt>
                <c:pt idx="5">
                  <c:v>0.10088406538125319</c:v>
                </c:pt>
                <c:pt idx="6">
                  <c:v>0.1333602731366178</c:v>
                </c:pt>
                <c:pt idx="7">
                  <c:v>0.16700753764700063</c:v>
                </c:pt>
                <c:pt idx="8">
                  <c:v>0.20292269376041172</c:v>
                </c:pt>
                <c:pt idx="9">
                  <c:v>0.23889145458443983</c:v>
                </c:pt>
                <c:pt idx="10">
                  <c:v>0.27653020831615238</c:v>
                </c:pt>
                <c:pt idx="11">
                  <c:v>0.31896452192845015</c:v>
                </c:pt>
                <c:pt idx="12">
                  <c:v>0.36423576176417233</c:v>
                </c:pt>
                <c:pt idx="13">
                  <c:v>0.41197694172755617</c:v>
                </c:pt>
                <c:pt idx="14">
                  <c:v>0.46605584786158444</c:v>
                </c:pt>
                <c:pt idx="15">
                  <c:v>0.53867786042982735</c:v>
                </c:pt>
                <c:pt idx="16">
                  <c:v>0.62519173992643784</c:v>
                </c:pt>
                <c:pt idx="1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D2-4BDC-92E1-B9DA48B159F7}"/>
            </c:ext>
          </c:extLst>
        </c:ser>
        <c:ser>
          <c:idx val="1"/>
          <c:order val="1"/>
          <c:tx>
            <c:strRef>
              <c:f>'SÃO JOÃO DEL REI'!$K$1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'SÃO JOÃO DEL REI'!$I$2:$I$19</c:f>
              <c:numCache>
                <c:formatCode>0.00</c:formatCode>
                <c:ptCount val="18"/>
                <c:pt idx="0">
                  <c:v>1.2382688152534266E-2</c:v>
                </c:pt>
                <c:pt idx="1">
                  <c:v>2.66003067838823E-2</c:v>
                </c:pt>
                <c:pt idx="2">
                  <c:v>4.2842534100842829E-2</c:v>
                </c:pt>
                <c:pt idx="3">
                  <c:v>6.1134110739085257E-2</c:v>
                </c:pt>
                <c:pt idx="4">
                  <c:v>7.9776179715977502E-2</c:v>
                </c:pt>
                <c:pt idx="5">
                  <c:v>0.10088406538125319</c:v>
                </c:pt>
                <c:pt idx="6">
                  <c:v>0.1333602731366178</c:v>
                </c:pt>
                <c:pt idx="7">
                  <c:v>0.16700753764700063</c:v>
                </c:pt>
                <c:pt idx="8">
                  <c:v>0.20292269376041172</c:v>
                </c:pt>
                <c:pt idx="9">
                  <c:v>0.23889145458443983</c:v>
                </c:pt>
                <c:pt idx="10">
                  <c:v>0.27653020831615238</c:v>
                </c:pt>
                <c:pt idx="11">
                  <c:v>0.31896452192845015</c:v>
                </c:pt>
                <c:pt idx="12">
                  <c:v>0.36423576176417233</c:v>
                </c:pt>
                <c:pt idx="13">
                  <c:v>0.41197694172755617</c:v>
                </c:pt>
                <c:pt idx="14">
                  <c:v>0.46605584786158444</c:v>
                </c:pt>
                <c:pt idx="15">
                  <c:v>0.53867786042982735</c:v>
                </c:pt>
                <c:pt idx="16">
                  <c:v>0.62519173992643784</c:v>
                </c:pt>
                <c:pt idx="17">
                  <c:v>1</c:v>
                </c:pt>
              </c:numCache>
            </c:numRef>
          </c:xVal>
          <c:yVal>
            <c:numRef>
              <c:f>'SÃO JOÃO DEL REI'!$K$2:$K$19</c:f>
              <c:numCache>
                <c:formatCode>0.00</c:formatCode>
                <c:ptCount val="18"/>
                <c:pt idx="0">
                  <c:v>1.5296367112810707E-2</c:v>
                </c:pt>
                <c:pt idx="1">
                  <c:v>2.4856596558317401E-2</c:v>
                </c:pt>
                <c:pt idx="2">
                  <c:v>4.7801147227533466E-2</c:v>
                </c:pt>
                <c:pt idx="3">
                  <c:v>6.3097514340344177E-2</c:v>
                </c:pt>
                <c:pt idx="4">
                  <c:v>8.7954110898661578E-2</c:v>
                </c:pt>
                <c:pt idx="5">
                  <c:v>0.10516252390057362</c:v>
                </c:pt>
                <c:pt idx="6">
                  <c:v>0.14531548757170173</c:v>
                </c:pt>
                <c:pt idx="7">
                  <c:v>0.1778202676864245</c:v>
                </c:pt>
                <c:pt idx="8">
                  <c:v>0.19885277246653923</c:v>
                </c:pt>
                <c:pt idx="9">
                  <c:v>0.23900573613766735</c:v>
                </c:pt>
                <c:pt idx="10">
                  <c:v>0.27151051625239009</c:v>
                </c:pt>
                <c:pt idx="11">
                  <c:v>0.31166347992351817</c:v>
                </c:pt>
                <c:pt idx="12">
                  <c:v>0.34034416826003827</c:v>
                </c:pt>
                <c:pt idx="13">
                  <c:v>0.42829827915869984</c:v>
                </c:pt>
                <c:pt idx="14">
                  <c:v>0.47227533460803062</c:v>
                </c:pt>
                <c:pt idx="15">
                  <c:v>0.62332695984703634</c:v>
                </c:pt>
                <c:pt idx="16">
                  <c:v>0.72848948374760991</c:v>
                </c:pt>
                <c:pt idx="1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1D2-4BDC-92E1-B9DA48B159F7}"/>
            </c:ext>
          </c:extLst>
        </c:ser>
        <c:ser>
          <c:idx val="2"/>
          <c:order val="2"/>
          <c:tx>
            <c:strRef>
              <c:f>'SÃO JOÃO DEL REI'!$L$1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'SÃO JOÃO DEL REI'!$I$2:$I$19</c:f>
              <c:numCache>
                <c:formatCode>0.00</c:formatCode>
                <c:ptCount val="18"/>
                <c:pt idx="0">
                  <c:v>1.2382688152534266E-2</c:v>
                </c:pt>
                <c:pt idx="1">
                  <c:v>2.66003067838823E-2</c:v>
                </c:pt>
                <c:pt idx="2">
                  <c:v>4.2842534100842829E-2</c:v>
                </c:pt>
                <c:pt idx="3">
                  <c:v>6.1134110739085257E-2</c:v>
                </c:pt>
                <c:pt idx="4">
                  <c:v>7.9776179715977502E-2</c:v>
                </c:pt>
                <c:pt idx="5">
                  <c:v>0.10088406538125319</c:v>
                </c:pt>
                <c:pt idx="6">
                  <c:v>0.1333602731366178</c:v>
                </c:pt>
                <c:pt idx="7">
                  <c:v>0.16700753764700063</c:v>
                </c:pt>
                <c:pt idx="8">
                  <c:v>0.20292269376041172</c:v>
                </c:pt>
                <c:pt idx="9">
                  <c:v>0.23889145458443983</c:v>
                </c:pt>
                <c:pt idx="10">
                  <c:v>0.27653020831615238</c:v>
                </c:pt>
                <c:pt idx="11">
                  <c:v>0.31896452192845015</c:v>
                </c:pt>
                <c:pt idx="12">
                  <c:v>0.36423576176417233</c:v>
                </c:pt>
                <c:pt idx="13">
                  <c:v>0.41197694172755617</c:v>
                </c:pt>
                <c:pt idx="14">
                  <c:v>0.46605584786158444</c:v>
                </c:pt>
                <c:pt idx="15">
                  <c:v>0.53867786042982735</c:v>
                </c:pt>
                <c:pt idx="16">
                  <c:v>0.62519173992643784</c:v>
                </c:pt>
                <c:pt idx="17">
                  <c:v>1</c:v>
                </c:pt>
              </c:numCache>
            </c:numRef>
          </c:xVal>
          <c:yVal>
            <c:numRef>
              <c:f>'SÃO JOÃO DEL REI'!$L$2:$L$19</c:f>
              <c:numCache>
                <c:formatCode>0.00</c:formatCode>
                <c:ptCount val="18"/>
                <c:pt idx="0">
                  <c:v>1.3937282229965157E-2</c:v>
                </c:pt>
                <c:pt idx="1">
                  <c:v>2.7874564459930314E-2</c:v>
                </c:pt>
                <c:pt idx="2">
                  <c:v>4.878048780487805E-2</c:v>
                </c:pt>
                <c:pt idx="3">
                  <c:v>8.0139372822299659E-2</c:v>
                </c:pt>
                <c:pt idx="4">
                  <c:v>0.10801393728222997</c:v>
                </c:pt>
                <c:pt idx="5">
                  <c:v>0.13240418118466898</c:v>
                </c:pt>
                <c:pt idx="6">
                  <c:v>0.18466898954703831</c:v>
                </c:pt>
                <c:pt idx="7">
                  <c:v>0.19163763066202089</c:v>
                </c:pt>
                <c:pt idx="8">
                  <c:v>0.19512195121951217</c:v>
                </c:pt>
                <c:pt idx="9">
                  <c:v>0.21951219512195119</c:v>
                </c:pt>
                <c:pt idx="10">
                  <c:v>0.27526132404181181</c:v>
                </c:pt>
                <c:pt idx="11">
                  <c:v>0.29616724738675954</c:v>
                </c:pt>
                <c:pt idx="12">
                  <c:v>0.32752613240418116</c:v>
                </c:pt>
                <c:pt idx="13">
                  <c:v>0.40766550522648082</c:v>
                </c:pt>
                <c:pt idx="14">
                  <c:v>0.44599303135888502</c:v>
                </c:pt>
                <c:pt idx="15">
                  <c:v>0.62369337979094075</c:v>
                </c:pt>
                <c:pt idx="16">
                  <c:v>0.78048780487804881</c:v>
                </c:pt>
                <c:pt idx="1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1D2-4BDC-92E1-B9DA48B159F7}"/>
            </c:ext>
          </c:extLst>
        </c:ser>
        <c:ser>
          <c:idx val="3"/>
          <c:order val="3"/>
          <c:tx>
            <c:strRef>
              <c:f>'SÃO JOÃO DEL REI'!$M$1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'SÃO JOÃO DEL REI'!$I$2:$I$19</c:f>
              <c:numCache>
                <c:formatCode>0.00</c:formatCode>
                <c:ptCount val="18"/>
                <c:pt idx="0">
                  <c:v>1.2382688152534266E-2</c:v>
                </c:pt>
                <c:pt idx="1">
                  <c:v>2.66003067838823E-2</c:v>
                </c:pt>
                <c:pt idx="2">
                  <c:v>4.2842534100842829E-2</c:v>
                </c:pt>
                <c:pt idx="3">
                  <c:v>6.1134110739085257E-2</c:v>
                </c:pt>
                <c:pt idx="4">
                  <c:v>7.9776179715977502E-2</c:v>
                </c:pt>
                <c:pt idx="5">
                  <c:v>0.10088406538125319</c:v>
                </c:pt>
                <c:pt idx="6">
                  <c:v>0.1333602731366178</c:v>
                </c:pt>
                <c:pt idx="7">
                  <c:v>0.16700753764700063</c:v>
                </c:pt>
                <c:pt idx="8">
                  <c:v>0.20292269376041172</c:v>
                </c:pt>
                <c:pt idx="9">
                  <c:v>0.23889145458443983</c:v>
                </c:pt>
                <c:pt idx="10">
                  <c:v>0.27653020831615238</c:v>
                </c:pt>
                <c:pt idx="11">
                  <c:v>0.31896452192845015</c:v>
                </c:pt>
                <c:pt idx="12">
                  <c:v>0.36423576176417233</c:v>
                </c:pt>
                <c:pt idx="13">
                  <c:v>0.41197694172755617</c:v>
                </c:pt>
                <c:pt idx="14">
                  <c:v>0.46605584786158444</c:v>
                </c:pt>
                <c:pt idx="15">
                  <c:v>0.53867786042982735</c:v>
                </c:pt>
                <c:pt idx="16">
                  <c:v>0.62519173992643784</c:v>
                </c:pt>
                <c:pt idx="17">
                  <c:v>1</c:v>
                </c:pt>
              </c:numCache>
            </c:numRef>
          </c:xVal>
          <c:yVal>
            <c:numRef>
              <c:f>'SÃO JOÃO DEL REI'!$M$2:$M$19</c:f>
              <c:numCache>
                <c:formatCode>0.00</c:formatCode>
                <c:ptCount val="18"/>
                <c:pt idx="0">
                  <c:v>1.4184397163120567E-2</c:v>
                </c:pt>
                <c:pt idx="1">
                  <c:v>2.1276595744680851E-2</c:v>
                </c:pt>
                <c:pt idx="2">
                  <c:v>3.1914893617021274E-2</c:v>
                </c:pt>
                <c:pt idx="3">
                  <c:v>4.2553191489361701E-2</c:v>
                </c:pt>
                <c:pt idx="4">
                  <c:v>7.8014184397163122E-2</c:v>
                </c:pt>
                <c:pt idx="5">
                  <c:v>0.16312056737588654</c:v>
                </c:pt>
                <c:pt idx="6">
                  <c:v>0.22695035460992907</c:v>
                </c:pt>
                <c:pt idx="7">
                  <c:v>0.24468085106382978</c:v>
                </c:pt>
                <c:pt idx="8">
                  <c:v>0.25177304964539005</c:v>
                </c:pt>
                <c:pt idx="9">
                  <c:v>0.31205673758865243</c:v>
                </c:pt>
                <c:pt idx="10">
                  <c:v>0.34751773049645385</c:v>
                </c:pt>
                <c:pt idx="11">
                  <c:v>0.36879432624113467</c:v>
                </c:pt>
                <c:pt idx="12">
                  <c:v>0.45390070921985809</c:v>
                </c:pt>
                <c:pt idx="13">
                  <c:v>0.53191489361702127</c:v>
                </c:pt>
                <c:pt idx="14">
                  <c:v>0.57092198581560283</c:v>
                </c:pt>
                <c:pt idx="15">
                  <c:v>0.66312056737588654</c:v>
                </c:pt>
                <c:pt idx="16">
                  <c:v>0.71631205673758869</c:v>
                </c:pt>
                <c:pt idx="1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1D2-4BDC-92E1-B9DA48B15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61840"/>
        <c:axId val="8860400"/>
      </c:scatterChart>
      <c:valAx>
        <c:axId val="886184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860400"/>
        <c:crosses val="autoZero"/>
        <c:crossBetween val="midCat"/>
      </c:valAx>
      <c:valAx>
        <c:axId val="88604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86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'SÃO JOÃO DEL REI'!$J$1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'SÃO JOÃO DEL REI'!$I$2:$I$19</c:f>
              <c:numCache>
                <c:formatCode>0.00</c:formatCode>
                <c:ptCount val="18"/>
                <c:pt idx="0">
                  <c:v>1.2382688152534266E-2</c:v>
                </c:pt>
                <c:pt idx="1">
                  <c:v>2.66003067838823E-2</c:v>
                </c:pt>
                <c:pt idx="2">
                  <c:v>4.2842534100842829E-2</c:v>
                </c:pt>
                <c:pt idx="3">
                  <c:v>6.1134110739085257E-2</c:v>
                </c:pt>
                <c:pt idx="4">
                  <c:v>7.9776179715977502E-2</c:v>
                </c:pt>
                <c:pt idx="5">
                  <c:v>0.10088406538125319</c:v>
                </c:pt>
                <c:pt idx="6">
                  <c:v>0.1333602731366178</c:v>
                </c:pt>
                <c:pt idx="7">
                  <c:v>0.16700753764700063</c:v>
                </c:pt>
                <c:pt idx="8">
                  <c:v>0.20292269376041172</c:v>
                </c:pt>
                <c:pt idx="9">
                  <c:v>0.23889145458443983</c:v>
                </c:pt>
                <c:pt idx="10">
                  <c:v>0.27653020831615238</c:v>
                </c:pt>
                <c:pt idx="11">
                  <c:v>0.31896452192845015</c:v>
                </c:pt>
                <c:pt idx="12">
                  <c:v>0.36423576176417233</c:v>
                </c:pt>
                <c:pt idx="13">
                  <c:v>0.41197694172755617</c:v>
                </c:pt>
                <c:pt idx="14">
                  <c:v>0.46605584786158444</c:v>
                </c:pt>
                <c:pt idx="15">
                  <c:v>0.53867786042982735</c:v>
                </c:pt>
                <c:pt idx="16">
                  <c:v>0.62519173992643784</c:v>
                </c:pt>
                <c:pt idx="17">
                  <c:v>1</c:v>
                </c:pt>
              </c:numCache>
            </c:numRef>
          </c:xVal>
          <c:yVal>
            <c:numRef>
              <c:f>'SÃO JOÃO DEL REI'!$J$2:$J$19</c:f>
              <c:numCache>
                <c:formatCode>0.00</c:formatCode>
                <c:ptCount val="18"/>
                <c:pt idx="0">
                  <c:v>1.2382688152534266E-2</c:v>
                </c:pt>
                <c:pt idx="1">
                  <c:v>2.66003067838823E-2</c:v>
                </c:pt>
                <c:pt idx="2">
                  <c:v>4.2842534100842829E-2</c:v>
                </c:pt>
                <c:pt idx="3">
                  <c:v>6.1134110739085257E-2</c:v>
                </c:pt>
                <c:pt idx="4">
                  <c:v>7.9776179715977502E-2</c:v>
                </c:pt>
                <c:pt idx="5">
                  <c:v>0.10088406538125319</c:v>
                </c:pt>
                <c:pt idx="6">
                  <c:v>0.1333602731366178</c:v>
                </c:pt>
                <c:pt idx="7">
                  <c:v>0.16700753764700063</c:v>
                </c:pt>
                <c:pt idx="8">
                  <c:v>0.20292269376041172</c:v>
                </c:pt>
                <c:pt idx="9">
                  <c:v>0.23889145458443983</c:v>
                </c:pt>
                <c:pt idx="10">
                  <c:v>0.27653020831615238</c:v>
                </c:pt>
                <c:pt idx="11">
                  <c:v>0.31896452192845015</c:v>
                </c:pt>
                <c:pt idx="12">
                  <c:v>0.36423576176417233</c:v>
                </c:pt>
                <c:pt idx="13">
                  <c:v>0.41197694172755617</c:v>
                </c:pt>
                <c:pt idx="14">
                  <c:v>0.46605584786158444</c:v>
                </c:pt>
                <c:pt idx="15">
                  <c:v>0.53867786042982735</c:v>
                </c:pt>
                <c:pt idx="16">
                  <c:v>0.62519173992643784</c:v>
                </c:pt>
                <c:pt idx="1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B0-4480-A053-6F7C1B3FB0EB}"/>
            </c:ext>
          </c:extLst>
        </c:ser>
        <c:ser>
          <c:idx val="1"/>
          <c:order val="1"/>
          <c:tx>
            <c:strRef>
              <c:f>'SÃO JOÃO DEL REI'!$N$1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'SÃO JOÃO DEL REI'!$I$2:$I$19</c:f>
              <c:numCache>
                <c:formatCode>0.00</c:formatCode>
                <c:ptCount val="18"/>
                <c:pt idx="0">
                  <c:v>1.2382688152534266E-2</c:v>
                </c:pt>
                <c:pt idx="1">
                  <c:v>2.66003067838823E-2</c:v>
                </c:pt>
                <c:pt idx="2">
                  <c:v>4.2842534100842829E-2</c:v>
                </c:pt>
                <c:pt idx="3">
                  <c:v>6.1134110739085257E-2</c:v>
                </c:pt>
                <c:pt idx="4">
                  <c:v>7.9776179715977502E-2</c:v>
                </c:pt>
                <c:pt idx="5">
                  <c:v>0.10088406538125319</c:v>
                </c:pt>
                <c:pt idx="6">
                  <c:v>0.1333602731366178</c:v>
                </c:pt>
                <c:pt idx="7">
                  <c:v>0.16700753764700063</c:v>
                </c:pt>
                <c:pt idx="8">
                  <c:v>0.20292269376041172</c:v>
                </c:pt>
                <c:pt idx="9">
                  <c:v>0.23889145458443983</c:v>
                </c:pt>
                <c:pt idx="10">
                  <c:v>0.27653020831615238</c:v>
                </c:pt>
                <c:pt idx="11">
                  <c:v>0.31896452192845015</c:v>
                </c:pt>
                <c:pt idx="12">
                  <c:v>0.36423576176417233</c:v>
                </c:pt>
                <c:pt idx="13">
                  <c:v>0.41197694172755617</c:v>
                </c:pt>
                <c:pt idx="14">
                  <c:v>0.46605584786158444</c:v>
                </c:pt>
                <c:pt idx="15">
                  <c:v>0.53867786042982735</c:v>
                </c:pt>
                <c:pt idx="16">
                  <c:v>0.62519173992643784</c:v>
                </c:pt>
                <c:pt idx="17">
                  <c:v>1</c:v>
                </c:pt>
              </c:numCache>
            </c:numRef>
          </c:xVal>
          <c:yVal>
            <c:numRef>
              <c:f>'SÃO JOÃO DEL REI'!$N$2:$N$19</c:f>
              <c:numCache>
                <c:formatCode>0.00</c:formatCode>
                <c:ptCount val="18"/>
                <c:pt idx="0">
                  <c:v>2.4353120243531201E-2</c:v>
                </c:pt>
                <c:pt idx="1">
                  <c:v>3.1963470319634701E-2</c:v>
                </c:pt>
                <c:pt idx="2">
                  <c:v>4.4140030441400302E-2</c:v>
                </c:pt>
                <c:pt idx="3">
                  <c:v>6.5449010654490103E-2</c:v>
                </c:pt>
                <c:pt idx="4">
                  <c:v>9.4368340943683404E-2</c:v>
                </c:pt>
                <c:pt idx="5">
                  <c:v>0.12024353120243531</c:v>
                </c:pt>
                <c:pt idx="6">
                  <c:v>0.14459665144596651</c:v>
                </c:pt>
                <c:pt idx="7">
                  <c:v>0.16133942161339421</c:v>
                </c:pt>
                <c:pt idx="8">
                  <c:v>0.16438356164383561</c:v>
                </c:pt>
                <c:pt idx="9">
                  <c:v>0.19482496194824961</c:v>
                </c:pt>
                <c:pt idx="10">
                  <c:v>0.24200913242009131</c:v>
                </c:pt>
                <c:pt idx="11">
                  <c:v>0.28006088280060881</c:v>
                </c:pt>
                <c:pt idx="12">
                  <c:v>0.33485540334855401</c:v>
                </c:pt>
                <c:pt idx="13">
                  <c:v>0.40943683409436832</c:v>
                </c:pt>
                <c:pt idx="14">
                  <c:v>0.47640791476407912</c:v>
                </c:pt>
                <c:pt idx="15">
                  <c:v>0.61035007610350078</c:v>
                </c:pt>
                <c:pt idx="16">
                  <c:v>0.71080669710806699</c:v>
                </c:pt>
                <c:pt idx="1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B0-4480-A053-6F7C1B3FB0EB}"/>
            </c:ext>
          </c:extLst>
        </c:ser>
        <c:ser>
          <c:idx val="2"/>
          <c:order val="2"/>
          <c:tx>
            <c:strRef>
              <c:f>'SÃO JOÃO DEL REI'!$O$1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'SÃO JOÃO DEL REI'!$I$2:$I$19</c:f>
              <c:numCache>
                <c:formatCode>0.00</c:formatCode>
                <c:ptCount val="18"/>
                <c:pt idx="0">
                  <c:v>1.2382688152534266E-2</c:v>
                </c:pt>
                <c:pt idx="1">
                  <c:v>2.66003067838823E-2</c:v>
                </c:pt>
                <c:pt idx="2">
                  <c:v>4.2842534100842829E-2</c:v>
                </c:pt>
                <c:pt idx="3">
                  <c:v>6.1134110739085257E-2</c:v>
                </c:pt>
                <c:pt idx="4">
                  <c:v>7.9776179715977502E-2</c:v>
                </c:pt>
                <c:pt idx="5">
                  <c:v>0.10088406538125319</c:v>
                </c:pt>
                <c:pt idx="6">
                  <c:v>0.1333602731366178</c:v>
                </c:pt>
                <c:pt idx="7">
                  <c:v>0.16700753764700063</c:v>
                </c:pt>
                <c:pt idx="8">
                  <c:v>0.20292269376041172</c:v>
                </c:pt>
                <c:pt idx="9">
                  <c:v>0.23889145458443983</c:v>
                </c:pt>
                <c:pt idx="10">
                  <c:v>0.27653020831615238</c:v>
                </c:pt>
                <c:pt idx="11">
                  <c:v>0.31896452192845015</c:v>
                </c:pt>
                <c:pt idx="12">
                  <c:v>0.36423576176417233</c:v>
                </c:pt>
                <c:pt idx="13">
                  <c:v>0.41197694172755617</c:v>
                </c:pt>
                <c:pt idx="14">
                  <c:v>0.46605584786158444</c:v>
                </c:pt>
                <c:pt idx="15">
                  <c:v>0.53867786042982735</c:v>
                </c:pt>
                <c:pt idx="16">
                  <c:v>0.62519173992643784</c:v>
                </c:pt>
                <c:pt idx="17">
                  <c:v>1</c:v>
                </c:pt>
              </c:numCache>
            </c:numRef>
          </c:xVal>
          <c:yVal>
            <c:numRef>
              <c:f>'SÃO JOÃO DEL REI'!$O$2:$O$19</c:f>
              <c:numCache>
                <c:formatCode>0.00</c:formatCode>
                <c:ptCount val="18"/>
                <c:pt idx="0">
                  <c:v>1.0903426791277258E-2</c:v>
                </c:pt>
                <c:pt idx="1">
                  <c:v>4.8286604361370715E-2</c:v>
                </c:pt>
                <c:pt idx="2">
                  <c:v>7.0093457943925228E-2</c:v>
                </c:pt>
                <c:pt idx="3">
                  <c:v>7.7881619937694699E-2</c:v>
                </c:pt>
                <c:pt idx="4">
                  <c:v>0.1059190031152648</c:v>
                </c:pt>
                <c:pt idx="5">
                  <c:v>0.13239875389408098</c:v>
                </c:pt>
                <c:pt idx="6">
                  <c:v>0.16043613707165108</c:v>
                </c:pt>
                <c:pt idx="7">
                  <c:v>0.1822429906542056</c:v>
                </c:pt>
                <c:pt idx="8">
                  <c:v>0.19003115264797507</c:v>
                </c:pt>
                <c:pt idx="9">
                  <c:v>0.22274143302180685</c:v>
                </c:pt>
                <c:pt idx="10">
                  <c:v>0.25389408099688471</c:v>
                </c:pt>
                <c:pt idx="11">
                  <c:v>0.3099688473520249</c:v>
                </c:pt>
                <c:pt idx="12">
                  <c:v>0.36292834890965731</c:v>
                </c:pt>
                <c:pt idx="13">
                  <c:v>0.40965732087227413</c:v>
                </c:pt>
                <c:pt idx="14">
                  <c:v>0.45327102803738317</c:v>
                </c:pt>
                <c:pt idx="15">
                  <c:v>0.59813084112149528</c:v>
                </c:pt>
                <c:pt idx="16">
                  <c:v>0.73831775700934577</c:v>
                </c:pt>
                <c:pt idx="1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DB0-4480-A053-6F7C1B3FB0EB}"/>
            </c:ext>
          </c:extLst>
        </c:ser>
        <c:ser>
          <c:idx val="3"/>
          <c:order val="3"/>
          <c:tx>
            <c:strRef>
              <c:f>'SÃO JOÃO DEL REI'!$P$1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'SÃO JOÃO DEL REI'!$I$2:$I$19</c:f>
              <c:numCache>
                <c:formatCode>0.00</c:formatCode>
                <c:ptCount val="18"/>
                <c:pt idx="0">
                  <c:v>1.2382688152534266E-2</c:v>
                </c:pt>
                <c:pt idx="1">
                  <c:v>2.66003067838823E-2</c:v>
                </c:pt>
                <c:pt idx="2">
                  <c:v>4.2842534100842829E-2</c:v>
                </c:pt>
                <c:pt idx="3">
                  <c:v>6.1134110739085257E-2</c:v>
                </c:pt>
                <c:pt idx="4">
                  <c:v>7.9776179715977502E-2</c:v>
                </c:pt>
                <c:pt idx="5">
                  <c:v>0.10088406538125319</c:v>
                </c:pt>
                <c:pt idx="6">
                  <c:v>0.1333602731366178</c:v>
                </c:pt>
                <c:pt idx="7">
                  <c:v>0.16700753764700063</c:v>
                </c:pt>
                <c:pt idx="8">
                  <c:v>0.20292269376041172</c:v>
                </c:pt>
                <c:pt idx="9">
                  <c:v>0.23889145458443983</c:v>
                </c:pt>
                <c:pt idx="10">
                  <c:v>0.27653020831615238</c:v>
                </c:pt>
                <c:pt idx="11">
                  <c:v>0.31896452192845015</c:v>
                </c:pt>
                <c:pt idx="12">
                  <c:v>0.36423576176417233</c:v>
                </c:pt>
                <c:pt idx="13">
                  <c:v>0.41197694172755617</c:v>
                </c:pt>
                <c:pt idx="14">
                  <c:v>0.46605584786158444</c:v>
                </c:pt>
                <c:pt idx="15">
                  <c:v>0.53867786042982735</c:v>
                </c:pt>
                <c:pt idx="16">
                  <c:v>0.62519173992643784</c:v>
                </c:pt>
                <c:pt idx="17">
                  <c:v>1</c:v>
                </c:pt>
              </c:numCache>
            </c:numRef>
          </c:xVal>
          <c:yVal>
            <c:numRef>
              <c:f>'SÃO JOÃO DEL REI'!$P$2:$P$19</c:f>
              <c:numCache>
                <c:formatCode>0.00</c:formatCode>
                <c:ptCount val="18"/>
                <c:pt idx="0">
                  <c:v>1.2500000000000001E-2</c:v>
                </c:pt>
                <c:pt idx="1">
                  <c:v>2.75E-2</c:v>
                </c:pt>
                <c:pt idx="2">
                  <c:v>4.4999999999999998E-2</c:v>
                </c:pt>
                <c:pt idx="3">
                  <c:v>7.7499999999999999E-2</c:v>
                </c:pt>
                <c:pt idx="4">
                  <c:v>0.1</c:v>
                </c:pt>
                <c:pt idx="5">
                  <c:v>0.13500000000000001</c:v>
                </c:pt>
                <c:pt idx="6">
                  <c:v>0.15000000000000002</c:v>
                </c:pt>
                <c:pt idx="7">
                  <c:v>0.18000000000000002</c:v>
                </c:pt>
                <c:pt idx="8">
                  <c:v>0.18250000000000002</c:v>
                </c:pt>
                <c:pt idx="9">
                  <c:v>0.22250000000000003</c:v>
                </c:pt>
                <c:pt idx="10">
                  <c:v>0.26750000000000002</c:v>
                </c:pt>
                <c:pt idx="11">
                  <c:v>0.3075</c:v>
                </c:pt>
                <c:pt idx="12">
                  <c:v>0.41</c:v>
                </c:pt>
                <c:pt idx="13">
                  <c:v>0.46749999999999997</c:v>
                </c:pt>
                <c:pt idx="14">
                  <c:v>0.51</c:v>
                </c:pt>
                <c:pt idx="15">
                  <c:v>0.62749999999999995</c:v>
                </c:pt>
                <c:pt idx="16">
                  <c:v>0.71249999999999991</c:v>
                </c:pt>
                <c:pt idx="17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DB0-4480-A053-6F7C1B3FB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5520480"/>
        <c:axId val="1285519040"/>
      </c:scatterChart>
      <c:valAx>
        <c:axId val="128552048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5519040"/>
        <c:crosses val="autoZero"/>
        <c:crossBetween val="midCat"/>
      </c:valAx>
      <c:valAx>
        <c:axId val="12855190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55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38100</xdr:colOff>
      <xdr:row>15</xdr:row>
      <xdr:rowOff>99060</xdr:rowOff>
    </xdr:from>
    <xdr:to>
      <xdr:col>23</xdr:col>
      <xdr:colOff>373380</xdr:colOff>
      <xdr:row>31</xdr:row>
      <xdr:rowOff>118110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DC1EE06-DD82-F856-953A-55C9FE1B76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76200</xdr:colOff>
      <xdr:row>0</xdr:row>
      <xdr:rowOff>179070</xdr:rowOff>
    </xdr:from>
    <xdr:to>
      <xdr:col>23</xdr:col>
      <xdr:colOff>381000</xdr:colOff>
      <xdr:row>15</xdr:row>
      <xdr:rowOff>34290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50763DD-5019-14DA-F269-46F4B9551F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121920</xdr:colOff>
      <xdr:row>0</xdr:row>
      <xdr:rowOff>19050</xdr:rowOff>
    </xdr:from>
    <xdr:to>
      <xdr:col>23</xdr:col>
      <xdr:colOff>426720</xdr:colOff>
      <xdr:row>14</xdr:row>
      <xdr:rowOff>57150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999E717-22F5-561E-DB73-972ABA5E7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114300</xdr:colOff>
      <xdr:row>14</xdr:row>
      <xdr:rowOff>87630</xdr:rowOff>
    </xdr:from>
    <xdr:to>
      <xdr:col>23</xdr:col>
      <xdr:colOff>419100</xdr:colOff>
      <xdr:row>29</xdr:row>
      <xdr:rowOff>87630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465EF4B-928E-5C72-E5CE-14F0DF321D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228600</xdr:colOff>
      <xdr:row>0</xdr:row>
      <xdr:rowOff>133350</xdr:rowOff>
    </xdr:from>
    <xdr:to>
      <xdr:col>23</xdr:col>
      <xdr:colOff>533400</xdr:colOff>
      <xdr:row>14</xdr:row>
      <xdr:rowOff>34290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9357A61-B19E-A095-9143-30BA9EB9C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190500</xdr:colOff>
      <xdr:row>14</xdr:row>
      <xdr:rowOff>95250</xdr:rowOff>
    </xdr:from>
    <xdr:to>
      <xdr:col>23</xdr:col>
      <xdr:colOff>495300</xdr:colOff>
      <xdr:row>28</xdr:row>
      <xdr:rowOff>95250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C22AB5B-3352-6E14-4B7A-6443501219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83820</xdr:colOff>
      <xdr:row>0</xdr:row>
      <xdr:rowOff>87630</xdr:rowOff>
    </xdr:from>
    <xdr:to>
      <xdr:col>23</xdr:col>
      <xdr:colOff>388620</xdr:colOff>
      <xdr:row>13</xdr:row>
      <xdr:rowOff>171450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F503EDB-F94A-D829-9D9E-627403FFEE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129540</xdr:colOff>
      <xdr:row>14</xdr:row>
      <xdr:rowOff>57150</xdr:rowOff>
    </xdr:from>
    <xdr:to>
      <xdr:col>23</xdr:col>
      <xdr:colOff>434340</xdr:colOff>
      <xdr:row>28</xdr:row>
      <xdr:rowOff>57150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5B2A480-E36C-6D18-F428-B044623DD3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AD3A1-19CF-4738-8583-70DD9B489537}">
  <dimension ref="A1:P35"/>
  <sheetViews>
    <sheetView topLeftCell="H10" workbookViewId="0">
      <selection activeCell="K35" sqref="K35:P35"/>
    </sheetView>
  </sheetViews>
  <sheetFormatPr defaultRowHeight="14.4" x14ac:dyDescent="0.3"/>
  <cols>
    <col min="3" max="3" width="13.21875" customWidth="1"/>
    <col min="4" max="4" width="14.44140625" customWidth="1"/>
    <col min="5" max="8" width="14" customWidth="1"/>
    <col min="11" max="13" width="9.6640625" customWidth="1"/>
    <col min="15" max="15" width="12" bestFit="1" customWidth="1"/>
  </cols>
  <sheetData>
    <row r="1" spans="1:16" ht="25.8" customHeight="1" x14ac:dyDescent="0.3">
      <c r="A1" s="2" t="s">
        <v>15</v>
      </c>
      <c r="B1" s="3" t="s">
        <v>16</v>
      </c>
      <c r="C1" s="4" t="s">
        <v>17</v>
      </c>
      <c r="D1" s="4" t="s">
        <v>18</v>
      </c>
      <c r="E1" s="4" t="s">
        <v>19</v>
      </c>
      <c r="F1" s="3" t="s">
        <v>20</v>
      </c>
      <c r="G1" s="4" t="s">
        <v>21</v>
      </c>
      <c r="H1" s="4" t="s">
        <v>22</v>
      </c>
      <c r="I1" s="6" t="s">
        <v>16</v>
      </c>
      <c r="J1" s="6" t="s">
        <v>16</v>
      </c>
      <c r="K1" s="7" t="s">
        <v>17</v>
      </c>
      <c r="L1" s="7" t="s">
        <v>18</v>
      </c>
      <c r="M1" s="7" t="s">
        <v>19</v>
      </c>
      <c r="N1" s="6" t="s">
        <v>20</v>
      </c>
      <c r="O1" s="7" t="s">
        <v>21</v>
      </c>
      <c r="P1" s="7" t="s">
        <v>22</v>
      </c>
    </row>
    <row r="2" spans="1:16" x14ac:dyDescent="0.3">
      <c r="A2" s="1" t="s">
        <v>9</v>
      </c>
      <c r="B2" s="10">
        <v>6.3075087211598834E-3</v>
      </c>
      <c r="C2" s="10">
        <v>6.41025641025641E-3</v>
      </c>
      <c r="D2" s="10">
        <v>2.0547945205479451E-2</v>
      </c>
      <c r="E2" s="10">
        <v>0</v>
      </c>
      <c r="F2" s="10">
        <v>1.2032085561497326E-2</v>
      </c>
      <c r="G2" s="10">
        <v>1.3972055888223553E-2</v>
      </c>
      <c r="H2" s="10">
        <v>1.7985611510791366E-2</v>
      </c>
      <c r="I2" s="10">
        <v>6.3075087211598834E-3</v>
      </c>
      <c r="J2" s="10">
        <v>6.3075087211598834E-3</v>
      </c>
      <c r="K2" s="10">
        <v>6.41025641025641E-3</v>
      </c>
      <c r="L2" s="10">
        <v>2.0547945205479451E-2</v>
      </c>
      <c r="M2" s="10">
        <v>2.1806853582554516E-2</v>
      </c>
      <c r="N2" s="10">
        <v>1.5936254980079681E-2</v>
      </c>
      <c r="O2" s="10">
        <v>9.2879256965944269E-3</v>
      </c>
      <c r="P2" s="10">
        <v>2.7607361963190184E-2</v>
      </c>
    </row>
    <row r="3" spans="1:16" x14ac:dyDescent="0.3">
      <c r="A3" s="1" t="s">
        <v>13</v>
      </c>
      <c r="B3" s="10">
        <v>1.0369760547510052E-2</v>
      </c>
      <c r="C3" s="10">
        <v>1.0683760683760684E-2</v>
      </c>
      <c r="D3" s="10">
        <v>0</v>
      </c>
      <c r="E3" s="10">
        <v>4.830917874396135E-3</v>
      </c>
      <c r="F3" s="10">
        <v>6.6844919786096255E-3</v>
      </c>
      <c r="G3" s="10">
        <v>7.9840319361277438E-3</v>
      </c>
      <c r="H3" s="10">
        <v>7.1942446043165471E-3</v>
      </c>
      <c r="I3" s="9">
        <v>1.6677269268669935E-2</v>
      </c>
      <c r="J3" s="9">
        <f>J2+B3</f>
        <v>1.6677269268669935E-2</v>
      </c>
      <c r="K3" s="9">
        <f t="shared" ref="K3:P16" si="0">K2+C3</f>
        <v>1.7094017094017096E-2</v>
      </c>
      <c r="L3" s="9">
        <f t="shared" si="0"/>
        <v>2.0547945205479451E-2</v>
      </c>
      <c r="M3" s="9">
        <f t="shared" si="0"/>
        <v>2.6637771456950652E-2</v>
      </c>
      <c r="N3" s="9">
        <f t="shared" si="0"/>
        <v>2.2620746958689306E-2</v>
      </c>
      <c r="O3" s="9">
        <f t="shared" si="0"/>
        <v>1.7271957632722171E-2</v>
      </c>
      <c r="P3" s="9">
        <f t="shared" si="0"/>
        <v>3.4801606567506735E-2</v>
      </c>
    </row>
    <row r="4" spans="1:16" x14ac:dyDescent="0.3">
      <c r="A4" s="1" t="s">
        <v>7</v>
      </c>
      <c r="B4" s="10">
        <v>1.1920650958184169E-2</v>
      </c>
      <c r="C4" s="10">
        <v>2.9914529914529916E-2</v>
      </c>
      <c r="D4" s="10">
        <v>2.7397260273972601E-2</v>
      </c>
      <c r="E4" s="10">
        <v>0</v>
      </c>
      <c r="F4" s="10">
        <v>6.6844919786096255E-3</v>
      </c>
      <c r="G4" s="10">
        <v>7.9840319361277438E-3</v>
      </c>
      <c r="H4" s="10">
        <v>1.4388489208633094E-2</v>
      </c>
      <c r="I4" s="9">
        <v>2.8597920226854104E-2</v>
      </c>
      <c r="J4" s="9">
        <f t="shared" ref="J4:J16" si="1">J3+B4</f>
        <v>2.8597920226854104E-2</v>
      </c>
      <c r="K4" s="9">
        <f t="shared" si="0"/>
        <v>4.7008547008547008E-2</v>
      </c>
      <c r="L4" s="9">
        <f t="shared" si="0"/>
        <v>4.7945205479452052E-2</v>
      </c>
      <c r="M4" s="9">
        <f t="shared" si="0"/>
        <v>2.6637771456950652E-2</v>
      </c>
      <c r="N4" s="9">
        <f t="shared" si="0"/>
        <v>2.930523893729893E-2</v>
      </c>
      <c r="O4" s="9">
        <f t="shared" si="0"/>
        <v>2.5255989568849915E-2</v>
      </c>
      <c r="P4" s="9">
        <f t="shared" si="0"/>
        <v>4.9190095776139829E-2</v>
      </c>
    </row>
    <row r="5" spans="1:16" x14ac:dyDescent="0.3">
      <c r="A5" s="1" t="s">
        <v>12</v>
      </c>
      <c r="B5" s="10">
        <v>1.4053645008253398E-2</v>
      </c>
      <c r="C5" s="10">
        <v>2.1367521367521368E-2</v>
      </c>
      <c r="D5" s="10">
        <v>2.7397260273972601E-2</v>
      </c>
      <c r="E5" s="10">
        <v>2.4154589371980676E-2</v>
      </c>
      <c r="F5" s="10">
        <v>1.2032085561497326E-2</v>
      </c>
      <c r="G5" s="10">
        <v>7.9840319361277438E-3</v>
      </c>
      <c r="H5" s="10">
        <v>2.1582733812949641E-2</v>
      </c>
      <c r="I5" s="9">
        <v>4.2651565235107505E-2</v>
      </c>
      <c r="J5" s="9">
        <f t="shared" si="1"/>
        <v>4.2651565235107505E-2</v>
      </c>
      <c r="K5" s="9">
        <f t="shared" si="0"/>
        <v>6.8376068376068383E-2</v>
      </c>
      <c r="L5" s="9">
        <f t="shared" si="0"/>
        <v>7.5342465753424653E-2</v>
      </c>
      <c r="M5" s="9">
        <f t="shared" si="0"/>
        <v>5.0792360828931328E-2</v>
      </c>
      <c r="N5" s="9">
        <f t="shared" si="0"/>
        <v>4.1337324498796256E-2</v>
      </c>
      <c r="O5" s="9">
        <f t="shared" si="0"/>
        <v>3.3240021504977658E-2</v>
      </c>
      <c r="P5" s="9">
        <f t="shared" si="0"/>
        <v>7.0772829589089467E-2</v>
      </c>
    </row>
    <row r="6" spans="1:16" x14ac:dyDescent="0.3">
      <c r="A6" s="1" t="s">
        <v>11</v>
      </c>
      <c r="B6" s="10">
        <v>1.823231756248259E-2</v>
      </c>
      <c r="C6" s="10">
        <v>2.564102564102564E-2</v>
      </c>
      <c r="D6" s="10">
        <v>1.3698630136986301E-2</v>
      </c>
      <c r="E6" s="10">
        <v>3.3816425120772944E-2</v>
      </c>
      <c r="F6" s="10">
        <v>1.7379679144385027E-2</v>
      </c>
      <c r="G6" s="10">
        <v>2.3952095808383235E-2</v>
      </c>
      <c r="H6" s="10">
        <v>2.5179856115107913E-2</v>
      </c>
      <c r="I6" s="9">
        <v>6.0883882797590091E-2</v>
      </c>
      <c r="J6" s="9">
        <f t="shared" si="1"/>
        <v>6.0883882797590091E-2</v>
      </c>
      <c r="K6" s="9">
        <f t="shared" si="0"/>
        <v>9.4017094017094016E-2</v>
      </c>
      <c r="L6" s="9">
        <f t="shared" si="0"/>
        <v>8.9041095890410954E-2</v>
      </c>
      <c r="M6" s="9">
        <f t="shared" si="0"/>
        <v>8.4608785949704279E-2</v>
      </c>
      <c r="N6" s="9">
        <f t="shared" si="0"/>
        <v>5.8717003643181283E-2</v>
      </c>
      <c r="O6" s="9">
        <f t="shared" si="0"/>
        <v>5.7192117313360893E-2</v>
      </c>
      <c r="P6" s="9">
        <f t="shared" si="0"/>
        <v>9.5952685704197377E-2</v>
      </c>
    </row>
    <row r="7" spans="1:16" x14ac:dyDescent="0.3">
      <c r="A7" s="1" t="s">
        <v>4</v>
      </c>
      <c r="B7" s="10">
        <v>1.9192788567484523E-2</v>
      </c>
      <c r="C7" s="10">
        <v>2.3504273504273504E-2</v>
      </c>
      <c r="D7" s="10">
        <v>2.7397260273972601E-2</v>
      </c>
      <c r="E7" s="10">
        <v>2.4154589371980676E-2</v>
      </c>
      <c r="F7" s="10">
        <v>1.4705882352941176E-2</v>
      </c>
      <c r="G7" s="10">
        <v>9.9800399201596807E-3</v>
      </c>
      <c r="H7" s="10">
        <v>1.4388489208633094E-2</v>
      </c>
      <c r="I7" s="9">
        <v>8.0076671365074611E-2</v>
      </c>
      <c r="J7" s="9">
        <f t="shared" si="1"/>
        <v>8.0076671365074611E-2</v>
      </c>
      <c r="K7" s="9">
        <f t="shared" si="0"/>
        <v>0.11752136752136752</v>
      </c>
      <c r="L7" s="9">
        <f t="shared" si="0"/>
        <v>0.11643835616438356</v>
      </c>
      <c r="M7" s="9">
        <f t="shared" si="0"/>
        <v>0.10876337532168495</v>
      </c>
      <c r="N7" s="9">
        <f t="shared" si="0"/>
        <v>7.3422885996122456E-2</v>
      </c>
      <c r="O7" s="9">
        <f t="shared" si="0"/>
        <v>6.7172157233520574E-2</v>
      </c>
      <c r="P7" s="9">
        <f t="shared" si="0"/>
        <v>0.11034117491283046</v>
      </c>
    </row>
    <row r="8" spans="1:16" x14ac:dyDescent="0.3">
      <c r="A8" s="1" t="s">
        <v>10</v>
      </c>
      <c r="B8" s="10">
        <v>2.0065944026577191E-2</v>
      </c>
      <c r="C8" s="10">
        <v>2.1367521367521368E-2</v>
      </c>
      <c r="D8" s="10">
        <v>2.0547945205479451E-2</v>
      </c>
      <c r="E8" s="10">
        <v>4.830917874396135E-3</v>
      </c>
      <c r="F8" s="10">
        <v>1.7379679144385027E-2</v>
      </c>
      <c r="G8" s="10">
        <v>1.7964071856287425E-2</v>
      </c>
      <c r="H8" s="10">
        <v>3.5971223021582736E-3</v>
      </c>
      <c r="I8" s="9">
        <v>0.1001426153916518</v>
      </c>
      <c r="J8" s="9">
        <f t="shared" si="1"/>
        <v>0.1001426153916518</v>
      </c>
      <c r="K8" s="9">
        <f t="shared" si="0"/>
        <v>0.1388888888888889</v>
      </c>
      <c r="L8" s="9">
        <f t="shared" si="0"/>
        <v>0.13698630136986301</v>
      </c>
      <c r="M8" s="9">
        <f t="shared" si="0"/>
        <v>0.11359429319608108</v>
      </c>
      <c r="N8" s="9">
        <f t="shared" si="0"/>
        <v>9.0802565140507482E-2</v>
      </c>
      <c r="O8" s="9">
        <f t="shared" si="0"/>
        <v>8.5136229089808002E-2</v>
      </c>
      <c r="P8" s="9">
        <f t="shared" si="0"/>
        <v>0.11393829721498874</v>
      </c>
    </row>
    <row r="9" spans="1:16" x14ac:dyDescent="0.3">
      <c r="A9" s="1" t="s">
        <v>8</v>
      </c>
      <c r="B9" s="10">
        <v>2.0785257809544006E-2</v>
      </c>
      <c r="C9" s="10">
        <v>4.4871794871794872E-2</v>
      </c>
      <c r="D9" s="10">
        <v>3.4246575342465752E-2</v>
      </c>
      <c r="E9" s="10">
        <v>9.6618357487922701E-3</v>
      </c>
      <c r="F9" s="10">
        <v>2.9411764705882353E-2</v>
      </c>
      <c r="G9" s="10">
        <v>4.3912175648702596E-2</v>
      </c>
      <c r="H9" s="10">
        <v>6.1151079136690649E-2</v>
      </c>
      <c r="I9" s="9">
        <v>0.1209278732011958</v>
      </c>
      <c r="J9" s="9">
        <f t="shared" si="1"/>
        <v>0.1209278732011958</v>
      </c>
      <c r="K9" s="9">
        <f t="shared" si="0"/>
        <v>0.18376068376068377</v>
      </c>
      <c r="L9" s="9">
        <f t="shared" si="0"/>
        <v>0.17123287671232876</v>
      </c>
      <c r="M9" s="9">
        <f t="shared" si="0"/>
        <v>0.12325612894487335</v>
      </c>
      <c r="N9" s="9">
        <f t="shared" si="0"/>
        <v>0.12021432984638983</v>
      </c>
      <c r="O9" s="9">
        <f t="shared" si="0"/>
        <v>0.12904840473851059</v>
      </c>
      <c r="P9" s="9">
        <f t="shared" si="0"/>
        <v>0.1750893763516794</v>
      </c>
    </row>
    <row r="10" spans="1:16" x14ac:dyDescent="0.3">
      <c r="A10" s="1" t="s">
        <v>6</v>
      </c>
      <c r="B10" s="10">
        <v>2.8319342056572158E-2</v>
      </c>
      <c r="C10" s="10">
        <v>2.1367521367521368E-2</v>
      </c>
      <c r="D10" s="10">
        <v>2.0547945205479451E-2</v>
      </c>
      <c r="E10" s="10">
        <v>0</v>
      </c>
      <c r="F10" s="10">
        <v>1.871657754010695E-2</v>
      </c>
      <c r="G10" s="10">
        <v>4.1916167664670656E-2</v>
      </c>
      <c r="H10" s="10">
        <v>5.0359712230215826E-2</v>
      </c>
      <c r="I10" s="9">
        <v>0.14924721525776796</v>
      </c>
      <c r="J10" s="9">
        <f t="shared" si="1"/>
        <v>0.14924721525776796</v>
      </c>
      <c r="K10" s="9">
        <f t="shared" si="0"/>
        <v>0.20512820512820515</v>
      </c>
      <c r="L10" s="9">
        <f t="shared" si="0"/>
        <v>0.19178082191780821</v>
      </c>
      <c r="M10" s="9">
        <f t="shared" si="0"/>
        <v>0.12325612894487335</v>
      </c>
      <c r="N10" s="9">
        <f t="shared" si="0"/>
        <v>0.13893090738649677</v>
      </c>
      <c r="O10" s="9">
        <f t="shared" si="0"/>
        <v>0.17096457240318125</v>
      </c>
      <c r="P10" s="9">
        <f t="shared" si="0"/>
        <v>0.22544908858189522</v>
      </c>
    </row>
    <row r="11" spans="1:16" x14ac:dyDescent="0.3">
      <c r="A11" s="1" t="s">
        <v>1</v>
      </c>
      <c r="B11" s="10">
        <v>2.9321391892959455E-2</v>
      </c>
      <c r="C11" s="10">
        <v>6.4102564102564097E-2</v>
      </c>
      <c r="D11" s="10">
        <v>2.7397260273972601E-2</v>
      </c>
      <c r="E11" s="10">
        <v>9.6618357487922701E-3</v>
      </c>
      <c r="F11" s="10">
        <v>2.4064171122994651E-2</v>
      </c>
      <c r="G11" s="10">
        <v>3.9920159680638723E-2</v>
      </c>
      <c r="H11" s="10">
        <v>1.4388489208633094E-2</v>
      </c>
      <c r="I11" s="9">
        <v>0.17856860715072742</v>
      </c>
      <c r="J11" s="9">
        <f t="shared" si="1"/>
        <v>0.17856860715072742</v>
      </c>
      <c r="K11" s="9">
        <f t="shared" si="0"/>
        <v>0.26923076923076927</v>
      </c>
      <c r="L11" s="9">
        <f t="shared" si="0"/>
        <v>0.21917808219178081</v>
      </c>
      <c r="M11" s="9">
        <f t="shared" si="0"/>
        <v>0.13291796469366562</v>
      </c>
      <c r="N11" s="9">
        <f t="shared" si="0"/>
        <v>0.16299507850949141</v>
      </c>
      <c r="O11" s="9">
        <f t="shared" si="0"/>
        <v>0.21088473208381997</v>
      </c>
      <c r="P11" s="9">
        <f t="shared" si="0"/>
        <v>0.23983757779052831</v>
      </c>
    </row>
    <row r="12" spans="1:16" x14ac:dyDescent="0.3">
      <c r="A12" s="1" t="s">
        <v>14</v>
      </c>
      <c r="B12" s="10">
        <v>4.3549667993031387E-2</v>
      </c>
      <c r="C12" s="10">
        <v>5.3418803418803416E-2</v>
      </c>
      <c r="D12" s="10">
        <v>2.0547945205479451E-2</v>
      </c>
      <c r="E12" s="10">
        <v>2.8985507246376812E-2</v>
      </c>
      <c r="F12" s="10">
        <v>8.4224598930481287E-2</v>
      </c>
      <c r="G12" s="10">
        <v>8.5828343313373259E-2</v>
      </c>
      <c r="H12" s="10">
        <v>7.5539568345323743E-2</v>
      </c>
      <c r="I12" s="9">
        <v>0.22211827514375881</v>
      </c>
      <c r="J12" s="9">
        <f t="shared" si="1"/>
        <v>0.22211827514375881</v>
      </c>
      <c r="K12" s="9">
        <f t="shared" si="0"/>
        <v>0.32264957264957267</v>
      </c>
      <c r="L12" s="9">
        <f t="shared" si="0"/>
        <v>0.23972602739726026</v>
      </c>
      <c r="M12" s="9">
        <f t="shared" si="0"/>
        <v>0.16190347194004243</v>
      </c>
      <c r="N12" s="9">
        <f t="shared" si="0"/>
        <v>0.2472196774399727</v>
      </c>
      <c r="O12" s="9">
        <f t="shared" si="0"/>
        <v>0.29671307539719322</v>
      </c>
      <c r="P12" s="9">
        <f t="shared" si="0"/>
        <v>0.31537714613585205</v>
      </c>
    </row>
    <row r="13" spans="1:16" x14ac:dyDescent="0.3">
      <c r="A13" s="1" t="s">
        <v>2</v>
      </c>
      <c r="B13" s="10">
        <v>4.4584980894526977E-2</v>
      </c>
      <c r="C13" s="10">
        <v>4.7008547008547008E-2</v>
      </c>
      <c r="D13" s="10">
        <v>3.4246575342465752E-2</v>
      </c>
      <c r="E13" s="10">
        <v>2.4154589371980676E-2</v>
      </c>
      <c r="F13" s="10">
        <v>4.6791443850267379E-2</v>
      </c>
      <c r="G13" s="10">
        <v>8.9820359281437126E-2</v>
      </c>
      <c r="H13" s="10">
        <v>8.9928057553956831E-2</v>
      </c>
      <c r="I13" s="9">
        <v>0.26670325603828582</v>
      </c>
      <c r="J13" s="9">
        <f t="shared" si="1"/>
        <v>0.26670325603828582</v>
      </c>
      <c r="K13" s="9">
        <f t="shared" si="0"/>
        <v>0.36965811965811968</v>
      </c>
      <c r="L13" s="9">
        <f t="shared" si="0"/>
        <v>0.27397260273972601</v>
      </c>
      <c r="M13" s="9">
        <f t="shared" si="0"/>
        <v>0.1860580613120231</v>
      </c>
      <c r="N13" s="9">
        <f t="shared" si="0"/>
        <v>0.2940111212902401</v>
      </c>
      <c r="O13" s="9">
        <f t="shared" si="0"/>
        <v>0.38653343467863033</v>
      </c>
      <c r="P13" s="9">
        <f t="shared" si="0"/>
        <v>0.40530520368980888</v>
      </c>
    </row>
    <row r="14" spans="1:16" x14ac:dyDescent="0.3">
      <c r="A14" s="1" t="s">
        <v>3</v>
      </c>
      <c r="B14" s="10">
        <v>4.7695077482152286E-2</v>
      </c>
      <c r="C14" s="10">
        <v>5.5555555555555552E-2</v>
      </c>
      <c r="D14" s="10">
        <v>1.3698630136986301E-2</v>
      </c>
      <c r="E14" s="10">
        <v>1.932367149758454E-2</v>
      </c>
      <c r="F14" s="10">
        <v>5.0802139037433157E-2</v>
      </c>
      <c r="G14" s="10">
        <v>2.9940119760479042E-2</v>
      </c>
      <c r="H14" s="10">
        <v>6.83453237410072E-2</v>
      </c>
      <c r="I14" s="9">
        <v>0.31439833352043811</v>
      </c>
      <c r="J14" s="9">
        <f t="shared" si="1"/>
        <v>0.31439833352043811</v>
      </c>
      <c r="K14" s="9">
        <f t="shared" si="0"/>
        <v>0.42521367521367526</v>
      </c>
      <c r="L14" s="9">
        <f t="shared" si="0"/>
        <v>0.28767123287671231</v>
      </c>
      <c r="M14" s="9">
        <f t="shared" si="0"/>
        <v>0.20538173280960764</v>
      </c>
      <c r="N14" s="9">
        <f t="shared" si="0"/>
        <v>0.34481326032767323</v>
      </c>
      <c r="O14" s="9">
        <f t="shared" si="0"/>
        <v>0.41647355443910938</v>
      </c>
      <c r="P14" s="9">
        <f t="shared" si="0"/>
        <v>0.47365052743081609</v>
      </c>
    </row>
    <row r="15" spans="1:16" x14ac:dyDescent="0.3">
      <c r="A15" s="1" t="s">
        <v>5</v>
      </c>
      <c r="B15" s="10">
        <v>0.10740227935153654</v>
      </c>
      <c r="C15" s="10">
        <v>0.16666666666666666</v>
      </c>
      <c r="D15" s="10">
        <v>0.32191780821917809</v>
      </c>
      <c r="E15" s="10">
        <v>0.22222222222222221</v>
      </c>
      <c r="F15" s="10">
        <v>0.12299465240641712</v>
      </c>
      <c r="G15" s="10">
        <v>0.13572854291417166</v>
      </c>
      <c r="H15" s="10">
        <v>0.15467625899280577</v>
      </c>
      <c r="I15" s="9">
        <v>0.42180061287197468</v>
      </c>
      <c r="J15" s="9">
        <f t="shared" si="1"/>
        <v>0.42180061287197468</v>
      </c>
      <c r="K15" s="9">
        <f t="shared" si="0"/>
        <v>0.59188034188034189</v>
      </c>
      <c r="L15" s="9">
        <f t="shared" si="0"/>
        <v>0.6095890410958904</v>
      </c>
      <c r="M15" s="9">
        <f t="shared" si="0"/>
        <v>0.42760395503182985</v>
      </c>
      <c r="N15" s="9">
        <f t="shared" si="0"/>
        <v>0.46780791273409034</v>
      </c>
      <c r="O15" s="9">
        <f t="shared" si="0"/>
        <v>0.55220209735328107</v>
      </c>
      <c r="P15" s="9">
        <f t="shared" si="0"/>
        <v>0.62832678642362183</v>
      </c>
    </row>
    <row r="16" spans="1:16" x14ac:dyDescent="0.3">
      <c r="A16" s="1" t="s">
        <v>0</v>
      </c>
      <c r="B16" s="10">
        <v>0.57819938712802543</v>
      </c>
      <c r="C16" s="10">
        <v>0.40811965811965811</v>
      </c>
      <c r="D16" s="10">
        <v>0.3904109589041096</v>
      </c>
      <c r="E16" s="10">
        <v>0.59420289855072461</v>
      </c>
      <c r="F16" s="10">
        <v>0.53609625668449201</v>
      </c>
      <c r="G16" s="10">
        <v>0.44311377245508982</v>
      </c>
      <c r="H16" s="10">
        <v>0.38129496402877699</v>
      </c>
      <c r="I16" s="9">
        <v>1</v>
      </c>
      <c r="J16" s="9">
        <f t="shared" si="1"/>
        <v>1</v>
      </c>
      <c r="K16" s="9">
        <f t="shared" si="0"/>
        <v>1</v>
      </c>
      <c r="L16" s="9">
        <f t="shared" si="0"/>
        <v>1</v>
      </c>
      <c r="M16" s="9">
        <f t="shared" si="0"/>
        <v>1.0218068535825544</v>
      </c>
      <c r="N16" s="9">
        <f t="shared" si="0"/>
        <v>1.0039041694185824</v>
      </c>
      <c r="O16" s="9">
        <f t="shared" si="0"/>
        <v>0.99531586980837083</v>
      </c>
      <c r="P16" s="9">
        <f t="shared" si="0"/>
        <v>1.0096217504523988</v>
      </c>
    </row>
    <row r="18" spans="2:16" x14ac:dyDescent="0.3">
      <c r="B18" s="2" t="s">
        <v>15</v>
      </c>
      <c r="C18" s="4" t="s">
        <v>23</v>
      </c>
      <c r="D18" s="4" t="s">
        <v>24</v>
      </c>
      <c r="E18" s="4" t="s">
        <v>25</v>
      </c>
      <c r="F18" s="4" t="s">
        <v>26</v>
      </c>
      <c r="G18" s="4" t="s">
        <v>27</v>
      </c>
      <c r="H18" s="4" t="s">
        <v>28</v>
      </c>
      <c r="J18" s="8"/>
      <c r="K18" s="11" t="s">
        <v>29</v>
      </c>
      <c r="L18" s="11" t="s">
        <v>30</v>
      </c>
      <c r="M18" s="11" t="s">
        <v>31</v>
      </c>
      <c r="N18" s="11" t="s">
        <v>32</v>
      </c>
      <c r="O18" s="11" t="s">
        <v>33</v>
      </c>
      <c r="P18" s="11" t="s">
        <v>34</v>
      </c>
    </row>
    <row r="19" spans="2:16" x14ac:dyDescent="0.3">
      <c r="B19" s="1" t="s">
        <v>9</v>
      </c>
      <c r="C19" s="9">
        <f>C2-B2</f>
        <v>1.0274768909652662E-4</v>
      </c>
      <c r="D19" s="9">
        <f>D2-B2</f>
        <v>1.4240436484319568E-2</v>
      </c>
      <c r="E19" s="9">
        <f>E2-B2</f>
        <v>-6.3075087211598834E-3</v>
      </c>
      <c r="F19" s="9">
        <f>F2-B2</f>
        <v>5.7245768403374423E-3</v>
      </c>
      <c r="G19" s="9">
        <f>G2-B2</f>
        <v>7.6645471670636692E-3</v>
      </c>
      <c r="H19" s="9">
        <f>H2-B2</f>
        <v>1.1678102789631483E-2</v>
      </c>
      <c r="J19" s="1" t="s">
        <v>9</v>
      </c>
      <c r="K19" s="8">
        <f>(J2-0) * ((K2+0))</f>
        <v>4.0432748212563353E-5</v>
      </c>
      <c r="L19" s="8">
        <f>(J2-0) * ((L2+0))</f>
        <v>1.2960634358547704E-4</v>
      </c>
      <c r="M19" s="8">
        <f>(J2-0) * ((M2+0))</f>
        <v>1.3754691915301927E-4</v>
      </c>
      <c r="N19" s="8">
        <f>(J2-0) * ((N2+0))</f>
        <v>1.0051806726948022E-4</v>
      </c>
      <c r="O19" s="8">
        <f>(J2-0) * ((O2+0))</f>
        <v>5.8583672332754335E-5</v>
      </c>
      <c r="P19" s="8">
        <f>(J2-0) * ((P2+0))</f>
        <v>1.7413367635103972E-4</v>
      </c>
    </row>
    <row r="20" spans="2:16" x14ac:dyDescent="0.3">
      <c r="B20" s="1" t="s">
        <v>13</v>
      </c>
      <c r="C20" s="9">
        <f t="shared" ref="C20:C33" si="2">C3-B3</f>
        <v>3.1400013625063235E-4</v>
      </c>
      <c r="D20" s="9">
        <f t="shared" ref="D20:D33" si="3">D3-B3</f>
        <v>-1.0369760547510052E-2</v>
      </c>
      <c r="E20" s="9">
        <f t="shared" ref="E20:E32" si="4">E3-B3</f>
        <v>-5.5388426731139166E-3</v>
      </c>
      <c r="F20" s="9">
        <f t="shared" ref="F20:F33" si="5">F3-B3</f>
        <v>-3.6852685689004261E-3</v>
      </c>
      <c r="G20" s="9">
        <f t="shared" ref="G20:G33" si="6">G3-B3</f>
        <v>-2.3857286113823078E-3</v>
      </c>
      <c r="H20" s="9">
        <f t="shared" ref="H20:H33" si="7">H3-B3</f>
        <v>-3.1755159431935045E-3</v>
      </c>
      <c r="J20" s="1" t="s">
        <v>13</v>
      </c>
      <c r="K20" s="8">
        <f>(J3-J2) * ((K3+K2))</f>
        <v>2.4373368808250121E-4</v>
      </c>
      <c r="L20" s="8">
        <f>(J3-J2) * ((L3+L2))</f>
        <v>4.2615454304835827E-4</v>
      </c>
      <c r="M20" s="8">
        <f>(J3-J2) * ((M3+M2))</f>
        <v>5.0235916147357829E-4</v>
      </c>
      <c r="N20" s="8">
        <f>(J3-J2) * ((N3+N2))</f>
        <v>3.9982687753491522E-4</v>
      </c>
      <c r="O20" s="8">
        <f>(J3-J2) * ((O3+O2))</f>
        <v>2.7541963029481715E-4</v>
      </c>
      <c r="P20" s="8">
        <f>(J3-J2) * ((P3+P2))</f>
        <v>6.4716605968041731E-4</v>
      </c>
    </row>
    <row r="21" spans="2:16" x14ac:dyDescent="0.3">
      <c r="B21" s="1" t="s">
        <v>7</v>
      </c>
      <c r="C21" s="9">
        <f t="shared" si="2"/>
        <v>1.7993878956345747E-2</v>
      </c>
      <c r="D21" s="9">
        <f t="shared" si="3"/>
        <v>1.5476609315788432E-2</v>
      </c>
      <c r="E21" s="9">
        <f t="shared" si="4"/>
        <v>-1.1920650958184169E-2</v>
      </c>
      <c r="F21" s="9">
        <f t="shared" si="5"/>
        <v>-5.2361589795745433E-3</v>
      </c>
      <c r="G21" s="9">
        <f t="shared" si="6"/>
        <v>-3.936619022056425E-3</v>
      </c>
      <c r="H21" s="9">
        <f t="shared" si="7"/>
        <v>2.4678382504489255E-3</v>
      </c>
      <c r="J21" s="1" t="s">
        <v>7</v>
      </c>
      <c r="K21" s="8">
        <f t="shared" ref="K21:K33" si="8">(J4-J3) * ((K4+K3))</f>
        <v>7.6414429219129278E-4</v>
      </c>
      <c r="L21" s="8">
        <f t="shared" ref="L21:L33" si="9">(J4-J3) * ((L4+L3))</f>
        <v>8.1648294234138135E-4</v>
      </c>
      <c r="M21" s="8">
        <f t="shared" ref="M21:M33" si="10">(J4-J3) * ((M4+M3))</f>
        <v>6.3507915168437934E-4</v>
      </c>
      <c r="N21" s="8">
        <f t="shared" ref="N21:N33" si="11">(J4-J3) * ((N4+N3))</f>
        <v>6.1899155352566979E-4</v>
      </c>
      <c r="O21" s="8">
        <f t="shared" ref="O21:O33" si="12">(J4-J3) * ((O4+O3))</f>
        <v>5.0696081455802605E-4</v>
      </c>
      <c r="P21" s="8">
        <f t="shared" ref="P21:P33" si="13">(J4-J3) * ((P4+P3))</f>
        <v>1.0012357670223099E-3</v>
      </c>
    </row>
    <row r="22" spans="2:16" x14ac:dyDescent="0.3">
      <c r="B22" s="1" t="s">
        <v>12</v>
      </c>
      <c r="C22" s="9">
        <f t="shared" si="2"/>
        <v>7.3138763592679699E-3</v>
      </c>
      <c r="D22" s="9">
        <f t="shared" si="3"/>
        <v>1.3343615265719203E-2</v>
      </c>
      <c r="E22" s="9">
        <f t="shared" si="4"/>
        <v>1.0100944363727278E-2</v>
      </c>
      <c r="F22" s="9">
        <f t="shared" si="5"/>
        <v>-2.0215594467560723E-3</v>
      </c>
      <c r="G22" s="9">
        <f t="shared" si="6"/>
        <v>-6.0696130721256542E-3</v>
      </c>
      <c r="H22" s="9">
        <f t="shared" si="7"/>
        <v>7.5290888046962434E-3</v>
      </c>
      <c r="J22" s="1" t="s">
        <v>12</v>
      </c>
      <c r="K22" s="8">
        <f t="shared" si="8"/>
        <v>1.6215744240292388E-3</v>
      </c>
      <c r="L22" s="8">
        <f t="shared" si="9"/>
        <v>1.7326411654011041E-3</v>
      </c>
      <c r="M22" s="8">
        <f t="shared" si="10"/>
        <v>1.0881755920878859E-3</v>
      </c>
      <c r="N22" s="8">
        <f t="shared" si="11"/>
        <v>9.927855090039032E-4</v>
      </c>
      <c r="O22" s="8">
        <f t="shared" si="12"/>
        <v>8.2208217403043256E-4</v>
      </c>
      <c r="P22" s="8">
        <f t="shared" si="13"/>
        <v>1.6859163672345299E-3</v>
      </c>
    </row>
    <row r="23" spans="2:16" x14ac:dyDescent="0.3">
      <c r="B23" s="1" t="s">
        <v>11</v>
      </c>
      <c r="C23" s="9">
        <f t="shared" si="2"/>
        <v>7.4087080785430505E-3</v>
      </c>
      <c r="D23" s="9">
        <f t="shared" si="3"/>
        <v>-4.533687425496289E-3</v>
      </c>
      <c r="E23" s="9">
        <f t="shared" si="4"/>
        <v>1.5584107558290355E-2</v>
      </c>
      <c r="F23" s="9">
        <f t="shared" si="5"/>
        <v>-8.5263841809756283E-4</v>
      </c>
      <c r="G23" s="9">
        <f t="shared" si="6"/>
        <v>5.7197782459006453E-3</v>
      </c>
      <c r="H23" s="9">
        <f t="shared" si="7"/>
        <v>6.9475385526253236E-3</v>
      </c>
      <c r="J23" s="1" t="s">
        <v>11</v>
      </c>
      <c r="K23" s="8">
        <f t="shared" si="8"/>
        <v>2.9608037067279415E-3</v>
      </c>
      <c r="L23" s="8">
        <f t="shared" si="9"/>
        <v>2.9970932979423428E-3</v>
      </c>
      <c r="M23" s="8">
        <f t="shared" si="10"/>
        <v>2.4686767063924002E-3</v>
      </c>
      <c r="N23" s="8">
        <f t="shared" si="11"/>
        <v>1.8242222841853728E-3</v>
      </c>
      <c r="O23" s="8">
        <f t="shared" si="12"/>
        <v>1.6487874727904573E-3</v>
      </c>
      <c r="P23" s="8">
        <f t="shared" si="13"/>
        <v>3.0397925405957526E-3</v>
      </c>
    </row>
    <row r="24" spans="2:16" x14ac:dyDescent="0.3">
      <c r="B24" s="1" t="s">
        <v>4</v>
      </c>
      <c r="C24" s="9">
        <f t="shared" si="2"/>
        <v>4.3114849367889806E-3</v>
      </c>
      <c r="D24" s="9">
        <f t="shared" si="3"/>
        <v>8.2044717064880777E-3</v>
      </c>
      <c r="E24" s="9">
        <f t="shared" si="4"/>
        <v>4.9618008044961526E-3</v>
      </c>
      <c r="F24" s="9">
        <f t="shared" si="5"/>
        <v>-4.4869062145433472E-3</v>
      </c>
      <c r="G24" s="9">
        <f t="shared" si="6"/>
        <v>-9.2127486473248428E-3</v>
      </c>
      <c r="H24" s="9">
        <f t="shared" si="7"/>
        <v>-4.8042993588514292E-3</v>
      </c>
      <c r="J24" s="1" t="s">
        <v>4</v>
      </c>
      <c r="K24" s="8">
        <f t="shared" si="8"/>
        <v>4.060012966198648E-3</v>
      </c>
      <c r="L24" s="8">
        <f t="shared" si="9"/>
        <v>3.9437236782502438E-3</v>
      </c>
      <c r="M24" s="8">
        <f t="shared" si="10"/>
        <v>3.711351006119292E-3</v>
      </c>
      <c r="N24" s="8">
        <f t="shared" si="11"/>
        <v>2.5361329631778946E-3</v>
      </c>
      <c r="O24" s="8">
        <f t="shared" si="12"/>
        <v>2.3868972267268927E-3</v>
      </c>
      <c r="P24" s="8">
        <f t="shared" si="13"/>
        <v>3.9593544495927372E-3</v>
      </c>
    </row>
    <row r="25" spans="2:16" x14ac:dyDescent="0.3">
      <c r="B25" s="1" t="s">
        <v>10</v>
      </c>
      <c r="C25" s="9">
        <f t="shared" si="2"/>
        <v>1.3015773409441773E-3</v>
      </c>
      <c r="D25" s="9">
        <f t="shared" si="3"/>
        <v>4.8200117890226032E-4</v>
      </c>
      <c r="E25" s="9">
        <f t="shared" si="4"/>
        <v>-1.5235026152181055E-2</v>
      </c>
      <c r="F25" s="9">
        <f t="shared" si="5"/>
        <v>-2.6862648821921638E-3</v>
      </c>
      <c r="G25" s="9">
        <f t="shared" si="6"/>
        <v>-2.1018721702897661E-3</v>
      </c>
      <c r="H25" s="9">
        <f t="shared" si="7"/>
        <v>-1.6468821724418915E-2</v>
      </c>
      <c r="J25" s="1" t="s">
        <v>10</v>
      </c>
      <c r="K25" s="8">
        <f t="shared" si="8"/>
        <v>5.145113852968509E-3</v>
      </c>
      <c r="L25" s="8">
        <f t="shared" si="9"/>
        <v>5.0852049930366844E-3</v>
      </c>
      <c r="M25" s="8">
        <f t="shared" si="10"/>
        <v>4.4618165303576974E-3</v>
      </c>
      <c r="N25" s="8">
        <f t="shared" si="11"/>
        <v>3.2953387102470037E-3</v>
      </c>
      <c r="O25" s="8">
        <f t="shared" si="12"/>
        <v>3.0562115547422054E-3</v>
      </c>
      <c r="P25" s="8">
        <f t="shared" si="13"/>
        <v>4.5003793340270982E-3</v>
      </c>
    </row>
    <row r="26" spans="2:16" x14ac:dyDescent="0.3">
      <c r="B26" s="1" t="s">
        <v>8</v>
      </c>
      <c r="C26" s="9">
        <f t="shared" si="2"/>
        <v>2.4086537062250866E-2</v>
      </c>
      <c r="D26" s="9">
        <f t="shared" si="3"/>
        <v>1.3461317532921745E-2</v>
      </c>
      <c r="E26" s="9">
        <f t="shared" si="4"/>
        <v>-1.1123422060751736E-2</v>
      </c>
      <c r="F26" s="9">
        <f t="shared" si="5"/>
        <v>8.6265068963383464E-3</v>
      </c>
      <c r="G26" s="9">
        <f t="shared" si="6"/>
        <v>2.312691783915859E-2</v>
      </c>
      <c r="H26" s="9">
        <f t="shared" si="7"/>
        <v>4.0365821327146639E-2</v>
      </c>
      <c r="J26" s="1" t="s">
        <v>8</v>
      </c>
      <c r="K26" s="8">
        <f t="shared" si="8"/>
        <v>6.7063545496605656E-3</v>
      </c>
      <c r="L26" s="8">
        <f t="shared" si="9"/>
        <v>6.4064150782841105E-3</v>
      </c>
      <c r="M26" s="8">
        <f t="shared" si="10"/>
        <v>4.9229970864990667E-3</v>
      </c>
      <c r="N26" s="8">
        <f t="shared" si="11"/>
        <v>4.3860405644721339E-3</v>
      </c>
      <c r="O26" s="8">
        <f t="shared" si="12"/>
        <v>4.4518828329643814E-3</v>
      </c>
      <c r="P26" s="8">
        <f t="shared" si="13"/>
        <v>6.007514709175924E-3</v>
      </c>
    </row>
    <row r="27" spans="2:16" x14ac:dyDescent="0.3">
      <c r="B27" s="1" t="s">
        <v>6</v>
      </c>
      <c r="C27" s="9">
        <f t="shared" si="2"/>
        <v>-6.9518206890507896E-3</v>
      </c>
      <c r="D27" s="9">
        <f t="shared" si="3"/>
        <v>-7.7713968510927066E-3</v>
      </c>
      <c r="E27" s="9">
        <f t="shared" si="4"/>
        <v>-2.8319342056572158E-2</v>
      </c>
      <c r="F27" s="9">
        <f t="shared" si="5"/>
        <v>-9.6027645164652072E-3</v>
      </c>
      <c r="G27" s="9">
        <f t="shared" si="6"/>
        <v>1.3596825608098499E-2</v>
      </c>
      <c r="H27" s="9">
        <f t="shared" si="7"/>
        <v>2.2040370173643669E-2</v>
      </c>
      <c r="J27" s="1" t="s">
        <v>6</v>
      </c>
      <c r="K27" s="8">
        <f t="shared" si="8"/>
        <v>1.1013077466444731E-2</v>
      </c>
      <c r="L27" s="8">
        <f t="shared" si="9"/>
        <v>1.0280309102728251E-2</v>
      </c>
      <c r="M27" s="8">
        <f t="shared" si="10"/>
        <v>6.9810649523176661E-3</v>
      </c>
      <c r="N27" s="8">
        <f t="shared" si="11"/>
        <v>7.3388226155296559E-3</v>
      </c>
      <c r="O27" s="8">
        <f t="shared" si="12"/>
        <v>8.4961701210861367E-3</v>
      </c>
      <c r="P27" s="8">
        <f t="shared" si="13"/>
        <v>1.1342985795268233E-2</v>
      </c>
    </row>
    <row r="28" spans="2:16" x14ac:dyDescent="0.3">
      <c r="B28" s="1" t="s">
        <v>1</v>
      </c>
      <c r="C28" s="9">
        <f t="shared" si="2"/>
        <v>3.4781172209604638E-2</v>
      </c>
      <c r="D28" s="9">
        <f t="shared" si="3"/>
        <v>-1.9241316189868539E-3</v>
      </c>
      <c r="E28" s="9">
        <f t="shared" si="4"/>
        <v>-1.9659556144167187E-2</v>
      </c>
      <c r="F28" s="9">
        <f t="shared" si="5"/>
        <v>-5.2572207699648037E-3</v>
      </c>
      <c r="G28" s="9">
        <f t="shared" si="6"/>
        <v>1.0598767787679268E-2</v>
      </c>
      <c r="H28" s="9">
        <f t="shared" si="7"/>
        <v>-1.4932902684326361E-2</v>
      </c>
      <c r="J28" s="1" t="s">
        <v>1</v>
      </c>
      <c r="K28" s="8">
        <f t="shared" si="8"/>
        <v>1.3908865385121797E-2</v>
      </c>
      <c r="L28" s="8">
        <f t="shared" si="9"/>
        <v>1.2049887079298407E-2</v>
      </c>
      <c r="M28" s="8">
        <f t="shared" si="10"/>
        <v>7.5113809923992945E-3</v>
      </c>
      <c r="N28" s="8">
        <f t="shared" si="11"/>
        <v>8.8528901551244189E-3</v>
      </c>
      <c r="O28" s="8">
        <f t="shared" si="12"/>
        <v>1.1196353100917366E-2</v>
      </c>
      <c r="P28" s="8">
        <f t="shared" si="13"/>
        <v>1.3642852687274512E-2</v>
      </c>
    </row>
    <row r="29" spans="2:16" x14ac:dyDescent="0.3">
      <c r="B29" s="1" t="s">
        <v>14</v>
      </c>
      <c r="C29" s="9">
        <f t="shared" si="2"/>
        <v>9.8691354257720298E-3</v>
      </c>
      <c r="D29" s="9">
        <f t="shared" si="3"/>
        <v>-2.3001722787551936E-2</v>
      </c>
      <c r="E29" s="9">
        <f t="shared" si="4"/>
        <v>-1.4564160746654575E-2</v>
      </c>
      <c r="F29" s="9">
        <f t="shared" si="5"/>
        <v>4.06749309374499E-2</v>
      </c>
      <c r="G29" s="9">
        <f t="shared" si="6"/>
        <v>4.2278675320341873E-2</v>
      </c>
      <c r="H29" s="9">
        <f t="shared" si="7"/>
        <v>3.1989900352292357E-2</v>
      </c>
      <c r="J29" s="1" t="s">
        <v>14</v>
      </c>
      <c r="K29" s="8">
        <f t="shared" si="8"/>
        <v>2.5776192380490809E-2</v>
      </c>
      <c r="L29" s="8">
        <f t="shared" si="9"/>
        <v>1.9985121613240432E-2</v>
      </c>
      <c r="M29" s="8">
        <f t="shared" si="10"/>
        <v>1.283937568262653E-2</v>
      </c>
      <c r="N29" s="8">
        <f t="shared" si="11"/>
        <v>1.7864716427441561E-2</v>
      </c>
      <c r="O29" s="8">
        <f t="shared" si="12"/>
        <v>2.2105715989788794E-2</v>
      </c>
      <c r="P29" s="8">
        <f t="shared" si="13"/>
        <v>2.4179416891836451E-2</v>
      </c>
    </row>
    <row r="30" spans="2:16" x14ac:dyDescent="0.3">
      <c r="B30" s="1" t="s">
        <v>2</v>
      </c>
      <c r="C30" s="9">
        <f t="shared" si="2"/>
        <v>2.4235661140200315E-3</v>
      </c>
      <c r="D30" s="9">
        <f t="shared" si="3"/>
        <v>-1.0338405552061225E-2</v>
      </c>
      <c r="E30" s="9">
        <f t="shared" si="4"/>
        <v>-2.0430391522546301E-2</v>
      </c>
      <c r="F30" s="9">
        <f t="shared" si="5"/>
        <v>2.2064629557404028E-3</v>
      </c>
      <c r="G30" s="9">
        <f t="shared" si="6"/>
        <v>4.5235378386910149E-2</v>
      </c>
      <c r="H30" s="9">
        <f t="shared" si="7"/>
        <v>4.5343076659429854E-2</v>
      </c>
      <c r="J30" s="1" t="s">
        <v>2</v>
      </c>
      <c r="K30" s="8">
        <f t="shared" si="8"/>
        <v>3.0866525234672541E-2</v>
      </c>
      <c r="L30" s="8">
        <f t="shared" si="9"/>
        <v>2.2903243610202226E-2</v>
      </c>
      <c r="M30" s="8">
        <f t="shared" si="10"/>
        <v>1.5513858312073664E-2</v>
      </c>
      <c r="N30" s="8">
        <f t="shared" si="11"/>
        <v>2.4130764820916126E-2</v>
      </c>
      <c r="O30" s="8">
        <f t="shared" si="12"/>
        <v>3.0462532597982848E-2</v>
      </c>
      <c r="P30" s="8">
        <f t="shared" si="13"/>
        <v>3.2131608797999922E-2</v>
      </c>
    </row>
    <row r="31" spans="2:16" x14ac:dyDescent="0.3">
      <c r="B31" s="1" t="s">
        <v>3</v>
      </c>
      <c r="C31" s="9">
        <f t="shared" si="2"/>
        <v>7.8604780734032667E-3</v>
      </c>
      <c r="D31" s="9">
        <f t="shared" si="3"/>
        <v>-3.3996447345165985E-2</v>
      </c>
      <c r="E31" s="9">
        <f t="shared" si="4"/>
        <v>-2.8371405984567746E-2</v>
      </c>
      <c r="F31" s="9">
        <f t="shared" si="5"/>
        <v>3.1070615552808711E-3</v>
      </c>
      <c r="G31" s="9">
        <f t="shared" si="6"/>
        <v>-1.7754957721673244E-2</v>
      </c>
      <c r="H31" s="9">
        <f t="shared" si="7"/>
        <v>2.0650246258854914E-2</v>
      </c>
      <c r="J31" s="1" t="s">
        <v>3</v>
      </c>
      <c r="K31" s="8">
        <f t="shared" si="8"/>
        <v>3.7911471844787721E-2</v>
      </c>
      <c r="L31" s="8">
        <f t="shared" si="9"/>
        <v>2.6787646257099233E-2</v>
      </c>
      <c r="M31" s="8">
        <f t="shared" si="10"/>
        <v>1.8669751310228921E-2</v>
      </c>
      <c r="N31" s="8">
        <f t="shared" si="11"/>
        <v>3.0468778378754401E-2</v>
      </c>
      <c r="O31" s="8">
        <f t="shared" si="12"/>
        <v>3.8299480564680417E-2</v>
      </c>
      <c r="P31" s="8">
        <f t="shared" si="13"/>
        <v>4.1921861699180024E-2</v>
      </c>
    </row>
    <row r="32" spans="2:16" x14ac:dyDescent="0.3">
      <c r="B32" s="1" t="s">
        <v>5</v>
      </c>
      <c r="C32" s="9">
        <f t="shared" si="2"/>
        <v>5.9264387315130118E-2</v>
      </c>
      <c r="D32" s="9">
        <f t="shared" si="3"/>
        <v>0.21451552886764155</v>
      </c>
      <c r="E32" s="9">
        <f t="shared" si="4"/>
        <v>0.11481994287068567</v>
      </c>
      <c r="F32" s="9">
        <f t="shared" si="5"/>
        <v>1.5592373054880579E-2</v>
      </c>
      <c r="G32" s="9">
        <f t="shared" si="6"/>
        <v>2.8326263562635123E-2</v>
      </c>
      <c r="H32" s="9">
        <f t="shared" si="7"/>
        <v>4.7273979641269226E-2</v>
      </c>
      <c r="J32" s="1" t="s">
        <v>5</v>
      </c>
      <c r="K32" s="8">
        <f t="shared" si="8"/>
        <v>0.10923821575070812</v>
      </c>
      <c r="L32" s="8">
        <f t="shared" si="9"/>
        <v>9.6367798596241713E-2</v>
      </c>
      <c r="M32" s="8">
        <f t="shared" si="10"/>
        <v>6.7984105671070591E-2</v>
      </c>
      <c r="N32" s="8">
        <f t="shared" si="11"/>
        <v>8.7277366236152884E-2</v>
      </c>
      <c r="O32" s="8">
        <f t="shared" si="12"/>
        <v>0.10403797295483809</v>
      </c>
      <c r="P32" s="8">
        <f t="shared" si="13"/>
        <v>0.11835487530165023</v>
      </c>
    </row>
    <row r="33" spans="2:16" x14ac:dyDescent="0.3">
      <c r="B33" s="1" t="s">
        <v>0</v>
      </c>
      <c r="C33" s="9">
        <f t="shared" si="2"/>
        <v>-0.17007972900836732</v>
      </c>
      <c r="D33" s="9">
        <f t="shared" si="3"/>
        <v>-0.18778842822391584</v>
      </c>
      <c r="E33" s="9">
        <f t="shared" ref="E33" si="14">E16-B16</f>
        <v>1.6003511422699179E-2</v>
      </c>
      <c r="F33" s="9">
        <f t="shared" si="5"/>
        <v>-4.2103130443533421E-2</v>
      </c>
      <c r="G33" s="9">
        <f t="shared" si="6"/>
        <v>-0.13508561467293562</v>
      </c>
      <c r="H33" s="9">
        <f t="shared" si="7"/>
        <v>-0.19690442309924844</v>
      </c>
      <c r="J33" s="1" t="s">
        <v>0</v>
      </c>
      <c r="K33" s="8">
        <f t="shared" si="8"/>
        <v>0.9204242380563652</v>
      </c>
      <c r="L33" s="8">
        <f t="shared" si="9"/>
        <v>0.93066339708962975</v>
      </c>
      <c r="M33" s="8">
        <f t="shared" si="10"/>
        <v>0.83804844123757261</v>
      </c>
      <c r="N33" s="8">
        <f t="shared" si="11"/>
        <v>0.85094302392958543</v>
      </c>
      <c r="O33" s="8">
        <f t="shared" si="12"/>
        <v>0.8947739401824748</v>
      </c>
      <c r="P33" s="8">
        <f t="shared" si="13"/>
        <v>0.94706084016896097</v>
      </c>
    </row>
    <row r="34" spans="2:16" x14ac:dyDescent="0.3">
      <c r="J34" s="12" t="s">
        <v>35</v>
      </c>
      <c r="K34" s="11">
        <f>SUM(K19:K33)</f>
        <v>1.1706807563466621</v>
      </c>
      <c r="L34" s="11">
        <f t="shared" ref="L34:P34" si="15">SUM(L19:L33)</f>
        <v>1.1405747253903298</v>
      </c>
      <c r="M34" s="11">
        <f t="shared" si="15"/>
        <v>0.98547598031205652</v>
      </c>
      <c r="N34" s="11">
        <f t="shared" si="15"/>
        <v>1.0410302190929208</v>
      </c>
      <c r="O34" s="11">
        <f t="shared" si="15"/>
        <v>1.1225789908902084</v>
      </c>
      <c r="P34" s="11">
        <f t="shared" si="15"/>
        <v>1.2096499342458502</v>
      </c>
    </row>
    <row r="35" spans="2:16" x14ac:dyDescent="0.3">
      <c r="J35" s="13" t="s">
        <v>36</v>
      </c>
      <c r="K35" s="14">
        <f>1-K34</f>
        <v>-0.17068075634666213</v>
      </c>
      <c r="L35" s="14">
        <f t="shared" ref="L35:P35" si="16">1-L34</f>
        <v>-0.14057472539032978</v>
      </c>
      <c r="M35" s="14">
        <f t="shared" si="16"/>
        <v>1.4524019687943479E-2</v>
      </c>
      <c r="N35" s="14">
        <f t="shared" si="16"/>
        <v>-4.1030219092920817E-2</v>
      </c>
      <c r="O35" s="14">
        <f t="shared" si="16"/>
        <v>-0.12257899089020841</v>
      </c>
      <c r="P35" s="14">
        <f t="shared" si="16"/>
        <v>-0.20964993424585021</v>
      </c>
    </row>
  </sheetData>
  <sortState xmlns:xlrd2="http://schemas.microsoft.com/office/spreadsheetml/2017/richdata2" ref="A2:P18">
    <sortCondition ref="B1:B18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130C5-3635-4656-B7D1-8A43D0DBA5A6}">
  <dimension ref="A1:P17"/>
  <sheetViews>
    <sheetView topLeftCell="I1" workbookViewId="0">
      <selection activeCell="K17" sqref="K17:P17"/>
    </sheetView>
  </sheetViews>
  <sheetFormatPr defaultRowHeight="14.4" x14ac:dyDescent="0.3"/>
  <cols>
    <col min="1" max="8" width="11.5546875" customWidth="1"/>
  </cols>
  <sheetData>
    <row r="1" spans="1:16" ht="25.8" customHeight="1" x14ac:dyDescent="0.3">
      <c r="A1" s="2" t="s">
        <v>15</v>
      </c>
      <c r="B1" s="3" t="s">
        <v>16</v>
      </c>
      <c r="C1" s="4" t="s">
        <v>17</v>
      </c>
      <c r="D1" s="4" t="s">
        <v>18</v>
      </c>
      <c r="E1" s="4" t="s">
        <v>19</v>
      </c>
      <c r="F1" s="3" t="s">
        <v>20</v>
      </c>
      <c r="G1" s="4" t="s">
        <v>21</v>
      </c>
      <c r="H1" s="4" t="s">
        <v>22</v>
      </c>
      <c r="I1" s="5" t="s">
        <v>16</v>
      </c>
      <c r="J1" s="6" t="s">
        <v>16</v>
      </c>
      <c r="K1" s="7" t="s">
        <v>17</v>
      </c>
      <c r="L1" s="7" t="s">
        <v>18</v>
      </c>
      <c r="M1" s="7" t="s">
        <v>19</v>
      </c>
      <c r="N1" s="6" t="s">
        <v>20</v>
      </c>
      <c r="O1" s="7" t="s">
        <v>21</v>
      </c>
      <c r="P1" s="7" t="s">
        <v>22</v>
      </c>
    </row>
    <row r="2" spans="1:16" x14ac:dyDescent="0.3">
      <c r="A2" s="1" t="s">
        <v>42</v>
      </c>
      <c r="B2" s="10">
        <v>2.9604617377988928E-2</v>
      </c>
      <c r="C2" s="10">
        <v>1.2987012987012988E-2</v>
      </c>
      <c r="D2" s="10">
        <v>1.1363636363636364E-2</v>
      </c>
      <c r="E2" s="10">
        <v>1.3157894736842105E-2</v>
      </c>
      <c r="F2" s="10">
        <v>1.5444015444015444E-2</v>
      </c>
      <c r="G2" s="10">
        <v>4.9833887043189369E-2</v>
      </c>
      <c r="H2" s="10">
        <v>1.7857142857142856E-2</v>
      </c>
      <c r="I2" s="9">
        <v>2.9604617377988928E-2</v>
      </c>
      <c r="J2" s="10">
        <v>2.9604617377988928E-2</v>
      </c>
      <c r="K2" s="10">
        <v>1.2987012987012988E-2</v>
      </c>
      <c r="L2" s="10">
        <v>1.1363636363636364E-2</v>
      </c>
      <c r="M2" s="10">
        <v>1.3157894736842105E-2</v>
      </c>
      <c r="N2" s="10">
        <v>1.5444015444015444E-2</v>
      </c>
      <c r="O2" s="10">
        <v>4.9833887043189369E-2</v>
      </c>
      <c r="P2" s="10">
        <v>1.7857142857142856E-2</v>
      </c>
    </row>
    <row r="3" spans="1:16" x14ac:dyDescent="0.3">
      <c r="A3" s="1" t="s">
        <v>40</v>
      </c>
      <c r="B3" s="10">
        <v>3.7653618123993877E-2</v>
      </c>
      <c r="C3" s="10">
        <v>2.5974025974025976E-2</v>
      </c>
      <c r="D3" s="10">
        <v>1.7045454545454544E-2</v>
      </c>
      <c r="E3" s="10">
        <v>1.9736842105263157E-2</v>
      </c>
      <c r="F3" s="10">
        <v>6.9498069498069498E-2</v>
      </c>
      <c r="G3" s="10">
        <v>6.9767441860465115E-2</v>
      </c>
      <c r="H3" s="10">
        <v>4.7619047619047616E-2</v>
      </c>
      <c r="I3" s="9">
        <v>6.7258235501982802E-2</v>
      </c>
      <c r="J3" s="9">
        <f>J2+B3</f>
        <v>6.7258235501982802E-2</v>
      </c>
      <c r="K3" s="9">
        <f t="shared" ref="K3:P7" si="0">K2+C3</f>
        <v>3.896103896103896E-2</v>
      </c>
      <c r="L3" s="9">
        <f t="shared" si="0"/>
        <v>2.8409090909090908E-2</v>
      </c>
      <c r="M3" s="9">
        <f t="shared" si="0"/>
        <v>3.2894736842105261E-2</v>
      </c>
      <c r="N3" s="9">
        <f t="shared" si="0"/>
        <v>8.4942084942084939E-2</v>
      </c>
      <c r="O3" s="9">
        <f t="shared" si="0"/>
        <v>0.11960132890365449</v>
      </c>
      <c r="P3" s="9">
        <f t="shared" si="0"/>
        <v>6.5476190476190466E-2</v>
      </c>
    </row>
    <row r="4" spans="1:16" x14ac:dyDescent="0.3">
      <c r="A4" s="1" t="s">
        <v>38</v>
      </c>
      <c r="B4" s="10">
        <v>5.7057599434606775E-2</v>
      </c>
      <c r="C4" s="10">
        <v>6.1688311688311688E-2</v>
      </c>
      <c r="D4" s="10">
        <v>2.8409090909090908E-2</v>
      </c>
      <c r="E4" s="10">
        <v>0.10526315789473684</v>
      </c>
      <c r="F4" s="10">
        <v>0.11969111969111969</v>
      </c>
      <c r="G4" s="10">
        <v>0.11627906976744186</v>
      </c>
      <c r="H4" s="10">
        <v>8.9285714285714288E-2</v>
      </c>
      <c r="I4" s="9">
        <v>0.12431583493658957</v>
      </c>
      <c r="J4" s="9">
        <f t="shared" ref="J4:J7" si="1">J3+B4</f>
        <v>0.12431583493658957</v>
      </c>
      <c r="K4" s="9">
        <f t="shared" si="0"/>
        <v>0.10064935064935066</v>
      </c>
      <c r="L4" s="9">
        <f t="shared" si="0"/>
        <v>5.6818181818181816E-2</v>
      </c>
      <c r="M4" s="9">
        <f t="shared" si="0"/>
        <v>0.13815789473684209</v>
      </c>
      <c r="N4" s="9">
        <f t="shared" si="0"/>
        <v>0.20463320463320461</v>
      </c>
      <c r="O4" s="9">
        <f t="shared" si="0"/>
        <v>0.23588039867109634</v>
      </c>
      <c r="P4" s="9">
        <f t="shared" si="0"/>
        <v>0.15476190476190477</v>
      </c>
    </row>
    <row r="5" spans="1:16" x14ac:dyDescent="0.3">
      <c r="A5" s="1" t="s">
        <v>39</v>
      </c>
      <c r="B5" s="10">
        <v>0.12138678393340924</v>
      </c>
      <c r="C5" s="10">
        <v>9.4155844155844159E-2</v>
      </c>
      <c r="D5" s="10">
        <v>0.14204545454545456</v>
      </c>
      <c r="E5" s="10">
        <v>0.28947368421052633</v>
      </c>
      <c r="F5" s="10">
        <v>5.9845559845559844E-2</v>
      </c>
      <c r="G5" s="10">
        <v>0.11295681063122924</v>
      </c>
      <c r="H5" s="10">
        <v>0.24404761904761904</v>
      </c>
      <c r="I5" s="9">
        <v>0.24570261886999881</v>
      </c>
      <c r="J5" s="9">
        <f t="shared" si="1"/>
        <v>0.24570261886999881</v>
      </c>
      <c r="K5" s="9">
        <f t="shared" si="0"/>
        <v>0.19480519480519481</v>
      </c>
      <c r="L5" s="9">
        <f t="shared" si="0"/>
        <v>0.19886363636363638</v>
      </c>
      <c r="M5" s="9">
        <f t="shared" si="0"/>
        <v>0.42763157894736842</v>
      </c>
      <c r="N5" s="9">
        <f t="shared" si="0"/>
        <v>0.26447876447876445</v>
      </c>
      <c r="O5" s="9">
        <f t="shared" si="0"/>
        <v>0.34883720930232559</v>
      </c>
      <c r="P5" s="9">
        <f t="shared" si="0"/>
        <v>0.39880952380952384</v>
      </c>
    </row>
    <row r="6" spans="1:16" x14ac:dyDescent="0.3">
      <c r="A6" s="1" t="s">
        <v>41</v>
      </c>
      <c r="B6" s="10">
        <v>0.31583493658957951</v>
      </c>
      <c r="C6" s="10">
        <v>0.17207792207792208</v>
      </c>
      <c r="D6" s="10">
        <v>0.14204545454545456</v>
      </c>
      <c r="E6" s="10">
        <v>5.921052631578947E-2</v>
      </c>
      <c r="F6" s="10">
        <v>0.22007722007722008</v>
      </c>
      <c r="G6" s="10">
        <v>0.25249169435215946</v>
      </c>
      <c r="H6" s="10">
        <v>0.13095238095238096</v>
      </c>
      <c r="I6" s="9">
        <v>0.56153755545957829</v>
      </c>
      <c r="J6" s="9">
        <f t="shared" si="1"/>
        <v>0.56153755545957829</v>
      </c>
      <c r="K6" s="9">
        <f t="shared" si="0"/>
        <v>0.36688311688311692</v>
      </c>
      <c r="L6" s="9">
        <f t="shared" si="0"/>
        <v>0.34090909090909094</v>
      </c>
      <c r="M6" s="9">
        <f t="shared" si="0"/>
        <v>0.48684210526315791</v>
      </c>
      <c r="N6" s="9">
        <f t="shared" si="0"/>
        <v>0.48455598455598453</v>
      </c>
      <c r="O6" s="9">
        <f t="shared" si="0"/>
        <v>0.6013289036544851</v>
      </c>
      <c r="P6" s="9">
        <f t="shared" si="0"/>
        <v>0.52976190476190477</v>
      </c>
    </row>
    <row r="7" spans="1:16" x14ac:dyDescent="0.3">
      <c r="A7" s="1" t="s">
        <v>37</v>
      </c>
      <c r="B7" s="10">
        <v>0.43846244454042171</v>
      </c>
      <c r="C7" s="10">
        <v>0.63311688311688308</v>
      </c>
      <c r="D7" s="10">
        <v>0.65909090909090906</v>
      </c>
      <c r="E7" s="10">
        <v>0.51315789473684215</v>
      </c>
      <c r="F7" s="10">
        <v>0.51544401544401541</v>
      </c>
      <c r="G7" s="10">
        <v>0.39867109634551495</v>
      </c>
      <c r="H7" s="10">
        <v>0.47023809523809523</v>
      </c>
      <c r="I7" s="9">
        <v>1</v>
      </c>
      <c r="J7" s="9">
        <f t="shared" si="1"/>
        <v>1</v>
      </c>
      <c r="K7" s="9">
        <f t="shared" si="0"/>
        <v>1</v>
      </c>
      <c r="L7" s="9">
        <f t="shared" si="0"/>
        <v>1</v>
      </c>
      <c r="M7" s="9">
        <f t="shared" si="0"/>
        <v>1</v>
      </c>
      <c r="N7" s="9">
        <f t="shared" si="0"/>
        <v>1</v>
      </c>
      <c r="O7" s="9">
        <f t="shared" si="0"/>
        <v>1</v>
      </c>
      <c r="P7" s="9">
        <f t="shared" si="0"/>
        <v>1</v>
      </c>
    </row>
    <row r="9" spans="1:16" x14ac:dyDescent="0.3">
      <c r="B9" s="2" t="s">
        <v>15</v>
      </c>
      <c r="C9" s="4" t="s">
        <v>23</v>
      </c>
      <c r="D9" s="4" t="s">
        <v>24</v>
      </c>
      <c r="E9" s="4" t="s">
        <v>25</v>
      </c>
      <c r="F9" s="4" t="s">
        <v>26</v>
      </c>
      <c r="G9" s="4" t="s">
        <v>27</v>
      </c>
      <c r="H9" s="4" t="s">
        <v>28</v>
      </c>
      <c r="J9" s="8"/>
      <c r="K9" s="11" t="s">
        <v>29</v>
      </c>
      <c r="L9" s="11" t="s">
        <v>30</v>
      </c>
      <c r="M9" s="11" t="s">
        <v>31</v>
      </c>
      <c r="N9" s="11" t="s">
        <v>32</v>
      </c>
      <c r="O9" s="11" t="s">
        <v>33</v>
      </c>
      <c r="P9" s="11" t="s">
        <v>34</v>
      </c>
    </row>
    <row r="10" spans="1:16" x14ac:dyDescent="0.3">
      <c r="B10" s="1" t="s">
        <v>42</v>
      </c>
      <c r="C10" s="9">
        <f>C2-B2</f>
        <v>-1.661760439097594E-2</v>
      </c>
      <c r="D10" s="9">
        <f>D2-B2</f>
        <v>-1.8240981014352564E-2</v>
      </c>
      <c r="E10" s="9">
        <f>E2-B2</f>
        <v>-1.6446722641146824E-2</v>
      </c>
      <c r="F10" s="9">
        <f>F2-B2</f>
        <v>-1.4160601933973484E-2</v>
      </c>
      <c r="G10" s="9">
        <f>G2-B2</f>
        <v>2.0229269665200441E-2</v>
      </c>
      <c r="H10" s="9">
        <f>H2-B2</f>
        <v>-1.1747474520846072E-2</v>
      </c>
      <c r="J10" s="1" t="s">
        <v>42</v>
      </c>
      <c r="K10" s="8">
        <f>(J2-0) * ((K2+0))</f>
        <v>3.8447555036349258E-4</v>
      </c>
      <c r="L10" s="8">
        <f>(J2-0) * ((L2+0))</f>
        <v>3.36416106568056E-4</v>
      </c>
      <c r="M10" s="8">
        <f>(J2-0) * ((M2+0))</f>
        <v>3.8953443918406479E-4</v>
      </c>
      <c r="N10" s="8">
        <f>(J2-0) * ((N2+0))</f>
        <v>4.57214167999829E-4</v>
      </c>
      <c r="O10" s="8">
        <f>(J2-0) * ((O2+0))</f>
        <v>1.4753131583715414E-3</v>
      </c>
      <c r="P10" s="8">
        <f>(J2-0) * ((P2+0))</f>
        <v>5.2865388174980221E-4</v>
      </c>
    </row>
    <row r="11" spans="1:16" x14ac:dyDescent="0.3">
      <c r="B11" s="1" t="s">
        <v>40</v>
      </c>
      <c r="C11" s="9">
        <f t="shared" ref="C11:C15" si="2">C3-B3</f>
        <v>-1.1679592149967902E-2</v>
      </c>
      <c r="D11" s="9">
        <f t="shared" ref="D11:D15" si="3">D3-B3</f>
        <v>-2.0608163578539333E-2</v>
      </c>
      <c r="E11" s="9">
        <f t="shared" ref="E11:E15" si="4">E3-B3</f>
        <v>-1.7916776018730721E-2</v>
      </c>
      <c r="F11" s="9">
        <f t="shared" ref="F11:F15" si="5">F3-B3</f>
        <v>3.184445137407562E-2</v>
      </c>
      <c r="G11" s="9">
        <f t="shared" ref="G11:G15" si="6">G3-B3</f>
        <v>3.2113823736471238E-2</v>
      </c>
      <c r="H11" s="9">
        <f t="shared" ref="H11:H15" si="7">H3-B3</f>
        <v>9.9654294950537389E-3</v>
      </c>
      <c r="J11" s="1" t="s">
        <v>40</v>
      </c>
      <c r="K11" s="8">
        <f>(J3-J2) * ((K3+K2))</f>
        <v>1.9560321103373442E-3</v>
      </c>
      <c r="L11" s="8">
        <f>(J3-J2) * ((L3+L2))</f>
        <v>1.497587084477029E-3</v>
      </c>
      <c r="M11" s="8">
        <f>(J3-J2) * ((M3+M2))</f>
        <v>1.734048203078665E-3</v>
      </c>
      <c r="N11" s="8">
        <f>(J3-J2) * ((N3+N2))</f>
        <v>3.7798998888951374E-3</v>
      </c>
      <c r="O11" s="8">
        <f>(J3-J2) * ((O3+O2))</f>
        <v>6.3798489180188949E-3</v>
      </c>
      <c r="P11" s="8">
        <f>(J3-J2) * ((P3+P2))</f>
        <v>3.137801510332822E-3</v>
      </c>
    </row>
    <row r="12" spans="1:16" x14ac:dyDescent="0.3">
      <c r="B12" s="1" t="s">
        <v>38</v>
      </c>
      <c r="C12" s="9">
        <f t="shared" si="2"/>
        <v>4.6307122537049134E-3</v>
      </c>
      <c r="D12" s="9">
        <f t="shared" si="3"/>
        <v>-2.8648508525515867E-2</v>
      </c>
      <c r="E12" s="9">
        <f t="shared" si="4"/>
        <v>4.8205558460130062E-2</v>
      </c>
      <c r="F12" s="9">
        <f t="shared" si="5"/>
        <v>6.263352025651292E-2</v>
      </c>
      <c r="G12" s="9">
        <f t="shared" si="6"/>
        <v>5.9221470332835084E-2</v>
      </c>
      <c r="H12" s="9">
        <f t="shared" si="7"/>
        <v>3.2228114851107513E-2</v>
      </c>
      <c r="J12" s="1" t="s">
        <v>38</v>
      </c>
      <c r="K12" s="8">
        <f t="shared" ref="K12:K15" si="8">(J4-J3) * ((K4+K3))</f>
        <v>7.9658336872989975E-3</v>
      </c>
      <c r="L12" s="8">
        <f t="shared" ref="L12:L15" si="9">(J4-J3) * ((L4+L3))</f>
        <v>4.8628635881767125E-3</v>
      </c>
      <c r="M12" s="8">
        <f t="shared" ref="M12:M15" si="10">(J4-J3) * ((M4+M3))</f>
        <v>9.7598525348669453E-3</v>
      </c>
      <c r="N12" s="8">
        <f t="shared" ref="N12:N15" si="11">(J4-J3) * ((N4+N3))</f>
        <v>1.6522470878747132E-2</v>
      </c>
      <c r="O12" s="8">
        <f t="shared" ref="O12:O15" si="12">(J4-J3) * ((O4+O3))</f>
        <v>2.0282934018282139E-2</v>
      </c>
      <c r="P12" s="8">
        <f t="shared" ref="P12:P15" si="13">(J4-J3) * ((P4+P3))</f>
        <v>1.2566257018336014E-2</v>
      </c>
    </row>
    <row r="13" spans="1:16" x14ac:dyDescent="0.3">
      <c r="B13" s="1" t="s">
        <v>39</v>
      </c>
      <c r="C13" s="9">
        <f t="shared" si="2"/>
        <v>-2.7230939777565077E-2</v>
      </c>
      <c r="D13" s="9">
        <f t="shared" si="3"/>
        <v>2.0658670612045321E-2</v>
      </c>
      <c r="E13" s="9">
        <f t="shared" si="4"/>
        <v>0.16808690027711709</v>
      </c>
      <c r="F13" s="9">
        <f t="shared" si="5"/>
        <v>-6.1541224087849393E-2</v>
      </c>
      <c r="G13" s="9">
        <f t="shared" si="6"/>
        <v>-8.4299733021799966E-3</v>
      </c>
      <c r="H13" s="9">
        <f t="shared" si="7"/>
        <v>0.1226608351142098</v>
      </c>
      <c r="J13" s="1" t="s">
        <v>39</v>
      </c>
      <c r="K13" s="8">
        <f t="shared" si="8"/>
        <v>3.5864277071234546E-2</v>
      </c>
      <c r="L13" s="8">
        <f t="shared" si="9"/>
        <v>3.1036393619337587E-2</v>
      </c>
      <c r="M13" s="8">
        <f t="shared" si="10"/>
        <v>6.8679364593902587E-2</v>
      </c>
      <c r="N13" s="8">
        <f t="shared" si="11"/>
        <v>5.6943993235170735E-2</v>
      </c>
      <c r="O13" s="8">
        <f t="shared" si="12"/>
        <v>7.0976989941129665E-2</v>
      </c>
      <c r="P13" s="8">
        <f t="shared" si="13"/>
        <v>6.719625539170869E-2</v>
      </c>
    </row>
    <row r="14" spans="1:16" x14ac:dyDescent="0.3">
      <c r="B14" s="1" t="s">
        <v>41</v>
      </c>
      <c r="C14" s="9">
        <f t="shared" si="2"/>
        <v>-0.14375701451165743</v>
      </c>
      <c r="D14" s="9">
        <f t="shared" si="3"/>
        <v>-0.17378948204412495</v>
      </c>
      <c r="E14" s="9">
        <f t="shared" si="4"/>
        <v>-0.25662441027379002</v>
      </c>
      <c r="F14" s="9">
        <f t="shared" si="5"/>
        <v>-9.5757716512359425E-2</v>
      </c>
      <c r="G14" s="9">
        <f t="shared" si="6"/>
        <v>-6.334324223742005E-2</v>
      </c>
      <c r="H14" s="9">
        <f t="shared" si="7"/>
        <v>-0.18488255563719855</v>
      </c>
      <c r="J14" s="1" t="s">
        <v>41</v>
      </c>
      <c r="K14" s="8">
        <f t="shared" si="8"/>
        <v>0.17740079230518593</v>
      </c>
      <c r="L14" s="8">
        <f t="shared" si="9"/>
        <v>0.17047908509096621</v>
      </c>
      <c r="M14" s="8">
        <f t="shared" si="10"/>
        <v>0.28882273806547076</v>
      </c>
      <c r="N14" s="8">
        <f t="shared" si="11"/>
        <v>0.23657134246478154</v>
      </c>
      <c r="O14" s="8">
        <f t="shared" si="12"/>
        <v>0.30009565403528154</v>
      </c>
      <c r="P14" s="8">
        <f t="shared" si="13"/>
        <v>0.29327529826175242</v>
      </c>
    </row>
    <row r="15" spans="1:16" x14ac:dyDescent="0.3">
      <c r="B15" s="1" t="s">
        <v>37</v>
      </c>
      <c r="C15" s="9">
        <f t="shared" si="2"/>
        <v>0.19465443857646136</v>
      </c>
      <c r="D15" s="9">
        <f t="shared" si="3"/>
        <v>0.22062846455048735</v>
      </c>
      <c r="E15" s="9">
        <f t="shared" si="4"/>
        <v>7.4695450196420432E-2</v>
      </c>
      <c r="F15" s="9">
        <f t="shared" si="5"/>
        <v>7.6981570903593699E-2</v>
      </c>
      <c r="G15" s="9">
        <f t="shared" si="6"/>
        <v>-3.9791348194906762E-2</v>
      </c>
      <c r="H15" s="9">
        <f t="shared" si="7"/>
        <v>3.1775650697673519E-2</v>
      </c>
      <c r="J15" s="1" t="s">
        <v>37</v>
      </c>
      <c r="K15" s="8">
        <f t="shared" si="8"/>
        <v>0.59932691282960249</v>
      </c>
      <c r="L15" s="8">
        <f t="shared" si="9"/>
        <v>0.58793827790647457</v>
      </c>
      <c r="M15" s="8">
        <f t="shared" si="10"/>
        <v>0.65192442411931129</v>
      </c>
      <c r="N15" s="8">
        <f t="shared" si="11"/>
        <v>0.6509220460455295</v>
      </c>
      <c r="O15" s="8">
        <f t="shared" si="12"/>
        <v>0.70212258560957896</v>
      </c>
      <c r="P15" s="8">
        <f t="shared" si="13"/>
        <v>0.67074314432671656</v>
      </c>
    </row>
    <row r="16" spans="1:16" x14ac:dyDescent="0.3">
      <c r="J16" s="12" t="s">
        <v>35</v>
      </c>
      <c r="K16" s="11">
        <f t="shared" ref="K16:P16" si="14">SUM(K10:K15)</f>
        <v>0.82289832355402281</v>
      </c>
      <c r="L16" s="11">
        <f t="shared" si="14"/>
        <v>0.79615062339600018</v>
      </c>
      <c r="M16" s="11">
        <f t="shared" si="14"/>
        <v>1.0213099619558144</v>
      </c>
      <c r="N16" s="11">
        <f t="shared" si="14"/>
        <v>0.96519696668112387</v>
      </c>
      <c r="O16" s="11">
        <f t="shared" si="14"/>
        <v>1.1013333256806628</v>
      </c>
      <c r="P16" s="11">
        <f t="shared" si="14"/>
        <v>1.0474474103905962</v>
      </c>
    </row>
    <row r="17" spans="10:16" x14ac:dyDescent="0.3">
      <c r="J17" s="13" t="s">
        <v>36</v>
      </c>
      <c r="K17" s="14">
        <f>1-K16</f>
        <v>0.17710167644597719</v>
      </c>
      <c r="L17" s="14">
        <f t="shared" ref="L17:P17" si="15">1-L16</f>
        <v>0.20384937660399982</v>
      </c>
      <c r="M17" s="14">
        <f t="shared" si="15"/>
        <v>-2.130996195581436E-2</v>
      </c>
      <c r="N17" s="14">
        <f t="shared" si="15"/>
        <v>3.4803033318876131E-2</v>
      </c>
      <c r="O17" s="14">
        <f t="shared" si="15"/>
        <v>-0.10133332568066278</v>
      </c>
      <c r="P17" s="14">
        <f t="shared" si="15"/>
        <v>-4.744741039059619E-2</v>
      </c>
    </row>
  </sheetData>
  <sortState xmlns:xlrd2="http://schemas.microsoft.com/office/spreadsheetml/2017/richdata2" ref="A2:P8">
    <sortCondition ref="B1:B8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7361E-A7B7-4945-BFC4-ACAD445B2ABE}">
  <dimension ref="A1:P29"/>
  <sheetViews>
    <sheetView topLeftCell="E1" zoomScale="71" workbookViewId="0">
      <selection activeCell="K29" sqref="K29:P29"/>
    </sheetView>
  </sheetViews>
  <sheetFormatPr defaultRowHeight="14.4" x14ac:dyDescent="0.3"/>
  <cols>
    <col min="1" max="1" width="14.109375" customWidth="1"/>
    <col min="2" max="16" width="10.21875" customWidth="1"/>
  </cols>
  <sheetData>
    <row r="1" spans="1:16" ht="36.6" customHeight="1" x14ac:dyDescent="0.3">
      <c r="A1" s="2" t="s">
        <v>15</v>
      </c>
      <c r="B1" s="3" t="s">
        <v>16</v>
      </c>
      <c r="C1" s="4" t="s">
        <v>17</v>
      </c>
      <c r="D1" s="4" t="s">
        <v>18</v>
      </c>
      <c r="E1" s="4" t="s">
        <v>19</v>
      </c>
      <c r="F1" s="3" t="s">
        <v>20</v>
      </c>
      <c r="G1" s="4" t="s">
        <v>21</v>
      </c>
      <c r="H1" s="4" t="s">
        <v>22</v>
      </c>
      <c r="I1" s="5" t="s">
        <v>16</v>
      </c>
      <c r="J1" s="6" t="s">
        <v>16</v>
      </c>
      <c r="K1" s="7" t="s">
        <v>17</v>
      </c>
      <c r="L1" s="7" t="s">
        <v>18</v>
      </c>
      <c r="M1" s="7" t="s">
        <v>19</v>
      </c>
      <c r="N1" s="6" t="s">
        <v>20</v>
      </c>
      <c r="O1" s="7" t="s">
        <v>21</v>
      </c>
      <c r="P1" s="7" t="s">
        <v>22</v>
      </c>
    </row>
    <row r="2" spans="1:16" x14ac:dyDescent="0.3">
      <c r="A2" s="1" t="s">
        <v>51</v>
      </c>
      <c r="B2" s="10">
        <v>1.0364017493269774E-2</v>
      </c>
      <c r="C2" s="10">
        <v>4.0816326530612249E-3</v>
      </c>
      <c r="D2" s="10">
        <v>1.8404907975460124E-2</v>
      </c>
      <c r="E2" s="10">
        <v>6.8965517241379309E-3</v>
      </c>
      <c r="F2" s="10">
        <v>1.1111111111111112E-2</v>
      </c>
      <c r="G2" s="10">
        <v>0</v>
      </c>
      <c r="H2" s="10">
        <v>0</v>
      </c>
      <c r="I2" s="9">
        <v>1.0364017493269774E-2</v>
      </c>
      <c r="J2" s="10">
        <v>1.0364017493269774E-2</v>
      </c>
      <c r="K2" s="10">
        <v>4.0816326530612249E-3</v>
      </c>
      <c r="L2" s="10">
        <v>1.8404907975460124E-2</v>
      </c>
      <c r="M2" s="10">
        <v>6.8965517241379309E-3</v>
      </c>
      <c r="N2" s="10">
        <v>1.1111111111111112E-2</v>
      </c>
      <c r="O2" s="10">
        <v>0</v>
      </c>
      <c r="P2" s="10">
        <v>0</v>
      </c>
    </row>
    <row r="3" spans="1:16" x14ac:dyDescent="0.3">
      <c r="A3" s="1" t="s">
        <v>45</v>
      </c>
      <c r="B3" s="10">
        <v>1.1976079762500133E-2</v>
      </c>
      <c r="C3" s="10">
        <v>2.8571428571428571E-2</v>
      </c>
      <c r="D3" s="10">
        <v>1.8404907975460124E-2</v>
      </c>
      <c r="E3" s="10">
        <v>6.8965517241379309E-3</v>
      </c>
      <c r="F3" s="10">
        <v>1.3333333333333334E-2</v>
      </c>
      <c r="G3" s="10">
        <v>8.2872928176795577E-3</v>
      </c>
      <c r="H3" s="10">
        <v>1.7094017094017096E-2</v>
      </c>
      <c r="I3" s="9">
        <v>2.2340097255769908E-2</v>
      </c>
      <c r="J3" s="9">
        <f t="shared" ref="J3:P13" si="0">J2+B3</f>
        <v>2.2340097255769908E-2</v>
      </c>
      <c r="K3" s="9">
        <f t="shared" si="0"/>
        <v>3.2653061224489799E-2</v>
      </c>
      <c r="L3" s="9">
        <f t="shared" si="0"/>
        <v>3.6809815950920248E-2</v>
      </c>
      <c r="M3" s="9">
        <f t="shared" si="0"/>
        <v>1.3793103448275862E-2</v>
      </c>
      <c r="N3" s="9">
        <f t="shared" si="0"/>
        <v>2.4444444444444446E-2</v>
      </c>
      <c r="O3" s="9">
        <f t="shared" si="0"/>
        <v>8.2872928176795577E-3</v>
      </c>
      <c r="P3" s="9">
        <f t="shared" si="0"/>
        <v>1.7094017094017096E-2</v>
      </c>
    </row>
    <row r="4" spans="1:16" x14ac:dyDescent="0.3">
      <c r="A4" s="1" t="s">
        <v>44</v>
      </c>
      <c r="B4" s="10">
        <v>1.6759063194969087E-2</v>
      </c>
      <c r="C4" s="10">
        <v>0</v>
      </c>
      <c r="D4" s="10">
        <v>6.1349693251533744E-3</v>
      </c>
      <c r="E4" s="10">
        <v>0</v>
      </c>
      <c r="F4" s="10">
        <v>1.5555555555555555E-2</v>
      </c>
      <c r="G4" s="10">
        <v>5.5248618784530384E-3</v>
      </c>
      <c r="H4" s="10">
        <v>8.5470085470085479E-3</v>
      </c>
      <c r="I4" s="9">
        <v>3.9099160450738996E-2</v>
      </c>
      <c r="J4" s="9">
        <f t="shared" si="0"/>
        <v>3.9099160450738996E-2</v>
      </c>
      <c r="K4" s="9">
        <f t="shared" si="0"/>
        <v>3.2653061224489799E-2</v>
      </c>
      <c r="L4" s="9">
        <f t="shared" si="0"/>
        <v>4.2944785276073622E-2</v>
      </c>
      <c r="M4" s="9">
        <f t="shared" si="0"/>
        <v>1.3793103448275862E-2</v>
      </c>
      <c r="N4" s="9">
        <f t="shared" si="0"/>
        <v>0.04</v>
      </c>
      <c r="O4" s="9">
        <f t="shared" si="0"/>
        <v>1.3812154696132596E-2</v>
      </c>
      <c r="P4" s="9">
        <f t="shared" si="0"/>
        <v>2.5641025641025644E-2</v>
      </c>
    </row>
    <row r="5" spans="1:16" x14ac:dyDescent="0.3">
      <c r="A5" s="1" t="s">
        <v>49</v>
      </c>
      <c r="B5" s="10">
        <v>1.790825609976697E-2</v>
      </c>
      <c r="C5" s="10">
        <v>4.8979591836734691E-2</v>
      </c>
      <c r="D5" s="10">
        <v>6.1349693251533744E-3</v>
      </c>
      <c r="E5" s="10">
        <v>0</v>
      </c>
      <c r="F5" s="10">
        <v>2.2222222222222223E-2</v>
      </c>
      <c r="G5" s="10">
        <v>1.3812154696132596E-2</v>
      </c>
      <c r="H5" s="10">
        <v>2.1367521367521368E-2</v>
      </c>
      <c r="I5" s="9">
        <v>5.7007416550505965E-2</v>
      </c>
      <c r="J5" s="9">
        <f t="shared" si="0"/>
        <v>5.7007416550505965E-2</v>
      </c>
      <c r="K5" s="9">
        <f t="shared" si="0"/>
        <v>8.1632653061224497E-2</v>
      </c>
      <c r="L5" s="9">
        <f t="shared" si="0"/>
        <v>4.9079754601226995E-2</v>
      </c>
      <c r="M5" s="9">
        <f t="shared" si="0"/>
        <v>1.3793103448275862E-2</v>
      </c>
      <c r="N5" s="9">
        <f t="shared" si="0"/>
        <v>6.222222222222222E-2</v>
      </c>
      <c r="O5" s="9">
        <f t="shared" si="0"/>
        <v>2.7624309392265192E-2</v>
      </c>
      <c r="P5" s="9">
        <f t="shared" si="0"/>
        <v>4.7008547008547008E-2</v>
      </c>
    </row>
    <row r="6" spans="1:16" x14ac:dyDescent="0.3">
      <c r="A6" s="1" t="s">
        <v>46</v>
      </c>
      <c r="B6" s="10">
        <v>1.9499037018908479E-2</v>
      </c>
      <c r="C6" s="10">
        <v>8.1632653061224497E-3</v>
      </c>
      <c r="D6" s="10">
        <v>0</v>
      </c>
      <c r="E6" s="10">
        <v>0</v>
      </c>
      <c r="F6" s="10">
        <v>1.1111111111111112E-2</v>
      </c>
      <c r="G6" s="10">
        <v>1.3812154696132596E-2</v>
      </c>
      <c r="H6" s="10">
        <v>1.282051282051282E-2</v>
      </c>
      <c r="I6" s="9">
        <v>7.6506453569414448E-2</v>
      </c>
      <c r="J6" s="9">
        <f t="shared" si="0"/>
        <v>7.6506453569414448E-2</v>
      </c>
      <c r="K6" s="9">
        <f t="shared" si="0"/>
        <v>8.9795918367346947E-2</v>
      </c>
      <c r="L6" s="9">
        <f t="shared" si="0"/>
        <v>4.9079754601226995E-2</v>
      </c>
      <c r="M6" s="9">
        <f t="shared" si="0"/>
        <v>1.3793103448275862E-2</v>
      </c>
      <c r="N6" s="9">
        <f t="shared" si="0"/>
        <v>7.3333333333333334E-2</v>
      </c>
      <c r="O6" s="9">
        <f t="shared" si="0"/>
        <v>4.1436464088397788E-2</v>
      </c>
      <c r="P6" s="9">
        <f t="shared" si="0"/>
        <v>5.9829059829059825E-2</v>
      </c>
    </row>
    <row r="7" spans="1:16" x14ac:dyDescent="0.3">
      <c r="A7" s="1" t="s">
        <v>53</v>
      </c>
      <c r="B7" s="10">
        <v>1.9967226720863172E-2</v>
      </c>
      <c r="C7" s="10">
        <v>1.6326530612244899E-2</v>
      </c>
      <c r="D7" s="10">
        <v>6.1349693251533744E-3</v>
      </c>
      <c r="E7" s="10">
        <v>2.7586206896551724E-2</v>
      </c>
      <c r="F7" s="10">
        <v>1.1111111111111112E-2</v>
      </c>
      <c r="G7" s="10">
        <v>2.7624309392265192E-3</v>
      </c>
      <c r="H7" s="10">
        <v>1.282051282051282E-2</v>
      </c>
      <c r="I7" s="9">
        <v>9.6473680290277614E-2</v>
      </c>
      <c r="J7" s="9">
        <f t="shared" si="0"/>
        <v>9.6473680290277614E-2</v>
      </c>
      <c r="K7" s="9">
        <f t="shared" si="0"/>
        <v>0.10612244897959185</v>
      </c>
      <c r="L7" s="9">
        <f t="shared" si="0"/>
        <v>5.5214723926380369E-2</v>
      </c>
      <c r="M7" s="9">
        <f t="shared" si="0"/>
        <v>4.1379310344827586E-2</v>
      </c>
      <c r="N7" s="9">
        <f t="shared" si="0"/>
        <v>8.4444444444444447E-2</v>
      </c>
      <c r="O7" s="9">
        <f t="shared" si="0"/>
        <v>4.4198895027624308E-2</v>
      </c>
      <c r="P7" s="9">
        <f t="shared" si="0"/>
        <v>7.2649572649572641E-2</v>
      </c>
    </row>
    <row r="8" spans="1:16" x14ac:dyDescent="0.3">
      <c r="A8" s="1" t="s">
        <v>47</v>
      </c>
      <c r="B8" s="10">
        <v>2.7458261952138244E-2</v>
      </c>
      <c r="C8" s="10">
        <v>2.8571428571428571E-2</v>
      </c>
      <c r="D8" s="10">
        <v>3.6809815950920248E-2</v>
      </c>
      <c r="E8" s="10">
        <v>3.4482758620689655E-2</v>
      </c>
      <c r="F8" s="10">
        <v>5.5555555555555552E-2</v>
      </c>
      <c r="G8" s="10">
        <v>3.0386740331491711E-2</v>
      </c>
      <c r="H8" s="10">
        <v>3.8461538461538464E-2</v>
      </c>
      <c r="I8" s="9">
        <v>0.12393194224241585</v>
      </c>
      <c r="J8" s="9">
        <f t="shared" si="0"/>
        <v>0.12393194224241585</v>
      </c>
      <c r="K8" s="9">
        <f t="shared" si="0"/>
        <v>0.13469387755102041</v>
      </c>
      <c r="L8" s="9">
        <f t="shared" si="0"/>
        <v>9.202453987730061E-2</v>
      </c>
      <c r="M8" s="9">
        <f t="shared" si="0"/>
        <v>7.586206896551724E-2</v>
      </c>
      <c r="N8" s="9">
        <f t="shared" si="0"/>
        <v>0.14000000000000001</v>
      </c>
      <c r="O8" s="9">
        <f t="shared" si="0"/>
        <v>7.4585635359116026E-2</v>
      </c>
      <c r="P8" s="9">
        <f t="shared" si="0"/>
        <v>0.1111111111111111</v>
      </c>
    </row>
    <row r="9" spans="1:16" x14ac:dyDescent="0.3">
      <c r="A9" s="1" t="s">
        <v>48</v>
      </c>
      <c r="B9" s="10">
        <v>2.8309515955692231E-2</v>
      </c>
      <c r="C9" s="10">
        <v>8.1632653061224497E-3</v>
      </c>
      <c r="D9" s="10">
        <v>1.8404907975460124E-2</v>
      </c>
      <c r="E9" s="10">
        <v>6.8965517241379309E-3</v>
      </c>
      <c r="F9" s="10">
        <v>6.6666666666666671E-3</v>
      </c>
      <c r="G9" s="10">
        <v>1.3812154696132596E-2</v>
      </c>
      <c r="H9" s="10">
        <v>1.7094017094017096E-2</v>
      </c>
      <c r="I9" s="9">
        <v>0.15224145819810808</v>
      </c>
      <c r="J9" s="9">
        <f t="shared" si="0"/>
        <v>0.15224145819810808</v>
      </c>
      <c r="K9" s="9">
        <f t="shared" si="0"/>
        <v>0.14285714285714285</v>
      </c>
      <c r="L9" s="9">
        <f t="shared" si="0"/>
        <v>0.11042944785276074</v>
      </c>
      <c r="M9" s="9">
        <f t="shared" si="0"/>
        <v>8.2758620689655171E-2</v>
      </c>
      <c r="N9" s="9">
        <f t="shared" si="0"/>
        <v>0.14666666666666667</v>
      </c>
      <c r="O9" s="9">
        <f t="shared" si="0"/>
        <v>8.8397790055248615E-2</v>
      </c>
      <c r="P9" s="9">
        <f t="shared" si="0"/>
        <v>0.12820512820512819</v>
      </c>
    </row>
    <row r="10" spans="1:16" x14ac:dyDescent="0.3">
      <c r="A10" s="1" t="s">
        <v>52</v>
      </c>
      <c r="B10" s="10">
        <v>2.8368039668436564E-2</v>
      </c>
      <c r="C10" s="10">
        <v>5.3061224489795916E-2</v>
      </c>
      <c r="D10" s="10">
        <v>1.2269938650306749E-2</v>
      </c>
      <c r="E10" s="10">
        <v>2.0689655172413793E-2</v>
      </c>
      <c r="F10" s="10">
        <v>2.8888888888888888E-2</v>
      </c>
      <c r="G10" s="10">
        <v>3.3149171270718231E-2</v>
      </c>
      <c r="H10" s="10">
        <v>1.7094017094017096E-2</v>
      </c>
      <c r="I10" s="9">
        <v>0.18060949786654465</v>
      </c>
      <c r="J10" s="9">
        <f t="shared" si="0"/>
        <v>0.18060949786654465</v>
      </c>
      <c r="K10" s="9">
        <f t="shared" si="0"/>
        <v>0.19591836734693877</v>
      </c>
      <c r="L10" s="9">
        <f t="shared" si="0"/>
        <v>0.12269938650306748</v>
      </c>
      <c r="M10" s="9">
        <f t="shared" si="0"/>
        <v>0.10344827586206896</v>
      </c>
      <c r="N10" s="9">
        <f t="shared" si="0"/>
        <v>0.17555555555555555</v>
      </c>
      <c r="O10" s="9">
        <f t="shared" si="0"/>
        <v>0.12154696132596685</v>
      </c>
      <c r="P10" s="9">
        <f t="shared" si="0"/>
        <v>0.14529914529914528</v>
      </c>
    </row>
    <row r="11" spans="1:16" x14ac:dyDescent="0.3">
      <c r="A11" s="1" t="s">
        <v>54</v>
      </c>
      <c r="B11" s="10">
        <v>3.0783472903521E-2</v>
      </c>
      <c r="C11" s="10">
        <v>1.2244897959183673E-2</v>
      </c>
      <c r="D11" s="10">
        <v>6.1349693251533744E-3</v>
      </c>
      <c r="E11" s="10">
        <v>6.2068965517241378E-2</v>
      </c>
      <c r="F11" s="10">
        <v>0.1</v>
      </c>
      <c r="G11" s="10">
        <v>6.6298342541436461E-2</v>
      </c>
      <c r="H11" s="10">
        <v>5.5555555555555552E-2</v>
      </c>
      <c r="I11" s="9">
        <v>0.21139297077006564</v>
      </c>
      <c r="J11" s="9">
        <f t="shared" si="0"/>
        <v>0.21139297077006564</v>
      </c>
      <c r="K11" s="9">
        <f t="shared" si="0"/>
        <v>0.20816326530612245</v>
      </c>
      <c r="L11" s="9">
        <f t="shared" si="0"/>
        <v>0.12883435582822086</v>
      </c>
      <c r="M11" s="9">
        <f t="shared" si="0"/>
        <v>0.16551724137931034</v>
      </c>
      <c r="N11" s="9">
        <f t="shared" si="0"/>
        <v>0.27555555555555555</v>
      </c>
      <c r="O11" s="9">
        <f t="shared" si="0"/>
        <v>0.18784530386740331</v>
      </c>
      <c r="P11" s="9">
        <f t="shared" si="0"/>
        <v>0.20085470085470084</v>
      </c>
    </row>
    <row r="12" spans="1:16" x14ac:dyDescent="0.3">
      <c r="A12" s="1" t="s">
        <v>50</v>
      </c>
      <c r="B12" s="10">
        <v>9.3856074229349107E-2</v>
      </c>
      <c r="C12" s="10">
        <v>8.1632653061224483E-2</v>
      </c>
      <c r="D12" s="10">
        <v>3.0674846625766871E-2</v>
      </c>
      <c r="E12" s="10">
        <v>5.5172413793103448E-2</v>
      </c>
      <c r="F12" s="10">
        <v>0.10888888888888888</v>
      </c>
      <c r="G12" s="10">
        <v>0.1132596685082873</v>
      </c>
      <c r="H12" s="10">
        <v>0.18376068376068377</v>
      </c>
      <c r="I12" s="9">
        <v>0.30524904499941474</v>
      </c>
      <c r="J12" s="9">
        <f t="shared" si="0"/>
        <v>0.30524904499941474</v>
      </c>
      <c r="K12" s="9">
        <f t="shared" si="0"/>
        <v>0.28979591836734692</v>
      </c>
      <c r="L12" s="9">
        <f t="shared" si="0"/>
        <v>0.15950920245398773</v>
      </c>
      <c r="M12" s="9">
        <f t="shared" si="0"/>
        <v>0.22068965517241379</v>
      </c>
      <c r="N12" s="9">
        <f t="shared" si="0"/>
        <v>0.38444444444444442</v>
      </c>
      <c r="O12" s="9">
        <f t="shared" si="0"/>
        <v>0.30110497237569062</v>
      </c>
      <c r="P12" s="9">
        <f t="shared" si="0"/>
        <v>0.38461538461538458</v>
      </c>
    </row>
    <row r="13" spans="1:16" x14ac:dyDescent="0.3">
      <c r="A13" s="1" t="s">
        <v>43</v>
      </c>
      <c r="B13" s="10">
        <v>0.69475095500058526</v>
      </c>
      <c r="C13" s="10">
        <v>0.71020408163265303</v>
      </c>
      <c r="D13" s="10">
        <v>0.8404907975460123</v>
      </c>
      <c r="E13" s="10">
        <v>0.77931034482758621</v>
      </c>
      <c r="F13" s="10">
        <v>0.61555555555555552</v>
      </c>
      <c r="G13" s="10">
        <v>0.69889502762430944</v>
      </c>
      <c r="H13" s="10">
        <v>0.61538461538461542</v>
      </c>
      <c r="I13" s="9">
        <v>1</v>
      </c>
      <c r="J13" s="9">
        <f t="shared" si="0"/>
        <v>1</v>
      </c>
      <c r="K13" s="9">
        <f t="shared" si="0"/>
        <v>1</v>
      </c>
      <c r="L13" s="9">
        <f t="shared" si="0"/>
        <v>1</v>
      </c>
      <c r="M13" s="9">
        <f t="shared" si="0"/>
        <v>1</v>
      </c>
      <c r="N13" s="9">
        <f t="shared" si="0"/>
        <v>1</v>
      </c>
      <c r="O13" s="9">
        <f t="shared" si="0"/>
        <v>1</v>
      </c>
      <c r="P13" s="9">
        <f t="shared" si="0"/>
        <v>1</v>
      </c>
    </row>
    <row r="15" spans="1:16" ht="28.8" x14ac:dyDescent="0.3">
      <c r="B15" s="2" t="s">
        <v>15</v>
      </c>
      <c r="C15" s="4" t="s">
        <v>23</v>
      </c>
      <c r="D15" s="4" t="s">
        <v>24</v>
      </c>
      <c r="E15" s="4" t="s">
        <v>25</v>
      </c>
      <c r="F15" s="4" t="s">
        <v>26</v>
      </c>
      <c r="G15" s="4" t="s">
        <v>27</v>
      </c>
      <c r="H15" s="4" t="s">
        <v>28</v>
      </c>
      <c r="J15" s="8"/>
      <c r="K15" s="11" t="s">
        <v>29</v>
      </c>
      <c r="L15" s="11" t="s">
        <v>30</v>
      </c>
      <c r="M15" s="11" t="s">
        <v>31</v>
      </c>
      <c r="N15" s="11" t="s">
        <v>32</v>
      </c>
      <c r="O15" s="11" t="s">
        <v>33</v>
      </c>
      <c r="P15" s="11" t="s">
        <v>34</v>
      </c>
    </row>
    <row r="16" spans="1:16" x14ac:dyDescent="0.3">
      <c r="B16" s="1" t="s">
        <v>51</v>
      </c>
      <c r="C16" s="9">
        <f>C2-B2</f>
        <v>-6.2823848402085488E-3</v>
      </c>
      <c r="D16" s="9">
        <f>D2-B2</f>
        <v>8.0408904821903503E-3</v>
      </c>
      <c r="E16" s="9">
        <f>E2-B2</f>
        <v>-3.4674657691318427E-3</v>
      </c>
      <c r="F16" s="9">
        <f>F2-B2</f>
        <v>7.4709361784133788E-4</v>
      </c>
      <c r="G16" s="9">
        <f>G2-B2</f>
        <v>-1.0364017493269774E-2</v>
      </c>
      <c r="H16" s="9">
        <f>H2-B2</f>
        <v>-1.0364017493269774E-2</v>
      </c>
      <c r="J16" s="1" t="s">
        <v>51</v>
      </c>
      <c r="K16" s="8">
        <f>($J2-0) * ((K2+0))</f>
        <v>4.2302112217427654E-5</v>
      </c>
      <c r="L16" s="8">
        <f t="shared" ref="L16:P16" si="1">($J2-0) * ((L2+0))</f>
        <v>1.9074878821968909E-4</v>
      </c>
      <c r="M16" s="8">
        <f t="shared" si="1"/>
        <v>7.1475982712205328E-5</v>
      </c>
      <c r="N16" s="8">
        <f t="shared" si="1"/>
        <v>1.1515574992521971E-4</v>
      </c>
      <c r="O16" s="8">
        <f t="shared" si="1"/>
        <v>0</v>
      </c>
      <c r="P16" s="8">
        <f t="shared" si="1"/>
        <v>0</v>
      </c>
    </row>
    <row r="17" spans="2:16" x14ac:dyDescent="0.3">
      <c r="B17" s="1" t="s">
        <v>45</v>
      </c>
      <c r="C17" s="9">
        <f t="shared" ref="C17:C27" si="2">C3-B3</f>
        <v>1.6595348808928437E-2</v>
      </c>
      <c r="D17" s="9">
        <f t="shared" ref="D17:D27" si="3">D3-B3</f>
        <v>6.4288282129599909E-3</v>
      </c>
      <c r="E17" s="9">
        <f t="shared" ref="E17:E27" si="4">E3-B3</f>
        <v>-5.0795280383622021E-3</v>
      </c>
      <c r="F17" s="9">
        <f t="shared" ref="F17:F27" si="5">F3-B3</f>
        <v>1.3572535708332011E-3</v>
      </c>
      <c r="G17" s="9">
        <f t="shared" ref="G17:G27" si="6">G3-B3</f>
        <v>-3.6887869448205754E-3</v>
      </c>
      <c r="H17" s="9">
        <f t="shared" ref="H17:H27" si="7">H3-B3</f>
        <v>5.1179373315169627E-3</v>
      </c>
      <c r="J17" s="1" t="s">
        <v>45</v>
      </c>
      <c r="K17" s="8">
        <f>($J3-$J2) * ((K3+K2))</f>
        <v>4.3993762392857645E-4</v>
      </c>
      <c r="L17" s="8">
        <f t="shared" ref="L17:P17" si="8">($J3-$J2) * ((L3+L2))</f>
        <v>6.6125593780675589E-4</v>
      </c>
      <c r="M17" s="8">
        <f t="shared" si="8"/>
        <v>2.4778096060345107E-4</v>
      </c>
      <c r="N17" s="8">
        <f t="shared" si="8"/>
        <v>4.2581616933333813E-4</v>
      </c>
      <c r="O17" s="8">
        <f t="shared" si="8"/>
        <v>9.9249279799724864E-5</v>
      </c>
      <c r="P17" s="8">
        <f t="shared" si="8"/>
        <v>2.047193121794895E-4</v>
      </c>
    </row>
    <row r="18" spans="2:16" x14ac:dyDescent="0.3">
      <c r="B18" s="1" t="s">
        <v>44</v>
      </c>
      <c r="C18" s="9">
        <f t="shared" si="2"/>
        <v>-1.6759063194969087E-2</v>
      </c>
      <c r="D18" s="9">
        <f t="shared" si="3"/>
        <v>-1.0624093869815714E-2</v>
      </c>
      <c r="E18" s="9">
        <f t="shared" si="4"/>
        <v>-1.6759063194969087E-2</v>
      </c>
      <c r="F18" s="9">
        <f t="shared" si="5"/>
        <v>-1.203507639413532E-3</v>
      </c>
      <c r="G18" s="9">
        <f t="shared" si="6"/>
        <v>-1.1234201316516049E-2</v>
      </c>
      <c r="H18" s="9">
        <f t="shared" si="7"/>
        <v>-8.2120546479605393E-3</v>
      </c>
      <c r="J18" s="1" t="s">
        <v>44</v>
      </c>
      <c r="K18" s="8">
        <f t="shared" ref="K18:P27" si="9">($J4-$J3) * ((K4+K3))</f>
        <v>1.0944694331408383E-3</v>
      </c>
      <c r="L18" s="8">
        <f t="shared" si="9"/>
        <v>1.3366124020527494E-3</v>
      </c>
      <c r="M18" s="8">
        <f t="shared" si="9"/>
        <v>4.6231898468880242E-4</v>
      </c>
      <c r="N18" s="8">
        <f t="shared" si="9"/>
        <v>1.0800285170091189E-3</v>
      </c>
      <c r="O18" s="8">
        <f t="shared" si="9"/>
        <v>3.7036603745788034E-4</v>
      </c>
      <c r="P18" s="8">
        <f t="shared" si="9"/>
        <v>7.161992818362858E-4</v>
      </c>
    </row>
    <row r="19" spans="2:16" x14ac:dyDescent="0.3">
      <c r="B19" s="1" t="s">
        <v>49</v>
      </c>
      <c r="C19" s="9">
        <f t="shared" si="2"/>
        <v>3.1071335736967721E-2</v>
      </c>
      <c r="D19" s="9">
        <f t="shared" si="3"/>
        <v>-1.1773286774613596E-2</v>
      </c>
      <c r="E19" s="9">
        <f t="shared" si="4"/>
        <v>-1.790825609976697E-2</v>
      </c>
      <c r="F19" s="9">
        <f t="shared" si="5"/>
        <v>4.3139661224552532E-3</v>
      </c>
      <c r="G19" s="9">
        <f t="shared" si="6"/>
        <v>-4.0961014036343737E-3</v>
      </c>
      <c r="H19" s="9">
        <f t="shared" si="7"/>
        <v>3.4592652677543981E-3</v>
      </c>
      <c r="J19" s="1" t="s">
        <v>49</v>
      </c>
      <c r="K19" s="8">
        <f t="shared" si="9"/>
        <v>2.0466578399733681E-3</v>
      </c>
      <c r="L19" s="8">
        <f t="shared" si="9"/>
        <v>1.6479990275859173E-3</v>
      </c>
      <c r="M19" s="8">
        <f t="shared" si="9"/>
        <v>4.940208579246061E-4</v>
      </c>
      <c r="N19" s="8">
        <f t="shared" si="9"/>
        <v>1.8306217346428456E-3</v>
      </c>
      <c r="O19" s="8">
        <f t="shared" si="9"/>
        <v>7.420548107638247E-4</v>
      </c>
      <c r="P19" s="8">
        <f t="shared" si="9"/>
        <v>1.3010271525471732E-3</v>
      </c>
    </row>
    <row r="20" spans="2:16" x14ac:dyDescent="0.3">
      <c r="B20" s="1" t="s">
        <v>46</v>
      </c>
      <c r="C20" s="9">
        <f t="shared" si="2"/>
        <v>-1.133577171278603E-2</v>
      </c>
      <c r="D20" s="9">
        <f t="shared" si="3"/>
        <v>-1.9499037018908479E-2</v>
      </c>
      <c r="E20" s="9">
        <f t="shared" si="4"/>
        <v>-1.9499037018908479E-2</v>
      </c>
      <c r="F20" s="9">
        <f t="shared" si="5"/>
        <v>-8.3879259077973677E-3</v>
      </c>
      <c r="G20" s="9">
        <f t="shared" si="6"/>
        <v>-5.6868823227758832E-3</v>
      </c>
      <c r="H20" s="9">
        <f t="shared" si="7"/>
        <v>-6.6785241983956592E-3</v>
      </c>
      <c r="J20" s="1" t="s">
        <v>46</v>
      </c>
      <c r="K20" s="8">
        <f t="shared" si="9"/>
        <v>3.3426920603843112E-3</v>
      </c>
      <c r="L20" s="8">
        <f t="shared" si="9"/>
        <v>1.9140159036965382E-3</v>
      </c>
      <c r="M20" s="8">
        <f t="shared" si="9"/>
        <v>5.3790446948713056E-4</v>
      </c>
      <c r="N20" s="8">
        <f t="shared" si="9"/>
        <v>2.6432027958964827E-3</v>
      </c>
      <c r="O20" s="8">
        <f t="shared" si="9"/>
        <v>1.3466185786539006E-3</v>
      </c>
      <c r="P20" s="8">
        <f t="shared" si="9"/>
        <v>2.0832304507380855E-3</v>
      </c>
    </row>
    <row r="21" spans="2:16" x14ac:dyDescent="0.3">
      <c r="B21" s="1" t="s">
        <v>53</v>
      </c>
      <c r="C21" s="9">
        <f t="shared" si="2"/>
        <v>-3.6406961086182729E-3</v>
      </c>
      <c r="D21" s="9">
        <f t="shared" si="3"/>
        <v>-1.3832257395709799E-2</v>
      </c>
      <c r="E21" s="9">
        <f t="shared" si="4"/>
        <v>7.6189801756885514E-3</v>
      </c>
      <c r="F21" s="9">
        <f t="shared" si="5"/>
        <v>-8.8561156097520608E-3</v>
      </c>
      <c r="G21" s="9">
        <f t="shared" si="6"/>
        <v>-1.7204795781636653E-2</v>
      </c>
      <c r="H21" s="9">
        <f t="shared" si="7"/>
        <v>-7.1467139003503523E-3</v>
      </c>
      <c r="J21" s="1" t="s">
        <v>53</v>
      </c>
      <c r="K21" s="8">
        <f t="shared" si="9"/>
        <v>3.9119464595976814E-3</v>
      </c>
      <c r="L21" s="8">
        <f t="shared" si="9"/>
        <v>2.0824714984949313E-3</v>
      </c>
      <c r="M21" s="8">
        <f t="shared" si="9"/>
        <v>1.1016400949441746E-3</v>
      </c>
      <c r="N21" s="8">
        <f t="shared" si="9"/>
        <v>3.1503846604028552E-3</v>
      </c>
      <c r="O21" s="8">
        <f t="shared" si="9"/>
        <v>1.7099006307921495E-3</v>
      </c>
      <c r="P21" s="8">
        <f t="shared" si="9"/>
        <v>2.6452308903707608E-3</v>
      </c>
    </row>
    <row r="22" spans="2:16" x14ac:dyDescent="0.3">
      <c r="B22" s="1" t="s">
        <v>47</v>
      </c>
      <c r="C22" s="9">
        <f t="shared" si="2"/>
        <v>1.1131666192903261E-3</v>
      </c>
      <c r="D22" s="9">
        <f t="shared" si="3"/>
        <v>9.3515539987820036E-3</v>
      </c>
      <c r="E22" s="9">
        <f t="shared" si="4"/>
        <v>7.0244966685514103E-3</v>
      </c>
      <c r="F22" s="9">
        <f t="shared" si="5"/>
        <v>2.8097293603417308E-2</v>
      </c>
      <c r="G22" s="9">
        <f t="shared" si="6"/>
        <v>2.928478379353467E-3</v>
      </c>
      <c r="H22" s="9">
        <f t="shared" si="7"/>
        <v>1.1003276509400219E-2</v>
      </c>
      <c r="J22" s="1" t="s">
        <v>47</v>
      </c>
      <c r="K22" s="8">
        <f t="shared" si="9"/>
        <v>6.6123977762292093E-3</v>
      </c>
      <c r="L22" s="8">
        <f t="shared" si="9"/>
        <v>4.0429342751614585E-3</v>
      </c>
      <c r="M22" s="8">
        <f t="shared" si="9"/>
        <v>3.2192445047334491E-3</v>
      </c>
      <c r="N22" s="8">
        <f t="shared" si="9"/>
        <v>6.1628543492576945E-3</v>
      </c>
      <c r="O22" s="8">
        <f t="shared" si="9"/>
        <v>3.2616167512208409E-3</v>
      </c>
      <c r="P22" s="8">
        <f t="shared" si="9"/>
        <v>5.0457489912048899E-3</v>
      </c>
    </row>
    <row r="23" spans="2:16" x14ac:dyDescent="0.3">
      <c r="B23" s="1" t="s">
        <v>48</v>
      </c>
      <c r="C23" s="9">
        <f t="shared" si="2"/>
        <v>-2.0146250649569781E-2</v>
      </c>
      <c r="D23" s="9">
        <f t="shared" si="3"/>
        <v>-9.9046079802321066E-3</v>
      </c>
      <c r="E23" s="9">
        <f t="shared" si="4"/>
        <v>-2.14129642315543E-2</v>
      </c>
      <c r="F23" s="9">
        <f t="shared" si="5"/>
        <v>-2.1642849289025563E-2</v>
      </c>
      <c r="G23" s="9">
        <f t="shared" si="6"/>
        <v>-1.4497361259559634E-2</v>
      </c>
      <c r="H23" s="9">
        <f t="shared" si="7"/>
        <v>-1.1215498861675135E-2</v>
      </c>
      <c r="J23" s="1" t="s">
        <v>48</v>
      </c>
      <c r="K23" s="8">
        <f t="shared" si="9"/>
        <v>7.8573350407635575E-3</v>
      </c>
      <c r="L23" s="8">
        <f t="shared" si="9"/>
        <v>5.7313743959376898E-3</v>
      </c>
      <c r="M23" s="8">
        <f t="shared" si="9"/>
        <v>4.4904749446960076E-3</v>
      </c>
      <c r="N23" s="8">
        <f t="shared" si="9"/>
        <v>8.1153945739651061E-3</v>
      </c>
      <c r="O23" s="8">
        <f t="shared" si="9"/>
        <v>4.6139818822813301E-3</v>
      </c>
      <c r="P23" s="8">
        <f t="shared" si="9"/>
        <v>6.7749268953793363E-3</v>
      </c>
    </row>
    <row r="24" spans="2:16" x14ac:dyDescent="0.3">
      <c r="B24" s="1" t="s">
        <v>52</v>
      </c>
      <c r="C24" s="9">
        <f t="shared" si="2"/>
        <v>2.4693184821359352E-2</v>
      </c>
      <c r="D24" s="9">
        <f t="shared" si="3"/>
        <v>-1.6098101018129814E-2</v>
      </c>
      <c r="E24" s="9">
        <f t="shared" si="4"/>
        <v>-7.6783844960227714E-3</v>
      </c>
      <c r="F24" s="9">
        <f t="shared" si="5"/>
        <v>5.2084922045232337E-4</v>
      </c>
      <c r="G24" s="9">
        <f t="shared" si="6"/>
        <v>4.7811316022816665E-3</v>
      </c>
      <c r="H24" s="9">
        <f t="shared" si="7"/>
        <v>-1.1274022574419468E-2</v>
      </c>
      <c r="J24" s="1" t="s">
        <v>52</v>
      </c>
      <c r="K24" s="8">
        <f t="shared" si="9"/>
        <v>9.6103971121642238E-3</v>
      </c>
      <c r="L24" s="8">
        <f t="shared" si="9"/>
        <v>6.6134080208625125E-3</v>
      </c>
      <c r="M24" s="8">
        <f t="shared" si="9"/>
        <v>5.2823246279157746E-3</v>
      </c>
      <c r="N24" s="8">
        <f t="shared" si="9"/>
        <v>9.1408127820517826E-3</v>
      </c>
      <c r="O24" s="8">
        <f t="shared" si="9"/>
        <v>5.9557210353623734E-3</v>
      </c>
      <c r="P24" s="8">
        <f t="shared" si="9"/>
        <v>7.7587800802561549E-3</v>
      </c>
    </row>
    <row r="25" spans="2:16" x14ac:dyDescent="0.3">
      <c r="B25" s="1" t="s">
        <v>54</v>
      </c>
      <c r="C25" s="9">
        <f t="shared" si="2"/>
        <v>-1.8538574944337326E-2</v>
      </c>
      <c r="D25" s="9">
        <f t="shared" si="3"/>
        <v>-2.4648503578367627E-2</v>
      </c>
      <c r="E25" s="9">
        <f t="shared" si="4"/>
        <v>3.1285492613720378E-2</v>
      </c>
      <c r="F25" s="9">
        <f t="shared" si="5"/>
        <v>6.9216527096479005E-2</v>
      </c>
      <c r="G25" s="9">
        <f t="shared" si="6"/>
        <v>3.5514869637915461E-2</v>
      </c>
      <c r="H25" s="9">
        <f t="shared" si="7"/>
        <v>2.4772082652034552E-2</v>
      </c>
      <c r="J25" s="1" t="s">
        <v>54</v>
      </c>
      <c r="K25" s="8">
        <f t="shared" si="9"/>
        <v>1.2439035989586031E-2</v>
      </c>
      <c r="L25" s="8">
        <f t="shared" si="9"/>
        <v>7.7430821413764445E-3</v>
      </c>
      <c r="M25" s="8">
        <f t="shared" si="9"/>
        <v>8.2796927119815067E-3</v>
      </c>
      <c r="N25" s="8">
        <f t="shared" si="9"/>
        <v>1.3886766665366134E-2</v>
      </c>
      <c r="O25" s="8">
        <f t="shared" si="9"/>
        <v>9.5241684121390897E-3</v>
      </c>
      <c r="P25" s="8">
        <f t="shared" si="9"/>
        <v>1.0655817543526494E-2</v>
      </c>
    </row>
    <row r="26" spans="2:16" x14ac:dyDescent="0.3">
      <c r="B26" s="1" t="s">
        <v>50</v>
      </c>
      <c r="C26" s="9">
        <f t="shared" si="2"/>
        <v>-1.2223421168124624E-2</v>
      </c>
      <c r="D26" s="9">
        <f t="shared" si="3"/>
        <v>-6.3181227603582232E-2</v>
      </c>
      <c r="E26" s="9">
        <f t="shared" si="4"/>
        <v>-3.8683660436245659E-2</v>
      </c>
      <c r="F26" s="9">
        <f t="shared" si="5"/>
        <v>1.5032814659539775E-2</v>
      </c>
      <c r="G26" s="9">
        <f t="shared" si="6"/>
        <v>1.9403594278938188E-2</v>
      </c>
      <c r="H26" s="9">
        <f t="shared" si="7"/>
        <v>8.9904609531334667E-2</v>
      </c>
      <c r="J26" s="1" t="s">
        <v>50</v>
      </c>
      <c r="K26" s="8">
        <f t="shared" si="9"/>
        <v>4.6736494106043226E-2</v>
      </c>
      <c r="L26" s="8">
        <f t="shared" si="9"/>
        <v>2.706279440968962E-2</v>
      </c>
      <c r="M26" s="8">
        <f t="shared" si="9"/>
        <v>3.6247863150645175E-2</v>
      </c>
      <c r="N26" s="8">
        <f t="shared" si="9"/>
        <v>6.1945008991370405E-2</v>
      </c>
      <c r="O26" s="8">
        <f t="shared" si="9"/>
        <v>4.5890953421532578E-2</v>
      </c>
      <c r="P26" s="8">
        <f t="shared" si="9"/>
        <v>5.4949923800943698E-2</v>
      </c>
    </row>
    <row r="27" spans="2:16" x14ac:dyDescent="0.3">
      <c r="B27" s="1" t="s">
        <v>43</v>
      </c>
      <c r="C27" s="9">
        <f t="shared" si="2"/>
        <v>1.5453126632067771E-2</v>
      </c>
      <c r="D27" s="9">
        <f t="shared" si="3"/>
        <v>0.14573984254542705</v>
      </c>
      <c r="E27" s="9">
        <f t="shared" si="4"/>
        <v>8.4559389827000953E-2</v>
      </c>
      <c r="F27" s="9">
        <f t="shared" si="5"/>
        <v>-7.9195399445029735E-2</v>
      </c>
      <c r="G27" s="9">
        <f t="shared" si="6"/>
        <v>4.1440726237241821E-3</v>
      </c>
      <c r="H27" s="9">
        <f t="shared" si="7"/>
        <v>-7.9366339615969839E-2</v>
      </c>
      <c r="J27" s="1" t="s">
        <v>43</v>
      </c>
      <c r="K27" s="8">
        <f t="shared" si="9"/>
        <v>0.89608694604157113</v>
      </c>
      <c r="L27" s="8">
        <f t="shared" si="9"/>
        <v>0.80557012573687492</v>
      </c>
      <c r="M27" s="8">
        <f t="shared" si="9"/>
        <v>0.84807530369036954</v>
      </c>
      <c r="N27" s="8">
        <f t="shared" si="9"/>
        <v>0.96184409992303244</v>
      </c>
      <c r="O27" s="8">
        <f t="shared" si="9"/>
        <v>0.90394392211402119</v>
      </c>
      <c r="P27" s="8">
        <f t="shared" si="9"/>
        <v>0.96196286077004112</v>
      </c>
    </row>
    <row r="28" spans="2:16" x14ac:dyDescent="0.3">
      <c r="J28" s="12" t="s">
        <v>35</v>
      </c>
      <c r="K28" s="11">
        <f>SUM(K16:K27)</f>
        <v>0.9902206115955996</v>
      </c>
      <c r="L28" s="11">
        <f t="shared" ref="L28:P28" si="10">SUM(L16:L27)</f>
        <v>0.86459682253775927</v>
      </c>
      <c r="M28" s="11">
        <f t="shared" si="10"/>
        <v>0.90851004498070187</v>
      </c>
      <c r="N28" s="11">
        <f t="shared" si="10"/>
        <v>1.0703401469122533</v>
      </c>
      <c r="O28" s="11">
        <f t="shared" si="10"/>
        <v>0.97745855295402484</v>
      </c>
      <c r="P28" s="11">
        <f t="shared" si="10"/>
        <v>1.0540984651690235</v>
      </c>
    </row>
    <row r="29" spans="2:16" x14ac:dyDescent="0.3">
      <c r="J29" s="13" t="s">
        <v>36</v>
      </c>
      <c r="K29" s="14">
        <f>1-K28</f>
        <v>9.779388404400402E-3</v>
      </c>
      <c r="L29" s="14">
        <f t="shared" ref="L29:P29" si="11">1-L28</f>
        <v>0.13540317746224073</v>
      </c>
      <c r="M29" s="14">
        <f t="shared" si="11"/>
        <v>9.148995501929813E-2</v>
      </c>
      <c r="N29" s="14">
        <f t="shared" si="11"/>
        <v>-7.0340146912253321E-2</v>
      </c>
      <c r="O29" s="14">
        <f t="shared" si="11"/>
        <v>2.254144704597516E-2</v>
      </c>
      <c r="P29" s="14">
        <f t="shared" si="11"/>
        <v>-5.4098465169023502E-2</v>
      </c>
    </row>
  </sheetData>
  <sortState xmlns:xlrd2="http://schemas.microsoft.com/office/spreadsheetml/2017/richdata2" ref="A2:P13">
    <sortCondition ref="B1:B13"/>
  </sortState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5B8BB-C236-4BE3-9031-C3CC783A76BC}">
  <dimension ref="A1:P41"/>
  <sheetViews>
    <sheetView tabSelected="1" topLeftCell="J17" workbookViewId="0">
      <selection activeCell="K41" sqref="K41:P41"/>
    </sheetView>
  </sheetViews>
  <sheetFormatPr defaultRowHeight="14.4" x14ac:dyDescent="0.3"/>
  <cols>
    <col min="2" max="2" width="12" customWidth="1"/>
    <col min="10" max="10" width="13.77734375" customWidth="1"/>
    <col min="11" max="11" width="12" bestFit="1" customWidth="1"/>
    <col min="13" max="13" width="12" bestFit="1" customWidth="1"/>
    <col min="15" max="16" width="12" bestFit="1" customWidth="1"/>
  </cols>
  <sheetData>
    <row r="1" spans="1:16" ht="36.6" customHeight="1" x14ac:dyDescent="0.3">
      <c r="A1" s="2" t="s">
        <v>15</v>
      </c>
      <c r="B1" s="3" t="s">
        <v>16</v>
      </c>
      <c r="C1" s="4" t="s">
        <v>17</v>
      </c>
      <c r="D1" s="4" t="s">
        <v>18</v>
      </c>
      <c r="E1" s="4" t="s">
        <v>19</v>
      </c>
      <c r="F1" s="3" t="s">
        <v>20</v>
      </c>
      <c r="G1" s="4" t="s">
        <v>21</v>
      </c>
      <c r="H1" s="4" t="s">
        <v>22</v>
      </c>
      <c r="I1" s="5" t="s">
        <v>16</v>
      </c>
      <c r="J1" s="6" t="s">
        <v>16</v>
      </c>
      <c r="K1" s="7" t="s">
        <v>17</v>
      </c>
      <c r="L1" s="7" t="s">
        <v>18</v>
      </c>
      <c r="M1" s="7" t="s">
        <v>19</v>
      </c>
      <c r="N1" s="6" t="s">
        <v>20</v>
      </c>
      <c r="O1" s="7" t="s">
        <v>21</v>
      </c>
      <c r="P1" s="7" t="s">
        <v>22</v>
      </c>
    </row>
    <row r="2" spans="1:16" x14ac:dyDescent="0.3">
      <c r="A2" s="1" t="s">
        <v>61</v>
      </c>
      <c r="B2" s="10">
        <v>1.2382688152534266E-2</v>
      </c>
      <c r="C2" s="10">
        <v>1.5296367112810707E-2</v>
      </c>
      <c r="D2" s="10">
        <v>1.3937282229965157E-2</v>
      </c>
      <c r="E2" s="10">
        <v>1.4184397163120567E-2</v>
      </c>
      <c r="F2" s="10">
        <v>2.4353120243531201E-2</v>
      </c>
      <c r="G2" s="10">
        <v>1.0903426791277258E-2</v>
      </c>
      <c r="H2" s="10">
        <v>1.2500000000000001E-2</v>
      </c>
      <c r="I2" s="9">
        <v>1.2382688152534266E-2</v>
      </c>
      <c r="J2" s="10">
        <v>1.2382688152534266E-2</v>
      </c>
      <c r="K2" s="10">
        <v>1.5296367112810707E-2</v>
      </c>
      <c r="L2" s="10">
        <v>1.3937282229965157E-2</v>
      </c>
      <c r="M2" s="10">
        <v>1.4184397163120567E-2</v>
      </c>
      <c r="N2" s="10">
        <v>2.4353120243531201E-2</v>
      </c>
      <c r="O2" s="10">
        <v>1.0903426791277258E-2</v>
      </c>
      <c r="P2" s="10">
        <v>1.2500000000000001E-2</v>
      </c>
    </row>
    <row r="3" spans="1:16" x14ac:dyDescent="0.3">
      <c r="A3" s="1" t="s">
        <v>59</v>
      </c>
      <c r="B3" s="10">
        <v>1.4217618631348034E-2</v>
      </c>
      <c r="C3" s="10">
        <v>9.5602294455066923E-3</v>
      </c>
      <c r="D3" s="10">
        <v>1.3937282229965157E-2</v>
      </c>
      <c r="E3" s="10">
        <v>7.0921985815602835E-3</v>
      </c>
      <c r="F3" s="10">
        <v>7.6103500761035003E-3</v>
      </c>
      <c r="G3" s="10">
        <v>3.7383177570093455E-2</v>
      </c>
      <c r="H3" s="10">
        <v>1.4999999999999999E-2</v>
      </c>
      <c r="I3" s="9">
        <v>2.66003067838823E-2</v>
      </c>
      <c r="J3" s="9">
        <f t="shared" ref="J3:P18" si="0">J2+B3</f>
        <v>2.66003067838823E-2</v>
      </c>
      <c r="K3" s="9">
        <f t="shared" si="0"/>
        <v>2.4856596558317401E-2</v>
      </c>
      <c r="L3" s="9">
        <f t="shared" si="0"/>
        <v>2.7874564459930314E-2</v>
      </c>
      <c r="M3" s="9">
        <f t="shared" si="0"/>
        <v>2.1276595744680851E-2</v>
      </c>
      <c r="N3" s="9">
        <f t="shared" si="0"/>
        <v>3.1963470319634701E-2</v>
      </c>
      <c r="O3" s="9">
        <f t="shared" si="0"/>
        <v>4.8286604361370715E-2</v>
      </c>
      <c r="P3" s="9">
        <f t="shared" si="0"/>
        <v>2.75E-2</v>
      </c>
    </row>
    <row r="4" spans="1:16" x14ac:dyDescent="0.3">
      <c r="A4" s="1" t="s">
        <v>58</v>
      </c>
      <c r="B4" s="10">
        <v>1.6242227316960529E-2</v>
      </c>
      <c r="C4" s="10">
        <v>2.2944550669216062E-2</v>
      </c>
      <c r="D4" s="10">
        <v>2.0905923344947737E-2</v>
      </c>
      <c r="E4" s="10">
        <v>1.0638297872340425E-2</v>
      </c>
      <c r="F4" s="10">
        <v>1.2176560121765601E-2</v>
      </c>
      <c r="G4" s="10">
        <v>2.1806853582554516E-2</v>
      </c>
      <c r="H4" s="10">
        <v>1.7500000000000002E-2</v>
      </c>
      <c r="I4" s="9">
        <v>4.2842534100842829E-2</v>
      </c>
      <c r="J4" s="9">
        <f t="shared" si="0"/>
        <v>4.2842534100842829E-2</v>
      </c>
      <c r="K4" s="9">
        <f t="shared" si="0"/>
        <v>4.7801147227533466E-2</v>
      </c>
      <c r="L4" s="9">
        <f t="shared" si="0"/>
        <v>4.878048780487805E-2</v>
      </c>
      <c r="M4" s="9">
        <f t="shared" si="0"/>
        <v>3.1914893617021274E-2</v>
      </c>
      <c r="N4" s="9">
        <f t="shared" si="0"/>
        <v>4.4140030441400302E-2</v>
      </c>
      <c r="O4" s="9">
        <f t="shared" si="0"/>
        <v>7.0093457943925228E-2</v>
      </c>
      <c r="P4" s="9">
        <f t="shared" si="0"/>
        <v>4.4999999999999998E-2</v>
      </c>
    </row>
    <row r="5" spans="1:16" x14ac:dyDescent="0.3">
      <c r="A5" s="1" t="s">
        <v>65</v>
      </c>
      <c r="B5" s="10">
        <v>1.8291576638242425E-2</v>
      </c>
      <c r="C5" s="10">
        <v>1.5296367112810707E-2</v>
      </c>
      <c r="D5" s="10">
        <v>3.1358885017421602E-2</v>
      </c>
      <c r="E5" s="10">
        <v>1.0638297872340425E-2</v>
      </c>
      <c r="F5" s="10">
        <v>2.1308980213089801E-2</v>
      </c>
      <c r="G5" s="10">
        <v>7.7881619937694704E-3</v>
      </c>
      <c r="H5" s="10">
        <v>3.2500000000000001E-2</v>
      </c>
      <c r="I5" s="9">
        <v>6.1134110739085257E-2</v>
      </c>
      <c r="J5" s="9">
        <f t="shared" si="0"/>
        <v>6.1134110739085257E-2</v>
      </c>
      <c r="K5" s="9">
        <f t="shared" si="0"/>
        <v>6.3097514340344177E-2</v>
      </c>
      <c r="L5" s="9">
        <f t="shared" si="0"/>
        <v>8.0139372822299659E-2</v>
      </c>
      <c r="M5" s="9">
        <f t="shared" si="0"/>
        <v>4.2553191489361701E-2</v>
      </c>
      <c r="N5" s="9">
        <f t="shared" si="0"/>
        <v>6.5449010654490103E-2</v>
      </c>
      <c r="O5" s="9">
        <f t="shared" si="0"/>
        <v>7.7881619937694699E-2</v>
      </c>
      <c r="P5" s="9">
        <f t="shared" si="0"/>
        <v>7.7499999999999999E-2</v>
      </c>
    </row>
    <row r="6" spans="1:16" x14ac:dyDescent="0.3">
      <c r="A6" s="1" t="s">
        <v>68</v>
      </c>
      <c r="B6" s="10">
        <v>1.8642068976892245E-2</v>
      </c>
      <c r="C6" s="10">
        <v>2.4856596558317401E-2</v>
      </c>
      <c r="D6" s="10">
        <v>2.7874564459930314E-2</v>
      </c>
      <c r="E6" s="10">
        <v>3.5460992907801421E-2</v>
      </c>
      <c r="F6" s="10">
        <v>2.8919330289193301E-2</v>
      </c>
      <c r="G6" s="10">
        <v>2.8037383177570093E-2</v>
      </c>
      <c r="H6" s="10">
        <v>2.2499999999999999E-2</v>
      </c>
      <c r="I6" s="9">
        <v>7.9776179715977502E-2</v>
      </c>
      <c r="J6" s="9">
        <f t="shared" si="0"/>
        <v>7.9776179715977502E-2</v>
      </c>
      <c r="K6" s="9">
        <f t="shared" si="0"/>
        <v>8.7954110898661578E-2</v>
      </c>
      <c r="L6" s="9">
        <f t="shared" si="0"/>
        <v>0.10801393728222997</v>
      </c>
      <c r="M6" s="9">
        <f t="shared" si="0"/>
        <v>7.8014184397163122E-2</v>
      </c>
      <c r="N6" s="9">
        <f t="shared" si="0"/>
        <v>9.4368340943683404E-2</v>
      </c>
      <c r="O6" s="9">
        <f t="shared" si="0"/>
        <v>0.1059190031152648</v>
      </c>
      <c r="P6" s="9">
        <f t="shared" si="0"/>
        <v>0.1</v>
      </c>
    </row>
    <row r="7" spans="1:16" x14ac:dyDescent="0.3">
      <c r="A7" s="1" t="s">
        <v>63</v>
      </c>
      <c r="B7" s="10">
        <v>2.1107885665275692E-2</v>
      </c>
      <c r="C7" s="10">
        <v>1.7208413001912046E-2</v>
      </c>
      <c r="D7" s="10">
        <v>2.4390243902439025E-2</v>
      </c>
      <c r="E7" s="10">
        <v>8.5106382978723402E-2</v>
      </c>
      <c r="F7" s="10">
        <v>2.5875190258751901E-2</v>
      </c>
      <c r="G7" s="10">
        <v>2.6479750778816199E-2</v>
      </c>
      <c r="H7" s="10">
        <v>3.5000000000000003E-2</v>
      </c>
      <c r="I7" s="9">
        <v>0.10088406538125319</v>
      </c>
      <c r="J7" s="9">
        <f t="shared" si="0"/>
        <v>0.10088406538125319</v>
      </c>
      <c r="K7" s="9">
        <f t="shared" si="0"/>
        <v>0.10516252390057362</v>
      </c>
      <c r="L7" s="9">
        <f t="shared" si="0"/>
        <v>0.13240418118466898</v>
      </c>
      <c r="M7" s="9">
        <f t="shared" si="0"/>
        <v>0.16312056737588654</v>
      </c>
      <c r="N7" s="9">
        <f t="shared" si="0"/>
        <v>0.12024353120243531</v>
      </c>
      <c r="O7" s="9">
        <f t="shared" si="0"/>
        <v>0.13239875389408098</v>
      </c>
      <c r="P7" s="9">
        <f t="shared" si="0"/>
        <v>0.13500000000000001</v>
      </c>
    </row>
    <row r="8" spans="1:16" x14ac:dyDescent="0.3">
      <c r="A8" s="1" t="s">
        <v>71</v>
      </c>
      <c r="B8" s="10">
        <v>3.2476207755364597E-2</v>
      </c>
      <c r="C8" s="10">
        <v>4.0152963671128104E-2</v>
      </c>
      <c r="D8" s="10">
        <v>5.2264808362369339E-2</v>
      </c>
      <c r="E8" s="10">
        <v>6.3829787234042548E-2</v>
      </c>
      <c r="F8" s="10">
        <v>2.4353120243531201E-2</v>
      </c>
      <c r="G8" s="10">
        <v>2.8037383177570093E-2</v>
      </c>
      <c r="H8" s="10">
        <v>1.4999999999999999E-2</v>
      </c>
      <c r="I8" s="9">
        <v>0.1333602731366178</v>
      </c>
      <c r="J8" s="9">
        <f t="shared" si="0"/>
        <v>0.1333602731366178</v>
      </c>
      <c r="K8" s="9">
        <f t="shared" si="0"/>
        <v>0.14531548757170173</v>
      </c>
      <c r="L8" s="9">
        <f t="shared" si="0"/>
        <v>0.18466898954703831</v>
      </c>
      <c r="M8" s="9">
        <f t="shared" si="0"/>
        <v>0.22695035460992907</v>
      </c>
      <c r="N8" s="9">
        <f t="shared" si="0"/>
        <v>0.14459665144596651</v>
      </c>
      <c r="O8" s="9">
        <f t="shared" si="0"/>
        <v>0.16043613707165108</v>
      </c>
      <c r="P8" s="9">
        <f t="shared" si="0"/>
        <v>0.15000000000000002</v>
      </c>
    </row>
    <row r="9" spans="1:16" x14ac:dyDescent="0.3">
      <c r="A9" s="1" t="s">
        <v>72</v>
      </c>
      <c r="B9" s="10">
        <v>3.3647264510382822E-2</v>
      </c>
      <c r="C9" s="10">
        <v>3.2504780114722756E-2</v>
      </c>
      <c r="D9" s="10">
        <v>6.9686411149825784E-3</v>
      </c>
      <c r="E9" s="10">
        <v>1.7730496453900711E-2</v>
      </c>
      <c r="F9" s="10">
        <v>1.6742770167427701E-2</v>
      </c>
      <c r="G9" s="10">
        <v>2.1806853582554516E-2</v>
      </c>
      <c r="H9" s="10">
        <v>0.03</v>
      </c>
      <c r="I9" s="9">
        <v>0.16700753764700063</v>
      </c>
      <c r="J9" s="9">
        <f t="shared" si="0"/>
        <v>0.16700753764700063</v>
      </c>
      <c r="K9" s="9">
        <f t="shared" si="0"/>
        <v>0.1778202676864245</v>
      </c>
      <c r="L9" s="9">
        <f t="shared" si="0"/>
        <v>0.19163763066202089</v>
      </c>
      <c r="M9" s="9">
        <f t="shared" si="0"/>
        <v>0.24468085106382978</v>
      </c>
      <c r="N9" s="9">
        <f t="shared" si="0"/>
        <v>0.16133942161339421</v>
      </c>
      <c r="O9" s="9">
        <f t="shared" si="0"/>
        <v>0.1822429906542056</v>
      </c>
      <c r="P9" s="9">
        <f t="shared" si="0"/>
        <v>0.18000000000000002</v>
      </c>
    </row>
    <row r="10" spans="1:16" x14ac:dyDescent="0.3">
      <c r="A10" s="1" t="s">
        <v>64</v>
      </c>
      <c r="B10" s="10">
        <v>3.5915156113411076E-2</v>
      </c>
      <c r="C10" s="10">
        <v>2.1032504780114723E-2</v>
      </c>
      <c r="D10" s="10">
        <v>3.4843205574912892E-3</v>
      </c>
      <c r="E10" s="10">
        <v>7.0921985815602835E-3</v>
      </c>
      <c r="F10" s="10">
        <v>3.0441400304414001E-3</v>
      </c>
      <c r="G10" s="10">
        <v>7.7881619937694704E-3</v>
      </c>
      <c r="H10" s="10">
        <v>2.5000000000000001E-3</v>
      </c>
      <c r="I10" s="9">
        <v>0.20292269376041172</v>
      </c>
      <c r="J10" s="9">
        <f t="shared" si="0"/>
        <v>0.20292269376041172</v>
      </c>
      <c r="K10" s="9">
        <f t="shared" si="0"/>
        <v>0.19885277246653923</v>
      </c>
      <c r="L10" s="9">
        <f t="shared" si="0"/>
        <v>0.19512195121951217</v>
      </c>
      <c r="M10" s="9">
        <f t="shared" si="0"/>
        <v>0.25177304964539005</v>
      </c>
      <c r="N10" s="9">
        <f t="shared" si="0"/>
        <v>0.16438356164383561</v>
      </c>
      <c r="O10" s="9">
        <f t="shared" si="0"/>
        <v>0.19003115264797507</v>
      </c>
      <c r="P10" s="9">
        <f t="shared" si="0"/>
        <v>0.18250000000000002</v>
      </c>
    </row>
    <row r="11" spans="1:16" x14ac:dyDescent="0.3">
      <c r="A11" s="1" t="s">
        <v>69</v>
      </c>
      <c r="B11" s="10">
        <v>3.5968760824028105E-2</v>
      </c>
      <c r="C11" s="10">
        <v>4.0152963671128104E-2</v>
      </c>
      <c r="D11" s="10">
        <v>2.4390243902439025E-2</v>
      </c>
      <c r="E11" s="10">
        <v>6.0283687943262408E-2</v>
      </c>
      <c r="F11" s="10">
        <v>3.0441400304414001E-2</v>
      </c>
      <c r="G11" s="10">
        <v>3.2710280373831772E-2</v>
      </c>
      <c r="H11" s="10">
        <v>0.04</v>
      </c>
      <c r="I11" s="9">
        <v>0.23889145458443983</v>
      </c>
      <c r="J11" s="9">
        <f t="shared" si="0"/>
        <v>0.23889145458443983</v>
      </c>
      <c r="K11" s="9">
        <f t="shared" si="0"/>
        <v>0.23900573613766735</v>
      </c>
      <c r="L11" s="9">
        <f t="shared" si="0"/>
        <v>0.21951219512195119</v>
      </c>
      <c r="M11" s="9">
        <f t="shared" si="0"/>
        <v>0.31205673758865243</v>
      </c>
      <c r="N11" s="9">
        <f t="shared" si="0"/>
        <v>0.19482496194824961</v>
      </c>
      <c r="O11" s="9">
        <f t="shared" si="0"/>
        <v>0.22274143302180685</v>
      </c>
      <c r="P11" s="9">
        <f t="shared" si="0"/>
        <v>0.22250000000000003</v>
      </c>
    </row>
    <row r="12" spans="1:16" x14ac:dyDescent="0.3">
      <c r="A12" s="1" t="s">
        <v>66</v>
      </c>
      <c r="B12" s="10">
        <v>3.7638753731712549E-2</v>
      </c>
      <c r="C12" s="10">
        <v>3.2504780114722756E-2</v>
      </c>
      <c r="D12" s="10">
        <v>5.5749128919860627E-2</v>
      </c>
      <c r="E12" s="10">
        <v>3.5460992907801421E-2</v>
      </c>
      <c r="F12" s="10">
        <v>4.7184170471841702E-2</v>
      </c>
      <c r="G12" s="10">
        <v>3.1152647975077882E-2</v>
      </c>
      <c r="H12" s="10">
        <v>4.4999999999999998E-2</v>
      </c>
      <c r="I12" s="9">
        <v>0.27653020831615238</v>
      </c>
      <c r="J12" s="9">
        <f t="shared" si="0"/>
        <v>0.27653020831615238</v>
      </c>
      <c r="K12" s="9">
        <f t="shared" si="0"/>
        <v>0.27151051625239009</v>
      </c>
      <c r="L12" s="9">
        <f t="shared" si="0"/>
        <v>0.27526132404181181</v>
      </c>
      <c r="M12" s="9">
        <f t="shared" si="0"/>
        <v>0.34751773049645385</v>
      </c>
      <c r="N12" s="9">
        <f t="shared" si="0"/>
        <v>0.24200913242009131</v>
      </c>
      <c r="O12" s="9">
        <f t="shared" si="0"/>
        <v>0.25389408099688471</v>
      </c>
      <c r="P12" s="9">
        <f t="shared" si="0"/>
        <v>0.26750000000000002</v>
      </c>
    </row>
    <row r="13" spans="1:16" x14ac:dyDescent="0.3">
      <c r="A13" s="1" t="s">
        <v>60</v>
      </c>
      <c r="B13" s="10">
        <v>4.2434313612297749E-2</v>
      </c>
      <c r="C13" s="10">
        <v>4.0152963671128104E-2</v>
      </c>
      <c r="D13" s="10">
        <v>2.0905923344947737E-2</v>
      </c>
      <c r="E13" s="10">
        <v>2.1276595744680851E-2</v>
      </c>
      <c r="F13" s="10">
        <v>3.8051750380517502E-2</v>
      </c>
      <c r="G13" s="10">
        <v>5.6074766355140186E-2</v>
      </c>
      <c r="H13" s="10">
        <v>0.04</v>
      </c>
      <c r="I13" s="9">
        <v>0.31896452192845015</v>
      </c>
      <c r="J13" s="9">
        <f t="shared" si="0"/>
        <v>0.31896452192845015</v>
      </c>
      <c r="K13" s="9">
        <f t="shared" si="0"/>
        <v>0.31166347992351817</v>
      </c>
      <c r="L13" s="9">
        <f t="shared" si="0"/>
        <v>0.29616724738675954</v>
      </c>
      <c r="M13" s="9">
        <f t="shared" si="0"/>
        <v>0.36879432624113467</v>
      </c>
      <c r="N13" s="9">
        <f t="shared" si="0"/>
        <v>0.28006088280060881</v>
      </c>
      <c r="O13" s="9">
        <f t="shared" si="0"/>
        <v>0.3099688473520249</v>
      </c>
      <c r="P13" s="9">
        <f t="shared" si="0"/>
        <v>0.3075</v>
      </c>
    </row>
    <row r="14" spans="1:16" x14ac:dyDescent="0.3">
      <c r="A14" s="1" t="s">
        <v>70</v>
      </c>
      <c r="B14" s="10">
        <v>4.5271239835722177E-2</v>
      </c>
      <c r="C14" s="10">
        <v>2.8680688336520075E-2</v>
      </c>
      <c r="D14" s="10">
        <v>3.1358885017421602E-2</v>
      </c>
      <c r="E14" s="10">
        <v>8.5106382978723402E-2</v>
      </c>
      <c r="F14" s="10">
        <v>5.4794520547945202E-2</v>
      </c>
      <c r="G14" s="10">
        <v>5.2959501557632398E-2</v>
      </c>
      <c r="H14" s="10">
        <v>0.10249999999999999</v>
      </c>
      <c r="I14" s="9">
        <v>0.36423576176417233</v>
      </c>
      <c r="J14" s="9">
        <f t="shared" si="0"/>
        <v>0.36423576176417233</v>
      </c>
      <c r="K14" s="9">
        <f t="shared" si="0"/>
        <v>0.34034416826003827</v>
      </c>
      <c r="L14" s="9">
        <f t="shared" si="0"/>
        <v>0.32752613240418116</v>
      </c>
      <c r="M14" s="9">
        <f t="shared" si="0"/>
        <v>0.45390070921985809</v>
      </c>
      <c r="N14" s="9">
        <f t="shared" si="0"/>
        <v>0.33485540334855401</v>
      </c>
      <c r="O14" s="9">
        <f t="shared" si="0"/>
        <v>0.36292834890965731</v>
      </c>
      <c r="P14" s="9">
        <f t="shared" si="0"/>
        <v>0.41</v>
      </c>
    </row>
    <row r="15" spans="1:16" x14ac:dyDescent="0.3">
      <c r="A15" s="1" t="s">
        <v>67</v>
      </c>
      <c r="B15" s="10">
        <v>4.774117996338386E-2</v>
      </c>
      <c r="C15" s="10">
        <v>8.7954110898661564E-2</v>
      </c>
      <c r="D15" s="10">
        <v>8.0139372822299645E-2</v>
      </c>
      <c r="E15" s="10">
        <v>7.8014184397163122E-2</v>
      </c>
      <c r="F15" s="10">
        <v>7.4581430745814303E-2</v>
      </c>
      <c r="G15" s="10">
        <v>4.6728971962616821E-2</v>
      </c>
      <c r="H15" s="10">
        <v>5.7500000000000002E-2</v>
      </c>
      <c r="I15" s="9">
        <v>0.41197694172755617</v>
      </c>
      <c r="J15" s="9">
        <f t="shared" si="0"/>
        <v>0.41197694172755617</v>
      </c>
      <c r="K15" s="9">
        <f t="shared" si="0"/>
        <v>0.42829827915869984</v>
      </c>
      <c r="L15" s="9">
        <f t="shared" si="0"/>
        <v>0.40766550522648082</v>
      </c>
      <c r="M15" s="9">
        <f t="shared" si="0"/>
        <v>0.53191489361702127</v>
      </c>
      <c r="N15" s="9">
        <f t="shared" si="0"/>
        <v>0.40943683409436832</v>
      </c>
      <c r="O15" s="9">
        <f t="shared" si="0"/>
        <v>0.40965732087227413</v>
      </c>
      <c r="P15" s="9">
        <f t="shared" si="0"/>
        <v>0.46749999999999997</v>
      </c>
    </row>
    <row r="16" spans="1:16" x14ac:dyDescent="0.3">
      <c r="A16" s="1" t="s">
        <v>62</v>
      </c>
      <c r="B16" s="10">
        <v>5.4078906134028271E-2</v>
      </c>
      <c r="C16" s="10">
        <v>4.3977055449330782E-2</v>
      </c>
      <c r="D16" s="10">
        <v>3.8327526132404179E-2</v>
      </c>
      <c r="E16" s="10">
        <v>3.9007092198581561E-2</v>
      </c>
      <c r="F16" s="10">
        <v>6.6971080669710803E-2</v>
      </c>
      <c r="G16" s="10">
        <v>4.3613707165109032E-2</v>
      </c>
      <c r="H16" s="10">
        <v>4.2500000000000003E-2</v>
      </c>
      <c r="I16" s="9">
        <v>0.46605584786158444</v>
      </c>
      <c r="J16" s="9">
        <f t="shared" si="0"/>
        <v>0.46605584786158444</v>
      </c>
      <c r="K16" s="9">
        <f t="shared" si="0"/>
        <v>0.47227533460803062</v>
      </c>
      <c r="L16" s="9">
        <f t="shared" si="0"/>
        <v>0.44599303135888502</v>
      </c>
      <c r="M16" s="9">
        <f t="shared" si="0"/>
        <v>0.57092198581560283</v>
      </c>
      <c r="N16" s="9">
        <f t="shared" si="0"/>
        <v>0.47640791476407912</v>
      </c>
      <c r="O16" s="9">
        <f t="shared" si="0"/>
        <v>0.45327102803738317</v>
      </c>
      <c r="P16" s="9">
        <f t="shared" si="0"/>
        <v>0.51</v>
      </c>
    </row>
    <row r="17" spans="1:16" x14ac:dyDescent="0.3">
      <c r="A17" s="1" t="s">
        <v>57</v>
      </c>
      <c r="B17" s="10">
        <v>7.2622012568242925E-2</v>
      </c>
      <c r="C17" s="10">
        <v>0.15105162523900573</v>
      </c>
      <c r="D17" s="10">
        <v>0.17770034843205576</v>
      </c>
      <c r="E17" s="10">
        <v>9.2198581560283682E-2</v>
      </c>
      <c r="F17" s="10">
        <v>0.13394216133942161</v>
      </c>
      <c r="G17" s="10">
        <v>0.14485981308411214</v>
      </c>
      <c r="H17" s="10">
        <v>0.11749999999999999</v>
      </c>
      <c r="I17" s="9">
        <v>0.53867786042982735</v>
      </c>
      <c r="J17" s="9">
        <f t="shared" si="0"/>
        <v>0.53867786042982735</v>
      </c>
      <c r="K17" s="9">
        <f t="shared" si="0"/>
        <v>0.62332695984703634</v>
      </c>
      <c r="L17" s="9">
        <f t="shared" si="0"/>
        <v>0.62369337979094075</v>
      </c>
      <c r="M17" s="9">
        <f t="shared" si="0"/>
        <v>0.66312056737588654</v>
      </c>
      <c r="N17" s="9">
        <f t="shared" si="0"/>
        <v>0.61035007610350078</v>
      </c>
      <c r="O17" s="9">
        <f t="shared" si="0"/>
        <v>0.59813084112149528</v>
      </c>
      <c r="P17" s="9">
        <f t="shared" si="0"/>
        <v>0.62749999999999995</v>
      </c>
    </row>
    <row r="18" spans="1:16" x14ac:dyDescent="0.3">
      <c r="A18" s="1" t="s">
        <v>56</v>
      </c>
      <c r="B18" s="10">
        <v>8.6513879496610532E-2</v>
      </c>
      <c r="C18" s="10">
        <v>0.10516252390057361</v>
      </c>
      <c r="D18" s="10">
        <v>0.156794425087108</v>
      </c>
      <c r="E18" s="10">
        <v>5.3191489361702128E-2</v>
      </c>
      <c r="F18" s="10">
        <v>0.1004566210045662</v>
      </c>
      <c r="G18" s="10">
        <v>0.14018691588785046</v>
      </c>
      <c r="H18" s="10">
        <v>8.5000000000000006E-2</v>
      </c>
      <c r="I18" s="9">
        <v>0.62519173992643784</v>
      </c>
      <c r="J18" s="9">
        <f t="shared" si="0"/>
        <v>0.62519173992643784</v>
      </c>
      <c r="K18" s="9">
        <f t="shared" si="0"/>
        <v>0.72848948374760991</v>
      </c>
      <c r="L18" s="9">
        <f t="shared" si="0"/>
        <v>0.78048780487804881</v>
      </c>
      <c r="M18" s="9">
        <f t="shared" si="0"/>
        <v>0.71631205673758869</v>
      </c>
      <c r="N18" s="9">
        <f t="shared" si="0"/>
        <v>0.71080669710806699</v>
      </c>
      <c r="O18" s="9">
        <f t="shared" si="0"/>
        <v>0.73831775700934577</v>
      </c>
      <c r="P18" s="9">
        <f t="shared" si="0"/>
        <v>0.71249999999999991</v>
      </c>
    </row>
    <row r="19" spans="1:16" x14ac:dyDescent="0.3">
      <c r="A19" s="1" t="s">
        <v>55</v>
      </c>
      <c r="B19" s="10">
        <v>0.37480826007356216</v>
      </c>
      <c r="C19" s="10">
        <v>0.27151051625239003</v>
      </c>
      <c r="D19" s="10">
        <v>0.21951219512195122</v>
      </c>
      <c r="E19" s="10">
        <v>0.28368794326241137</v>
      </c>
      <c r="F19" s="10">
        <v>0.28919330289193301</v>
      </c>
      <c r="G19" s="10">
        <v>0.26168224299065418</v>
      </c>
      <c r="H19" s="10">
        <v>0.28749999999999998</v>
      </c>
      <c r="I19" s="9">
        <v>1</v>
      </c>
      <c r="J19" s="9">
        <f t="shared" ref="J19:P19" si="1">J18+B19</f>
        <v>1</v>
      </c>
      <c r="K19" s="9">
        <f t="shared" si="1"/>
        <v>1</v>
      </c>
      <c r="L19" s="9">
        <f t="shared" si="1"/>
        <v>1</v>
      </c>
      <c r="M19" s="9">
        <f t="shared" si="1"/>
        <v>1</v>
      </c>
      <c r="N19" s="9">
        <f t="shared" si="1"/>
        <v>1</v>
      </c>
      <c r="O19" s="9">
        <f t="shared" si="1"/>
        <v>1</v>
      </c>
      <c r="P19" s="9">
        <f t="shared" si="1"/>
        <v>0.99999999999999989</v>
      </c>
    </row>
    <row r="21" spans="1:16" ht="28.8" x14ac:dyDescent="0.3">
      <c r="B21" s="2" t="s">
        <v>15</v>
      </c>
      <c r="C21" s="4" t="s">
        <v>23</v>
      </c>
      <c r="D21" s="4" t="s">
        <v>24</v>
      </c>
      <c r="E21" s="4" t="s">
        <v>25</v>
      </c>
      <c r="F21" s="4" t="s">
        <v>26</v>
      </c>
      <c r="G21" s="4" t="s">
        <v>27</v>
      </c>
      <c r="H21" s="4" t="s">
        <v>28</v>
      </c>
      <c r="J21" s="2" t="s">
        <v>15</v>
      </c>
      <c r="K21" s="11" t="s">
        <v>29</v>
      </c>
      <c r="L21" s="11" t="s">
        <v>30</v>
      </c>
      <c r="M21" s="11" t="s">
        <v>31</v>
      </c>
      <c r="N21" s="11" t="s">
        <v>32</v>
      </c>
      <c r="O21" s="11" t="s">
        <v>33</v>
      </c>
      <c r="P21" s="11" t="s">
        <v>34</v>
      </c>
    </row>
    <row r="22" spans="1:16" x14ac:dyDescent="0.3">
      <c r="B22" s="1" t="s">
        <v>61</v>
      </c>
      <c r="C22" s="9">
        <f>C2-B2</f>
        <v>2.9136789602764411E-3</v>
      </c>
      <c r="D22" s="9">
        <f>D2-B2</f>
        <v>1.554594077430891E-3</v>
      </c>
      <c r="E22" s="9">
        <f>E2-B2</f>
        <v>1.8017090105863012E-3</v>
      </c>
      <c r="F22" s="9">
        <f>F2-B2</f>
        <v>1.1970432090996935E-2</v>
      </c>
      <c r="G22" s="9">
        <f>G2-B2</f>
        <v>-1.4792613612570078E-3</v>
      </c>
      <c r="H22" s="9">
        <f>H2-B2</f>
        <v>1.1731184746573489E-4</v>
      </c>
      <c r="J22" s="1" t="s">
        <v>61</v>
      </c>
      <c r="K22" s="8">
        <f>(J2-0) * ((K2+0))</f>
        <v>1.8941014382461592E-4</v>
      </c>
      <c r="L22" s="8">
        <f>(J2-0) * ((L2+0))</f>
        <v>1.7258101954751589E-4</v>
      </c>
      <c r="M22" s="8">
        <f>(J2-0) * ((M2+0))</f>
        <v>1.756409667026137E-4</v>
      </c>
      <c r="N22" s="8">
        <f>(J2-0) * ((N2+0))</f>
        <v>3.0155709351681618E-4</v>
      </c>
      <c r="O22" s="8">
        <f>(J2-0) * ((O2+0))</f>
        <v>1.350137337503736E-4</v>
      </c>
      <c r="P22" s="8">
        <f>(J2-0) * ((P2+0))</f>
        <v>1.5478360190667833E-4</v>
      </c>
    </row>
    <row r="23" spans="1:16" x14ac:dyDescent="0.3">
      <c r="B23" s="1" t="s">
        <v>59</v>
      </c>
      <c r="C23" s="9">
        <f t="shared" ref="C23:C39" si="2">C3-B3</f>
        <v>-4.6573891858413419E-3</v>
      </c>
      <c r="D23" s="9">
        <f t="shared" ref="D23:D39" si="3">D3-B3</f>
        <v>-2.8033640138287741E-4</v>
      </c>
      <c r="E23" s="9">
        <f t="shared" ref="E23:E39" si="4">E3-B3</f>
        <v>-7.1254200497877507E-3</v>
      </c>
      <c r="F23" s="9">
        <f t="shared" ref="F23:F39" si="5">F3-B3</f>
        <v>-6.6072685552445339E-3</v>
      </c>
      <c r="G23" s="9">
        <f t="shared" ref="G23:G39" si="6">G3-B3</f>
        <v>2.3165558938745421E-2</v>
      </c>
      <c r="H23" s="9">
        <f t="shared" ref="H23:H39" si="7">H3-B3</f>
        <v>7.8238136865196525E-4</v>
      </c>
      <c r="J23" s="1" t="s">
        <v>59</v>
      </c>
      <c r="K23" s="8">
        <f>(J3-J2) * ((K3+K2))</f>
        <v>5.708795243944718E-4</v>
      </c>
      <c r="L23" s="8">
        <f>(J3-J2) * ((L3+L2))</f>
        <v>5.9446489050932552E-4</v>
      </c>
      <c r="M23" s="8">
        <f>(J3-J2) * ((M3+M2))</f>
        <v>5.0417087345205793E-4</v>
      </c>
      <c r="N23" s="8">
        <f>(J3-J2) * ((N3+N2))</f>
        <v>8.0068780724486645E-4</v>
      </c>
      <c r="O23" s="8">
        <f>(J3-J2) * ((O3+O2))</f>
        <v>8.4154128970595845E-4</v>
      </c>
      <c r="P23" s="8">
        <f>(J3-J2) * ((P3+P2))</f>
        <v>5.6870474525392135E-4</v>
      </c>
    </row>
    <row r="24" spans="1:16" x14ac:dyDescent="0.3">
      <c r="B24" s="1" t="s">
        <v>58</v>
      </c>
      <c r="C24" s="9">
        <f t="shared" si="2"/>
        <v>6.7023233522555334E-3</v>
      </c>
      <c r="D24" s="9">
        <f t="shared" si="3"/>
        <v>4.6636960279872082E-3</v>
      </c>
      <c r="E24" s="9">
        <f t="shared" si="4"/>
        <v>-5.6039294446201034E-3</v>
      </c>
      <c r="F24" s="9">
        <f t="shared" si="5"/>
        <v>-4.0656671951949282E-3</v>
      </c>
      <c r="G24" s="9">
        <f t="shared" si="6"/>
        <v>5.5646262655939874E-3</v>
      </c>
      <c r="H24" s="9">
        <f t="shared" si="7"/>
        <v>1.257772683039473E-3</v>
      </c>
      <c r="J24" s="1" t="s">
        <v>58</v>
      </c>
      <c r="K24" s="8">
        <f t="shared" ref="K24:K39" si="8">(J4-J3) * ((K4+K3))</f>
        <v>1.180123590907266E-3</v>
      </c>
      <c r="L24" s="8">
        <f t="shared" ref="L24:L39" si="9">(J4-J3) * ((L4+L3))</f>
        <v>1.2450487838785076E-3</v>
      </c>
      <c r="M24" s="8">
        <f t="shared" ref="M24:M39" si="10">(J4-J3) * ((M4+M3))</f>
        <v>8.6394826154045359E-4</v>
      </c>
      <c r="N24" s="8">
        <f t="shared" ref="N24:N39" si="11">(J4-J3) * ((N4+N3))</f>
        <v>1.2360903589772091E-3</v>
      </c>
      <c r="O24" s="8">
        <f t="shared" ref="O24:O39" si="12">(J4-J3) * ((O4+O3))</f>
        <v>1.9227558817585669E-3</v>
      </c>
      <c r="P24" s="8">
        <f t="shared" ref="P24:P39" si="13">(J4-J3) * ((P4+P3))</f>
        <v>1.1775614804796382E-3</v>
      </c>
    </row>
    <row r="25" spans="1:16" x14ac:dyDescent="0.3">
      <c r="B25" s="1" t="s">
        <v>65</v>
      </c>
      <c r="C25" s="9">
        <f t="shared" si="2"/>
        <v>-2.9952095254317176E-3</v>
      </c>
      <c r="D25" s="9">
        <f t="shared" si="3"/>
        <v>1.3067308379179177E-2</v>
      </c>
      <c r="E25" s="9">
        <f t="shared" si="4"/>
        <v>-7.6532787659019993E-3</v>
      </c>
      <c r="F25" s="9">
        <f t="shared" si="5"/>
        <v>3.0174035748473764E-3</v>
      </c>
      <c r="G25" s="9">
        <f t="shared" si="6"/>
        <v>-1.0503414644472953E-2</v>
      </c>
      <c r="H25" s="9">
        <f t="shared" si="7"/>
        <v>1.4208423361757577E-2</v>
      </c>
      <c r="J25" s="1" t="s">
        <v>65</v>
      </c>
      <c r="K25" s="8">
        <f t="shared" si="8"/>
        <v>2.028511367147344E-3</v>
      </c>
      <c r="L25" s="8">
        <f t="shared" si="9"/>
        <v>2.3581475108535531E-3</v>
      </c>
      <c r="M25" s="8">
        <f t="shared" si="10"/>
        <v>1.3621386858265637E-3</v>
      </c>
      <c r="N25" s="8">
        <f t="shared" si="11"/>
        <v>2.0045563439169784E-3</v>
      </c>
      <c r="O25" s="8">
        <f t="shared" si="12"/>
        <v>2.7066974776215427E-3</v>
      </c>
      <c r="P25" s="8">
        <f t="shared" si="13"/>
        <v>2.2407181381846972E-3</v>
      </c>
    </row>
    <row r="26" spans="1:16" x14ac:dyDescent="0.3">
      <c r="B26" s="1" t="s">
        <v>68</v>
      </c>
      <c r="C26" s="9">
        <f t="shared" si="2"/>
        <v>6.2145275814251555E-3</v>
      </c>
      <c r="D26" s="9">
        <f t="shared" si="3"/>
        <v>9.2324954830380682E-3</v>
      </c>
      <c r="E26" s="9">
        <f t="shared" si="4"/>
        <v>1.6818923930909176E-2</v>
      </c>
      <c r="F26" s="9">
        <f t="shared" si="5"/>
        <v>1.0277261312301056E-2</v>
      </c>
      <c r="G26" s="9">
        <f t="shared" si="6"/>
        <v>9.3953142006778477E-3</v>
      </c>
      <c r="H26" s="9">
        <f t="shared" si="7"/>
        <v>3.8579310231077538E-3</v>
      </c>
      <c r="J26" s="1" t="s">
        <v>68</v>
      </c>
      <c r="K26" s="8">
        <f t="shared" si="8"/>
        <v>2.8159148167772228E-3</v>
      </c>
      <c r="L26" s="8">
        <f t="shared" si="9"/>
        <v>3.5075669851992379E-3</v>
      </c>
      <c r="M26" s="8">
        <f t="shared" si="10"/>
        <v>2.2476253376394906E-3</v>
      </c>
      <c r="N26" s="8">
        <f t="shared" si="11"/>
        <v>2.9793260921973908E-3</v>
      </c>
      <c r="O26" s="8">
        <f t="shared" si="12"/>
        <v>3.426423892949042E-3</v>
      </c>
      <c r="P26" s="8">
        <f t="shared" si="13"/>
        <v>3.3089672433983734E-3</v>
      </c>
    </row>
    <row r="27" spans="1:16" x14ac:dyDescent="0.3">
      <c r="B27" s="1" t="s">
        <v>63</v>
      </c>
      <c r="C27" s="9">
        <f t="shared" si="2"/>
        <v>-3.8994726633636463E-3</v>
      </c>
      <c r="D27" s="9">
        <f t="shared" si="3"/>
        <v>3.2823582371633332E-3</v>
      </c>
      <c r="E27" s="9">
        <f t="shared" si="4"/>
        <v>6.3998497313447714E-2</v>
      </c>
      <c r="F27" s="9">
        <f t="shared" si="5"/>
        <v>4.7673045934762091E-3</v>
      </c>
      <c r="G27" s="9">
        <f t="shared" si="6"/>
        <v>5.3718651135405068E-3</v>
      </c>
      <c r="H27" s="9">
        <f t="shared" si="7"/>
        <v>1.3892114334724311E-2</v>
      </c>
      <c r="J27" s="1" t="s">
        <v>63</v>
      </c>
      <c r="K27" s="8">
        <f t="shared" si="8"/>
        <v>4.0762838474050567E-3</v>
      </c>
      <c r="L27" s="8">
        <f t="shared" si="9"/>
        <v>5.0747181564600088E-3</v>
      </c>
      <c r="M27" s="8">
        <f t="shared" si="10"/>
        <v>5.0898447703501661E-3</v>
      </c>
      <c r="N27" s="8">
        <f t="shared" si="11"/>
        <v>4.5300028596710383E-3</v>
      </c>
      <c r="O27" s="8">
        <f t="shared" si="12"/>
        <v>5.0303839669582238E-3</v>
      </c>
      <c r="P27" s="8">
        <f t="shared" si="13"/>
        <v>4.9603531313397869E-3</v>
      </c>
    </row>
    <row r="28" spans="1:16" x14ac:dyDescent="0.3">
      <c r="B28" s="1" t="s">
        <v>71</v>
      </c>
      <c r="C28" s="9">
        <f t="shared" si="2"/>
        <v>7.6767559157635071E-3</v>
      </c>
      <c r="D28" s="9">
        <f t="shared" si="3"/>
        <v>1.9788600607004742E-2</v>
      </c>
      <c r="E28" s="9">
        <f t="shared" si="4"/>
        <v>3.1353579478677951E-2</v>
      </c>
      <c r="F28" s="9">
        <f t="shared" si="5"/>
        <v>-8.1230875118333962E-3</v>
      </c>
      <c r="G28" s="9">
        <f t="shared" si="6"/>
        <v>-4.4388245777945042E-3</v>
      </c>
      <c r="H28" s="9">
        <f t="shared" si="7"/>
        <v>-1.7476207755364598E-2</v>
      </c>
      <c r="J28" s="1" t="s">
        <v>71</v>
      </c>
      <c r="K28" s="8">
        <f t="shared" si="8"/>
        <v>8.1345759387242145E-3</v>
      </c>
      <c r="L28" s="8">
        <f t="shared" si="9"/>
        <v>1.0297334166335119E-2</v>
      </c>
      <c r="M28" s="8">
        <f t="shared" si="10"/>
        <v>1.266802430173797E-2</v>
      </c>
      <c r="N28" s="8">
        <f t="shared" si="11"/>
        <v>8.6010047936582075E-3</v>
      </c>
      <c r="O28" s="8">
        <f t="shared" si="12"/>
        <v>9.5101667570226586E-3</v>
      </c>
      <c r="P28" s="8">
        <f t="shared" si="13"/>
        <v>9.2557192102789149E-3</v>
      </c>
    </row>
    <row r="29" spans="1:16" x14ac:dyDescent="0.3">
      <c r="B29" s="1" t="s">
        <v>72</v>
      </c>
      <c r="C29" s="9">
        <f t="shared" si="2"/>
        <v>-1.1424843956600664E-3</v>
      </c>
      <c r="D29" s="9">
        <f t="shared" si="3"/>
        <v>-2.6678623395400246E-2</v>
      </c>
      <c r="E29" s="9">
        <f t="shared" si="4"/>
        <v>-1.5916768056482112E-2</v>
      </c>
      <c r="F29" s="9">
        <f t="shared" si="5"/>
        <v>-1.6904494342955122E-2</v>
      </c>
      <c r="G29" s="9">
        <f t="shared" si="6"/>
        <v>-1.1840410927828306E-2</v>
      </c>
      <c r="H29" s="9">
        <f t="shared" si="7"/>
        <v>-3.6472645103828236E-3</v>
      </c>
      <c r="J29" s="1" t="s">
        <v>72</v>
      </c>
      <c r="K29" s="8">
        <f t="shared" si="8"/>
        <v>1.0872634229932503E-2</v>
      </c>
      <c r="L29" s="8">
        <f t="shared" si="9"/>
        <v>1.2661688387182388E-2</v>
      </c>
      <c r="M29" s="8">
        <f t="shared" si="10"/>
        <v>1.586909992865573E-2</v>
      </c>
      <c r="N29" s="8">
        <f t="shared" si="11"/>
        <v>1.0293911973496116E-2</v>
      </c>
      <c r="O29" s="8">
        <f t="shared" si="12"/>
        <v>1.1530215252779162E-2</v>
      </c>
      <c r="P29" s="8">
        <f t="shared" si="13"/>
        <v>1.1103597288426336E-2</v>
      </c>
    </row>
    <row r="30" spans="1:16" x14ac:dyDescent="0.3">
      <c r="B30" s="1" t="s">
        <v>64</v>
      </c>
      <c r="C30" s="9">
        <f t="shared" si="2"/>
        <v>-1.4882651333296353E-2</v>
      </c>
      <c r="D30" s="9">
        <f t="shared" si="3"/>
        <v>-3.2430835555919788E-2</v>
      </c>
      <c r="E30" s="9">
        <f t="shared" si="4"/>
        <v>-2.8822957531850792E-2</v>
      </c>
      <c r="F30" s="9">
        <f t="shared" si="5"/>
        <v>-3.2871016082969676E-2</v>
      </c>
      <c r="G30" s="9">
        <f t="shared" si="6"/>
        <v>-2.8126994119641605E-2</v>
      </c>
      <c r="H30" s="9">
        <f t="shared" si="7"/>
        <v>-3.3415156113411074E-2</v>
      </c>
      <c r="J30" s="1" t="s">
        <v>64</v>
      </c>
      <c r="K30" s="8">
        <f t="shared" si="8"/>
        <v>1.3528271040806858E-2</v>
      </c>
      <c r="L30" s="8">
        <f t="shared" si="9"/>
        <v>1.3890530761632857E-2</v>
      </c>
      <c r="M30" s="8">
        <f t="shared" si="10"/>
        <v>1.7830219347083516E-2</v>
      </c>
      <c r="N30" s="8">
        <f t="shared" si="11"/>
        <v>1.1698391793409396E-2</v>
      </c>
      <c r="O30" s="8">
        <f t="shared" si="12"/>
        <v>1.3370283973684191E-2</v>
      </c>
      <c r="P30" s="8">
        <f t="shared" si="13"/>
        <v>1.3019244091111522E-2</v>
      </c>
    </row>
    <row r="31" spans="1:16" x14ac:dyDescent="0.3">
      <c r="B31" s="1" t="s">
        <v>69</v>
      </c>
      <c r="C31" s="9">
        <f t="shared" si="2"/>
        <v>4.1842028470999992E-3</v>
      </c>
      <c r="D31" s="9">
        <f t="shared" si="3"/>
        <v>-1.157851692158908E-2</v>
      </c>
      <c r="E31" s="9">
        <f t="shared" si="4"/>
        <v>2.4314927119234303E-2</v>
      </c>
      <c r="F31" s="9">
        <f t="shared" si="5"/>
        <v>-5.5273605196141037E-3</v>
      </c>
      <c r="G31" s="9">
        <f t="shared" si="6"/>
        <v>-3.2584804501963327E-3</v>
      </c>
      <c r="H31" s="9">
        <f t="shared" si="7"/>
        <v>4.0312391759718957E-3</v>
      </c>
      <c r="J31" s="1" t="s">
        <v>69</v>
      </c>
      <c r="K31" s="8">
        <f t="shared" si="8"/>
        <v>1.5749227970750363E-2</v>
      </c>
      <c r="L31" s="8">
        <f t="shared" si="9"/>
        <v>1.4913876439231165E-2</v>
      </c>
      <c r="M31" s="8">
        <f t="shared" si="10"/>
        <v>2.0280258762483936E-2</v>
      </c>
      <c r="N31" s="8">
        <f t="shared" si="11"/>
        <v>1.2920285471035972E-2</v>
      </c>
      <c r="O31" s="8">
        <f t="shared" si="12"/>
        <v>1.484691840867204E-2</v>
      </c>
      <c r="P31" s="8">
        <f t="shared" si="13"/>
        <v>1.4567348133731386E-2</v>
      </c>
    </row>
    <row r="32" spans="1:16" x14ac:dyDescent="0.3">
      <c r="B32" s="1" t="s">
        <v>66</v>
      </c>
      <c r="C32" s="9">
        <f t="shared" si="2"/>
        <v>-5.1339736169897926E-3</v>
      </c>
      <c r="D32" s="9">
        <f t="shared" si="3"/>
        <v>1.8110375188148078E-2</v>
      </c>
      <c r="E32" s="9">
        <f t="shared" si="4"/>
        <v>-2.1777608239111276E-3</v>
      </c>
      <c r="F32" s="9">
        <f t="shared" si="5"/>
        <v>9.5454167401291534E-3</v>
      </c>
      <c r="G32" s="9">
        <f t="shared" si="6"/>
        <v>-6.4861057566346671E-3</v>
      </c>
      <c r="H32" s="9">
        <f t="shared" si="7"/>
        <v>7.3612462682874497E-3</v>
      </c>
      <c r="J32" s="1" t="s">
        <v>66</v>
      </c>
      <c r="K32" s="8">
        <f t="shared" si="8"/>
        <v>1.9215195499746183E-2</v>
      </c>
      <c r="L32" s="8">
        <f t="shared" si="9"/>
        <v>1.8622658640777636E-2</v>
      </c>
      <c r="M32" s="8">
        <f t="shared" si="10"/>
        <v>2.4825560971980614E-2</v>
      </c>
      <c r="N32" s="8">
        <f t="shared" si="11"/>
        <v>1.6441890899545664E-2</v>
      </c>
      <c r="O32" s="8">
        <f t="shared" si="12"/>
        <v>1.7939966731937755E-2</v>
      </c>
      <c r="P32" s="8">
        <f t="shared" si="13"/>
        <v>1.8442989328539151E-2</v>
      </c>
    </row>
    <row r="33" spans="2:16" x14ac:dyDescent="0.3">
      <c r="B33" s="1" t="s">
        <v>60</v>
      </c>
      <c r="C33" s="9">
        <f t="shared" si="2"/>
        <v>-2.2813499411696442E-3</v>
      </c>
      <c r="D33" s="9">
        <f t="shared" si="3"/>
        <v>-2.1528390267350012E-2</v>
      </c>
      <c r="E33" s="9">
        <f t="shared" si="4"/>
        <v>-2.1157717867616898E-2</v>
      </c>
      <c r="F33" s="9">
        <f t="shared" si="5"/>
        <v>-4.3825632317802468E-3</v>
      </c>
      <c r="G33" s="9">
        <f t="shared" si="6"/>
        <v>1.3640452742842438E-2</v>
      </c>
      <c r="H33" s="9">
        <f t="shared" si="7"/>
        <v>-2.4343136122977477E-3</v>
      </c>
      <c r="J33" s="1" t="s">
        <v>60</v>
      </c>
      <c r="K33" s="8">
        <f t="shared" si="8"/>
        <v>2.4746588244265431E-2</v>
      </c>
      <c r="L33" s="8">
        <f t="shared" si="9"/>
        <v>2.4248179207027296E-2</v>
      </c>
      <c r="M33" s="8">
        <f t="shared" si="10"/>
        <v>3.0396210459872862E-2</v>
      </c>
      <c r="N33" s="8">
        <f t="shared" si="11"/>
        <v>2.2153682753452256E-2</v>
      </c>
      <c r="O33" s="8">
        <f t="shared" si="12"/>
        <v>2.3927136335906218E-2</v>
      </c>
      <c r="P33" s="8">
        <f t="shared" si="13"/>
        <v>2.4399730327071215E-2</v>
      </c>
    </row>
    <row r="34" spans="2:16" x14ac:dyDescent="0.3">
      <c r="B34" s="1" t="s">
        <v>70</v>
      </c>
      <c r="C34" s="9">
        <f t="shared" si="2"/>
        <v>-1.6590551499202102E-2</v>
      </c>
      <c r="D34" s="9">
        <f t="shared" si="3"/>
        <v>-1.3912354818300575E-2</v>
      </c>
      <c r="E34" s="9">
        <f t="shared" si="4"/>
        <v>3.9835143143001225E-2</v>
      </c>
      <c r="F34" s="9">
        <f t="shared" si="5"/>
        <v>9.5232807122230256E-3</v>
      </c>
      <c r="G34" s="9">
        <f t="shared" si="6"/>
        <v>7.6882617219102209E-3</v>
      </c>
      <c r="H34" s="9">
        <f t="shared" si="7"/>
        <v>5.7228760164277817E-2</v>
      </c>
      <c r="J34" s="1" t="s">
        <v>70</v>
      </c>
      <c r="K34" s="8">
        <f t="shared" si="8"/>
        <v>2.9517194615642946E-2</v>
      </c>
      <c r="L34" s="8">
        <f t="shared" si="9"/>
        <v>2.8235372580467839E-2</v>
      </c>
      <c r="M34" s="8">
        <f t="shared" si="10"/>
        <v>3.7244424262012563E-2</v>
      </c>
      <c r="N34" s="8">
        <f t="shared" si="11"/>
        <v>2.7838022669150319E-2</v>
      </c>
      <c r="O34" s="8">
        <f t="shared" si="12"/>
        <v>3.0462890356747631E-2</v>
      </c>
      <c r="P34" s="8">
        <f t="shared" si="13"/>
        <v>3.2482114582130663E-2</v>
      </c>
    </row>
    <row r="35" spans="2:16" x14ac:dyDescent="0.3">
      <c r="B35" s="1" t="s">
        <v>67</v>
      </c>
      <c r="C35" s="9">
        <f t="shared" si="2"/>
        <v>4.0212930935277703E-2</v>
      </c>
      <c r="D35" s="9">
        <f t="shared" si="3"/>
        <v>3.2398192858915785E-2</v>
      </c>
      <c r="E35" s="9">
        <f t="shared" si="4"/>
        <v>3.0273004433779262E-2</v>
      </c>
      <c r="F35" s="9">
        <f t="shared" si="5"/>
        <v>2.6840250782430443E-2</v>
      </c>
      <c r="G35" s="9">
        <f t="shared" si="6"/>
        <v>-1.0122080007670398E-3</v>
      </c>
      <c r="H35" s="9">
        <f t="shared" si="7"/>
        <v>9.7588200366161421E-3</v>
      </c>
      <c r="J35" s="1" t="s">
        <v>67</v>
      </c>
      <c r="K35" s="8">
        <f t="shared" si="8"/>
        <v>3.6695897409713775E-2</v>
      </c>
      <c r="L35" s="8">
        <f t="shared" si="9"/>
        <v>3.5098916279700312E-2</v>
      </c>
      <c r="M35" s="8">
        <f t="shared" si="10"/>
        <v>4.706400010574719E-2</v>
      </c>
      <c r="N35" s="8">
        <f t="shared" si="11"/>
        <v>3.5533389653112174E-2</v>
      </c>
      <c r="O35" s="8">
        <f t="shared" si="12"/>
        <v>3.6884151498190632E-2</v>
      </c>
      <c r="P35" s="8">
        <f t="shared" si="13"/>
        <v>4.1892885417869313E-2</v>
      </c>
    </row>
    <row r="36" spans="2:16" x14ac:dyDescent="0.3">
      <c r="B36" s="1" t="s">
        <v>62</v>
      </c>
      <c r="C36" s="9">
        <f t="shared" si="2"/>
        <v>-1.0101850684697489E-2</v>
      </c>
      <c r="D36" s="9">
        <f t="shared" si="3"/>
        <v>-1.5751380001624092E-2</v>
      </c>
      <c r="E36" s="9">
        <f t="shared" si="4"/>
        <v>-1.507181393544671E-2</v>
      </c>
      <c r="F36" s="9">
        <f t="shared" si="5"/>
        <v>1.2892174535682532E-2</v>
      </c>
      <c r="G36" s="9">
        <f t="shared" si="6"/>
        <v>-1.0465198968919238E-2</v>
      </c>
      <c r="H36" s="9">
        <f t="shared" si="7"/>
        <v>-1.1578906134028268E-2</v>
      </c>
      <c r="J36" s="1" t="s">
        <v>62</v>
      </c>
      <c r="K36" s="8">
        <f t="shared" si="8"/>
        <v>4.870203592567364E-2</v>
      </c>
      <c r="L36" s="8">
        <f t="shared" si="9"/>
        <v>4.6164919870511939E-2</v>
      </c>
      <c r="M36" s="8">
        <f t="shared" si="10"/>
        <v>5.9640212083981528E-2</v>
      </c>
      <c r="N36" s="8">
        <f t="shared" si="11"/>
        <v>4.7905515022837825E-2</v>
      </c>
      <c r="O36" s="8">
        <f t="shared" si="12"/>
        <v>4.6666221181077355E-2</v>
      </c>
      <c r="P36" s="8">
        <f t="shared" si="13"/>
        <v>5.2862130746012634E-2</v>
      </c>
    </row>
    <row r="37" spans="2:16" x14ac:dyDescent="0.3">
      <c r="B37" s="1" t="s">
        <v>57</v>
      </c>
      <c r="C37" s="9">
        <f t="shared" si="2"/>
        <v>7.8429612670762802E-2</v>
      </c>
      <c r="D37" s="9">
        <f t="shared" si="3"/>
        <v>0.10507833586381284</v>
      </c>
      <c r="E37" s="9">
        <f t="shared" si="4"/>
        <v>1.9576568992040758E-2</v>
      </c>
      <c r="F37" s="9">
        <f t="shared" si="5"/>
        <v>6.1320148771178681E-2</v>
      </c>
      <c r="G37" s="9">
        <f t="shared" si="6"/>
        <v>7.2237800515869213E-2</v>
      </c>
      <c r="H37" s="9">
        <f t="shared" si="7"/>
        <v>4.4877987431757069E-2</v>
      </c>
      <c r="J37" s="1" t="s">
        <v>57</v>
      </c>
      <c r="K37" s="8">
        <f t="shared" si="8"/>
        <v>7.956484359771164E-2</v>
      </c>
      <c r="L37" s="8">
        <f t="shared" si="9"/>
        <v>7.7682779994601298E-2</v>
      </c>
      <c r="M37" s="8">
        <f t="shared" si="10"/>
        <v>8.9618653807618909E-2</v>
      </c>
      <c r="N37" s="8">
        <f t="shared" si="11"/>
        <v>7.892255247142381E-2</v>
      </c>
      <c r="O37" s="8">
        <f t="shared" si="12"/>
        <v>7.6354919756330158E-2</v>
      </c>
      <c r="P37" s="8">
        <f t="shared" si="13"/>
        <v>8.2607539296376306E-2</v>
      </c>
    </row>
    <row r="38" spans="2:16" x14ac:dyDescent="0.3">
      <c r="B38" s="1" t="s">
        <v>56</v>
      </c>
      <c r="C38" s="9">
        <f t="shared" si="2"/>
        <v>1.8648644403963077E-2</v>
      </c>
      <c r="D38" s="9">
        <f t="shared" si="3"/>
        <v>7.028054559049747E-2</v>
      </c>
      <c r="E38" s="9">
        <f t="shared" si="4"/>
        <v>-3.3322390134908404E-2</v>
      </c>
      <c r="F38" s="9">
        <f t="shared" si="5"/>
        <v>1.3942741507955672E-2</v>
      </c>
      <c r="G38" s="9">
        <f t="shared" si="6"/>
        <v>5.3673036391239923E-2</v>
      </c>
      <c r="H38" s="9">
        <f t="shared" si="7"/>
        <v>-1.5138794966105262E-3</v>
      </c>
      <c r="J38" s="1" t="s">
        <v>56</v>
      </c>
      <c r="K38" s="8">
        <f t="shared" si="8"/>
        <v>0.11695088490268378</v>
      </c>
      <c r="L38" s="8">
        <f t="shared" si="9"/>
        <v>0.12148116180186072</v>
      </c>
      <c r="M38" s="8">
        <f t="shared" si="10"/>
        <v>0.11934006781624638</v>
      </c>
      <c r="N38" s="8">
        <f t="shared" si="11"/>
        <v>0.11429839787375634</v>
      </c>
      <c r="O38" s="8">
        <f t="shared" si="12"/>
        <v>0.11562135297210561</v>
      </c>
      <c r="P38" s="8">
        <f t="shared" si="13"/>
        <v>0.11592859852545805</v>
      </c>
    </row>
    <row r="39" spans="2:16" x14ac:dyDescent="0.3">
      <c r="B39" s="1" t="s">
        <v>55</v>
      </c>
      <c r="C39" s="9">
        <f t="shared" si="2"/>
        <v>-0.10329774382117213</v>
      </c>
      <c r="D39" s="9">
        <f t="shared" si="3"/>
        <v>-0.15529606495161094</v>
      </c>
      <c r="E39" s="9">
        <f t="shared" si="4"/>
        <v>-9.1120316811150792E-2</v>
      </c>
      <c r="F39" s="9">
        <f t="shared" si="5"/>
        <v>-8.5614957181629148E-2</v>
      </c>
      <c r="G39" s="9">
        <f t="shared" si="6"/>
        <v>-0.11312601708290798</v>
      </c>
      <c r="H39" s="9">
        <f t="shared" si="7"/>
        <v>-8.7308260073562183E-2</v>
      </c>
      <c r="J39" s="1" t="s">
        <v>55</v>
      </c>
      <c r="K39" s="8">
        <f t="shared" si="8"/>
        <v>0.64785213595889135</v>
      </c>
      <c r="L39" s="8">
        <f t="shared" si="9"/>
        <v>0.66734153622853754</v>
      </c>
      <c r="M39" s="8">
        <f t="shared" si="10"/>
        <v>0.64328793572909249</v>
      </c>
      <c r="N39" s="8">
        <f t="shared" si="11"/>
        <v>0.64122448146527233</v>
      </c>
      <c r="O39" s="8">
        <f t="shared" si="12"/>
        <v>0.65153585395965008</v>
      </c>
      <c r="P39" s="8">
        <f t="shared" si="13"/>
        <v>0.64185914537597522</v>
      </c>
    </row>
    <row r="40" spans="2:16" x14ac:dyDescent="0.3">
      <c r="J40" s="12" t="s">
        <v>35</v>
      </c>
      <c r="K40" s="11">
        <f>SUM(K22:K39)</f>
        <v>1.0623906086249986</v>
      </c>
      <c r="L40" s="11">
        <f t="shared" ref="L40:P40" si="14">SUM(L22:L39)</f>
        <v>1.0835914817043144</v>
      </c>
      <c r="M40" s="11">
        <f t="shared" si="14"/>
        <v>1.128308036472025</v>
      </c>
      <c r="N40" s="11">
        <f t="shared" si="14"/>
        <v>1.0396837473956748</v>
      </c>
      <c r="O40" s="11">
        <f t="shared" si="14"/>
        <v>1.0627128934268473</v>
      </c>
      <c r="P40" s="11">
        <f t="shared" si="14"/>
        <v>1.0708321306635438</v>
      </c>
    </row>
    <row r="41" spans="2:16" x14ac:dyDescent="0.3">
      <c r="J41" s="13" t="s">
        <v>36</v>
      </c>
      <c r="K41" s="14">
        <f>1-K40</f>
        <v>-6.2390608624998567E-2</v>
      </c>
      <c r="L41" s="14">
        <f t="shared" ref="L41:P41" si="15">1-L40</f>
        <v>-8.3591481704314408E-2</v>
      </c>
      <c r="M41" s="14">
        <f t="shared" si="15"/>
        <v>-0.12830803647202504</v>
      </c>
      <c r="N41" s="14">
        <f t="shared" si="15"/>
        <v>-3.9683747395674818E-2</v>
      </c>
      <c r="O41" s="14">
        <f t="shared" si="15"/>
        <v>-6.2712893426847272E-2</v>
      </c>
      <c r="P41" s="14">
        <f t="shared" si="15"/>
        <v>-7.0832130663543769E-2</v>
      </c>
    </row>
  </sheetData>
  <sortState xmlns:xlrd2="http://schemas.microsoft.com/office/spreadsheetml/2017/richdata2" ref="A2:P20">
    <sortCondition ref="B1:B20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BARBACENA</vt:lpstr>
      <vt:lpstr>CONGONHAS</vt:lpstr>
      <vt:lpstr>C. LAFAIETE</vt:lpstr>
      <vt:lpstr>SÃO JOÃO DEL REI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Belotti</dc:creator>
  <cp:lastModifiedBy>Marina Belotti</cp:lastModifiedBy>
  <dcterms:created xsi:type="dcterms:W3CDTF">2025-04-19T23:33:37Z</dcterms:created>
  <dcterms:modified xsi:type="dcterms:W3CDTF">2025-07-08T23:00:33Z</dcterms:modified>
</cp:coreProperties>
</file>