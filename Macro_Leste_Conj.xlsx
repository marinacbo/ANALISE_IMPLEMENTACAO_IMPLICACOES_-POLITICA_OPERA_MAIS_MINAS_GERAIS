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conjunto/"/>
    </mc:Choice>
  </mc:AlternateContent>
  <xr:revisionPtr revIDLastSave="38" documentId="8_{4B74DCE1-78DD-4788-9F29-C161FA98B68B}" xr6:coauthVersionLast="47" xr6:coauthVersionMax="47" xr10:uidLastSave="{2AC60FEF-AC07-48F5-B7CC-EE58DD7460F1}"/>
  <bookViews>
    <workbookView xWindow="-108" yWindow="-108" windowWidth="23256" windowHeight="12456" xr2:uid="{4C6607B1-F288-4D7F-949D-AB00E794FD7D}"/>
  </bookViews>
  <sheets>
    <sheet name="GOVERNADOR VALADARES" sheetId="1" r:id="rId1"/>
    <sheet name="MANTENA" sheetId="2" r:id="rId2"/>
    <sheet name="PEÇANHA - SÃO JOÃO EVANGELISTA" sheetId="3" r:id="rId3"/>
    <sheet name="RESPLENDOR" sheetId="5" r:id="rId4"/>
    <sheet name="SANTA MARIA DO SUAÇUÍ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4" l="1"/>
  <c r="O8" i="4"/>
  <c r="N8" i="4"/>
  <c r="M8" i="4"/>
  <c r="L8" i="4"/>
  <c r="K8" i="4"/>
  <c r="P12" i="5"/>
  <c r="O12" i="5"/>
  <c r="N12" i="5"/>
  <c r="M12" i="5"/>
  <c r="L12" i="5"/>
  <c r="K12" i="5"/>
  <c r="P11" i="3"/>
  <c r="O11" i="3"/>
  <c r="N11" i="3"/>
  <c r="M11" i="3"/>
  <c r="L11" i="3"/>
  <c r="K11" i="3"/>
  <c r="P12" i="2"/>
  <c r="O12" i="2"/>
  <c r="N12" i="2"/>
  <c r="M12" i="2"/>
  <c r="L12" i="2"/>
  <c r="K12" i="2"/>
  <c r="P28" i="1"/>
  <c r="O28" i="1"/>
  <c r="N28" i="1"/>
  <c r="M28" i="1"/>
  <c r="L28" i="1"/>
  <c r="K28" i="1"/>
  <c r="H11" i="4"/>
  <c r="G11" i="4"/>
  <c r="F11" i="4"/>
  <c r="E11" i="4"/>
  <c r="D11" i="4"/>
  <c r="C11" i="4"/>
  <c r="H10" i="4"/>
  <c r="G10" i="4"/>
  <c r="F10" i="4"/>
  <c r="E10" i="4"/>
  <c r="D10" i="4"/>
  <c r="C10" i="4"/>
  <c r="H9" i="4"/>
  <c r="G9" i="4"/>
  <c r="F9" i="4"/>
  <c r="E9" i="4"/>
  <c r="D9" i="4"/>
  <c r="C9" i="4"/>
  <c r="H8" i="4"/>
  <c r="G8" i="4"/>
  <c r="F8" i="4"/>
  <c r="E8" i="4"/>
  <c r="D8" i="4"/>
  <c r="C8" i="4"/>
  <c r="P3" i="4"/>
  <c r="P4" i="4" s="1"/>
  <c r="P5" i="4" s="1"/>
  <c r="O3" i="4"/>
  <c r="O4" i="4" s="1"/>
  <c r="O5" i="4" s="1"/>
  <c r="N3" i="4"/>
  <c r="N4" i="4" s="1"/>
  <c r="N5" i="4" s="1"/>
  <c r="M3" i="4"/>
  <c r="M4" i="4" s="1"/>
  <c r="M5" i="4" s="1"/>
  <c r="L3" i="4"/>
  <c r="L4" i="4" s="1"/>
  <c r="L5" i="4" s="1"/>
  <c r="K3" i="4"/>
  <c r="K4" i="4" s="1"/>
  <c r="K5" i="4" s="1"/>
  <c r="J3" i="4"/>
  <c r="J4" i="4" s="1"/>
  <c r="J5" i="4" s="1"/>
  <c r="H19" i="5"/>
  <c r="G19" i="5"/>
  <c r="F19" i="5"/>
  <c r="E19" i="5"/>
  <c r="D19" i="5"/>
  <c r="C19" i="5"/>
  <c r="H18" i="5"/>
  <c r="G18" i="5"/>
  <c r="F18" i="5"/>
  <c r="E18" i="5"/>
  <c r="D18" i="5"/>
  <c r="C18" i="5"/>
  <c r="H17" i="5"/>
  <c r="G17" i="5"/>
  <c r="F17" i="5"/>
  <c r="E17" i="5"/>
  <c r="D17" i="5"/>
  <c r="C17" i="5"/>
  <c r="H16" i="5"/>
  <c r="G16" i="5"/>
  <c r="F16" i="5"/>
  <c r="E16" i="5"/>
  <c r="D16" i="5"/>
  <c r="C16" i="5"/>
  <c r="H15" i="5"/>
  <c r="G15" i="5"/>
  <c r="F15" i="5"/>
  <c r="E15" i="5"/>
  <c r="D15" i="5"/>
  <c r="C15" i="5"/>
  <c r="H14" i="5"/>
  <c r="G14" i="5"/>
  <c r="F14" i="5"/>
  <c r="E14" i="5"/>
  <c r="D14" i="5"/>
  <c r="C14" i="5"/>
  <c r="H13" i="5"/>
  <c r="G13" i="5"/>
  <c r="F13" i="5"/>
  <c r="E13" i="5"/>
  <c r="D13" i="5"/>
  <c r="C13" i="5"/>
  <c r="H12" i="5"/>
  <c r="G12" i="5"/>
  <c r="F12" i="5"/>
  <c r="E12" i="5"/>
  <c r="D12" i="5"/>
  <c r="C12" i="5"/>
  <c r="P3" i="5"/>
  <c r="P4" i="5" s="1"/>
  <c r="P5" i="5" s="1"/>
  <c r="P6" i="5" s="1"/>
  <c r="P7" i="5" s="1"/>
  <c r="P8" i="5" s="1"/>
  <c r="P9" i="5" s="1"/>
  <c r="O3" i="5"/>
  <c r="O4" i="5" s="1"/>
  <c r="O5" i="5" s="1"/>
  <c r="O6" i="5" s="1"/>
  <c r="O7" i="5" s="1"/>
  <c r="O8" i="5" s="1"/>
  <c r="O9" i="5" s="1"/>
  <c r="N3" i="5"/>
  <c r="N4" i="5" s="1"/>
  <c r="N5" i="5" s="1"/>
  <c r="N6" i="5" s="1"/>
  <c r="N7" i="5" s="1"/>
  <c r="N8" i="5" s="1"/>
  <c r="N9" i="5" s="1"/>
  <c r="M3" i="5"/>
  <c r="M4" i="5" s="1"/>
  <c r="M5" i="5" s="1"/>
  <c r="M6" i="5" s="1"/>
  <c r="M7" i="5" s="1"/>
  <c r="M8" i="5" s="1"/>
  <c r="M9" i="5" s="1"/>
  <c r="L3" i="5"/>
  <c r="L4" i="5" s="1"/>
  <c r="L5" i="5" s="1"/>
  <c r="L6" i="5" s="1"/>
  <c r="L7" i="5" s="1"/>
  <c r="L8" i="5" s="1"/>
  <c r="L9" i="5" s="1"/>
  <c r="K3" i="5"/>
  <c r="K4" i="5" s="1"/>
  <c r="K5" i="5" s="1"/>
  <c r="K6" i="5" s="1"/>
  <c r="K7" i="5" s="1"/>
  <c r="K8" i="5" s="1"/>
  <c r="K9" i="5" s="1"/>
  <c r="J3" i="5"/>
  <c r="J4" i="5" s="1"/>
  <c r="J5" i="5" s="1"/>
  <c r="J6" i="5" s="1"/>
  <c r="J7" i="5" s="1"/>
  <c r="J8" i="5" s="1"/>
  <c r="J9" i="5" s="1"/>
  <c r="H17" i="3"/>
  <c r="G17" i="3"/>
  <c r="F17" i="3"/>
  <c r="E17" i="3"/>
  <c r="D17" i="3"/>
  <c r="C17" i="3"/>
  <c r="H16" i="3"/>
  <c r="G16" i="3"/>
  <c r="F16" i="3"/>
  <c r="E16" i="3"/>
  <c r="D16" i="3"/>
  <c r="C16" i="3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H12" i="3"/>
  <c r="G12" i="3"/>
  <c r="F12" i="3"/>
  <c r="E12" i="3"/>
  <c r="D12" i="3"/>
  <c r="C12" i="3"/>
  <c r="H11" i="3"/>
  <c r="G11" i="3"/>
  <c r="F11" i="3"/>
  <c r="E11" i="3"/>
  <c r="D11" i="3"/>
  <c r="C11" i="3"/>
  <c r="P3" i="3"/>
  <c r="P4" i="3" s="1"/>
  <c r="P5" i="3" s="1"/>
  <c r="P6" i="3" s="1"/>
  <c r="P7" i="3" s="1"/>
  <c r="P8" i="3" s="1"/>
  <c r="O3" i="3"/>
  <c r="O4" i="3" s="1"/>
  <c r="O5" i="3" s="1"/>
  <c r="O6" i="3" s="1"/>
  <c r="O7" i="3" s="1"/>
  <c r="O8" i="3" s="1"/>
  <c r="N3" i="3"/>
  <c r="N4" i="3" s="1"/>
  <c r="N5" i="3" s="1"/>
  <c r="N6" i="3" s="1"/>
  <c r="N7" i="3" s="1"/>
  <c r="N8" i="3" s="1"/>
  <c r="M3" i="3"/>
  <c r="M4" i="3" s="1"/>
  <c r="M5" i="3" s="1"/>
  <c r="M6" i="3" s="1"/>
  <c r="M7" i="3" s="1"/>
  <c r="M8" i="3" s="1"/>
  <c r="L3" i="3"/>
  <c r="L4" i="3" s="1"/>
  <c r="L5" i="3" s="1"/>
  <c r="L6" i="3" s="1"/>
  <c r="L7" i="3" s="1"/>
  <c r="L8" i="3" s="1"/>
  <c r="K3" i="3"/>
  <c r="K4" i="3" s="1"/>
  <c r="K5" i="3" s="1"/>
  <c r="K6" i="3" s="1"/>
  <c r="K7" i="3" s="1"/>
  <c r="K8" i="3" s="1"/>
  <c r="J3" i="3"/>
  <c r="J4" i="3" s="1"/>
  <c r="J5" i="3" s="1"/>
  <c r="J6" i="3" s="1"/>
  <c r="J7" i="3" s="1"/>
  <c r="J8" i="3" s="1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H15" i="2"/>
  <c r="G15" i="2"/>
  <c r="F15" i="2"/>
  <c r="E15" i="2"/>
  <c r="D15" i="2"/>
  <c r="C15" i="2"/>
  <c r="H14" i="2"/>
  <c r="G14" i="2"/>
  <c r="F14" i="2"/>
  <c r="E14" i="2"/>
  <c r="D14" i="2"/>
  <c r="C14" i="2"/>
  <c r="H13" i="2"/>
  <c r="G13" i="2"/>
  <c r="F13" i="2"/>
  <c r="E13" i="2"/>
  <c r="D13" i="2"/>
  <c r="C13" i="2"/>
  <c r="H12" i="2"/>
  <c r="G12" i="2"/>
  <c r="F12" i="2"/>
  <c r="E12" i="2"/>
  <c r="D12" i="2"/>
  <c r="C12" i="2"/>
  <c r="P3" i="2"/>
  <c r="P4" i="2" s="1"/>
  <c r="P5" i="2" s="1"/>
  <c r="P6" i="2" s="1"/>
  <c r="P7" i="2" s="1"/>
  <c r="P8" i="2" s="1"/>
  <c r="P9" i="2" s="1"/>
  <c r="O3" i="2"/>
  <c r="O4" i="2" s="1"/>
  <c r="O5" i="2" s="1"/>
  <c r="O6" i="2" s="1"/>
  <c r="O7" i="2" s="1"/>
  <c r="O8" i="2" s="1"/>
  <c r="O9" i="2" s="1"/>
  <c r="N3" i="2"/>
  <c r="N4" i="2" s="1"/>
  <c r="N5" i="2" s="1"/>
  <c r="N6" i="2" s="1"/>
  <c r="N7" i="2" s="1"/>
  <c r="N8" i="2" s="1"/>
  <c r="N9" i="2" s="1"/>
  <c r="M3" i="2"/>
  <c r="M4" i="2" s="1"/>
  <c r="M5" i="2" s="1"/>
  <c r="M6" i="2" s="1"/>
  <c r="M7" i="2" s="1"/>
  <c r="M8" i="2" s="1"/>
  <c r="M9" i="2" s="1"/>
  <c r="L3" i="2"/>
  <c r="L4" i="2" s="1"/>
  <c r="L5" i="2" s="1"/>
  <c r="L6" i="2" s="1"/>
  <c r="L7" i="2" s="1"/>
  <c r="L8" i="2" s="1"/>
  <c r="L9" i="2" s="1"/>
  <c r="K3" i="2"/>
  <c r="K4" i="2" s="1"/>
  <c r="K5" i="2" s="1"/>
  <c r="K6" i="2" s="1"/>
  <c r="K7" i="2" s="1"/>
  <c r="K8" i="2" s="1"/>
  <c r="K9" i="2" s="1"/>
  <c r="J3" i="2"/>
  <c r="J4" i="2" s="1"/>
  <c r="J5" i="2" s="1"/>
  <c r="J6" i="2" s="1"/>
  <c r="J7" i="2" s="1"/>
  <c r="J8" i="2" s="1"/>
  <c r="J9" i="2" s="1"/>
  <c r="P11" i="4" l="1"/>
  <c r="M9" i="4"/>
  <c r="N9" i="4"/>
  <c r="K11" i="4"/>
  <c r="L15" i="5"/>
  <c r="L16" i="5"/>
  <c r="O18" i="5"/>
  <c r="O14" i="5"/>
  <c r="P19" i="5"/>
  <c r="K16" i="5"/>
  <c r="L19" i="5"/>
  <c r="P17" i="3"/>
  <c r="P15" i="2"/>
  <c r="K16" i="2"/>
  <c r="O18" i="2"/>
  <c r="O19" i="2"/>
  <c r="P19" i="2"/>
  <c r="N18" i="2"/>
  <c r="N14" i="2"/>
  <c r="O14" i="2"/>
  <c r="O10" i="4"/>
  <c r="O9" i="4"/>
  <c r="P9" i="4"/>
  <c r="M11" i="4"/>
  <c r="L10" i="4"/>
  <c r="N11" i="4"/>
  <c r="P10" i="4"/>
  <c r="L11" i="4"/>
  <c r="K10" i="4"/>
  <c r="K9" i="4"/>
  <c r="K12" i="4" s="1"/>
  <c r="K13" i="4" s="1"/>
  <c r="M10" i="4"/>
  <c r="O11" i="4"/>
  <c r="L9" i="4"/>
  <c r="L12" i="4" s="1"/>
  <c r="L13" i="4" s="1"/>
  <c r="N10" i="4"/>
  <c r="N12" i="4" s="1"/>
  <c r="N13" i="4" s="1"/>
  <c r="M13" i="5"/>
  <c r="N13" i="5"/>
  <c r="P14" i="5"/>
  <c r="N17" i="5"/>
  <c r="P18" i="5"/>
  <c r="O13" i="5"/>
  <c r="K15" i="5"/>
  <c r="M16" i="5"/>
  <c r="O17" i="5"/>
  <c r="K19" i="5"/>
  <c r="K14" i="5"/>
  <c r="M15" i="5"/>
  <c r="O16" i="5"/>
  <c r="K18" i="5"/>
  <c r="M19" i="5"/>
  <c r="M17" i="5"/>
  <c r="L14" i="5"/>
  <c r="N15" i="5"/>
  <c r="P16" i="5"/>
  <c r="L18" i="5"/>
  <c r="N19" i="5"/>
  <c r="P13" i="5"/>
  <c r="P17" i="5"/>
  <c r="K13" i="5"/>
  <c r="M14" i="5"/>
  <c r="O15" i="5"/>
  <c r="K17" i="5"/>
  <c r="M18" i="5"/>
  <c r="O19" i="5"/>
  <c r="N16" i="5"/>
  <c r="L13" i="5"/>
  <c r="N14" i="5"/>
  <c r="P15" i="5"/>
  <c r="L17" i="5"/>
  <c r="N18" i="5"/>
  <c r="M15" i="3"/>
  <c r="L14" i="3"/>
  <c r="P16" i="3"/>
  <c r="M14" i="3"/>
  <c r="L13" i="3"/>
  <c r="L18" i="3" s="1"/>
  <c r="L19" i="3" s="1"/>
  <c r="P15" i="3"/>
  <c r="K12" i="3"/>
  <c r="M13" i="3"/>
  <c r="O14" i="3"/>
  <c r="K16" i="3"/>
  <c r="M17" i="3"/>
  <c r="K14" i="3"/>
  <c r="P12" i="3"/>
  <c r="K13" i="3"/>
  <c r="K17" i="3"/>
  <c r="L17" i="3"/>
  <c r="L12" i="3"/>
  <c r="N13" i="3"/>
  <c r="P14" i="3"/>
  <c r="L16" i="3"/>
  <c r="N17" i="3"/>
  <c r="O12" i="3"/>
  <c r="O16" i="3"/>
  <c r="N15" i="3"/>
  <c r="O15" i="3"/>
  <c r="N14" i="3"/>
  <c r="M12" i="3"/>
  <c r="O13" i="3"/>
  <c r="K15" i="3"/>
  <c r="M16" i="3"/>
  <c r="O17" i="3"/>
  <c r="N12" i="3"/>
  <c r="P13" i="3"/>
  <c r="L15" i="3"/>
  <c r="N16" i="3"/>
  <c r="M13" i="2"/>
  <c r="N13" i="2"/>
  <c r="P14" i="2"/>
  <c r="N17" i="2"/>
  <c r="P18" i="2"/>
  <c r="O13" i="2"/>
  <c r="O17" i="2"/>
  <c r="P13" i="2"/>
  <c r="L15" i="2"/>
  <c r="N16" i="2"/>
  <c r="P17" i="2"/>
  <c r="L19" i="2"/>
  <c r="L13" i="2"/>
  <c r="L17" i="2"/>
  <c r="L16" i="2"/>
  <c r="K15" i="2"/>
  <c r="M16" i="2"/>
  <c r="K19" i="2"/>
  <c r="K14" i="2"/>
  <c r="M15" i="2"/>
  <c r="O16" i="2"/>
  <c r="K18" i="2"/>
  <c r="M19" i="2"/>
  <c r="M17" i="2"/>
  <c r="L14" i="2"/>
  <c r="N15" i="2"/>
  <c r="P16" i="2"/>
  <c r="L18" i="2"/>
  <c r="N19" i="2"/>
  <c r="K13" i="2"/>
  <c r="M14" i="2"/>
  <c r="O15" i="2"/>
  <c r="K17" i="2"/>
  <c r="M18" i="2"/>
  <c r="M12" i="4" l="1"/>
  <c r="M13" i="4" s="1"/>
  <c r="L20" i="5"/>
  <c r="L21" i="5" s="1"/>
  <c r="O20" i="5"/>
  <c r="O21" i="5" s="1"/>
  <c r="K20" i="5"/>
  <c r="K21" i="5" s="1"/>
  <c r="M20" i="5"/>
  <c r="M21" i="5" s="1"/>
  <c r="K18" i="3"/>
  <c r="K19" i="3" s="1"/>
  <c r="L20" i="2"/>
  <c r="L21" i="2" s="1"/>
  <c r="P20" i="2"/>
  <c r="P21" i="2" s="1"/>
  <c r="M20" i="2"/>
  <c r="M21" i="2" s="1"/>
  <c r="K20" i="2"/>
  <c r="K21" i="2" s="1"/>
  <c r="O20" i="2"/>
  <c r="O21" i="2" s="1"/>
  <c r="O12" i="4"/>
  <c r="O13" i="4" s="1"/>
  <c r="P12" i="4"/>
  <c r="P13" i="4" s="1"/>
  <c r="N20" i="5"/>
  <c r="N21" i="5" s="1"/>
  <c r="P20" i="5"/>
  <c r="P21" i="5" s="1"/>
  <c r="O18" i="3"/>
  <c r="O19" i="3" s="1"/>
  <c r="P18" i="3"/>
  <c r="P19" i="3" s="1"/>
  <c r="N18" i="3"/>
  <c r="N19" i="3" s="1"/>
  <c r="M18" i="3"/>
  <c r="M19" i="3" s="1"/>
  <c r="N20" i="2"/>
  <c r="N21" i="2" s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H28" i="1"/>
  <c r="G28" i="1"/>
  <c r="F28" i="1"/>
  <c r="E28" i="1"/>
  <c r="D28" i="1"/>
  <c r="C28" i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J3" i="1"/>
  <c r="J4" i="1" l="1"/>
  <c r="K29" i="1"/>
  <c r="N29" i="1"/>
  <c r="P29" i="1"/>
  <c r="M29" i="1"/>
  <c r="L29" i="1"/>
  <c r="O29" i="1"/>
  <c r="J5" i="1" l="1"/>
  <c r="M30" i="1"/>
  <c r="L30" i="1"/>
  <c r="O30" i="1"/>
  <c r="N30" i="1"/>
  <c r="K30" i="1"/>
  <c r="P30" i="1"/>
  <c r="J6" i="1" l="1"/>
  <c r="O31" i="1"/>
  <c r="N31" i="1"/>
  <c r="M31" i="1"/>
  <c r="L31" i="1"/>
  <c r="P31" i="1"/>
  <c r="K31" i="1"/>
  <c r="J7" i="1" l="1"/>
  <c r="P32" i="1"/>
  <c r="L32" i="1"/>
  <c r="O32" i="1"/>
  <c r="N32" i="1"/>
  <c r="K32" i="1"/>
  <c r="M32" i="1"/>
  <c r="J8" i="1" l="1"/>
  <c r="K33" i="1"/>
  <c r="M33" i="1"/>
  <c r="L33" i="1"/>
  <c r="P33" i="1"/>
  <c r="N33" i="1"/>
  <c r="O33" i="1"/>
  <c r="J9" i="1" l="1"/>
  <c r="M34" i="1"/>
  <c r="L34" i="1"/>
  <c r="P34" i="1"/>
  <c r="K34" i="1"/>
  <c r="O34" i="1"/>
  <c r="N34" i="1"/>
  <c r="J10" i="1" l="1"/>
  <c r="O35" i="1"/>
  <c r="N35" i="1"/>
  <c r="P35" i="1"/>
  <c r="M35" i="1"/>
  <c r="L35" i="1"/>
  <c r="K35" i="1"/>
  <c r="J11" i="1" l="1"/>
  <c r="P36" i="1"/>
  <c r="K36" i="1"/>
  <c r="O36" i="1"/>
  <c r="N36" i="1"/>
  <c r="L36" i="1"/>
  <c r="M36" i="1"/>
  <c r="J12" i="1" l="1"/>
  <c r="K37" i="1"/>
  <c r="N37" i="1"/>
  <c r="M37" i="1"/>
  <c r="P37" i="1"/>
  <c r="L37" i="1"/>
  <c r="O37" i="1"/>
  <c r="J13" i="1" l="1"/>
  <c r="M38" i="1"/>
  <c r="L38" i="1"/>
  <c r="N38" i="1"/>
  <c r="K38" i="1"/>
  <c r="P38" i="1"/>
  <c r="O38" i="1"/>
  <c r="J14" i="1" l="1"/>
  <c r="O39" i="1"/>
  <c r="N39" i="1"/>
  <c r="M39" i="1"/>
  <c r="L39" i="1"/>
  <c r="P39" i="1"/>
  <c r="K39" i="1"/>
  <c r="J15" i="1" l="1"/>
  <c r="P40" i="1"/>
  <c r="L40" i="1"/>
  <c r="K40" i="1"/>
  <c r="O40" i="1"/>
  <c r="N40" i="1"/>
  <c r="M40" i="1"/>
  <c r="J16" i="1" l="1"/>
  <c r="K41" i="1"/>
  <c r="L41" i="1"/>
  <c r="P41" i="1"/>
  <c r="N41" i="1"/>
  <c r="M41" i="1"/>
  <c r="O41" i="1"/>
  <c r="M42" i="1" l="1"/>
  <c r="L42" i="1"/>
  <c r="P42" i="1"/>
  <c r="O42" i="1"/>
  <c r="K42" i="1"/>
  <c r="N42" i="1"/>
  <c r="J17" i="1"/>
  <c r="O43" i="1" l="1"/>
  <c r="N43" i="1"/>
  <c r="P43" i="1"/>
  <c r="M43" i="1"/>
  <c r="L43" i="1"/>
  <c r="K43" i="1"/>
  <c r="J18" i="1"/>
  <c r="P44" i="1" l="1"/>
  <c r="O44" i="1"/>
  <c r="N44" i="1"/>
  <c r="L44" i="1"/>
  <c r="K44" i="1"/>
  <c r="M44" i="1"/>
  <c r="J19" i="1"/>
  <c r="K45" i="1" l="1"/>
  <c r="N45" i="1"/>
  <c r="M45" i="1"/>
  <c r="P45" i="1"/>
  <c r="L45" i="1"/>
  <c r="O45" i="1"/>
  <c r="J20" i="1"/>
  <c r="M46" i="1" l="1"/>
  <c r="L46" i="1"/>
  <c r="N46" i="1"/>
  <c r="K46" i="1"/>
  <c r="P46" i="1"/>
  <c r="O46" i="1"/>
  <c r="J21" i="1"/>
  <c r="O47" i="1" l="1"/>
  <c r="N47" i="1"/>
  <c r="M47" i="1"/>
  <c r="L47" i="1"/>
  <c r="P47" i="1"/>
  <c r="K47" i="1"/>
  <c r="J22" i="1"/>
  <c r="P48" i="1" l="1"/>
  <c r="L48" i="1"/>
  <c r="K48" i="1"/>
  <c r="O48" i="1"/>
  <c r="N48" i="1"/>
  <c r="M48" i="1"/>
  <c r="J23" i="1"/>
  <c r="K49" i="1" l="1"/>
  <c r="N49" i="1"/>
  <c r="M49" i="1"/>
  <c r="L49" i="1"/>
  <c r="P49" i="1"/>
  <c r="O49" i="1"/>
  <c r="J24" i="1"/>
  <c r="M50" i="1" l="1"/>
  <c r="L50" i="1"/>
  <c r="K50" i="1"/>
  <c r="P50" i="1"/>
  <c r="O50" i="1"/>
  <c r="N50" i="1"/>
  <c r="J25" i="1"/>
  <c r="O51" i="1" l="1"/>
  <c r="O52" i="1" s="1"/>
  <c r="O53" i="1" s="1"/>
  <c r="N51" i="1"/>
  <c r="N52" i="1" s="1"/>
  <c r="N53" i="1" s="1"/>
  <c r="P51" i="1"/>
  <c r="P52" i="1" s="1"/>
  <c r="P53" i="1" s="1"/>
  <c r="M51" i="1"/>
  <c r="M52" i="1" s="1"/>
  <c r="M53" i="1" s="1"/>
  <c r="L51" i="1"/>
  <c r="L52" i="1" s="1"/>
  <c r="L53" i="1" s="1"/>
  <c r="K51" i="1"/>
  <c r="K52" i="1" s="1"/>
  <c r="K53" i="1" s="1"/>
</calcChain>
</file>

<file path=xl/sharedStrings.xml><?xml version="1.0" encoding="utf-8"?>
<sst xmlns="http://schemas.openxmlformats.org/spreadsheetml/2006/main" count="309" uniqueCount="74">
  <si>
    <t>GOVERNADOR VALADARES</t>
  </si>
  <si>
    <t>ALPERCATA</t>
  </si>
  <si>
    <t>CAPITÃO ANDRADE</t>
  </si>
  <si>
    <t>COROACI</t>
  </si>
  <si>
    <t>DIVINOLÂNDIA DE MINAS</t>
  </si>
  <si>
    <t>ENGENHEIRO CALDAS</t>
  </si>
  <si>
    <t>FERNANDES TOURINHO</t>
  </si>
  <si>
    <t>FREI INOCÊNCIO</t>
  </si>
  <si>
    <t>GALILÉIA</t>
  </si>
  <si>
    <t>GONZAGA</t>
  </si>
  <si>
    <t>ITANHOMI</t>
  </si>
  <si>
    <t>JAMPRUCA</t>
  </si>
  <si>
    <t>MARILAC</t>
  </si>
  <si>
    <t>MATHIAS LOBATO</t>
  </si>
  <si>
    <t>NACIP RAYDAN</t>
  </si>
  <si>
    <t>SANTA EFIGÊNIA DE MINAS</t>
  </si>
  <si>
    <t>SÃO GERALDO DA PIEDADE</t>
  </si>
  <si>
    <t>SÃO GERALDO DO BAIXIO</t>
  </si>
  <si>
    <t>SÃO JOSÉ DA SAFIRA</t>
  </si>
  <si>
    <t>SARDOÁ</t>
  </si>
  <si>
    <t>SOBRÁLIA</t>
  </si>
  <si>
    <t>TARUMIRIM</t>
  </si>
  <si>
    <t>TUMIRITINGA</t>
  </si>
  <si>
    <t>VIRGOLÂNDIA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</si>
  <si>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</si>
  <si>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</si>
  <si>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</si>
  <si>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</si>
  <si>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</si>
  <si>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</si>
  <si>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</si>
  <si>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</si>
  <si>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</si>
  <si>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</si>
  <si>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</si>
  <si>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</si>
  <si>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</si>
  <si>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</si>
  <si>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</si>
  <si>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</si>
  <si>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</si>
  <si>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</si>
  <si>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</si>
  <si>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</si>
  <si>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</si>
  <si>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</si>
  <si>
    <t>MANTENA</t>
  </si>
  <si>
    <t>CENTRAL DE MINAS</t>
  </si>
  <si>
    <t>DIVINO DAS LARANJEIRAS</t>
  </si>
  <si>
    <t>ITABIRINHA</t>
  </si>
  <si>
    <t>MENDES PIMENTEL</t>
  </si>
  <si>
    <t>NOVA BELÉM</t>
  </si>
  <si>
    <t>SÃO FÉLIX DE MINAS</t>
  </si>
  <si>
    <t>SÃO JOÃO DO MANTENINHA</t>
  </si>
  <si>
    <t>CANTAGALO</t>
  </si>
  <si>
    <t>FREI LAGONEGRO</t>
  </si>
  <si>
    <t>PAULISTAS</t>
  </si>
  <si>
    <t>PEÇANHA</t>
  </si>
  <si>
    <t>SÃO JOÃO EVANGELISTA</t>
  </si>
  <si>
    <t>SÃO JOSÉ DO JACURI</t>
  </si>
  <si>
    <t>SÃO PEDRO DO SUAÇUÍ</t>
  </si>
  <si>
    <t>RESPLENDOR</t>
  </si>
  <si>
    <t>AIMORÉS</t>
  </si>
  <si>
    <t>ALVARENGA</t>
  </si>
  <si>
    <t>CONSELHEIRO PENA</t>
  </si>
  <si>
    <t>CUPARAQUE</t>
  </si>
  <si>
    <t>GOIABEIRA</t>
  </si>
  <si>
    <t>ITUETA</t>
  </si>
  <si>
    <t>SANTA RITA DO ITUETO</t>
  </si>
  <si>
    <t>SANTA MARIA DO SUAÇUÍ</t>
  </si>
  <si>
    <t>ÁGUA BOA</t>
  </si>
  <si>
    <t>JOSÉ RAYDAN</t>
  </si>
  <si>
    <t>SÃO SEBASTIÃO DO MARANHÃO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</si>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</sst>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0" fillId="0" borderId="1" xfId="0" applyBorder="1"/>
    <xf numFmtId="2" fontId="1" fillId="3" borderId="1" xfId="0" applyNumberFormat="1" applyFont="1" applyFill="1" applyBorder="1" applyAlignment="1">
      <alignment vertical="center" wrapText="1"/>
    </xf>
    <xf numFmtId="2" fontId="1" fillId="4" borderId="1" xfId="0" applyNumberFormat="1" applyFont="1" applyFill="1" applyBorder="1" applyAlignment="1">
      <alignment vertical="center" wrapText="1"/>
    </xf>
    <xf numFmtId="2" fontId="1" fillId="5" borderId="1" xfId="0" applyNumberFormat="1" applyFont="1" applyFill="1" applyBorder="1" applyAlignment="1">
      <alignment vertical="center"/>
    </xf>
    <xf numFmtId="2" fontId="1" fillId="6" borderId="1" xfId="0" applyNumberFormat="1" applyFont="1" applyFill="1" applyBorder="1" applyAlignment="1">
      <alignment vertical="center" wrapText="1"/>
    </xf>
    <xf numFmtId="2" fontId="1" fillId="7" borderId="1" xfId="0" applyNumberFormat="1" applyFont="1" applyFill="1" applyBorder="1" applyAlignment="1">
      <alignment vertical="center" wrapText="1"/>
    </xf>
    <xf numFmtId="2" fontId="0" fillId="0" borderId="1" xfId="0" applyNumberFormat="1" applyBorder="1"/>
    <xf numFmtId="2" fontId="1" fillId="2" borderId="1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8" borderId="1" xfId="0" applyFill="1" applyBorder="1"/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  <xf numFmtId="0" fontId="1" fillId="7" borderId="1" xfId="0" applyFont="1" applyFill="1" applyBorder="1"/>
    <xf numFmtId="0" fontId="1" fillId="2" borderId="3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vertical="center"/>
    </xf>
    <xf numFmtId="2" fontId="0" fillId="0" borderId="2" xfId="0" applyNumberFormat="1" applyBorder="1"/>
    <xf numFmtId="0" fontId="0" fillId="0" borderId="0" xfId="0" quotePrefix="1"/>
    <xf numFmtId="2" fontId="1" fillId="7" borderId="2" xfId="0" applyNumberFormat="1" applyFont="1" applyFill="1" applyBorder="1" applyAlignment="1">
      <alignment vertical="center" wrapText="1"/>
    </xf>
    <xf numFmtId="2" fontId="1" fillId="6" borderId="2" xfId="0" applyNumberFormat="1" applyFont="1" applyFill="1" applyBorder="1" applyAlignment="1">
      <alignment vertical="center" wrapText="1"/>
    </xf>
    <xf numFmtId="2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indent="2"/>
    </xf>
    <xf numFmtId="0" fontId="1" fillId="0" borderId="0" xfId="0" applyFont="1" applyAlignment="1">
      <alignment horizontal="left" indent="2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'GOVERNADOR VALADARES'!$J$1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'GOVERNADOR VALADARES'!$I$2:$I$25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xVal>
          <c:yVal>
            <c:numRef>
              <c:f>'GOVERNADOR VALADARES'!$J$2:$J$25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4E-47A9-8EFC-23B529C19205}"/>
            </c:ext>
          </c:extLst>
        </c:ser>
        <c:ser>
          <c:idx val="1"/>
          <c:order val="1"/>
          <c:tx>
            <c:strRef>
              <c:f>'GOVERNADOR VALADARES'!$K$1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'GOVERNADOR VALADARES'!$I$2:$I$25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xVal>
          <c:yVal>
            <c:numRef>
              <c:f>'GOVERNADOR VALADARES'!$K$2:$K$25</c:f>
              <c:numCache>
                <c:formatCode>0.00</c:formatCode>
                <c:ptCount val="24"/>
                <c:pt idx="0">
                  <c:v>2.4570024570024569E-3</c:v>
                </c:pt>
                <c:pt idx="1">
                  <c:v>2.4570024570024569E-3</c:v>
                </c:pt>
                <c:pt idx="2">
                  <c:v>1.2285012285012284E-2</c:v>
                </c:pt>
                <c:pt idx="3">
                  <c:v>1.7199017199017199E-2</c:v>
                </c:pt>
                <c:pt idx="4">
                  <c:v>1.9656019656019656E-2</c:v>
                </c:pt>
                <c:pt idx="5">
                  <c:v>3.562653562653563E-2</c:v>
                </c:pt>
                <c:pt idx="6">
                  <c:v>3.562653562653563E-2</c:v>
                </c:pt>
                <c:pt idx="7">
                  <c:v>4.2997542997542999E-2</c:v>
                </c:pt>
                <c:pt idx="8">
                  <c:v>4.7911547911547912E-2</c:v>
                </c:pt>
                <c:pt idx="9">
                  <c:v>5.0368550368550369E-2</c:v>
                </c:pt>
                <c:pt idx="10">
                  <c:v>5.7739557739557738E-2</c:v>
                </c:pt>
                <c:pt idx="11">
                  <c:v>6.1425061425061427E-2</c:v>
                </c:pt>
                <c:pt idx="12">
                  <c:v>6.6339066339066347E-2</c:v>
                </c:pt>
                <c:pt idx="13">
                  <c:v>6.6339066339066347E-2</c:v>
                </c:pt>
                <c:pt idx="14">
                  <c:v>8.3538083538083549E-2</c:v>
                </c:pt>
                <c:pt idx="15">
                  <c:v>8.5995085995086012E-2</c:v>
                </c:pt>
                <c:pt idx="16">
                  <c:v>0.1068796068796069</c:v>
                </c:pt>
                <c:pt idx="17">
                  <c:v>0.13882063882063883</c:v>
                </c:pt>
                <c:pt idx="18">
                  <c:v>0.14250614250614252</c:v>
                </c:pt>
                <c:pt idx="19">
                  <c:v>0.15479115479115479</c:v>
                </c:pt>
                <c:pt idx="20">
                  <c:v>0.16461916461916462</c:v>
                </c:pt>
                <c:pt idx="21">
                  <c:v>0.17567567567567569</c:v>
                </c:pt>
                <c:pt idx="22">
                  <c:v>0.19164619164619165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4E-47A9-8EFC-23B529C19205}"/>
            </c:ext>
          </c:extLst>
        </c:ser>
        <c:ser>
          <c:idx val="2"/>
          <c:order val="2"/>
          <c:tx>
            <c:strRef>
              <c:f>'GOVERNADOR VALADARES'!$L$1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'GOVERNADOR VALADARES'!$I$2:$I$25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xVal>
          <c:yVal>
            <c:numRef>
              <c:f>'GOVERNADOR VALADARES'!$L$2:$L$25</c:f>
              <c:numCache>
                <c:formatCode>0.00</c:formatCode>
                <c:ptCount val="24"/>
                <c:pt idx="0">
                  <c:v>4.6728971962616819E-3</c:v>
                </c:pt>
                <c:pt idx="1">
                  <c:v>4.6728971962616819E-3</c:v>
                </c:pt>
                <c:pt idx="2">
                  <c:v>9.3457943925233638E-3</c:v>
                </c:pt>
                <c:pt idx="3">
                  <c:v>9.3457943925233638E-3</c:v>
                </c:pt>
                <c:pt idx="4">
                  <c:v>9.3457943925233638E-3</c:v>
                </c:pt>
                <c:pt idx="5">
                  <c:v>1.4018691588785045E-2</c:v>
                </c:pt>
                <c:pt idx="6">
                  <c:v>2.3364485981308407E-2</c:v>
                </c:pt>
                <c:pt idx="7">
                  <c:v>2.3364485981308407E-2</c:v>
                </c:pt>
                <c:pt idx="8">
                  <c:v>2.3364485981308407E-2</c:v>
                </c:pt>
                <c:pt idx="9">
                  <c:v>2.803738317757009E-2</c:v>
                </c:pt>
                <c:pt idx="10">
                  <c:v>2.803738317757009E-2</c:v>
                </c:pt>
                <c:pt idx="11">
                  <c:v>3.7383177570093455E-2</c:v>
                </c:pt>
                <c:pt idx="12">
                  <c:v>4.6728971962616821E-2</c:v>
                </c:pt>
                <c:pt idx="13">
                  <c:v>5.6074766355140186E-2</c:v>
                </c:pt>
                <c:pt idx="14">
                  <c:v>7.0093457943925228E-2</c:v>
                </c:pt>
                <c:pt idx="15">
                  <c:v>8.8785046728971959E-2</c:v>
                </c:pt>
                <c:pt idx="16">
                  <c:v>9.3457943925233641E-2</c:v>
                </c:pt>
                <c:pt idx="17">
                  <c:v>0.12616822429906541</c:v>
                </c:pt>
                <c:pt idx="18">
                  <c:v>0.13551401869158877</c:v>
                </c:pt>
                <c:pt idx="19">
                  <c:v>0.14018691588785046</c:v>
                </c:pt>
                <c:pt idx="20">
                  <c:v>0.15887850467289719</c:v>
                </c:pt>
                <c:pt idx="21">
                  <c:v>0.1822429906542056</c:v>
                </c:pt>
                <c:pt idx="22">
                  <c:v>0.20560747663551401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14E-47A9-8EFC-23B529C19205}"/>
            </c:ext>
          </c:extLst>
        </c:ser>
        <c:ser>
          <c:idx val="3"/>
          <c:order val="3"/>
          <c:tx>
            <c:strRef>
              <c:f>'GOVERNADOR VALADARES'!$M$1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'GOVERNADOR VALADARES'!$I$2:$I$25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xVal>
          <c:yVal>
            <c:numRef>
              <c:f>'GOVERNADOR VALADARES'!$M$2:$M$25</c:f>
              <c:numCache>
                <c:formatCode>0.00</c:formatCode>
                <c:ptCount val="24"/>
                <c:pt idx="0">
                  <c:v>4.2194092827004216E-3</c:v>
                </c:pt>
                <c:pt idx="1">
                  <c:v>4.2194092827004216E-3</c:v>
                </c:pt>
                <c:pt idx="2">
                  <c:v>4.2194092827004216E-3</c:v>
                </c:pt>
                <c:pt idx="3">
                  <c:v>4.2194092827004216E-3</c:v>
                </c:pt>
                <c:pt idx="4">
                  <c:v>1.6877637130801686E-2</c:v>
                </c:pt>
                <c:pt idx="5">
                  <c:v>2.1097046413502109E-2</c:v>
                </c:pt>
                <c:pt idx="6">
                  <c:v>2.5316455696202531E-2</c:v>
                </c:pt>
                <c:pt idx="7">
                  <c:v>2.9535864978902954E-2</c:v>
                </c:pt>
                <c:pt idx="8">
                  <c:v>3.3755274261603373E-2</c:v>
                </c:pt>
                <c:pt idx="9">
                  <c:v>4.2194092827004218E-2</c:v>
                </c:pt>
                <c:pt idx="10">
                  <c:v>5.0632911392405063E-2</c:v>
                </c:pt>
                <c:pt idx="11">
                  <c:v>7.1729957805907171E-2</c:v>
                </c:pt>
                <c:pt idx="12">
                  <c:v>7.5949367088607597E-2</c:v>
                </c:pt>
                <c:pt idx="13">
                  <c:v>7.5949367088607597E-2</c:v>
                </c:pt>
                <c:pt idx="14">
                  <c:v>0.10126582278481013</c:v>
                </c:pt>
                <c:pt idx="15">
                  <c:v>0.10126582278481013</c:v>
                </c:pt>
                <c:pt idx="16">
                  <c:v>0.10970464135021096</c:v>
                </c:pt>
                <c:pt idx="17">
                  <c:v>0.1181434599156118</c:v>
                </c:pt>
                <c:pt idx="18">
                  <c:v>0.13080168776371306</c:v>
                </c:pt>
                <c:pt idx="19">
                  <c:v>0.14345991561181434</c:v>
                </c:pt>
                <c:pt idx="20">
                  <c:v>0.17721518987341772</c:v>
                </c:pt>
                <c:pt idx="21">
                  <c:v>0.21518987341772153</c:v>
                </c:pt>
                <c:pt idx="22">
                  <c:v>0.22784810126582281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14E-47A9-8EFC-23B529C19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566112"/>
        <c:axId val="1705445584"/>
      </c:scatterChart>
      <c:valAx>
        <c:axId val="17355661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5445584"/>
        <c:crosses val="autoZero"/>
        <c:crossBetween val="midCat"/>
      </c:valAx>
      <c:valAx>
        <c:axId val="1705445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5566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'GOVERNADOR VALADARES'!$J$1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'GOVERNADOR VALADARES'!$I$2:$I$25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xVal>
          <c:yVal>
            <c:numRef>
              <c:f>'GOVERNADOR VALADARES'!$J$2:$J$25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E6-476B-A5A7-0A3AC04CE7EC}"/>
            </c:ext>
          </c:extLst>
        </c:ser>
        <c:ser>
          <c:idx val="1"/>
          <c:order val="1"/>
          <c:tx>
            <c:strRef>
              <c:f>'GOVERNADOR VALADARES'!$N$1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'GOVERNADOR VALADARES'!$I$2:$I$25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xVal>
          <c:yVal>
            <c:numRef>
              <c:f>'GOVERNADOR VALADARES'!$N$2:$N$25</c:f>
              <c:numCache>
                <c:formatCode>0.00</c:formatCode>
                <c:ptCount val="24"/>
                <c:pt idx="0">
                  <c:v>1.0460251046025104E-2</c:v>
                </c:pt>
                <c:pt idx="1">
                  <c:v>1.2552301255230125E-2</c:v>
                </c:pt>
                <c:pt idx="2">
                  <c:v>2.0920502092050208E-2</c:v>
                </c:pt>
                <c:pt idx="3">
                  <c:v>2.9288702928870293E-2</c:v>
                </c:pt>
                <c:pt idx="4">
                  <c:v>3.1380753138075312E-2</c:v>
                </c:pt>
                <c:pt idx="5">
                  <c:v>4.6025104602510455E-2</c:v>
                </c:pt>
                <c:pt idx="6">
                  <c:v>5.439330543933054E-2</c:v>
                </c:pt>
                <c:pt idx="7">
                  <c:v>6.2761506276150625E-2</c:v>
                </c:pt>
                <c:pt idx="8">
                  <c:v>6.2761506276150625E-2</c:v>
                </c:pt>
                <c:pt idx="9">
                  <c:v>6.903765690376569E-2</c:v>
                </c:pt>
                <c:pt idx="10">
                  <c:v>8.9958158995815898E-2</c:v>
                </c:pt>
                <c:pt idx="11">
                  <c:v>0.11087866108786611</c:v>
                </c:pt>
                <c:pt idx="12">
                  <c:v>0.12761506276150628</c:v>
                </c:pt>
                <c:pt idx="13">
                  <c:v>0.13807531380753138</c:v>
                </c:pt>
                <c:pt idx="14">
                  <c:v>0.15062761506276151</c:v>
                </c:pt>
                <c:pt idx="15">
                  <c:v>0.17154811715481172</c:v>
                </c:pt>
                <c:pt idx="16">
                  <c:v>0.19246861924686193</c:v>
                </c:pt>
                <c:pt idx="17">
                  <c:v>0.21338912133891214</c:v>
                </c:pt>
                <c:pt idx="18">
                  <c:v>0.22594142259414227</c:v>
                </c:pt>
                <c:pt idx="19">
                  <c:v>0.23221757322175732</c:v>
                </c:pt>
                <c:pt idx="20">
                  <c:v>0.25732217573221755</c:v>
                </c:pt>
                <c:pt idx="21">
                  <c:v>0.29288702928870292</c:v>
                </c:pt>
                <c:pt idx="22">
                  <c:v>0.33263598326359833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E6-476B-A5A7-0A3AC04CE7EC}"/>
            </c:ext>
          </c:extLst>
        </c:ser>
        <c:ser>
          <c:idx val="2"/>
          <c:order val="2"/>
          <c:tx>
            <c:strRef>
              <c:f>'GOVERNADOR VALADARES'!$O$1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'GOVERNADOR VALADARES'!$I$2:$I$25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xVal>
          <c:yVal>
            <c:numRef>
              <c:f>'GOVERNADOR VALADARES'!$O$2:$O$25</c:f>
              <c:numCache>
                <c:formatCode>0.00</c:formatCode>
                <c:ptCount val="24"/>
                <c:pt idx="0">
                  <c:v>2.9239766081871343E-3</c:v>
                </c:pt>
                <c:pt idx="1">
                  <c:v>8.771929824561403E-3</c:v>
                </c:pt>
                <c:pt idx="2">
                  <c:v>2.9239766081871343E-2</c:v>
                </c:pt>
                <c:pt idx="3">
                  <c:v>4.3859649122807015E-2</c:v>
                </c:pt>
                <c:pt idx="4">
                  <c:v>8.4795321637426896E-2</c:v>
                </c:pt>
                <c:pt idx="5">
                  <c:v>0.11403508771929824</c:v>
                </c:pt>
                <c:pt idx="6">
                  <c:v>0.12573099415204678</c:v>
                </c:pt>
                <c:pt idx="7">
                  <c:v>0.12865497076023391</c:v>
                </c:pt>
                <c:pt idx="8">
                  <c:v>0.14619883040935672</c:v>
                </c:pt>
                <c:pt idx="9">
                  <c:v>0.15789473684210525</c:v>
                </c:pt>
                <c:pt idx="10">
                  <c:v>0.19005847953216373</c:v>
                </c:pt>
                <c:pt idx="11">
                  <c:v>0.2046783625730994</c:v>
                </c:pt>
                <c:pt idx="12">
                  <c:v>0.21345029239766081</c:v>
                </c:pt>
                <c:pt idx="13">
                  <c:v>0.21929824561403508</c:v>
                </c:pt>
                <c:pt idx="14">
                  <c:v>0.25730994152046782</c:v>
                </c:pt>
                <c:pt idx="15">
                  <c:v>0.26023391812865493</c:v>
                </c:pt>
                <c:pt idx="16">
                  <c:v>0.30116959064327481</c:v>
                </c:pt>
                <c:pt idx="17">
                  <c:v>0.32456140350877188</c:v>
                </c:pt>
                <c:pt idx="18">
                  <c:v>0.34210526315789469</c:v>
                </c:pt>
                <c:pt idx="19">
                  <c:v>0.36549707602339176</c:v>
                </c:pt>
                <c:pt idx="20">
                  <c:v>0.40643274853801165</c:v>
                </c:pt>
                <c:pt idx="21">
                  <c:v>0.44152046783625726</c:v>
                </c:pt>
                <c:pt idx="22">
                  <c:v>0.49415204678362568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FE6-476B-A5A7-0A3AC04CE7EC}"/>
            </c:ext>
          </c:extLst>
        </c:ser>
        <c:ser>
          <c:idx val="3"/>
          <c:order val="3"/>
          <c:tx>
            <c:strRef>
              <c:f>'GOVERNADOR VALADARES'!$P$1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'GOVERNADOR VALADARES'!$I$2:$I$25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xVal>
          <c:yVal>
            <c:numRef>
              <c:f>'GOVERNADOR VALADARES'!$P$2:$P$25</c:f>
              <c:numCache>
                <c:formatCode>0.00</c:formatCode>
                <c:ptCount val="24"/>
                <c:pt idx="0">
                  <c:v>1.3157894736842105E-2</c:v>
                </c:pt>
                <c:pt idx="1">
                  <c:v>1.9736842105263157E-2</c:v>
                </c:pt>
                <c:pt idx="2">
                  <c:v>3.9473684210526314E-2</c:v>
                </c:pt>
                <c:pt idx="3">
                  <c:v>5.2631578947368418E-2</c:v>
                </c:pt>
                <c:pt idx="4">
                  <c:v>9.8684210526315791E-2</c:v>
                </c:pt>
                <c:pt idx="5">
                  <c:v>0.1118421052631579</c:v>
                </c:pt>
                <c:pt idx="6">
                  <c:v>0.13157894736842105</c:v>
                </c:pt>
                <c:pt idx="7">
                  <c:v>0.13157894736842105</c:v>
                </c:pt>
                <c:pt idx="8">
                  <c:v>0.14473684210526316</c:v>
                </c:pt>
                <c:pt idx="9">
                  <c:v>0.15789473684210525</c:v>
                </c:pt>
                <c:pt idx="10">
                  <c:v>0.17105263157894735</c:v>
                </c:pt>
                <c:pt idx="11">
                  <c:v>0.18421052631578944</c:v>
                </c:pt>
                <c:pt idx="12">
                  <c:v>0.19078947368421048</c:v>
                </c:pt>
                <c:pt idx="13">
                  <c:v>0.22368421052631574</c:v>
                </c:pt>
                <c:pt idx="14">
                  <c:v>0.25657894736842102</c:v>
                </c:pt>
                <c:pt idx="15">
                  <c:v>0.30263157894736836</c:v>
                </c:pt>
                <c:pt idx="16">
                  <c:v>0.33552631578947362</c:v>
                </c:pt>
                <c:pt idx="17">
                  <c:v>0.33552631578947362</c:v>
                </c:pt>
                <c:pt idx="18">
                  <c:v>0.38157894736842096</c:v>
                </c:pt>
                <c:pt idx="19">
                  <c:v>0.42763157894736831</c:v>
                </c:pt>
                <c:pt idx="20">
                  <c:v>0.46052631578947356</c:v>
                </c:pt>
                <c:pt idx="21">
                  <c:v>0.48684210526315774</c:v>
                </c:pt>
                <c:pt idx="22">
                  <c:v>0.59210526315789458</c:v>
                </c:pt>
                <c:pt idx="23">
                  <c:v>0.99999999999999978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FE6-476B-A5A7-0A3AC04CE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84368"/>
        <c:axId val="154795888"/>
      </c:scatterChart>
      <c:valAx>
        <c:axId val="1547843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795888"/>
        <c:crosses val="autoZero"/>
        <c:crossBetween val="midCat"/>
      </c:valAx>
      <c:valAx>
        <c:axId val="1547958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784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MANTENA!$J$1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MANTENA!$I$2:$I$9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xVal>
          <c:yVal>
            <c:numRef>
              <c:f>MANTENA!$J$2:$J$9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EC-41D3-9404-C48B076FEF60}"/>
            </c:ext>
          </c:extLst>
        </c:ser>
        <c:ser>
          <c:idx val="1"/>
          <c:order val="1"/>
          <c:tx>
            <c:strRef>
              <c:f>MANTENA!$K$1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MANTENA!$I$2:$I$9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xVal>
          <c:yVal>
            <c:numRef>
              <c:f>MANTENA!$K$2:$K$9</c:f>
              <c:numCache>
                <c:formatCode>0.00</c:formatCode>
                <c:ptCount val="8"/>
                <c:pt idx="0">
                  <c:v>3.8461538461538464E-2</c:v>
                </c:pt>
                <c:pt idx="1">
                  <c:v>7.6923076923076927E-2</c:v>
                </c:pt>
                <c:pt idx="2">
                  <c:v>0.30769230769230771</c:v>
                </c:pt>
                <c:pt idx="3">
                  <c:v>0.30769230769230771</c:v>
                </c:pt>
                <c:pt idx="4">
                  <c:v>0.44230769230769229</c:v>
                </c:pt>
                <c:pt idx="5">
                  <c:v>0.53846153846153844</c:v>
                </c:pt>
                <c:pt idx="6">
                  <c:v>0.67307692307692302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EC-41D3-9404-C48B076FEF60}"/>
            </c:ext>
          </c:extLst>
        </c:ser>
        <c:ser>
          <c:idx val="2"/>
          <c:order val="2"/>
          <c:tx>
            <c:strRef>
              <c:f>MANTENA!$L$1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MANTENA!$I$2:$I$9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xVal>
          <c:yVal>
            <c:numRef>
              <c:f>MANTENA!$L$2:$L$9</c:f>
              <c:numCache>
                <c:formatCode>0.00</c:formatCode>
                <c:ptCount val="8"/>
                <c:pt idx="0">
                  <c:v>4.3478260869565216E-2</c:v>
                </c:pt>
                <c:pt idx="1">
                  <c:v>8.6956521739130432E-2</c:v>
                </c:pt>
                <c:pt idx="2">
                  <c:v>0.17391304347826086</c:v>
                </c:pt>
                <c:pt idx="3">
                  <c:v>0.21739130434782608</c:v>
                </c:pt>
                <c:pt idx="4">
                  <c:v>0.34782608695652173</c:v>
                </c:pt>
                <c:pt idx="5">
                  <c:v>0.39130434782608692</c:v>
                </c:pt>
                <c:pt idx="6">
                  <c:v>0.47826086956521735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EC-41D3-9404-C48B076FEF60}"/>
            </c:ext>
          </c:extLst>
        </c:ser>
        <c:ser>
          <c:idx val="3"/>
          <c:order val="3"/>
          <c:tx>
            <c:strRef>
              <c:f>MANTENA!$M$1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MANTENA!$I$2:$I$9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xVal>
          <c:yVal>
            <c:numRef>
              <c:f>MANTENA!$M$2:$M$9</c:f>
              <c:numCache>
                <c:formatCode>0.00</c:formatCode>
                <c:ptCount val="8"/>
                <c:pt idx="0">
                  <c:v>0</c:v>
                </c:pt>
                <c:pt idx="1">
                  <c:v>2.564102564102564E-2</c:v>
                </c:pt>
                <c:pt idx="2">
                  <c:v>5.128205128205128E-2</c:v>
                </c:pt>
                <c:pt idx="3">
                  <c:v>0.10256410256410256</c:v>
                </c:pt>
                <c:pt idx="4">
                  <c:v>0.15384615384615385</c:v>
                </c:pt>
                <c:pt idx="5">
                  <c:v>0.15384615384615385</c:v>
                </c:pt>
                <c:pt idx="6">
                  <c:v>0.51282051282051277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3EC-41D3-9404-C48B076FE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864112"/>
        <c:axId val="1942860752"/>
      </c:scatterChart>
      <c:valAx>
        <c:axId val="19428641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2860752"/>
        <c:crosses val="autoZero"/>
        <c:crossBetween val="midCat"/>
      </c:valAx>
      <c:valAx>
        <c:axId val="19428607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286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MANTENA!$J$1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MANTENA!$I$2:$I$9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xVal>
          <c:yVal>
            <c:numRef>
              <c:f>MANTENA!$J$2:$J$9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69-4523-9A86-F9F163FC13CC}"/>
            </c:ext>
          </c:extLst>
        </c:ser>
        <c:ser>
          <c:idx val="1"/>
          <c:order val="1"/>
          <c:tx>
            <c:strRef>
              <c:f>MANTENA!$N$1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MANTENA!$I$2:$I$9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xVal>
          <c:yVal>
            <c:numRef>
              <c:f>MANTENA!$N$2:$N$9</c:f>
              <c:numCache>
                <c:formatCode>0.00</c:formatCode>
                <c:ptCount val="8"/>
                <c:pt idx="0">
                  <c:v>5.6179775280898875E-2</c:v>
                </c:pt>
                <c:pt idx="1">
                  <c:v>0.12359550561797752</c:v>
                </c:pt>
                <c:pt idx="2">
                  <c:v>0.1797752808988764</c:v>
                </c:pt>
                <c:pt idx="3">
                  <c:v>0.21348314606741572</c:v>
                </c:pt>
                <c:pt idx="4">
                  <c:v>0.3033707865168539</c:v>
                </c:pt>
                <c:pt idx="5">
                  <c:v>0.38202247191011229</c:v>
                </c:pt>
                <c:pt idx="6">
                  <c:v>0.65168539325842689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69-4523-9A86-F9F163FC13CC}"/>
            </c:ext>
          </c:extLst>
        </c:ser>
        <c:ser>
          <c:idx val="2"/>
          <c:order val="2"/>
          <c:tx>
            <c:strRef>
              <c:f>MANTENA!$O$1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MANTENA!$I$2:$I$9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xVal>
          <c:yVal>
            <c:numRef>
              <c:f>MANTENA!$O$2:$O$9</c:f>
              <c:numCache>
                <c:formatCode>0.00</c:formatCode>
                <c:ptCount val="8"/>
                <c:pt idx="0">
                  <c:v>1.0752688172043012E-2</c:v>
                </c:pt>
                <c:pt idx="1">
                  <c:v>3.2258064516129031E-2</c:v>
                </c:pt>
                <c:pt idx="2">
                  <c:v>9.6774193548387094E-2</c:v>
                </c:pt>
                <c:pt idx="3">
                  <c:v>0.16129032258064516</c:v>
                </c:pt>
                <c:pt idx="4">
                  <c:v>0.22580645161290322</c:v>
                </c:pt>
                <c:pt idx="5">
                  <c:v>0.30107526881720431</c:v>
                </c:pt>
                <c:pt idx="6">
                  <c:v>0.72043010752688175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69-4523-9A86-F9F163FC13CC}"/>
            </c:ext>
          </c:extLst>
        </c:ser>
        <c:ser>
          <c:idx val="3"/>
          <c:order val="3"/>
          <c:tx>
            <c:strRef>
              <c:f>MANTENA!$P$1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MANTENA!$I$2:$I$9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xVal>
          <c:yVal>
            <c:numRef>
              <c:f>MANTENA!$P$2:$P$9</c:f>
              <c:numCache>
                <c:formatCode>0.00</c:formatCode>
                <c:ptCount val="8"/>
                <c:pt idx="0">
                  <c:v>0</c:v>
                </c:pt>
                <c:pt idx="1">
                  <c:v>0.1276595744680851</c:v>
                </c:pt>
                <c:pt idx="2">
                  <c:v>0.21276595744680848</c:v>
                </c:pt>
                <c:pt idx="3">
                  <c:v>0.23404255319148934</c:v>
                </c:pt>
                <c:pt idx="4">
                  <c:v>0.25531914893617019</c:v>
                </c:pt>
                <c:pt idx="5">
                  <c:v>0.27659574468085102</c:v>
                </c:pt>
                <c:pt idx="6">
                  <c:v>0.61702127659574457</c:v>
                </c:pt>
                <c:pt idx="7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369-4523-9A86-F9F163FC1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329264"/>
        <c:axId val="2095334064"/>
      </c:scatterChart>
      <c:valAx>
        <c:axId val="20953292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5334064"/>
        <c:crosses val="autoZero"/>
        <c:crossBetween val="midCat"/>
      </c:valAx>
      <c:valAx>
        <c:axId val="20953340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5329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'PEÇANHA - SÃO JOÃO EVANGELISTA'!$J$1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'PEÇANHA - SÃO JOÃO EVANGELISTA'!$I$2:$I$8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xVal>
          <c:yVal>
            <c:numRef>
              <c:f>'PEÇANHA - SÃO JOÃO EVANGELISTA'!$J$2:$J$8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49-4699-8CEA-1D1448029FCF}"/>
            </c:ext>
          </c:extLst>
        </c:ser>
        <c:ser>
          <c:idx val="1"/>
          <c:order val="1"/>
          <c:tx>
            <c:strRef>
              <c:f>'PEÇANHA - SÃO JOÃO EVANGELISTA'!$K$1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'PEÇANHA - SÃO JOÃO EVANGELISTA'!$I$2:$I$8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xVal>
          <c:yVal>
            <c:numRef>
              <c:f>'PEÇANHA - SÃO JOÃO EVANGELISTA'!$K$2:$K$8</c:f>
              <c:numCache>
                <c:formatCode>0.00</c:formatCode>
                <c:ptCount val="7"/>
                <c:pt idx="0">
                  <c:v>2.1739130434782608E-2</c:v>
                </c:pt>
                <c:pt idx="1">
                  <c:v>6.5217391304347824E-2</c:v>
                </c:pt>
                <c:pt idx="2">
                  <c:v>0.17391304347826086</c:v>
                </c:pt>
                <c:pt idx="3">
                  <c:v>0.30434782608695654</c:v>
                </c:pt>
                <c:pt idx="4">
                  <c:v>0.58695652173913038</c:v>
                </c:pt>
                <c:pt idx="5">
                  <c:v>0.86956521739130421</c:v>
                </c:pt>
                <c:pt idx="6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49-4699-8CEA-1D1448029FCF}"/>
            </c:ext>
          </c:extLst>
        </c:ser>
        <c:ser>
          <c:idx val="2"/>
          <c:order val="2"/>
          <c:tx>
            <c:strRef>
              <c:f>'PEÇANHA - SÃO JOÃO EVANGELISTA'!$L$1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'PEÇANHA - SÃO JOÃO EVANGELISTA'!$I$2:$I$8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xVal>
          <c:yVal>
            <c:numRef>
              <c:f>'PEÇANHA - SÃO JOÃO EVANGELISTA'!$L$2:$L$8</c:f>
              <c:numCache>
                <c:formatCode>0.00</c:formatCode>
                <c:ptCount val="7"/>
                <c:pt idx="0">
                  <c:v>4.3478260869565216E-2</c:v>
                </c:pt>
                <c:pt idx="1">
                  <c:v>0.13043478260869565</c:v>
                </c:pt>
                <c:pt idx="2">
                  <c:v>0.2608695652173913</c:v>
                </c:pt>
                <c:pt idx="3">
                  <c:v>0.39130434782608692</c:v>
                </c:pt>
                <c:pt idx="4">
                  <c:v>0.52173913043478259</c:v>
                </c:pt>
                <c:pt idx="5">
                  <c:v>0.82608695652173914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F49-4699-8CEA-1D1448029FCF}"/>
            </c:ext>
          </c:extLst>
        </c:ser>
        <c:ser>
          <c:idx val="3"/>
          <c:order val="3"/>
          <c:tx>
            <c:strRef>
              <c:f>'PEÇANHA - SÃO JOÃO EVANGELISTA'!$M$1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'PEÇANHA - SÃO JOÃO EVANGELISTA'!$I$2:$I$8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xVal>
          <c:yVal>
            <c:numRef>
              <c:f>'PEÇANHA - SÃO JOÃO EVANGELISTA'!$M$2:$M$8</c:f>
              <c:numCache>
                <c:formatCode>0.00</c:formatCode>
                <c:ptCount val="7"/>
                <c:pt idx="0">
                  <c:v>0.19047619047619047</c:v>
                </c:pt>
                <c:pt idx="1">
                  <c:v>0.23809523809523808</c:v>
                </c:pt>
                <c:pt idx="2">
                  <c:v>0.38095238095238093</c:v>
                </c:pt>
                <c:pt idx="3">
                  <c:v>0.52380952380952372</c:v>
                </c:pt>
                <c:pt idx="4">
                  <c:v>0.5714285714285714</c:v>
                </c:pt>
                <c:pt idx="5">
                  <c:v>0.71428571428571419</c:v>
                </c:pt>
                <c:pt idx="6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F49-4699-8CEA-1D1448029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560992"/>
        <c:axId val="318560032"/>
      </c:scatterChart>
      <c:valAx>
        <c:axId val="3185609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8560032"/>
        <c:crosses val="autoZero"/>
        <c:crossBetween val="midCat"/>
      </c:valAx>
      <c:valAx>
        <c:axId val="3185600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8560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'PEÇANHA - SÃO JOÃO EVANGELISTA'!$J$1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'PEÇANHA - SÃO JOÃO EVANGELISTA'!$I$2:$I$8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xVal>
          <c:yVal>
            <c:numRef>
              <c:f>'PEÇANHA - SÃO JOÃO EVANGELISTA'!$J$2:$J$8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7C-488A-9FCD-E20980B8CCC6}"/>
            </c:ext>
          </c:extLst>
        </c:ser>
        <c:ser>
          <c:idx val="1"/>
          <c:order val="1"/>
          <c:tx>
            <c:strRef>
              <c:f>'PEÇANHA - SÃO JOÃO EVANGELISTA'!$N$1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'PEÇANHA - SÃO JOÃO EVANGELISTA'!$I$2:$I$8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xVal>
          <c:yVal>
            <c:numRef>
              <c:f>'PEÇANHA - SÃO JOÃO EVANGELISTA'!$N$2:$N$8</c:f>
              <c:numCache>
                <c:formatCode>0.00</c:formatCode>
                <c:ptCount val="7"/>
                <c:pt idx="0">
                  <c:v>1.6666666666666666E-2</c:v>
                </c:pt>
                <c:pt idx="1">
                  <c:v>0.13333333333333333</c:v>
                </c:pt>
                <c:pt idx="2">
                  <c:v>0.2</c:v>
                </c:pt>
                <c:pt idx="3">
                  <c:v>0.26666666666666666</c:v>
                </c:pt>
                <c:pt idx="4">
                  <c:v>0.3666666666666667</c:v>
                </c:pt>
                <c:pt idx="5">
                  <c:v>0.71666666666666667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7C-488A-9FCD-E20980B8CCC6}"/>
            </c:ext>
          </c:extLst>
        </c:ser>
        <c:ser>
          <c:idx val="2"/>
          <c:order val="2"/>
          <c:tx>
            <c:strRef>
              <c:f>'PEÇANHA - SÃO JOÃO EVANGELISTA'!$O$1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'PEÇANHA - SÃO JOÃO EVANGELISTA'!$I$2:$I$8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xVal>
          <c:yVal>
            <c:numRef>
              <c:f>'PEÇANHA - SÃO JOÃO EVANGELISTA'!$O$2:$O$8</c:f>
              <c:numCache>
                <c:formatCode>0.00</c:formatCode>
                <c:ptCount val="7"/>
                <c:pt idx="0">
                  <c:v>6.8965517241379309E-2</c:v>
                </c:pt>
                <c:pt idx="1">
                  <c:v>0.10344827586206896</c:v>
                </c:pt>
                <c:pt idx="2">
                  <c:v>0.15517241379310345</c:v>
                </c:pt>
                <c:pt idx="3">
                  <c:v>0.31034482758620691</c:v>
                </c:pt>
                <c:pt idx="4">
                  <c:v>0.37931034482758619</c:v>
                </c:pt>
                <c:pt idx="5">
                  <c:v>0.81034482758620685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7C-488A-9FCD-E20980B8CCC6}"/>
            </c:ext>
          </c:extLst>
        </c:ser>
        <c:ser>
          <c:idx val="3"/>
          <c:order val="3"/>
          <c:tx>
            <c:strRef>
              <c:f>'PEÇANHA - SÃO JOÃO EVANGELISTA'!$P$1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'PEÇANHA - SÃO JOÃO EVANGELISTA'!$I$2:$I$8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xVal>
          <c:yVal>
            <c:numRef>
              <c:f>'PEÇANHA - SÃO JOÃO EVANGELISTA'!$P$2:$P$8</c:f>
              <c:numCache>
                <c:formatCode>0.00</c:formatCode>
                <c:ptCount val="7"/>
                <c:pt idx="0">
                  <c:v>0</c:v>
                </c:pt>
                <c:pt idx="1">
                  <c:v>4.3478260869565216E-2</c:v>
                </c:pt>
                <c:pt idx="2">
                  <c:v>4.3478260869565216E-2</c:v>
                </c:pt>
                <c:pt idx="3">
                  <c:v>0.17391304347826086</c:v>
                </c:pt>
                <c:pt idx="4">
                  <c:v>0.30434782608695654</c:v>
                </c:pt>
                <c:pt idx="5">
                  <c:v>0.78260869565217395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7C-488A-9FCD-E20980B8C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295424"/>
        <c:axId val="297295904"/>
      </c:scatterChart>
      <c:valAx>
        <c:axId val="2972954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295904"/>
        <c:crosses val="autoZero"/>
        <c:crossBetween val="midCat"/>
      </c:valAx>
      <c:valAx>
        <c:axId val="2972959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295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RESPLENDOR!$J$1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RESPLENDOR!$I$2:$I$9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xVal>
          <c:yVal>
            <c:numRef>
              <c:f>RESPLENDOR!$J$2:$J$9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34-4C74-AA16-9BCCDFBDA778}"/>
            </c:ext>
          </c:extLst>
        </c:ser>
        <c:ser>
          <c:idx val="1"/>
          <c:order val="1"/>
          <c:tx>
            <c:strRef>
              <c:f>RESPLENDOR!$K$1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RESPLENDOR!$I$2:$I$9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xVal>
          <c:yVal>
            <c:numRef>
              <c:f>RESPLENDOR!$K$2:$K$9</c:f>
              <c:numCache>
                <c:formatCode>0.00</c:formatCode>
                <c:ptCount val="8"/>
                <c:pt idx="0">
                  <c:v>2.4691358024691357E-2</c:v>
                </c:pt>
                <c:pt idx="1">
                  <c:v>2.4691358024691357E-2</c:v>
                </c:pt>
                <c:pt idx="2">
                  <c:v>9.8765432098765427E-2</c:v>
                </c:pt>
                <c:pt idx="3">
                  <c:v>0.2839506172839506</c:v>
                </c:pt>
                <c:pt idx="4">
                  <c:v>0.33333333333333331</c:v>
                </c:pt>
                <c:pt idx="5">
                  <c:v>0.55555555555555558</c:v>
                </c:pt>
                <c:pt idx="6">
                  <c:v>0.69135802469135799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34-4C74-AA16-9BCCDFBDA778}"/>
            </c:ext>
          </c:extLst>
        </c:ser>
        <c:ser>
          <c:idx val="2"/>
          <c:order val="2"/>
          <c:tx>
            <c:strRef>
              <c:f>RESPLENDOR!$L$1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RESPLENDOR!$I$2:$I$9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xVal>
          <c:yVal>
            <c:numRef>
              <c:f>RESPLENDOR!$L$2:$L$9</c:f>
              <c:numCache>
                <c:formatCode>0.00</c:formatCode>
                <c:ptCount val="8"/>
                <c:pt idx="0">
                  <c:v>0.04</c:v>
                </c:pt>
                <c:pt idx="1">
                  <c:v>0.08</c:v>
                </c:pt>
                <c:pt idx="2">
                  <c:v>0.16</c:v>
                </c:pt>
                <c:pt idx="3">
                  <c:v>0.24</c:v>
                </c:pt>
                <c:pt idx="4">
                  <c:v>0.24</c:v>
                </c:pt>
                <c:pt idx="5">
                  <c:v>0.56000000000000005</c:v>
                </c:pt>
                <c:pt idx="6">
                  <c:v>0.8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134-4C74-AA16-9BCCDFBDA778}"/>
            </c:ext>
          </c:extLst>
        </c:ser>
        <c:ser>
          <c:idx val="3"/>
          <c:order val="3"/>
          <c:tx>
            <c:strRef>
              <c:f>RESPLENDOR!$M$1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RESPLENDOR!$I$2:$I$9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xVal>
          <c:yVal>
            <c:numRef>
              <c:f>RESPLENDOR!$M$2:$M$9</c:f>
              <c:numCache>
                <c:formatCode>0.00</c:formatCode>
                <c:ptCount val="8"/>
                <c:pt idx="0">
                  <c:v>7.3170731707317069E-2</c:v>
                </c:pt>
                <c:pt idx="1">
                  <c:v>7.3170731707317069E-2</c:v>
                </c:pt>
                <c:pt idx="2">
                  <c:v>0.14634146341463414</c:v>
                </c:pt>
                <c:pt idx="3">
                  <c:v>0.17073170731707316</c:v>
                </c:pt>
                <c:pt idx="4">
                  <c:v>0.21951219512195119</c:v>
                </c:pt>
                <c:pt idx="5">
                  <c:v>0.56097560975609762</c:v>
                </c:pt>
                <c:pt idx="6">
                  <c:v>0.70731707317073178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134-4C74-AA16-9BCCDFBDA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554752"/>
        <c:axId val="318547552"/>
      </c:scatterChart>
      <c:valAx>
        <c:axId val="31855475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8547552"/>
        <c:crosses val="autoZero"/>
        <c:crossBetween val="midCat"/>
      </c:valAx>
      <c:valAx>
        <c:axId val="3185475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8554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RESPLENDOR!$J$1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RESPLENDOR!$I$2:$I$9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xVal>
          <c:yVal>
            <c:numRef>
              <c:f>RESPLENDOR!$J$2:$J$9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3C-4971-B279-937334820B4D}"/>
            </c:ext>
          </c:extLst>
        </c:ser>
        <c:ser>
          <c:idx val="1"/>
          <c:order val="1"/>
          <c:tx>
            <c:strRef>
              <c:f>RESPLENDOR!$N$1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RESPLENDOR!$I$2:$I$9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xVal>
          <c:yVal>
            <c:numRef>
              <c:f>RESPLENDOR!$N$2:$N$9</c:f>
              <c:numCache>
                <c:formatCode>0.00</c:formatCode>
                <c:ptCount val="8"/>
                <c:pt idx="0">
                  <c:v>2.4691358024691357E-2</c:v>
                </c:pt>
                <c:pt idx="1">
                  <c:v>6.1728395061728392E-2</c:v>
                </c:pt>
                <c:pt idx="2">
                  <c:v>9.8765432098765427E-2</c:v>
                </c:pt>
                <c:pt idx="3">
                  <c:v>0.14814814814814814</c:v>
                </c:pt>
                <c:pt idx="4">
                  <c:v>0.22222222222222221</c:v>
                </c:pt>
                <c:pt idx="5">
                  <c:v>0.55555555555555558</c:v>
                </c:pt>
                <c:pt idx="6">
                  <c:v>0.70370370370370372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3C-4971-B279-937334820B4D}"/>
            </c:ext>
          </c:extLst>
        </c:ser>
        <c:ser>
          <c:idx val="2"/>
          <c:order val="2"/>
          <c:tx>
            <c:strRef>
              <c:f>RESPLENDOR!$O$1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RESPLENDOR!$I$2:$I$9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xVal>
          <c:yVal>
            <c:numRef>
              <c:f>RESPLENDOR!$O$2:$O$9</c:f>
              <c:numCache>
                <c:formatCode>0.00</c:formatCode>
                <c:ptCount val="8"/>
                <c:pt idx="0">
                  <c:v>4.0540540540540543E-2</c:v>
                </c:pt>
                <c:pt idx="1">
                  <c:v>0.12162162162162163</c:v>
                </c:pt>
                <c:pt idx="2">
                  <c:v>0.16216216216216217</c:v>
                </c:pt>
                <c:pt idx="3">
                  <c:v>0.21621621621621623</c:v>
                </c:pt>
                <c:pt idx="4">
                  <c:v>0.24324324324324326</c:v>
                </c:pt>
                <c:pt idx="5">
                  <c:v>0.55405405405405406</c:v>
                </c:pt>
                <c:pt idx="6">
                  <c:v>0.82432432432432434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3C-4971-B279-937334820B4D}"/>
            </c:ext>
          </c:extLst>
        </c:ser>
        <c:ser>
          <c:idx val="3"/>
          <c:order val="3"/>
          <c:tx>
            <c:strRef>
              <c:f>RESPLENDOR!$P$1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RESPLENDOR!$I$2:$I$9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xVal>
          <c:yVal>
            <c:numRef>
              <c:f>RESPLENDOR!$P$2:$P$9</c:f>
              <c:numCache>
                <c:formatCode>0.00</c:formatCode>
                <c:ptCount val="8"/>
                <c:pt idx="0">
                  <c:v>0.10606060606060606</c:v>
                </c:pt>
                <c:pt idx="1">
                  <c:v>0.13636363636363635</c:v>
                </c:pt>
                <c:pt idx="2">
                  <c:v>0.16666666666666666</c:v>
                </c:pt>
                <c:pt idx="3">
                  <c:v>0.36363636363636365</c:v>
                </c:pt>
                <c:pt idx="4">
                  <c:v>0.40909090909090912</c:v>
                </c:pt>
                <c:pt idx="5">
                  <c:v>0.68181818181818188</c:v>
                </c:pt>
                <c:pt idx="6">
                  <c:v>0.8787878787878789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3C-4971-B279-937334820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00208"/>
        <c:axId val="154791088"/>
      </c:scatterChart>
      <c:valAx>
        <c:axId val="15480020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791088"/>
        <c:crosses val="autoZero"/>
        <c:crossBetween val="midCat"/>
      </c:valAx>
      <c:valAx>
        <c:axId val="1547910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800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'SANTA MARIA DO SUAÇUÍ'!$J$1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'SANTA MARIA DO SUAÇUÍ'!$I$2:$I$5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xVal>
          <c:yVal>
            <c:numRef>
              <c:f>'SANTA MARIA DO SUAÇUÍ'!$J$2:$J$5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34-443F-8083-577C39BEED6C}"/>
            </c:ext>
          </c:extLst>
        </c:ser>
        <c:ser>
          <c:idx val="1"/>
          <c:order val="1"/>
          <c:tx>
            <c:strRef>
              <c:f>'SANTA MARIA DO SUAÇUÍ'!$K$1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'SANTA MARIA DO SUAÇUÍ'!$I$2:$I$5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xVal>
          <c:yVal>
            <c:numRef>
              <c:f>'SANTA MARIA DO SUAÇUÍ'!$K$2:$K$5</c:f>
              <c:numCache>
                <c:formatCode>0.00</c:formatCode>
                <c:ptCount val="4"/>
                <c:pt idx="0">
                  <c:v>0.11538461538461539</c:v>
                </c:pt>
                <c:pt idx="1">
                  <c:v>0.38461538461538458</c:v>
                </c:pt>
                <c:pt idx="2">
                  <c:v>0.84615384615384615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34-443F-8083-577C39BEED6C}"/>
            </c:ext>
          </c:extLst>
        </c:ser>
        <c:ser>
          <c:idx val="2"/>
          <c:order val="2"/>
          <c:tx>
            <c:strRef>
              <c:f>'SANTA MARIA DO SUAÇUÍ'!$L$1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'SANTA MARIA DO SUAÇUÍ'!$I$2:$I$5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xVal>
          <c:yVal>
            <c:numRef>
              <c:f>'SANTA MARIA DO SUAÇUÍ'!$L$2:$L$5</c:f>
              <c:numCache>
                <c:formatCode>0.00</c:formatCode>
                <c:ptCount val="4"/>
                <c:pt idx="0">
                  <c:v>0</c:v>
                </c:pt>
                <c:pt idx="1">
                  <c:v>0.27777777777777779</c:v>
                </c:pt>
                <c:pt idx="2">
                  <c:v>0.61111111111111116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34-443F-8083-577C39BEED6C}"/>
            </c:ext>
          </c:extLst>
        </c:ser>
        <c:ser>
          <c:idx val="3"/>
          <c:order val="3"/>
          <c:tx>
            <c:strRef>
              <c:f>'SANTA MARIA DO SUAÇUÍ'!$M$1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'SANTA MARIA DO SUAÇUÍ'!$I$2:$I$5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xVal>
          <c:yVal>
            <c:numRef>
              <c:f>'SANTA MARIA DO SUAÇUÍ'!$M$2:$M$5</c:f>
              <c:numCache>
                <c:formatCode>0.00</c:formatCode>
                <c:ptCount val="4"/>
                <c:pt idx="0">
                  <c:v>0.1111111111111111</c:v>
                </c:pt>
                <c:pt idx="1">
                  <c:v>0.48148148148148145</c:v>
                </c:pt>
                <c:pt idx="2">
                  <c:v>0.7407407407407407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34-443F-8083-577C39BEE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82448"/>
        <c:axId val="154799248"/>
      </c:scatterChart>
      <c:valAx>
        <c:axId val="1547824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799248"/>
        <c:crosses val="autoZero"/>
        <c:crossBetween val="midCat"/>
      </c:valAx>
      <c:valAx>
        <c:axId val="1547992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782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'SANTA MARIA DO SUAÇUÍ'!$J$1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'SANTA MARIA DO SUAÇUÍ'!$I$2:$I$5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xVal>
          <c:yVal>
            <c:numRef>
              <c:f>'SANTA MARIA DO SUAÇUÍ'!$J$2:$J$5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57-4F6C-815A-1B52BBADBD1C}"/>
            </c:ext>
          </c:extLst>
        </c:ser>
        <c:ser>
          <c:idx val="1"/>
          <c:order val="1"/>
          <c:tx>
            <c:strRef>
              <c:f>'SANTA MARIA DO SUAÇUÍ'!$N$1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'SANTA MARIA DO SUAÇUÍ'!$I$2:$I$5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xVal>
          <c:yVal>
            <c:numRef>
              <c:f>'SANTA MARIA DO SUAÇUÍ'!$N$2:$N$5</c:f>
              <c:numCache>
                <c:formatCode>0.00</c:formatCode>
                <c:ptCount val="4"/>
                <c:pt idx="0">
                  <c:v>0.11428571428571428</c:v>
                </c:pt>
                <c:pt idx="1">
                  <c:v>0.68571428571428572</c:v>
                </c:pt>
                <c:pt idx="2">
                  <c:v>0.85714285714285721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57-4F6C-815A-1B52BBADBD1C}"/>
            </c:ext>
          </c:extLst>
        </c:ser>
        <c:ser>
          <c:idx val="2"/>
          <c:order val="2"/>
          <c:tx>
            <c:strRef>
              <c:f>'SANTA MARIA DO SUAÇUÍ'!$O$1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'SANTA MARIA DO SUAÇUÍ'!$I$2:$I$5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xVal>
          <c:yVal>
            <c:numRef>
              <c:f>'SANTA MARIA DO SUAÇUÍ'!$O$2:$O$5</c:f>
              <c:numCache>
                <c:formatCode>0.00</c:formatCode>
                <c:ptCount val="4"/>
                <c:pt idx="0">
                  <c:v>0.15789473684210525</c:v>
                </c:pt>
                <c:pt idx="1">
                  <c:v>0.47368421052631576</c:v>
                </c:pt>
                <c:pt idx="2">
                  <c:v>0.78947368421052633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D57-4F6C-815A-1B52BBADBD1C}"/>
            </c:ext>
          </c:extLst>
        </c:ser>
        <c:ser>
          <c:idx val="3"/>
          <c:order val="3"/>
          <c:tx>
            <c:strRef>
              <c:f>'SANTA MARIA DO SUAÇUÍ'!$P$1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'SANTA MARIA DO SUAÇUÍ'!$I$2:$I$5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xVal>
          <c:yVal>
            <c:numRef>
              <c:f>'SANTA MARIA DO SUAÇUÍ'!$P$2:$P$5</c:f>
              <c:numCache>
                <c:formatCode>0.00</c:formatCode>
                <c:ptCount val="4"/>
                <c:pt idx="0">
                  <c:v>0.125</c:v>
                </c:pt>
                <c:pt idx="1">
                  <c:v>0.375</c:v>
                </c:pt>
                <c:pt idx="2">
                  <c:v>0.875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D57-4F6C-815A-1B52BBADB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6261712"/>
        <c:axId val="1856248752"/>
      </c:scatterChart>
      <c:valAx>
        <c:axId val="18562617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6248752"/>
        <c:crosses val="autoZero"/>
        <c:crossBetween val="midCat"/>
      </c:valAx>
      <c:valAx>
        <c:axId val="18562487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6261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141270</xdr:colOff>
      <xdr:row>0</xdr:row>
      <xdr:rowOff>83905</xdr:rowOff>
    </xdr:from>
    <xdr:to>
      <xdr:col>23</xdr:col>
      <xdr:colOff>458056</xdr:colOff>
      <xdr:row>14</xdr:row>
      <xdr:rowOff>27397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F480B67-122A-F4F0-3ACF-8F2A0A0A48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132709</xdr:colOff>
      <xdr:row>14</xdr:row>
      <xdr:rowOff>101029</xdr:rowOff>
    </xdr:from>
    <xdr:to>
      <xdr:col>23</xdr:col>
      <xdr:colOff>449495</xdr:colOff>
      <xdr:row>28</xdr:row>
      <xdr:rowOff>138701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54BED17-155A-4D84-8343-0D9C72C8E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206962</xdr:colOff>
      <xdr:row>0</xdr:row>
      <xdr:rowOff>72437</xdr:rowOff>
    </xdr:from>
    <xdr:to>
      <xdr:col>23</xdr:col>
      <xdr:colOff>498592</xdr:colOff>
      <xdr:row>13</xdr:row>
      <xdr:rowOff>21637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A6A7688-0CCD-CF50-4098-ECD0E5DE2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206963</xdr:colOff>
      <xdr:row>13</xdr:row>
      <xdr:rowOff>91252</xdr:rowOff>
    </xdr:from>
    <xdr:to>
      <xdr:col>23</xdr:col>
      <xdr:colOff>498593</xdr:colOff>
      <xdr:row>28</xdr:row>
      <xdr:rowOff>153341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762D030-ACCD-804A-183C-DFDFFEAC7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257175</xdr:colOff>
      <xdr:row>0</xdr:row>
      <xdr:rowOff>90488</xdr:rowOff>
    </xdr:from>
    <xdr:to>
      <xdr:col>23</xdr:col>
      <xdr:colOff>561975</xdr:colOff>
      <xdr:row>13</xdr:row>
      <xdr:rowOff>14288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4A7372-3520-FD80-1A4E-0A93A0405F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247650</xdr:colOff>
      <xdr:row>13</xdr:row>
      <xdr:rowOff>61913</xdr:rowOff>
    </xdr:from>
    <xdr:to>
      <xdr:col>23</xdr:col>
      <xdr:colOff>552450</xdr:colOff>
      <xdr:row>28</xdr:row>
      <xdr:rowOff>90488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2946A23-E7A5-1537-326F-7515A18E5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516467</xdr:colOff>
      <xdr:row>0</xdr:row>
      <xdr:rowOff>110067</xdr:rowOff>
    </xdr:from>
    <xdr:to>
      <xdr:col>24</xdr:col>
      <xdr:colOff>211667</xdr:colOff>
      <xdr:row>12</xdr:row>
      <xdr:rowOff>160867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48AEF42-5603-5B5E-88CA-A4839C45E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524934</xdr:colOff>
      <xdr:row>13</xdr:row>
      <xdr:rowOff>59266</xdr:rowOff>
    </xdr:from>
    <xdr:to>
      <xdr:col>24</xdr:col>
      <xdr:colOff>220134</xdr:colOff>
      <xdr:row>28</xdr:row>
      <xdr:rowOff>8466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55248D4-29CE-8A84-F100-F4220CA3D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106680</xdr:colOff>
      <xdr:row>0</xdr:row>
      <xdr:rowOff>26670</xdr:rowOff>
    </xdr:from>
    <xdr:to>
      <xdr:col>23</xdr:col>
      <xdr:colOff>411480</xdr:colOff>
      <xdr:row>12</xdr:row>
      <xdr:rowOff>110490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79619A55-34A6-4FF4-0A14-18FC63511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121920</xdr:colOff>
      <xdr:row>13</xdr:row>
      <xdr:rowOff>3810</xdr:rowOff>
    </xdr:from>
    <xdr:to>
      <xdr:col>23</xdr:col>
      <xdr:colOff>426720</xdr:colOff>
      <xdr:row>28</xdr:row>
      <xdr:rowOff>3810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69ECE639-1FA3-ED25-3E6C-53DB73328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A7D04-5F0D-41D4-A4AB-D8C331D10194}">
  <dimension ref="A1:P53"/>
  <sheetViews>
    <sheetView tabSelected="1" zoomScale="89" workbookViewId="0">
      <selection activeCell="N4" sqref="N4"/>
    </sheetView>
  </sheetViews>
  <sheetFormatPr defaultRowHeight="14.4" x14ac:dyDescent="0.3"/>
  <cols>
    <col min="1" max="1" width="13.6640625" style="12" customWidth="1"/>
    <col min="11" max="16" width="12" bestFit="1" customWidth="1"/>
  </cols>
  <sheetData>
    <row r="1" spans="1:16" ht="36.6" customHeight="1" x14ac:dyDescent="0.3">
      <c r="A1" s="10" t="s">
        <v>24</v>
      </c>
      <c r="B1" s="4" t="s">
        <v>25</v>
      </c>
      <c r="C1" s="5" t="s">
        <v>26</v>
      </c>
      <c r="D1" s="5" t="s">
        <v>27</v>
      </c>
      <c r="E1" s="5" t="s">
        <v>28</v>
      </c>
      <c r="F1" s="4" t="s">
        <v>29</v>
      </c>
      <c r="G1" s="5" t="s">
        <v>30</v>
      </c>
      <c r="H1" s="5" t="s">
        <v>31</v>
      </c>
      <c r="I1" s="6" t="s">
        <v>25</v>
      </c>
      <c r="J1" s="7" t="s">
        <v>25</v>
      </c>
      <c r="K1" s="8" t="s">
        <v>26</v>
      </c>
      <c r="L1" s="8" t="s">
        <v>27</v>
      </c>
      <c r="M1" s="8" t="s">
        <v>28</v>
      </c>
      <c r="N1" s="7" t="s">
        <v>29</v>
      </c>
      <c r="O1" s="8" t="s">
        <v>30</v>
      </c>
      <c r="P1" s="8" t="s">
        <v>31</v>
      </c>
    </row>
    <row r="2" spans="1:16" x14ac:dyDescent="0.3">
      <c r="A2" s="11" t="s">
        <v>13</v>
      </c>
      <c r="B2" s="9">
        <v>7.2874587382562731E-3</v>
      </c>
      <c r="C2" s="9">
        <v>2.4570024570024569E-3</v>
      </c>
      <c r="D2" s="9">
        <v>4.6728971962616819E-3</v>
      </c>
      <c r="E2" s="9">
        <v>4.2194092827004216E-3</v>
      </c>
      <c r="F2" s="9">
        <v>1.0460251046025104E-2</v>
      </c>
      <c r="G2" s="9">
        <v>2.9239766081871343E-3</v>
      </c>
      <c r="H2" s="9">
        <v>1.3157894736842105E-2</v>
      </c>
      <c r="I2" s="9">
        <v>7.2874587382562731E-3</v>
      </c>
      <c r="J2" s="9">
        <v>7.2874587382562731E-3</v>
      </c>
      <c r="K2" s="9">
        <v>2.4570024570024569E-3</v>
      </c>
      <c r="L2" s="9">
        <v>4.6728971962616819E-3</v>
      </c>
      <c r="M2" s="9">
        <v>4.2194092827004216E-3</v>
      </c>
      <c r="N2" s="9">
        <v>1.0460251046025104E-2</v>
      </c>
      <c r="O2" s="9">
        <v>2.9239766081871343E-3</v>
      </c>
      <c r="P2" s="9">
        <v>1.3157894736842105E-2</v>
      </c>
    </row>
    <row r="3" spans="1:16" x14ac:dyDescent="0.3">
      <c r="A3" s="11" t="s">
        <v>14</v>
      </c>
      <c r="B3" s="9">
        <v>7.4351930934188964E-3</v>
      </c>
      <c r="C3" s="9">
        <v>0</v>
      </c>
      <c r="D3" s="9">
        <v>0</v>
      </c>
      <c r="E3" s="9">
        <v>0</v>
      </c>
      <c r="F3" s="9">
        <v>2.0920502092050207E-3</v>
      </c>
      <c r="G3" s="9">
        <v>5.8479532163742687E-3</v>
      </c>
      <c r="H3" s="9">
        <v>6.5789473684210523E-3</v>
      </c>
      <c r="I3" s="9">
        <v>1.4722651831675169E-2</v>
      </c>
      <c r="J3" s="9">
        <f>J2+B3</f>
        <v>1.4722651831675169E-2</v>
      </c>
      <c r="K3" s="9">
        <f t="shared" ref="K3:P16" si="0">K2+C3</f>
        <v>2.4570024570024569E-3</v>
      </c>
      <c r="L3" s="9">
        <f t="shared" si="0"/>
        <v>4.6728971962616819E-3</v>
      </c>
      <c r="M3" s="9">
        <f t="shared" si="0"/>
        <v>4.2194092827004216E-3</v>
      </c>
      <c r="N3" s="9">
        <f t="shared" si="0"/>
        <v>1.2552301255230125E-2</v>
      </c>
      <c r="O3" s="9">
        <f t="shared" si="0"/>
        <v>8.771929824561403E-3</v>
      </c>
      <c r="P3" s="9">
        <f t="shared" si="0"/>
        <v>1.9736842105263157E-2</v>
      </c>
    </row>
    <row r="4" spans="1:16" x14ac:dyDescent="0.3">
      <c r="A4" s="11" t="s">
        <v>6</v>
      </c>
      <c r="B4" s="9">
        <v>8.0792225479559571E-3</v>
      </c>
      <c r="C4" s="9">
        <v>9.8280098280098278E-3</v>
      </c>
      <c r="D4" s="9">
        <v>4.6728971962616819E-3</v>
      </c>
      <c r="E4" s="9">
        <v>0</v>
      </c>
      <c r="F4" s="9">
        <v>8.368200836820083E-3</v>
      </c>
      <c r="G4" s="9">
        <v>2.046783625730994E-2</v>
      </c>
      <c r="H4" s="9">
        <v>1.9736842105263157E-2</v>
      </c>
      <c r="I4" s="9">
        <v>2.2801874379631125E-2</v>
      </c>
      <c r="J4" s="9">
        <f t="shared" ref="J4:J16" si="1">J3+B4</f>
        <v>2.2801874379631125E-2</v>
      </c>
      <c r="K4" s="9">
        <f t="shared" si="0"/>
        <v>1.2285012285012284E-2</v>
      </c>
      <c r="L4" s="9">
        <f t="shared" si="0"/>
        <v>9.3457943925233638E-3</v>
      </c>
      <c r="M4" s="9">
        <f t="shared" si="0"/>
        <v>4.2194092827004216E-3</v>
      </c>
      <c r="N4" s="9">
        <f t="shared" si="0"/>
        <v>2.0920502092050208E-2</v>
      </c>
      <c r="O4" s="9">
        <f t="shared" si="0"/>
        <v>2.9239766081871343E-2</v>
      </c>
      <c r="P4" s="9">
        <f t="shared" si="0"/>
        <v>3.9473684210526314E-2</v>
      </c>
    </row>
    <row r="5" spans="1:16" x14ac:dyDescent="0.3">
      <c r="A5" s="11" t="s">
        <v>16</v>
      </c>
      <c r="B5" s="9">
        <v>8.9102282957457118E-3</v>
      </c>
      <c r="C5" s="9">
        <v>4.9140049140049139E-3</v>
      </c>
      <c r="D5" s="9">
        <v>0</v>
      </c>
      <c r="E5" s="9">
        <v>0</v>
      </c>
      <c r="F5" s="9">
        <v>8.368200836820083E-3</v>
      </c>
      <c r="G5" s="9">
        <v>1.4619883040935672E-2</v>
      </c>
      <c r="H5" s="9">
        <v>1.3157894736842105E-2</v>
      </c>
      <c r="I5" s="9">
        <v>3.1712102675376837E-2</v>
      </c>
      <c r="J5" s="9">
        <f t="shared" si="1"/>
        <v>3.1712102675376837E-2</v>
      </c>
      <c r="K5" s="9">
        <f t="shared" si="0"/>
        <v>1.7199017199017199E-2</v>
      </c>
      <c r="L5" s="9">
        <f t="shared" si="0"/>
        <v>9.3457943925233638E-3</v>
      </c>
      <c r="M5" s="9">
        <f t="shared" si="0"/>
        <v>4.2194092827004216E-3</v>
      </c>
      <c r="N5" s="9">
        <f t="shared" si="0"/>
        <v>2.9288702928870293E-2</v>
      </c>
      <c r="O5" s="9">
        <f t="shared" si="0"/>
        <v>4.3859649122807015E-2</v>
      </c>
      <c r="P5" s="9">
        <f t="shared" si="0"/>
        <v>5.2631578947368418E-2</v>
      </c>
    </row>
    <row r="6" spans="1:16" x14ac:dyDescent="0.3">
      <c r="A6" s="11" t="s">
        <v>12</v>
      </c>
      <c r="B6" s="9">
        <v>9.4157567923178129E-3</v>
      </c>
      <c r="C6" s="9">
        <v>2.4570024570024569E-3</v>
      </c>
      <c r="D6" s="9">
        <v>0</v>
      </c>
      <c r="E6" s="9">
        <v>1.2658227848101266E-2</v>
      </c>
      <c r="F6" s="9">
        <v>2.0920502092050207E-3</v>
      </c>
      <c r="G6" s="9">
        <v>4.0935672514619881E-2</v>
      </c>
      <c r="H6" s="9">
        <v>4.6052631578947366E-2</v>
      </c>
      <c r="I6" s="9">
        <v>4.112785946769465E-2</v>
      </c>
      <c r="J6" s="9">
        <f t="shared" si="1"/>
        <v>4.112785946769465E-2</v>
      </c>
      <c r="K6" s="9">
        <f t="shared" si="0"/>
        <v>1.9656019656019656E-2</v>
      </c>
      <c r="L6" s="9">
        <f t="shared" si="0"/>
        <v>9.3457943925233638E-3</v>
      </c>
      <c r="M6" s="9">
        <f t="shared" si="0"/>
        <v>1.6877637130801686E-2</v>
      </c>
      <c r="N6" s="9">
        <f t="shared" si="0"/>
        <v>3.1380753138075312E-2</v>
      </c>
      <c r="O6" s="9">
        <f t="shared" si="0"/>
        <v>8.4795321637426896E-2</v>
      </c>
      <c r="P6" s="9">
        <f t="shared" si="0"/>
        <v>9.8684210526315791E-2</v>
      </c>
    </row>
    <row r="7" spans="1:16" x14ac:dyDescent="0.3">
      <c r="A7" s="11" t="s">
        <v>17</v>
      </c>
      <c r="B7" s="9">
        <v>9.4734655248032134E-3</v>
      </c>
      <c r="C7" s="9">
        <v>1.5970515970515971E-2</v>
      </c>
      <c r="D7" s="9">
        <v>4.6728971962616819E-3</v>
      </c>
      <c r="E7" s="9">
        <v>4.2194092827004216E-3</v>
      </c>
      <c r="F7" s="9">
        <v>1.4644351464435146E-2</v>
      </c>
      <c r="G7" s="9">
        <v>2.9239766081871343E-2</v>
      </c>
      <c r="H7" s="9">
        <v>1.3157894736842105E-2</v>
      </c>
      <c r="I7" s="9">
        <v>5.0601324992497865E-2</v>
      </c>
      <c r="J7" s="9">
        <f t="shared" si="1"/>
        <v>5.0601324992497865E-2</v>
      </c>
      <c r="K7" s="9">
        <f t="shared" si="0"/>
        <v>3.562653562653563E-2</v>
      </c>
      <c r="L7" s="9">
        <f t="shared" si="0"/>
        <v>1.4018691588785045E-2</v>
      </c>
      <c r="M7" s="9">
        <f t="shared" si="0"/>
        <v>2.1097046413502109E-2</v>
      </c>
      <c r="N7" s="9">
        <f t="shared" si="0"/>
        <v>4.6025104602510455E-2</v>
      </c>
      <c r="O7" s="9">
        <f t="shared" si="0"/>
        <v>0.11403508771929824</v>
      </c>
      <c r="P7" s="9">
        <f t="shared" si="0"/>
        <v>0.1118421052631579</v>
      </c>
    </row>
    <row r="8" spans="1:16" x14ac:dyDescent="0.3">
      <c r="A8" s="11" t="s">
        <v>18</v>
      </c>
      <c r="B8" s="9">
        <v>9.9051268437940036E-3</v>
      </c>
      <c r="C8" s="9">
        <v>0</v>
      </c>
      <c r="D8" s="9">
        <v>9.3457943925233638E-3</v>
      </c>
      <c r="E8" s="9">
        <v>4.2194092827004216E-3</v>
      </c>
      <c r="F8" s="9">
        <v>8.368200836820083E-3</v>
      </c>
      <c r="G8" s="9">
        <v>1.1695906432748537E-2</v>
      </c>
      <c r="H8" s="9">
        <v>1.9736842105263157E-2</v>
      </c>
      <c r="I8" s="9">
        <v>6.0506451836291872E-2</v>
      </c>
      <c r="J8" s="9">
        <f t="shared" si="1"/>
        <v>6.0506451836291872E-2</v>
      </c>
      <c r="K8" s="9">
        <f t="shared" si="0"/>
        <v>3.562653562653563E-2</v>
      </c>
      <c r="L8" s="9">
        <f t="shared" si="0"/>
        <v>2.3364485981308407E-2</v>
      </c>
      <c r="M8" s="9">
        <f t="shared" si="0"/>
        <v>2.5316455696202531E-2</v>
      </c>
      <c r="N8" s="9">
        <f t="shared" si="0"/>
        <v>5.439330543933054E-2</v>
      </c>
      <c r="O8" s="9">
        <f t="shared" si="0"/>
        <v>0.12573099415204678</v>
      </c>
      <c r="P8" s="9">
        <f t="shared" si="0"/>
        <v>0.13157894736842105</v>
      </c>
    </row>
    <row r="9" spans="1:16" x14ac:dyDescent="0.3">
      <c r="A9" s="11" t="s">
        <v>15</v>
      </c>
      <c r="B9" s="9">
        <v>1.005055284965721E-2</v>
      </c>
      <c r="C9" s="9">
        <v>7.3710073710073713E-3</v>
      </c>
      <c r="D9" s="9">
        <v>0</v>
      </c>
      <c r="E9" s="9">
        <v>4.2194092827004216E-3</v>
      </c>
      <c r="F9" s="9">
        <v>8.368200836820083E-3</v>
      </c>
      <c r="G9" s="9">
        <v>2.9239766081871343E-3</v>
      </c>
      <c r="H9" s="9">
        <v>0</v>
      </c>
      <c r="I9" s="9">
        <v>7.0557004685949082E-2</v>
      </c>
      <c r="J9" s="9">
        <f t="shared" si="1"/>
        <v>7.0557004685949082E-2</v>
      </c>
      <c r="K9" s="9">
        <f t="shared" si="0"/>
        <v>4.2997542997542999E-2</v>
      </c>
      <c r="L9" s="9">
        <f t="shared" si="0"/>
        <v>2.3364485981308407E-2</v>
      </c>
      <c r="M9" s="9">
        <f t="shared" si="0"/>
        <v>2.9535864978902954E-2</v>
      </c>
      <c r="N9" s="9">
        <f t="shared" si="0"/>
        <v>6.2761506276150625E-2</v>
      </c>
      <c r="O9" s="9">
        <f t="shared" si="0"/>
        <v>0.12865497076023391</v>
      </c>
      <c r="P9" s="9">
        <f t="shared" si="0"/>
        <v>0.13157894736842105</v>
      </c>
    </row>
    <row r="10" spans="1:16" x14ac:dyDescent="0.3">
      <c r="A10" s="11" t="s">
        <v>23</v>
      </c>
      <c r="B10" s="9">
        <v>1.2241176334802982E-2</v>
      </c>
      <c r="C10" s="9">
        <v>4.9140049140049139E-3</v>
      </c>
      <c r="D10" s="9">
        <v>0</v>
      </c>
      <c r="E10" s="9">
        <v>4.2194092827004216E-3</v>
      </c>
      <c r="F10" s="9">
        <v>0</v>
      </c>
      <c r="G10" s="9">
        <v>1.7543859649122806E-2</v>
      </c>
      <c r="H10" s="9">
        <v>1.3157894736842105E-2</v>
      </c>
      <c r="I10" s="9">
        <v>8.2798181020752065E-2</v>
      </c>
      <c r="J10" s="9">
        <f t="shared" si="1"/>
        <v>8.2798181020752065E-2</v>
      </c>
      <c r="K10" s="9">
        <f t="shared" si="0"/>
        <v>4.7911547911547912E-2</v>
      </c>
      <c r="L10" s="9">
        <f t="shared" si="0"/>
        <v>2.3364485981308407E-2</v>
      </c>
      <c r="M10" s="9">
        <f t="shared" si="0"/>
        <v>3.3755274261603373E-2</v>
      </c>
      <c r="N10" s="9">
        <f t="shared" si="0"/>
        <v>6.2761506276150625E-2</v>
      </c>
      <c r="O10" s="9">
        <f t="shared" si="0"/>
        <v>0.14619883040935672</v>
      </c>
      <c r="P10" s="9">
        <f t="shared" si="0"/>
        <v>0.14473684210526316</v>
      </c>
    </row>
    <row r="11" spans="1:16" x14ac:dyDescent="0.3">
      <c r="A11" s="11" t="s">
        <v>11</v>
      </c>
      <c r="B11" s="9">
        <v>1.2587428729715381E-2</v>
      </c>
      <c r="C11" s="9">
        <v>2.4570024570024569E-3</v>
      </c>
      <c r="D11" s="9">
        <v>4.6728971962616819E-3</v>
      </c>
      <c r="E11" s="9">
        <v>8.4388185654008432E-3</v>
      </c>
      <c r="F11" s="9">
        <v>6.2761506276150627E-3</v>
      </c>
      <c r="G11" s="9">
        <v>1.1695906432748537E-2</v>
      </c>
      <c r="H11" s="9">
        <v>1.3157894736842105E-2</v>
      </c>
      <c r="I11" s="9">
        <v>9.5385609750467448E-2</v>
      </c>
      <c r="J11" s="9">
        <f t="shared" si="1"/>
        <v>9.5385609750467448E-2</v>
      </c>
      <c r="K11" s="9">
        <f t="shared" si="0"/>
        <v>5.0368550368550369E-2</v>
      </c>
      <c r="L11" s="9">
        <f t="shared" si="0"/>
        <v>2.803738317757009E-2</v>
      </c>
      <c r="M11" s="9">
        <f t="shared" si="0"/>
        <v>4.2194092827004218E-2</v>
      </c>
      <c r="N11" s="9">
        <f t="shared" si="0"/>
        <v>6.903765690376569E-2</v>
      </c>
      <c r="O11" s="9">
        <f t="shared" si="0"/>
        <v>0.15789473684210525</v>
      </c>
      <c r="P11" s="9">
        <f t="shared" si="0"/>
        <v>0.15789473684210525</v>
      </c>
    </row>
    <row r="12" spans="1:16" x14ac:dyDescent="0.3">
      <c r="A12" s="11" t="s">
        <v>20</v>
      </c>
      <c r="B12" s="9">
        <v>1.2640520763601948E-2</v>
      </c>
      <c r="C12" s="9">
        <v>7.3710073710073713E-3</v>
      </c>
      <c r="D12" s="9">
        <v>0</v>
      </c>
      <c r="E12" s="9">
        <v>8.4388185654008432E-3</v>
      </c>
      <c r="F12" s="9">
        <v>2.0920502092050208E-2</v>
      </c>
      <c r="G12" s="9">
        <v>3.2163742690058478E-2</v>
      </c>
      <c r="H12" s="9">
        <v>1.3157894736842105E-2</v>
      </c>
      <c r="I12" s="9">
        <v>0.1080261305140694</v>
      </c>
      <c r="J12" s="9">
        <f t="shared" si="1"/>
        <v>0.1080261305140694</v>
      </c>
      <c r="K12" s="9">
        <f t="shared" si="0"/>
        <v>5.7739557739557738E-2</v>
      </c>
      <c r="L12" s="9">
        <f t="shared" si="0"/>
        <v>2.803738317757009E-2</v>
      </c>
      <c r="M12" s="9">
        <f t="shared" si="0"/>
        <v>5.0632911392405063E-2</v>
      </c>
      <c r="N12" s="9">
        <f t="shared" si="0"/>
        <v>8.9958158995815898E-2</v>
      </c>
      <c r="O12" s="9">
        <f t="shared" si="0"/>
        <v>0.19005847953216373</v>
      </c>
      <c r="P12" s="9">
        <f t="shared" si="0"/>
        <v>0.17105263157894735</v>
      </c>
    </row>
    <row r="13" spans="1:16" x14ac:dyDescent="0.3">
      <c r="A13" s="11" t="s">
        <v>2</v>
      </c>
      <c r="B13" s="9">
        <v>1.2832113755453475E-2</v>
      </c>
      <c r="C13" s="9">
        <v>3.6855036855036856E-3</v>
      </c>
      <c r="D13" s="9">
        <v>9.3457943925233638E-3</v>
      </c>
      <c r="E13" s="9">
        <v>2.1097046413502109E-2</v>
      </c>
      <c r="F13" s="9">
        <v>2.0920502092050208E-2</v>
      </c>
      <c r="G13" s="9">
        <v>1.4619883040935672E-2</v>
      </c>
      <c r="H13" s="9">
        <v>1.3157894736842105E-2</v>
      </c>
      <c r="I13" s="9">
        <v>0.12085824426952287</v>
      </c>
      <c r="J13" s="9">
        <f t="shared" si="1"/>
        <v>0.12085824426952287</v>
      </c>
      <c r="K13" s="9">
        <f t="shared" si="0"/>
        <v>6.1425061425061427E-2</v>
      </c>
      <c r="L13" s="9">
        <f t="shared" si="0"/>
        <v>3.7383177570093455E-2</v>
      </c>
      <c r="M13" s="9">
        <f t="shared" si="0"/>
        <v>7.1729957805907171E-2</v>
      </c>
      <c r="N13" s="9">
        <f t="shared" si="0"/>
        <v>0.11087866108786611</v>
      </c>
      <c r="O13" s="9">
        <f t="shared" si="0"/>
        <v>0.2046783625730994</v>
      </c>
      <c r="P13" s="9">
        <f t="shared" si="0"/>
        <v>0.18421052631578944</v>
      </c>
    </row>
    <row r="14" spans="1:16" x14ac:dyDescent="0.3">
      <c r="A14" s="11" t="s">
        <v>9</v>
      </c>
      <c r="B14" s="9">
        <v>1.4274832067588467E-2</v>
      </c>
      <c r="C14" s="9">
        <v>4.9140049140049139E-3</v>
      </c>
      <c r="D14" s="9">
        <v>9.3457943925233638E-3</v>
      </c>
      <c r="E14" s="9">
        <v>4.2194092827004216E-3</v>
      </c>
      <c r="F14" s="9">
        <v>1.6736401673640166E-2</v>
      </c>
      <c r="G14" s="9">
        <v>8.771929824561403E-3</v>
      </c>
      <c r="H14" s="9">
        <v>6.5789473684210523E-3</v>
      </c>
      <c r="I14" s="9">
        <v>0.13513307633711133</v>
      </c>
      <c r="J14" s="9">
        <f t="shared" si="1"/>
        <v>0.13513307633711133</v>
      </c>
      <c r="K14" s="9">
        <f t="shared" si="0"/>
        <v>6.6339066339066347E-2</v>
      </c>
      <c r="L14" s="9">
        <f t="shared" si="0"/>
        <v>4.6728971962616821E-2</v>
      </c>
      <c r="M14" s="9">
        <f t="shared" si="0"/>
        <v>7.5949367088607597E-2</v>
      </c>
      <c r="N14" s="9">
        <f t="shared" si="0"/>
        <v>0.12761506276150628</v>
      </c>
      <c r="O14" s="9">
        <f t="shared" si="0"/>
        <v>0.21345029239766081</v>
      </c>
      <c r="P14" s="9">
        <f t="shared" si="0"/>
        <v>0.19078947368421048</v>
      </c>
    </row>
    <row r="15" spans="1:16" x14ac:dyDescent="0.3">
      <c r="A15" s="11" t="s">
        <v>19</v>
      </c>
      <c r="B15" s="9">
        <v>1.4821910851550057E-2</v>
      </c>
      <c r="C15" s="9">
        <v>0</v>
      </c>
      <c r="D15" s="9">
        <v>9.3457943925233638E-3</v>
      </c>
      <c r="E15" s="9">
        <v>0</v>
      </c>
      <c r="F15" s="9">
        <v>1.0460251046025104E-2</v>
      </c>
      <c r="G15" s="9">
        <v>5.8479532163742687E-3</v>
      </c>
      <c r="H15" s="9">
        <v>3.2894736842105261E-2</v>
      </c>
      <c r="I15" s="9">
        <v>0.14995498718866138</v>
      </c>
      <c r="J15" s="9">
        <f t="shared" si="1"/>
        <v>0.14995498718866138</v>
      </c>
      <c r="K15" s="9">
        <f t="shared" si="0"/>
        <v>6.6339066339066347E-2</v>
      </c>
      <c r="L15" s="9">
        <f t="shared" si="0"/>
        <v>5.6074766355140186E-2</v>
      </c>
      <c r="M15" s="9">
        <f t="shared" si="0"/>
        <v>7.5949367088607597E-2</v>
      </c>
      <c r="N15" s="9">
        <f t="shared" si="0"/>
        <v>0.13807531380753138</v>
      </c>
      <c r="O15" s="9">
        <f t="shared" si="0"/>
        <v>0.21929824561403508</v>
      </c>
      <c r="P15" s="9">
        <f t="shared" si="0"/>
        <v>0.22368421052631574</v>
      </c>
    </row>
    <row r="16" spans="1:16" x14ac:dyDescent="0.3">
      <c r="A16" s="11" t="s">
        <v>8</v>
      </c>
      <c r="B16" s="9">
        <v>1.561367466124974E-2</v>
      </c>
      <c r="C16" s="9">
        <v>1.7199017199017199E-2</v>
      </c>
      <c r="D16" s="9">
        <v>1.4018691588785047E-2</v>
      </c>
      <c r="E16" s="9">
        <v>2.5316455696202531E-2</v>
      </c>
      <c r="F16" s="9">
        <v>1.2552301255230125E-2</v>
      </c>
      <c r="G16" s="9">
        <v>3.8011695906432746E-2</v>
      </c>
      <c r="H16" s="9">
        <v>3.2894736842105261E-2</v>
      </c>
      <c r="I16" s="9">
        <v>0.16556866184991112</v>
      </c>
      <c r="J16" s="9">
        <f t="shared" si="1"/>
        <v>0.16556866184991112</v>
      </c>
      <c r="K16" s="9">
        <f t="shared" si="0"/>
        <v>8.3538083538083549E-2</v>
      </c>
      <c r="L16" s="9">
        <f t="shared" si="0"/>
        <v>7.0093457943925228E-2</v>
      </c>
      <c r="M16" s="9">
        <f t="shared" si="0"/>
        <v>0.10126582278481013</v>
      </c>
      <c r="N16" s="9">
        <f t="shared" si="0"/>
        <v>0.15062761506276151</v>
      </c>
      <c r="O16" s="9">
        <f t="shared" si="0"/>
        <v>0.25730994152046782</v>
      </c>
      <c r="P16" s="9">
        <f t="shared" si="0"/>
        <v>0.25657894736842102</v>
      </c>
    </row>
    <row r="17" spans="1:16" x14ac:dyDescent="0.3">
      <c r="A17" s="11" t="s">
        <v>22</v>
      </c>
      <c r="B17" s="9">
        <v>1.5689850188130468E-2</v>
      </c>
      <c r="C17" s="9">
        <v>2.4570024570024569E-3</v>
      </c>
      <c r="D17" s="9">
        <v>1.8691588785046728E-2</v>
      </c>
      <c r="E17" s="9">
        <v>0</v>
      </c>
      <c r="F17" s="9">
        <v>2.0920502092050208E-2</v>
      </c>
      <c r="G17" s="9">
        <v>2.9239766081871343E-3</v>
      </c>
      <c r="H17" s="9">
        <v>4.6052631578947366E-2</v>
      </c>
      <c r="I17" s="9">
        <v>0.18125851203804158</v>
      </c>
      <c r="J17" s="9">
        <f t="shared" ref="J17:J25" si="2">J16+B17</f>
        <v>0.18125851203804158</v>
      </c>
      <c r="K17" s="9">
        <f t="shared" ref="K17:K25" si="3">K16+C17</f>
        <v>8.5995085995086012E-2</v>
      </c>
      <c r="L17" s="9">
        <f t="shared" ref="L17:L25" si="4">L16+D17</f>
        <v>8.8785046728971959E-2</v>
      </c>
      <c r="M17" s="9">
        <f t="shared" ref="M17:M25" si="5">M16+E17</f>
        <v>0.10126582278481013</v>
      </c>
      <c r="N17" s="9">
        <f t="shared" ref="N17:N25" si="6">N16+F17</f>
        <v>0.17154811715481172</v>
      </c>
      <c r="O17" s="9">
        <f t="shared" ref="O17:O25" si="7">O16+G17</f>
        <v>0.26023391812865493</v>
      </c>
      <c r="P17" s="9">
        <f t="shared" ref="P17:P25" si="8">P16+H17</f>
        <v>0.30263157894736836</v>
      </c>
    </row>
    <row r="18" spans="1:16" x14ac:dyDescent="0.3">
      <c r="A18" s="11" t="s">
        <v>1</v>
      </c>
      <c r="B18" s="9">
        <v>1.7192585582050276E-2</v>
      </c>
      <c r="C18" s="9">
        <v>2.0884520884520884E-2</v>
      </c>
      <c r="D18" s="9">
        <v>4.6728971962616819E-3</v>
      </c>
      <c r="E18" s="9">
        <v>8.4388185654008432E-3</v>
      </c>
      <c r="F18" s="9">
        <v>2.0920502092050208E-2</v>
      </c>
      <c r="G18" s="9">
        <v>4.0935672514619881E-2</v>
      </c>
      <c r="H18" s="9">
        <v>3.2894736842105261E-2</v>
      </c>
      <c r="I18" s="9">
        <v>0.19845109762009186</v>
      </c>
      <c r="J18" s="9">
        <f t="shared" si="2"/>
        <v>0.19845109762009186</v>
      </c>
      <c r="K18" s="9">
        <f t="shared" si="3"/>
        <v>0.1068796068796069</v>
      </c>
      <c r="L18" s="9">
        <f t="shared" si="4"/>
        <v>9.3457943925233641E-2</v>
      </c>
      <c r="M18" s="9">
        <f t="shared" si="5"/>
        <v>0.10970464135021096</v>
      </c>
      <c r="N18" s="9">
        <f t="shared" si="6"/>
        <v>0.19246861924686193</v>
      </c>
      <c r="O18" s="9">
        <f t="shared" si="7"/>
        <v>0.30116959064327481</v>
      </c>
      <c r="P18" s="9">
        <f t="shared" si="8"/>
        <v>0.33552631578947362</v>
      </c>
    </row>
    <row r="19" spans="1:16" x14ac:dyDescent="0.3">
      <c r="A19" s="11" t="s">
        <v>4</v>
      </c>
      <c r="B19" s="9">
        <v>1.7670413887029387E-2</v>
      </c>
      <c r="C19" s="9">
        <v>3.1941031941031942E-2</v>
      </c>
      <c r="D19" s="9">
        <v>3.2710280373831772E-2</v>
      </c>
      <c r="E19" s="9">
        <v>8.4388185654008432E-3</v>
      </c>
      <c r="F19" s="9">
        <v>2.0920502092050208E-2</v>
      </c>
      <c r="G19" s="9">
        <v>2.3391812865497075E-2</v>
      </c>
      <c r="H19" s="9">
        <v>0</v>
      </c>
      <c r="I19" s="9">
        <v>0.21612151150712125</v>
      </c>
      <c r="J19" s="9">
        <f t="shared" si="2"/>
        <v>0.21612151150712125</v>
      </c>
      <c r="K19" s="9">
        <f t="shared" si="3"/>
        <v>0.13882063882063883</v>
      </c>
      <c r="L19" s="9">
        <f t="shared" si="4"/>
        <v>0.12616822429906541</v>
      </c>
      <c r="M19" s="9">
        <f t="shared" si="5"/>
        <v>0.1181434599156118</v>
      </c>
      <c r="N19" s="9">
        <f t="shared" si="6"/>
        <v>0.21338912133891214</v>
      </c>
      <c r="O19" s="9">
        <f t="shared" si="7"/>
        <v>0.32456140350877188</v>
      </c>
      <c r="P19" s="9">
        <f t="shared" si="8"/>
        <v>0.33552631578947362</v>
      </c>
    </row>
    <row r="20" spans="1:16" x14ac:dyDescent="0.3">
      <c r="A20" s="11" t="s">
        <v>7</v>
      </c>
      <c r="B20" s="9">
        <v>2.2427921793125735E-2</v>
      </c>
      <c r="C20" s="9">
        <v>3.6855036855036856E-3</v>
      </c>
      <c r="D20" s="9">
        <v>9.3457943925233638E-3</v>
      </c>
      <c r="E20" s="9">
        <v>1.2658227848101266E-2</v>
      </c>
      <c r="F20" s="9">
        <v>1.2552301255230125E-2</v>
      </c>
      <c r="G20" s="9">
        <v>1.7543859649122806E-2</v>
      </c>
      <c r="H20" s="9">
        <v>4.6052631578947366E-2</v>
      </c>
      <c r="I20" s="9">
        <v>0.23854943330024697</v>
      </c>
      <c r="J20" s="9">
        <f t="shared" si="2"/>
        <v>0.23854943330024697</v>
      </c>
      <c r="K20" s="9">
        <f t="shared" si="3"/>
        <v>0.14250614250614252</v>
      </c>
      <c r="L20" s="9">
        <f t="shared" si="4"/>
        <v>0.13551401869158877</v>
      </c>
      <c r="M20" s="9">
        <f t="shared" si="5"/>
        <v>0.13080168776371306</v>
      </c>
      <c r="N20" s="9">
        <f t="shared" si="6"/>
        <v>0.22594142259414227</v>
      </c>
      <c r="O20" s="9">
        <f t="shared" si="7"/>
        <v>0.34210526315789469</v>
      </c>
      <c r="P20" s="9">
        <f t="shared" si="8"/>
        <v>0.38157894736842096</v>
      </c>
    </row>
    <row r="21" spans="1:16" x14ac:dyDescent="0.3">
      <c r="A21" s="11" t="s">
        <v>3</v>
      </c>
      <c r="B21" s="9">
        <v>2.2845733016320029E-2</v>
      </c>
      <c r="C21" s="9">
        <v>1.2285012285012284E-2</v>
      </c>
      <c r="D21" s="9">
        <v>4.6728971962616819E-3</v>
      </c>
      <c r="E21" s="9">
        <v>1.2658227848101266E-2</v>
      </c>
      <c r="F21" s="9">
        <v>6.2761506276150627E-3</v>
      </c>
      <c r="G21" s="9">
        <v>2.3391812865497075E-2</v>
      </c>
      <c r="H21" s="9">
        <v>4.6052631578947366E-2</v>
      </c>
      <c r="I21" s="9">
        <v>0.26139516631656701</v>
      </c>
      <c r="J21" s="9">
        <f t="shared" si="2"/>
        <v>0.26139516631656701</v>
      </c>
      <c r="K21" s="9">
        <f t="shared" si="3"/>
        <v>0.15479115479115479</v>
      </c>
      <c r="L21" s="9">
        <f t="shared" si="4"/>
        <v>0.14018691588785046</v>
      </c>
      <c r="M21" s="9">
        <f t="shared" si="5"/>
        <v>0.14345991561181434</v>
      </c>
      <c r="N21" s="9">
        <f t="shared" si="6"/>
        <v>0.23221757322175732</v>
      </c>
      <c r="O21" s="9">
        <f t="shared" si="7"/>
        <v>0.36549707602339176</v>
      </c>
      <c r="P21" s="9">
        <f t="shared" si="8"/>
        <v>0.42763157894736831</v>
      </c>
    </row>
    <row r="22" spans="1:16" x14ac:dyDescent="0.3">
      <c r="A22" s="11" t="s">
        <v>5</v>
      </c>
      <c r="B22" s="9">
        <v>2.601047990581935E-2</v>
      </c>
      <c r="C22" s="9">
        <v>9.8280098280098278E-3</v>
      </c>
      <c r="D22" s="9">
        <v>1.8691588785046728E-2</v>
      </c>
      <c r="E22" s="9">
        <v>3.3755274261603373E-2</v>
      </c>
      <c r="F22" s="9">
        <v>2.5104602510460251E-2</v>
      </c>
      <c r="G22" s="9">
        <v>4.0935672514619881E-2</v>
      </c>
      <c r="H22" s="9">
        <v>3.2894736842105261E-2</v>
      </c>
      <c r="I22" s="9">
        <v>0.28740564622238635</v>
      </c>
      <c r="J22" s="9">
        <f t="shared" si="2"/>
        <v>0.28740564622238635</v>
      </c>
      <c r="K22" s="9">
        <f t="shared" si="3"/>
        <v>0.16461916461916462</v>
      </c>
      <c r="L22" s="9">
        <f t="shared" si="4"/>
        <v>0.15887850467289719</v>
      </c>
      <c r="M22" s="9">
        <f t="shared" si="5"/>
        <v>0.17721518987341772</v>
      </c>
      <c r="N22" s="9">
        <f t="shared" si="6"/>
        <v>0.25732217573221755</v>
      </c>
      <c r="O22" s="9">
        <f t="shared" si="7"/>
        <v>0.40643274853801165</v>
      </c>
      <c r="P22" s="9">
        <f t="shared" si="8"/>
        <v>0.46052631578947356</v>
      </c>
    </row>
    <row r="23" spans="1:16" x14ac:dyDescent="0.3">
      <c r="A23" s="11" t="s">
        <v>10</v>
      </c>
      <c r="B23" s="9">
        <v>2.8298054061540592E-2</v>
      </c>
      <c r="C23" s="9">
        <v>1.1056511056511056E-2</v>
      </c>
      <c r="D23" s="9">
        <v>2.336448598130841E-2</v>
      </c>
      <c r="E23" s="9">
        <v>3.7974683544303799E-2</v>
      </c>
      <c r="F23" s="9">
        <v>3.5564853556485358E-2</v>
      </c>
      <c r="G23" s="9">
        <v>3.5087719298245612E-2</v>
      </c>
      <c r="H23" s="9">
        <v>2.6315789473684209E-2</v>
      </c>
      <c r="I23" s="9">
        <v>0.31570370028392691</v>
      </c>
      <c r="J23" s="9">
        <f t="shared" si="2"/>
        <v>0.31570370028392691</v>
      </c>
      <c r="K23" s="9">
        <f t="shared" si="3"/>
        <v>0.17567567567567569</v>
      </c>
      <c r="L23" s="9">
        <f t="shared" si="4"/>
        <v>0.1822429906542056</v>
      </c>
      <c r="M23" s="9">
        <f t="shared" si="5"/>
        <v>0.21518987341772153</v>
      </c>
      <c r="N23" s="9">
        <f t="shared" si="6"/>
        <v>0.29288702928870292</v>
      </c>
      <c r="O23" s="9">
        <f t="shared" si="7"/>
        <v>0.44152046783625726</v>
      </c>
      <c r="P23" s="9">
        <f t="shared" si="8"/>
        <v>0.48684210526315774</v>
      </c>
    </row>
    <row r="24" spans="1:16" x14ac:dyDescent="0.3">
      <c r="A24" s="11" t="s">
        <v>21</v>
      </c>
      <c r="B24" s="9">
        <v>3.2963227995660302E-2</v>
      </c>
      <c r="C24" s="9">
        <v>1.5970515970515971E-2</v>
      </c>
      <c r="D24" s="9">
        <v>2.336448598130841E-2</v>
      </c>
      <c r="E24" s="9">
        <v>1.2658227848101266E-2</v>
      </c>
      <c r="F24" s="9">
        <v>3.9748953974895397E-2</v>
      </c>
      <c r="G24" s="9">
        <v>5.2631578947368418E-2</v>
      </c>
      <c r="H24" s="9">
        <v>0.10526315789473684</v>
      </c>
      <c r="I24" s="9">
        <v>0.34866692827958723</v>
      </c>
      <c r="J24" s="9">
        <f t="shared" si="2"/>
        <v>0.34866692827958723</v>
      </c>
      <c r="K24" s="9">
        <f t="shared" si="3"/>
        <v>0.19164619164619165</v>
      </c>
      <c r="L24" s="9">
        <f t="shared" si="4"/>
        <v>0.20560747663551401</v>
      </c>
      <c r="M24" s="9">
        <f t="shared" si="5"/>
        <v>0.22784810126582281</v>
      </c>
      <c r="N24" s="9">
        <f t="shared" si="6"/>
        <v>0.33263598326359833</v>
      </c>
      <c r="O24" s="9">
        <f t="shared" si="7"/>
        <v>0.49415204678362568</v>
      </c>
      <c r="P24" s="9">
        <f t="shared" si="8"/>
        <v>0.59210526315789458</v>
      </c>
    </row>
    <row r="25" spans="1:16" x14ac:dyDescent="0.3">
      <c r="A25" s="11" t="s">
        <v>0</v>
      </c>
      <c r="B25" s="9">
        <v>0.65133307172041277</v>
      </c>
      <c r="C25" s="9">
        <v>0.80835380835380832</v>
      </c>
      <c r="D25" s="9">
        <v>0.79439252336448596</v>
      </c>
      <c r="E25" s="9">
        <v>0.77215189873417722</v>
      </c>
      <c r="F25" s="9">
        <v>0.66736401673640167</v>
      </c>
      <c r="G25" s="9">
        <v>0.50584795321637432</v>
      </c>
      <c r="H25" s="9">
        <v>0.40789473684210525</v>
      </c>
      <c r="I25" s="9">
        <v>1</v>
      </c>
      <c r="J25" s="9">
        <f t="shared" si="2"/>
        <v>1</v>
      </c>
      <c r="K25" s="9">
        <f t="shared" si="3"/>
        <v>1</v>
      </c>
      <c r="L25" s="9">
        <f t="shared" si="4"/>
        <v>1</v>
      </c>
      <c r="M25" s="9">
        <f t="shared" si="5"/>
        <v>1</v>
      </c>
      <c r="N25" s="9">
        <f t="shared" si="6"/>
        <v>1</v>
      </c>
      <c r="O25" s="9">
        <f t="shared" si="7"/>
        <v>1</v>
      </c>
      <c r="P25" s="9">
        <f t="shared" si="8"/>
        <v>0.99999999999999978</v>
      </c>
    </row>
    <row r="27" spans="1:16" ht="28.8" x14ac:dyDescent="0.3">
      <c r="B27" s="17" t="s">
        <v>24</v>
      </c>
      <c r="C27" s="18" t="s">
        <v>32</v>
      </c>
      <c r="D27" s="18" t="s">
        <v>33</v>
      </c>
      <c r="E27" s="18" t="s">
        <v>34</v>
      </c>
      <c r="F27" s="18" t="s">
        <v>35</v>
      </c>
      <c r="G27" s="18" t="s">
        <v>36</v>
      </c>
      <c r="H27" s="18" t="s">
        <v>37</v>
      </c>
      <c r="J27" s="3"/>
      <c r="K27" s="13" t="s">
        <v>38</v>
      </c>
      <c r="L27" s="13" t="s">
        <v>39</v>
      </c>
      <c r="M27" s="13" t="s">
        <v>40</v>
      </c>
      <c r="N27" s="13" t="s">
        <v>41</v>
      </c>
      <c r="O27" s="13" t="s">
        <v>42</v>
      </c>
      <c r="P27" s="13" t="s">
        <v>43</v>
      </c>
    </row>
    <row r="28" spans="1:16" x14ac:dyDescent="0.3">
      <c r="B28" s="11" t="s">
        <v>13</v>
      </c>
      <c r="C28" s="9">
        <f>C2-B2</f>
        <v>-4.8304562812538157E-3</v>
      </c>
      <c r="D28" s="9">
        <f>D2-B2</f>
        <v>-2.6145615419945912E-3</v>
      </c>
      <c r="E28" s="9">
        <f>E2-B2</f>
        <v>-3.0680494555558515E-3</v>
      </c>
      <c r="F28" s="9">
        <f>F2-B2</f>
        <v>3.1727923077688311E-3</v>
      </c>
      <c r="G28" s="9">
        <f>G2-B2</f>
        <v>-4.3634821300691387E-3</v>
      </c>
      <c r="H28" s="9">
        <f>H2-B2</f>
        <v>5.8704359985858314E-3</v>
      </c>
      <c r="J28" s="11" t="s">
        <v>13</v>
      </c>
      <c r="K28" s="3">
        <f>(J2-0) * ((K2+0))</f>
        <v>1.7905304025199688E-5</v>
      </c>
      <c r="L28" s="3">
        <f>(J2-0) * ((L2+0))</f>
        <v>3.4053545505870429E-5</v>
      </c>
      <c r="M28" s="3">
        <f>(J2-0) * ((M2+0))</f>
        <v>3.0748771047494818E-5</v>
      </c>
      <c r="N28" s="3">
        <f>(J2-0) * ((N2+0))</f>
        <v>7.622864788970997E-5</v>
      </c>
      <c r="O28" s="3">
        <f>(J2-0) * ((O2+0))</f>
        <v>2.130835888379027E-5</v>
      </c>
      <c r="P28" s="3">
        <f>(J2-0) * ((P2+0))</f>
        <v>9.5887614977056216E-5</v>
      </c>
    </row>
    <row r="29" spans="1:16" x14ac:dyDescent="0.3">
      <c r="B29" s="11" t="s">
        <v>14</v>
      </c>
      <c r="C29" s="9">
        <f t="shared" ref="C29:C51" si="9">C3-B3</f>
        <v>-7.4351930934188964E-3</v>
      </c>
      <c r="D29" s="9">
        <f t="shared" ref="D29:D51" si="10">D3-B3</f>
        <v>-7.4351930934188964E-3</v>
      </c>
      <c r="E29" s="9">
        <f t="shared" ref="E29:E51" si="11">E3-B3</f>
        <v>-7.4351930934188964E-3</v>
      </c>
      <c r="F29" s="9">
        <f t="shared" ref="F29:F51" si="12">F3-B3</f>
        <v>-5.3431428842138761E-3</v>
      </c>
      <c r="G29" s="9">
        <f t="shared" ref="G29:G51" si="13">G3-B3</f>
        <v>-1.5872398770446277E-3</v>
      </c>
      <c r="H29" s="9">
        <f t="shared" ref="H29:H51" si="14">H3-B3</f>
        <v>-8.5624572499784415E-4</v>
      </c>
      <c r="J29" s="11" t="s">
        <v>14</v>
      </c>
      <c r="K29" s="3">
        <f>(J3-J2) * ((K3+K2))</f>
        <v>3.6536575397635853E-5</v>
      </c>
      <c r="L29" s="3">
        <f>(J3-J2) * ((L3+L2))</f>
        <v>6.9487785919802769E-5</v>
      </c>
      <c r="M29" s="3">
        <f>(J3-J2) * ((M3+M2))</f>
        <v>6.2744245514083504E-5</v>
      </c>
      <c r="N29" s="3">
        <f>(J3-J2) * ((N3+N2))</f>
        <v>1.7110276993223401E-4</v>
      </c>
      <c r="O29" s="3">
        <f>(J3-J2) * ((O3+O2))</f>
        <v>8.6961322730045565E-5</v>
      </c>
      <c r="P29" s="3">
        <f>(J3-J2) * ((P3+P2))</f>
        <v>2.4457872017825315E-4</v>
      </c>
    </row>
    <row r="30" spans="1:16" x14ac:dyDescent="0.3">
      <c r="B30" s="11" t="s">
        <v>6</v>
      </c>
      <c r="C30" s="9">
        <f t="shared" si="9"/>
        <v>1.7487872800538706E-3</v>
      </c>
      <c r="D30" s="9">
        <f t="shared" si="10"/>
        <v>-3.4063253516942752E-3</v>
      </c>
      <c r="E30" s="9">
        <f t="shared" si="11"/>
        <v>-8.0792225479559571E-3</v>
      </c>
      <c r="F30" s="9">
        <f t="shared" si="12"/>
        <v>2.8897828886412583E-4</v>
      </c>
      <c r="G30" s="9">
        <f t="shared" si="13"/>
        <v>1.2388613709353983E-2</v>
      </c>
      <c r="H30" s="9">
        <f t="shared" si="14"/>
        <v>1.16576195573072E-2</v>
      </c>
      <c r="J30" s="11" t="s">
        <v>6</v>
      </c>
      <c r="K30" s="3">
        <f t="shared" ref="K30:K51" si="15">(J4-J3) * ((K4+K3))</f>
        <v>1.1910401790598459E-4</v>
      </c>
      <c r="L30" s="3">
        <f t="shared" ref="L30:L51" si="16">(J4-J3) * ((L4+L3))</f>
        <v>1.1326012917695263E-4</v>
      </c>
      <c r="M30" s="3">
        <f t="shared" ref="M30:M51" si="17">(J4-J3) * ((M4+M3))</f>
        <v>6.8179093231695827E-5</v>
      </c>
      <c r="N30" s="3">
        <f t="shared" ref="N30:N51" si="18">(J4-J3) * ((N4+N3))</f>
        <v>2.7043422754664283E-4</v>
      </c>
      <c r="O30" s="3">
        <f t="shared" ref="O30:O51" si="19">(J4-J3) * ((O4+O3))</f>
        <v>3.0710495065329653E-4</v>
      </c>
      <c r="P30" s="3">
        <f t="shared" ref="P30:P51" si="20">(J4-J3) * ((P4+P3))</f>
        <v>4.7837501928686574E-4</v>
      </c>
    </row>
    <row r="31" spans="1:16" x14ac:dyDescent="0.3">
      <c r="B31" s="11" t="s">
        <v>16</v>
      </c>
      <c r="C31" s="9">
        <f t="shared" si="9"/>
        <v>-3.996223381740798E-3</v>
      </c>
      <c r="D31" s="9">
        <f t="shared" si="10"/>
        <v>-8.9102282957457118E-3</v>
      </c>
      <c r="E31" s="9">
        <f t="shared" si="11"/>
        <v>-8.9102282957457118E-3</v>
      </c>
      <c r="F31" s="9">
        <f t="shared" si="12"/>
        <v>-5.4202745892562888E-4</v>
      </c>
      <c r="G31" s="9">
        <f t="shared" si="13"/>
        <v>5.7096547451899599E-3</v>
      </c>
      <c r="H31" s="9">
        <f t="shared" si="14"/>
        <v>4.2476664410963927E-3</v>
      </c>
      <c r="J31" s="11" t="s">
        <v>16</v>
      </c>
      <c r="K31" s="3">
        <f t="shared" si="15"/>
        <v>2.6270943378120038E-4</v>
      </c>
      <c r="L31" s="3">
        <f t="shared" si="16"/>
        <v>1.6654632328496656E-4</v>
      </c>
      <c r="M31" s="3">
        <f t="shared" si="17"/>
        <v>7.5191799964098834E-5</v>
      </c>
      <c r="N31" s="3">
        <f t="shared" si="18"/>
        <v>4.4737547928430351E-4</v>
      </c>
      <c r="O31" s="3">
        <f t="shared" si="19"/>
        <v>6.5133247775918943E-4</v>
      </c>
      <c r="P31" s="3">
        <f t="shared" si="20"/>
        <v>8.2067892197657867E-4</v>
      </c>
    </row>
    <row r="32" spans="1:16" x14ac:dyDescent="0.3">
      <c r="B32" s="11" t="s">
        <v>12</v>
      </c>
      <c r="C32" s="9">
        <f t="shared" si="9"/>
        <v>-6.9587543353153564E-3</v>
      </c>
      <c r="D32" s="9">
        <f t="shared" si="10"/>
        <v>-9.4157567923178129E-3</v>
      </c>
      <c r="E32" s="9">
        <f t="shared" si="11"/>
        <v>3.2424710557834528E-3</v>
      </c>
      <c r="F32" s="9">
        <f t="shared" si="12"/>
        <v>-7.3237065831127917E-3</v>
      </c>
      <c r="G32" s="9">
        <f t="shared" si="13"/>
        <v>3.1519915722302068E-2</v>
      </c>
      <c r="H32" s="9">
        <f t="shared" si="14"/>
        <v>3.6636874786629553E-2</v>
      </c>
      <c r="J32" s="11" t="s">
        <v>12</v>
      </c>
      <c r="K32" s="3">
        <f t="shared" si="15"/>
        <v>3.470180635989366E-4</v>
      </c>
      <c r="L32" s="3">
        <f t="shared" si="16"/>
        <v>1.7599545406201517E-4</v>
      </c>
      <c r="M32" s="3">
        <f t="shared" si="17"/>
        <v>1.9864465806577664E-4</v>
      </c>
      <c r="N32" s="3">
        <f t="shared" si="18"/>
        <v>5.7124884304857019E-4</v>
      </c>
      <c r="O32" s="3">
        <f t="shared" si="19"/>
        <v>1.2113839148011221E-3</v>
      </c>
      <c r="P32" s="3">
        <f t="shared" si="20"/>
        <v>1.4247526725217742E-3</v>
      </c>
    </row>
    <row r="33" spans="2:16" x14ac:dyDescent="0.3">
      <c r="B33" s="11" t="s">
        <v>17</v>
      </c>
      <c r="C33" s="9">
        <f t="shared" si="9"/>
        <v>6.4970504457127574E-3</v>
      </c>
      <c r="D33" s="9">
        <f t="shared" si="10"/>
        <v>-4.8005683285415315E-3</v>
      </c>
      <c r="E33" s="9">
        <f t="shared" si="11"/>
        <v>-5.2540562421027918E-3</v>
      </c>
      <c r="F33" s="9">
        <f t="shared" si="12"/>
        <v>5.1708859396319331E-3</v>
      </c>
      <c r="G33" s="9">
        <f t="shared" si="13"/>
        <v>1.9766300557068128E-2</v>
      </c>
      <c r="H33" s="9">
        <f t="shared" si="14"/>
        <v>3.6844292120388911E-3</v>
      </c>
      <c r="J33" s="11" t="s">
        <v>17</v>
      </c>
      <c r="K33" s="3">
        <f t="shared" si="15"/>
        <v>5.237173815923153E-4</v>
      </c>
      <c r="L33" s="3">
        <f t="shared" si="16"/>
        <v>2.2134265244867321E-4</v>
      </c>
      <c r="M33" s="3">
        <f t="shared" si="17"/>
        <v>3.5975185537227394E-4</v>
      </c>
      <c r="N33" s="3">
        <f t="shared" si="18"/>
        <v>7.3330172472326133E-4</v>
      </c>
      <c r="O33" s="3">
        <f t="shared" si="19"/>
        <v>1.8836130283234461E-3</v>
      </c>
      <c r="P33" s="3">
        <f t="shared" si="20"/>
        <v>1.9944137946954136E-3</v>
      </c>
    </row>
    <row r="34" spans="2:16" x14ac:dyDescent="0.3">
      <c r="B34" s="11" t="s">
        <v>18</v>
      </c>
      <c r="C34" s="9">
        <f t="shared" si="9"/>
        <v>-9.9051268437940036E-3</v>
      </c>
      <c r="D34" s="9">
        <f t="shared" si="10"/>
        <v>-5.5933245127063984E-4</v>
      </c>
      <c r="E34" s="9">
        <f t="shared" si="11"/>
        <v>-5.685717561093582E-3</v>
      </c>
      <c r="F34" s="9">
        <f t="shared" si="12"/>
        <v>-1.5369260069739207E-3</v>
      </c>
      <c r="G34" s="9">
        <f t="shared" si="13"/>
        <v>1.7907795889545337E-3</v>
      </c>
      <c r="H34" s="9">
        <f t="shared" si="14"/>
        <v>9.8317152614691532E-3</v>
      </c>
      <c r="J34" s="11" t="s">
        <v>18</v>
      </c>
      <c r="K34" s="3">
        <f t="shared" si="15"/>
        <v>7.0577070877156324E-4</v>
      </c>
      <c r="L34" s="3">
        <f t="shared" si="16"/>
        <v>3.7028511565585066E-4</v>
      </c>
      <c r="M34" s="3">
        <f t="shared" si="17"/>
        <v>4.5973162566132522E-4</v>
      </c>
      <c r="N34" s="3">
        <f t="shared" si="18"/>
        <v>9.9465708891655286E-4</v>
      </c>
      <c r="O34" s="3">
        <f t="shared" si="19"/>
        <v>2.3749134537751713E-3</v>
      </c>
      <c r="P34" s="3">
        <f t="shared" si="20"/>
        <v>2.4111164027656464E-3</v>
      </c>
    </row>
    <row r="35" spans="2:16" x14ac:dyDescent="0.3">
      <c r="B35" s="11" t="s">
        <v>15</v>
      </c>
      <c r="C35" s="9">
        <f t="shared" si="9"/>
        <v>-2.6795454786498387E-3</v>
      </c>
      <c r="D35" s="9">
        <f t="shared" si="10"/>
        <v>-1.005055284965721E-2</v>
      </c>
      <c r="E35" s="9">
        <f t="shared" si="11"/>
        <v>-5.8311435669567884E-3</v>
      </c>
      <c r="F35" s="9">
        <f t="shared" si="12"/>
        <v>-1.682352012837127E-3</v>
      </c>
      <c r="G35" s="9">
        <f t="shared" si="13"/>
        <v>-7.1265762414700756E-3</v>
      </c>
      <c r="H35" s="9">
        <f t="shared" si="14"/>
        <v>-1.005055284965721E-2</v>
      </c>
      <c r="J35" s="11" t="s">
        <v>15</v>
      </c>
      <c r="K35" s="3">
        <f t="shared" si="15"/>
        <v>7.9021545746690608E-4</v>
      </c>
      <c r="L35" s="3">
        <f t="shared" si="16"/>
        <v>4.6965200232043029E-4</v>
      </c>
      <c r="M35" s="3">
        <f t="shared" si="17"/>
        <v>5.5129614787149245E-4</v>
      </c>
      <c r="N35" s="3">
        <f t="shared" si="18"/>
        <v>1.1774706267380832E-3</v>
      </c>
      <c r="O35" s="3">
        <f t="shared" si="19"/>
        <v>2.5567195845619221E-3</v>
      </c>
      <c r="P35" s="3">
        <f t="shared" si="20"/>
        <v>2.6448823288571606E-3</v>
      </c>
    </row>
    <row r="36" spans="2:16" x14ac:dyDescent="0.3">
      <c r="B36" s="11" t="s">
        <v>23</v>
      </c>
      <c r="C36" s="9">
        <f t="shared" si="9"/>
        <v>-7.3271714207980678E-3</v>
      </c>
      <c r="D36" s="9">
        <f t="shared" si="10"/>
        <v>-1.2241176334802982E-2</v>
      </c>
      <c r="E36" s="9">
        <f t="shared" si="11"/>
        <v>-8.0217670521025609E-3</v>
      </c>
      <c r="F36" s="9">
        <f t="shared" si="12"/>
        <v>-1.2241176334802982E-2</v>
      </c>
      <c r="G36" s="9">
        <f t="shared" si="13"/>
        <v>5.3026833143198244E-3</v>
      </c>
      <c r="H36" s="9">
        <f t="shared" si="14"/>
        <v>9.1671840203912287E-4</v>
      </c>
      <c r="J36" s="11" t="s">
        <v>23</v>
      </c>
      <c r="K36" s="3">
        <f t="shared" si="15"/>
        <v>1.1128342122548166E-3</v>
      </c>
      <c r="L36" s="3">
        <f t="shared" si="16"/>
        <v>5.7201758573845705E-4</v>
      </c>
      <c r="M36" s="3">
        <f t="shared" si="17"/>
        <v>7.7475799587360661E-4</v>
      </c>
      <c r="N36" s="3">
        <f t="shared" si="18"/>
        <v>1.5365493307284079E-3</v>
      </c>
      <c r="O36" s="3">
        <f t="shared" si="19"/>
        <v>3.3645338464078373E-3</v>
      </c>
      <c r="P36" s="3">
        <f t="shared" si="20"/>
        <v>3.3824303030376662E-3</v>
      </c>
    </row>
    <row r="37" spans="2:16" x14ac:dyDescent="0.3">
      <c r="B37" s="11" t="s">
        <v>11</v>
      </c>
      <c r="C37" s="9">
        <f t="shared" si="9"/>
        <v>-1.0130426272712925E-2</v>
      </c>
      <c r="D37" s="9">
        <f t="shared" si="10"/>
        <v>-7.9145315334537003E-3</v>
      </c>
      <c r="E37" s="9">
        <f t="shared" si="11"/>
        <v>-4.1486101643145382E-3</v>
      </c>
      <c r="F37" s="9">
        <f t="shared" si="12"/>
        <v>-6.3112781021003187E-3</v>
      </c>
      <c r="G37" s="9">
        <f t="shared" si="13"/>
        <v>-8.9152229696684397E-4</v>
      </c>
      <c r="H37" s="9">
        <f t="shared" si="14"/>
        <v>5.704660071267232E-4</v>
      </c>
      <c r="J37" s="11" t="s">
        <v>11</v>
      </c>
      <c r="K37" s="3">
        <f t="shared" si="15"/>
        <v>1.2370937326501607E-3</v>
      </c>
      <c r="L37" s="3">
        <f t="shared" si="16"/>
        <v>6.4701736461153828E-4</v>
      </c>
      <c r="M37" s="3">
        <f t="shared" si="17"/>
        <v>9.5600724529483906E-4</v>
      </c>
      <c r="N37" s="3">
        <f t="shared" si="18"/>
        <v>1.6590125731633244E-3</v>
      </c>
      <c r="O37" s="3">
        <f t="shared" si="19"/>
        <v>3.8277561049426894E-3</v>
      </c>
      <c r="P37" s="3">
        <f t="shared" si="20"/>
        <v>3.8093534313612342E-3</v>
      </c>
    </row>
    <row r="38" spans="2:16" x14ac:dyDescent="0.3">
      <c r="B38" s="11" t="s">
        <v>20</v>
      </c>
      <c r="C38" s="9">
        <f t="shared" si="9"/>
        <v>-5.2695133925945766E-3</v>
      </c>
      <c r="D38" s="9">
        <f t="shared" si="10"/>
        <v>-1.2640520763601948E-2</v>
      </c>
      <c r="E38" s="9">
        <f t="shared" si="11"/>
        <v>-4.2017021982011047E-3</v>
      </c>
      <c r="F38" s="9">
        <f t="shared" si="12"/>
        <v>8.2799813284482604E-3</v>
      </c>
      <c r="G38" s="9">
        <f t="shared" si="13"/>
        <v>1.952322192645653E-2</v>
      </c>
      <c r="H38" s="9">
        <f t="shared" si="14"/>
        <v>5.1737397324015666E-4</v>
      </c>
      <c r="J38" s="11" t="s">
        <v>20</v>
      </c>
      <c r="K38" s="3">
        <f t="shared" si="15"/>
        <v>1.3665427852542647E-3</v>
      </c>
      <c r="L38" s="3">
        <f t="shared" si="16"/>
        <v>7.0881424842627737E-4</v>
      </c>
      <c r="M38" s="3">
        <f t="shared" si="17"/>
        <v>1.1733816742584087E-3</v>
      </c>
      <c r="N38" s="3">
        <f t="shared" si="18"/>
        <v>2.0097899122044939E-3</v>
      </c>
      <c r="O38" s="3">
        <f t="shared" si="19"/>
        <v>4.3983098563410289E-3</v>
      </c>
      <c r="P38" s="3">
        <f t="shared" si="20"/>
        <v>4.1580660406585349E-3</v>
      </c>
    </row>
    <row r="39" spans="2:16" x14ac:dyDescent="0.3">
      <c r="B39" s="11" t="s">
        <v>2</v>
      </c>
      <c r="C39" s="9">
        <f t="shared" si="9"/>
        <v>-9.1466100699497885E-3</v>
      </c>
      <c r="D39" s="9">
        <f t="shared" si="10"/>
        <v>-3.4863193629301112E-3</v>
      </c>
      <c r="E39" s="9">
        <f t="shared" si="11"/>
        <v>8.2649326580486338E-3</v>
      </c>
      <c r="F39" s="9">
        <f t="shared" si="12"/>
        <v>8.0883883365967333E-3</v>
      </c>
      <c r="G39" s="9">
        <f t="shared" si="13"/>
        <v>1.7877692854821967E-3</v>
      </c>
      <c r="H39" s="9">
        <f t="shared" si="14"/>
        <v>3.2578098138862956E-4</v>
      </c>
      <c r="J39" s="11" t="s">
        <v>2</v>
      </c>
      <c r="K39" s="3">
        <f t="shared" si="15"/>
        <v>1.5291339487456838E-3</v>
      </c>
      <c r="L39" s="3">
        <f t="shared" si="16"/>
        <v>8.3948407745957265E-4</v>
      </c>
      <c r="M39" s="3">
        <f t="shared" si="17"/>
        <v>1.5701742569964163E-3</v>
      </c>
      <c r="N39" s="3">
        <f t="shared" si="18"/>
        <v>2.5771609215973494E-3</v>
      </c>
      <c r="O39" s="3">
        <f t="shared" si="19"/>
        <v>5.0653080613632115E-3</v>
      </c>
      <c r="P39" s="3">
        <f t="shared" si="20"/>
        <v>4.5587772552268899E-3</v>
      </c>
    </row>
    <row r="40" spans="2:16" x14ac:dyDescent="0.3">
      <c r="B40" s="11" t="s">
        <v>9</v>
      </c>
      <c r="C40" s="9">
        <f t="shared" si="9"/>
        <v>-9.3608271535835542E-3</v>
      </c>
      <c r="D40" s="9">
        <f t="shared" si="10"/>
        <v>-4.9290376750651035E-3</v>
      </c>
      <c r="E40" s="9">
        <f t="shared" si="11"/>
        <v>-1.0055422784888045E-2</v>
      </c>
      <c r="F40" s="9">
        <f t="shared" si="12"/>
        <v>2.4615696060516987E-3</v>
      </c>
      <c r="G40" s="9">
        <f t="shared" si="13"/>
        <v>-5.5029022430270642E-3</v>
      </c>
      <c r="H40" s="9">
        <f t="shared" si="14"/>
        <v>-7.695884699167415E-3</v>
      </c>
      <c r="J40" s="11" t="s">
        <v>9</v>
      </c>
      <c r="K40" s="3">
        <f t="shared" si="15"/>
        <v>1.8238114680948407E-3</v>
      </c>
      <c r="L40" s="3">
        <f t="shared" si="16"/>
        <v>1.2006868094233286E-3</v>
      </c>
      <c r="M40" s="3">
        <f t="shared" si="17"/>
        <v>2.1080975627240347E-3</v>
      </c>
      <c r="N40" s="3">
        <f t="shared" si="18"/>
        <v>3.4044578571236087E-3</v>
      </c>
      <c r="O40" s="3">
        <f t="shared" si="19"/>
        <v>5.9687163323542411E-3</v>
      </c>
      <c r="P40" s="3">
        <f t="shared" si="20"/>
        <v>5.3530620253456722E-3</v>
      </c>
    </row>
    <row r="41" spans="2:16" x14ac:dyDescent="0.3">
      <c r="B41" s="11" t="s">
        <v>19</v>
      </c>
      <c r="C41" s="9">
        <f t="shared" si="9"/>
        <v>-1.4821910851550057E-2</v>
      </c>
      <c r="D41" s="9">
        <f t="shared" si="10"/>
        <v>-5.476116459026693E-3</v>
      </c>
      <c r="E41" s="9">
        <f t="shared" si="11"/>
        <v>-1.4821910851550057E-2</v>
      </c>
      <c r="F41" s="9">
        <f t="shared" si="12"/>
        <v>-4.3616598055249527E-3</v>
      </c>
      <c r="G41" s="9">
        <f t="shared" si="13"/>
        <v>-8.9739576351757881E-3</v>
      </c>
      <c r="H41" s="9">
        <f t="shared" si="14"/>
        <v>1.8072825990555205E-2</v>
      </c>
      <c r="J41" s="11" t="s">
        <v>19</v>
      </c>
      <c r="K41" s="3">
        <f t="shared" si="15"/>
        <v>1.9665434545054119E-3</v>
      </c>
      <c r="L41" s="3">
        <f t="shared" si="16"/>
        <v>1.523747844551874E-3</v>
      </c>
      <c r="M41" s="3">
        <f t="shared" si="17"/>
        <v>2.251429496437982E-3</v>
      </c>
      <c r="N41" s="3">
        <f t="shared" si="18"/>
        <v>3.9380390756210372E-3</v>
      </c>
      <c r="O41" s="3">
        <f t="shared" si="19"/>
        <v>6.4141602515479729E-3</v>
      </c>
      <c r="P41" s="3">
        <f t="shared" si="20"/>
        <v>6.1432919976819253E-3</v>
      </c>
    </row>
    <row r="42" spans="2:16" x14ac:dyDescent="0.3">
      <c r="B42" s="11" t="s">
        <v>8</v>
      </c>
      <c r="C42" s="9">
        <f t="shared" si="9"/>
        <v>1.585342537767459E-3</v>
      </c>
      <c r="D42" s="9">
        <f t="shared" si="10"/>
        <v>-1.5949830724646934E-3</v>
      </c>
      <c r="E42" s="9">
        <f t="shared" si="11"/>
        <v>9.7027810349527913E-3</v>
      </c>
      <c r="F42" s="9">
        <f t="shared" si="12"/>
        <v>-3.0613734060196147E-3</v>
      </c>
      <c r="G42" s="9">
        <f t="shared" si="13"/>
        <v>2.2398021245183006E-2</v>
      </c>
      <c r="H42" s="9">
        <f t="shared" si="14"/>
        <v>1.7281062180855521E-2</v>
      </c>
      <c r="J42" s="11" t="s">
        <v>8</v>
      </c>
      <c r="K42" s="3">
        <f t="shared" si="15"/>
        <v>2.3401330573371852E-3</v>
      </c>
      <c r="L42" s="3">
        <f t="shared" si="16"/>
        <v>1.9699496067931916E-3</v>
      </c>
      <c r="M42" s="3">
        <f t="shared" si="17"/>
        <v>2.7669803197151446E-3</v>
      </c>
      <c r="N42" s="3">
        <f t="shared" si="18"/>
        <v>4.5077136051306799E-3</v>
      </c>
      <c r="O42" s="3">
        <f t="shared" si="19"/>
        <v>7.4416051748061639E-3</v>
      </c>
      <c r="P42" s="3">
        <f t="shared" si="20"/>
        <v>7.4986726991528351E-3</v>
      </c>
    </row>
    <row r="43" spans="2:16" x14ac:dyDescent="0.3">
      <c r="B43" s="11" t="s">
        <v>22</v>
      </c>
      <c r="C43" s="9">
        <f t="shared" si="9"/>
        <v>-1.3232847731128011E-2</v>
      </c>
      <c r="D43" s="9">
        <f t="shared" si="10"/>
        <v>3.0017385969162598E-3</v>
      </c>
      <c r="E43" s="9">
        <f t="shared" si="11"/>
        <v>-1.5689850188130468E-2</v>
      </c>
      <c r="F43" s="9">
        <f t="shared" si="12"/>
        <v>5.2306519039197405E-3</v>
      </c>
      <c r="G43" s="9">
        <f t="shared" si="13"/>
        <v>-1.2765873579943333E-2</v>
      </c>
      <c r="H43" s="9">
        <f t="shared" si="14"/>
        <v>3.0362781390816898E-2</v>
      </c>
      <c r="J43" s="11" t="s">
        <v>22</v>
      </c>
      <c r="K43" s="3">
        <f t="shared" si="15"/>
        <v>2.6599500318943534E-3</v>
      </c>
      <c r="L43" s="3">
        <f t="shared" si="16"/>
        <v>2.4927799364319421E-3</v>
      </c>
      <c r="M43" s="3">
        <f t="shared" si="17"/>
        <v>3.1776911773428781E-3</v>
      </c>
      <c r="N43" s="3">
        <f t="shared" si="18"/>
        <v>5.0548889727449605E-3</v>
      </c>
      <c r="O43" s="3">
        <f t="shared" si="19"/>
        <v>8.1201856236815528E-3</v>
      </c>
      <c r="P43" s="3">
        <f t="shared" si="20"/>
        <v>8.773929381520322E-3</v>
      </c>
    </row>
    <row r="44" spans="2:16" x14ac:dyDescent="0.3">
      <c r="B44" s="11" t="s">
        <v>1</v>
      </c>
      <c r="C44" s="9">
        <f t="shared" si="9"/>
        <v>3.6919353024706079E-3</v>
      </c>
      <c r="D44" s="9">
        <f t="shared" si="10"/>
        <v>-1.2519688385788593E-2</v>
      </c>
      <c r="E44" s="9">
        <f t="shared" si="11"/>
        <v>-8.7537670166494327E-3</v>
      </c>
      <c r="F44" s="9">
        <f t="shared" si="12"/>
        <v>3.7279165099999324E-3</v>
      </c>
      <c r="G44" s="9">
        <f t="shared" si="13"/>
        <v>2.3743086932569605E-2</v>
      </c>
      <c r="H44" s="9">
        <f t="shared" si="14"/>
        <v>1.5702151260054985E-2</v>
      </c>
      <c r="J44" s="11" t="s">
        <v>1</v>
      </c>
      <c r="K44" s="3">
        <f t="shared" si="15"/>
        <v>3.3160146638598212E-3</v>
      </c>
      <c r="L44" s="3">
        <f t="shared" si="16"/>
        <v>3.1332282135512189E-3</v>
      </c>
      <c r="M44" s="3">
        <f t="shared" si="17"/>
        <v>3.6271277599262187E-3</v>
      </c>
      <c r="N44" s="3">
        <f t="shared" si="18"/>
        <v>6.2583888938844111E-3</v>
      </c>
      <c r="O44" s="3">
        <f t="shared" si="19"/>
        <v>9.6519778706247172E-3</v>
      </c>
      <c r="P44" s="3">
        <f t="shared" si="20"/>
        <v>1.0971584220124191E-2</v>
      </c>
    </row>
    <row r="45" spans="2:16" x14ac:dyDescent="0.3">
      <c r="B45" s="11" t="s">
        <v>4</v>
      </c>
      <c r="C45" s="9">
        <f t="shared" si="9"/>
        <v>1.4270618054002555E-2</v>
      </c>
      <c r="D45" s="9">
        <f t="shared" si="10"/>
        <v>1.5039866486802386E-2</v>
      </c>
      <c r="E45" s="9">
        <f t="shared" si="11"/>
        <v>-9.2315953216285437E-3</v>
      </c>
      <c r="F45" s="9">
        <f t="shared" si="12"/>
        <v>3.2500882050208214E-3</v>
      </c>
      <c r="G45" s="9">
        <f t="shared" si="13"/>
        <v>5.7213989784676879E-3</v>
      </c>
      <c r="H45" s="9">
        <f t="shared" si="14"/>
        <v>-1.7670413887029387E-2</v>
      </c>
      <c r="J45" s="11" t="s">
        <v>4</v>
      </c>
      <c r="K45" s="3">
        <f t="shared" si="15"/>
        <v>4.3416250336681551E-3</v>
      </c>
      <c r="L45" s="3">
        <f t="shared" si="16"/>
        <v>3.8808852929457065E-3</v>
      </c>
      <c r="M45" s="3">
        <f t="shared" si="17"/>
        <v>4.0261702527408733E-3</v>
      </c>
      <c r="N45" s="3">
        <f t="shared" si="18"/>
        <v>7.1716742554052337E-3</v>
      </c>
      <c r="O45" s="3">
        <f t="shared" si="19"/>
        <v>1.1056925648609032E-2</v>
      </c>
      <c r="P45" s="3">
        <f t="shared" si="20"/>
        <v>1.1857777739980247E-2</v>
      </c>
    </row>
    <row r="46" spans="2:16" x14ac:dyDescent="0.3">
      <c r="B46" s="11" t="s">
        <v>7</v>
      </c>
      <c r="C46" s="9">
        <f t="shared" si="9"/>
        <v>-1.874241810762205E-2</v>
      </c>
      <c r="D46" s="9">
        <f t="shared" si="10"/>
        <v>-1.3082127400602371E-2</v>
      </c>
      <c r="E46" s="9">
        <f t="shared" si="11"/>
        <v>-9.7696939450244696E-3</v>
      </c>
      <c r="F46" s="9">
        <f t="shared" si="12"/>
        <v>-9.8756205378956099E-3</v>
      </c>
      <c r="G46" s="9">
        <f t="shared" si="13"/>
        <v>-4.8840621440029292E-3</v>
      </c>
      <c r="H46" s="9">
        <f t="shared" si="14"/>
        <v>2.3624709785821631E-2</v>
      </c>
      <c r="J46" s="11" t="s">
        <v>7</v>
      </c>
      <c r="K46" s="3">
        <f t="shared" si="15"/>
        <v>6.3095750499088336E-3</v>
      </c>
      <c r="L46" s="3">
        <f t="shared" si="16"/>
        <v>5.8689888804441138E-3</v>
      </c>
      <c r="M46" s="3">
        <f t="shared" si="17"/>
        <v>5.5833223029300308E-3</v>
      </c>
      <c r="N46" s="3">
        <f t="shared" si="18"/>
        <v>9.853271080661927E-3</v>
      </c>
      <c r="O46" s="3">
        <f t="shared" si="19"/>
        <v>1.4951947862083811E-2</v>
      </c>
      <c r="P46" s="3">
        <f t="shared" si="20"/>
        <v>1.60831807595441E-2</v>
      </c>
    </row>
    <row r="47" spans="2:16" x14ac:dyDescent="0.3">
      <c r="B47" s="11" t="s">
        <v>3</v>
      </c>
      <c r="C47" s="9">
        <f t="shared" si="9"/>
        <v>-1.0560720731307744E-2</v>
      </c>
      <c r="D47" s="9">
        <f t="shared" si="10"/>
        <v>-1.8172835820058346E-2</v>
      </c>
      <c r="E47" s="9">
        <f t="shared" si="11"/>
        <v>-1.0187505168218763E-2</v>
      </c>
      <c r="F47" s="9">
        <f t="shared" si="12"/>
        <v>-1.6569582388704967E-2</v>
      </c>
      <c r="G47" s="9">
        <f t="shared" si="13"/>
        <v>5.4607984917704605E-4</v>
      </c>
      <c r="H47" s="9">
        <f t="shared" si="14"/>
        <v>2.3206898562627337E-2</v>
      </c>
      <c r="J47" s="11" t="s">
        <v>3</v>
      </c>
      <c r="K47" s="3">
        <f t="shared" si="15"/>
        <v>6.7919746805275788E-3</v>
      </c>
      <c r="L47" s="3">
        <f t="shared" si="16"/>
        <v>6.2985899437517853E-3</v>
      </c>
      <c r="M47" s="3">
        <f t="shared" si="17"/>
        <v>6.2657073673451566E-3</v>
      </c>
      <c r="N47" s="3">
        <f t="shared" si="18"/>
        <v>1.0466978097435331E-2</v>
      </c>
      <c r="O47" s="3">
        <f t="shared" si="19"/>
        <v>1.6165694122659204E-2</v>
      </c>
      <c r="P47" s="3">
        <f t="shared" si="20"/>
        <v>1.8487007638206338E-2</v>
      </c>
    </row>
    <row r="48" spans="2:16" x14ac:dyDescent="0.3">
      <c r="B48" s="11" t="s">
        <v>5</v>
      </c>
      <c r="C48" s="9">
        <f t="shared" si="9"/>
        <v>-1.618247007780952E-2</v>
      </c>
      <c r="D48" s="9">
        <f t="shared" si="10"/>
        <v>-7.318891120772622E-3</v>
      </c>
      <c r="E48" s="9">
        <f t="shared" si="11"/>
        <v>7.7447943557840231E-3</v>
      </c>
      <c r="F48" s="9">
        <f t="shared" si="12"/>
        <v>-9.05877395359099E-4</v>
      </c>
      <c r="G48" s="9">
        <f t="shared" si="13"/>
        <v>1.4925192608800531E-2</v>
      </c>
      <c r="H48" s="9">
        <f t="shared" si="14"/>
        <v>6.8842569362859117E-3</v>
      </c>
      <c r="J48" s="11" t="s">
        <v>5</v>
      </c>
      <c r="K48" s="3">
        <f t="shared" si="15"/>
        <v>8.3080156947334498E-3</v>
      </c>
      <c r="L48" s="3">
        <f t="shared" si="16"/>
        <v>7.778835112020736E-3</v>
      </c>
      <c r="M48" s="3">
        <f t="shared" si="17"/>
        <v>8.3409133875201255E-3</v>
      </c>
      <c r="N48" s="3">
        <f t="shared" si="18"/>
        <v>1.2733163803267208E-2</v>
      </c>
      <c r="O48" s="3">
        <f t="shared" si="19"/>
        <v>2.0078265190457033E-2</v>
      </c>
      <c r="P48" s="3">
        <f t="shared" si="20"/>
        <v>2.3101413074247432E-2</v>
      </c>
    </row>
    <row r="49" spans="2:16" x14ac:dyDescent="0.3">
      <c r="B49" s="11" t="s">
        <v>10</v>
      </c>
      <c r="C49" s="9">
        <f t="shared" si="9"/>
        <v>-1.7241543005029537E-2</v>
      </c>
      <c r="D49" s="9">
        <f t="shared" si="10"/>
        <v>-4.9335680802321813E-3</v>
      </c>
      <c r="E49" s="9">
        <f t="shared" si="11"/>
        <v>9.676629482763207E-3</v>
      </c>
      <c r="F49" s="9">
        <f t="shared" si="12"/>
        <v>7.2667994949447666E-3</v>
      </c>
      <c r="G49" s="9">
        <f t="shared" si="13"/>
        <v>6.7896652367050205E-3</v>
      </c>
      <c r="H49" s="9">
        <f t="shared" si="14"/>
        <v>-1.9822645878563826E-3</v>
      </c>
      <c r="J49" s="11" t="s">
        <v>10</v>
      </c>
      <c r="K49" s="3">
        <f t="shared" si="15"/>
        <v>9.6296817875267046E-3</v>
      </c>
      <c r="L49" s="3">
        <f t="shared" si="16"/>
        <v>9.6530745163199132E-3</v>
      </c>
      <c r="M49" s="3">
        <f t="shared" si="17"/>
        <v>1.1104299695034906E-2</v>
      </c>
      <c r="N49" s="3">
        <f t="shared" si="18"/>
        <v>1.5569849828839263E-2</v>
      </c>
      <c r="O49" s="3">
        <f t="shared" si="19"/>
        <v>2.3995425958616267E-2</v>
      </c>
      <c r="P49" s="3">
        <f t="shared" si="20"/>
        <v>2.6808682795143687E-2</v>
      </c>
    </row>
    <row r="50" spans="2:16" x14ac:dyDescent="0.3">
      <c r="B50" s="11" t="s">
        <v>21</v>
      </c>
      <c r="C50" s="9">
        <f t="shared" si="9"/>
        <v>-1.6992712025144331E-2</v>
      </c>
      <c r="D50" s="9">
        <f t="shared" si="10"/>
        <v>-9.5987420143518916E-3</v>
      </c>
      <c r="E50" s="9">
        <f t="shared" si="11"/>
        <v>-2.0305000147559038E-2</v>
      </c>
      <c r="F50" s="9">
        <f t="shared" si="12"/>
        <v>6.7857259792350952E-3</v>
      </c>
      <c r="G50" s="9">
        <f t="shared" si="13"/>
        <v>1.9668350951708116E-2</v>
      </c>
      <c r="H50" s="9">
        <f t="shared" si="14"/>
        <v>7.2299929899076534E-2</v>
      </c>
      <c r="J50" s="11" t="s">
        <v>21</v>
      </c>
      <c r="K50" s="3">
        <f t="shared" si="15"/>
        <v>1.2108114460322401E-2</v>
      </c>
      <c r="L50" s="3">
        <f t="shared" si="16"/>
        <v>1.2784803381494422E-2</v>
      </c>
      <c r="M50" s="3">
        <f t="shared" si="17"/>
        <v>1.4603961770229254E-2</v>
      </c>
      <c r="N50" s="3">
        <f t="shared" si="18"/>
        <v>2.0619257679293797E-2</v>
      </c>
      <c r="O50" s="3">
        <f t="shared" si="19"/>
        <v>3.0842786428688013E-2</v>
      </c>
      <c r="P50" s="3">
        <f t="shared" si="20"/>
        <v>3.5565588100580851E-2</v>
      </c>
    </row>
    <row r="51" spans="2:16" x14ac:dyDescent="0.3">
      <c r="B51" s="11" t="s">
        <v>0</v>
      </c>
      <c r="C51" s="9">
        <f t="shared" si="9"/>
        <v>0.15702073663339555</v>
      </c>
      <c r="D51" s="9">
        <f t="shared" si="10"/>
        <v>0.14305945164407319</v>
      </c>
      <c r="E51" s="9">
        <f t="shared" si="11"/>
        <v>0.12081882701376445</v>
      </c>
      <c r="F51" s="9">
        <f t="shared" si="12"/>
        <v>1.6030945015988896E-2</v>
      </c>
      <c r="G51" s="9">
        <f t="shared" si="13"/>
        <v>-0.14548511850403845</v>
      </c>
      <c r="H51" s="9">
        <f t="shared" si="14"/>
        <v>-0.24343833487830752</v>
      </c>
      <c r="J51" s="11" t="s">
        <v>0</v>
      </c>
      <c r="K51" s="3">
        <f t="shared" si="15"/>
        <v>0.77615857440884561</v>
      </c>
      <c r="L51" s="3">
        <f t="shared" si="16"/>
        <v>0.78525202104610514</v>
      </c>
      <c r="M51" s="3">
        <f t="shared" si="17"/>
        <v>0.79973807540354491</v>
      </c>
      <c r="N51" s="3">
        <f t="shared" si="18"/>
        <v>0.86798988846423208</v>
      </c>
      <c r="O51" s="3">
        <f t="shared" si="19"/>
        <v>0.97319064224892071</v>
      </c>
      <c r="P51" s="3">
        <f t="shared" si="20"/>
        <v>1.0369908115548674</v>
      </c>
    </row>
    <row r="52" spans="2:16" x14ac:dyDescent="0.3">
      <c r="J52" s="14" t="s">
        <v>44</v>
      </c>
      <c r="K52" s="13">
        <f>SUM(K28:K51)</f>
        <v>0.843802595412669</v>
      </c>
      <c r="L52" s="13">
        <f t="shared" ref="L52:P52" si="21">SUM(L28:L51)</f>
        <v>0.84622554686844376</v>
      </c>
      <c r="M52" s="13">
        <f t="shared" si="21"/>
        <v>0.86987438586464305</v>
      </c>
      <c r="N52" s="13">
        <f t="shared" si="21"/>
        <v>0.9797919037594125</v>
      </c>
      <c r="O52" s="13">
        <f t="shared" si="21"/>
        <v>1.1536275776735914</v>
      </c>
      <c r="P52" s="13">
        <f t="shared" si="21"/>
        <v>1.233658314491938</v>
      </c>
    </row>
    <row r="53" spans="2:16" x14ac:dyDescent="0.3">
      <c r="J53" s="15" t="s">
        <v>45</v>
      </c>
      <c r="K53" s="16">
        <f>1-K52</f>
        <v>0.156197404587331</v>
      </c>
      <c r="L53" s="16">
        <f t="shared" ref="L53:P53" si="22">1-L52</f>
        <v>0.15377445313155624</v>
      </c>
      <c r="M53" s="16">
        <f t="shared" si="22"/>
        <v>0.13012561413535695</v>
      </c>
      <c r="N53" s="16">
        <f t="shared" si="22"/>
        <v>2.0208096240587503E-2</v>
      </c>
      <c r="O53" s="16">
        <f t="shared" si="22"/>
        <v>-0.15362757767359136</v>
      </c>
      <c r="P53" s="16">
        <f t="shared" si="22"/>
        <v>-0.23365831449193797</v>
      </c>
    </row>
  </sheetData>
  <sortState xmlns:xlrd2="http://schemas.microsoft.com/office/spreadsheetml/2017/richdata2" ref="A2:P26">
    <sortCondition ref="B1:B26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8D4FB-ED9C-41EC-8ACB-A55254D5BD2C}">
  <dimension ref="A1:P23"/>
  <sheetViews>
    <sheetView zoomScale="81" workbookViewId="0">
      <selection activeCell="J30" sqref="J30"/>
    </sheetView>
  </sheetViews>
  <sheetFormatPr defaultRowHeight="14.4" x14ac:dyDescent="0.3"/>
  <sheetData>
    <row r="1" spans="1:16" ht="36.6" customHeight="1" x14ac:dyDescent="0.3">
      <c r="A1" s="10" t="s">
        <v>24</v>
      </c>
      <c r="B1" s="4" t="s">
        <v>25</v>
      </c>
      <c r="C1" s="5" t="s">
        <v>26</v>
      </c>
      <c r="D1" s="5" t="s">
        <v>27</v>
      </c>
      <c r="E1" s="5" t="s">
        <v>28</v>
      </c>
      <c r="F1" s="4" t="s">
        <v>29</v>
      </c>
      <c r="G1" s="5" t="s">
        <v>30</v>
      </c>
      <c r="H1" s="5" t="s">
        <v>31</v>
      </c>
      <c r="I1" s="6" t="s">
        <v>25</v>
      </c>
      <c r="J1" s="7" t="s">
        <v>25</v>
      </c>
      <c r="K1" s="22" t="s">
        <v>26</v>
      </c>
      <c r="L1" s="8" t="s">
        <v>27</v>
      </c>
      <c r="M1" s="8" t="s">
        <v>28</v>
      </c>
      <c r="N1" s="23" t="s">
        <v>29</v>
      </c>
      <c r="O1" s="8" t="s">
        <v>30</v>
      </c>
      <c r="P1" s="8" t="s">
        <v>31</v>
      </c>
    </row>
    <row r="2" spans="1:16" x14ac:dyDescent="0.3">
      <c r="A2" s="3" t="s">
        <v>51</v>
      </c>
      <c r="B2" s="9">
        <v>4.3715613329912487E-2</v>
      </c>
      <c r="C2" s="9">
        <v>3.8461538461538464E-2</v>
      </c>
      <c r="D2" s="9">
        <v>4.3478260869565216E-2</v>
      </c>
      <c r="E2" s="9">
        <v>0</v>
      </c>
      <c r="F2" s="9">
        <v>5.6179775280898875E-2</v>
      </c>
      <c r="G2" s="9">
        <v>1.0752688172043012E-2</v>
      </c>
      <c r="H2" s="9">
        <v>0</v>
      </c>
      <c r="I2" s="9">
        <v>4.3715613329912487E-2</v>
      </c>
      <c r="J2" s="9">
        <v>4.3715613329912487E-2</v>
      </c>
      <c r="K2" s="9">
        <v>3.8461538461538464E-2</v>
      </c>
      <c r="L2" s="9">
        <v>4.3478260869565216E-2</v>
      </c>
      <c r="M2" s="9">
        <v>0</v>
      </c>
      <c r="N2" s="9">
        <v>5.6179775280898875E-2</v>
      </c>
      <c r="O2" s="9">
        <v>1.0752688172043012E-2</v>
      </c>
      <c r="P2" s="9">
        <v>0</v>
      </c>
    </row>
    <row r="3" spans="1:16" x14ac:dyDescent="0.3">
      <c r="A3" s="3" t="s">
        <v>52</v>
      </c>
      <c r="B3" s="9">
        <v>4.7806379885401519E-2</v>
      </c>
      <c r="C3" s="9">
        <v>3.8461538461538464E-2</v>
      </c>
      <c r="D3" s="9">
        <v>4.3478260869565216E-2</v>
      </c>
      <c r="E3" s="9">
        <v>2.564102564102564E-2</v>
      </c>
      <c r="F3" s="9">
        <v>6.741573033707865E-2</v>
      </c>
      <c r="G3" s="9">
        <v>2.1505376344086023E-2</v>
      </c>
      <c r="H3" s="9">
        <v>0.1276595744680851</v>
      </c>
      <c r="I3" s="9">
        <v>9.1521993215314013E-2</v>
      </c>
      <c r="J3" s="9">
        <f t="shared" ref="J3:P9" si="0">J2+B3</f>
        <v>9.1521993215314013E-2</v>
      </c>
      <c r="K3" s="20">
        <f t="shared" si="0"/>
        <v>7.6923076923076927E-2</v>
      </c>
      <c r="L3" s="20">
        <f t="shared" si="0"/>
        <v>8.6956521739130432E-2</v>
      </c>
      <c r="M3" s="9">
        <f t="shared" si="0"/>
        <v>2.564102564102564E-2</v>
      </c>
      <c r="N3" s="20">
        <f t="shared" si="0"/>
        <v>0.12359550561797752</v>
      </c>
      <c r="O3" s="9">
        <f t="shared" si="0"/>
        <v>3.2258064516129031E-2</v>
      </c>
      <c r="P3" s="9">
        <f t="shared" si="0"/>
        <v>0.1276595744680851</v>
      </c>
    </row>
    <row r="4" spans="1:16" x14ac:dyDescent="0.3">
      <c r="A4" s="3" t="s">
        <v>48</v>
      </c>
      <c r="B4" s="9">
        <v>7.0825850223780615E-2</v>
      </c>
      <c r="C4" s="9">
        <v>0.23076923076923078</v>
      </c>
      <c r="D4" s="9">
        <v>8.6956521739130432E-2</v>
      </c>
      <c r="E4" s="9">
        <v>2.564102564102564E-2</v>
      </c>
      <c r="F4" s="9">
        <v>5.6179775280898875E-2</v>
      </c>
      <c r="G4" s="9">
        <v>6.4516129032258063E-2</v>
      </c>
      <c r="H4" s="9">
        <v>8.5106382978723402E-2</v>
      </c>
      <c r="I4" s="9">
        <v>0.16234784343909464</v>
      </c>
      <c r="J4" s="9">
        <f t="shared" si="0"/>
        <v>0.16234784343909464</v>
      </c>
      <c r="K4" s="20">
        <f t="shared" si="0"/>
        <v>0.30769230769230771</v>
      </c>
      <c r="L4" s="20">
        <f t="shared" si="0"/>
        <v>0.17391304347826086</v>
      </c>
      <c r="M4" s="9">
        <f t="shared" si="0"/>
        <v>5.128205128205128E-2</v>
      </c>
      <c r="N4" s="20">
        <f t="shared" si="0"/>
        <v>0.1797752808988764</v>
      </c>
      <c r="O4" s="9">
        <f t="shared" si="0"/>
        <v>9.6774193548387094E-2</v>
      </c>
      <c r="P4" s="9">
        <f t="shared" si="0"/>
        <v>0.21276595744680848</v>
      </c>
    </row>
    <row r="5" spans="1:16" x14ac:dyDescent="0.3">
      <c r="A5" s="3" t="s">
        <v>53</v>
      </c>
      <c r="B5" s="9">
        <v>8.5164913481000026E-2</v>
      </c>
      <c r="C5" s="9">
        <v>0</v>
      </c>
      <c r="D5" s="9">
        <v>4.3478260869565216E-2</v>
      </c>
      <c r="E5" s="9">
        <v>5.128205128205128E-2</v>
      </c>
      <c r="F5" s="9">
        <v>3.3707865168539325E-2</v>
      </c>
      <c r="G5" s="9">
        <v>6.4516129032258063E-2</v>
      </c>
      <c r="H5" s="9">
        <v>2.1276595744680851E-2</v>
      </c>
      <c r="I5" s="9">
        <v>0.24751275692009467</v>
      </c>
      <c r="J5" s="9">
        <f t="shared" si="0"/>
        <v>0.24751275692009467</v>
      </c>
      <c r="K5" s="20">
        <f t="shared" si="0"/>
        <v>0.30769230769230771</v>
      </c>
      <c r="L5" s="20">
        <f t="shared" si="0"/>
        <v>0.21739130434782608</v>
      </c>
      <c r="M5" s="9">
        <f t="shared" si="0"/>
        <v>0.10256410256410256</v>
      </c>
      <c r="N5" s="20">
        <f t="shared" si="0"/>
        <v>0.21348314606741572</v>
      </c>
      <c r="O5" s="9">
        <f t="shared" si="0"/>
        <v>0.16129032258064516</v>
      </c>
      <c r="P5" s="9">
        <f t="shared" si="0"/>
        <v>0.23404255319148934</v>
      </c>
    </row>
    <row r="6" spans="1:16" x14ac:dyDescent="0.3">
      <c r="A6" s="3" t="s">
        <v>50</v>
      </c>
      <c r="B6" s="9">
        <v>9.1878331765443716E-2</v>
      </c>
      <c r="C6" s="9">
        <v>0.13461538461538461</v>
      </c>
      <c r="D6" s="9">
        <v>0.13043478260869565</v>
      </c>
      <c r="E6" s="9">
        <v>5.128205128205128E-2</v>
      </c>
      <c r="F6" s="9">
        <v>8.98876404494382E-2</v>
      </c>
      <c r="G6" s="9">
        <v>6.4516129032258063E-2</v>
      </c>
      <c r="H6" s="9">
        <v>2.1276595744680851E-2</v>
      </c>
      <c r="I6" s="9">
        <v>0.33939108868553836</v>
      </c>
      <c r="J6" s="9">
        <f t="shared" si="0"/>
        <v>0.33939108868553836</v>
      </c>
      <c r="K6" s="20">
        <f t="shared" si="0"/>
        <v>0.44230769230769229</v>
      </c>
      <c r="L6" s="20">
        <f t="shared" si="0"/>
        <v>0.34782608695652173</v>
      </c>
      <c r="M6" s="9">
        <f t="shared" si="0"/>
        <v>0.15384615384615385</v>
      </c>
      <c r="N6" s="20">
        <f t="shared" si="0"/>
        <v>0.3033707865168539</v>
      </c>
      <c r="O6" s="9">
        <f t="shared" si="0"/>
        <v>0.22580645161290322</v>
      </c>
      <c r="P6" s="9">
        <f t="shared" si="0"/>
        <v>0.25531914893617019</v>
      </c>
    </row>
    <row r="7" spans="1:16" x14ac:dyDescent="0.3">
      <c r="A7" s="3" t="s">
        <v>47</v>
      </c>
      <c r="B7" s="9">
        <v>0.10061575301462414</v>
      </c>
      <c r="C7" s="9">
        <v>9.6153846153846159E-2</v>
      </c>
      <c r="D7" s="9">
        <v>4.3478260869565216E-2</v>
      </c>
      <c r="E7" s="9">
        <v>0</v>
      </c>
      <c r="F7" s="9">
        <v>7.8651685393258425E-2</v>
      </c>
      <c r="G7" s="9">
        <v>7.5268817204301078E-2</v>
      </c>
      <c r="H7" s="9">
        <v>2.1276595744680851E-2</v>
      </c>
      <c r="I7" s="9">
        <v>0.44000684170016247</v>
      </c>
      <c r="J7" s="9">
        <f t="shared" si="0"/>
        <v>0.44000684170016247</v>
      </c>
      <c r="K7" s="20">
        <f t="shared" si="0"/>
        <v>0.53846153846153844</v>
      </c>
      <c r="L7" s="20">
        <f t="shared" si="0"/>
        <v>0.39130434782608692</v>
      </c>
      <c r="M7" s="9">
        <f t="shared" si="0"/>
        <v>0.15384615384615385</v>
      </c>
      <c r="N7" s="20">
        <f t="shared" si="0"/>
        <v>0.38202247191011229</v>
      </c>
      <c r="O7" s="9">
        <f t="shared" si="0"/>
        <v>0.30107526881720431</v>
      </c>
      <c r="P7" s="9">
        <f t="shared" si="0"/>
        <v>0.27659574468085102</v>
      </c>
    </row>
    <row r="8" spans="1:16" x14ac:dyDescent="0.3">
      <c r="A8" s="3" t="s">
        <v>49</v>
      </c>
      <c r="B8" s="9">
        <v>0.16586846831437613</v>
      </c>
      <c r="C8" s="9">
        <v>0.13461538461538461</v>
      </c>
      <c r="D8" s="9">
        <v>8.6956521739130432E-2</v>
      </c>
      <c r="E8" s="9">
        <v>0.35897435897435898</v>
      </c>
      <c r="F8" s="9">
        <v>0.2696629213483146</v>
      </c>
      <c r="G8" s="9">
        <v>0.41935483870967744</v>
      </c>
      <c r="H8" s="9">
        <v>0.34042553191489361</v>
      </c>
      <c r="I8" s="9">
        <v>0.60587531001453865</v>
      </c>
      <c r="J8" s="9">
        <f t="shared" si="0"/>
        <v>0.60587531001453865</v>
      </c>
      <c r="K8" s="20">
        <f t="shared" si="0"/>
        <v>0.67307692307692302</v>
      </c>
      <c r="L8" s="20">
        <f t="shared" si="0"/>
        <v>0.47826086956521735</v>
      </c>
      <c r="M8" s="9">
        <f t="shared" si="0"/>
        <v>0.51282051282051277</v>
      </c>
      <c r="N8" s="20">
        <f t="shared" si="0"/>
        <v>0.65168539325842689</v>
      </c>
      <c r="O8" s="9">
        <f t="shared" si="0"/>
        <v>0.72043010752688175</v>
      </c>
      <c r="P8" s="9">
        <f t="shared" si="0"/>
        <v>0.61702127659574457</v>
      </c>
    </row>
    <row r="9" spans="1:16" x14ac:dyDescent="0.3">
      <c r="A9" s="3" t="s">
        <v>46</v>
      </c>
      <c r="B9" s="9">
        <v>0.39412468998546141</v>
      </c>
      <c r="C9" s="9">
        <v>0.32692307692307693</v>
      </c>
      <c r="D9" s="9">
        <v>0.52173913043478259</v>
      </c>
      <c r="E9" s="9">
        <v>0.48717948717948717</v>
      </c>
      <c r="F9" s="9">
        <v>0.34831460674157305</v>
      </c>
      <c r="G9" s="9">
        <v>0.27956989247311825</v>
      </c>
      <c r="H9" s="9">
        <v>0.38297872340425532</v>
      </c>
      <c r="I9" s="9">
        <v>1</v>
      </c>
      <c r="J9" s="9">
        <f t="shared" si="0"/>
        <v>1</v>
      </c>
      <c r="K9" s="20">
        <f t="shared" si="0"/>
        <v>1</v>
      </c>
      <c r="L9" s="20">
        <f t="shared" si="0"/>
        <v>1</v>
      </c>
      <c r="M9" s="9">
        <f t="shared" si="0"/>
        <v>1</v>
      </c>
      <c r="N9" s="20">
        <f t="shared" si="0"/>
        <v>1</v>
      </c>
      <c r="O9" s="9">
        <f t="shared" si="0"/>
        <v>1</v>
      </c>
      <c r="P9" s="9">
        <f t="shared" si="0"/>
        <v>0.99999999999999989</v>
      </c>
    </row>
    <row r="11" spans="1:16" ht="28.8" x14ac:dyDescent="0.3">
      <c r="B11" s="1" t="s">
        <v>24</v>
      </c>
      <c r="C11" s="2" t="s">
        <v>32</v>
      </c>
      <c r="D11" s="2" t="s">
        <v>33</v>
      </c>
      <c r="E11" s="2" t="s">
        <v>34</v>
      </c>
      <c r="F11" s="2" t="s">
        <v>35</v>
      </c>
      <c r="G11" s="2" t="s">
        <v>36</v>
      </c>
      <c r="H11" s="2" t="s">
        <v>37</v>
      </c>
      <c r="J11" s="3"/>
      <c r="K11" s="13" t="s">
        <v>38</v>
      </c>
      <c r="L11" s="13" t="s">
        <v>39</v>
      </c>
      <c r="M11" s="13" t="s">
        <v>40</v>
      </c>
      <c r="N11" s="13" t="s">
        <v>41</v>
      </c>
      <c r="O11" s="13" t="s">
        <v>42</v>
      </c>
      <c r="P11" s="13" t="s">
        <v>43</v>
      </c>
    </row>
    <row r="12" spans="1:16" x14ac:dyDescent="0.3">
      <c r="B12" s="3" t="s">
        <v>51</v>
      </c>
      <c r="C12" s="9">
        <f>C2-B2</f>
        <v>-5.2540748683740229E-3</v>
      </c>
      <c r="D12" s="9">
        <f>D2-B2</f>
        <v>-2.3735246034727042E-4</v>
      </c>
      <c r="E12" s="9">
        <f>E2-B2</f>
        <v>-4.3715613329912487E-2</v>
      </c>
      <c r="F12" s="9">
        <f>F2-B2</f>
        <v>1.2464161950986388E-2</v>
      </c>
      <c r="G12" s="9">
        <f>G2-B2</f>
        <v>-3.2962925157869472E-2</v>
      </c>
      <c r="H12" s="9">
        <f>H2-B2</f>
        <v>-4.3715613329912487E-2</v>
      </c>
      <c r="J12" s="3" t="s">
        <v>51</v>
      </c>
      <c r="K12" s="3">
        <f>(J2-0) * ((K2+0))</f>
        <v>1.6813697434581727E-3</v>
      </c>
      <c r="L12" s="3">
        <f>(J2-0) * ((L2+0))</f>
        <v>1.9006788404309777E-3</v>
      </c>
      <c r="M12" s="3">
        <f>(J2-0) * ((M2+0))</f>
        <v>0</v>
      </c>
      <c r="N12" s="3">
        <f>(J2-0) * ((N2+0))</f>
        <v>2.4559333331411509E-3</v>
      </c>
      <c r="O12" s="3">
        <f>(J2-0) * ((O2+0))</f>
        <v>4.7006035838615583E-4</v>
      </c>
      <c r="P12" s="3">
        <f>(J2-0) * ((P2+0))</f>
        <v>0</v>
      </c>
    </row>
    <row r="13" spans="1:16" x14ac:dyDescent="0.3">
      <c r="B13" s="3" t="s">
        <v>52</v>
      </c>
      <c r="C13" s="9">
        <f t="shared" ref="C13:C19" si="1">C3-B3</f>
        <v>-9.3448414238630553E-3</v>
      </c>
      <c r="D13" s="9">
        <f t="shared" ref="D13:D19" si="2">D3-B3</f>
        <v>-4.3281190158363028E-3</v>
      </c>
      <c r="E13" s="9">
        <f t="shared" ref="E13:E19" si="3">E3-B3</f>
        <v>-2.2165354244375879E-2</v>
      </c>
      <c r="F13" s="9">
        <f t="shared" ref="F13:F19" si="4">F3-B3</f>
        <v>1.9609350451677131E-2</v>
      </c>
      <c r="G13" s="9">
        <f t="shared" ref="G13:G19" si="5">G3-B3</f>
        <v>-2.6301003541315496E-2</v>
      </c>
      <c r="H13" s="9">
        <f t="shared" ref="H13:H19" si="6">H3-B3</f>
        <v>7.9853194582683584E-2</v>
      </c>
      <c r="J13" s="3" t="s">
        <v>52</v>
      </c>
      <c r="K13" s="3">
        <f>(J3-J2) * ((K3+K2))</f>
        <v>5.5161207560078685E-3</v>
      </c>
      <c r="L13" s="3">
        <f>(J3-J2) * ((L3+L2))</f>
        <v>6.2356147676610688E-3</v>
      </c>
      <c r="M13" s="3">
        <f>(J3-J2) * ((M3+M2))</f>
        <v>1.225804612446193E-3</v>
      </c>
      <c r="N13" s="3">
        <f>(J3-J2) * ((N3+N2))</f>
        <v>8.5944053726564537E-3</v>
      </c>
      <c r="O13" s="3">
        <f>(J3-J2) * ((O3+O2))</f>
        <v>2.0561883821678078E-3</v>
      </c>
      <c r="P13" s="3">
        <f>(J3-J2) * ((P3+P2))</f>
        <v>6.1029421130299813E-3</v>
      </c>
    </row>
    <row r="14" spans="1:16" x14ac:dyDescent="0.3">
      <c r="B14" s="3" t="s">
        <v>48</v>
      </c>
      <c r="C14" s="9">
        <f t="shared" si="1"/>
        <v>0.15994338054545015</v>
      </c>
      <c r="D14" s="9">
        <f t="shared" si="2"/>
        <v>1.6130671515349818E-2</v>
      </c>
      <c r="E14" s="9">
        <f t="shared" si="3"/>
        <v>-4.5184824582754975E-2</v>
      </c>
      <c r="F14" s="9">
        <f t="shared" si="4"/>
        <v>-1.464607494288174E-2</v>
      </c>
      <c r="G14" s="9">
        <f t="shared" si="5"/>
        <v>-6.3097211915225521E-3</v>
      </c>
      <c r="H14" s="9">
        <f t="shared" si="6"/>
        <v>1.4280532754942787E-2</v>
      </c>
      <c r="J14" s="3" t="s">
        <v>48</v>
      </c>
      <c r="K14" s="3">
        <f t="shared" ref="K14:K19" si="7">(J4-J3) * ((K4+K3))</f>
        <v>2.7240711624531011E-2</v>
      </c>
      <c r="L14" s="3">
        <f t="shared" ref="L14:L19" si="8">(J4-J3) * ((L4+L3))</f>
        <v>1.8476308754029728E-2</v>
      </c>
      <c r="M14" s="3">
        <f t="shared" ref="M14:M19" si="9">(J4-J3) * ((M4+M3))</f>
        <v>5.4481423249062022E-3</v>
      </c>
      <c r="N14" s="3">
        <f t="shared" ref="N14:N19" si="10">(J4-J3) * ((N4+N3))</f>
        <v>2.1486493888113221E-2</v>
      </c>
      <c r="O14" s="3">
        <f t="shared" ref="O14:O19" si="11">(J4-J3) * ((O4+O3))</f>
        <v>9.1388193837136297E-3</v>
      </c>
      <c r="P14" s="3">
        <f t="shared" ref="P14:P19" si="12">(J4-J3) * ((P4+P3))</f>
        <v>2.4110927735755103E-2</v>
      </c>
    </row>
    <row r="15" spans="1:16" x14ac:dyDescent="0.3">
      <c r="B15" s="3" t="s">
        <v>53</v>
      </c>
      <c r="C15" s="9">
        <f t="shared" si="1"/>
        <v>-8.5164913481000026E-2</v>
      </c>
      <c r="D15" s="9">
        <f t="shared" si="2"/>
        <v>-4.168665261143481E-2</v>
      </c>
      <c r="E15" s="9">
        <f t="shared" si="3"/>
        <v>-3.3882862198948746E-2</v>
      </c>
      <c r="F15" s="9">
        <f t="shared" si="4"/>
        <v>-5.1457048312460701E-2</v>
      </c>
      <c r="G15" s="9">
        <f t="shared" si="5"/>
        <v>-2.0648784448741964E-2</v>
      </c>
      <c r="H15" s="9">
        <f t="shared" si="6"/>
        <v>-6.3888317736319172E-2</v>
      </c>
      <c r="J15" s="3" t="s">
        <v>53</v>
      </c>
      <c r="K15" s="3">
        <f t="shared" si="7"/>
        <v>5.2409177526769248E-2</v>
      </c>
      <c r="L15" s="3">
        <f t="shared" si="8"/>
        <v>3.3325400927347835E-2</v>
      </c>
      <c r="M15" s="3">
        <f t="shared" si="9"/>
        <v>1.3102294381692312E-2</v>
      </c>
      <c r="N15" s="3">
        <f t="shared" si="10"/>
        <v>3.3491819908258433E-2</v>
      </c>
      <c r="O15" s="3">
        <f t="shared" si="11"/>
        <v>2.1978042188645169E-2</v>
      </c>
      <c r="P15" s="3">
        <f t="shared" si="12"/>
        <v>3.8052408151085119E-2</v>
      </c>
    </row>
    <row r="16" spans="1:16" x14ac:dyDescent="0.3">
      <c r="B16" s="3" t="s">
        <v>50</v>
      </c>
      <c r="C16" s="9">
        <f t="shared" si="1"/>
        <v>4.2737052849940893E-2</v>
      </c>
      <c r="D16" s="9">
        <f t="shared" si="2"/>
        <v>3.8556450843251933E-2</v>
      </c>
      <c r="E16" s="9">
        <f t="shared" si="3"/>
        <v>-4.0596280483392436E-2</v>
      </c>
      <c r="F16" s="9">
        <f t="shared" si="4"/>
        <v>-1.9906913160055162E-3</v>
      </c>
      <c r="G16" s="9">
        <f t="shared" si="5"/>
        <v>-2.7362202733185653E-2</v>
      </c>
      <c r="H16" s="9">
        <f t="shared" si="6"/>
        <v>-7.0601736020762862E-2</v>
      </c>
      <c r="J16" s="3" t="s">
        <v>50</v>
      </c>
      <c r="K16" s="3">
        <f t="shared" si="7"/>
        <v>6.8908748824082766E-2</v>
      </c>
      <c r="L16" s="3">
        <f t="shared" si="8"/>
        <v>5.193123099785947E-2</v>
      </c>
      <c r="M16" s="3">
        <f t="shared" si="9"/>
        <v>2.3558546606524022E-2</v>
      </c>
      <c r="N16" s="3">
        <f t="shared" si="10"/>
        <v>4.7487677092251789E-2</v>
      </c>
      <c r="O16" s="3">
        <f t="shared" si="11"/>
        <v>3.5565805844687881E-2</v>
      </c>
      <c r="P16" s="3">
        <f t="shared" si="12"/>
        <v>4.4961736821387328E-2</v>
      </c>
    </row>
    <row r="17" spans="2:16" x14ac:dyDescent="0.3">
      <c r="B17" s="3" t="s">
        <v>47</v>
      </c>
      <c r="C17" s="9">
        <f t="shared" si="1"/>
        <v>-4.4619068607779783E-3</v>
      </c>
      <c r="D17" s="9">
        <f t="shared" si="2"/>
        <v>-5.7137492145058921E-2</v>
      </c>
      <c r="E17" s="9">
        <f t="shared" si="3"/>
        <v>-0.10061575301462414</v>
      </c>
      <c r="F17" s="9">
        <f t="shared" si="4"/>
        <v>-2.1964067621365713E-2</v>
      </c>
      <c r="G17" s="9">
        <f t="shared" si="5"/>
        <v>-2.534693581032306E-2</v>
      </c>
      <c r="H17" s="9">
        <f t="shared" si="6"/>
        <v>-7.9339157269943283E-2</v>
      </c>
      <c r="J17" s="3" t="s">
        <v>47</v>
      </c>
      <c r="K17" s="3">
        <f t="shared" si="7"/>
        <v>9.8680834687419797E-2</v>
      </c>
      <c r="L17" s="3">
        <f t="shared" si="8"/>
        <v>7.436816527167868E-2</v>
      </c>
      <c r="M17" s="3">
        <f t="shared" si="9"/>
        <v>3.0958693235268959E-2</v>
      </c>
      <c r="N17" s="3">
        <f t="shared" si="10"/>
        <v>6.8961358807776069E-2</v>
      </c>
      <c r="O17" s="3">
        <f t="shared" si="11"/>
        <v>5.3012601050715924E-2</v>
      </c>
      <c r="P17" s="3">
        <f t="shared" si="12"/>
        <v>5.3519017560970272E-2</v>
      </c>
    </row>
    <row r="18" spans="2:16" x14ac:dyDescent="0.3">
      <c r="B18" s="3" t="s">
        <v>49</v>
      </c>
      <c r="C18" s="9">
        <f t="shared" si="1"/>
        <v>-3.1253083698991518E-2</v>
      </c>
      <c r="D18" s="9">
        <f t="shared" si="2"/>
        <v>-7.8911946575245695E-2</v>
      </c>
      <c r="E18" s="9">
        <f t="shared" si="3"/>
        <v>0.19310589065998285</v>
      </c>
      <c r="F18" s="9">
        <f t="shared" si="4"/>
        <v>0.10379445303393847</v>
      </c>
      <c r="G18" s="9">
        <f t="shared" si="5"/>
        <v>0.25348637039530131</v>
      </c>
      <c r="H18" s="9">
        <f t="shared" si="6"/>
        <v>0.17455706360051748</v>
      </c>
      <c r="J18" s="3" t="s">
        <v>49</v>
      </c>
      <c r="K18" s="3">
        <f t="shared" si="7"/>
        <v>0.20095602891934036</v>
      </c>
      <c r="L18" s="3">
        <f t="shared" si="8"/>
        <v>0.14423345070815319</v>
      </c>
      <c r="M18" s="3">
        <f t="shared" si="9"/>
        <v>0.11057897887625079</v>
      </c>
      <c r="N18" s="3">
        <f t="shared" si="10"/>
        <v>0.1714595402800293</v>
      </c>
      <c r="O18" s="3">
        <f t="shared" si="11"/>
        <v>0.16943553214909396</v>
      </c>
      <c r="P18" s="3">
        <f t="shared" si="12"/>
        <v>0.14822288657880422</v>
      </c>
    </row>
    <row r="19" spans="2:16" x14ac:dyDescent="0.3">
      <c r="B19" s="3" t="s">
        <v>46</v>
      </c>
      <c r="C19" s="9">
        <f t="shared" si="1"/>
        <v>-6.720161306238448E-2</v>
      </c>
      <c r="D19" s="9">
        <f t="shared" si="2"/>
        <v>0.12761444044932119</v>
      </c>
      <c r="E19" s="9">
        <f t="shared" si="3"/>
        <v>9.3054797194025762E-2</v>
      </c>
      <c r="F19" s="9">
        <f t="shared" si="4"/>
        <v>-4.5810083243888355E-2</v>
      </c>
      <c r="G19" s="9">
        <f t="shared" si="5"/>
        <v>-0.11455479751234315</v>
      </c>
      <c r="H19" s="9">
        <f t="shared" si="6"/>
        <v>-1.114596658120609E-2</v>
      </c>
      <c r="J19" s="3" t="s">
        <v>46</v>
      </c>
      <c r="K19" s="3">
        <f t="shared" si="7"/>
        <v>0.65940092362952185</v>
      </c>
      <c r="L19" s="3">
        <f t="shared" si="8"/>
        <v>0.58261910693502983</v>
      </c>
      <c r="M19" s="3">
        <f t="shared" si="9"/>
        <v>0.59623991561903122</v>
      </c>
      <c r="N19" s="3">
        <f t="shared" si="10"/>
        <v>0.65096999357149232</v>
      </c>
      <c r="O19" s="3">
        <f t="shared" si="11"/>
        <v>0.67806398277068625</v>
      </c>
      <c r="P19" s="3">
        <f t="shared" si="12"/>
        <v>0.63730800933819265</v>
      </c>
    </row>
    <row r="20" spans="2:16" x14ac:dyDescent="0.3">
      <c r="J20" s="13" t="s">
        <v>44</v>
      </c>
      <c r="K20" s="13">
        <f>SUM(K12:K19)</f>
        <v>1.1147939157111311</v>
      </c>
      <c r="L20" s="13">
        <f t="shared" ref="L20:P20" si="13">SUM(L12:L19)</f>
        <v>0.91308995720219077</v>
      </c>
      <c r="M20" s="13">
        <f t="shared" si="13"/>
        <v>0.78111237565611968</v>
      </c>
      <c r="N20" s="13">
        <f t="shared" si="13"/>
        <v>1.0049072222537188</v>
      </c>
      <c r="O20" s="13">
        <f t="shared" si="13"/>
        <v>0.96972103212809679</v>
      </c>
      <c r="P20" s="13">
        <f t="shared" si="13"/>
        <v>0.95227792829922464</v>
      </c>
    </row>
    <row r="21" spans="2:16" x14ac:dyDescent="0.3">
      <c r="J21" s="16" t="s">
        <v>45</v>
      </c>
      <c r="K21" s="16">
        <f>1-K20</f>
        <v>-0.11479391571113107</v>
      </c>
      <c r="L21" s="16">
        <f t="shared" ref="L21:P21" si="14">1-L20</f>
        <v>8.6910042797809228E-2</v>
      </c>
      <c r="M21" s="16">
        <f t="shared" si="14"/>
        <v>0.21888762434388032</v>
      </c>
      <c r="N21" s="16">
        <f t="shared" si="14"/>
        <v>-4.9072222537187571E-3</v>
      </c>
      <c r="O21" s="16">
        <f t="shared" si="14"/>
        <v>3.0278967871903206E-2</v>
      </c>
      <c r="P21" s="16">
        <f t="shared" si="14"/>
        <v>4.7722071700775359E-2</v>
      </c>
    </row>
    <row r="23" spans="2:16" x14ac:dyDescent="0.3">
      <c r="M23" s="21" t="s">
        <v>73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7D38-4F2C-4E5B-AF5C-56F5B70CB5A2}">
  <dimension ref="A1:P19"/>
  <sheetViews>
    <sheetView zoomScale="80" workbookViewId="0">
      <selection activeCell="D18" sqref="D18"/>
    </sheetView>
  </sheetViews>
  <sheetFormatPr defaultRowHeight="14.4" x14ac:dyDescent="0.3"/>
  <sheetData>
    <row r="1" spans="1:16" ht="36.6" customHeight="1" x14ac:dyDescent="0.3">
      <c r="A1" s="19" t="s">
        <v>24</v>
      </c>
      <c r="B1" s="4" t="s">
        <v>25</v>
      </c>
      <c r="C1" s="5" t="s">
        <v>26</v>
      </c>
      <c r="D1" s="5" t="s">
        <v>27</v>
      </c>
      <c r="E1" s="5" t="s">
        <v>28</v>
      </c>
      <c r="F1" s="4" t="s">
        <v>29</v>
      </c>
      <c r="G1" s="5" t="s">
        <v>30</v>
      </c>
      <c r="H1" s="5" t="s">
        <v>31</v>
      </c>
      <c r="I1" s="6" t="s">
        <v>25</v>
      </c>
      <c r="J1" s="7" t="s">
        <v>25</v>
      </c>
      <c r="K1" s="8" t="s">
        <v>26</v>
      </c>
      <c r="L1" s="8" t="s">
        <v>27</v>
      </c>
      <c r="M1" s="8" t="s">
        <v>28</v>
      </c>
      <c r="N1" s="7" t="s">
        <v>29</v>
      </c>
      <c r="O1" s="8" t="s">
        <v>30</v>
      </c>
      <c r="P1" s="8" t="s">
        <v>31</v>
      </c>
    </row>
    <row r="2" spans="1:16" x14ac:dyDescent="0.3">
      <c r="A2" s="3" t="s">
        <v>55</v>
      </c>
      <c r="B2" s="9">
        <v>6.055881792513295E-2</v>
      </c>
      <c r="C2" s="9">
        <v>2.1739130434782608E-2</v>
      </c>
      <c r="D2" s="9">
        <v>4.3478260869565216E-2</v>
      </c>
      <c r="E2" s="9">
        <v>0.19047619047619047</v>
      </c>
      <c r="F2" s="9">
        <v>1.6666666666666666E-2</v>
      </c>
      <c r="G2" s="9">
        <v>6.8965517241379309E-2</v>
      </c>
      <c r="H2" s="9">
        <v>0</v>
      </c>
      <c r="I2" s="9">
        <v>6.055881792513295E-2</v>
      </c>
      <c r="J2" s="9">
        <v>6.055881792513295E-2</v>
      </c>
      <c r="K2" s="9">
        <v>2.1739130434782608E-2</v>
      </c>
      <c r="L2" s="9">
        <v>4.3478260869565216E-2</v>
      </c>
      <c r="M2" s="9">
        <v>0.19047619047619047</v>
      </c>
      <c r="N2" s="9">
        <v>1.6666666666666666E-2</v>
      </c>
      <c r="O2" s="9">
        <v>6.8965517241379309E-2</v>
      </c>
      <c r="P2" s="9">
        <v>0</v>
      </c>
    </row>
    <row r="3" spans="1:16" x14ac:dyDescent="0.3">
      <c r="A3" s="3" t="s">
        <v>54</v>
      </c>
      <c r="B3" s="9">
        <v>7.9249597256145096E-2</v>
      </c>
      <c r="C3" s="9">
        <v>4.3478260869565216E-2</v>
      </c>
      <c r="D3" s="9">
        <v>8.6956521739130432E-2</v>
      </c>
      <c r="E3" s="9">
        <v>4.7619047619047616E-2</v>
      </c>
      <c r="F3" s="9">
        <v>0.11666666666666667</v>
      </c>
      <c r="G3" s="9">
        <v>3.4482758620689655E-2</v>
      </c>
      <c r="H3" s="9">
        <v>4.3478260869565216E-2</v>
      </c>
      <c r="I3" s="9">
        <v>0.13980841518127804</v>
      </c>
      <c r="J3" s="9">
        <f t="shared" ref="J3:P8" si="0">J2+B3</f>
        <v>0.13980841518127804</v>
      </c>
      <c r="K3" s="9">
        <f t="shared" si="0"/>
        <v>6.5217391304347824E-2</v>
      </c>
      <c r="L3" s="9">
        <f t="shared" si="0"/>
        <v>0.13043478260869565</v>
      </c>
      <c r="M3" s="9">
        <f t="shared" si="0"/>
        <v>0.23809523809523808</v>
      </c>
      <c r="N3" s="9">
        <f t="shared" si="0"/>
        <v>0.13333333333333333</v>
      </c>
      <c r="O3" s="9">
        <f t="shared" si="0"/>
        <v>0.10344827586206896</v>
      </c>
      <c r="P3" s="9">
        <f t="shared" si="0"/>
        <v>4.3478260869565216E-2</v>
      </c>
    </row>
    <row r="4" spans="1:16" x14ac:dyDescent="0.3">
      <c r="A4" s="3" t="s">
        <v>56</v>
      </c>
      <c r="B4" s="9">
        <v>8.3043184534635966E-2</v>
      </c>
      <c r="C4" s="9">
        <v>0.10869565217391304</v>
      </c>
      <c r="D4" s="9">
        <v>0.13043478260869565</v>
      </c>
      <c r="E4" s="9">
        <v>0.14285714285714285</v>
      </c>
      <c r="F4" s="9">
        <v>6.6666666666666666E-2</v>
      </c>
      <c r="G4" s="9">
        <v>5.1724137931034482E-2</v>
      </c>
      <c r="H4" s="9">
        <v>0</v>
      </c>
      <c r="I4" s="9">
        <v>0.22285159971591401</v>
      </c>
      <c r="J4" s="9">
        <f t="shared" si="0"/>
        <v>0.22285159971591401</v>
      </c>
      <c r="K4" s="9">
        <f t="shared" si="0"/>
        <v>0.17391304347826086</v>
      </c>
      <c r="L4" s="9">
        <f t="shared" si="0"/>
        <v>0.2608695652173913</v>
      </c>
      <c r="M4" s="9">
        <f t="shared" si="0"/>
        <v>0.38095238095238093</v>
      </c>
      <c r="N4" s="9">
        <f t="shared" si="0"/>
        <v>0.2</v>
      </c>
      <c r="O4" s="9">
        <f t="shared" si="0"/>
        <v>0.15517241379310345</v>
      </c>
      <c r="P4" s="9">
        <f t="shared" si="0"/>
        <v>4.3478260869565216E-2</v>
      </c>
    </row>
    <row r="5" spans="1:16" x14ac:dyDescent="0.3">
      <c r="A5" s="3" t="s">
        <v>60</v>
      </c>
      <c r="B5" s="9">
        <v>8.9383152315127584E-2</v>
      </c>
      <c r="C5" s="9">
        <v>0.13043478260869565</v>
      </c>
      <c r="D5" s="9">
        <v>0.13043478260869565</v>
      </c>
      <c r="E5" s="9">
        <v>0.14285714285714285</v>
      </c>
      <c r="F5" s="9">
        <v>6.6666666666666666E-2</v>
      </c>
      <c r="G5" s="9">
        <v>0.15517241379310345</v>
      </c>
      <c r="H5" s="9">
        <v>0.13043478260869565</v>
      </c>
      <c r="I5" s="9">
        <v>0.31223475203104156</v>
      </c>
      <c r="J5" s="9">
        <f t="shared" si="0"/>
        <v>0.31223475203104156</v>
      </c>
      <c r="K5" s="9">
        <f t="shared" si="0"/>
        <v>0.30434782608695654</v>
      </c>
      <c r="L5" s="9">
        <f t="shared" si="0"/>
        <v>0.39130434782608692</v>
      </c>
      <c r="M5" s="9">
        <f t="shared" si="0"/>
        <v>0.52380952380952372</v>
      </c>
      <c r="N5" s="9">
        <f t="shared" si="0"/>
        <v>0.26666666666666666</v>
      </c>
      <c r="O5" s="9">
        <f t="shared" si="0"/>
        <v>0.31034482758620691</v>
      </c>
      <c r="P5" s="9">
        <f t="shared" si="0"/>
        <v>0.17391304347826086</v>
      </c>
    </row>
    <row r="6" spans="1:16" x14ac:dyDescent="0.3">
      <c r="A6" s="3" t="s">
        <v>59</v>
      </c>
      <c r="B6" s="9">
        <v>0.1110187254239637</v>
      </c>
      <c r="C6" s="9">
        <v>0.28260869565217389</v>
      </c>
      <c r="D6" s="9">
        <v>0.13043478260869565</v>
      </c>
      <c r="E6" s="9">
        <v>4.7619047619047616E-2</v>
      </c>
      <c r="F6" s="9">
        <v>0.1</v>
      </c>
      <c r="G6" s="9">
        <v>6.8965517241379309E-2</v>
      </c>
      <c r="H6" s="9">
        <v>0.13043478260869565</v>
      </c>
      <c r="I6" s="9">
        <v>0.42325347745500524</v>
      </c>
      <c r="J6" s="9">
        <f t="shared" si="0"/>
        <v>0.42325347745500524</v>
      </c>
      <c r="K6" s="9">
        <f t="shared" si="0"/>
        <v>0.58695652173913038</v>
      </c>
      <c r="L6" s="9">
        <f t="shared" si="0"/>
        <v>0.52173913043478259</v>
      </c>
      <c r="M6" s="9">
        <f t="shared" si="0"/>
        <v>0.5714285714285714</v>
      </c>
      <c r="N6" s="9">
        <f t="shared" si="0"/>
        <v>0.3666666666666667</v>
      </c>
      <c r="O6" s="9">
        <f t="shared" si="0"/>
        <v>0.37931034482758619</v>
      </c>
      <c r="P6" s="9">
        <f t="shared" si="0"/>
        <v>0.30434782608695654</v>
      </c>
    </row>
    <row r="7" spans="1:16" x14ac:dyDescent="0.3">
      <c r="A7" s="3" t="s">
        <v>58</v>
      </c>
      <c r="B7" s="9">
        <v>0.27301702783696236</v>
      </c>
      <c r="C7" s="9">
        <v>0.28260869565217389</v>
      </c>
      <c r="D7" s="9">
        <v>0.30434782608695654</v>
      </c>
      <c r="E7" s="9">
        <v>0.14285714285714285</v>
      </c>
      <c r="F7" s="9">
        <v>0.35</v>
      </c>
      <c r="G7" s="9">
        <v>0.43103448275862066</v>
      </c>
      <c r="H7" s="9">
        <v>0.47826086956521741</v>
      </c>
      <c r="I7" s="9">
        <v>0.69627050529196755</v>
      </c>
      <c r="J7" s="9">
        <f t="shared" si="0"/>
        <v>0.69627050529196755</v>
      </c>
      <c r="K7" s="9">
        <f t="shared" si="0"/>
        <v>0.86956521739130421</v>
      </c>
      <c r="L7" s="9">
        <f t="shared" si="0"/>
        <v>0.82608695652173914</v>
      </c>
      <c r="M7" s="9">
        <f t="shared" si="0"/>
        <v>0.71428571428571419</v>
      </c>
      <c r="N7" s="9">
        <f t="shared" si="0"/>
        <v>0.71666666666666667</v>
      </c>
      <c r="O7" s="9">
        <f t="shared" si="0"/>
        <v>0.81034482758620685</v>
      </c>
      <c r="P7" s="9">
        <f t="shared" si="0"/>
        <v>0.78260869565217395</v>
      </c>
    </row>
    <row r="8" spans="1:16" x14ac:dyDescent="0.3">
      <c r="A8" s="3" t="s">
        <v>57</v>
      </c>
      <c r="B8" s="9">
        <v>0.30372949470803234</v>
      </c>
      <c r="C8" s="9">
        <v>0.13043478260869565</v>
      </c>
      <c r="D8" s="9">
        <v>0.17391304347826086</v>
      </c>
      <c r="E8" s="9">
        <v>0.2857142857142857</v>
      </c>
      <c r="F8" s="9">
        <v>0.28333333333333333</v>
      </c>
      <c r="G8" s="9">
        <v>0.18965517241379309</v>
      </c>
      <c r="H8" s="9">
        <v>0.21739130434782608</v>
      </c>
      <c r="I8" s="9">
        <v>0.99999999999999989</v>
      </c>
      <c r="J8" s="9">
        <f t="shared" si="0"/>
        <v>0.99999999999999989</v>
      </c>
      <c r="K8" s="9">
        <f t="shared" si="0"/>
        <v>0.99999999999999989</v>
      </c>
      <c r="L8" s="9">
        <f t="shared" si="0"/>
        <v>1</v>
      </c>
      <c r="M8" s="9">
        <f t="shared" si="0"/>
        <v>0.99999999999999989</v>
      </c>
      <c r="N8" s="9">
        <f t="shared" si="0"/>
        <v>1</v>
      </c>
      <c r="O8" s="9">
        <f t="shared" si="0"/>
        <v>1</v>
      </c>
      <c r="P8" s="9">
        <f t="shared" si="0"/>
        <v>1</v>
      </c>
    </row>
    <row r="10" spans="1:16" ht="28.8" x14ac:dyDescent="0.3">
      <c r="B10" s="1" t="s">
        <v>24</v>
      </c>
      <c r="C10" s="2" t="s">
        <v>32</v>
      </c>
      <c r="D10" s="2" t="s">
        <v>33</v>
      </c>
      <c r="E10" s="2" t="s">
        <v>34</v>
      </c>
      <c r="F10" s="2" t="s">
        <v>35</v>
      </c>
      <c r="G10" s="2" t="s">
        <v>36</v>
      </c>
      <c r="H10" s="2" t="s">
        <v>37</v>
      </c>
      <c r="J10" s="3"/>
      <c r="K10" s="13" t="s">
        <v>38</v>
      </c>
      <c r="L10" s="13" t="s">
        <v>39</v>
      </c>
      <c r="M10" s="13" t="s">
        <v>40</v>
      </c>
      <c r="N10" s="13" t="s">
        <v>41</v>
      </c>
      <c r="O10" s="13" t="s">
        <v>42</v>
      </c>
      <c r="P10" s="13" t="s">
        <v>43</v>
      </c>
    </row>
    <row r="11" spans="1:16" x14ac:dyDescent="0.3">
      <c r="B11" s="3" t="s">
        <v>55</v>
      </c>
      <c r="C11" s="9">
        <f t="shared" ref="C11:C17" si="1">C2-B2</f>
        <v>-3.8819687490350342E-2</v>
      </c>
      <c r="D11" s="9">
        <f t="shared" ref="D11:D17" si="2">D2-B2</f>
        <v>-1.7080557055567734E-2</v>
      </c>
      <c r="E11" s="9">
        <f t="shared" ref="E11:E17" si="3">E2-B2</f>
        <v>0.12991737255105751</v>
      </c>
      <c r="F11" s="9">
        <f t="shared" ref="F11:F17" si="4">F2-B2</f>
        <v>-4.389215125846628E-2</v>
      </c>
      <c r="G11" s="9">
        <f t="shared" ref="G11:G17" si="5">G2-B2</f>
        <v>8.4066993162463591E-3</v>
      </c>
      <c r="H11" s="9">
        <f t="shared" ref="H11:H17" si="6">H2-B2</f>
        <v>-6.055881792513295E-2</v>
      </c>
      <c r="J11" s="3" t="s">
        <v>55</v>
      </c>
      <c r="K11" s="3">
        <f>(J2-0) * ((K2+0))</f>
        <v>1.3164960418507164E-3</v>
      </c>
      <c r="L11" s="3">
        <f>(J2-0) * ((L2+0))</f>
        <v>2.6329920837014327E-3</v>
      </c>
      <c r="M11" s="3">
        <f>(J2-0) * ((M2+0))</f>
        <v>1.1535012938120561E-2</v>
      </c>
      <c r="N11" s="3">
        <f>(J2-0) * ((N2+0))</f>
        <v>1.0093136320855492E-3</v>
      </c>
      <c r="O11" s="3">
        <f>(J2-0) * ((O2+0))</f>
        <v>4.176470201733307E-3</v>
      </c>
      <c r="P11" s="3">
        <f>(J2-0) * ((P2+0))</f>
        <v>0</v>
      </c>
    </row>
    <row r="12" spans="1:16" x14ac:dyDescent="0.3">
      <c r="B12" s="3" t="s">
        <v>54</v>
      </c>
      <c r="C12" s="9">
        <f t="shared" si="1"/>
        <v>-3.577133638657988E-2</v>
      </c>
      <c r="D12" s="9">
        <f t="shared" si="2"/>
        <v>7.7069244829853362E-3</v>
      </c>
      <c r="E12" s="9">
        <f t="shared" si="3"/>
        <v>-3.163054963709748E-2</v>
      </c>
      <c r="F12" s="9">
        <f t="shared" si="4"/>
        <v>3.7417069410521572E-2</v>
      </c>
      <c r="G12" s="9">
        <f t="shared" si="5"/>
        <v>-4.4766838635455442E-2</v>
      </c>
      <c r="H12" s="9">
        <f t="shared" si="6"/>
        <v>-3.577133638657988E-2</v>
      </c>
      <c r="J12" s="3" t="s">
        <v>54</v>
      </c>
      <c r="K12" s="3">
        <f>(J3-J2) * ((K3+K2))</f>
        <v>6.8912693266213109E-3</v>
      </c>
      <c r="L12" s="3">
        <f>(J3-J2) * ((L3+L2))</f>
        <v>1.3782538653242622E-2</v>
      </c>
      <c r="M12" s="3">
        <f>(J3-J2) * ((M3+M2))</f>
        <v>3.3964113109776463E-2</v>
      </c>
      <c r="N12" s="3">
        <f>(J3-J2) * ((N3+N2))</f>
        <v>1.1887439588421762E-2</v>
      </c>
      <c r="O12" s="3">
        <f>(J3-J2) * ((O3+O2))</f>
        <v>1.3663723664852601E-2</v>
      </c>
      <c r="P12" s="3">
        <f>(J3-J2) * ((P3+P2))</f>
        <v>3.4456346633106555E-3</v>
      </c>
    </row>
    <row r="13" spans="1:16" x14ac:dyDescent="0.3">
      <c r="B13" s="3" t="s">
        <v>56</v>
      </c>
      <c r="C13" s="9">
        <f t="shared" si="1"/>
        <v>2.5652467639277074E-2</v>
      </c>
      <c r="D13" s="9">
        <f t="shared" si="2"/>
        <v>4.7391598074059682E-2</v>
      </c>
      <c r="E13" s="9">
        <f t="shared" si="3"/>
        <v>5.9813958322506883E-2</v>
      </c>
      <c r="F13" s="9">
        <f t="shared" si="4"/>
        <v>-1.6376517867969301E-2</v>
      </c>
      <c r="G13" s="9">
        <f t="shared" si="5"/>
        <v>-3.1319046603601484E-2</v>
      </c>
      <c r="H13" s="9">
        <f t="shared" si="6"/>
        <v>-8.3043184534635966E-2</v>
      </c>
      <c r="J13" s="3" t="s">
        <v>56</v>
      </c>
      <c r="K13" s="3">
        <f t="shared" ref="K13:K17" si="7">(J4-J3) * ((K4+K3))</f>
        <v>1.9858152823499904E-2</v>
      </c>
      <c r="L13" s="3">
        <f t="shared" ref="L13:L17" si="8">(J4-J3) * ((L4+L3))</f>
        <v>3.2495159165727115E-2</v>
      </c>
      <c r="M13" s="3">
        <f t="shared" ref="M13:M17" si="9">(J4-J3) * ((M4+M3))</f>
        <v>5.1407685664298458E-2</v>
      </c>
      <c r="N13" s="3">
        <f t="shared" ref="N13:N17" si="10">(J4-J3) * ((N4+N3))</f>
        <v>2.7681061511545327E-2</v>
      </c>
      <c r="O13" s="3">
        <f t="shared" ref="O13:O17" si="11">(J4-J3) * ((O4+O3))</f>
        <v>2.1476685655509302E-2</v>
      </c>
      <c r="P13" s="3">
        <f t="shared" ref="P13:P17" si="12">(J4-J3) * ((P4+P3))</f>
        <v>7.2211464812726922E-3</v>
      </c>
    </row>
    <row r="14" spans="1:16" x14ac:dyDescent="0.3">
      <c r="B14" s="3" t="s">
        <v>60</v>
      </c>
      <c r="C14" s="9">
        <f t="shared" si="1"/>
        <v>4.1051630293568064E-2</v>
      </c>
      <c r="D14" s="9">
        <f t="shared" si="2"/>
        <v>4.1051630293568064E-2</v>
      </c>
      <c r="E14" s="9">
        <f t="shared" si="3"/>
        <v>5.3473990542015265E-2</v>
      </c>
      <c r="F14" s="9">
        <f t="shared" si="4"/>
        <v>-2.2716485648460918E-2</v>
      </c>
      <c r="G14" s="9">
        <f t="shared" si="5"/>
        <v>6.5789261477975869E-2</v>
      </c>
      <c r="H14" s="9">
        <f t="shared" si="6"/>
        <v>4.1051630293568064E-2</v>
      </c>
      <c r="J14" s="3" t="s">
        <v>60</v>
      </c>
      <c r="K14" s="3">
        <f t="shared" si="7"/>
        <v>4.2748464150713178E-2</v>
      </c>
      <c r="L14" s="3">
        <f t="shared" si="8"/>
        <v>5.8293360205517973E-2</v>
      </c>
      <c r="M14" s="3">
        <f t="shared" si="9"/>
        <v>8.087047114225826E-2</v>
      </c>
      <c r="N14" s="3">
        <f t="shared" si="10"/>
        <v>4.1712137747059529E-2</v>
      </c>
      <c r="O14" s="3">
        <f t="shared" si="11"/>
        <v>4.1609398491524903E-2</v>
      </c>
      <c r="P14" s="3">
        <f t="shared" si="12"/>
        <v>1.9431120068505989E-2</v>
      </c>
    </row>
    <row r="15" spans="1:16" x14ac:dyDescent="0.3">
      <c r="B15" s="3" t="s">
        <v>59</v>
      </c>
      <c r="C15" s="9">
        <f t="shared" si="1"/>
        <v>0.17158997022821021</v>
      </c>
      <c r="D15" s="9">
        <f t="shared" si="2"/>
        <v>1.9416057184731952E-2</v>
      </c>
      <c r="E15" s="9">
        <f t="shared" si="3"/>
        <v>-6.339967780491608E-2</v>
      </c>
      <c r="F15" s="9">
        <f t="shared" si="4"/>
        <v>-1.1018725423963691E-2</v>
      </c>
      <c r="G15" s="9">
        <f t="shared" si="5"/>
        <v>-4.2053208182584387E-2</v>
      </c>
      <c r="H15" s="9">
        <f t="shared" si="6"/>
        <v>1.9416057184731952E-2</v>
      </c>
      <c r="J15" s="3" t="s">
        <v>59</v>
      </c>
      <c r="K15" s="3">
        <f t="shared" si="7"/>
        <v>9.895147266048937E-2</v>
      </c>
      <c r="L15" s="3">
        <f t="shared" si="8"/>
        <v>0.10136492321318423</v>
      </c>
      <c r="M15" s="3">
        <f t="shared" si="9"/>
        <v>0.12159193736910306</v>
      </c>
      <c r="N15" s="3">
        <f t="shared" si="10"/>
        <v>7.0311859435176996E-2</v>
      </c>
      <c r="O15" s="3">
        <f t="shared" si="11"/>
        <v>7.6564638223423229E-2</v>
      </c>
      <c r="P15" s="3">
        <f t="shared" si="12"/>
        <v>5.3095912159286981E-2</v>
      </c>
    </row>
    <row r="16" spans="1:16" x14ac:dyDescent="0.3">
      <c r="B16" s="3" t="s">
        <v>58</v>
      </c>
      <c r="C16" s="9">
        <f t="shared" si="1"/>
        <v>9.5916678152115353E-3</v>
      </c>
      <c r="D16" s="9">
        <f t="shared" si="2"/>
        <v>3.1330798249994185E-2</v>
      </c>
      <c r="E16" s="9">
        <f t="shared" si="3"/>
        <v>-0.13015988497981951</v>
      </c>
      <c r="F16" s="9">
        <f t="shared" si="4"/>
        <v>7.6982972163037622E-2</v>
      </c>
      <c r="G16" s="9">
        <f t="shared" si="5"/>
        <v>0.15801745492165831</v>
      </c>
      <c r="H16" s="9">
        <f t="shared" si="6"/>
        <v>0.20524384172825505</v>
      </c>
      <c r="J16" s="3" t="s">
        <v>58</v>
      </c>
      <c r="K16" s="3">
        <f t="shared" si="7"/>
        <v>0.39765523619731458</v>
      </c>
      <c r="L16" s="3">
        <f t="shared" si="8"/>
        <v>0.36797947230199268</v>
      </c>
      <c r="M16" s="3">
        <f t="shared" si="9"/>
        <v>0.35102189293323721</v>
      </c>
      <c r="N16" s="3">
        <f t="shared" si="10"/>
        <v>0.29576844682337589</v>
      </c>
      <c r="O16" s="3">
        <f t="shared" si="11"/>
        <v>0.32479611932328273</v>
      </c>
      <c r="P16" s="3">
        <f t="shared" si="12"/>
        <v>0.29675763895321988</v>
      </c>
    </row>
    <row r="17" spans="2:16" x14ac:dyDescent="0.3">
      <c r="B17" s="3" t="s">
        <v>57</v>
      </c>
      <c r="C17" s="9">
        <f t="shared" si="1"/>
        <v>-0.1732947120993367</v>
      </c>
      <c r="D17" s="9">
        <f t="shared" si="2"/>
        <v>-0.12981645122977148</v>
      </c>
      <c r="E17" s="9">
        <f t="shared" si="3"/>
        <v>-1.8015208993746645E-2</v>
      </c>
      <c r="F17" s="9">
        <f t="shared" si="4"/>
        <v>-2.0396161374699018E-2</v>
      </c>
      <c r="G17" s="9">
        <f t="shared" si="5"/>
        <v>-0.11407432229423925</v>
      </c>
      <c r="H17" s="9">
        <f t="shared" si="6"/>
        <v>-8.6338190360206263E-2</v>
      </c>
      <c r="J17" s="3" t="s">
        <v>57</v>
      </c>
      <c r="K17" s="3">
        <f t="shared" si="7"/>
        <v>0.56784209880197345</v>
      </c>
      <c r="L17" s="3">
        <f t="shared" si="8"/>
        <v>0.55463646859727644</v>
      </c>
      <c r="M17" s="3">
        <f t="shared" si="9"/>
        <v>0.52067913378519826</v>
      </c>
      <c r="N17" s="3">
        <f t="shared" si="10"/>
        <v>0.52140229924878889</v>
      </c>
      <c r="O17" s="3">
        <f t="shared" si="11"/>
        <v>0.54985511973005852</v>
      </c>
      <c r="P17" s="3">
        <f t="shared" si="12"/>
        <v>0.54143083839257933</v>
      </c>
    </row>
    <row r="18" spans="2:16" x14ac:dyDescent="0.3">
      <c r="J18" s="14" t="s">
        <v>44</v>
      </c>
      <c r="K18" s="13">
        <f>SUM(K11:K17)</f>
        <v>1.1352631900024626</v>
      </c>
      <c r="L18" s="13">
        <f t="shared" ref="L18:P18" si="13">SUM(L11:L17)</f>
        <v>1.1311849142206425</v>
      </c>
      <c r="M18" s="13">
        <f t="shared" si="13"/>
        <v>1.1710702469419925</v>
      </c>
      <c r="N18" s="13">
        <f t="shared" si="13"/>
        <v>0.96977255798645401</v>
      </c>
      <c r="O18" s="13">
        <f t="shared" si="13"/>
        <v>1.0321421552903847</v>
      </c>
      <c r="P18" s="13">
        <f t="shared" si="13"/>
        <v>0.92138229071817546</v>
      </c>
    </row>
    <row r="19" spans="2:16" x14ac:dyDescent="0.3">
      <c r="J19" s="15" t="s">
        <v>45</v>
      </c>
      <c r="K19" s="16">
        <f>1-K18</f>
        <v>-0.13526319000246256</v>
      </c>
      <c r="L19" s="16">
        <f t="shared" ref="L19:P19" si="14">1-L18</f>
        <v>-0.13118491422064249</v>
      </c>
      <c r="M19" s="16">
        <f t="shared" si="14"/>
        <v>-0.17107024694199247</v>
      </c>
      <c r="N19" s="16">
        <f t="shared" si="14"/>
        <v>3.0227442013545991E-2</v>
      </c>
      <c r="O19" s="16">
        <f t="shared" si="14"/>
        <v>-3.2142155290384666E-2</v>
      </c>
      <c r="P19" s="16">
        <f t="shared" si="14"/>
        <v>7.8617709281824544E-2</v>
      </c>
    </row>
  </sheetData>
  <sortState xmlns:xlrd2="http://schemas.microsoft.com/office/spreadsheetml/2017/richdata2" ref="A2:P9">
    <sortCondition ref="B1:B9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F1AF-9E1F-4058-8B15-79030D089122}">
  <dimension ref="A1:P21"/>
  <sheetViews>
    <sheetView zoomScale="90" zoomScaleNormal="90" workbookViewId="0">
      <selection activeCell="B21" sqref="B21"/>
    </sheetView>
  </sheetViews>
  <sheetFormatPr defaultRowHeight="14.4" x14ac:dyDescent="0.3"/>
  <sheetData>
    <row r="1" spans="1:16" ht="36.6" customHeight="1" x14ac:dyDescent="0.3">
      <c r="A1" s="19" t="s">
        <v>24</v>
      </c>
      <c r="B1" s="4" t="s">
        <v>25</v>
      </c>
      <c r="C1" s="5" t="s">
        <v>26</v>
      </c>
      <c r="D1" s="5" t="s">
        <v>27</v>
      </c>
      <c r="E1" s="5" t="s">
        <v>28</v>
      </c>
      <c r="F1" s="4" t="s">
        <v>29</v>
      </c>
      <c r="G1" s="5" t="s">
        <v>30</v>
      </c>
      <c r="H1" s="5" t="s">
        <v>31</v>
      </c>
      <c r="I1" s="6" t="s">
        <v>25</v>
      </c>
      <c r="J1" s="7" t="s">
        <v>25</v>
      </c>
      <c r="K1" s="8" t="s">
        <v>26</v>
      </c>
      <c r="L1" s="8" t="s">
        <v>27</v>
      </c>
      <c r="M1" s="8" t="s">
        <v>28</v>
      </c>
      <c r="N1" s="7" t="s">
        <v>29</v>
      </c>
      <c r="O1" s="8" t="s">
        <v>30</v>
      </c>
      <c r="P1" s="8" t="s">
        <v>31</v>
      </c>
    </row>
    <row r="2" spans="1:16" x14ac:dyDescent="0.3">
      <c r="A2" s="3" t="s">
        <v>66</v>
      </c>
      <c r="B2" s="9">
        <v>3.8139868606919439E-2</v>
      </c>
      <c r="C2" s="9">
        <v>2.4691358024691357E-2</v>
      </c>
      <c r="D2" s="9">
        <v>0.04</v>
      </c>
      <c r="E2" s="9">
        <v>7.3170731707317069E-2</v>
      </c>
      <c r="F2" s="9">
        <v>2.4691358024691357E-2</v>
      </c>
      <c r="G2" s="9">
        <v>4.0540540540540543E-2</v>
      </c>
      <c r="H2" s="9">
        <v>0.10606060606060606</v>
      </c>
      <c r="I2" s="9">
        <v>3.8139868606919439E-2</v>
      </c>
      <c r="J2" s="9">
        <v>3.8139868606919439E-2</v>
      </c>
      <c r="K2" s="9">
        <v>2.4691358024691357E-2</v>
      </c>
      <c r="L2" s="9">
        <v>0.04</v>
      </c>
      <c r="M2" s="9">
        <v>7.3170731707317069E-2</v>
      </c>
      <c r="N2" s="9">
        <v>2.4691358024691357E-2</v>
      </c>
      <c r="O2" s="9">
        <v>4.0540540540540543E-2</v>
      </c>
      <c r="P2" s="9">
        <v>0.10606060606060606</v>
      </c>
    </row>
    <row r="3" spans="1:16" x14ac:dyDescent="0.3">
      <c r="A3" s="3" t="s">
        <v>63</v>
      </c>
      <c r="B3" s="9">
        <v>4.2411264826565619E-2</v>
      </c>
      <c r="C3" s="9">
        <v>0</v>
      </c>
      <c r="D3" s="9">
        <v>0.04</v>
      </c>
      <c r="E3" s="9">
        <v>0</v>
      </c>
      <c r="F3" s="9">
        <v>3.7037037037037035E-2</v>
      </c>
      <c r="G3" s="9">
        <v>8.1081081081081086E-2</v>
      </c>
      <c r="H3" s="9">
        <v>3.0303030303030304E-2</v>
      </c>
      <c r="I3" s="9">
        <v>8.055113343348505E-2</v>
      </c>
      <c r="J3" s="9">
        <f t="shared" ref="J3:P9" si="0">J2+B3</f>
        <v>8.055113343348505E-2</v>
      </c>
      <c r="K3" s="9">
        <f t="shared" si="0"/>
        <v>2.4691358024691357E-2</v>
      </c>
      <c r="L3" s="20">
        <f t="shared" si="0"/>
        <v>0.08</v>
      </c>
      <c r="M3" s="9">
        <f t="shared" si="0"/>
        <v>7.3170731707317069E-2</v>
      </c>
      <c r="N3" s="9">
        <f t="shared" si="0"/>
        <v>6.1728395061728392E-2</v>
      </c>
      <c r="O3" s="9">
        <f t="shared" si="0"/>
        <v>0.12162162162162163</v>
      </c>
      <c r="P3" s="9">
        <f t="shared" si="0"/>
        <v>0.13636363636363635</v>
      </c>
    </row>
    <row r="4" spans="1:16" x14ac:dyDescent="0.3">
      <c r="A4" s="3" t="s">
        <v>65</v>
      </c>
      <c r="B4" s="9">
        <v>5.6346554855490033E-2</v>
      </c>
      <c r="C4" s="9">
        <v>7.407407407407407E-2</v>
      </c>
      <c r="D4" s="9">
        <v>0.08</v>
      </c>
      <c r="E4" s="9">
        <v>7.3170731707317069E-2</v>
      </c>
      <c r="F4" s="9">
        <v>3.7037037037037035E-2</v>
      </c>
      <c r="G4" s="9">
        <v>4.0540540540540543E-2</v>
      </c>
      <c r="H4" s="9">
        <v>3.0303030303030304E-2</v>
      </c>
      <c r="I4" s="9">
        <v>0.13689768828897508</v>
      </c>
      <c r="J4" s="9">
        <f t="shared" si="0"/>
        <v>0.13689768828897508</v>
      </c>
      <c r="K4" s="9">
        <f t="shared" si="0"/>
        <v>9.8765432098765427E-2</v>
      </c>
      <c r="L4" s="20">
        <f t="shared" si="0"/>
        <v>0.16</v>
      </c>
      <c r="M4" s="9">
        <f t="shared" si="0"/>
        <v>0.14634146341463414</v>
      </c>
      <c r="N4" s="9">
        <f t="shared" si="0"/>
        <v>9.8765432098765427E-2</v>
      </c>
      <c r="O4" s="9">
        <f t="shared" si="0"/>
        <v>0.16216216216216217</v>
      </c>
      <c r="P4" s="9">
        <f t="shared" si="0"/>
        <v>0.16666666666666666</v>
      </c>
    </row>
    <row r="5" spans="1:16" x14ac:dyDescent="0.3">
      <c r="A5" s="3" t="s">
        <v>68</v>
      </c>
      <c r="B5" s="9">
        <v>6.0830960335433532E-2</v>
      </c>
      <c r="C5" s="9">
        <v>0.18518518518518517</v>
      </c>
      <c r="D5" s="9">
        <v>0.08</v>
      </c>
      <c r="E5" s="9">
        <v>2.4390243902439025E-2</v>
      </c>
      <c r="F5" s="9">
        <v>4.9382716049382713E-2</v>
      </c>
      <c r="G5" s="9">
        <v>5.4054054054054057E-2</v>
      </c>
      <c r="H5" s="9">
        <v>0.19696969696969696</v>
      </c>
      <c r="I5" s="9">
        <v>0.19772864862440861</v>
      </c>
      <c r="J5" s="9">
        <f t="shared" si="0"/>
        <v>0.19772864862440861</v>
      </c>
      <c r="K5" s="9">
        <f t="shared" si="0"/>
        <v>0.2839506172839506</v>
      </c>
      <c r="L5" s="20">
        <f t="shared" si="0"/>
        <v>0.24</v>
      </c>
      <c r="M5" s="9">
        <f t="shared" si="0"/>
        <v>0.17073170731707316</v>
      </c>
      <c r="N5" s="9">
        <f t="shared" si="0"/>
        <v>0.14814814814814814</v>
      </c>
      <c r="O5" s="9">
        <f t="shared" si="0"/>
        <v>0.21621621621621623</v>
      </c>
      <c r="P5" s="9">
        <f t="shared" si="0"/>
        <v>0.36363636363636365</v>
      </c>
    </row>
    <row r="6" spans="1:16" x14ac:dyDescent="0.3">
      <c r="A6" s="3" t="s">
        <v>67</v>
      </c>
      <c r="B6" s="9">
        <v>6.8095697212941994E-2</v>
      </c>
      <c r="C6" s="9">
        <v>4.9382716049382713E-2</v>
      </c>
      <c r="D6" s="9">
        <v>0</v>
      </c>
      <c r="E6" s="9">
        <v>4.878048780487805E-2</v>
      </c>
      <c r="F6" s="9">
        <v>7.407407407407407E-2</v>
      </c>
      <c r="G6" s="9">
        <v>2.7027027027027029E-2</v>
      </c>
      <c r="H6" s="9">
        <v>4.5454545454545456E-2</v>
      </c>
      <c r="I6" s="9">
        <v>0.2658243458373506</v>
      </c>
      <c r="J6" s="9">
        <f t="shared" si="0"/>
        <v>0.2658243458373506</v>
      </c>
      <c r="K6" s="9">
        <f t="shared" si="0"/>
        <v>0.33333333333333331</v>
      </c>
      <c r="L6" s="20">
        <f t="shared" si="0"/>
        <v>0.24</v>
      </c>
      <c r="M6" s="9">
        <f t="shared" si="0"/>
        <v>0.21951219512195119</v>
      </c>
      <c r="N6" s="9">
        <f t="shared" si="0"/>
        <v>0.22222222222222221</v>
      </c>
      <c r="O6" s="9">
        <f t="shared" si="0"/>
        <v>0.24324324324324326</v>
      </c>
      <c r="P6" s="9">
        <f t="shared" si="0"/>
        <v>0.40909090909090912</v>
      </c>
    </row>
    <row r="7" spans="1:16" x14ac:dyDescent="0.3">
      <c r="A7" s="3" t="s">
        <v>61</v>
      </c>
      <c r="B7" s="9">
        <v>0.19502679432274267</v>
      </c>
      <c r="C7" s="9">
        <v>0.22222222222222221</v>
      </c>
      <c r="D7" s="9">
        <v>0.32</v>
      </c>
      <c r="E7" s="9">
        <v>0.34146341463414637</v>
      </c>
      <c r="F7" s="9">
        <v>0.33333333333333331</v>
      </c>
      <c r="G7" s="9">
        <v>0.3108108108108108</v>
      </c>
      <c r="H7" s="9">
        <v>0.27272727272727271</v>
      </c>
      <c r="I7" s="9">
        <v>0.46085114016009326</v>
      </c>
      <c r="J7" s="9">
        <f t="shared" si="0"/>
        <v>0.46085114016009326</v>
      </c>
      <c r="K7" s="9">
        <f t="shared" si="0"/>
        <v>0.55555555555555558</v>
      </c>
      <c r="L7" s="20">
        <f t="shared" si="0"/>
        <v>0.56000000000000005</v>
      </c>
      <c r="M7" s="9">
        <f t="shared" si="0"/>
        <v>0.56097560975609762</v>
      </c>
      <c r="N7" s="9">
        <f t="shared" si="0"/>
        <v>0.55555555555555558</v>
      </c>
      <c r="O7" s="9">
        <f t="shared" si="0"/>
        <v>0.55405405405405406</v>
      </c>
      <c r="P7" s="9">
        <f t="shared" si="0"/>
        <v>0.68181818181818188</v>
      </c>
    </row>
    <row r="8" spans="1:16" x14ac:dyDescent="0.3">
      <c r="A8" s="3" t="s">
        <v>64</v>
      </c>
      <c r="B8" s="9">
        <v>0.25757303975425461</v>
      </c>
      <c r="C8" s="9">
        <v>0.13580246913580246</v>
      </c>
      <c r="D8" s="9">
        <v>0.24</v>
      </c>
      <c r="E8" s="9">
        <v>0.14634146341463414</v>
      </c>
      <c r="F8" s="9">
        <v>0.14814814814814814</v>
      </c>
      <c r="G8" s="9">
        <v>0.27027027027027029</v>
      </c>
      <c r="H8" s="9">
        <v>0.19696969696969696</v>
      </c>
      <c r="I8" s="9">
        <v>0.71842417991434782</v>
      </c>
      <c r="J8" s="9">
        <f t="shared" si="0"/>
        <v>0.71842417991434782</v>
      </c>
      <c r="K8" s="9">
        <f t="shared" si="0"/>
        <v>0.69135802469135799</v>
      </c>
      <c r="L8" s="20">
        <f t="shared" si="0"/>
        <v>0.8</v>
      </c>
      <c r="M8" s="9">
        <f t="shared" si="0"/>
        <v>0.70731707317073178</v>
      </c>
      <c r="N8" s="9">
        <f t="shared" si="0"/>
        <v>0.70370370370370372</v>
      </c>
      <c r="O8" s="9">
        <f t="shared" si="0"/>
        <v>0.82432432432432434</v>
      </c>
      <c r="P8" s="9">
        <f t="shared" si="0"/>
        <v>0.8787878787878789</v>
      </c>
    </row>
    <row r="9" spans="1:16" x14ac:dyDescent="0.3">
      <c r="A9" s="3" t="s">
        <v>62</v>
      </c>
      <c r="B9" s="9">
        <v>0.28157582008565213</v>
      </c>
      <c r="C9" s="9">
        <v>0.30864197530864196</v>
      </c>
      <c r="D9" s="9">
        <v>0.2</v>
      </c>
      <c r="E9" s="9">
        <v>0.29268292682926828</v>
      </c>
      <c r="F9" s="9">
        <v>0.29629629629629628</v>
      </c>
      <c r="G9" s="9">
        <v>0.17567567567567569</v>
      </c>
      <c r="H9" s="9">
        <v>0.12121212121212122</v>
      </c>
      <c r="I9" s="9">
        <v>1</v>
      </c>
      <c r="J9" s="9">
        <f t="shared" si="0"/>
        <v>1</v>
      </c>
      <c r="K9" s="9">
        <f t="shared" si="0"/>
        <v>1</v>
      </c>
      <c r="L9" s="20">
        <f t="shared" si="0"/>
        <v>1</v>
      </c>
      <c r="M9" s="9">
        <f t="shared" si="0"/>
        <v>1</v>
      </c>
      <c r="N9" s="9">
        <f t="shared" si="0"/>
        <v>1</v>
      </c>
      <c r="O9" s="9">
        <f t="shared" si="0"/>
        <v>1</v>
      </c>
      <c r="P9" s="9">
        <f t="shared" si="0"/>
        <v>1</v>
      </c>
    </row>
    <row r="11" spans="1:16" ht="28.8" x14ac:dyDescent="0.3">
      <c r="B11" s="1" t="s">
        <v>24</v>
      </c>
      <c r="C11" s="2" t="s">
        <v>32</v>
      </c>
      <c r="D11" s="2" t="s">
        <v>33</v>
      </c>
      <c r="E11" s="2" t="s">
        <v>34</v>
      </c>
      <c r="F11" s="2" t="s">
        <v>35</v>
      </c>
      <c r="G11" s="2" t="s">
        <v>36</v>
      </c>
      <c r="H11" s="2" t="s">
        <v>37</v>
      </c>
      <c r="J11" s="3"/>
      <c r="K11" s="13" t="s">
        <v>38</v>
      </c>
      <c r="L11" s="13" t="s">
        <v>39</v>
      </c>
      <c r="M11" s="13" t="s">
        <v>40</v>
      </c>
      <c r="N11" s="13" t="s">
        <v>41</v>
      </c>
      <c r="O11" s="13" t="s">
        <v>42</v>
      </c>
      <c r="P11" s="13" t="s">
        <v>43</v>
      </c>
    </row>
    <row r="12" spans="1:16" x14ac:dyDescent="0.3">
      <c r="B12" s="3" t="s">
        <v>66</v>
      </c>
      <c r="C12" s="9">
        <f>C2-B2</f>
        <v>-1.3448510582228082E-2</v>
      </c>
      <c r="D12" s="9">
        <f>D2-B2</f>
        <v>1.8601313930805621E-3</v>
      </c>
      <c r="E12" s="9">
        <f>E2-B2</f>
        <v>3.503086310039763E-2</v>
      </c>
      <c r="F12" s="9">
        <f>F2-B2</f>
        <v>-1.3448510582228082E-2</v>
      </c>
      <c r="G12" s="9">
        <f>G2-B2</f>
        <v>2.4006719336211041E-3</v>
      </c>
      <c r="H12" s="9">
        <f>H2-B2</f>
        <v>6.7920737453686625E-2</v>
      </c>
      <c r="J12" s="3" t="s">
        <v>66</v>
      </c>
      <c r="K12" s="3">
        <f>(J2-0) * ((K2+0))</f>
        <v>9.4172515078813428E-4</v>
      </c>
      <c r="L12" s="3">
        <f>(J2-0) * ((L2+0))</f>
        <v>1.5255947442767775E-3</v>
      </c>
      <c r="M12" s="3">
        <f>(J2-0) * ((M2+0))</f>
        <v>2.790722093189227E-3</v>
      </c>
      <c r="N12" s="3">
        <f>(J2-0) * ((N2+0))</f>
        <v>9.4172515078813428E-4</v>
      </c>
      <c r="O12" s="3">
        <f>(J2-0) * ((O2+0))</f>
        <v>1.546210889469707E-3</v>
      </c>
      <c r="P12" s="3">
        <f>(J2-0) * ((P2+0))</f>
        <v>4.0451375795217586E-3</v>
      </c>
    </row>
    <row r="13" spans="1:16" x14ac:dyDescent="0.3">
      <c r="B13" s="3" t="s">
        <v>63</v>
      </c>
      <c r="C13" s="9">
        <f t="shared" ref="C13:C19" si="1">C3-B3</f>
        <v>-4.2411264826565619E-2</v>
      </c>
      <c r="D13" s="9">
        <f t="shared" ref="D13:D19" si="2">D3-B3</f>
        <v>-2.4112648265656178E-3</v>
      </c>
      <c r="E13" s="9">
        <f t="shared" ref="E13:E19" si="3">E3-B3</f>
        <v>-4.2411264826565619E-2</v>
      </c>
      <c r="F13" s="9">
        <f t="shared" ref="F13:F19" si="4">F3-B3</f>
        <v>-5.3742277895285837E-3</v>
      </c>
      <c r="G13" s="9">
        <f t="shared" ref="G13:G19" si="5">G3-B3</f>
        <v>3.8669816254515467E-2</v>
      </c>
      <c r="H13" s="9">
        <f t="shared" ref="H13:H19" si="6">H3-B3</f>
        <v>-1.2108234523535315E-2</v>
      </c>
      <c r="J13" s="3" t="s">
        <v>63</v>
      </c>
      <c r="K13" s="3">
        <f>(J3-J2) * ((K3+K2))</f>
        <v>2.0943834482254624E-3</v>
      </c>
      <c r="L13" s="3">
        <f>(J3-J2) * ((L3+L2))</f>
        <v>5.0893517791878728E-3</v>
      </c>
      <c r="M13" s="3">
        <f>(J3-J2) * ((M3+M2))</f>
        <v>6.2065265599852114E-3</v>
      </c>
      <c r="N13" s="3">
        <f>(J3-J2) * ((N3+N2))</f>
        <v>3.6651710343945589E-3</v>
      </c>
      <c r="O13" s="3">
        <f>(J3-J2) * ((O3+O2))</f>
        <v>6.8775024043079376E-3</v>
      </c>
      <c r="P13" s="3">
        <f>(J3-J2) * ((P3+P2))</f>
        <v>1.0281518745834087E-2</v>
      </c>
    </row>
    <row r="14" spans="1:16" x14ac:dyDescent="0.3">
      <c r="B14" s="3" t="s">
        <v>65</v>
      </c>
      <c r="C14" s="9">
        <f t="shared" si="1"/>
        <v>1.7727519218584037E-2</v>
      </c>
      <c r="D14" s="9">
        <f t="shared" si="2"/>
        <v>2.3653445144509969E-2</v>
      </c>
      <c r="E14" s="9">
        <f t="shared" si="3"/>
        <v>1.6824176851827036E-2</v>
      </c>
      <c r="F14" s="9">
        <f t="shared" si="4"/>
        <v>-1.9309517818452998E-2</v>
      </c>
      <c r="G14" s="9">
        <f t="shared" si="5"/>
        <v>-1.580601431494949E-2</v>
      </c>
      <c r="H14" s="9">
        <f t="shared" si="6"/>
        <v>-2.6043524552459729E-2</v>
      </c>
      <c r="J14" s="3" t="s">
        <v>65</v>
      </c>
      <c r="K14" s="3">
        <f t="shared" ref="K14:K19" si="7">(J4-J3) * ((K4+K3))</f>
        <v>6.9563647969740775E-3</v>
      </c>
      <c r="L14" s="3">
        <f t="shared" ref="L14:L19" si="8">(J4-J3) * ((L4+L3))</f>
        <v>1.3523173165317608E-2</v>
      </c>
      <c r="M14" s="3">
        <f t="shared" ref="M14:M19" si="9">(J4-J3) * ((M4+M3))</f>
        <v>1.2368755943888055E-2</v>
      </c>
      <c r="N14" s="3">
        <f t="shared" ref="N14:N19" si="10">(J4-J3) * ((N4+N3))</f>
        <v>9.0432742360663006E-3</v>
      </c>
      <c r="O14" s="3">
        <f t="shared" ref="O14:O19" si="11">(J4-J3) * ((O4+O3))</f>
        <v>1.5990238540071495E-2</v>
      </c>
      <c r="P14" s="3">
        <f t="shared" ref="P14:P19" si="12">(J4-J3) * ((P4+P3))</f>
        <v>1.7074713592572736E-2</v>
      </c>
    </row>
    <row r="15" spans="1:16" x14ac:dyDescent="0.3">
      <c r="B15" s="3" t="s">
        <v>68</v>
      </c>
      <c r="C15" s="9">
        <f t="shared" si="1"/>
        <v>0.12435422484975164</v>
      </c>
      <c r="D15" s="9">
        <f t="shared" si="2"/>
        <v>1.916903966456647E-2</v>
      </c>
      <c r="E15" s="9">
        <f t="shared" si="3"/>
        <v>-3.6440716432994506E-2</v>
      </c>
      <c r="F15" s="9">
        <f t="shared" si="4"/>
        <v>-1.1448244286050818E-2</v>
      </c>
      <c r="G15" s="9">
        <f t="shared" si="5"/>
        <v>-6.7769062813794745E-3</v>
      </c>
      <c r="H15" s="9">
        <f t="shared" si="6"/>
        <v>0.13613873663426343</v>
      </c>
      <c r="J15" s="3" t="s">
        <v>68</v>
      </c>
      <c r="K15" s="3">
        <f t="shared" si="7"/>
        <v>2.328098481973382E-2</v>
      </c>
      <c r="L15" s="3">
        <f t="shared" si="8"/>
        <v>2.4332384134173414E-2</v>
      </c>
      <c r="M15" s="3">
        <f t="shared" si="9"/>
        <v>1.9287865472210629E-2</v>
      </c>
      <c r="N15" s="3">
        <f t="shared" si="10"/>
        <v>1.5019990206279884E-2</v>
      </c>
      <c r="O15" s="3">
        <f t="shared" si="11"/>
        <v>2.3017120126920795E-2</v>
      </c>
      <c r="P15" s="3">
        <f t="shared" si="12"/>
        <v>3.225884260212384E-2</v>
      </c>
    </row>
    <row r="16" spans="1:16" x14ac:dyDescent="0.3">
      <c r="B16" s="3" t="s">
        <v>67</v>
      </c>
      <c r="C16" s="9">
        <f t="shared" si="1"/>
        <v>-1.8712981163559281E-2</v>
      </c>
      <c r="D16" s="9">
        <f t="shared" si="2"/>
        <v>-6.8095697212941994E-2</v>
      </c>
      <c r="E16" s="9">
        <f t="shared" si="3"/>
        <v>-1.9315209408063944E-2</v>
      </c>
      <c r="F16" s="9">
        <f t="shared" si="4"/>
        <v>5.9783768611320759E-3</v>
      </c>
      <c r="G16" s="9">
        <f t="shared" si="5"/>
        <v>-4.1068670185914966E-2</v>
      </c>
      <c r="H16" s="9">
        <f t="shared" si="6"/>
        <v>-2.2641151758396538E-2</v>
      </c>
      <c r="J16" s="3" t="s">
        <v>67</v>
      </c>
      <c r="K16" s="3">
        <f t="shared" si="7"/>
        <v>4.2034380995643196E-2</v>
      </c>
      <c r="L16" s="3">
        <f t="shared" si="8"/>
        <v>3.2685934662212146E-2</v>
      </c>
      <c r="M16" s="3">
        <f t="shared" si="9"/>
        <v>2.6573930619684671E-2</v>
      </c>
      <c r="N16" s="3">
        <f t="shared" si="10"/>
        <v>2.5220628597385917E-2</v>
      </c>
      <c r="O16" s="3">
        <f t="shared" si="11"/>
        <v>3.1287212232973344E-2</v>
      </c>
      <c r="P16" s="3">
        <f t="shared" si="12"/>
        <v>5.2619402391818802E-2</v>
      </c>
    </row>
    <row r="17" spans="2:16" x14ac:dyDescent="0.3">
      <c r="B17" s="3" t="s">
        <v>61</v>
      </c>
      <c r="C17" s="9">
        <f t="shared" si="1"/>
        <v>2.7195427899479541E-2</v>
      </c>
      <c r="D17" s="9">
        <f t="shared" si="2"/>
        <v>0.12497320567725734</v>
      </c>
      <c r="E17" s="9">
        <f t="shared" si="3"/>
        <v>0.1464366203114037</v>
      </c>
      <c r="F17" s="9">
        <f t="shared" si="4"/>
        <v>0.13830653901059065</v>
      </c>
      <c r="G17" s="9">
        <f t="shared" si="5"/>
        <v>0.11578401648806813</v>
      </c>
      <c r="H17" s="9">
        <f t="shared" si="6"/>
        <v>7.7700478404530038E-2</v>
      </c>
      <c r="J17" s="3" t="s">
        <v>61</v>
      </c>
      <c r="K17" s="3">
        <f t="shared" si="7"/>
        <v>0.17335715050910458</v>
      </c>
      <c r="L17" s="3">
        <f t="shared" si="8"/>
        <v>0.15602143545819414</v>
      </c>
      <c r="M17" s="3">
        <f t="shared" si="9"/>
        <v>0.15221603459336014</v>
      </c>
      <c r="N17" s="3">
        <f t="shared" si="10"/>
        <v>0.15168750669546652</v>
      </c>
      <c r="O17" s="3">
        <f t="shared" si="11"/>
        <v>0.15549433601407864</v>
      </c>
      <c r="P17" s="3">
        <f t="shared" si="12"/>
        <v>0.21275650289753748</v>
      </c>
    </row>
    <row r="18" spans="2:16" x14ac:dyDescent="0.3">
      <c r="B18" s="3" t="s">
        <v>64</v>
      </c>
      <c r="C18" s="9">
        <f t="shared" si="1"/>
        <v>-0.12177057061845215</v>
      </c>
      <c r="D18" s="9">
        <f t="shared" si="2"/>
        <v>-1.7573039754254616E-2</v>
      </c>
      <c r="E18" s="9">
        <f t="shared" si="3"/>
        <v>-0.11123157633962047</v>
      </c>
      <c r="F18" s="9">
        <f t="shared" si="4"/>
        <v>-0.10942489160610647</v>
      </c>
      <c r="G18" s="9">
        <f t="shared" si="5"/>
        <v>1.2697230516015678E-2</v>
      </c>
      <c r="H18" s="9">
        <f t="shared" si="6"/>
        <v>-6.0603342784557646E-2</v>
      </c>
      <c r="J18" s="3" t="s">
        <v>64</v>
      </c>
      <c r="K18" s="3">
        <f t="shared" si="7"/>
        <v>0.32117132117505814</v>
      </c>
      <c r="L18" s="3">
        <f t="shared" si="8"/>
        <v>0.35029933406578623</v>
      </c>
      <c r="M18" s="3">
        <f t="shared" si="9"/>
        <v>0.32667800163954241</v>
      </c>
      <c r="N18" s="3">
        <f t="shared" si="10"/>
        <v>0.32435123524609832</v>
      </c>
      <c r="O18" s="3">
        <f t="shared" si="11"/>
        <v>0.35503310885045902</v>
      </c>
      <c r="P18" s="3">
        <f t="shared" si="12"/>
        <v>0.4019700468892155</v>
      </c>
    </row>
    <row r="19" spans="2:16" x14ac:dyDescent="0.3">
      <c r="B19" s="3" t="s">
        <v>62</v>
      </c>
      <c r="C19" s="9">
        <f t="shared" si="1"/>
        <v>2.7066155222989829E-2</v>
      </c>
      <c r="D19" s="9">
        <f t="shared" si="2"/>
        <v>-8.1575820085652118E-2</v>
      </c>
      <c r="E19" s="9">
        <f t="shared" si="3"/>
        <v>1.1107106743616146E-2</v>
      </c>
      <c r="F19" s="9">
        <f t="shared" si="4"/>
        <v>1.4720476210644151E-2</v>
      </c>
      <c r="G19" s="9">
        <f t="shared" si="5"/>
        <v>-0.10590014440997644</v>
      </c>
      <c r="H19" s="9">
        <f t="shared" si="6"/>
        <v>-0.16036369887353091</v>
      </c>
      <c r="J19" s="3" t="s">
        <v>62</v>
      </c>
      <c r="K19" s="3">
        <f t="shared" si="7"/>
        <v>0.47624552286091787</v>
      </c>
      <c r="L19" s="3">
        <f t="shared" si="8"/>
        <v>0.50683647615417393</v>
      </c>
      <c r="M19" s="3">
        <f t="shared" si="9"/>
        <v>0.48073920502428424</v>
      </c>
      <c r="N19" s="3">
        <f t="shared" si="10"/>
        <v>0.47972176755333334</v>
      </c>
      <c r="O19" s="3">
        <f t="shared" si="11"/>
        <v>0.51368561772382493</v>
      </c>
      <c r="P19" s="3">
        <f t="shared" si="12"/>
        <v>0.52902123773667986</v>
      </c>
    </row>
    <row r="20" spans="2:16" x14ac:dyDescent="0.3">
      <c r="J20" s="13" t="s">
        <v>44</v>
      </c>
      <c r="K20" s="13">
        <f>SUM(K12:K19)</f>
        <v>1.0460818337564453</v>
      </c>
      <c r="L20" s="13">
        <f t="shared" ref="L20:P20" si="13">SUM(L12:L19)</f>
        <v>1.0903136841633221</v>
      </c>
      <c r="M20" s="13">
        <f t="shared" si="13"/>
        <v>1.0268610419461446</v>
      </c>
      <c r="N20" s="13">
        <f t="shared" si="13"/>
        <v>1.009651298719813</v>
      </c>
      <c r="O20" s="13">
        <f t="shared" si="13"/>
        <v>1.1029313467821058</v>
      </c>
      <c r="P20" s="13">
        <f t="shared" si="13"/>
        <v>1.260027402435304</v>
      </c>
    </row>
    <row r="21" spans="2:16" x14ac:dyDescent="0.3">
      <c r="J21" s="16" t="s">
        <v>45</v>
      </c>
      <c r="K21" s="16">
        <f>1-K20</f>
        <v>-4.6081833756445256E-2</v>
      </c>
      <c r="L21" s="16">
        <f t="shared" ref="L21:P21" si="14">1-L20</f>
        <v>-9.0313684163322083E-2</v>
      </c>
      <c r="M21" s="16">
        <f t="shared" si="14"/>
        <v>-2.6861041946144582E-2</v>
      </c>
      <c r="N21" s="16">
        <f t="shared" si="14"/>
        <v>-9.6512987198129618E-3</v>
      </c>
      <c r="O21" s="16">
        <f t="shared" si="14"/>
        <v>-0.1029313467821058</v>
      </c>
      <c r="P21" s="16">
        <f t="shared" si="14"/>
        <v>-0.26002740243530398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4A120-D33E-4554-86DF-A1B5DC9D1568}">
  <dimension ref="A1:W31"/>
  <sheetViews>
    <sheetView zoomScale="64" zoomScaleNormal="100" workbookViewId="0">
      <selection activeCell="A18" sqref="A18"/>
    </sheetView>
  </sheetViews>
  <sheetFormatPr defaultRowHeight="14.4" x14ac:dyDescent="0.3"/>
  <cols>
    <col min="1" max="1" width="15" customWidth="1"/>
  </cols>
  <sheetData>
    <row r="1" spans="1:16" ht="36.6" customHeight="1" x14ac:dyDescent="0.3">
      <c r="A1" s="19" t="s">
        <v>24</v>
      </c>
      <c r="B1" s="4" t="s">
        <v>25</v>
      </c>
      <c r="C1" s="5" t="s">
        <v>26</v>
      </c>
      <c r="D1" s="5" t="s">
        <v>27</v>
      </c>
      <c r="E1" s="5" t="s">
        <v>28</v>
      </c>
      <c r="F1" s="4" t="s">
        <v>29</v>
      </c>
      <c r="G1" s="5" t="s">
        <v>30</v>
      </c>
      <c r="H1" s="5" t="s">
        <v>31</v>
      </c>
      <c r="I1" s="6" t="s">
        <v>25</v>
      </c>
      <c r="J1" s="7" t="s">
        <v>25</v>
      </c>
      <c r="K1" s="8" t="s">
        <v>26</v>
      </c>
      <c r="L1" s="8" t="s">
        <v>27</v>
      </c>
      <c r="M1" s="8" t="s">
        <v>28</v>
      </c>
      <c r="N1" s="7" t="s">
        <v>29</v>
      </c>
      <c r="O1" s="8" t="s">
        <v>30</v>
      </c>
      <c r="P1" s="8" t="s">
        <v>31</v>
      </c>
    </row>
    <row r="2" spans="1:16" x14ac:dyDescent="0.3">
      <c r="A2" s="3" t="s">
        <v>71</v>
      </c>
      <c r="B2" s="9">
        <v>0.1189355455096239</v>
      </c>
      <c r="C2" s="9">
        <v>0.11538461538461539</v>
      </c>
      <c r="D2" s="9">
        <v>0</v>
      </c>
      <c r="E2" s="9">
        <v>0.1111111111111111</v>
      </c>
      <c r="F2" s="9">
        <v>0.11428571428571428</v>
      </c>
      <c r="G2" s="9">
        <v>0.15789473684210525</v>
      </c>
      <c r="H2" s="9">
        <v>0.125</v>
      </c>
      <c r="I2" s="9">
        <v>0.1189355455096239</v>
      </c>
      <c r="J2" s="9">
        <v>0.1189355455096239</v>
      </c>
      <c r="K2" s="9">
        <v>0.11538461538461539</v>
      </c>
      <c r="L2" s="9">
        <v>0</v>
      </c>
      <c r="M2" s="9">
        <v>0.1111111111111111</v>
      </c>
      <c r="N2" s="9">
        <v>0.11428571428571428</v>
      </c>
      <c r="O2" s="9">
        <v>0.15789473684210525</v>
      </c>
      <c r="P2" s="9">
        <v>0.125</v>
      </c>
    </row>
    <row r="3" spans="1:16" x14ac:dyDescent="0.3">
      <c r="A3" s="3" t="s">
        <v>72</v>
      </c>
      <c r="B3" s="9">
        <v>0.23032110733094094</v>
      </c>
      <c r="C3" s="9">
        <v>0.26923076923076922</v>
      </c>
      <c r="D3" s="9">
        <v>0.27777777777777779</v>
      </c>
      <c r="E3" s="9">
        <v>0.37037037037037035</v>
      </c>
      <c r="F3" s="9">
        <v>0.5714285714285714</v>
      </c>
      <c r="G3" s="9">
        <v>0.31578947368421051</v>
      </c>
      <c r="H3" s="9">
        <v>0.25</v>
      </c>
      <c r="I3" s="9">
        <v>0.34925665284056484</v>
      </c>
      <c r="J3" s="9">
        <f>J2+B3</f>
        <v>0.34925665284056484</v>
      </c>
      <c r="K3" s="9">
        <f t="shared" ref="K3:P5" si="0">K2+C3</f>
        <v>0.38461538461538458</v>
      </c>
      <c r="L3" s="9">
        <f t="shared" si="0"/>
        <v>0.27777777777777779</v>
      </c>
      <c r="M3" s="9">
        <f t="shared" si="0"/>
        <v>0.48148148148148145</v>
      </c>
      <c r="N3" s="9">
        <f t="shared" si="0"/>
        <v>0.68571428571428572</v>
      </c>
      <c r="O3" s="9">
        <f t="shared" si="0"/>
        <v>0.47368421052631576</v>
      </c>
      <c r="P3" s="9">
        <f t="shared" si="0"/>
        <v>0.375</v>
      </c>
    </row>
    <row r="4" spans="1:16" x14ac:dyDescent="0.3">
      <c r="A4" s="3" t="s">
        <v>70</v>
      </c>
      <c r="B4" s="9">
        <v>0.31036491587826814</v>
      </c>
      <c r="C4" s="9">
        <v>0.46153846153846156</v>
      </c>
      <c r="D4" s="9">
        <v>0.33333333333333331</v>
      </c>
      <c r="E4" s="9">
        <v>0.25925925925925924</v>
      </c>
      <c r="F4" s="9">
        <v>0.17142857142857143</v>
      </c>
      <c r="G4" s="9">
        <v>0.31578947368421051</v>
      </c>
      <c r="H4" s="9">
        <v>0.5</v>
      </c>
      <c r="I4" s="9">
        <v>0.65962156871883293</v>
      </c>
      <c r="J4" s="9">
        <f t="shared" ref="J4:J5" si="1">J3+B4</f>
        <v>0.65962156871883293</v>
      </c>
      <c r="K4" s="9">
        <f t="shared" si="0"/>
        <v>0.84615384615384615</v>
      </c>
      <c r="L4" s="9">
        <f t="shared" si="0"/>
        <v>0.61111111111111116</v>
      </c>
      <c r="M4" s="9">
        <f t="shared" si="0"/>
        <v>0.7407407407407407</v>
      </c>
      <c r="N4" s="9">
        <f t="shared" si="0"/>
        <v>0.85714285714285721</v>
      </c>
      <c r="O4" s="9">
        <f t="shared" si="0"/>
        <v>0.78947368421052633</v>
      </c>
      <c r="P4" s="9">
        <f t="shared" si="0"/>
        <v>0.875</v>
      </c>
    </row>
    <row r="5" spans="1:16" x14ac:dyDescent="0.3">
      <c r="A5" s="3" t="s">
        <v>69</v>
      </c>
      <c r="B5" s="9">
        <v>0.34037843128116696</v>
      </c>
      <c r="C5" s="9">
        <v>0.15384615384615385</v>
      </c>
      <c r="D5" s="9">
        <v>0.3888888888888889</v>
      </c>
      <c r="E5" s="9">
        <v>0.25925925925925924</v>
      </c>
      <c r="F5" s="9">
        <v>0.14285714285714285</v>
      </c>
      <c r="G5" s="9">
        <v>0.21052631578947367</v>
      </c>
      <c r="H5" s="9">
        <v>0.125</v>
      </c>
      <c r="I5" s="9">
        <v>0.99999999999999989</v>
      </c>
      <c r="J5" s="9">
        <f t="shared" si="1"/>
        <v>0.99999999999999989</v>
      </c>
      <c r="K5" s="9">
        <f t="shared" si="0"/>
        <v>1</v>
      </c>
      <c r="L5" s="9">
        <f t="shared" si="0"/>
        <v>1</v>
      </c>
      <c r="M5" s="9">
        <f t="shared" si="0"/>
        <v>1</v>
      </c>
      <c r="N5" s="9">
        <f t="shared" si="0"/>
        <v>1</v>
      </c>
      <c r="O5" s="9">
        <f t="shared" si="0"/>
        <v>1</v>
      </c>
      <c r="P5" s="9">
        <f t="shared" si="0"/>
        <v>1</v>
      </c>
    </row>
    <row r="7" spans="1:16" ht="28.8" x14ac:dyDescent="0.3">
      <c r="B7" s="1" t="s">
        <v>24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37</v>
      </c>
      <c r="J7" s="3"/>
      <c r="K7" s="13" t="s">
        <v>38</v>
      </c>
      <c r="L7" s="13" t="s">
        <v>39</v>
      </c>
      <c r="M7" s="13" t="s">
        <v>40</v>
      </c>
      <c r="N7" s="13" t="s">
        <v>41</v>
      </c>
      <c r="O7" s="13" t="s">
        <v>42</v>
      </c>
      <c r="P7" s="13" t="s">
        <v>43</v>
      </c>
    </row>
    <row r="8" spans="1:16" x14ac:dyDescent="0.3">
      <c r="B8" s="3" t="s">
        <v>71</v>
      </c>
      <c r="C8" s="9">
        <f>C2-B2</f>
        <v>-3.5509301250085112E-3</v>
      </c>
      <c r="D8" s="9">
        <f>D2-B2</f>
        <v>-0.1189355455096239</v>
      </c>
      <c r="E8" s="9">
        <f>E2-B2</f>
        <v>-7.8244343985127973E-3</v>
      </c>
      <c r="F8" s="9">
        <f>F2-B2</f>
        <v>-4.6498312239096201E-3</v>
      </c>
      <c r="G8" s="9">
        <f>G2-B2</f>
        <v>3.8959191332481352E-2</v>
      </c>
      <c r="H8" s="9">
        <f>H2-B2</f>
        <v>6.0644544903760977E-3</v>
      </c>
      <c r="J8" s="3" t="s">
        <v>71</v>
      </c>
      <c r="K8" s="3">
        <f>($J2-0) * ((K2+0))</f>
        <v>1.3723332174187374E-2</v>
      </c>
      <c r="L8" s="3">
        <f t="shared" ref="L8:P8" si="2">($J2-0) * ((L2+0))</f>
        <v>0</v>
      </c>
      <c r="M8" s="3">
        <f t="shared" si="2"/>
        <v>1.3215060612180432E-2</v>
      </c>
      <c r="N8" s="3">
        <f t="shared" si="2"/>
        <v>1.3592633772528446E-2</v>
      </c>
      <c r="O8" s="3">
        <f t="shared" si="2"/>
        <v>1.8779296659414298E-2</v>
      </c>
      <c r="P8" s="3">
        <f t="shared" si="2"/>
        <v>1.4866943188702988E-2</v>
      </c>
    </row>
    <row r="9" spans="1:16" x14ac:dyDescent="0.3">
      <c r="B9" s="3" t="s">
        <v>72</v>
      </c>
      <c r="C9" s="9">
        <f t="shared" ref="C9:C11" si="3">C3-B3</f>
        <v>3.8909661899828279E-2</v>
      </c>
      <c r="D9" s="9">
        <f t="shared" ref="D9:D11" si="4">D3-B3</f>
        <v>4.7456670446836852E-2</v>
      </c>
      <c r="E9" s="9">
        <f t="shared" ref="E9:E11" si="5">E3-B3</f>
        <v>0.14004926303942941</v>
      </c>
      <c r="F9" s="9">
        <f t="shared" ref="F9:F11" si="6">F3-B3</f>
        <v>0.34110746409763049</v>
      </c>
      <c r="G9" s="9">
        <f t="shared" ref="G9:G11" si="7">G3-B3</f>
        <v>8.546836635326957E-2</v>
      </c>
      <c r="H9" s="9">
        <f t="shared" ref="H9:H11" si="8">H3-B3</f>
        <v>1.9678892669059062E-2</v>
      </c>
      <c r="J9" s="3" t="s">
        <v>72</v>
      </c>
      <c r="K9" s="3">
        <f>($J3-$J2) * ((K3+K2))</f>
        <v>0.11516055366547047</v>
      </c>
      <c r="L9" s="3">
        <f t="shared" ref="L9:P9" si="9">($J3-$J2) * ((L3+L2))</f>
        <v>6.3978085369705825E-2</v>
      </c>
      <c r="M9" s="3">
        <f t="shared" si="9"/>
        <v>0.13648658212203907</v>
      </c>
      <c r="N9" s="3">
        <f t="shared" si="9"/>
        <v>0.18425688586475275</v>
      </c>
      <c r="O9" s="3">
        <f t="shared" si="9"/>
        <v>0.14546596252480479</v>
      </c>
      <c r="P9" s="3">
        <f t="shared" si="9"/>
        <v>0.11516055366547047</v>
      </c>
    </row>
    <row r="10" spans="1:16" x14ac:dyDescent="0.3">
      <c r="B10" s="3" t="s">
        <v>70</v>
      </c>
      <c r="C10" s="9">
        <f t="shared" si="3"/>
        <v>0.15117354566019342</v>
      </c>
      <c r="D10" s="9">
        <f t="shared" si="4"/>
        <v>2.2968417455065171E-2</v>
      </c>
      <c r="E10" s="9">
        <f t="shared" si="5"/>
        <v>-5.1105656619008899E-2</v>
      </c>
      <c r="F10" s="9">
        <f t="shared" si="6"/>
        <v>-0.13893634444969671</v>
      </c>
      <c r="G10" s="9">
        <f t="shared" si="7"/>
        <v>5.4245578059423649E-3</v>
      </c>
      <c r="H10" s="9">
        <f t="shared" si="8"/>
        <v>0.18963508412173186</v>
      </c>
      <c r="J10" s="3" t="s">
        <v>70</v>
      </c>
      <c r="K10" s="3">
        <f t="shared" ref="K10:P11" si="10">($J4-$J3) * ((K4+K3))</f>
        <v>0.38198758877325306</v>
      </c>
      <c r="L10" s="3">
        <f t="shared" si="10"/>
        <v>0.27587992522512722</v>
      </c>
      <c r="M10" s="3">
        <f t="shared" si="10"/>
        <v>0.37933489718454982</v>
      </c>
      <c r="N10" s="3">
        <f t="shared" si="10"/>
        <v>0.47884872735504219</v>
      </c>
      <c r="O10" s="3">
        <f t="shared" si="10"/>
        <v>0.3920398937409702</v>
      </c>
      <c r="P10" s="3">
        <f t="shared" si="10"/>
        <v>0.38795614484783514</v>
      </c>
    </row>
    <row r="11" spans="1:16" x14ac:dyDescent="0.3">
      <c r="B11" s="3" t="s">
        <v>69</v>
      </c>
      <c r="C11" s="9">
        <f t="shared" si="3"/>
        <v>-0.18653227743501311</v>
      </c>
      <c r="D11" s="9">
        <f t="shared" si="4"/>
        <v>4.8510457607721935E-2</v>
      </c>
      <c r="E11" s="9">
        <f t="shared" si="5"/>
        <v>-8.1119172021907715E-2</v>
      </c>
      <c r="F11" s="9">
        <f t="shared" si="6"/>
        <v>-0.19752128842402411</v>
      </c>
      <c r="G11" s="9">
        <f t="shared" si="7"/>
        <v>-0.12985211549169329</v>
      </c>
      <c r="H11" s="9">
        <f t="shared" si="8"/>
        <v>-0.21537843128116696</v>
      </c>
      <c r="J11" s="3" t="s">
        <v>69</v>
      </c>
      <c r="K11" s="3">
        <f t="shared" si="10"/>
        <v>0.62839095005753909</v>
      </c>
      <c r="L11" s="3">
        <f t="shared" si="10"/>
        <v>0.54838747261965792</v>
      </c>
      <c r="M11" s="3">
        <f t="shared" si="10"/>
        <v>0.59251060260054988</v>
      </c>
      <c r="N11" s="3">
        <f t="shared" si="10"/>
        <v>0.63213137237931005</v>
      </c>
      <c r="O11" s="3">
        <f t="shared" si="10"/>
        <v>0.60909824545050928</v>
      </c>
      <c r="P11" s="3">
        <f t="shared" si="10"/>
        <v>0.63820955865218809</v>
      </c>
    </row>
    <row r="12" spans="1:16" x14ac:dyDescent="0.3">
      <c r="J12" s="14" t="s">
        <v>44</v>
      </c>
      <c r="K12" s="13">
        <f>SUM(K8:K11)</f>
        <v>1.1392624246704499</v>
      </c>
      <c r="L12" s="13">
        <f t="shared" ref="L12:P12" si="11">SUM(L8:L11)</f>
        <v>0.88824548321449104</v>
      </c>
      <c r="M12" s="13">
        <f t="shared" si="11"/>
        <v>1.1215471425193191</v>
      </c>
      <c r="N12" s="13">
        <f t="shared" si="11"/>
        <v>1.3088296193716333</v>
      </c>
      <c r="O12" s="13">
        <f t="shared" si="11"/>
        <v>1.1653833983756985</v>
      </c>
      <c r="P12" s="13">
        <f t="shared" si="11"/>
        <v>1.1561932003541968</v>
      </c>
    </row>
    <row r="13" spans="1:16" x14ac:dyDescent="0.3">
      <c r="J13" s="15" t="s">
        <v>45</v>
      </c>
      <c r="K13" s="16">
        <f>1-K12</f>
        <v>-0.13926242467044991</v>
      </c>
      <c r="L13" s="16">
        <f t="shared" ref="L13:P13" si="12">1-L12</f>
        <v>0.11175451678550896</v>
      </c>
      <c r="M13" s="16">
        <f t="shared" si="12"/>
        <v>-0.12154714251931908</v>
      </c>
      <c r="N13" s="16">
        <f t="shared" si="12"/>
        <v>-0.30882961937163333</v>
      </c>
      <c r="O13" s="16">
        <f t="shared" si="12"/>
        <v>-0.16538339837569849</v>
      </c>
      <c r="P13" s="16">
        <f t="shared" si="12"/>
        <v>-0.15619320035419682</v>
      </c>
    </row>
    <row r="19" spans="8:23" x14ac:dyDescent="0.3">
      <c r="H19" s="24"/>
      <c r="I19" s="25"/>
      <c r="J19" s="25"/>
      <c r="K19" s="25"/>
      <c r="L19" s="25"/>
      <c r="M19" s="25"/>
      <c r="N19" s="25"/>
      <c r="O19" s="25"/>
      <c r="P19" s="24"/>
      <c r="Q19" s="25"/>
      <c r="R19" s="25"/>
      <c r="S19" s="25"/>
      <c r="T19" s="25"/>
      <c r="U19" s="25"/>
      <c r="V19" s="25"/>
      <c r="W19" s="25"/>
    </row>
    <row r="20" spans="8:23" x14ac:dyDescent="0.3">
      <c r="I20" s="26"/>
      <c r="J20" s="26"/>
      <c r="K20" s="26"/>
      <c r="L20" s="26"/>
      <c r="M20" s="26"/>
      <c r="N20" s="26"/>
      <c r="O20" s="26"/>
      <c r="P20" s="27"/>
      <c r="Q20" s="26"/>
      <c r="R20" s="26"/>
      <c r="S20" s="26"/>
      <c r="T20" s="26"/>
      <c r="U20" s="26"/>
      <c r="V20" s="26"/>
      <c r="W20" s="26"/>
    </row>
    <row r="21" spans="8:23" x14ac:dyDescent="0.3">
      <c r="I21" s="26"/>
      <c r="J21" s="26"/>
      <c r="K21" s="26"/>
      <c r="L21" s="26"/>
      <c r="M21" s="26"/>
      <c r="N21" s="26"/>
      <c r="O21" s="26"/>
      <c r="P21" s="27"/>
      <c r="Q21" s="27"/>
      <c r="R21" s="27"/>
      <c r="S21" s="27"/>
      <c r="T21" s="27"/>
      <c r="U21" s="27"/>
      <c r="V21" s="27"/>
      <c r="W21" s="27"/>
    </row>
    <row r="22" spans="8:23" x14ac:dyDescent="0.3">
      <c r="I22" s="26"/>
      <c r="J22" s="26"/>
      <c r="K22" s="26"/>
      <c r="L22" s="26"/>
      <c r="M22" s="26"/>
      <c r="N22" s="26"/>
      <c r="O22" s="26"/>
      <c r="P22" s="27"/>
      <c r="Q22" s="27"/>
      <c r="R22" s="27"/>
      <c r="S22" s="27"/>
      <c r="T22" s="27"/>
      <c r="U22" s="27"/>
      <c r="V22" s="27"/>
      <c r="W22" s="27"/>
    </row>
    <row r="23" spans="8:23" x14ac:dyDescent="0.3">
      <c r="I23" s="26"/>
      <c r="J23" s="26"/>
      <c r="K23" s="26"/>
      <c r="L23" s="26"/>
      <c r="M23" s="26"/>
      <c r="N23" s="26"/>
      <c r="O23" s="26"/>
      <c r="P23" s="27"/>
      <c r="Q23" s="27"/>
      <c r="R23" s="27"/>
      <c r="S23" s="27"/>
      <c r="T23" s="27"/>
      <c r="U23" s="27"/>
      <c r="V23" s="27"/>
      <c r="W23" s="27"/>
    </row>
    <row r="25" spans="8:23" x14ac:dyDescent="0.3">
      <c r="I25" s="28"/>
      <c r="J25" s="29"/>
      <c r="K25" s="29"/>
      <c r="L25" s="29"/>
      <c r="M25" s="29"/>
      <c r="N25" s="29"/>
      <c r="O25" s="29"/>
    </row>
    <row r="26" spans="8:23" x14ac:dyDescent="0.3">
      <c r="J26" s="27"/>
      <c r="K26" s="27"/>
      <c r="L26" s="27"/>
      <c r="M26" s="27"/>
      <c r="N26" s="27"/>
      <c r="O26" s="27"/>
    </row>
    <row r="27" spans="8:23" x14ac:dyDescent="0.3">
      <c r="J27" s="27"/>
      <c r="K27" s="27"/>
      <c r="L27" s="27"/>
      <c r="M27" s="27"/>
      <c r="N27" s="27"/>
      <c r="O27" s="27"/>
    </row>
    <row r="28" spans="8:23" x14ac:dyDescent="0.3">
      <c r="J28" s="27"/>
      <c r="K28" s="27"/>
      <c r="L28" s="27"/>
      <c r="M28" s="27"/>
      <c r="N28" s="27"/>
      <c r="O28" s="27"/>
    </row>
    <row r="29" spans="8:23" x14ac:dyDescent="0.3">
      <c r="J29" s="27"/>
      <c r="K29" s="27"/>
      <c r="L29" s="27"/>
      <c r="M29" s="27"/>
      <c r="N29" s="27"/>
      <c r="O29" s="27"/>
    </row>
    <row r="30" spans="8:23" x14ac:dyDescent="0.3">
      <c r="Q30" s="30"/>
    </row>
    <row r="31" spans="8:23" x14ac:dyDescent="0.3">
      <c r="Q31" s="31"/>
      <c r="R31" s="32"/>
      <c r="S31" s="32"/>
      <c r="T31" s="32"/>
      <c r="U31" s="32"/>
      <c r="V31" s="32"/>
      <c r="W31" s="32"/>
    </row>
  </sheetData>
  <sortState xmlns:xlrd2="http://schemas.microsoft.com/office/spreadsheetml/2017/richdata2" ref="A2:P6">
    <sortCondition ref="B1:B6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GOVERNADOR VALADARES</vt:lpstr>
      <vt:lpstr>MANTENA</vt:lpstr>
      <vt:lpstr>PEÇANHA - SÃO JOÃO EVANGELISTA</vt:lpstr>
      <vt:lpstr>RESPLENDOR</vt:lpstr>
      <vt:lpstr>SANTA MARIA DO SUAÇUÍ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2025-04-20T13:41:53Z</dcterms:created>
  <dcterms:modified xsi:type="dcterms:W3CDTF">2025-11-26T01:01:28Z</dcterms:modified>
</cp:coreProperties>
</file>