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irurgia_geral/"/>
    </mc:Choice>
  </mc:AlternateContent>
  <xr:revisionPtr revIDLastSave="46" documentId="8_{17838F7D-DCB1-4E5B-8AEA-0A72CB64EEAC}" xr6:coauthVersionLast="47" xr6:coauthVersionMax="47" xr10:uidLastSave="{378784C8-0FD0-48CD-8F46-6C84BA78B9C1}"/>
  <bookViews>
    <workbookView xWindow="-108" yWindow="-108" windowWidth="23256" windowHeight="12456" activeTab="1" xr2:uid="{7DD56485-5B71-45FA-AAAE-40CF2292DA53}"/>
  </bookViews>
  <sheets>
    <sheet name="JOÃO PINHEIRO" sheetId="1" r:id="rId1"/>
    <sheet name="PATOS DE MINAS" sheetId="2" r:id="rId2"/>
    <sheet name="SÃO GOTARDO" sheetId="3" r:id="rId3"/>
    <sheet name="UNAÍ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4" l="1"/>
  <c r="O16" i="4"/>
  <c r="N16" i="4"/>
  <c r="M16" i="4"/>
  <c r="L16" i="4"/>
  <c r="K16" i="4"/>
  <c r="P16" i="3"/>
  <c r="O16" i="3"/>
  <c r="O15" i="3"/>
  <c r="N15" i="3"/>
  <c r="M15" i="3"/>
  <c r="P12" i="3"/>
  <c r="O12" i="3"/>
  <c r="P11" i="3"/>
  <c r="O11" i="3"/>
  <c r="N11" i="3"/>
  <c r="M11" i="3"/>
  <c r="L11" i="3"/>
  <c r="K11" i="3"/>
  <c r="K16" i="2"/>
  <c r="K26" i="2"/>
  <c r="P25" i="2"/>
  <c r="K25" i="2"/>
  <c r="P24" i="2"/>
  <c r="O24" i="2"/>
  <c r="N24" i="2"/>
  <c r="K22" i="2"/>
  <c r="P21" i="2"/>
  <c r="K21" i="2"/>
  <c r="P20" i="2"/>
  <c r="O20" i="2"/>
  <c r="N20" i="2"/>
  <c r="K18" i="2"/>
  <c r="P17" i="2"/>
  <c r="K17" i="2"/>
  <c r="P16" i="2"/>
  <c r="O16" i="2"/>
  <c r="N16" i="2"/>
  <c r="M16" i="2"/>
  <c r="L16" i="2"/>
  <c r="O9" i="1"/>
  <c r="P8" i="1"/>
  <c r="O8" i="1"/>
  <c r="N8" i="1"/>
  <c r="M8" i="1"/>
  <c r="L8" i="1"/>
  <c r="K8" i="1"/>
  <c r="H27" i="4"/>
  <c r="G27" i="4"/>
  <c r="F27" i="4"/>
  <c r="E27" i="4"/>
  <c r="D27" i="4"/>
  <c r="C27" i="4"/>
  <c r="H26" i="4"/>
  <c r="G26" i="4"/>
  <c r="F26" i="4"/>
  <c r="E26" i="4"/>
  <c r="D26" i="4"/>
  <c r="C26" i="4"/>
  <c r="H25" i="4"/>
  <c r="G25" i="4"/>
  <c r="F25" i="4"/>
  <c r="E25" i="4"/>
  <c r="D25" i="4"/>
  <c r="C25" i="4"/>
  <c r="H24" i="4"/>
  <c r="G24" i="4"/>
  <c r="F24" i="4"/>
  <c r="E24" i="4"/>
  <c r="D24" i="4"/>
  <c r="C24" i="4"/>
  <c r="H23" i="4"/>
  <c r="G23" i="4"/>
  <c r="F23" i="4"/>
  <c r="E23" i="4"/>
  <c r="D23" i="4"/>
  <c r="C23" i="4"/>
  <c r="H22" i="4"/>
  <c r="G22" i="4"/>
  <c r="F22" i="4"/>
  <c r="E22" i="4"/>
  <c r="D22" i="4"/>
  <c r="C22" i="4"/>
  <c r="H21" i="4"/>
  <c r="G21" i="4"/>
  <c r="F21" i="4"/>
  <c r="E21" i="4"/>
  <c r="D21" i="4"/>
  <c r="C21" i="4"/>
  <c r="H20" i="4"/>
  <c r="G20" i="4"/>
  <c r="F20" i="4"/>
  <c r="E20" i="4"/>
  <c r="D20" i="4"/>
  <c r="C20" i="4"/>
  <c r="H19" i="4"/>
  <c r="G19" i="4"/>
  <c r="F19" i="4"/>
  <c r="E19" i="4"/>
  <c r="D19" i="4"/>
  <c r="C19" i="4"/>
  <c r="H18" i="4"/>
  <c r="G18" i="4"/>
  <c r="F18" i="4"/>
  <c r="E18" i="4"/>
  <c r="D18" i="4"/>
  <c r="C18" i="4"/>
  <c r="H17" i="4"/>
  <c r="G17" i="4"/>
  <c r="F17" i="4"/>
  <c r="E17" i="4"/>
  <c r="D17" i="4"/>
  <c r="C17" i="4"/>
  <c r="H16" i="4"/>
  <c r="G16" i="4"/>
  <c r="F16" i="4"/>
  <c r="E16" i="4"/>
  <c r="D16" i="4"/>
  <c r="C16" i="4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N3" i="4"/>
  <c r="N4" i="4" s="1"/>
  <c r="N5" i="4" s="1"/>
  <c r="N6" i="4" s="1"/>
  <c r="N7" i="4" s="1"/>
  <c r="N8" i="4" s="1"/>
  <c r="N9" i="4" s="1"/>
  <c r="N10" i="4" s="1"/>
  <c r="N11" i="4" s="1"/>
  <c r="N12" i="4" s="1"/>
  <c r="N13" i="4" s="1"/>
  <c r="M3" i="4"/>
  <c r="M4" i="4" s="1"/>
  <c r="M5" i="4" s="1"/>
  <c r="M6" i="4" s="1"/>
  <c r="M7" i="4" s="1"/>
  <c r="M8" i="4" s="1"/>
  <c r="M9" i="4" s="1"/>
  <c r="M10" i="4" s="1"/>
  <c r="M11" i="4" s="1"/>
  <c r="M12" i="4" s="1"/>
  <c r="M13" i="4" s="1"/>
  <c r="L3" i="4"/>
  <c r="L4" i="4" s="1"/>
  <c r="L5" i="4" s="1"/>
  <c r="L6" i="4" s="1"/>
  <c r="L7" i="4" s="1"/>
  <c r="L8" i="4" s="1"/>
  <c r="L9" i="4" s="1"/>
  <c r="L10" i="4" s="1"/>
  <c r="L11" i="4" s="1"/>
  <c r="L12" i="4" s="1"/>
  <c r="L13" i="4" s="1"/>
  <c r="K3" i="4"/>
  <c r="K4" i="4" s="1"/>
  <c r="K5" i="4" s="1"/>
  <c r="K6" i="4" s="1"/>
  <c r="K7" i="4" s="1"/>
  <c r="K8" i="4" s="1"/>
  <c r="K9" i="4" s="1"/>
  <c r="K10" i="4" s="1"/>
  <c r="K11" i="4" s="1"/>
  <c r="K12" i="4" s="1"/>
  <c r="K13" i="4" s="1"/>
  <c r="J3" i="4"/>
  <c r="J4" i="4" s="1"/>
  <c r="J5" i="4" s="1"/>
  <c r="J6" i="4" s="1"/>
  <c r="J7" i="4" s="1"/>
  <c r="J8" i="4" s="1"/>
  <c r="J9" i="4" s="1"/>
  <c r="J10" i="4" s="1"/>
  <c r="J11" i="4" s="1"/>
  <c r="J12" i="4" s="1"/>
  <c r="J13" i="4" s="1"/>
  <c r="P27" i="4" s="1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P3" i="3"/>
  <c r="P4" i="3" s="1"/>
  <c r="P5" i="3" s="1"/>
  <c r="P6" i="3" s="1"/>
  <c r="P7" i="3" s="1"/>
  <c r="P8" i="3" s="1"/>
  <c r="O3" i="3"/>
  <c r="O4" i="3" s="1"/>
  <c r="O5" i="3" s="1"/>
  <c r="O6" i="3" s="1"/>
  <c r="O7" i="3" s="1"/>
  <c r="O8" i="3" s="1"/>
  <c r="N3" i="3"/>
  <c r="N4" i="3" s="1"/>
  <c r="N5" i="3" s="1"/>
  <c r="N6" i="3" s="1"/>
  <c r="N7" i="3" s="1"/>
  <c r="N8" i="3" s="1"/>
  <c r="M3" i="3"/>
  <c r="M4" i="3" s="1"/>
  <c r="M5" i="3" s="1"/>
  <c r="M6" i="3" s="1"/>
  <c r="M7" i="3" s="1"/>
  <c r="M8" i="3" s="1"/>
  <c r="L3" i="3"/>
  <c r="L4" i="3" s="1"/>
  <c r="L5" i="3" s="1"/>
  <c r="L6" i="3" s="1"/>
  <c r="L7" i="3" s="1"/>
  <c r="L8" i="3" s="1"/>
  <c r="K3" i="3"/>
  <c r="K4" i="3" s="1"/>
  <c r="K5" i="3" s="1"/>
  <c r="K6" i="3" s="1"/>
  <c r="K7" i="3" s="1"/>
  <c r="K8" i="3" s="1"/>
  <c r="K17" i="3" s="1"/>
  <c r="J3" i="3"/>
  <c r="J4" i="3" s="1"/>
  <c r="J5" i="3" s="1"/>
  <c r="J6" i="3" s="1"/>
  <c r="J7" i="3" s="1"/>
  <c r="J8" i="3" s="1"/>
  <c r="P17" i="3" s="1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K3" i="2"/>
  <c r="K4" i="2" s="1"/>
  <c r="K5" i="2" s="1"/>
  <c r="K6" i="2" s="1"/>
  <c r="K7" i="2" s="1"/>
  <c r="K8" i="2" s="1"/>
  <c r="K9" i="2" s="1"/>
  <c r="K10" i="2" s="1"/>
  <c r="K11" i="2" s="1"/>
  <c r="K12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P26" i="2" s="1"/>
  <c r="P3" i="2"/>
  <c r="P4" i="2" s="1"/>
  <c r="P5" i="2" s="1"/>
  <c r="P6" i="2" s="1"/>
  <c r="P7" i="2" s="1"/>
  <c r="P8" i="2" s="1"/>
  <c r="P9" i="2" s="1"/>
  <c r="P10" i="2" s="1"/>
  <c r="P11" i="2" s="1"/>
  <c r="P12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N26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26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26" i="2" s="1"/>
  <c r="H10" i="1"/>
  <c r="G10" i="1"/>
  <c r="F10" i="1"/>
  <c r="E10" i="1"/>
  <c r="D10" i="1"/>
  <c r="C10" i="1"/>
  <c r="H9" i="1"/>
  <c r="G9" i="1"/>
  <c r="F9" i="1"/>
  <c r="E9" i="1"/>
  <c r="D9" i="1"/>
  <c r="C9" i="1"/>
  <c r="H8" i="1"/>
  <c r="G8" i="1"/>
  <c r="F8" i="1"/>
  <c r="E8" i="1"/>
  <c r="D8" i="1"/>
  <c r="C8" i="1"/>
  <c r="P3" i="1"/>
  <c r="P4" i="1" s="1"/>
  <c r="O3" i="1"/>
  <c r="O4" i="1" s="1"/>
  <c r="N3" i="1"/>
  <c r="N4" i="1" s="1"/>
  <c r="M3" i="1"/>
  <c r="M4" i="1" s="1"/>
  <c r="L3" i="1"/>
  <c r="L4" i="1" s="1"/>
  <c r="K3" i="1"/>
  <c r="K4" i="1" s="1"/>
  <c r="J3" i="1"/>
  <c r="J4" i="1" s="1"/>
  <c r="P10" i="1" s="1"/>
  <c r="M17" i="4" l="1"/>
  <c r="K20" i="4"/>
  <c r="O22" i="4"/>
  <c r="M25" i="4"/>
  <c r="P18" i="4"/>
  <c r="N21" i="4"/>
  <c r="L24" i="4"/>
  <c r="P26" i="4"/>
  <c r="O17" i="4"/>
  <c r="M20" i="4"/>
  <c r="O25" i="4"/>
  <c r="L19" i="4"/>
  <c r="N20" i="4"/>
  <c r="P21" i="4"/>
  <c r="L23" i="4"/>
  <c r="N24" i="4"/>
  <c r="L27" i="4"/>
  <c r="K18" i="4"/>
  <c r="O20" i="4"/>
  <c r="M23" i="4"/>
  <c r="M27" i="4"/>
  <c r="N19" i="4"/>
  <c r="L22" i="4"/>
  <c r="P24" i="4"/>
  <c r="N27" i="4"/>
  <c r="K17" i="4"/>
  <c r="M18" i="4"/>
  <c r="O19" i="4"/>
  <c r="K21" i="4"/>
  <c r="M22" i="4"/>
  <c r="O23" i="4"/>
  <c r="K25" i="4"/>
  <c r="M26" i="4"/>
  <c r="O27" i="4"/>
  <c r="O18" i="4"/>
  <c r="M21" i="4"/>
  <c r="K24" i="4"/>
  <c r="O26" i="4"/>
  <c r="N17" i="4"/>
  <c r="L20" i="4"/>
  <c r="P22" i="4"/>
  <c r="N25" i="4"/>
  <c r="K19" i="4"/>
  <c r="K28" i="4" s="1"/>
  <c r="K29" i="4" s="1"/>
  <c r="O21" i="4"/>
  <c r="K23" i="4"/>
  <c r="M24" i="4"/>
  <c r="K27" i="4"/>
  <c r="P17" i="4"/>
  <c r="P25" i="4"/>
  <c r="M19" i="4"/>
  <c r="K22" i="4"/>
  <c r="O24" i="4"/>
  <c r="K26" i="4"/>
  <c r="L18" i="4"/>
  <c r="P20" i="4"/>
  <c r="N23" i="4"/>
  <c r="L26" i="4"/>
  <c r="L17" i="4"/>
  <c r="L28" i="4" s="1"/>
  <c r="L29" i="4" s="1"/>
  <c r="N18" i="4"/>
  <c r="N28" i="4" s="1"/>
  <c r="N29" i="4" s="1"/>
  <c r="P19" i="4"/>
  <c r="P28" i="4" s="1"/>
  <c r="P29" i="4" s="1"/>
  <c r="L21" i="4"/>
  <c r="N22" i="4"/>
  <c r="P23" i="4"/>
  <c r="L25" i="4"/>
  <c r="N26" i="4"/>
  <c r="K14" i="3"/>
  <c r="M14" i="3"/>
  <c r="L13" i="3"/>
  <c r="N14" i="3"/>
  <c r="P15" i="3"/>
  <c r="L17" i="3"/>
  <c r="K12" i="3"/>
  <c r="M13" i="3"/>
  <c r="O14" i="3"/>
  <c r="K16" i="3"/>
  <c r="M17" i="3"/>
  <c r="L14" i="3"/>
  <c r="L12" i="3"/>
  <c r="L18" i="3" s="1"/>
  <c r="L19" i="3" s="1"/>
  <c r="N13" i="3"/>
  <c r="N18" i="3" s="1"/>
  <c r="N19" i="3" s="1"/>
  <c r="P14" i="3"/>
  <c r="L16" i="3"/>
  <c r="N17" i="3"/>
  <c r="M12" i="3"/>
  <c r="O13" i="3"/>
  <c r="O18" i="3" s="1"/>
  <c r="O19" i="3" s="1"/>
  <c r="K15" i="3"/>
  <c r="M16" i="3"/>
  <c r="O17" i="3"/>
  <c r="K13" i="3"/>
  <c r="N12" i="3"/>
  <c r="P13" i="3"/>
  <c r="P18" i="3" s="1"/>
  <c r="P19" i="3" s="1"/>
  <c r="L15" i="3"/>
  <c r="N16" i="3"/>
  <c r="M23" i="2"/>
  <c r="N23" i="2"/>
  <c r="P23" i="2"/>
  <c r="M17" i="2"/>
  <c r="O18" i="2"/>
  <c r="K20" i="2"/>
  <c r="M21" i="2"/>
  <c r="O22" i="2"/>
  <c r="K24" i="2"/>
  <c r="M25" i="2"/>
  <c r="O26" i="2"/>
  <c r="L19" i="2"/>
  <c r="L18" i="2"/>
  <c r="O19" i="2"/>
  <c r="M22" i="2"/>
  <c r="O23" i="2"/>
  <c r="P19" i="2"/>
  <c r="L25" i="2"/>
  <c r="N17" i="2"/>
  <c r="N27" i="2" s="1"/>
  <c r="N28" i="2" s="1"/>
  <c r="P18" i="2"/>
  <c r="L20" i="2"/>
  <c r="N21" i="2"/>
  <c r="P22" i="2"/>
  <c r="L24" i="2"/>
  <c r="N25" i="2"/>
  <c r="L23" i="2"/>
  <c r="M19" i="2"/>
  <c r="P27" i="2"/>
  <c r="P28" i="2" s="1"/>
  <c r="N19" i="2"/>
  <c r="L22" i="2"/>
  <c r="M18" i="2"/>
  <c r="L17" i="2"/>
  <c r="N18" i="2"/>
  <c r="L21" i="2"/>
  <c r="N22" i="2"/>
  <c r="M27" i="2"/>
  <c r="M28" i="2" s="1"/>
  <c r="O17" i="2"/>
  <c r="O27" i="2" s="1"/>
  <c r="O28" i="2" s="1"/>
  <c r="K19" i="2"/>
  <c r="K27" i="2" s="1"/>
  <c r="K28" i="2" s="1"/>
  <c r="M20" i="2"/>
  <c r="O21" i="2"/>
  <c r="K23" i="2"/>
  <c r="M24" i="2"/>
  <c r="O25" i="2"/>
  <c r="P9" i="1"/>
  <c r="K10" i="1"/>
  <c r="P11" i="1"/>
  <c r="P12" i="1" s="1"/>
  <c r="M10" i="1"/>
  <c r="N10" i="1"/>
  <c r="M9" i="1"/>
  <c r="M11" i="1" s="1"/>
  <c r="M12" i="1" s="1"/>
  <c r="O10" i="1"/>
  <c r="O11" i="1" s="1"/>
  <c r="O12" i="1" s="1"/>
  <c r="L10" i="1"/>
  <c r="K9" i="1"/>
  <c r="K11" i="1" s="1"/>
  <c r="K12" i="1" s="1"/>
  <c r="L9" i="1"/>
  <c r="L11" i="1"/>
  <c r="L12" i="1" s="1"/>
  <c r="N9" i="1"/>
  <c r="N11" i="1" s="1"/>
  <c r="N12" i="1" s="1"/>
  <c r="O28" i="4" l="1"/>
  <c r="O29" i="4" s="1"/>
  <c r="M28" i="4"/>
  <c r="M29" i="4" s="1"/>
  <c r="M18" i="3"/>
  <c r="M19" i="3" s="1"/>
  <c r="K18" i="3"/>
  <c r="K19" i="3" s="1"/>
  <c r="L27" i="2"/>
  <c r="L28" i="2" s="1"/>
</calcChain>
</file>

<file path=xl/sharedStrings.xml><?xml version="1.0" encoding="utf-8"?>
<sst xmlns="http://schemas.openxmlformats.org/spreadsheetml/2006/main" count="223" uniqueCount="55">
  <si>
    <t>JOÃO PINHEIRO</t>
  </si>
  <si>
    <t>BRASILÂNDIA DE MINAS</t>
  </si>
  <si>
    <t>LAGOA GRANDE</t>
  </si>
  <si>
    <t>PATOS DE MINAS</t>
  </si>
  <si>
    <t>CRUZEIRO DA FORTALEZA</t>
  </si>
  <si>
    <t>GUARDA-MOR</t>
  </si>
  <si>
    <t>GUIMARÂNIA</t>
  </si>
  <si>
    <t>LAGAMAR</t>
  </si>
  <si>
    <t>LAGOA FORMOSA</t>
  </si>
  <si>
    <t>PRESIDENTE OLEGÁRIO</t>
  </si>
  <si>
    <t>SÃO GONÇALO DO ABAETÉ</t>
  </si>
  <si>
    <t>SERRA DO SALITRE</t>
  </si>
  <si>
    <t>VARJÃO DE MINAS</t>
  </si>
  <si>
    <t>VAZANTE</t>
  </si>
  <si>
    <t>SÃO GOTARDO</t>
  </si>
  <si>
    <t>ARAPUÁ</t>
  </si>
  <si>
    <t>CARMO DO PARANAÍBA</t>
  </si>
  <si>
    <t>MATUTINA</t>
  </si>
  <si>
    <t>RIO PARANAÍBA</t>
  </si>
  <si>
    <t>SANTA ROSA DA SERRA</t>
  </si>
  <si>
    <t>TIROS</t>
  </si>
  <si>
    <t>UNAÍ</t>
  </si>
  <si>
    <t>ARINOS</t>
  </si>
  <si>
    <t>BONFINÓPOLIS DE MINAS</t>
  </si>
  <si>
    <t>BURITIS</t>
  </si>
  <si>
    <t>CABECEIRA GRANDE</t>
  </si>
  <si>
    <t>CHAPADA GAÚCHA</t>
  </si>
  <si>
    <t>DOM BOSCO</t>
  </si>
  <si>
    <t>FORMOSO</t>
  </si>
  <si>
    <t>NATALÂNDIA</t>
  </si>
  <si>
    <t>PARACATU</t>
  </si>
  <si>
    <t>RIACHINHO</t>
  </si>
  <si>
    <t>URUANA DE MINAS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</si>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</sst>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/>
    <xf numFmtId="2" fontId="0" fillId="0" borderId="1" xfId="0" applyNumberFormat="1" applyBorder="1"/>
    <xf numFmtId="2" fontId="0" fillId="0" borderId="1" xfId="0" applyNumberFormat="1" applyBorder="1" applyAlignment="1">
      <alignment vertical="center" wrapText="1"/>
    </xf>
    <xf numFmtId="2" fontId="1" fillId="3" borderId="1" xfId="0" applyNumberFormat="1" applyFont="1" applyFill="1" applyBorder="1" applyAlignment="1">
      <alignment vertical="center"/>
    </xf>
    <xf numFmtId="2" fontId="1" fillId="4" borderId="1" xfId="0" applyNumberFormat="1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left"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2" fontId="0" fillId="0" borderId="1" xfId="0" applyNumberFormat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'JOÃO PINHEIRO'!$J$1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PINHEIRO'!$J$2:$J$4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56-42F1-8B34-B172ADC71535}"/>
            </c:ext>
          </c:extLst>
        </c:ser>
        <c:ser>
          <c:idx val="1"/>
          <c:order val="1"/>
          <c:tx>
            <c:strRef>
              <c:f>'JOÃO PINHEIRO'!$K$1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PINHEIRO'!$K$2:$K$4</c:f>
              <c:numCache>
                <c:formatCode>0.00</c:formatCode>
                <c:ptCount val="3"/>
                <c:pt idx="0">
                  <c:v>6.6666666666666666E-2</c:v>
                </c:pt>
                <c:pt idx="1">
                  <c:v>0.21176470588235297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56-42F1-8B34-B172ADC71535}"/>
            </c:ext>
          </c:extLst>
        </c:ser>
        <c:ser>
          <c:idx val="2"/>
          <c:order val="2"/>
          <c:tx>
            <c:strRef>
              <c:f>'JOÃO PINHEIRO'!$L$1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PINHEIRO'!$L$2:$L$4</c:f>
              <c:numCache>
                <c:formatCode>0.00</c:formatCode>
                <c:ptCount val="3"/>
                <c:pt idx="0">
                  <c:v>8.1395348837209308E-2</c:v>
                </c:pt>
                <c:pt idx="1">
                  <c:v>0.11627906976744187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56-42F1-8B34-B172ADC71535}"/>
            </c:ext>
          </c:extLst>
        </c:ser>
        <c:ser>
          <c:idx val="3"/>
          <c:order val="3"/>
          <c:tx>
            <c:strRef>
              <c:f>'JOÃO PINHEIRO'!$M$1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PINHEIRO'!$M$2:$M$4</c:f>
              <c:numCache>
                <c:formatCode>0.00</c:formatCode>
                <c:ptCount val="3"/>
                <c:pt idx="0">
                  <c:v>5.0847457627118647E-2</c:v>
                </c:pt>
                <c:pt idx="1">
                  <c:v>0.10169491525423729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56-42F1-8B34-B172ADC71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720528"/>
        <c:axId val="296721488"/>
      </c:scatterChart>
      <c:valAx>
        <c:axId val="2967205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721488"/>
        <c:crosses val="autoZero"/>
        <c:crossBetween val="midCat"/>
      </c:valAx>
      <c:valAx>
        <c:axId val="2967214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720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'JOÃO PINHEIRO'!$J$1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PINHEIRO'!$J$2:$J$4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14-4B61-8BBC-2C079B83B0A6}"/>
            </c:ext>
          </c:extLst>
        </c:ser>
        <c:ser>
          <c:idx val="1"/>
          <c:order val="1"/>
          <c:tx>
            <c:strRef>
              <c:f>'JOÃO PINHEIRO'!$N$1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PINHEIRO'!$N$2:$N$4</c:f>
              <c:numCache>
                <c:formatCode>0.00</c:formatCode>
                <c:ptCount val="3"/>
                <c:pt idx="0">
                  <c:v>0.11297071129707113</c:v>
                </c:pt>
                <c:pt idx="1">
                  <c:v>0.20920502092050208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14-4B61-8BBC-2C079B83B0A6}"/>
            </c:ext>
          </c:extLst>
        </c:ser>
        <c:ser>
          <c:idx val="2"/>
          <c:order val="2"/>
          <c:tx>
            <c:strRef>
              <c:f>'JOÃO PINHEIRO'!$O$1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PINHEIRO'!$O$2:$O$4</c:f>
              <c:numCache>
                <c:formatCode>0.00</c:formatCode>
                <c:ptCount val="3"/>
                <c:pt idx="0">
                  <c:v>0.15789473684210525</c:v>
                </c:pt>
                <c:pt idx="1">
                  <c:v>0.27894736842105261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14-4B61-8BBC-2C079B83B0A6}"/>
            </c:ext>
          </c:extLst>
        </c:ser>
        <c:ser>
          <c:idx val="3"/>
          <c:order val="3"/>
          <c:tx>
            <c:strRef>
              <c:f>'JOÃO PINHEIRO'!$P$1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'JOÃO PINHEIRO'!$I$2:$I$4</c:f>
              <c:numCache>
                <c:formatCode>0.00</c:formatCode>
                <c:ptCount val="3"/>
                <c:pt idx="0">
                  <c:v>0.12973559721794101</c:v>
                </c:pt>
                <c:pt idx="1">
                  <c:v>0.35688345103925134</c:v>
                </c:pt>
                <c:pt idx="2">
                  <c:v>0.99999999999999967</c:v>
                </c:pt>
              </c:numCache>
            </c:numRef>
          </c:xVal>
          <c:yVal>
            <c:numRef>
              <c:f>'JOÃO PINHEIRO'!$P$2:$P$4</c:f>
              <c:numCache>
                <c:formatCode>0.00</c:formatCode>
                <c:ptCount val="3"/>
                <c:pt idx="0">
                  <c:v>0.16250000000000001</c:v>
                </c:pt>
                <c:pt idx="1">
                  <c:v>0.30000000000000004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14-4B61-8BBC-2C079B83B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463440"/>
        <c:axId val="1420455280"/>
      </c:scatterChart>
      <c:valAx>
        <c:axId val="14204634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455280"/>
        <c:crosses val="autoZero"/>
        <c:crossBetween val="midCat"/>
      </c:valAx>
      <c:valAx>
        <c:axId val="14204552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463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'PATOS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MINAS'!$J$2:$J$12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06-4028-B656-3880AF968DD8}"/>
            </c:ext>
          </c:extLst>
        </c:ser>
        <c:ser>
          <c:idx val="1"/>
          <c:order val="1"/>
          <c:tx>
            <c:strRef>
              <c:f>'PATOS DE MINAS'!$K$1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MINAS'!$K$2:$K$12</c:f>
              <c:numCache>
                <c:formatCode>0.00</c:formatCode>
                <c:ptCount val="11"/>
                <c:pt idx="0">
                  <c:v>6.5963060686015833E-3</c:v>
                </c:pt>
                <c:pt idx="1">
                  <c:v>3.8258575197889187E-2</c:v>
                </c:pt>
                <c:pt idx="2">
                  <c:v>6.5963060686015831E-2</c:v>
                </c:pt>
                <c:pt idx="3">
                  <c:v>0.1108179419525066</c:v>
                </c:pt>
                <c:pt idx="4">
                  <c:v>0.13192612137203166</c:v>
                </c:pt>
                <c:pt idx="5">
                  <c:v>0.14775725593667546</c:v>
                </c:pt>
                <c:pt idx="6">
                  <c:v>0.17414248021108181</c:v>
                </c:pt>
                <c:pt idx="7">
                  <c:v>0.28232189973614774</c:v>
                </c:pt>
                <c:pt idx="8">
                  <c:v>0.30738786279683378</c:v>
                </c:pt>
                <c:pt idx="9">
                  <c:v>0.43139841688654357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06-4028-B656-3880AF968DD8}"/>
            </c:ext>
          </c:extLst>
        </c:ser>
        <c:ser>
          <c:idx val="2"/>
          <c:order val="2"/>
          <c:tx>
            <c:strRef>
              <c:f>'PATOS DE MINAS'!$L$1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MINAS'!$L$2:$L$12</c:f>
              <c:numCache>
                <c:formatCode>0.00</c:formatCode>
                <c:ptCount val="11"/>
                <c:pt idx="0">
                  <c:v>3.2258064516129032E-3</c:v>
                </c:pt>
                <c:pt idx="1">
                  <c:v>5.8064516129032261E-2</c:v>
                </c:pt>
                <c:pt idx="2">
                  <c:v>8.387096774193549E-2</c:v>
                </c:pt>
                <c:pt idx="3">
                  <c:v>0.13225806451612904</c:v>
                </c:pt>
                <c:pt idx="4">
                  <c:v>0.13870967741935483</c:v>
                </c:pt>
                <c:pt idx="5">
                  <c:v>0.14516129032258063</c:v>
                </c:pt>
                <c:pt idx="6">
                  <c:v>0.22258064516129031</c:v>
                </c:pt>
                <c:pt idx="7">
                  <c:v>0.44516129032258067</c:v>
                </c:pt>
                <c:pt idx="8">
                  <c:v>0.61290322580645162</c:v>
                </c:pt>
                <c:pt idx="9">
                  <c:v>0.72580645161290325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06-4028-B656-3880AF968DD8}"/>
            </c:ext>
          </c:extLst>
        </c:ser>
        <c:ser>
          <c:idx val="3"/>
          <c:order val="3"/>
          <c:tx>
            <c:strRef>
              <c:f>'PATOS DE MINAS'!$M$1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MINAS'!$M$2:$M$12</c:f>
              <c:numCache>
                <c:formatCode>0.00</c:formatCode>
                <c:ptCount val="11"/>
                <c:pt idx="0">
                  <c:v>1.556420233463035E-2</c:v>
                </c:pt>
                <c:pt idx="1">
                  <c:v>3.5019455252918288E-2</c:v>
                </c:pt>
                <c:pt idx="2">
                  <c:v>4.6692607003891051E-2</c:v>
                </c:pt>
                <c:pt idx="3">
                  <c:v>7.0038910505836577E-2</c:v>
                </c:pt>
                <c:pt idx="4">
                  <c:v>8.5603112840466927E-2</c:v>
                </c:pt>
                <c:pt idx="5">
                  <c:v>9.727626459143969E-2</c:v>
                </c:pt>
                <c:pt idx="6">
                  <c:v>0.24902723735408561</c:v>
                </c:pt>
                <c:pt idx="7">
                  <c:v>0.48249027237354086</c:v>
                </c:pt>
                <c:pt idx="8">
                  <c:v>0.61478599221789887</c:v>
                </c:pt>
                <c:pt idx="9">
                  <c:v>0.7976653696498055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06-4028-B656-3880AF968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91872"/>
        <c:axId val="424086592"/>
      </c:scatterChart>
      <c:valAx>
        <c:axId val="4240918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86592"/>
        <c:crosses val="autoZero"/>
        <c:crossBetween val="midCat"/>
      </c:valAx>
      <c:valAx>
        <c:axId val="4240865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1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'PATOS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MINAS'!$J$2:$J$12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CC-4C5D-9648-D20AE02F4049}"/>
            </c:ext>
          </c:extLst>
        </c:ser>
        <c:ser>
          <c:idx val="1"/>
          <c:order val="1"/>
          <c:tx>
            <c:strRef>
              <c:f>'PATOS DE MINAS'!$N$1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MINAS'!$N$2:$N$12</c:f>
              <c:numCache>
                <c:formatCode>0.00</c:formatCode>
                <c:ptCount val="11"/>
                <c:pt idx="0">
                  <c:v>2.7453671928620452E-3</c:v>
                </c:pt>
                <c:pt idx="1">
                  <c:v>1.9903912148249828E-2</c:v>
                </c:pt>
                <c:pt idx="2">
                  <c:v>2.4021962937542898E-2</c:v>
                </c:pt>
                <c:pt idx="3">
                  <c:v>3.5003431708991076E-2</c:v>
                </c:pt>
                <c:pt idx="4">
                  <c:v>5.9025394646533974E-2</c:v>
                </c:pt>
                <c:pt idx="5">
                  <c:v>6.9320521619766651E-2</c:v>
                </c:pt>
                <c:pt idx="6">
                  <c:v>0.12903225806451613</c:v>
                </c:pt>
                <c:pt idx="7">
                  <c:v>0.21757035003431707</c:v>
                </c:pt>
                <c:pt idx="8">
                  <c:v>0.29375428963623884</c:v>
                </c:pt>
                <c:pt idx="9">
                  <c:v>0.39945092656142756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CC-4C5D-9648-D20AE02F4049}"/>
            </c:ext>
          </c:extLst>
        </c:ser>
        <c:ser>
          <c:idx val="2"/>
          <c:order val="2"/>
          <c:tx>
            <c:strRef>
              <c:f>'PATOS DE MINAS'!$O$1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MINAS'!$O$2:$O$12</c:f>
              <c:numCache>
                <c:formatCode>0.00</c:formatCode>
                <c:ptCount val="11"/>
                <c:pt idx="0">
                  <c:v>4.0120361083249749E-3</c:v>
                </c:pt>
                <c:pt idx="1">
                  <c:v>2.3069207622868605E-2</c:v>
                </c:pt>
                <c:pt idx="2">
                  <c:v>3.1093279839518553E-2</c:v>
                </c:pt>
                <c:pt idx="3">
                  <c:v>4.5135406218655964E-2</c:v>
                </c:pt>
                <c:pt idx="4">
                  <c:v>7.1213640922768301E-2</c:v>
                </c:pt>
                <c:pt idx="5">
                  <c:v>8.7261785356068197E-2</c:v>
                </c:pt>
                <c:pt idx="6">
                  <c:v>0.14643931795386159</c:v>
                </c:pt>
                <c:pt idx="7">
                  <c:v>0.23570712136409228</c:v>
                </c:pt>
                <c:pt idx="8">
                  <c:v>0.29287863590772317</c:v>
                </c:pt>
                <c:pt idx="9">
                  <c:v>0.38916750250752258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CC-4C5D-9648-D20AE02F4049}"/>
            </c:ext>
          </c:extLst>
        </c:ser>
        <c:ser>
          <c:idx val="3"/>
          <c:order val="3"/>
          <c:tx>
            <c:strRef>
              <c:f>'PATOS DE MINAS'!$P$1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'PATOS DE MINAS'!$I$2:$I$12</c:f>
              <c:numCache>
                <c:formatCode>0.00</c:formatCode>
                <c:ptCount val="11"/>
                <c:pt idx="0">
                  <c:v>1.3691694980086853E-2</c:v>
                </c:pt>
                <c:pt idx="1">
                  <c:v>3.8284994262313521E-2</c:v>
                </c:pt>
                <c:pt idx="2">
                  <c:v>6.541712605659683E-2</c:v>
                </c:pt>
                <c:pt idx="3">
                  <c:v>9.3873050874153402E-2</c:v>
                </c:pt>
                <c:pt idx="4">
                  <c:v>0.12450404638150739</c:v>
                </c:pt>
                <c:pt idx="5">
                  <c:v>0.15648133564340841</c:v>
                </c:pt>
                <c:pt idx="6">
                  <c:v>0.20054526772120093</c:v>
                </c:pt>
                <c:pt idx="7">
                  <c:v>0.2686774820181656</c:v>
                </c:pt>
                <c:pt idx="8">
                  <c:v>0.34247988059611939</c:v>
                </c:pt>
                <c:pt idx="9">
                  <c:v>0.42007740251558179</c:v>
                </c:pt>
                <c:pt idx="10">
                  <c:v>1</c:v>
                </c:pt>
              </c:numCache>
            </c:numRef>
          </c:xVal>
          <c:yVal>
            <c:numRef>
              <c:f>'PATOS DE MINAS'!$P$2:$P$12</c:f>
              <c:numCache>
                <c:formatCode>0.00</c:formatCode>
                <c:ptCount val="11"/>
                <c:pt idx="0">
                  <c:v>4.7846889952153108E-3</c:v>
                </c:pt>
                <c:pt idx="1">
                  <c:v>2.1531100478468901E-2</c:v>
                </c:pt>
                <c:pt idx="2">
                  <c:v>3.3492822966507178E-2</c:v>
                </c:pt>
                <c:pt idx="3">
                  <c:v>6.4593301435406703E-2</c:v>
                </c:pt>
                <c:pt idx="4">
                  <c:v>9.0909090909090912E-2</c:v>
                </c:pt>
                <c:pt idx="5">
                  <c:v>0.1028708133971292</c:v>
                </c:pt>
                <c:pt idx="6">
                  <c:v>0.17703349282296652</c:v>
                </c:pt>
                <c:pt idx="7">
                  <c:v>0.22966507177033493</c:v>
                </c:pt>
                <c:pt idx="8">
                  <c:v>0.30861244019138756</c:v>
                </c:pt>
                <c:pt idx="9">
                  <c:v>0.42822966507177035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CC-4C5D-9648-D20AE02F4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957440"/>
        <c:axId val="368945920"/>
      </c:scatterChart>
      <c:valAx>
        <c:axId val="3689574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8945920"/>
        <c:crosses val="autoZero"/>
        <c:crossBetween val="midCat"/>
      </c:valAx>
      <c:valAx>
        <c:axId val="3689459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895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GOTARDO'!$J$1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GOTARDO'!$J$2:$J$8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3E-4E5F-BA41-70109544464F}"/>
            </c:ext>
          </c:extLst>
        </c:ser>
        <c:ser>
          <c:idx val="1"/>
          <c:order val="1"/>
          <c:tx>
            <c:strRef>
              <c:f>'SÃO GOTARDO'!$K$1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GOTARDO'!$K$2:$K$8</c:f>
              <c:numCache>
                <c:formatCode>0.00</c:formatCode>
                <c:ptCount val="7"/>
                <c:pt idx="0">
                  <c:v>1.7064846416382253E-2</c:v>
                </c:pt>
                <c:pt idx="1">
                  <c:v>5.4607508532423216E-2</c:v>
                </c:pt>
                <c:pt idx="2">
                  <c:v>8.1911262798634824E-2</c:v>
                </c:pt>
                <c:pt idx="3">
                  <c:v>0.11262798634812288</c:v>
                </c:pt>
                <c:pt idx="4">
                  <c:v>0.13310580204778158</c:v>
                </c:pt>
                <c:pt idx="5">
                  <c:v>0.55972696245733788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3E-4E5F-BA41-70109544464F}"/>
            </c:ext>
          </c:extLst>
        </c:ser>
        <c:ser>
          <c:idx val="2"/>
          <c:order val="2"/>
          <c:tx>
            <c:strRef>
              <c:f>'SÃO GOTARDO'!$L$1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GOTARDO'!$L$2:$L$8</c:f>
              <c:numCache>
                <c:formatCode>0.00</c:formatCode>
                <c:ptCount val="7"/>
                <c:pt idx="0">
                  <c:v>0</c:v>
                </c:pt>
                <c:pt idx="1">
                  <c:v>1.2345679012345678E-2</c:v>
                </c:pt>
                <c:pt idx="2">
                  <c:v>2.4691358024691357E-2</c:v>
                </c:pt>
                <c:pt idx="3">
                  <c:v>3.7037037037037035E-2</c:v>
                </c:pt>
                <c:pt idx="4">
                  <c:v>7.407407407407407E-2</c:v>
                </c:pt>
                <c:pt idx="5">
                  <c:v>0.39506172839506171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3E-4E5F-BA41-70109544464F}"/>
            </c:ext>
          </c:extLst>
        </c:ser>
        <c:ser>
          <c:idx val="3"/>
          <c:order val="3"/>
          <c:tx>
            <c:strRef>
              <c:f>'SÃO GOTARDO'!$M$1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GOTARDO'!$M$2:$M$8</c:f>
              <c:numCache>
                <c:formatCode>0.00</c:formatCode>
                <c:ptCount val="7"/>
                <c:pt idx="0">
                  <c:v>7.4074074074074077E-3</c:v>
                </c:pt>
                <c:pt idx="1">
                  <c:v>5.1851851851851857E-2</c:v>
                </c:pt>
                <c:pt idx="2">
                  <c:v>6.666666666666668E-2</c:v>
                </c:pt>
                <c:pt idx="3">
                  <c:v>7.4074074074074084E-2</c:v>
                </c:pt>
                <c:pt idx="4">
                  <c:v>0.19259259259259259</c:v>
                </c:pt>
                <c:pt idx="5">
                  <c:v>0.44444444444444442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3E-4E5F-BA41-70109544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723264"/>
        <c:axId val="1914723744"/>
      </c:scatterChart>
      <c:valAx>
        <c:axId val="1914723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4723744"/>
        <c:crosses val="autoZero"/>
        <c:crossBetween val="midCat"/>
      </c:valAx>
      <c:valAx>
        <c:axId val="19147237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472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GOTARDO'!$J$1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GOTARDO'!$J$2:$J$8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5C-4E80-909D-8B93D4BC38EC}"/>
            </c:ext>
          </c:extLst>
        </c:ser>
        <c:ser>
          <c:idx val="1"/>
          <c:order val="1"/>
          <c:tx>
            <c:strRef>
              <c:f>'SÃO GOTARDO'!$N$1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GOTARDO'!$N$2:$N$8</c:f>
              <c:numCache>
                <c:formatCode>0.00</c:formatCode>
                <c:ptCount val="7"/>
                <c:pt idx="0">
                  <c:v>8.8300220750551876E-3</c:v>
                </c:pt>
                <c:pt idx="1">
                  <c:v>4.4150110375275942E-2</c:v>
                </c:pt>
                <c:pt idx="2">
                  <c:v>5.7395143487858721E-2</c:v>
                </c:pt>
                <c:pt idx="3">
                  <c:v>8.6092715231788075E-2</c:v>
                </c:pt>
                <c:pt idx="4">
                  <c:v>0.24061810154525387</c:v>
                </c:pt>
                <c:pt idx="5">
                  <c:v>0.51434878587196464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5C-4E80-909D-8B93D4BC38EC}"/>
            </c:ext>
          </c:extLst>
        </c:ser>
        <c:ser>
          <c:idx val="2"/>
          <c:order val="2"/>
          <c:tx>
            <c:strRef>
              <c:f>'SÃO GOTARDO'!$O$1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GOTARDO'!$O$2:$O$8</c:f>
              <c:numCache>
                <c:formatCode>0.00</c:formatCode>
                <c:ptCount val="7"/>
                <c:pt idx="0">
                  <c:v>1.524390243902439E-2</c:v>
                </c:pt>
                <c:pt idx="1">
                  <c:v>5.1829268292682924E-2</c:v>
                </c:pt>
                <c:pt idx="2">
                  <c:v>7.621951219512195E-2</c:v>
                </c:pt>
                <c:pt idx="3">
                  <c:v>0.11890243902439024</c:v>
                </c:pt>
                <c:pt idx="4">
                  <c:v>0.24390243902439024</c:v>
                </c:pt>
                <c:pt idx="5">
                  <c:v>0.6707317073170731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5C-4E80-909D-8B93D4BC38EC}"/>
            </c:ext>
          </c:extLst>
        </c:ser>
        <c:ser>
          <c:idx val="3"/>
          <c:order val="3"/>
          <c:tx>
            <c:strRef>
              <c:f>'SÃO GOTARDO'!$P$1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GOTARDO'!$I$2:$I$8</c:f>
              <c:numCache>
                <c:formatCode>0.00</c:formatCode>
                <c:ptCount val="7"/>
                <c:pt idx="0">
                  <c:v>2.9827199966344486E-2</c:v>
                </c:pt>
                <c:pt idx="1">
                  <c:v>6.520755987000558E-2</c:v>
                </c:pt>
                <c:pt idx="2">
                  <c:v>0.10446882132076862</c:v>
                </c:pt>
                <c:pt idx="3">
                  <c:v>0.17145381306465016</c:v>
                </c:pt>
                <c:pt idx="4">
                  <c:v>0.30140616947655158</c:v>
                </c:pt>
                <c:pt idx="5">
                  <c:v>0.62049200155656759</c:v>
                </c:pt>
                <c:pt idx="6">
                  <c:v>1</c:v>
                </c:pt>
              </c:numCache>
            </c:numRef>
          </c:xVal>
          <c:yVal>
            <c:numRef>
              <c:f>'SÃO GOTARDO'!$P$2:$P$8</c:f>
              <c:numCache>
                <c:formatCode>0.00</c:formatCode>
                <c:ptCount val="7"/>
                <c:pt idx="0">
                  <c:v>0</c:v>
                </c:pt>
                <c:pt idx="1">
                  <c:v>3.5714285714285712E-2</c:v>
                </c:pt>
                <c:pt idx="2">
                  <c:v>5.3571428571428568E-2</c:v>
                </c:pt>
                <c:pt idx="3">
                  <c:v>8.9285714285714274E-2</c:v>
                </c:pt>
                <c:pt idx="4">
                  <c:v>0.21428571428571427</c:v>
                </c:pt>
                <c:pt idx="5">
                  <c:v>0.66666666666666663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5C-4E80-909D-8B93D4BC3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015440"/>
        <c:axId val="2001010160"/>
      </c:scatterChart>
      <c:valAx>
        <c:axId val="20010154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1010160"/>
        <c:crosses val="autoZero"/>
        <c:crossBetween val="midCat"/>
      </c:valAx>
      <c:valAx>
        <c:axId val="20010101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101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UNAÍ!$J$1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UNAÍ!$J$2:$J$13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9C-4FBB-B8E8-039848A0C6DC}"/>
            </c:ext>
          </c:extLst>
        </c:ser>
        <c:ser>
          <c:idx val="1"/>
          <c:order val="1"/>
          <c:tx>
            <c:strRef>
              <c:f>UNAÍ!$K$1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UNAÍ!$K$2:$K$13</c:f>
              <c:numCache>
                <c:formatCode>0.00</c:formatCode>
                <c:ptCount val="12"/>
                <c:pt idx="0">
                  <c:v>7.2568940493468797E-3</c:v>
                </c:pt>
                <c:pt idx="1">
                  <c:v>1.1611030478955007E-2</c:v>
                </c:pt>
                <c:pt idx="2">
                  <c:v>2.0319303338171262E-2</c:v>
                </c:pt>
                <c:pt idx="3">
                  <c:v>3.6284470246734396E-2</c:v>
                </c:pt>
                <c:pt idx="4">
                  <c:v>3.9187227866473148E-2</c:v>
                </c:pt>
                <c:pt idx="5">
                  <c:v>4.9346879535558781E-2</c:v>
                </c:pt>
                <c:pt idx="6">
                  <c:v>6.966618287373004E-2</c:v>
                </c:pt>
                <c:pt idx="7">
                  <c:v>8.2728592162554418E-2</c:v>
                </c:pt>
                <c:pt idx="8">
                  <c:v>0.1204644412191582</c:v>
                </c:pt>
                <c:pt idx="9">
                  <c:v>0.20319303338171263</c:v>
                </c:pt>
                <c:pt idx="10">
                  <c:v>0.52539912917271403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9C-4FBB-B8E8-039848A0C6DC}"/>
            </c:ext>
          </c:extLst>
        </c:ser>
        <c:ser>
          <c:idx val="2"/>
          <c:order val="2"/>
          <c:tx>
            <c:strRef>
              <c:f>UNAÍ!$L$1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UNAÍ!$L$2:$L$13</c:f>
              <c:numCache>
                <c:formatCode>0.00</c:formatCode>
                <c:ptCount val="12"/>
                <c:pt idx="0">
                  <c:v>3.3444816053511705E-3</c:v>
                </c:pt>
                <c:pt idx="1">
                  <c:v>1.0033444816053512E-2</c:v>
                </c:pt>
                <c:pt idx="2">
                  <c:v>1.6722408026755852E-2</c:v>
                </c:pt>
                <c:pt idx="3">
                  <c:v>2.6755852842809364E-2</c:v>
                </c:pt>
                <c:pt idx="4">
                  <c:v>3.0100334448160536E-2</c:v>
                </c:pt>
                <c:pt idx="5">
                  <c:v>4.6822742474916385E-2</c:v>
                </c:pt>
                <c:pt idx="6">
                  <c:v>5.3511705685618728E-2</c:v>
                </c:pt>
                <c:pt idx="7">
                  <c:v>5.6856187290969896E-2</c:v>
                </c:pt>
                <c:pt idx="8">
                  <c:v>6.354515050167224E-2</c:v>
                </c:pt>
                <c:pt idx="9">
                  <c:v>0.27759197324414714</c:v>
                </c:pt>
                <c:pt idx="10">
                  <c:v>0.55183946488294311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9C-4FBB-B8E8-039848A0C6DC}"/>
            </c:ext>
          </c:extLst>
        </c:ser>
        <c:ser>
          <c:idx val="3"/>
          <c:order val="3"/>
          <c:tx>
            <c:strRef>
              <c:f>UNAÍ!$M$1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UNAÍ!$M$2:$M$13</c:f>
              <c:numCache>
                <c:formatCode>0.00</c:formatCode>
                <c:ptCount val="12"/>
                <c:pt idx="0">
                  <c:v>1.0471204188481676E-2</c:v>
                </c:pt>
                <c:pt idx="1">
                  <c:v>1.0471204188481676E-2</c:v>
                </c:pt>
                <c:pt idx="2">
                  <c:v>1.0471204188481676E-2</c:v>
                </c:pt>
                <c:pt idx="3">
                  <c:v>1.0471204188481676E-2</c:v>
                </c:pt>
                <c:pt idx="4">
                  <c:v>2.0942408376963352E-2</c:v>
                </c:pt>
                <c:pt idx="5">
                  <c:v>3.1413612565445032E-2</c:v>
                </c:pt>
                <c:pt idx="6">
                  <c:v>5.2356020942408384E-2</c:v>
                </c:pt>
                <c:pt idx="7">
                  <c:v>5.2356020942408384E-2</c:v>
                </c:pt>
                <c:pt idx="8">
                  <c:v>6.2827225130890063E-2</c:v>
                </c:pt>
                <c:pt idx="9">
                  <c:v>0.27748691099476441</c:v>
                </c:pt>
                <c:pt idx="10">
                  <c:v>0.46073298429319376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9C-4FBB-B8E8-039848A0C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96192"/>
        <c:axId val="424091392"/>
      </c:scatterChart>
      <c:valAx>
        <c:axId val="4240961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1392"/>
        <c:crosses val="autoZero"/>
        <c:crossBetween val="midCat"/>
      </c:valAx>
      <c:valAx>
        <c:axId val="4240913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6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UNAÍ!$J$1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UNAÍ!$J$2:$J$13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33-4D50-9B97-762F064A4352}"/>
            </c:ext>
          </c:extLst>
        </c:ser>
        <c:ser>
          <c:idx val="1"/>
          <c:order val="1"/>
          <c:tx>
            <c:strRef>
              <c:f>UNAÍ!$N$1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UNAÍ!$N$2:$N$13</c:f>
              <c:numCache>
                <c:formatCode>0.00</c:formatCode>
                <c:ptCount val="12"/>
                <c:pt idx="0">
                  <c:v>2.2488755622188907E-2</c:v>
                </c:pt>
                <c:pt idx="1">
                  <c:v>2.5487256371814093E-2</c:v>
                </c:pt>
                <c:pt idx="2">
                  <c:v>4.3478260869565216E-2</c:v>
                </c:pt>
                <c:pt idx="3">
                  <c:v>6.296851574212893E-2</c:v>
                </c:pt>
                <c:pt idx="4">
                  <c:v>6.7466266866566704E-2</c:v>
                </c:pt>
                <c:pt idx="5">
                  <c:v>8.845577211394301E-2</c:v>
                </c:pt>
                <c:pt idx="6">
                  <c:v>0.10344827586206895</c:v>
                </c:pt>
                <c:pt idx="7">
                  <c:v>0.16341829085457271</c:v>
                </c:pt>
                <c:pt idx="8">
                  <c:v>0.20839580209895053</c:v>
                </c:pt>
                <c:pt idx="9">
                  <c:v>0.30884557721139433</c:v>
                </c:pt>
                <c:pt idx="10">
                  <c:v>0.66266866566716642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33-4D50-9B97-762F064A4352}"/>
            </c:ext>
          </c:extLst>
        </c:ser>
        <c:ser>
          <c:idx val="2"/>
          <c:order val="2"/>
          <c:tx>
            <c:strRef>
              <c:f>UNAÍ!$O$1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UNAÍ!$O$2:$O$13</c:f>
              <c:numCache>
                <c:formatCode>0.00</c:formatCode>
                <c:ptCount val="12"/>
                <c:pt idx="0">
                  <c:v>2.4221453287197232E-2</c:v>
                </c:pt>
                <c:pt idx="1">
                  <c:v>2.5951557093425604E-2</c:v>
                </c:pt>
                <c:pt idx="2">
                  <c:v>5.3633217993079588E-2</c:v>
                </c:pt>
                <c:pt idx="3">
                  <c:v>7.2664359861591699E-2</c:v>
                </c:pt>
                <c:pt idx="4">
                  <c:v>7.7854671280276816E-2</c:v>
                </c:pt>
                <c:pt idx="5">
                  <c:v>0.10380622837370242</c:v>
                </c:pt>
                <c:pt idx="6">
                  <c:v>0.11937716262975778</c:v>
                </c:pt>
                <c:pt idx="7">
                  <c:v>0.17301038062283736</c:v>
                </c:pt>
                <c:pt idx="8">
                  <c:v>0.24221453287197231</c:v>
                </c:pt>
                <c:pt idx="9">
                  <c:v>0.33217993079584773</c:v>
                </c:pt>
                <c:pt idx="10">
                  <c:v>0.69377162629757783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33-4D50-9B97-762F064A4352}"/>
            </c:ext>
          </c:extLst>
        </c:ser>
        <c:ser>
          <c:idx val="3"/>
          <c:order val="3"/>
          <c:tx>
            <c:strRef>
              <c:f>UNAÍ!$P$1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UNAÍ!$I$2:$I$13</c:f>
              <c:numCache>
                <c:formatCode>0.00</c:formatCode>
                <c:ptCount val="12"/>
                <c:pt idx="0">
                  <c:v>1.1720367017389771E-2</c:v>
                </c:pt>
                <c:pt idx="1">
                  <c:v>2.3620715100771399E-2</c:v>
                </c:pt>
                <c:pt idx="2">
                  <c:v>3.6705338598379447E-2</c:v>
                </c:pt>
                <c:pt idx="3">
                  <c:v>5.6132494861540566E-2</c:v>
                </c:pt>
                <c:pt idx="4">
                  <c:v>8.1419834633396568E-2</c:v>
                </c:pt>
                <c:pt idx="5">
                  <c:v>0.1106919552063123</c:v>
                </c:pt>
                <c:pt idx="6">
                  <c:v>0.14600424035391477</c:v>
                </c:pt>
                <c:pt idx="7">
                  <c:v>0.19718005665803956</c:v>
                </c:pt>
                <c:pt idx="8">
                  <c:v>0.26143329721713271</c:v>
                </c:pt>
                <c:pt idx="9">
                  <c:v>0.35206816242931238</c:v>
                </c:pt>
                <c:pt idx="10">
                  <c:v>0.65969540004391525</c:v>
                </c:pt>
                <c:pt idx="11">
                  <c:v>0.99999999999999989</c:v>
                </c:pt>
              </c:numCache>
            </c:numRef>
          </c:xVal>
          <c:yVal>
            <c:numRef>
              <c:f>UNAÍ!$P$2:$P$13</c:f>
              <c:numCache>
                <c:formatCode>0.00</c:formatCode>
                <c:ptCount val="12"/>
                <c:pt idx="0">
                  <c:v>3.5971223021582736E-3</c:v>
                </c:pt>
                <c:pt idx="1">
                  <c:v>3.5971223021582736E-3</c:v>
                </c:pt>
                <c:pt idx="2">
                  <c:v>1.4388489208633094E-2</c:v>
                </c:pt>
                <c:pt idx="3">
                  <c:v>2.5179856115107917E-2</c:v>
                </c:pt>
                <c:pt idx="4">
                  <c:v>3.9568345323741011E-2</c:v>
                </c:pt>
                <c:pt idx="5">
                  <c:v>0.10431654676258993</c:v>
                </c:pt>
                <c:pt idx="6">
                  <c:v>0.1223021582733813</c:v>
                </c:pt>
                <c:pt idx="7">
                  <c:v>0.14388489208633093</c:v>
                </c:pt>
                <c:pt idx="8">
                  <c:v>0.2266187050359712</c:v>
                </c:pt>
                <c:pt idx="9">
                  <c:v>0.32733812949640284</c:v>
                </c:pt>
                <c:pt idx="10">
                  <c:v>0.65107913669064743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33-4D50-9B97-762F064A4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86112"/>
        <c:axId val="424083712"/>
      </c:scatterChart>
      <c:valAx>
        <c:axId val="4240861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83712"/>
        <c:crosses val="autoZero"/>
        <c:crossBetween val="midCat"/>
      </c:valAx>
      <c:valAx>
        <c:axId val="4240837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8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349250</xdr:colOff>
      <xdr:row>0</xdr:row>
      <xdr:rowOff>0</xdr:rowOff>
    </xdr:from>
    <xdr:to>
      <xdr:col>24</xdr:col>
      <xdr:colOff>31750</xdr:colOff>
      <xdr:row>12</xdr:row>
      <xdr:rowOff>84137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3613DB9-AFD8-8EB4-DB79-1822372CB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341313</xdr:colOff>
      <xdr:row>12</xdr:row>
      <xdr:rowOff>148430</xdr:rowOff>
    </xdr:from>
    <xdr:to>
      <xdr:col>24</xdr:col>
      <xdr:colOff>23813</xdr:colOff>
      <xdr:row>27</xdr:row>
      <xdr:rowOff>153193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E4845F2-8098-0CD4-A53F-971A8FB38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72887</xdr:colOff>
      <xdr:row>0</xdr:row>
      <xdr:rowOff>49695</xdr:rowOff>
    </xdr:from>
    <xdr:to>
      <xdr:col>23</xdr:col>
      <xdr:colOff>377687</xdr:colOff>
      <xdr:row>13</xdr:row>
      <xdr:rowOff>102704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10ABCEF-AAF3-969F-6088-4C18132A9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79512</xdr:colOff>
      <xdr:row>13</xdr:row>
      <xdr:rowOff>135835</xdr:rowOff>
    </xdr:from>
    <xdr:to>
      <xdr:col>23</xdr:col>
      <xdr:colOff>384312</xdr:colOff>
      <xdr:row>27</xdr:row>
      <xdr:rowOff>102704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A140E03-1FBC-BFBD-2A1F-D03EBEDCE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154556</xdr:colOff>
      <xdr:row>0</xdr:row>
      <xdr:rowOff>51758</xdr:rowOff>
    </xdr:from>
    <xdr:to>
      <xdr:col>23</xdr:col>
      <xdr:colOff>449292</xdr:colOff>
      <xdr:row>12</xdr:row>
      <xdr:rowOff>163901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44AAFC5-79A8-151C-8D8C-22037644F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176122</xdr:colOff>
      <xdr:row>13</xdr:row>
      <xdr:rowOff>58946</xdr:rowOff>
    </xdr:from>
    <xdr:to>
      <xdr:col>23</xdr:col>
      <xdr:colOff>470858</xdr:colOff>
      <xdr:row>28</xdr:row>
      <xdr:rowOff>106392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482AD03-F3BD-E173-2256-65CA383ED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198120</xdr:colOff>
      <xdr:row>0</xdr:row>
      <xdr:rowOff>41910</xdr:rowOff>
    </xdr:from>
    <xdr:to>
      <xdr:col>23</xdr:col>
      <xdr:colOff>502920</xdr:colOff>
      <xdr:row>13</xdr:row>
      <xdr:rowOff>125730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F0A3B84-C15E-81D1-D7C8-00CAF950D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182880</xdr:colOff>
      <xdr:row>14</xdr:row>
      <xdr:rowOff>41910</xdr:rowOff>
    </xdr:from>
    <xdr:to>
      <xdr:col>23</xdr:col>
      <xdr:colOff>487680</xdr:colOff>
      <xdr:row>28</xdr:row>
      <xdr:rowOff>41910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37A0F3C-07C4-B2B9-FB64-8D9B42AEA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533A-7520-450E-9A57-AC90476C8EE2}">
  <dimension ref="A1:P12"/>
  <sheetViews>
    <sheetView topLeftCell="G1" zoomScale="96" workbookViewId="0">
      <selection activeCell="K12" sqref="K12:P12"/>
    </sheetView>
  </sheetViews>
  <sheetFormatPr defaultRowHeight="14.4" x14ac:dyDescent="0.3"/>
  <cols>
    <col min="1" max="1" width="17.6640625" customWidth="1"/>
  </cols>
  <sheetData>
    <row r="1" spans="1:16" ht="36.6" customHeight="1" x14ac:dyDescent="0.3">
      <c r="A1" s="1" t="s">
        <v>33</v>
      </c>
      <c r="B1" s="2" t="s">
        <v>34</v>
      </c>
      <c r="C1" s="3" t="s">
        <v>35</v>
      </c>
      <c r="D1" s="3" t="s">
        <v>36</v>
      </c>
      <c r="E1" s="3" t="s">
        <v>37</v>
      </c>
      <c r="F1" s="2" t="s">
        <v>38</v>
      </c>
      <c r="G1" s="3" t="s">
        <v>39</v>
      </c>
      <c r="H1" s="3" t="s">
        <v>40</v>
      </c>
      <c r="I1" s="4" t="s">
        <v>34</v>
      </c>
      <c r="J1" s="5" t="s">
        <v>34</v>
      </c>
      <c r="K1" s="6" t="s">
        <v>35</v>
      </c>
      <c r="L1" s="7" t="s">
        <v>36</v>
      </c>
      <c r="M1" s="6" t="s">
        <v>37</v>
      </c>
      <c r="N1" s="8" t="s">
        <v>38</v>
      </c>
      <c r="O1" s="6" t="s">
        <v>39</v>
      </c>
      <c r="P1" s="6" t="s">
        <v>40</v>
      </c>
    </row>
    <row r="2" spans="1:16" x14ac:dyDescent="0.3">
      <c r="A2" s="12" t="s">
        <v>2</v>
      </c>
      <c r="B2" s="13">
        <v>0.12973559721794101</v>
      </c>
      <c r="C2" s="13">
        <v>6.6666666666666666E-2</v>
      </c>
      <c r="D2" s="13">
        <v>8.1395348837209308E-2</v>
      </c>
      <c r="E2" s="13">
        <v>5.0847457627118647E-2</v>
      </c>
      <c r="F2" s="13">
        <v>0.11297071129707113</v>
      </c>
      <c r="G2" s="13">
        <v>0.15789473684210525</v>
      </c>
      <c r="H2" s="13">
        <v>0.16250000000000001</v>
      </c>
      <c r="I2" s="12">
        <v>0.12973559721794101</v>
      </c>
      <c r="J2" s="13">
        <v>0.12973559721794101</v>
      </c>
      <c r="K2" s="13">
        <v>6.6666666666666666E-2</v>
      </c>
      <c r="L2" s="13">
        <v>8.1395348837209308E-2</v>
      </c>
      <c r="M2" s="13">
        <v>5.0847457627118647E-2</v>
      </c>
      <c r="N2" s="13">
        <v>0.11297071129707113</v>
      </c>
      <c r="O2" s="13">
        <v>0.15789473684210525</v>
      </c>
      <c r="P2" s="13">
        <v>0.16250000000000001</v>
      </c>
    </row>
    <row r="3" spans="1:16" x14ac:dyDescent="0.3">
      <c r="A3" s="12" t="s">
        <v>1</v>
      </c>
      <c r="B3" s="13">
        <v>0.22714785382131036</v>
      </c>
      <c r="C3" s="13">
        <v>0.14509803921568629</v>
      </c>
      <c r="D3" s="13">
        <v>3.4883720930232558E-2</v>
      </c>
      <c r="E3" s="13">
        <v>5.0847457627118647E-2</v>
      </c>
      <c r="F3" s="13">
        <v>9.6234309623430964E-2</v>
      </c>
      <c r="G3" s="13">
        <v>0.12105263157894737</v>
      </c>
      <c r="H3" s="13">
        <v>0.13750000000000001</v>
      </c>
      <c r="I3" s="12">
        <v>0.35688345103925134</v>
      </c>
      <c r="J3" s="12">
        <f t="shared" ref="J3:P4" si="0">J2+B3</f>
        <v>0.35688345103925134</v>
      </c>
      <c r="K3" s="12">
        <f t="shared" si="0"/>
        <v>0.21176470588235297</v>
      </c>
      <c r="L3" s="12">
        <f t="shared" si="0"/>
        <v>0.11627906976744187</v>
      </c>
      <c r="M3" s="12">
        <f t="shared" si="0"/>
        <v>0.10169491525423729</v>
      </c>
      <c r="N3" s="12">
        <f t="shared" si="0"/>
        <v>0.20920502092050208</v>
      </c>
      <c r="O3" s="12">
        <f t="shared" si="0"/>
        <v>0.27894736842105261</v>
      </c>
      <c r="P3" s="12">
        <f t="shared" si="0"/>
        <v>0.30000000000000004</v>
      </c>
    </row>
    <row r="4" spans="1:16" x14ac:dyDescent="0.3">
      <c r="A4" s="12" t="s">
        <v>0</v>
      </c>
      <c r="B4" s="13">
        <v>0.64311654896074832</v>
      </c>
      <c r="C4" s="13">
        <v>0.78823529411764703</v>
      </c>
      <c r="D4" s="13">
        <v>0.88372093023255816</v>
      </c>
      <c r="E4" s="13">
        <v>0.89830508474576276</v>
      </c>
      <c r="F4" s="13">
        <v>0.79079497907949792</v>
      </c>
      <c r="G4" s="13">
        <v>0.72105263157894739</v>
      </c>
      <c r="H4" s="13">
        <v>0.7</v>
      </c>
      <c r="I4" s="12">
        <v>0.99999999999999967</v>
      </c>
      <c r="J4" s="12">
        <f t="shared" si="0"/>
        <v>0.99999999999999967</v>
      </c>
      <c r="K4" s="12">
        <f t="shared" si="0"/>
        <v>1</v>
      </c>
      <c r="L4" s="12">
        <f t="shared" si="0"/>
        <v>1</v>
      </c>
      <c r="M4" s="12">
        <f t="shared" si="0"/>
        <v>1</v>
      </c>
      <c r="N4" s="12">
        <f t="shared" si="0"/>
        <v>1</v>
      </c>
      <c r="O4" s="12">
        <f t="shared" si="0"/>
        <v>1</v>
      </c>
      <c r="P4" s="12">
        <f t="shared" si="0"/>
        <v>1</v>
      </c>
    </row>
    <row r="7" spans="1:16" ht="28.8" x14ac:dyDescent="0.3">
      <c r="B7" s="1" t="s">
        <v>33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J7" s="11"/>
      <c r="K7" s="22" t="s">
        <v>47</v>
      </c>
      <c r="L7" s="22" t="s">
        <v>48</v>
      </c>
      <c r="M7" s="22" t="s">
        <v>49</v>
      </c>
      <c r="N7" s="22" t="s">
        <v>50</v>
      </c>
      <c r="O7" s="22" t="s">
        <v>51</v>
      </c>
      <c r="P7" s="22" t="s">
        <v>52</v>
      </c>
    </row>
    <row r="8" spans="1:16" x14ac:dyDescent="0.3">
      <c r="B8" s="12" t="s">
        <v>2</v>
      </c>
      <c r="C8" s="12">
        <f>C2-B2</f>
        <v>-6.3068930551274341E-2</v>
      </c>
      <c r="D8" s="12">
        <f>D2-B2</f>
        <v>-4.8340248380731698E-2</v>
      </c>
      <c r="E8" s="12">
        <f>E2-B2</f>
        <v>-7.8888139590822359E-2</v>
      </c>
      <c r="F8" s="12">
        <f>F2-B2</f>
        <v>-1.6764885920869874E-2</v>
      </c>
      <c r="G8" s="12">
        <f>G2-B2</f>
        <v>2.8159139624164248E-2</v>
      </c>
      <c r="H8" s="12">
        <f>H2-B2</f>
        <v>3.2764402782058999E-2</v>
      </c>
      <c r="J8" s="12" t="s">
        <v>2</v>
      </c>
      <c r="K8" s="11">
        <f>($J2-0) * ((K2+0))</f>
        <v>8.6490398145293995E-3</v>
      </c>
      <c r="L8" s="11">
        <f t="shared" ref="L8:P8" si="1">($J2-0) * ((L2+0))</f>
        <v>1.055987419215799E-2</v>
      </c>
      <c r="M8" s="11">
        <f t="shared" si="1"/>
        <v>6.5967252822681875E-3</v>
      </c>
      <c r="N8" s="11">
        <f t="shared" si="1"/>
        <v>1.4656322698261118E-2</v>
      </c>
      <c r="O8" s="11">
        <f t="shared" si="1"/>
        <v>2.0484567981780159E-2</v>
      </c>
      <c r="P8" s="11">
        <f t="shared" si="1"/>
        <v>2.1082034547915414E-2</v>
      </c>
    </row>
    <row r="9" spans="1:16" x14ac:dyDescent="0.3">
      <c r="B9" s="12" t="s">
        <v>1</v>
      </c>
      <c r="C9" s="12">
        <f t="shared" ref="C9:C10" si="2">C3-B3</f>
        <v>-8.2049814605624077E-2</v>
      </c>
      <c r="D9" s="12">
        <f t="shared" ref="D9:D10" si="3">D3-B3</f>
        <v>-0.1922641328910778</v>
      </c>
      <c r="E9" s="12">
        <f t="shared" ref="E9:E10" si="4">E3-B3</f>
        <v>-0.17630039619419172</v>
      </c>
      <c r="F9" s="12">
        <f t="shared" ref="F9:F10" si="5">F3-B3</f>
        <v>-0.1309135441978794</v>
      </c>
      <c r="G9" s="12">
        <f t="shared" ref="G9:G10" si="6">G3-B3</f>
        <v>-0.10609522224236299</v>
      </c>
      <c r="H9" s="12">
        <f t="shared" ref="H9:H10" si="7">H3-B3</f>
        <v>-8.9647853821310353E-2</v>
      </c>
      <c r="J9" s="12" t="s">
        <v>1</v>
      </c>
      <c r="K9" s="11">
        <f>($J3-$J2) * ((K3+K2))</f>
        <v>6.3245088711031502E-2</v>
      </c>
      <c r="L9" s="11">
        <f t="shared" ref="L9:P10" si="8">($J3-$J2) * ((L3+L2))</f>
        <v>4.4901319941421818E-2</v>
      </c>
      <c r="M9" s="11">
        <f t="shared" si="8"/>
        <v>3.4649672616810054E-2</v>
      </c>
      <c r="N9" s="11">
        <f t="shared" si="8"/>
        <v>7.3181526126530949E-2</v>
      </c>
      <c r="O9" s="11">
        <f t="shared" si="8"/>
        <v>9.9227746669309239E-2</v>
      </c>
      <c r="P9" s="11">
        <f t="shared" si="8"/>
        <v>0.10505588239235604</v>
      </c>
    </row>
    <row r="10" spans="1:16" x14ac:dyDescent="0.3">
      <c r="B10" s="12" t="s">
        <v>0</v>
      </c>
      <c r="C10" s="12">
        <f t="shared" si="2"/>
        <v>0.14511874515689871</v>
      </c>
      <c r="D10" s="12">
        <f t="shared" si="3"/>
        <v>0.24060438127180983</v>
      </c>
      <c r="E10" s="12">
        <f t="shared" si="4"/>
        <v>0.25518853578501444</v>
      </c>
      <c r="F10" s="12">
        <f t="shared" si="5"/>
        <v>0.14767843011874959</v>
      </c>
      <c r="G10" s="12">
        <f t="shared" si="6"/>
        <v>7.7936082618199065E-2</v>
      </c>
      <c r="H10" s="12">
        <f t="shared" si="7"/>
        <v>5.6883451039251631E-2</v>
      </c>
      <c r="J10" s="12" t="s">
        <v>0</v>
      </c>
      <c r="K10" s="11">
        <f>($J4-$J3) * ((K4+K3))</f>
        <v>0.77930593579949514</v>
      </c>
      <c r="L10" s="11">
        <f t="shared" si="8"/>
        <v>0.71789754302595166</v>
      </c>
      <c r="M10" s="11">
        <f t="shared" si="8"/>
        <v>0.70851823190590912</v>
      </c>
      <c r="N10" s="11">
        <f t="shared" si="8"/>
        <v>0.77765976004040283</v>
      </c>
      <c r="O10" s="11">
        <f t="shared" si="8"/>
        <v>0.82251221788137807</v>
      </c>
      <c r="P10" s="11">
        <f t="shared" si="8"/>
        <v>0.8360515136489729</v>
      </c>
    </row>
    <row r="11" spans="1:16" x14ac:dyDescent="0.3">
      <c r="J11" s="23" t="s">
        <v>53</v>
      </c>
      <c r="K11" s="22">
        <f>SUM(K8:K10)</f>
        <v>0.85120006432505602</v>
      </c>
      <c r="L11" s="22">
        <f t="shared" ref="L11:P11" si="9">SUM(L8:L10)</f>
        <v>0.77335873715953141</v>
      </c>
      <c r="M11" s="22">
        <f t="shared" si="9"/>
        <v>0.74976462980498737</v>
      </c>
      <c r="N11" s="22">
        <f t="shared" si="9"/>
        <v>0.86549760886519489</v>
      </c>
      <c r="O11" s="22">
        <f t="shared" si="9"/>
        <v>0.94222453253246741</v>
      </c>
      <c r="P11" s="22">
        <f t="shared" si="9"/>
        <v>0.96218943058924433</v>
      </c>
    </row>
    <row r="12" spans="1:16" x14ac:dyDescent="0.3">
      <c r="J12" s="24" t="s">
        <v>54</v>
      </c>
      <c r="K12" s="25">
        <f>1-K11</f>
        <v>0.14879993567494398</v>
      </c>
      <c r="L12" s="25">
        <f t="shared" ref="L12:P12" si="10">1-L11</f>
        <v>0.22664126284046859</v>
      </c>
      <c r="M12" s="25">
        <f t="shared" si="10"/>
        <v>0.25023537019501263</v>
      </c>
      <c r="N12" s="25">
        <f t="shared" si="10"/>
        <v>0.13450239113480511</v>
      </c>
      <c r="O12" s="25">
        <f t="shared" si="10"/>
        <v>5.7775467467532593E-2</v>
      </c>
      <c r="P12" s="25">
        <f t="shared" si="10"/>
        <v>3.7810569410755668E-2</v>
      </c>
    </row>
  </sheetData>
  <sortState xmlns:xlrd2="http://schemas.microsoft.com/office/spreadsheetml/2017/richdata2" ref="A2:P5">
    <sortCondition ref="B1:B5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22BA-3EA3-441A-BAF3-96E916A94EFE}">
  <dimension ref="A1:P28"/>
  <sheetViews>
    <sheetView tabSelected="1" zoomScale="95" zoomScaleNormal="115" workbookViewId="0">
      <selection activeCell="H23" sqref="H23"/>
    </sheetView>
  </sheetViews>
  <sheetFormatPr defaultRowHeight="14.4" x14ac:dyDescent="0.3"/>
  <cols>
    <col min="1" max="1" width="15.21875" customWidth="1"/>
    <col min="6" max="10" width="9" bestFit="1" customWidth="1"/>
    <col min="11" max="12" width="12.6640625" bestFit="1" customWidth="1"/>
    <col min="13" max="13" width="9" bestFit="1" customWidth="1"/>
    <col min="14" max="15" width="12.6640625" bestFit="1" customWidth="1"/>
  </cols>
  <sheetData>
    <row r="1" spans="1:16" ht="36.6" customHeight="1" x14ac:dyDescent="0.3">
      <c r="A1" s="14" t="s">
        <v>33</v>
      </c>
      <c r="B1" s="15" t="s">
        <v>34</v>
      </c>
      <c r="C1" s="16" t="s">
        <v>35</v>
      </c>
      <c r="D1" s="16" t="s">
        <v>36</v>
      </c>
      <c r="E1" s="16" t="s">
        <v>37</v>
      </c>
      <c r="F1" s="15" t="s">
        <v>38</v>
      </c>
      <c r="G1" s="16" t="s">
        <v>39</v>
      </c>
      <c r="H1" s="16" t="s">
        <v>40</v>
      </c>
      <c r="I1" s="17" t="s">
        <v>34</v>
      </c>
      <c r="J1" s="18" t="s">
        <v>34</v>
      </c>
      <c r="K1" s="19" t="s">
        <v>35</v>
      </c>
      <c r="L1" s="19" t="s">
        <v>36</v>
      </c>
      <c r="M1" s="19" t="s">
        <v>37</v>
      </c>
      <c r="N1" s="20" t="s">
        <v>38</v>
      </c>
      <c r="O1" s="19" t="s">
        <v>39</v>
      </c>
      <c r="P1" s="19" t="s">
        <v>40</v>
      </c>
    </row>
    <row r="2" spans="1:16" x14ac:dyDescent="0.3">
      <c r="A2" s="12" t="s">
        <v>4</v>
      </c>
      <c r="B2" s="13">
        <v>1.3691694980086853E-2</v>
      </c>
      <c r="C2" s="13">
        <v>6.5963060686015833E-3</v>
      </c>
      <c r="D2" s="13">
        <v>3.2258064516129032E-3</v>
      </c>
      <c r="E2" s="13">
        <v>1.556420233463035E-2</v>
      </c>
      <c r="F2" s="13">
        <v>2.7453671928620452E-3</v>
      </c>
      <c r="G2" s="13">
        <v>4.0120361083249749E-3</v>
      </c>
      <c r="H2" s="13">
        <v>4.7846889952153108E-3</v>
      </c>
      <c r="I2" s="12">
        <v>1.3691694980086853E-2</v>
      </c>
      <c r="J2" s="13">
        <v>1.3691694980086853E-2</v>
      </c>
      <c r="K2" s="13">
        <v>6.5963060686015833E-3</v>
      </c>
      <c r="L2" s="13">
        <v>3.2258064516129032E-3</v>
      </c>
      <c r="M2" s="13">
        <v>1.556420233463035E-2</v>
      </c>
      <c r="N2" s="13">
        <v>2.7453671928620452E-3</v>
      </c>
      <c r="O2" s="13">
        <v>4.0120361083249749E-3</v>
      </c>
      <c r="P2" s="13">
        <v>4.7846889952153108E-3</v>
      </c>
    </row>
    <row r="3" spans="1:16" x14ac:dyDescent="0.3">
      <c r="A3" s="12" t="s">
        <v>5</v>
      </c>
      <c r="B3" s="13">
        <v>2.4593299282226672E-2</v>
      </c>
      <c r="C3" s="13">
        <v>3.1662269129287601E-2</v>
      </c>
      <c r="D3" s="13">
        <v>5.4838709677419356E-2</v>
      </c>
      <c r="E3" s="13">
        <v>1.9455252918287938E-2</v>
      </c>
      <c r="F3" s="13">
        <v>1.7158544955387784E-2</v>
      </c>
      <c r="G3" s="13">
        <v>1.9057171514543631E-2</v>
      </c>
      <c r="H3" s="13">
        <v>1.6746411483253589E-2</v>
      </c>
      <c r="I3" s="12">
        <v>3.8284994262313521E-2</v>
      </c>
      <c r="J3" s="12">
        <f>J2+B3</f>
        <v>3.8284994262313521E-2</v>
      </c>
      <c r="K3" s="12">
        <f>K2+C3</f>
        <v>3.8258575197889187E-2</v>
      </c>
      <c r="L3" s="12">
        <f t="shared" ref="L3:P12" si="0">L2+D3</f>
        <v>5.8064516129032261E-2</v>
      </c>
      <c r="M3" s="12">
        <f t="shared" si="0"/>
        <v>3.5019455252918288E-2</v>
      </c>
      <c r="N3" s="12">
        <f t="shared" si="0"/>
        <v>1.9903912148249828E-2</v>
      </c>
      <c r="O3" s="12">
        <f t="shared" si="0"/>
        <v>2.3069207622868605E-2</v>
      </c>
      <c r="P3" s="12">
        <f t="shared" si="0"/>
        <v>2.1531100478468901E-2</v>
      </c>
    </row>
    <row r="4" spans="1:16" x14ac:dyDescent="0.3">
      <c r="A4" s="12" t="s">
        <v>12</v>
      </c>
      <c r="B4" s="13">
        <v>2.7132131794283313E-2</v>
      </c>
      <c r="C4" s="13">
        <v>2.7704485488126648E-2</v>
      </c>
      <c r="D4" s="13">
        <v>2.5806451612903226E-2</v>
      </c>
      <c r="E4" s="13">
        <v>1.1673151750972763E-2</v>
      </c>
      <c r="F4" s="13">
        <v>4.1180507892930682E-3</v>
      </c>
      <c r="G4" s="13">
        <v>8.0240722166499499E-3</v>
      </c>
      <c r="H4" s="13">
        <v>1.1961722488038277E-2</v>
      </c>
      <c r="I4" s="12">
        <v>6.541712605659683E-2</v>
      </c>
      <c r="J4" s="12">
        <f t="shared" ref="J4:K12" si="1">J3+B4</f>
        <v>6.541712605659683E-2</v>
      </c>
      <c r="K4" s="12">
        <f t="shared" si="1"/>
        <v>6.5963060686015831E-2</v>
      </c>
      <c r="L4" s="12">
        <f t="shared" si="0"/>
        <v>8.387096774193549E-2</v>
      </c>
      <c r="M4" s="12">
        <f t="shared" si="0"/>
        <v>4.6692607003891051E-2</v>
      </c>
      <c r="N4" s="12">
        <f t="shared" si="0"/>
        <v>2.4021962937542898E-2</v>
      </c>
      <c r="O4" s="12">
        <f t="shared" si="0"/>
        <v>3.1093279839518553E-2</v>
      </c>
      <c r="P4" s="12">
        <f t="shared" si="0"/>
        <v>3.3492822966507178E-2</v>
      </c>
    </row>
    <row r="5" spans="1:16" x14ac:dyDescent="0.3">
      <c r="A5" s="12" t="s">
        <v>7</v>
      </c>
      <c r="B5" s="13">
        <v>2.8455924817556572E-2</v>
      </c>
      <c r="C5" s="13">
        <v>4.4854881266490766E-2</v>
      </c>
      <c r="D5" s="13">
        <v>4.8387096774193547E-2</v>
      </c>
      <c r="E5" s="13">
        <v>2.3346303501945526E-2</v>
      </c>
      <c r="F5" s="13">
        <v>1.0981468771448181E-2</v>
      </c>
      <c r="G5" s="13">
        <v>1.4042126379137413E-2</v>
      </c>
      <c r="H5" s="13">
        <v>3.1100478468899521E-2</v>
      </c>
      <c r="I5" s="12">
        <v>9.3873050874153402E-2</v>
      </c>
      <c r="J5" s="12">
        <f t="shared" si="1"/>
        <v>9.3873050874153402E-2</v>
      </c>
      <c r="K5" s="12">
        <f t="shared" si="1"/>
        <v>0.1108179419525066</v>
      </c>
      <c r="L5" s="12">
        <f t="shared" si="0"/>
        <v>0.13225806451612904</v>
      </c>
      <c r="M5" s="12">
        <f t="shared" si="0"/>
        <v>7.0038910505836577E-2</v>
      </c>
      <c r="N5" s="12">
        <f t="shared" si="0"/>
        <v>3.5003431708991076E-2</v>
      </c>
      <c r="O5" s="12">
        <f t="shared" si="0"/>
        <v>4.5135406218655964E-2</v>
      </c>
      <c r="P5" s="12">
        <f t="shared" si="0"/>
        <v>6.4593301435406703E-2</v>
      </c>
    </row>
    <row r="6" spans="1:16" x14ac:dyDescent="0.3">
      <c r="A6" s="12" t="s">
        <v>6</v>
      </c>
      <c r="B6" s="13">
        <v>3.063099550735399E-2</v>
      </c>
      <c r="C6" s="13">
        <v>2.1108179419525065E-2</v>
      </c>
      <c r="D6" s="13">
        <v>6.4516129032258064E-3</v>
      </c>
      <c r="E6" s="13">
        <v>1.556420233463035E-2</v>
      </c>
      <c r="F6" s="13">
        <v>2.4021962937542895E-2</v>
      </c>
      <c r="G6" s="13">
        <v>2.6078234704112337E-2</v>
      </c>
      <c r="H6" s="13">
        <v>2.6315789473684209E-2</v>
      </c>
      <c r="I6" s="12">
        <v>0.12450404638150739</v>
      </c>
      <c r="J6" s="12">
        <f t="shared" si="1"/>
        <v>0.12450404638150739</v>
      </c>
      <c r="K6" s="12">
        <f t="shared" si="1"/>
        <v>0.13192612137203166</v>
      </c>
      <c r="L6" s="12">
        <f t="shared" si="0"/>
        <v>0.13870967741935483</v>
      </c>
      <c r="M6" s="12">
        <f t="shared" si="0"/>
        <v>8.5603112840466927E-2</v>
      </c>
      <c r="N6" s="12">
        <f t="shared" si="0"/>
        <v>5.9025394646533974E-2</v>
      </c>
      <c r="O6" s="12">
        <f t="shared" si="0"/>
        <v>7.1213640922768301E-2</v>
      </c>
      <c r="P6" s="12">
        <f t="shared" si="0"/>
        <v>9.0909090909090912E-2</v>
      </c>
    </row>
    <row r="7" spans="1:16" x14ac:dyDescent="0.3">
      <c r="A7" s="12" t="s">
        <v>10</v>
      </c>
      <c r="B7" s="13">
        <v>3.1977289261901014E-2</v>
      </c>
      <c r="C7" s="13">
        <v>1.5831134564643801E-2</v>
      </c>
      <c r="D7" s="13">
        <v>6.4516129032258064E-3</v>
      </c>
      <c r="E7" s="13">
        <v>1.1673151750972763E-2</v>
      </c>
      <c r="F7" s="13">
        <v>1.029512697323267E-2</v>
      </c>
      <c r="G7" s="13">
        <v>1.60481444332999E-2</v>
      </c>
      <c r="H7" s="13">
        <v>1.1961722488038277E-2</v>
      </c>
      <c r="I7" s="12">
        <v>0.15648133564340841</v>
      </c>
      <c r="J7" s="12">
        <f t="shared" si="1"/>
        <v>0.15648133564340841</v>
      </c>
      <c r="K7" s="12">
        <f t="shared" si="1"/>
        <v>0.14775725593667546</v>
      </c>
      <c r="L7" s="12">
        <f t="shared" si="0"/>
        <v>0.14516129032258063</v>
      </c>
      <c r="M7" s="12">
        <f t="shared" si="0"/>
        <v>9.727626459143969E-2</v>
      </c>
      <c r="N7" s="12">
        <f t="shared" si="0"/>
        <v>6.9320521619766651E-2</v>
      </c>
      <c r="O7" s="12">
        <f t="shared" si="0"/>
        <v>8.7261785356068197E-2</v>
      </c>
      <c r="P7" s="12">
        <f t="shared" si="0"/>
        <v>0.1028708133971292</v>
      </c>
    </row>
    <row r="8" spans="1:16" x14ac:dyDescent="0.3">
      <c r="A8" s="12" t="s">
        <v>11</v>
      </c>
      <c r="B8" s="13">
        <v>4.4063932077792529E-2</v>
      </c>
      <c r="C8" s="13">
        <v>2.6385224274406333E-2</v>
      </c>
      <c r="D8" s="13">
        <v>7.7419354838709681E-2</v>
      </c>
      <c r="E8" s="13">
        <v>0.1517509727626459</v>
      </c>
      <c r="F8" s="13">
        <v>5.9711736444749489E-2</v>
      </c>
      <c r="G8" s="13">
        <v>5.9177532597793382E-2</v>
      </c>
      <c r="H8" s="13">
        <v>7.4162679425837319E-2</v>
      </c>
      <c r="I8" s="12">
        <v>0.20054526772120093</v>
      </c>
      <c r="J8" s="12">
        <f t="shared" si="1"/>
        <v>0.20054526772120093</v>
      </c>
      <c r="K8" s="12">
        <f t="shared" si="1"/>
        <v>0.17414248021108181</v>
      </c>
      <c r="L8" s="12">
        <f t="shared" si="0"/>
        <v>0.22258064516129031</v>
      </c>
      <c r="M8" s="12">
        <f t="shared" si="0"/>
        <v>0.24902723735408561</v>
      </c>
      <c r="N8" s="12">
        <f t="shared" si="0"/>
        <v>0.12903225806451613</v>
      </c>
      <c r="O8" s="12">
        <f t="shared" si="0"/>
        <v>0.14643931795386159</v>
      </c>
      <c r="P8" s="12">
        <f t="shared" si="0"/>
        <v>0.17703349282296652</v>
      </c>
    </row>
    <row r="9" spans="1:16" x14ac:dyDescent="0.3">
      <c r="A9" s="12" t="s">
        <v>8</v>
      </c>
      <c r="B9" s="13">
        <v>6.8132214296964658E-2</v>
      </c>
      <c r="C9" s="13">
        <v>0.10817941952506596</v>
      </c>
      <c r="D9" s="13">
        <v>0.22258064516129034</v>
      </c>
      <c r="E9" s="13">
        <v>0.23346303501945526</v>
      </c>
      <c r="F9" s="13">
        <v>8.8538091969800961E-2</v>
      </c>
      <c r="G9" s="13">
        <v>8.9267803410230689E-2</v>
      </c>
      <c r="H9" s="13">
        <v>5.2631578947368418E-2</v>
      </c>
      <c r="I9" s="12">
        <v>0.2686774820181656</v>
      </c>
      <c r="J9" s="12">
        <f t="shared" si="1"/>
        <v>0.2686774820181656</v>
      </c>
      <c r="K9" s="12">
        <f t="shared" si="1"/>
        <v>0.28232189973614774</v>
      </c>
      <c r="L9" s="12">
        <f t="shared" si="0"/>
        <v>0.44516129032258067</v>
      </c>
      <c r="M9" s="12">
        <f t="shared" si="0"/>
        <v>0.48249027237354086</v>
      </c>
      <c r="N9" s="12">
        <f t="shared" si="0"/>
        <v>0.21757035003431707</v>
      </c>
      <c r="O9" s="12">
        <f t="shared" si="0"/>
        <v>0.23570712136409228</v>
      </c>
      <c r="P9" s="12">
        <f t="shared" si="0"/>
        <v>0.22966507177033493</v>
      </c>
    </row>
    <row r="10" spans="1:16" x14ac:dyDescent="0.3">
      <c r="A10" s="12" t="s">
        <v>9</v>
      </c>
      <c r="B10" s="13">
        <v>7.3802398577953787E-2</v>
      </c>
      <c r="C10" s="13">
        <v>2.5065963060686015E-2</v>
      </c>
      <c r="D10" s="13">
        <v>0.16774193548387098</v>
      </c>
      <c r="E10" s="13">
        <v>0.13229571984435798</v>
      </c>
      <c r="F10" s="13">
        <v>7.6183939601921755E-2</v>
      </c>
      <c r="G10" s="13">
        <v>5.717151454363089E-2</v>
      </c>
      <c r="H10" s="13">
        <v>7.8947368421052627E-2</v>
      </c>
      <c r="I10" s="12">
        <v>0.34247988059611939</v>
      </c>
      <c r="J10" s="12">
        <f t="shared" si="1"/>
        <v>0.34247988059611939</v>
      </c>
      <c r="K10" s="12">
        <f t="shared" si="1"/>
        <v>0.30738786279683378</v>
      </c>
      <c r="L10" s="12">
        <f t="shared" si="0"/>
        <v>0.61290322580645162</v>
      </c>
      <c r="M10" s="12">
        <f t="shared" si="0"/>
        <v>0.61478599221789887</v>
      </c>
      <c r="N10" s="12">
        <f t="shared" si="0"/>
        <v>0.29375428963623884</v>
      </c>
      <c r="O10" s="12">
        <f t="shared" si="0"/>
        <v>0.29287863590772317</v>
      </c>
      <c r="P10" s="12">
        <f t="shared" si="0"/>
        <v>0.30861244019138756</v>
      </c>
    </row>
    <row r="11" spans="1:16" x14ac:dyDescent="0.3">
      <c r="A11" s="12" t="s">
        <v>13</v>
      </c>
      <c r="B11" s="13">
        <v>7.7597521919462384E-2</v>
      </c>
      <c r="C11" s="13">
        <v>0.12401055408970976</v>
      </c>
      <c r="D11" s="13">
        <v>0.11290322580645161</v>
      </c>
      <c r="E11" s="13">
        <v>0.1828793774319066</v>
      </c>
      <c r="F11" s="13">
        <v>0.10569663692518874</v>
      </c>
      <c r="G11" s="13">
        <v>9.6288866599799391E-2</v>
      </c>
      <c r="H11" s="13">
        <v>0.11961722488038277</v>
      </c>
      <c r="I11" s="12">
        <v>0.42007740251558179</v>
      </c>
      <c r="J11" s="12">
        <f t="shared" si="1"/>
        <v>0.42007740251558179</v>
      </c>
      <c r="K11" s="12">
        <f t="shared" si="1"/>
        <v>0.43139841688654357</v>
      </c>
      <c r="L11" s="12">
        <f t="shared" si="0"/>
        <v>0.72580645161290325</v>
      </c>
      <c r="M11" s="12">
        <f t="shared" si="0"/>
        <v>0.7976653696498055</v>
      </c>
      <c r="N11" s="12">
        <f t="shared" si="0"/>
        <v>0.39945092656142756</v>
      </c>
      <c r="O11" s="12">
        <f t="shared" si="0"/>
        <v>0.38916750250752258</v>
      </c>
      <c r="P11" s="12">
        <f t="shared" si="0"/>
        <v>0.42822966507177035</v>
      </c>
    </row>
    <row r="12" spans="1:16" x14ac:dyDescent="0.3">
      <c r="A12" s="12" t="s">
        <v>3</v>
      </c>
      <c r="B12" s="13">
        <v>0.57992259748441821</v>
      </c>
      <c r="C12" s="13">
        <v>0.56860158311345643</v>
      </c>
      <c r="D12" s="13">
        <v>0.27419354838709675</v>
      </c>
      <c r="E12" s="13">
        <v>0.20233463035019456</v>
      </c>
      <c r="F12" s="13">
        <v>0.60054907343857244</v>
      </c>
      <c r="G12" s="13">
        <v>0.61083249749247748</v>
      </c>
      <c r="H12" s="13">
        <v>0.57177033492822971</v>
      </c>
      <c r="I12" s="12">
        <v>1</v>
      </c>
      <c r="J12" s="12">
        <f t="shared" si="1"/>
        <v>1</v>
      </c>
      <c r="K12" s="12">
        <f t="shared" si="1"/>
        <v>1</v>
      </c>
      <c r="L12" s="12">
        <f t="shared" si="0"/>
        <v>1</v>
      </c>
      <c r="M12" s="12">
        <f t="shared" si="0"/>
        <v>1</v>
      </c>
      <c r="N12" s="12">
        <f t="shared" si="0"/>
        <v>1</v>
      </c>
      <c r="O12" s="12">
        <f t="shared" si="0"/>
        <v>1</v>
      </c>
      <c r="P12" s="12">
        <f t="shared" si="0"/>
        <v>1</v>
      </c>
    </row>
    <row r="14" spans="1:16" x14ac:dyDescent="0.3">
      <c r="P14">
        <v>9</v>
      </c>
    </row>
    <row r="15" spans="1:16" ht="28.8" x14ac:dyDescent="0.3">
      <c r="B15" s="1" t="s">
        <v>33</v>
      </c>
      <c r="C15" s="3" t="s">
        <v>41</v>
      </c>
      <c r="D15" s="3" t="s">
        <v>42</v>
      </c>
      <c r="E15" s="3" t="s">
        <v>43</v>
      </c>
      <c r="F15" s="3" t="s">
        <v>44</v>
      </c>
      <c r="G15" s="3" t="s">
        <v>45</v>
      </c>
      <c r="H15" s="3" t="s">
        <v>46</v>
      </c>
      <c r="J15" s="11"/>
      <c r="K15" s="22" t="s">
        <v>47</v>
      </c>
      <c r="L15" s="22" t="s">
        <v>48</v>
      </c>
      <c r="M15" s="22" t="s">
        <v>49</v>
      </c>
      <c r="N15" s="22" t="s">
        <v>50</v>
      </c>
      <c r="O15" s="22" t="s">
        <v>51</v>
      </c>
      <c r="P15" s="22" t="s">
        <v>52</v>
      </c>
    </row>
    <row r="16" spans="1:16" x14ac:dyDescent="0.3">
      <c r="B16" s="12" t="s">
        <v>4</v>
      </c>
      <c r="C16" s="12">
        <f>C2-B2</f>
        <v>-7.0953889114852694E-3</v>
      </c>
      <c r="D16" s="12">
        <f>D2-B2</f>
        <v>-1.046588852847395E-2</v>
      </c>
      <c r="E16" s="12">
        <f>E2-B2</f>
        <v>1.8725073545434977E-3</v>
      </c>
      <c r="F16" s="12">
        <f>F2-B2</f>
        <v>-1.0946327787224808E-2</v>
      </c>
      <c r="G16" s="12">
        <f>G2-B2</f>
        <v>-9.6796588717618787E-3</v>
      </c>
      <c r="H16" s="12">
        <f>H2-B2</f>
        <v>-8.907005984871541E-3</v>
      </c>
      <c r="J16" s="12" t="s">
        <v>4</v>
      </c>
      <c r="K16" s="11">
        <f>($J2-0) * ((K2+0))</f>
        <v>9.0314610686588744E-5</v>
      </c>
      <c r="L16" s="11">
        <f t="shared" ref="L16:P16" si="2">($J2-0) * ((L2+0))</f>
        <v>4.4166758000280168E-5</v>
      </c>
      <c r="M16" s="11">
        <f t="shared" si="2"/>
        <v>2.1310031097411444E-4</v>
      </c>
      <c r="N16" s="11">
        <f t="shared" si="2"/>
        <v>3.7588730213004402E-5</v>
      </c>
      <c r="O16" s="11">
        <f t="shared" si="2"/>
        <v>5.4931574644280253E-5</v>
      </c>
      <c r="P16" s="11">
        <f t="shared" si="2"/>
        <v>6.5510502297066274E-5</v>
      </c>
    </row>
    <row r="17" spans="2:16" x14ac:dyDescent="0.3">
      <c r="B17" s="12" t="s">
        <v>5</v>
      </c>
      <c r="C17" s="12">
        <f t="shared" ref="C17:C26" si="3">C3-B3</f>
        <v>7.0689698470609297E-3</v>
      </c>
      <c r="D17" s="12">
        <f t="shared" ref="D17:D26" si="4">D3-B3</f>
        <v>3.0245410395192684E-2</v>
      </c>
      <c r="E17" s="12">
        <f t="shared" ref="E17:E26" si="5">E3-B3</f>
        <v>-5.1380463639387336E-3</v>
      </c>
      <c r="F17" s="12">
        <f t="shared" ref="F17:F26" si="6">F3-B3</f>
        <v>-7.4347543268388876E-3</v>
      </c>
      <c r="G17" s="12">
        <f t="shared" ref="G17:G26" si="7">G3-B3</f>
        <v>-5.5361277676830405E-3</v>
      </c>
      <c r="H17" s="12">
        <f t="shared" ref="H17:H26" si="8">H3-B3</f>
        <v>-7.8468877989730824E-3</v>
      </c>
      <c r="J17" s="12" t="s">
        <v>5</v>
      </c>
      <c r="K17" s="11">
        <f>($J3-$J2) * ((K3+K2))</f>
        <v>1.10312951925555E-3</v>
      </c>
      <c r="L17" s="11">
        <f t="shared" ref="L17:P17" si="9">($J3-$J2) * ((L3+L2))</f>
        <v>1.5073312463300217E-3</v>
      </c>
      <c r="M17" s="11">
        <f t="shared" si="9"/>
        <v>1.2440190298402595E-3</v>
      </c>
      <c r="N17" s="11">
        <f t="shared" si="9"/>
        <v>5.570205053627179E-4</v>
      </c>
      <c r="O17" s="11">
        <f t="shared" si="9"/>
        <v>6.6601713201616848E-4</v>
      </c>
      <c r="P17" s="11">
        <f t="shared" si="9"/>
        <v>6.4719208637438604E-4</v>
      </c>
    </row>
    <row r="18" spans="2:16" x14ac:dyDescent="0.3">
      <c r="B18" s="12" t="s">
        <v>12</v>
      </c>
      <c r="C18" s="12">
        <f t="shared" si="3"/>
        <v>5.7235369384333462E-4</v>
      </c>
      <c r="D18" s="12">
        <f t="shared" si="4"/>
        <v>-1.3256801813800873E-3</v>
      </c>
      <c r="E18" s="12">
        <f t="shared" si="5"/>
        <v>-1.545898004331055E-2</v>
      </c>
      <c r="F18" s="12">
        <f t="shared" si="6"/>
        <v>-2.3014081004990243E-2</v>
      </c>
      <c r="G18" s="12">
        <f t="shared" si="7"/>
        <v>-1.9108059577633361E-2</v>
      </c>
      <c r="H18" s="12">
        <f t="shared" si="8"/>
        <v>-1.5170409306245036E-2</v>
      </c>
      <c r="J18" s="12" t="s">
        <v>12</v>
      </c>
      <c r="K18" s="11">
        <f t="shared" ref="K18:P26" si="10">($J4-$J3) * ((K4+K3))</f>
        <v>2.8277551606179173E-3</v>
      </c>
      <c r="L18" s="11">
        <f t="shared" si="10"/>
        <v>3.8510122546724698E-3</v>
      </c>
      <c r="M18" s="11">
        <f t="shared" si="10"/>
        <v>2.2170224423344338E-3</v>
      </c>
      <c r="N18" s="11">
        <f t="shared" si="10"/>
        <v>1.1918026320069538E-3</v>
      </c>
      <c r="O18" s="11">
        <f t="shared" si="10"/>
        <v>1.4695437481357058E-3</v>
      </c>
      <c r="P18" s="11">
        <f t="shared" si="10"/>
        <v>1.4929163427476462E-3</v>
      </c>
    </row>
    <row r="19" spans="2:16" x14ac:dyDescent="0.3">
      <c r="B19" s="12" t="s">
        <v>7</v>
      </c>
      <c r="C19" s="12">
        <f t="shared" si="3"/>
        <v>1.6398956448934195E-2</v>
      </c>
      <c r="D19" s="12">
        <f t="shared" si="4"/>
        <v>1.9931171956636975E-2</v>
      </c>
      <c r="E19" s="12">
        <f t="shared" si="5"/>
        <v>-5.1096213156110459E-3</v>
      </c>
      <c r="F19" s="12">
        <f t="shared" si="6"/>
        <v>-1.7474456046108391E-2</v>
      </c>
      <c r="G19" s="12">
        <f t="shared" si="7"/>
        <v>-1.4413798438419159E-2</v>
      </c>
      <c r="H19" s="12">
        <f t="shared" si="8"/>
        <v>2.6445536513429492E-3</v>
      </c>
      <c r="J19" s="12" t="s">
        <v>7</v>
      </c>
      <c r="K19" s="11">
        <f t="shared" si="10"/>
        <v>5.0304669202540639E-3</v>
      </c>
      <c r="L19" s="11">
        <f t="shared" si="10"/>
        <v>6.1501514928267425E-3</v>
      </c>
      <c r="M19" s="11">
        <f t="shared" si="10"/>
        <v>3.3217032860960978E-3</v>
      </c>
      <c r="N19" s="11">
        <f t="shared" si="10"/>
        <v>1.6796221923883769E-3</v>
      </c>
      <c r="O19" s="11">
        <f t="shared" si="10"/>
        <v>2.1691577594125369E-3</v>
      </c>
      <c r="P19" s="11">
        <f t="shared" si="10"/>
        <v>2.7911313816263625E-3</v>
      </c>
    </row>
    <row r="20" spans="2:16" x14ac:dyDescent="0.3">
      <c r="B20" s="12" t="s">
        <v>6</v>
      </c>
      <c r="C20" s="12">
        <f t="shared" si="3"/>
        <v>-9.5228160878289246E-3</v>
      </c>
      <c r="D20" s="12">
        <f t="shared" si="4"/>
        <v>-2.4179382604128184E-2</v>
      </c>
      <c r="E20" s="12">
        <f t="shared" si="5"/>
        <v>-1.5066793172723639E-2</v>
      </c>
      <c r="F20" s="12">
        <f t="shared" si="6"/>
        <v>-6.6090325698110949E-3</v>
      </c>
      <c r="G20" s="12">
        <f t="shared" si="7"/>
        <v>-4.5527608032416532E-3</v>
      </c>
      <c r="H20" s="12">
        <f t="shared" si="8"/>
        <v>-4.3152060336697808E-3</v>
      </c>
      <c r="J20" s="12" t="s">
        <v>6</v>
      </c>
      <c r="K20" s="11">
        <f t="shared" si="10"/>
        <v>7.4354923131307836E-3</v>
      </c>
      <c r="L20" s="11">
        <f t="shared" si="10"/>
        <v>8.3000116858636622E-3</v>
      </c>
      <c r="M20" s="11">
        <f t="shared" si="10"/>
        <v>4.7674701178761067E-3</v>
      </c>
      <c r="N20" s="11">
        <f t="shared" si="10"/>
        <v>2.8801965576578559E-3</v>
      </c>
      <c r="O20" s="11">
        <f t="shared" si="10"/>
        <v>3.563887140273884E-3</v>
      </c>
      <c r="P20" s="11">
        <f t="shared" si="10"/>
        <v>4.7631930812871036E-3</v>
      </c>
    </row>
    <row r="21" spans="2:16" x14ac:dyDescent="0.3">
      <c r="B21" s="12" t="s">
        <v>10</v>
      </c>
      <c r="C21" s="12">
        <f t="shared" si="3"/>
        <v>-1.6146154697257213E-2</v>
      </c>
      <c r="D21" s="12">
        <f t="shared" si="4"/>
        <v>-2.5525676358675208E-2</v>
      </c>
      <c r="E21" s="12">
        <f t="shared" si="5"/>
        <v>-2.0304137510928251E-2</v>
      </c>
      <c r="F21" s="12">
        <f t="shared" si="6"/>
        <v>-2.1682162288668344E-2</v>
      </c>
      <c r="G21" s="12">
        <f t="shared" si="7"/>
        <v>-1.5929144828601114E-2</v>
      </c>
      <c r="H21" s="12">
        <f t="shared" si="8"/>
        <v>-2.0015566773862736E-2</v>
      </c>
      <c r="J21" s="12" t="s">
        <v>10</v>
      </c>
      <c r="K21" s="11">
        <f t="shared" si="10"/>
        <v>8.9435162579459323E-3</v>
      </c>
      <c r="L21" s="11">
        <f t="shared" si="10"/>
        <v>9.0774240485396434E-3</v>
      </c>
      <c r="M21" s="11">
        <f t="shared" si="10"/>
        <v>5.8479867521764517E-3</v>
      </c>
      <c r="N21" s="11">
        <f t="shared" si="10"/>
        <v>4.1041544900312227E-3</v>
      </c>
      <c r="O21" s="11">
        <f t="shared" si="10"/>
        <v>5.0676145470214245E-3</v>
      </c>
      <c r="P21" s="11">
        <f t="shared" si="10"/>
        <v>6.1965560531434998E-3</v>
      </c>
    </row>
    <row r="22" spans="2:16" x14ac:dyDescent="0.3">
      <c r="B22" s="12" t="s">
        <v>11</v>
      </c>
      <c r="C22" s="12">
        <f t="shared" si="3"/>
        <v>-1.7678707803386196E-2</v>
      </c>
      <c r="D22" s="12">
        <f t="shared" si="4"/>
        <v>3.3355422760917151E-2</v>
      </c>
      <c r="E22" s="12">
        <f t="shared" si="5"/>
        <v>0.10768704068485338</v>
      </c>
      <c r="F22" s="12">
        <f t="shared" si="6"/>
        <v>1.5647804366956959E-2</v>
      </c>
      <c r="G22" s="12">
        <f t="shared" si="7"/>
        <v>1.5113600520000853E-2</v>
      </c>
      <c r="H22" s="12">
        <f t="shared" si="8"/>
        <v>3.009874734804479E-2</v>
      </c>
      <c r="J22" s="12" t="s">
        <v>11</v>
      </c>
      <c r="K22" s="11">
        <f t="shared" si="10"/>
        <v>1.4184168109474109E-2</v>
      </c>
      <c r="L22" s="11">
        <f t="shared" si="10"/>
        <v>1.6204155667317248E-2</v>
      </c>
      <c r="M22" s="11">
        <f t="shared" si="10"/>
        <v>1.5259493988029317E-2</v>
      </c>
      <c r="N22" s="11">
        <f t="shared" si="10"/>
        <v>8.7402034114495812E-3</v>
      </c>
      <c r="O22" s="11">
        <f t="shared" si="10"/>
        <v>1.0297789542753918E-2</v>
      </c>
      <c r="P22" s="11">
        <f t="shared" si="10"/>
        <v>1.2333684337563936E-2</v>
      </c>
    </row>
    <row r="23" spans="2:16" x14ac:dyDescent="0.3">
      <c r="B23" s="12" t="s">
        <v>8</v>
      </c>
      <c r="C23" s="12">
        <f t="shared" si="3"/>
        <v>4.0047205228101304E-2</v>
      </c>
      <c r="D23" s="12">
        <f t="shared" si="4"/>
        <v>0.15444843086432569</v>
      </c>
      <c r="E23" s="12">
        <f t="shared" si="5"/>
        <v>0.16533082072249061</v>
      </c>
      <c r="F23" s="12">
        <f t="shared" si="6"/>
        <v>2.0405877672836303E-2</v>
      </c>
      <c r="G23" s="12">
        <f t="shared" si="7"/>
        <v>2.1135589113266032E-2</v>
      </c>
      <c r="H23" s="12">
        <f t="shared" si="8"/>
        <v>-1.550063534959624E-2</v>
      </c>
      <c r="J23" s="12" t="s">
        <v>8</v>
      </c>
      <c r="K23" s="11">
        <f t="shared" si="10"/>
        <v>3.1099928953495747E-2</v>
      </c>
      <c r="L23" s="11">
        <f t="shared" si="10"/>
        <v>4.5494736643457052E-2</v>
      </c>
      <c r="M23" s="11">
        <f t="shared" si="10"/>
        <v>4.9839907734744587E-2</v>
      </c>
      <c r="N23" s="11">
        <f t="shared" si="10"/>
        <v>2.3614803170876567E-2</v>
      </c>
      <c r="O23" s="11">
        <f t="shared" si="10"/>
        <v>2.603648309643284E-2</v>
      </c>
      <c r="P23" s="11">
        <f t="shared" si="10"/>
        <v>2.7709273757138744E-2</v>
      </c>
    </row>
    <row r="24" spans="2:16" x14ac:dyDescent="0.3">
      <c r="B24" s="12" t="s">
        <v>9</v>
      </c>
      <c r="C24" s="12">
        <f t="shared" si="3"/>
        <v>-4.8736435517267772E-2</v>
      </c>
      <c r="D24" s="12">
        <f t="shared" si="4"/>
        <v>9.3939536905917193E-2</v>
      </c>
      <c r="E24" s="12">
        <f t="shared" si="5"/>
        <v>5.8493321266404191E-2</v>
      </c>
      <c r="F24" s="12">
        <f t="shared" si="6"/>
        <v>2.3815410239679674E-3</v>
      </c>
      <c r="G24" s="12">
        <f t="shared" si="7"/>
        <v>-1.6630884034322897E-2</v>
      </c>
      <c r="H24" s="12">
        <f t="shared" si="8"/>
        <v>5.14496984309884E-3</v>
      </c>
      <c r="J24" s="12" t="s">
        <v>9</v>
      </c>
      <c r="K24" s="11">
        <f t="shared" si="10"/>
        <v>4.3521994939769576E-2</v>
      </c>
      <c r="L24" s="11">
        <f t="shared" si="10"/>
        <v>7.8087699140544656E-2</v>
      </c>
      <c r="M24" s="11">
        <f t="shared" si="10"/>
        <v>8.0981620229505724E-2</v>
      </c>
      <c r="N24" s="11">
        <f t="shared" si="10"/>
        <v>3.7736984859694969E-2</v>
      </c>
      <c r="O24" s="11">
        <f t="shared" si="10"/>
        <v>3.901089674080406E-2</v>
      </c>
      <c r="P24" s="11">
        <f t="shared" si="10"/>
        <v>3.9726171483348331E-2</v>
      </c>
    </row>
    <row r="25" spans="2:16" x14ac:dyDescent="0.3">
      <c r="B25" s="12" t="s">
        <v>13</v>
      </c>
      <c r="C25" s="12">
        <f t="shared" si="3"/>
        <v>4.6413032170247379E-2</v>
      </c>
      <c r="D25" s="12">
        <f t="shared" si="4"/>
        <v>3.5305703886989226E-2</v>
      </c>
      <c r="E25" s="12">
        <f t="shared" si="5"/>
        <v>0.10528185551244422</v>
      </c>
      <c r="F25" s="12">
        <f t="shared" si="6"/>
        <v>2.8099115005726358E-2</v>
      </c>
      <c r="G25" s="12">
        <f t="shared" si="7"/>
        <v>1.8691344680337008E-2</v>
      </c>
      <c r="H25" s="12">
        <f t="shared" si="8"/>
        <v>4.2019702960920391E-2</v>
      </c>
      <c r="J25" s="12" t="s">
        <v>13</v>
      </c>
      <c r="K25" s="11">
        <f t="shared" si="10"/>
        <v>5.7327984531528944E-2</v>
      </c>
      <c r="L25" s="11">
        <f t="shared" si="10"/>
        <v>0.10388055353734484</v>
      </c>
      <c r="M25" s="11">
        <f t="shared" si="10"/>
        <v>0.10960272551270371</v>
      </c>
      <c r="N25" s="11">
        <f t="shared" si="10"/>
        <v>5.3791006958584089E-2</v>
      </c>
      <c r="O25" s="11">
        <f t="shared" si="10"/>
        <v>5.2925090175761719E-2</v>
      </c>
      <c r="P25" s="11">
        <f t="shared" si="10"/>
        <v>5.7177121414340719E-2</v>
      </c>
    </row>
    <row r="26" spans="2:16" x14ac:dyDescent="0.3">
      <c r="B26" s="12" t="s">
        <v>3</v>
      </c>
      <c r="C26" s="12">
        <f t="shared" si="3"/>
        <v>-1.1321014370961779E-2</v>
      </c>
      <c r="D26" s="12">
        <f t="shared" si="4"/>
        <v>-0.30572904909732146</v>
      </c>
      <c r="E26" s="12">
        <f t="shared" si="5"/>
        <v>-0.37758796713422366</v>
      </c>
      <c r="F26" s="12">
        <f t="shared" si="6"/>
        <v>2.0626475954154233E-2</v>
      </c>
      <c r="G26" s="12">
        <f t="shared" si="7"/>
        <v>3.0909900008059266E-2</v>
      </c>
      <c r="H26" s="12">
        <f t="shared" si="8"/>
        <v>-8.1522625561885054E-3</v>
      </c>
      <c r="J26" s="12" t="s">
        <v>3</v>
      </c>
      <c r="K26" s="11">
        <f t="shared" si="10"/>
        <v>0.8301002879559285</v>
      </c>
      <c r="L26" s="11">
        <f t="shared" si="10"/>
        <v>1.0008341601747217</v>
      </c>
      <c r="M26" s="11">
        <f t="shared" si="10"/>
        <v>1.0425067705751021</v>
      </c>
      <c r="N26" s="11">
        <f t="shared" si="10"/>
        <v>0.81157321638347879</v>
      </c>
      <c r="O26" s="11">
        <f t="shared" si="10"/>
        <v>0.80560962639510447</v>
      </c>
      <c r="P26" s="11">
        <f t="shared" si="10"/>
        <v>0.82826265717272163</v>
      </c>
    </row>
    <row r="27" spans="2:16" x14ac:dyDescent="0.3">
      <c r="J27" s="23" t="s">
        <v>53</v>
      </c>
      <c r="K27" s="22">
        <f>SUM(K16:K26)</f>
        <v>1.0016650392720878</v>
      </c>
      <c r="L27" s="22">
        <f t="shared" ref="L27:P27" si="11">SUM(L16:L26)</f>
        <v>1.2734314026496183</v>
      </c>
      <c r="M27" s="22">
        <f t="shared" si="11"/>
        <v>1.3158018199793828</v>
      </c>
      <c r="N27" s="22">
        <f t="shared" si="11"/>
        <v>0.94590659989174419</v>
      </c>
      <c r="O27" s="22">
        <f t="shared" si="11"/>
        <v>0.94687103785236104</v>
      </c>
      <c r="P27" s="22">
        <f t="shared" si="11"/>
        <v>0.98116540761258941</v>
      </c>
    </row>
    <row r="28" spans="2:16" x14ac:dyDescent="0.3">
      <c r="J28" s="24" t="s">
        <v>54</v>
      </c>
      <c r="K28" s="25">
        <f>1-K27</f>
        <v>-1.6650392720878315E-3</v>
      </c>
      <c r="L28" s="25">
        <f t="shared" ref="L28:P28" si="12">1-L27</f>
        <v>-0.27343140264961829</v>
      </c>
      <c r="M28" s="25">
        <f t="shared" si="12"/>
        <v>-0.31580181997938284</v>
      </c>
      <c r="N28" s="25">
        <f t="shared" si="12"/>
        <v>5.4093400108255807E-2</v>
      </c>
      <c r="O28" s="25">
        <f t="shared" si="12"/>
        <v>5.3128962147638958E-2</v>
      </c>
      <c r="P28" s="25">
        <f t="shared" si="12"/>
        <v>1.8834592387410587E-2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A0E0-4AC6-4485-B08F-ABB0F87DBF1A}">
  <dimension ref="A1:P19"/>
  <sheetViews>
    <sheetView zoomScale="106" workbookViewId="0">
      <selection activeCell="K19" sqref="K19:P19"/>
    </sheetView>
  </sheetViews>
  <sheetFormatPr defaultRowHeight="14.4" x14ac:dyDescent="0.3"/>
  <sheetData>
    <row r="1" spans="1:16" ht="36.6" customHeight="1" x14ac:dyDescent="0.3">
      <c r="A1" s="1" t="s">
        <v>33</v>
      </c>
      <c r="B1" s="2" t="s">
        <v>34</v>
      </c>
      <c r="C1" s="3" t="s">
        <v>35</v>
      </c>
      <c r="D1" s="3" t="s">
        <v>36</v>
      </c>
      <c r="E1" s="3" t="s">
        <v>37</v>
      </c>
      <c r="F1" s="2" t="s">
        <v>38</v>
      </c>
      <c r="G1" s="3" t="s">
        <v>39</v>
      </c>
      <c r="H1" s="3" t="s">
        <v>40</v>
      </c>
      <c r="I1" s="4" t="s">
        <v>34</v>
      </c>
      <c r="J1" s="5" t="s">
        <v>34</v>
      </c>
      <c r="K1" s="6" t="s">
        <v>35</v>
      </c>
      <c r="L1" s="7" t="s">
        <v>36</v>
      </c>
      <c r="M1" s="6" t="s">
        <v>37</v>
      </c>
      <c r="N1" s="8" t="s">
        <v>38</v>
      </c>
      <c r="O1" s="6" t="s">
        <v>39</v>
      </c>
      <c r="P1" s="6" t="s">
        <v>40</v>
      </c>
    </row>
    <row r="2" spans="1:16" x14ac:dyDescent="0.3">
      <c r="A2" s="12" t="s">
        <v>15</v>
      </c>
      <c r="B2" s="13">
        <v>2.9827199966344486E-2</v>
      </c>
      <c r="C2" s="13">
        <v>1.7064846416382253E-2</v>
      </c>
      <c r="D2" s="13">
        <v>0</v>
      </c>
      <c r="E2" s="13">
        <v>7.4074074074074077E-3</v>
      </c>
      <c r="F2" s="13">
        <v>8.8300220750551876E-3</v>
      </c>
      <c r="G2" s="13">
        <v>1.524390243902439E-2</v>
      </c>
      <c r="H2" s="13">
        <v>0</v>
      </c>
      <c r="I2" s="12">
        <v>2.9827199966344486E-2</v>
      </c>
      <c r="J2" s="13">
        <v>2.9827199966344486E-2</v>
      </c>
      <c r="K2" s="13">
        <v>1.7064846416382253E-2</v>
      </c>
      <c r="L2" s="13">
        <v>0</v>
      </c>
      <c r="M2" s="13">
        <v>7.4074074074074077E-3</v>
      </c>
      <c r="N2" s="13">
        <v>8.8300220750551876E-3</v>
      </c>
      <c r="O2" s="13">
        <v>1.524390243902439E-2</v>
      </c>
      <c r="P2" s="13">
        <v>0</v>
      </c>
    </row>
    <row r="3" spans="1:16" x14ac:dyDescent="0.3">
      <c r="A3" s="12" t="s">
        <v>19</v>
      </c>
      <c r="B3" s="13">
        <v>3.5380359903661091E-2</v>
      </c>
      <c r="C3" s="13">
        <v>3.7542662116040959E-2</v>
      </c>
      <c r="D3" s="13">
        <v>1.2345679012345678E-2</v>
      </c>
      <c r="E3" s="13">
        <v>4.4444444444444446E-2</v>
      </c>
      <c r="F3" s="13">
        <v>3.5320088300220751E-2</v>
      </c>
      <c r="G3" s="13">
        <v>3.6585365853658534E-2</v>
      </c>
      <c r="H3" s="13">
        <v>3.5714285714285712E-2</v>
      </c>
      <c r="I3" s="12">
        <v>6.520755987000558E-2</v>
      </c>
      <c r="J3" s="12">
        <f>J2+B3</f>
        <v>6.520755987000558E-2</v>
      </c>
      <c r="K3" s="12">
        <f t="shared" ref="K3:P8" si="0">K2+C3</f>
        <v>5.4607508532423216E-2</v>
      </c>
      <c r="L3" s="12">
        <f t="shared" si="0"/>
        <v>1.2345679012345678E-2</v>
      </c>
      <c r="M3" s="12">
        <f t="shared" si="0"/>
        <v>5.1851851851851857E-2</v>
      </c>
      <c r="N3" s="12">
        <f t="shared" si="0"/>
        <v>4.4150110375275942E-2</v>
      </c>
      <c r="O3" s="12">
        <f t="shared" si="0"/>
        <v>5.1829268292682924E-2</v>
      </c>
      <c r="P3" s="12">
        <f t="shared" si="0"/>
        <v>3.5714285714285712E-2</v>
      </c>
    </row>
    <row r="4" spans="1:16" x14ac:dyDescent="0.3">
      <c r="A4" s="12" t="s">
        <v>17</v>
      </c>
      <c r="B4" s="13">
        <v>3.9261261450763037E-2</v>
      </c>
      <c r="C4" s="13">
        <v>2.7303754266211604E-2</v>
      </c>
      <c r="D4" s="13">
        <v>1.2345679012345678E-2</v>
      </c>
      <c r="E4" s="13">
        <v>1.4814814814814815E-2</v>
      </c>
      <c r="F4" s="13">
        <v>1.3245033112582781E-2</v>
      </c>
      <c r="G4" s="13">
        <v>2.4390243902439025E-2</v>
      </c>
      <c r="H4" s="13">
        <v>1.7857142857142856E-2</v>
      </c>
      <c r="I4" s="12">
        <v>0.10446882132076862</v>
      </c>
      <c r="J4" s="12">
        <f t="shared" ref="J4:J8" si="1">J3+B4</f>
        <v>0.10446882132076862</v>
      </c>
      <c r="K4" s="12">
        <f t="shared" si="0"/>
        <v>8.1911262798634824E-2</v>
      </c>
      <c r="L4" s="12">
        <f t="shared" si="0"/>
        <v>2.4691358024691357E-2</v>
      </c>
      <c r="M4" s="12">
        <f t="shared" si="0"/>
        <v>6.666666666666668E-2</v>
      </c>
      <c r="N4" s="12">
        <f t="shared" si="0"/>
        <v>5.7395143487858721E-2</v>
      </c>
      <c r="O4" s="12">
        <f t="shared" si="0"/>
        <v>7.621951219512195E-2</v>
      </c>
      <c r="P4" s="12">
        <f t="shared" si="0"/>
        <v>5.3571428571428568E-2</v>
      </c>
    </row>
    <row r="5" spans="1:16" x14ac:dyDescent="0.3">
      <c r="A5" s="12" t="s">
        <v>20</v>
      </c>
      <c r="B5" s="13">
        <v>6.6984991743881533E-2</v>
      </c>
      <c r="C5" s="13">
        <v>3.0716723549488054E-2</v>
      </c>
      <c r="D5" s="13">
        <v>1.2345679012345678E-2</v>
      </c>
      <c r="E5" s="13">
        <v>7.4074074074074077E-3</v>
      </c>
      <c r="F5" s="13">
        <v>2.8697571743929361E-2</v>
      </c>
      <c r="G5" s="13">
        <v>4.2682926829268296E-2</v>
      </c>
      <c r="H5" s="13">
        <v>3.5714285714285712E-2</v>
      </c>
      <c r="I5" s="12">
        <v>0.17145381306465016</v>
      </c>
      <c r="J5" s="12">
        <f t="shared" si="1"/>
        <v>0.17145381306465016</v>
      </c>
      <c r="K5" s="12">
        <f t="shared" si="0"/>
        <v>0.11262798634812288</v>
      </c>
      <c r="L5" s="12">
        <f t="shared" si="0"/>
        <v>3.7037037037037035E-2</v>
      </c>
      <c r="M5" s="12">
        <f t="shared" si="0"/>
        <v>7.4074074074074084E-2</v>
      </c>
      <c r="N5" s="12">
        <f t="shared" si="0"/>
        <v>8.6092715231788075E-2</v>
      </c>
      <c r="O5" s="12">
        <f t="shared" si="0"/>
        <v>0.11890243902439024</v>
      </c>
      <c r="P5" s="12">
        <f t="shared" si="0"/>
        <v>8.9285714285714274E-2</v>
      </c>
    </row>
    <row r="6" spans="1:16" x14ac:dyDescent="0.3">
      <c r="A6" s="12" t="s">
        <v>18</v>
      </c>
      <c r="B6" s="13">
        <v>0.12995235641190142</v>
      </c>
      <c r="C6" s="13">
        <v>2.0477815699658702E-2</v>
      </c>
      <c r="D6" s="13">
        <v>3.7037037037037035E-2</v>
      </c>
      <c r="E6" s="13">
        <v>0.11851851851851852</v>
      </c>
      <c r="F6" s="13">
        <v>0.1545253863134658</v>
      </c>
      <c r="G6" s="13">
        <v>0.125</v>
      </c>
      <c r="H6" s="13">
        <v>0.125</v>
      </c>
      <c r="I6" s="12">
        <v>0.30140616947655158</v>
      </c>
      <c r="J6" s="12">
        <f t="shared" si="1"/>
        <v>0.30140616947655158</v>
      </c>
      <c r="K6" s="12">
        <f t="shared" si="0"/>
        <v>0.13310580204778158</v>
      </c>
      <c r="L6" s="12">
        <f t="shared" si="0"/>
        <v>7.407407407407407E-2</v>
      </c>
      <c r="M6" s="12">
        <f t="shared" si="0"/>
        <v>0.19259259259259259</v>
      </c>
      <c r="N6" s="12">
        <f t="shared" si="0"/>
        <v>0.24061810154525387</v>
      </c>
      <c r="O6" s="12">
        <f t="shared" si="0"/>
        <v>0.24390243902439024</v>
      </c>
      <c r="P6" s="12">
        <f t="shared" si="0"/>
        <v>0.21428571428571427</v>
      </c>
    </row>
    <row r="7" spans="1:16" x14ac:dyDescent="0.3">
      <c r="A7" s="12" t="s">
        <v>16</v>
      </c>
      <c r="B7" s="13">
        <v>0.31908583208001601</v>
      </c>
      <c r="C7" s="13">
        <v>0.42662116040955633</v>
      </c>
      <c r="D7" s="13">
        <v>0.32098765432098764</v>
      </c>
      <c r="E7" s="13">
        <v>0.25185185185185183</v>
      </c>
      <c r="F7" s="13">
        <v>0.27373068432671083</v>
      </c>
      <c r="G7" s="13">
        <v>0.42682926829268292</v>
      </c>
      <c r="H7" s="13">
        <v>0.45238095238095238</v>
      </c>
      <c r="I7" s="12">
        <v>0.62049200155656759</v>
      </c>
      <c r="J7" s="12">
        <f t="shared" si="1"/>
        <v>0.62049200155656759</v>
      </c>
      <c r="K7" s="12">
        <f t="shared" si="0"/>
        <v>0.55972696245733788</v>
      </c>
      <c r="L7" s="12">
        <f t="shared" si="0"/>
        <v>0.39506172839506171</v>
      </c>
      <c r="M7" s="12">
        <f t="shared" si="0"/>
        <v>0.44444444444444442</v>
      </c>
      <c r="N7" s="12">
        <f t="shared" si="0"/>
        <v>0.51434878587196464</v>
      </c>
      <c r="O7" s="12">
        <f t="shared" si="0"/>
        <v>0.6707317073170731</v>
      </c>
      <c r="P7" s="12">
        <f t="shared" si="0"/>
        <v>0.66666666666666663</v>
      </c>
    </row>
    <row r="8" spans="1:16" x14ac:dyDescent="0.3">
      <c r="A8" s="12" t="s">
        <v>14</v>
      </c>
      <c r="B8" s="13">
        <v>0.37950799844343241</v>
      </c>
      <c r="C8" s="13">
        <v>0.44027303754266212</v>
      </c>
      <c r="D8" s="13">
        <v>0.60493827160493829</v>
      </c>
      <c r="E8" s="13">
        <v>0.55555555555555558</v>
      </c>
      <c r="F8" s="13">
        <v>0.4856512141280353</v>
      </c>
      <c r="G8" s="13">
        <v>0.32926829268292684</v>
      </c>
      <c r="H8" s="13">
        <v>0.33333333333333331</v>
      </c>
      <c r="I8" s="12">
        <v>1</v>
      </c>
      <c r="J8" s="12">
        <f t="shared" si="1"/>
        <v>1</v>
      </c>
      <c r="K8" s="12">
        <f t="shared" si="0"/>
        <v>1</v>
      </c>
      <c r="L8" s="12">
        <f t="shared" si="0"/>
        <v>1</v>
      </c>
      <c r="M8" s="12">
        <f t="shared" si="0"/>
        <v>1</v>
      </c>
      <c r="N8" s="12">
        <f t="shared" si="0"/>
        <v>1</v>
      </c>
      <c r="O8" s="12">
        <f t="shared" si="0"/>
        <v>1</v>
      </c>
      <c r="P8" s="12">
        <f t="shared" si="0"/>
        <v>1</v>
      </c>
    </row>
    <row r="10" spans="1:16" ht="28.8" x14ac:dyDescent="0.3">
      <c r="B10" s="1" t="s">
        <v>33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46</v>
      </c>
      <c r="J10" s="11"/>
      <c r="K10" s="22" t="s">
        <v>47</v>
      </c>
      <c r="L10" s="22" t="s">
        <v>48</v>
      </c>
      <c r="M10" s="22" t="s">
        <v>49</v>
      </c>
      <c r="N10" s="22" t="s">
        <v>50</v>
      </c>
      <c r="O10" s="22" t="s">
        <v>51</v>
      </c>
      <c r="P10" s="22" t="s">
        <v>52</v>
      </c>
    </row>
    <row r="11" spans="1:16" x14ac:dyDescent="0.3">
      <c r="B11" s="12" t="s">
        <v>15</v>
      </c>
      <c r="C11" s="12">
        <f>C2-B2</f>
        <v>-1.2762353549962233E-2</v>
      </c>
      <c r="D11" s="12">
        <f>D2-B2</f>
        <v>-2.9827199966344486E-2</v>
      </c>
      <c r="E11" s="12">
        <f>E2-B2</f>
        <v>-2.2419792558937078E-2</v>
      </c>
      <c r="F11" s="12">
        <f>F2-B2</f>
        <v>-2.0997177891289298E-2</v>
      </c>
      <c r="G11" s="12">
        <f>G2-B2</f>
        <v>-1.4583297527320096E-2</v>
      </c>
      <c r="H11" s="12">
        <f>H2-B2</f>
        <v>-2.9827199966344486E-2</v>
      </c>
      <c r="J11" s="12" t="s">
        <v>15</v>
      </c>
      <c r="K11" s="11">
        <f>(J2-0) * ((K2+0))</f>
        <v>5.0899658645639056E-4</v>
      </c>
      <c r="L11" s="11">
        <f>(J2-0) * ((L2+0))</f>
        <v>0</v>
      </c>
      <c r="M11" s="11">
        <f>(J2-0) * ((M2+0))</f>
        <v>2.2094222197292213E-4</v>
      </c>
      <c r="N11" s="11">
        <f>(J2-0) * ((N2+0))</f>
        <v>2.6337483413990713E-4</v>
      </c>
      <c r="O11" s="11">
        <f>(J2-0) * ((O2+0))</f>
        <v>4.5468292631622688E-4</v>
      </c>
      <c r="P11" s="11">
        <f>(J2-0) * ((P2+0))</f>
        <v>0</v>
      </c>
    </row>
    <row r="12" spans="1:16" x14ac:dyDescent="0.3">
      <c r="B12" s="12" t="s">
        <v>19</v>
      </c>
      <c r="C12" s="12">
        <f t="shared" ref="C12:C17" si="2">C3-B3</f>
        <v>2.1623022123798685E-3</v>
      </c>
      <c r="D12" s="12">
        <f t="shared" ref="D12:D17" si="3">D3-B3</f>
        <v>-2.3034680891315412E-2</v>
      </c>
      <c r="E12" s="12">
        <f t="shared" ref="E12:E17" si="4">E3-B3</f>
        <v>9.0640845407833556E-3</v>
      </c>
      <c r="F12" s="12">
        <f t="shared" ref="F12:F17" si="5">F3-B3</f>
        <v>-6.0271603440339994E-5</v>
      </c>
      <c r="G12" s="12">
        <f t="shared" ref="G12:G17" si="6">G3-B3</f>
        <v>1.2050059499974439E-3</v>
      </c>
      <c r="H12" s="12">
        <f t="shared" ref="H12:H17" si="7">H3-B3</f>
        <v>3.3392581062462179E-4</v>
      </c>
      <c r="J12" s="12" t="s">
        <v>19</v>
      </c>
      <c r="K12" s="11">
        <f>(J3-J2) * ((K3+K2))</f>
        <v>2.5357937132316826E-3</v>
      </c>
      <c r="L12" s="11">
        <f>(J3-J2) * ((L3+L2))</f>
        <v>4.3679456671186527E-4</v>
      </c>
      <c r="M12" s="11">
        <f>(J3-J2) * ((M3+M2))</f>
        <v>2.0966139202169536E-3</v>
      </c>
      <c r="N12" s="11">
        <f>(J3-J2) * ((N3+N2))</f>
        <v>1.8744561538363495E-3</v>
      </c>
      <c r="O12" s="11">
        <f>(J3-J2) * ((O3+O2))</f>
        <v>2.3730729203675122E-3</v>
      </c>
      <c r="P12" s="11">
        <f>(J3-J2) * ((P3+P2))</f>
        <v>1.2635842822736104E-3</v>
      </c>
    </row>
    <row r="13" spans="1:16" x14ac:dyDescent="0.3">
      <c r="B13" s="12" t="s">
        <v>17</v>
      </c>
      <c r="C13" s="12">
        <f t="shared" si="2"/>
        <v>-1.1957507184551432E-2</v>
      </c>
      <c r="D13" s="12">
        <f t="shared" si="3"/>
        <v>-2.6915582438417358E-2</v>
      </c>
      <c r="E13" s="12">
        <f t="shared" si="4"/>
        <v>-2.4446446635948221E-2</v>
      </c>
      <c r="F13" s="12">
        <f t="shared" si="5"/>
        <v>-2.6016228338180257E-2</v>
      </c>
      <c r="G13" s="12">
        <f t="shared" si="6"/>
        <v>-1.4871017548324011E-2</v>
      </c>
      <c r="H13" s="12">
        <f t="shared" si="7"/>
        <v>-2.1404118593620181E-2</v>
      </c>
      <c r="J13" s="12" t="s">
        <v>17</v>
      </c>
      <c r="K13" s="11">
        <f t="shared" ref="K13:K17" si="8">(J4-J3) * ((K4+K3))</f>
        <v>5.3598991741656042E-3</v>
      </c>
      <c r="L13" s="11">
        <f t="shared" ref="L13:L17" si="9">(J4-J3) * ((L4+L3))</f>
        <v>1.4541207944727052E-3</v>
      </c>
      <c r="M13" s="11">
        <f t="shared" ref="M13:M17" si="10">(J4-J3) * ((M4+M3))</f>
        <v>4.6531865423126576E-3</v>
      </c>
      <c r="N13" s="11">
        <f t="shared" ref="N13:N17" si="11">(J4-J3) * ((N4+N3))</f>
        <v>3.9867947610046361E-3</v>
      </c>
      <c r="O13" s="11">
        <f t="shared" ref="O13:O17" si="12">(J4-J3) * ((O4+O3))</f>
        <v>5.0273566491830729E-3</v>
      </c>
      <c r="P13" s="11">
        <f t="shared" ref="P13:P17" si="13">(J4-J3) * ((P4+P3))</f>
        <v>3.505469772389557E-3</v>
      </c>
    </row>
    <row r="14" spans="1:16" x14ac:dyDescent="0.3">
      <c r="B14" s="12" t="s">
        <v>20</v>
      </c>
      <c r="C14" s="12">
        <f t="shared" si="2"/>
        <v>-3.626826819439348E-2</v>
      </c>
      <c r="D14" s="12">
        <f t="shared" si="3"/>
        <v>-5.4639312731535855E-2</v>
      </c>
      <c r="E14" s="12">
        <f t="shared" si="4"/>
        <v>-5.9577584336474129E-2</v>
      </c>
      <c r="F14" s="12">
        <f t="shared" si="5"/>
        <v>-3.8287419999952173E-2</v>
      </c>
      <c r="G14" s="12">
        <f t="shared" si="6"/>
        <v>-2.4302064914613238E-2</v>
      </c>
      <c r="H14" s="12">
        <f t="shared" si="7"/>
        <v>-3.1270706029595821E-2</v>
      </c>
      <c r="J14" s="12" t="s">
        <v>20</v>
      </c>
      <c r="K14" s="11">
        <f t="shared" si="8"/>
        <v>1.3031209997956476E-2</v>
      </c>
      <c r="L14" s="11">
        <f t="shared" si="9"/>
        <v>4.1348760335729344E-3</v>
      </c>
      <c r="M14" s="11">
        <f t="shared" si="10"/>
        <v>9.4275173565462923E-3</v>
      </c>
      <c r="N14" s="11">
        <f t="shared" si="11"/>
        <v>9.6115330316827816E-3</v>
      </c>
      <c r="O14" s="11">
        <f t="shared" si="12"/>
        <v>1.307024229148908E-2</v>
      </c>
      <c r="P14" s="11">
        <f t="shared" si="13"/>
        <v>9.5692845348402181E-3</v>
      </c>
    </row>
    <row r="15" spans="1:16" x14ac:dyDescent="0.3">
      <c r="B15" s="12" t="s">
        <v>18</v>
      </c>
      <c r="C15" s="12">
        <f t="shared" si="2"/>
        <v>-0.10947454071224272</v>
      </c>
      <c r="D15" s="12">
        <f t="shared" si="3"/>
        <v>-9.2915319374864386E-2</v>
      </c>
      <c r="E15" s="12">
        <f t="shared" si="4"/>
        <v>-1.1433837893382898E-2</v>
      </c>
      <c r="F15" s="12">
        <f t="shared" si="5"/>
        <v>2.4573029901564375E-2</v>
      </c>
      <c r="G15" s="12">
        <f t="shared" si="6"/>
        <v>-4.9523564119014207E-3</v>
      </c>
      <c r="H15" s="12">
        <f t="shared" si="7"/>
        <v>-4.9523564119014207E-3</v>
      </c>
      <c r="J15" s="12" t="s">
        <v>18</v>
      </c>
      <c r="K15" s="11">
        <f t="shared" si="8"/>
        <v>3.1933684852071341E-2</v>
      </c>
      <c r="L15" s="11">
        <f t="shared" si="9"/>
        <v>1.443915071243349E-2</v>
      </c>
      <c r="M15" s="11">
        <f t="shared" si="10"/>
        <v>3.4653961709840378E-2</v>
      </c>
      <c r="N15" s="11">
        <f t="shared" si="11"/>
        <v>4.245684050543358E-2</v>
      </c>
      <c r="O15" s="11">
        <f t="shared" si="12"/>
        <v>4.7147348820171547E-2</v>
      </c>
      <c r="P15" s="11">
        <f t="shared" si="13"/>
        <v>3.9449822482184357E-2</v>
      </c>
    </row>
    <row r="16" spans="1:16" x14ac:dyDescent="0.3">
      <c r="B16" s="12" t="s">
        <v>16</v>
      </c>
      <c r="C16" s="12">
        <f t="shared" si="2"/>
        <v>0.10753532832954033</v>
      </c>
      <c r="D16" s="12">
        <f t="shared" si="3"/>
        <v>1.901822240971629E-3</v>
      </c>
      <c r="E16" s="12">
        <f t="shared" si="4"/>
        <v>-6.7233980228164181E-2</v>
      </c>
      <c r="F16" s="12">
        <f t="shared" si="5"/>
        <v>-4.5355147753305181E-2</v>
      </c>
      <c r="G16" s="12">
        <f t="shared" si="6"/>
        <v>0.10774343621266691</v>
      </c>
      <c r="H16" s="12">
        <f t="shared" si="7"/>
        <v>0.13329512030093638</v>
      </c>
      <c r="J16" s="12" t="s">
        <v>16</v>
      </c>
      <c r="K16" s="11">
        <f t="shared" si="8"/>
        <v>0.22107311915441383</v>
      </c>
      <c r="L16" s="11">
        <f t="shared" si="9"/>
        <v>0.14969458788939022</v>
      </c>
      <c r="M16" s="11">
        <f t="shared" si="10"/>
        <v>0.20326949302875094</v>
      </c>
      <c r="N16" s="11">
        <f t="shared" si="11"/>
        <v>0.24089923746438294</v>
      </c>
      <c r="O16" s="11">
        <f t="shared" si="12"/>
        <v>0.29184679763416094</v>
      </c>
      <c r="P16" s="11">
        <f t="shared" si="13"/>
        <v>0.2810994234990617</v>
      </c>
    </row>
    <row r="17" spans="2:16" x14ac:dyDescent="0.3">
      <c r="B17" s="12" t="s">
        <v>14</v>
      </c>
      <c r="C17" s="12">
        <f t="shared" si="2"/>
        <v>6.0765039099229701E-2</v>
      </c>
      <c r="D17" s="12">
        <f t="shared" si="3"/>
        <v>0.22543027316150588</v>
      </c>
      <c r="E17" s="12">
        <f t="shared" si="4"/>
        <v>0.17604755711212317</v>
      </c>
      <c r="F17" s="12">
        <f t="shared" si="5"/>
        <v>0.10614321568460289</v>
      </c>
      <c r="G17" s="12">
        <f t="shared" si="6"/>
        <v>-5.0239705760505571E-2</v>
      </c>
      <c r="H17" s="12">
        <f t="shared" si="7"/>
        <v>-4.61746651100991E-2</v>
      </c>
      <c r="J17" s="12" t="s">
        <v>14</v>
      </c>
      <c r="K17" s="11">
        <f t="shared" si="8"/>
        <v>0.5919288576404389</v>
      </c>
      <c r="L17" s="11">
        <f t="shared" si="9"/>
        <v>0.5294370842482452</v>
      </c>
      <c r="M17" s="11">
        <f t="shared" si="10"/>
        <v>0.54817821997384686</v>
      </c>
      <c r="N17" s="11">
        <f t="shared" si="11"/>
        <v>0.57470747667151134</v>
      </c>
      <c r="O17" s="11">
        <f t="shared" si="12"/>
        <v>0.63405604617988098</v>
      </c>
      <c r="P17" s="11">
        <f t="shared" si="13"/>
        <v>0.63251333073905391</v>
      </c>
    </row>
    <row r="18" spans="2:16" x14ac:dyDescent="0.3">
      <c r="J18" s="23" t="s">
        <v>53</v>
      </c>
      <c r="K18" s="22">
        <f>SUM(K11:K17)</f>
        <v>0.86637156111873415</v>
      </c>
      <c r="L18" s="22">
        <f t="shared" ref="L18:P18" si="14">SUM(L11:L17)</f>
        <v>0.69959661424482644</v>
      </c>
      <c r="M18" s="22">
        <f t="shared" si="14"/>
        <v>0.80249993475348702</v>
      </c>
      <c r="N18" s="22">
        <f t="shared" si="14"/>
        <v>0.87379971342199148</v>
      </c>
      <c r="O18" s="22">
        <f t="shared" si="14"/>
        <v>0.99397554742156935</v>
      </c>
      <c r="P18" s="22">
        <f t="shared" si="14"/>
        <v>0.96740091530980332</v>
      </c>
    </row>
    <row r="19" spans="2:16" x14ac:dyDescent="0.3">
      <c r="J19" s="24" t="s">
        <v>54</v>
      </c>
      <c r="K19" s="25">
        <f>1-K18</f>
        <v>0.13362843888126585</v>
      </c>
      <c r="L19" s="25">
        <f t="shared" ref="L19:P19" si="15">1-L18</f>
        <v>0.30040338575517356</v>
      </c>
      <c r="M19" s="25">
        <f t="shared" si="15"/>
        <v>0.19750006524651298</v>
      </c>
      <c r="N19" s="25">
        <f t="shared" si="15"/>
        <v>0.12620028657800852</v>
      </c>
      <c r="O19" s="25">
        <f t="shared" si="15"/>
        <v>6.0244525784306502E-3</v>
      </c>
      <c r="P19" s="25">
        <f t="shared" si="15"/>
        <v>3.2599084690196678E-2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BF14-BB5D-47C4-8598-9C2AF1D92B45}">
  <dimension ref="A1:P29"/>
  <sheetViews>
    <sheetView topLeftCell="H6" workbookViewId="0">
      <selection activeCell="K29" sqref="K29:P29"/>
    </sheetView>
  </sheetViews>
  <sheetFormatPr defaultRowHeight="14.4" x14ac:dyDescent="0.3"/>
  <cols>
    <col min="1" max="1" width="8.88671875" style="10"/>
  </cols>
  <sheetData>
    <row r="1" spans="1:16" ht="36.6" customHeight="1" x14ac:dyDescent="0.3">
      <c r="A1" s="9" t="s">
        <v>33</v>
      </c>
      <c r="B1" s="2" t="s">
        <v>34</v>
      </c>
      <c r="C1" s="3" t="s">
        <v>35</v>
      </c>
      <c r="D1" s="3" t="s">
        <v>36</v>
      </c>
      <c r="E1" s="3" t="s">
        <v>37</v>
      </c>
      <c r="F1" s="2" t="s">
        <v>38</v>
      </c>
      <c r="G1" s="3" t="s">
        <v>39</v>
      </c>
      <c r="H1" s="3" t="s">
        <v>40</v>
      </c>
      <c r="I1" s="4" t="s">
        <v>34</v>
      </c>
      <c r="J1" s="5" t="s">
        <v>34</v>
      </c>
      <c r="K1" s="6" t="s">
        <v>35</v>
      </c>
      <c r="L1" s="7" t="s">
        <v>36</v>
      </c>
      <c r="M1" s="6" t="s">
        <v>37</v>
      </c>
      <c r="N1" s="8" t="s">
        <v>38</v>
      </c>
      <c r="O1" s="6" t="s">
        <v>39</v>
      </c>
      <c r="P1" s="6" t="s">
        <v>40</v>
      </c>
    </row>
    <row r="2" spans="1:16" x14ac:dyDescent="0.3">
      <c r="A2" s="21" t="s">
        <v>32</v>
      </c>
      <c r="B2" s="13">
        <v>1.1720367017389771E-2</v>
      </c>
      <c r="C2" s="13">
        <v>7.2568940493468797E-3</v>
      </c>
      <c r="D2" s="13">
        <v>3.3444816053511705E-3</v>
      </c>
      <c r="E2" s="13">
        <v>1.0471204188481676E-2</v>
      </c>
      <c r="F2" s="13">
        <v>2.2488755622188907E-2</v>
      </c>
      <c r="G2" s="13">
        <v>2.4221453287197232E-2</v>
      </c>
      <c r="H2" s="13">
        <v>3.5971223021582736E-3</v>
      </c>
      <c r="I2" s="12">
        <v>1.1720367017389771E-2</v>
      </c>
      <c r="J2" s="13">
        <v>1.1720367017389771E-2</v>
      </c>
      <c r="K2" s="13">
        <v>7.2568940493468797E-3</v>
      </c>
      <c r="L2" s="13">
        <v>3.3444816053511705E-3</v>
      </c>
      <c r="M2" s="13">
        <v>1.0471204188481676E-2</v>
      </c>
      <c r="N2" s="13">
        <v>2.2488755622188907E-2</v>
      </c>
      <c r="O2" s="13">
        <v>2.4221453287197232E-2</v>
      </c>
      <c r="P2" s="13">
        <v>3.5971223021582736E-3</v>
      </c>
    </row>
    <row r="3" spans="1:16" x14ac:dyDescent="0.3">
      <c r="A3" s="21" t="s">
        <v>29</v>
      </c>
      <c r="B3" s="13">
        <v>1.1900348083381628E-2</v>
      </c>
      <c r="C3" s="13">
        <v>4.3541364296081275E-3</v>
      </c>
      <c r="D3" s="13">
        <v>6.688963210702341E-3</v>
      </c>
      <c r="E3" s="13">
        <v>0</v>
      </c>
      <c r="F3" s="13">
        <v>2.9985007496251873E-3</v>
      </c>
      <c r="G3" s="13">
        <v>1.7301038062283738E-3</v>
      </c>
      <c r="H3" s="13">
        <v>0</v>
      </c>
      <c r="I3" s="12">
        <v>2.3620715100771399E-2</v>
      </c>
      <c r="J3" s="12">
        <f t="shared" ref="J3:P13" si="0">J2+B3</f>
        <v>2.3620715100771399E-2</v>
      </c>
      <c r="K3" s="12">
        <f t="shared" si="0"/>
        <v>1.1611030478955007E-2</v>
      </c>
      <c r="L3" s="26">
        <f t="shared" si="0"/>
        <v>1.0033444816053512E-2</v>
      </c>
      <c r="M3" s="12">
        <f t="shared" si="0"/>
        <v>1.0471204188481676E-2</v>
      </c>
      <c r="N3" s="12">
        <f t="shared" si="0"/>
        <v>2.5487256371814093E-2</v>
      </c>
      <c r="O3" s="12">
        <f t="shared" si="0"/>
        <v>2.5951557093425604E-2</v>
      </c>
      <c r="P3" s="12">
        <f t="shared" si="0"/>
        <v>3.5971223021582736E-3</v>
      </c>
    </row>
    <row r="4" spans="1:16" x14ac:dyDescent="0.3">
      <c r="A4" s="21" t="s">
        <v>27</v>
      </c>
      <c r="B4" s="13">
        <v>1.3084623497608052E-2</v>
      </c>
      <c r="C4" s="13">
        <v>8.708272859216255E-3</v>
      </c>
      <c r="D4" s="13">
        <v>6.688963210702341E-3</v>
      </c>
      <c r="E4" s="13">
        <v>0</v>
      </c>
      <c r="F4" s="13">
        <v>1.7991004497751123E-2</v>
      </c>
      <c r="G4" s="13">
        <v>2.768166089965398E-2</v>
      </c>
      <c r="H4" s="13">
        <v>1.0791366906474821E-2</v>
      </c>
      <c r="I4" s="12">
        <v>3.6705338598379447E-2</v>
      </c>
      <c r="J4" s="12">
        <f t="shared" si="0"/>
        <v>3.6705338598379447E-2</v>
      </c>
      <c r="K4" s="12">
        <f t="shared" si="0"/>
        <v>2.0319303338171262E-2</v>
      </c>
      <c r="L4" s="26">
        <f t="shared" si="0"/>
        <v>1.6722408026755852E-2</v>
      </c>
      <c r="M4" s="12">
        <f t="shared" si="0"/>
        <v>1.0471204188481676E-2</v>
      </c>
      <c r="N4" s="12">
        <f t="shared" si="0"/>
        <v>4.3478260869565216E-2</v>
      </c>
      <c r="O4" s="12">
        <f t="shared" si="0"/>
        <v>5.3633217993079588E-2</v>
      </c>
      <c r="P4" s="12">
        <f t="shared" si="0"/>
        <v>1.4388489208633094E-2</v>
      </c>
    </row>
    <row r="5" spans="1:16" x14ac:dyDescent="0.3">
      <c r="A5" s="21" t="s">
        <v>23</v>
      </c>
      <c r="B5" s="13">
        <v>1.9427156263161115E-2</v>
      </c>
      <c r="C5" s="13">
        <v>1.5965166908563134E-2</v>
      </c>
      <c r="D5" s="13">
        <v>1.0033444816053512E-2</v>
      </c>
      <c r="E5" s="13">
        <v>0</v>
      </c>
      <c r="F5" s="13">
        <v>1.9490254872563718E-2</v>
      </c>
      <c r="G5" s="13">
        <v>1.9031141868512111E-2</v>
      </c>
      <c r="H5" s="13">
        <v>1.0791366906474821E-2</v>
      </c>
      <c r="I5" s="12">
        <v>5.6132494861540566E-2</v>
      </c>
      <c r="J5" s="12">
        <f t="shared" si="0"/>
        <v>5.6132494861540566E-2</v>
      </c>
      <c r="K5" s="12">
        <f t="shared" si="0"/>
        <v>3.6284470246734396E-2</v>
      </c>
      <c r="L5" s="26">
        <f t="shared" si="0"/>
        <v>2.6755852842809364E-2</v>
      </c>
      <c r="M5" s="12">
        <f t="shared" si="0"/>
        <v>1.0471204188481676E-2</v>
      </c>
      <c r="N5" s="12">
        <f t="shared" si="0"/>
        <v>6.296851574212893E-2</v>
      </c>
      <c r="O5" s="12">
        <f t="shared" si="0"/>
        <v>7.2664359861591699E-2</v>
      </c>
      <c r="P5" s="12">
        <f t="shared" si="0"/>
        <v>2.5179856115107917E-2</v>
      </c>
    </row>
    <row r="6" spans="1:16" x14ac:dyDescent="0.3">
      <c r="A6" s="21" t="s">
        <v>25</v>
      </c>
      <c r="B6" s="13">
        <v>2.5287339771856002E-2</v>
      </c>
      <c r="C6" s="13">
        <v>2.9027576197387518E-3</v>
      </c>
      <c r="D6" s="13">
        <v>3.3444816053511705E-3</v>
      </c>
      <c r="E6" s="13">
        <v>1.0471204188481676E-2</v>
      </c>
      <c r="F6" s="13">
        <v>4.4977511244377807E-3</v>
      </c>
      <c r="G6" s="13">
        <v>5.1903114186851208E-3</v>
      </c>
      <c r="H6" s="13">
        <v>1.4388489208633094E-2</v>
      </c>
      <c r="I6" s="12">
        <v>8.1419834633396568E-2</v>
      </c>
      <c r="J6" s="12">
        <f t="shared" si="0"/>
        <v>8.1419834633396568E-2</v>
      </c>
      <c r="K6" s="12">
        <f t="shared" si="0"/>
        <v>3.9187227866473148E-2</v>
      </c>
      <c r="L6" s="26">
        <f t="shared" si="0"/>
        <v>3.0100334448160536E-2</v>
      </c>
      <c r="M6" s="12">
        <f t="shared" si="0"/>
        <v>2.0942408376963352E-2</v>
      </c>
      <c r="N6" s="12">
        <f t="shared" si="0"/>
        <v>6.7466266866566704E-2</v>
      </c>
      <c r="O6" s="12">
        <f t="shared" si="0"/>
        <v>7.7854671280276816E-2</v>
      </c>
      <c r="P6" s="12">
        <f t="shared" si="0"/>
        <v>3.9568345323741011E-2</v>
      </c>
    </row>
    <row r="7" spans="1:16" x14ac:dyDescent="0.3">
      <c r="A7" s="21" t="s">
        <v>31</v>
      </c>
      <c r="B7" s="13">
        <v>2.9272120572915731E-2</v>
      </c>
      <c r="C7" s="13">
        <v>1.0159651669085631E-2</v>
      </c>
      <c r="D7" s="13">
        <v>1.6722408026755852E-2</v>
      </c>
      <c r="E7" s="13">
        <v>1.0471204188481676E-2</v>
      </c>
      <c r="F7" s="13">
        <v>2.0989505247376312E-2</v>
      </c>
      <c r="G7" s="13">
        <v>2.5951557093425604E-2</v>
      </c>
      <c r="H7" s="13">
        <v>6.4748201438848921E-2</v>
      </c>
      <c r="I7" s="12">
        <v>0.1106919552063123</v>
      </c>
      <c r="J7" s="12">
        <f t="shared" si="0"/>
        <v>0.1106919552063123</v>
      </c>
      <c r="K7" s="12">
        <f t="shared" si="0"/>
        <v>4.9346879535558781E-2</v>
      </c>
      <c r="L7" s="26">
        <f t="shared" si="0"/>
        <v>4.6822742474916385E-2</v>
      </c>
      <c r="M7" s="12">
        <f t="shared" si="0"/>
        <v>3.1413612565445032E-2</v>
      </c>
      <c r="N7" s="12">
        <f t="shared" si="0"/>
        <v>8.845577211394301E-2</v>
      </c>
      <c r="O7" s="12">
        <f t="shared" si="0"/>
        <v>0.10380622837370242</v>
      </c>
      <c r="P7" s="12">
        <f t="shared" si="0"/>
        <v>0.10431654676258993</v>
      </c>
    </row>
    <row r="8" spans="1:16" x14ac:dyDescent="0.3">
      <c r="A8" s="21" t="s">
        <v>28</v>
      </c>
      <c r="B8" s="13">
        <v>3.5312285147602471E-2</v>
      </c>
      <c r="C8" s="13">
        <v>2.0319303338171262E-2</v>
      </c>
      <c r="D8" s="13">
        <v>6.688963210702341E-3</v>
      </c>
      <c r="E8" s="13">
        <v>2.0942408376963352E-2</v>
      </c>
      <c r="F8" s="13">
        <v>1.4992503748125937E-2</v>
      </c>
      <c r="G8" s="13">
        <v>1.5570934256055362E-2</v>
      </c>
      <c r="H8" s="13">
        <v>1.7985611510791366E-2</v>
      </c>
      <c r="I8" s="12">
        <v>0.14600424035391477</v>
      </c>
      <c r="J8" s="12">
        <f t="shared" si="0"/>
        <v>0.14600424035391477</v>
      </c>
      <c r="K8" s="12">
        <f t="shared" si="0"/>
        <v>6.966618287373004E-2</v>
      </c>
      <c r="L8" s="26">
        <f t="shared" si="0"/>
        <v>5.3511705685618728E-2</v>
      </c>
      <c r="M8" s="12">
        <f t="shared" si="0"/>
        <v>5.2356020942408384E-2</v>
      </c>
      <c r="N8" s="12">
        <f t="shared" si="0"/>
        <v>0.10344827586206895</v>
      </c>
      <c r="O8" s="12">
        <f t="shared" si="0"/>
        <v>0.11937716262975778</v>
      </c>
      <c r="P8" s="12">
        <f t="shared" si="0"/>
        <v>0.1223021582733813</v>
      </c>
    </row>
    <row r="9" spans="1:16" x14ac:dyDescent="0.3">
      <c r="A9" s="21" t="s">
        <v>26</v>
      </c>
      <c r="B9" s="13">
        <v>5.1175816304124808E-2</v>
      </c>
      <c r="C9" s="13">
        <v>1.3062409288824383E-2</v>
      </c>
      <c r="D9" s="13">
        <v>3.3444816053511705E-3</v>
      </c>
      <c r="E9" s="13">
        <v>0</v>
      </c>
      <c r="F9" s="13">
        <v>5.9970014992503748E-2</v>
      </c>
      <c r="G9" s="13">
        <v>5.3633217993079588E-2</v>
      </c>
      <c r="H9" s="13">
        <v>2.1582733812949641E-2</v>
      </c>
      <c r="I9" s="12">
        <v>0.19718005665803956</v>
      </c>
      <c r="J9" s="12">
        <f t="shared" si="0"/>
        <v>0.19718005665803956</v>
      </c>
      <c r="K9" s="12">
        <f t="shared" si="0"/>
        <v>8.2728592162554418E-2</v>
      </c>
      <c r="L9" s="26">
        <f t="shared" si="0"/>
        <v>5.6856187290969896E-2</v>
      </c>
      <c r="M9" s="12">
        <f t="shared" si="0"/>
        <v>5.2356020942408384E-2</v>
      </c>
      <c r="N9" s="12">
        <f t="shared" si="0"/>
        <v>0.16341829085457271</v>
      </c>
      <c r="O9" s="12">
        <f t="shared" si="0"/>
        <v>0.17301038062283736</v>
      </c>
      <c r="P9" s="12">
        <f t="shared" si="0"/>
        <v>0.14388489208633093</v>
      </c>
    </row>
    <row r="10" spans="1:16" x14ac:dyDescent="0.3">
      <c r="A10" s="21" t="s">
        <v>22</v>
      </c>
      <c r="B10" s="13">
        <v>6.4253240559093178E-2</v>
      </c>
      <c r="C10" s="13">
        <v>3.7735849056603772E-2</v>
      </c>
      <c r="D10" s="13">
        <v>6.688963210702341E-3</v>
      </c>
      <c r="E10" s="13">
        <v>1.0471204188481676E-2</v>
      </c>
      <c r="F10" s="13">
        <v>4.4977511244377814E-2</v>
      </c>
      <c r="G10" s="13">
        <v>6.9204152249134954E-2</v>
      </c>
      <c r="H10" s="13">
        <v>8.2733812949640287E-2</v>
      </c>
      <c r="I10" s="12">
        <v>0.26143329721713271</v>
      </c>
      <c r="J10" s="12">
        <f t="shared" si="0"/>
        <v>0.26143329721713271</v>
      </c>
      <c r="K10" s="12">
        <f t="shared" si="0"/>
        <v>0.1204644412191582</v>
      </c>
      <c r="L10" s="26">
        <f t="shared" si="0"/>
        <v>6.354515050167224E-2</v>
      </c>
      <c r="M10" s="12">
        <f t="shared" si="0"/>
        <v>6.2827225130890063E-2</v>
      </c>
      <c r="N10" s="12">
        <f t="shared" si="0"/>
        <v>0.20839580209895053</v>
      </c>
      <c r="O10" s="12">
        <f t="shared" si="0"/>
        <v>0.24221453287197231</v>
      </c>
      <c r="P10" s="12">
        <f t="shared" si="0"/>
        <v>0.2266187050359712</v>
      </c>
    </row>
    <row r="11" spans="1:16" x14ac:dyDescent="0.3">
      <c r="A11" s="21" t="s">
        <v>24</v>
      </c>
      <c r="B11" s="13">
        <v>9.0634865212179686E-2</v>
      </c>
      <c r="C11" s="13">
        <v>8.2728592162554432E-2</v>
      </c>
      <c r="D11" s="13">
        <v>0.21404682274247491</v>
      </c>
      <c r="E11" s="13">
        <v>0.21465968586387435</v>
      </c>
      <c r="F11" s="13">
        <v>0.10044977511244378</v>
      </c>
      <c r="G11" s="13">
        <v>8.9965397923875437E-2</v>
      </c>
      <c r="H11" s="13">
        <v>0.10071942446043165</v>
      </c>
      <c r="I11" s="12">
        <v>0.35206816242931238</v>
      </c>
      <c r="J11" s="12">
        <f t="shared" si="0"/>
        <v>0.35206816242931238</v>
      </c>
      <c r="K11" s="12">
        <f t="shared" si="0"/>
        <v>0.20319303338171263</v>
      </c>
      <c r="L11" s="26">
        <f t="shared" si="0"/>
        <v>0.27759197324414714</v>
      </c>
      <c r="M11" s="12">
        <f t="shared" si="0"/>
        <v>0.27748691099476441</v>
      </c>
      <c r="N11" s="12">
        <f t="shared" si="0"/>
        <v>0.30884557721139433</v>
      </c>
      <c r="O11" s="12">
        <f t="shared" si="0"/>
        <v>0.33217993079584773</v>
      </c>
      <c r="P11" s="12">
        <f t="shared" si="0"/>
        <v>0.32733812949640284</v>
      </c>
    </row>
    <row r="12" spans="1:16" x14ac:dyDescent="0.3">
      <c r="A12" s="21" t="s">
        <v>21</v>
      </c>
      <c r="B12" s="13">
        <v>0.30762723761460292</v>
      </c>
      <c r="C12" s="13">
        <v>0.32220609579100146</v>
      </c>
      <c r="D12" s="13">
        <v>0.27424749163879597</v>
      </c>
      <c r="E12" s="13">
        <v>0.18324607329842932</v>
      </c>
      <c r="F12" s="13">
        <v>0.35382308845577209</v>
      </c>
      <c r="G12" s="13">
        <v>0.36159169550173009</v>
      </c>
      <c r="H12" s="13">
        <v>0.32374100719424459</v>
      </c>
      <c r="I12" s="12">
        <v>0.65969540004391525</v>
      </c>
      <c r="J12" s="12">
        <f t="shared" si="0"/>
        <v>0.65969540004391525</v>
      </c>
      <c r="K12" s="12">
        <f t="shared" si="0"/>
        <v>0.52539912917271403</v>
      </c>
      <c r="L12" s="26">
        <f t="shared" si="0"/>
        <v>0.55183946488294311</v>
      </c>
      <c r="M12" s="12">
        <f t="shared" si="0"/>
        <v>0.46073298429319376</v>
      </c>
      <c r="N12" s="12">
        <f t="shared" si="0"/>
        <v>0.66266866566716642</v>
      </c>
      <c r="O12" s="12">
        <f t="shared" si="0"/>
        <v>0.69377162629757783</v>
      </c>
      <c r="P12" s="12">
        <f t="shared" si="0"/>
        <v>0.65107913669064743</v>
      </c>
    </row>
    <row r="13" spans="1:16" x14ac:dyDescent="0.3">
      <c r="A13" s="21" t="s">
        <v>30</v>
      </c>
      <c r="B13" s="13">
        <v>0.34030459995608464</v>
      </c>
      <c r="C13" s="13">
        <v>0.47460087082728591</v>
      </c>
      <c r="D13" s="13">
        <v>0.44816053511705684</v>
      </c>
      <c r="E13" s="13">
        <v>0.53926701570680624</v>
      </c>
      <c r="F13" s="13">
        <v>0.33733133433283358</v>
      </c>
      <c r="G13" s="13">
        <v>0.30622837370242212</v>
      </c>
      <c r="H13" s="13">
        <v>0.34892086330935251</v>
      </c>
      <c r="I13" s="12">
        <v>0.99999999999999989</v>
      </c>
      <c r="J13" s="12">
        <f t="shared" si="0"/>
        <v>0.99999999999999989</v>
      </c>
      <c r="K13" s="12">
        <f t="shared" si="0"/>
        <v>1</v>
      </c>
      <c r="L13" s="26">
        <f t="shared" si="0"/>
        <v>1</v>
      </c>
      <c r="M13" s="12">
        <f t="shared" si="0"/>
        <v>1</v>
      </c>
      <c r="N13" s="12">
        <f t="shared" si="0"/>
        <v>1</v>
      </c>
      <c r="O13" s="12">
        <f t="shared" si="0"/>
        <v>1</v>
      </c>
      <c r="P13" s="12">
        <f t="shared" si="0"/>
        <v>1</v>
      </c>
    </row>
    <row r="15" spans="1:16" ht="28.8" x14ac:dyDescent="0.3">
      <c r="B15" s="1" t="s">
        <v>33</v>
      </c>
      <c r="C15" s="3" t="s">
        <v>41</v>
      </c>
      <c r="D15" s="3" t="s">
        <v>42</v>
      </c>
      <c r="E15" s="3" t="s">
        <v>43</v>
      </c>
      <c r="F15" s="3" t="s">
        <v>44</v>
      </c>
      <c r="G15" s="3" t="s">
        <v>45</v>
      </c>
      <c r="H15" s="3" t="s">
        <v>46</v>
      </c>
      <c r="J15" s="11"/>
      <c r="K15" s="22" t="s">
        <v>47</v>
      </c>
      <c r="L15" s="22" t="s">
        <v>48</v>
      </c>
      <c r="M15" s="22" t="s">
        <v>49</v>
      </c>
      <c r="N15" s="22" t="s">
        <v>50</v>
      </c>
      <c r="O15" s="22" t="s">
        <v>51</v>
      </c>
      <c r="P15" s="22" t="s">
        <v>52</v>
      </c>
    </row>
    <row r="16" spans="1:16" x14ac:dyDescent="0.3">
      <c r="B16" s="21" t="s">
        <v>32</v>
      </c>
      <c r="C16" s="12">
        <f>C2-B2</f>
        <v>-4.4634729680428911E-3</v>
      </c>
      <c r="D16" s="12">
        <f>D2-B2</f>
        <v>-8.3758854120386007E-3</v>
      </c>
      <c r="E16" s="12">
        <f>E2-B2</f>
        <v>-1.2491628289080948E-3</v>
      </c>
      <c r="F16" s="12">
        <f>F2-B2</f>
        <v>1.0768388604799136E-2</v>
      </c>
      <c r="G16" s="12">
        <f>G2-B2</f>
        <v>1.2501086269807461E-2</v>
      </c>
      <c r="H16" s="12">
        <f>H2-B2</f>
        <v>-8.1232447152314972E-3</v>
      </c>
      <c r="J16" s="21" t="s">
        <v>32</v>
      </c>
      <c r="K16" s="11">
        <f>($J2-0) * ((K2+0))</f>
        <v>8.5053461664657268E-5</v>
      </c>
      <c r="L16" s="11">
        <f t="shared" ref="L16:P16" si="1">($J2-0) * ((L2+0))</f>
        <v>3.9198551897624653E-5</v>
      </c>
      <c r="M16" s="11">
        <f t="shared" si="1"/>
        <v>1.2272635620303425E-4</v>
      </c>
      <c r="N16" s="11">
        <f t="shared" si="1"/>
        <v>2.6357646965644162E-4</v>
      </c>
      <c r="O16" s="11">
        <f t="shared" si="1"/>
        <v>2.8388432222051349E-4</v>
      </c>
      <c r="P16" s="11">
        <f t="shared" si="1"/>
        <v>4.215959358773299E-5</v>
      </c>
    </row>
    <row r="17" spans="2:16" x14ac:dyDescent="0.3">
      <c r="B17" s="21" t="s">
        <v>29</v>
      </c>
      <c r="C17" s="12">
        <f t="shared" ref="C17:C27" si="2">C3-B3</f>
        <v>-7.5462116537735003E-3</v>
      </c>
      <c r="D17" s="12">
        <f t="shared" ref="D17:D27" si="3">D3-B3</f>
        <v>-5.2113848726792868E-3</v>
      </c>
      <c r="E17" s="12">
        <f t="shared" ref="E17:E27" si="4">E3-B3</f>
        <v>-1.1900348083381628E-2</v>
      </c>
      <c r="F17" s="12">
        <f t="shared" ref="F17:F27" si="5">F3-B3</f>
        <v>-8.9018473337564401E-3</v>
      </c>
      <c r="G17" s="12">
        <f t="shared" ref="G17:G27" si="6">G3-B3</f>
        <v>-1.0170244277153254E-2</v>
      </c>
      <c r="H17" s="12">
        <f t="shared" ref="H17:H27" si="7">H3-B3</f>
        <v>-1.1900348083381628E-2</v>
      </c>
      <c r="J17" s="21" t="s">
        <v>29</v>
      </c>
      <c r="K17" s="11">
        <f>($J3-$J2) * ((K3+K2))</f>
        <v>2.2453486949776654E-4</v>
      </c>
      <c r="L17" s="11">
        <f t="shared" ref="L17:P17" si="8">($J3-$J2) * ((L3+L2))</f>
        <v>1.5920198104858363E-4</v>
      </c>
      <c r="M17" s="11">
        <f t="shared" si="8"/>
        <v>2.4922194939019118E-4</v>
      </c>
      <c r="N17" s="11">
        <f t="shared" si="8"/>
        <v>5.7093124238112765E-4</v>
      </c>
      <c r="O17" s="11">
        <f t="shared" si="8"/>
        <v>5.9707628792053148E-4</v>
      </c>
      <c r="P17" s="11">
        <f t="shared" si="8"/>
        <v>8.5614014988357042E-5</v>
      </c>
    </row>
    <row r="18" spans="2:16" x14ac:dyDescent="0.3">
      <c r="B18" s="21" t="s">
        <v>27</v>
      </c>
      <c r="C18" s="12">
        <f t="shared" si="2"/>
        <v>-4.3763506383917971E-3</v>
      </c>
      <c r="D18" s="12">
        <f t="shared" si="3"/>
        <v>-6.3956602869057111E-3</v>
      </c>
      <c r="E18" s="12">
        <f t="shared" si="4"/>
        <v>-1.3084623497608052E-2</v>
      </c>
      <c r="F18" s="12">
        <f t="shared" si="5"/>
        <v>4.9063810001430709E-3</v>
      </c>
      <c r="G18" s="12">
        <f t="shared" si="6"/>
        <v>1.4597037402045928E-2</v>
      </c>
      <c r="H18" s="12">
        <f t="shared" si="7"/>
        <v>-2.2932565911332314E-3</v>
      </c>
      <c r="J18" s="21" t="s">
        <v>27</v>
      </c>
      <c r="K18" s="11">
        <f t="shared" ref="K18:P27" si="9">($J4-$J3) * ((K4+K3))</f>
        <v>4.1779639615003927E-4</v>
      </c>
      <c r="L18" s="11">
        <f t="shared" si="9"/>
        <v>3.5009026080556649E-4</v>
      </c>
      <c r="M18" s="11">
        <f t="shared" si="9"/>
        <v>2.740235287457183E-4</v>
      </c>
      <c r="N18" s="11">
        <f t="shared" si="9"/>
        <v>9.0238782742124474E-4</v>
      </c>
      <c r="O18" s="11">
        <f t="shared" si="9"/>
        <v>1.0413368181487375E-3</v>
      </c>
      <c r="P18" s="11">
        <f t="shared" si="9"/>
        <v>2.3533495499295052E-4</v>
      </c>
    </row>
    <row r="19" spans="2:16" x14ac:dyDescent="0.3">
      <c r="B19" s="21" t="s">
        <v>23</v>
      </c>
      <c r="C19" s="12">
        <f t="shared" si="2"/>
        <v>-3.4619893545979816E-3</v>
      </c>
      <c r="D19" s="12">
        <f t="shared" si="3"/>
        <v>-9.3937114471076034E-3</v>
      </c>
      <c r="E19" s="12">
        <f t="shared" si="4"/>
        <v>-1.9427156263161115E-2</v>
      </c>
      <c r="F19" s="12">
        <f t="shared" si="5"/>
        <v>6.3098609402602313E-5</v>
      </c>
      <c r="G19" s="12">
        <f t="shared" si="6"/>
        <v>-3.9601439464900454E-4</v>
      </c>
      <c r="H19" s="12">
        <f t="shared" si="7"/>
        <v>-8.6357893566862947E-3</v>
      </c>
      <c r="J19" s="21" t="s">
        <v>23</v>
      </c>
      <c r="K19" s="11">
        <f t="shared" si="9"/>
        <v>1.099650354518554E-3</v>
      </c>
      <c r="L19" s="11">
        <f t="shared" si="9"/>
        <v>8.4465896796352691E-4</v>
      </c>
      <c r="M19" s="11">
        <f t="shared" si="9"/>
        <v>4.0685144006620148E-4</v>
      </c>
      <c r="N19" s="11">
        <f t="shared" si="9"/>
        <v>2.0679581629451864E-3</v>
      </c>
      <c r="O19" s="11">
        <f t="shared" si="9"/>
        <v>2.453602780641456E-3</v>
      </c>
      <c r="P19" s="11">
        <f t="shared" si="9"/>
        <v>7.6870042767903713E-4</v>
      </c>
    </row>
    <row r="20" spans="2:16" x14ac:dyDescent="0.3">
      <c r="B20" s="21" t="s">
        <v>25</v>
      </c>
      <c r="C20" s="12">
        <f t="shared" si="2"/>
        <v>-2.2384582152117249E-2</v>
      </c>
      <c r="D20" s="12">
        <f t="shared" si="3"/>
        <v>-2.194285816650483E-2</v>
      </c>
      <c r="E20" s="12">
        <f t="shared" si="4"/>
        <v>-1.4816135583374326E-2</v>
      </c>
      <c r="F20" s="12">
        <f t="shared" si="5"/>
        <v>-2.0789588647418221E-2</v>
      </c>
      <c r="G20" s="12">
        <f t="shared" si="6"/>
        <v>-2.0097028353170881E-2</v>
      </c>
      <c r="H20" s="12">
        <f t="shared" si="7"/>
        <v>-1.0898850563222907E-2</v>
      </c>
      <c r="J20" s="21" t="s">
        <v>25</v>
      </c>
      <c r="K20" s="11">
        <f t="shared" si="9"/>
        <v>1.9084784733476227E-3</v>
      </c>
      <c r="L20" s="11">
        <f t="shared" si="9"/>
        <v>1.437741726159037E-3</v>
      </c>
      <c r="M20" s="11">
        <f t="shared" si="9"/>
        <v>7.9436669440385355E-4</v>
      </c>
      <c r="N20" s="11">
        <f t="shared" si="9"/>
        <v>3.2983486658942603E-3</v>
      </c>
      <c r="O20" s="11">
        <f t="shared" si="9"/>
        <v>3.806225882615004E-3</v>
      </c>
      <c r="P20" s="11">
        <f t="shared" si="9"/>
        <v>1.6373097694007486E-3</v>
      </c>
    </row>
    <row r="21" spans="2:16" x14ac:dyDescent="0.3">
      <c r="B21" s="21" t="s">
        <v>31</v>
      </c>
      <c r="C21" s="12">
        <f t="shared" si="2"/>
        <v>-1.9112468903830102E-2</v>
      </c>
      <c r="D21" s="12">
        <f t="shared" si="3"/>
        <v>-1.2549712546159879E-2</v>
      </c>
      <c r="E21" s="12">
        <f t="shared" si="4"/>
        <v>-1.8800916384434055E-2</v>
      </c>
      <c r="F21" s="12">
        <f t="shared" si="5"/>
        <v>-8.2826153255394185E-3</v>
      </c>
      <c r="G21" s="12">
        <f t="shared" si="6"/>
        <v>-3.3205634794901268E-3</v>
      </c>
      <c r="H21" s="12">
        <f t="shared" si="7"/>
        <v>3.5476080865933193E-2</v>
      </c>
      <c r="J21" s="21" t="s">
        <v>31</v>
      </c>
      <c r="K21" s="11">
        <f t="shared" si="9"/>
        <v>2.5915810666877494E-3</v>
      </c>
      <c r="L21" s="11">
        <f t="shared" si="9"/>
        <v>2.2517015825319793E-3</v>
      </c>
      <c r="M21" s="11">
        <f t="shared" si="9"/>
        <v>1.5325717577442791E-3</v>
      </c>
      <c r="N21" s="11">
        <f t="shared" si="9"/>
        <v>4.5641687250123466E-3</v>
      </c>
      <c r="O21" s="11">
        <f t="shared" si="9"/>
        <v>5.3175997580556253E-3</v>
      </c>
      <c r="P21" s="11">
        <f t="shared" si="9"/>
        <v>4.2118159097720466E-3</v>
      </c>
    </row>
    <row r="22" spans="2:16" x14ac:dyDescent="0.3">
      <c r="B22" s="21" t="s">
        <v>28</v>
      </c>
      <c r="C22" s="12">
        <f t="shared" si="2"/>
        <v>-1.4992981809431209E-2</v>
      </c>
      <c r="D22" s="12">
        <f t="shared" si="3"/>
        <v>-2.8623321936900131E-2</v>
      </c>
      <c r="E22" s="12">
        <f t="shared" si="4"/>
        <v>-1.4369876770639119E-2</v>
      </c>
      <c r="F22" s="12">
        <f t="shared" si="5"/>
        <v>-2.0319781399476534E-2</v>
      </c>
      <c r="G22" s="12">
        <f t="shared" si="6"/>
        <v>-1.9741350891547108E-2</v>
      </c>
      <c r="H22" s="12">
        <f t="shared" si="7"/>
        <v>-1.7326673636811105E-2</v>
      </c>
      <c r="J22" s="21" t="s">
        <v>28</v>
      </c>
      <c r="K22" s="11">
        <f t="shared" si="9"/>
        <v>4.2026231960862158E-3</v>
      </c>
      <c r="L22" s="11">
        <f t="shared" si="9"/>
        <v>3.543038643572154E-3</v>
      </c>
      <c r="M22" s="11">
        <f t="shared" si="9"/>
        <v>2.9580971851394743E-3</v>
      </c>
      <c r="N22" s="11">
        <f t="shared" si="9"/>
        <v>6.7765704631081196E-3</v>
      </c>
      <c r="O22" s="11">
        <f t="shared" si="9"/>
        <v>7.8811155433230421E-3</v>
      </c>
      <c r="P22" s="11">
        <f t="shared" si="9"/>
        <v>8.0024243320106318E-3</v>
      </c>
    </row>
    <row r="23" spans="2:16" x14ac:dyDescent="0.3">
      <c r="B23" s="21" t="s">
        <v>26</v>
      </c>
      <c r="C23" s="12">
        <f t="shared" si="2"/>
        <v>-3.8113407015300423E-2</v>
      </c>
      <c r="D23" s="12">
        <f t="shared" si="3"/>
        <v>-4.7831334698773639E-2</v>
      </c>
      <c r="E23" s="12">
        <f t="shared" si="4"/>
        <v>-5.1175816304124808E-2</v>
      </c>
      <c r="F23" s="12">
        <f t="shared" si="5"/>
        <v>8.7941986883789403E-3</v>
      </c>
      <c r="G23" s="12">
        <f t="shared" si="6"/>
        <v>2.4574016889547801E-3</v>
      </c>
      <c r="H23" s="12">
        <f t="shared" si="7"/>
        <v>-2.9593082491175166E-2</v>
      </c>
      <c r="J23" s="21" t="s">
        <v>26</v>
      </c>
      <c r="K23" s="11">
        <f t="shared" si="9"/>
        <v>7.7989270129653161E-3</v>
      </c>
      <c r="L23" s="11">
        <f t="shared" si="9"/>
        <v>5.6481670168432047E-3</v>
      </c>
      <c r="M23" s="11">
        <f t="shared" si="9"/>
        <v>5.358724220327204E-3</v>
      </c>
      <c r="N23" s="11">
        <f t="shared" si="9"/>
        <v>1.3657114396003317E-2</v>
      </c>
      <c r="O23" s="11">
        <f t="shared" si="9"/>
        <v>1.4963171203109152E-2</v>
      </c>
      <c r="P23" s="11">
        <f t="shared" si="9"/>
        <v>1.3622339591745448E-2</v>
      </c>
    </row>
    <row r="24" spans="2:16" x14ac:dyDescent="0.3">
      <c r="B24" s="21" t="s">
        <v>22</v>
      </c>
      <c r="C24" s="12">
        <f t="shared" si="2"/>
        <v>-2.6517391502489406E-2</v>
      </c>
      <c r="D24" s="12">
        <f t="shared" si="3"/>
        <v>-5.7564277348390834E-2</v>
      </c>
      <c r="E24" s="12">
        <f t="shared" si="4"/>
        <v>-5.3782036370611505E-2</v>
      </c>
      <c r="F24" s="12">
        <f t="shared" si="5"/>
        <v>-1.9275729314715363E-2</v>
      </c>
      <c r="G24" s="12">
        <f t="shared" si="6"/>
        <v>4.950911690041776E-3</v>
      </c>
      <c r="H24" s="12">
        <f t="shared" si="7"/>
        <v>1.8480572390547109E-2</v>
      </c>
      <c r="J24" s="21" t="s">
        <v>22</v>
      </c>
      <c r="K24" s="11">
        <f t="shared" si="9"/>
        <v>1.3055810853807026E-2</v>
      </c>
      <c r="L24" s="11">
        <f t="shared" si="9"/>
        <v>7.7361761208272692E-3</v>
      </c>
      <c r="M24" s="11">
        <f t="shared" si="9"/>
        <v>7.4008968183248659E-3</v>
      </c>
      <c r="N24" s="11">
        <f t="shared" si="9"/>
        <v>2.3890260357803752E-2</v>
      </c>
      <c r="O24" s="11">
        <f t="shared" si="9"/>
        <v>2.6679546252910649E-2</v>
      </c>
      <c r="P24" s="11">
        <f t="shared" si="9"/>
        <v>2.3806056753908612E-2</v>
      </c>
    </row>
    <row r="25" spans="2:16" x14ac:dyDescent="0.3">
      <c r="B25" s="21" t="s">
        <v>24</v>
      </c>
      <c r="C25" s="12">
        <f t="shared" si="2"/>
        <v>-7.9062730496252537E-3</v>
      </c>
      <c r="D25" s="12">
        <f t="shared" si="3"/>
        <v>0.12341195753029523</v>
      </c>
      <c r="E25" s="12">
        <f t="shared" si="4"/>
        <v>0.12402482065169466</v>
      </c>
      <c r="F25" s="12">
        <f t="shared" si="5"/>
        <v>9.814909900264096E-3</v>
      </c>
      <c r="G25" s="12">
        <f t="shared" si="6"/>
        <v>-6.6946728830424851E-4</v>
      </c>
      <c r="H25" s="12">
        <f t="shared" si="7"/>
        <v>1.0084559248251967E-2</v>
      </c>
      <c r="J25" s="21" t="s">
        <v>24</v>
      </c>
      <c r="K25" s="11">
        <f t="shared" si="9"/>
        <v>2.9334651585364389E-2</v>
      </c>
      <c r="L25" s="11">
        <f t="shared" si="9"/>
        <v>3.0918917229572997E-2</v>
      </c>
      <c r="M25" s="11">
        <f t="shared" si="9"/>
        <v>3.0844325857548059E-2</v>
      </c>
      <c r="N25" s="11">
        <f t="shared" si="9"/>
        <v>4.6880102695955009E-2</v>
      </c>
      <c r="O25" s="11">
        <f t="shared" si="9"/>
        <v>5.2060164793155096E-2</v>
      </c>
      <c r="P25" s="11">
        <f t="shared" si="9"/>
        <v>5.0207803031207435E-2</v>
      </c>
    </row>
    <row r="26" spans="2:16" x14ac:dyDescent="0.3">
      <c r="B26" s="21" t="s">
        <v>21</v>
      </c>
      <c r="C26" s="12">
        <f t="shared" si="2"/>
        <v>1.4578858176398535E-2</v>
      </c>
      <c r="D26" s="12">
        <f t="shared" si="3"/>
        <v>-3.3379745975806951E-2</v>
      </c>
      <c r="E26" s="12">
        <f t="shared" si="4"/>
        <v>-0.1243811643161736</v>
      </c>
      <c r="F26" s="12">
        <f t="shared" si="5"/>
        <v>4.6195850841169173E-2</v>
      </c>
      <c r="G26" s="12">
        <f t="shared" si="6"/>
        <v>5.3964457887127171E-2</v>
      </c>
      <c r="H26" s="12">
        <f t="shared" si="7"/>
        <v>1.6113769579641668E-2</v>
      </c>
      <c r="J26" s="21" t="s">
        <v>21</v>
      </c>
      <c r="K26" s="11">
        <f t="shared" si="9"/>
        <v>0.22413479431426797</v>
      </c>
      <c r="L26" s="11">
        <f t="shared" si="9"/>
        <v>0.25515570210174415</v>
      </c>
      <c r="M26" s="11">
        <f t="shared" si="9"/>
        <v>0.22709654713957594</v>
      </c>
      <c r="N26" s="11">
        <f t="shared" si="9"/>
        <v>0.29886424283997404</v>
      </c>
      <c r="O26" s="11">
        <f t="shared" si="9"/>
        <v>0.31561064343505107</v>
      </c>
      <c r="P26" s="11">
        <f t="shared" si="9"/>
        <v>0.30098780083155385</v>
      </c>
    </row>
    <row r="27" spans="2:16" x14ac:dyDescent="0.3">
      <c r="B27" s="21" t="s">
        <v>30</v>
      </c>
      <c r="C27" s="12">
        <f t="shared" si="2"/>
        <v>0.13429627087120127</v>
      </c>
      <c r="D27" s="12">
        <f t="shared" si="3"/>
        <v>0.10785593516097219</v>
      </c>
      <c r="E27" s="12">
        <f t="shared" si="4"/>
        <v>0.1989624157507216</v>
      </c>
      <c r="F27" s="12">
        <f t="shared" si="5"/>
        <v>-2.9732656232510646E-3</v>
      </c>
      <c r="G27" s="12">
        <f t="shared" si="6"/>
        <v>-3.4076226253662523E-2</v>
      </c>
      <c r="H27" s="12">
        <f t="shared" si="7"/>
        <v>8.6162633532678723E-3</v>
      </c>
      <c r="J27" s="21" t="s">
        <v>30</v>
      </c>
      <c r="K27" s="11">
        <f t="shared" si="9"/>
        <v>0.51910034042648034</v>
      </c>
      <c r="L27" s="11">
        <f t="shared" si="9"/>
        <v>0.52809810829305437</v>
      </c>
      <c r="M27" s="11">
        <f t="shared" si="9"/>
        <v>0.49709415386255296</v>
      </c>
      <c r="N27" s="11">
        <f t="shared" si="9"/>
        <v>0.56581379512938212</v>
      </c>
      <c r="O27" s="11">
        <f t="shared" si="9"/>
        <v>0.57639827570416413</v>
      </c>
      <c r="P27" s="11">
        <f t="shared" si="9"/>
        <v>0.5618698251073484</v>
      </c>
    </row>
    <row r="28" spans="2:16" x14ac:dyDescent="0.3">
      <c r="J28" s="22" t="s">
        <v>53</v>
      </c>
      <c r="K28" s="22">
        <f>SUM(K16:K27)</f>
        <v>0.80395424201083765</v>
      </c>
      <c r="L28" s="22">
        <f t="shared" ref="L28:P28" si="10">SUM(L16:L27)</f>
        <v>0.83618270247602045</v>
      </c>
      <c r="M28" s="22">
        <f t="shared" si="10"/>
        <v>0.77413250681002177</v>
      </c>
      <c r="N28" s="22">
        <f t="shared" si="10"/>
        <v>0.96754945697553696</v>
      </c>
      <c r="O28" s="22">
        <f t="shared" si="10"/>
        <v>1.0070926427813149</v>
      </c>
      <c r="P28" s="22">
        <f t="shared" si="10"/>
        <v>0.96547718431819529</v>
      </c>
    </row>
    <row r="29" spans="2:16" x14ac:dyDescent="0.3">
      <c r="J29" s="25" t="s">
        <v>54</v>
      </c>
      <c r="K29" s="25">
        <f>1-K28</f>
        <v>0.19604575798916235</v>
      </c>
      <c r="L29" s="25">
        <f t="shared" ref="L29:P29" si="11">1-L28</f>
        <v>0.16381729752397955</v>
      </c>
      <c r="M29" s="25">
        <f t="shared" si="11"/>
        <v>0.22586749318997823</v>
      </c>
      <c r="N29" s="25">
        <f t="shared" si="11"/>
        <v>3.2450543024463041E-2</v>
      </c>
      <c r="O29" s="25">
        <f t="shared" si="11"/>
        <v>-7.0926427813149395E-3</v>
      </c>
      <c r="P29" s="25">
        <f t="shared" si="11"/>
        <v>3.4522815681804708E-2</v>
      </c>
    </row>
  </sheetData>
  <sortState xmlns:xlrd2="http://schemas.microsoft.com/office/spreadsheetml/2017/richdata2" ref="A2:P15">
    <sortCondition ref="B1:B15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JOÃO PINHEIRO</vt:lpstr>
      <vt:lpstr>PATOS DE MINAS</vt:lpstr>
      <vt:lpstr>SÃO GOTARDO</vt:lpstr>
      <vt:lpstr>UNAÍ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2025-04-20T22:36:19Z</dcterms:created>
  <dcterms:modified xsi:type="dcterms:W3CDTF">2025-07-18T16:02:48Z</dcterms:modified>
</cp:coreProperties>
</file>