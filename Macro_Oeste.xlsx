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18" documentId="8_{52EAA3A0-FE66-4C64-A5E8-91D19D1D6EC8}" xr6:coauthVersionLast="47" xr6:coauthVersionMax="47" xr10:uidLastSave="{5DBB7B48-EEE5-43AD-BF45-5A66C3180C90}"/>
  <bookViews>
    <workbookView xWindow="-108" yWindow="-108" windowWidth="23256" windowHeight="12456" firstSheet="1" activeTab="1" xr2:uid="{D318FE62-00D7-4282-9E1B-3102D8F9EFA8}"/>
  </bookViews>
  <sheets>
    <sheet name="BOM DESPACHO" sheetId="1" r:id="rId1"/>
    <sheet name="CAMPO BELO" sheetId="2" r:id="rId2"/>
    <sheet name="DIVINÓPOLIS" sheetId="3" r:id="rId3"/>
    <sheet name="FORMIGA" sheetId="4" r:id="rId4"/>
    <sheet name="ITAÚNA" sheetId="5" r:id="rId5"/>
    <sheet name="LAGOA DA PRATA - STO ANT MONTE" sheetId="6" r:id="rId6"/>
    <sheet name="OLIVEIRA - STO ANT DO AMPARO" sheetId="7" r:id="rId7"/>
    <sheet name="PARÁ DE MIN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8" l="1"/>
  <c r="M17" i="8"/>
  <c r="K16" i="8"/>
  <c r="O14" i="8"/>
  <c r="M13" i="8"/>
  <c r="P12" i="8"/>
  <c r="O12" i="8"/>
  <c r="N12" i="8"/>
  <c r="M12" i="8"/>
  <c r="L12" i="8"/>
  <c r="K12" i="8"/>
  <c r="P14" i="7"/>
  <c r="O14" i="7"/>
  <c r="K14" i="7"/>
  <c r="O12" i="7"/>
  <c r="L12" i="7"/>
  <c r="K12" i="7"/>
  <c r="P10" i="7"/>
  <c r="O10" i="7"/>
  <c r="N10" i="7"/>
  <c r="M10" i="7"/>
  <c r="L10" i="7"/>
  <c r="K10" i="7"/>
  <c r="O12" i="6"/>
  <c r="K10" i="6"/>
  <c r="P9" i="6"/>
  <c r="O9" i="6"/>
  <c r="N9" i="6"/>
  <c r="M9" i="6"/>
  <c r="L9" i="6"/>
  <c r="K9" i="6"/>
  <c r="P11" i="5"/>
  <c r="P10" i="5"/>
  <c r="O10" i="5"/>
  <c r="P9" i="5"/>
  <c r="O9" i="5"/>
  <c r="N9" i="5"/>
  <c r="M9" i="5"/>
  <c r="L9" i="5"/>
  <c r="P8" i="5"/>
  <c r="O8" i="5"/>
  <c r="N8" i="5"/>
  <c r="M8" i="5"/>
  <c r="L8" i="5"/>
  <c r="K8" i="5"/>
  <c r="L19" i="4"/>
  <c r="K19" i="4"/>
  <c r="N16" i="4"/>
  <c r="K16" i="4"/>
  <c r="L15" i="4"/>
  <c r="K15" i="4"/>
  <c r="P12" i="4"/>
  <c r="O12" i="4"/>
  <c r="N12" i="4"/>
  <c r="M12" i="4"/>
  <c r="L12" i="4"/>
  <c r="K12" i="4"/>
  <c r="O18" i="3"/>
  <c r="M18" i="3"/>
  <c r="P17" i="3"/>
  <c r="M17" i="3"/>
  <c r="K17" i="3"/>
  <c r="K16" i="3"/>
  <c r="O14" i="3"/>
  <c r="M14" i="3"/>
  <c r="P13" i="3"/>
  <c r="M13" i="3"/>
  <c r="K13" i="3"/>
  <c r="P12" i="3"/>
  <c r="O12" i="3"/>
  <c r="N12" i="3"/>
  <c r="M12" i="3"/>
  <c r="L12" i="3"/>
  <c r="K12" i="3"/>
  <c r="P11" i="2"/>
  <c r="O11" i="2"/>
  <c r="N11" i="2"/>
  <c r="M11" i="2"/>
  <c r="L11" i="2"/>
  <c r="K11" i="2"/>
  <c r="P11" i="1"/>
  <c r="O11" i="1"/>
  <c r="N11" i="1"/>
  <c r="M11" i="1"/>
  <c r="L11" i="1"/>
  <c r="K11" i="1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P3" i="8"/>
  <c r="P4" i="8" s="1"/>
  <c r="P5" i="8" s="1"/>
  <c r="P6" i="8" s="1"/>
  <c r="P7" i="8" s="1"/>
  <c r="P8" i="8" s="1"/>
  <c r="P9" i="8" s="1"/>
  <c r="O3" i="8"/>
  <c r="O4" i="8" s="1"/>
  <c r="O5" i="8" s="1"/>
  <c r="O6" i="8" s="1"/>
  <c r="O7" i="8" s="1"/>
  <c r="O8" i="8" s="1"/>
  <c r="O9" i="8" s="1"/>
  <c r="N3" i="8"/>
  <c r="N4" i="8" s="1"/>
  <c r="N5" i="8" s="1"/>
  <c r="N6" i="8" s="1"/>
  <c r="N7" i="8" s="1"/>
  <c r="N8" i="8" s="1"/>
  <c r="N9" i="8" s="1"/>
  <c r="M3" i="8"/>
  <c r="M4" i="8" s="1"/>
  <c r="M5" i="8" s="1"/>
  <c r="M6" i="8" s="1"/>
  <c r="M7" i="8" s="1"/>
  <c r="M8" i="8" s="1"/>
  <c r="M9" i="8" s="1"/>
  <c r="L3" i="8"/>
  <c r="L4" i="8" s="1"/>
  <c r="L5" i="8" s="1"/>
  <c r="L6" i="8" s="1"/>
  <c r="L7" i="8" s="1"/>
  <c r="L8" i="8" s="1"/>
  <c r="L9" i="8" s="1"/>
  <c r="K3" i="8"/>
  <c r="K4" i="8" s="1"/>
  <c r="K5" i="8" s="1"/>
  <c r="K6" i="8" s="1"/>
  <c r="K7" i="8" s="1"/>
  <c r="K8" i="8" s="1"/>
  <c r="K9" i="8" s="1"/>
  <c r="J3" i="8"/>
  <c r="J4" i="8" s="1"/>
  <c r="J5" i="8" s="1"/>
  <c r="J6" i="8" s="1"/>
  <c r="J7" i="8" s="1"/>
  <c r="J8" i="8" s="1"/>
  <c r="J9" i="8" s="1"/>
  <c r="P19" i="8" s="1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P3" i="7"/>
  <c r="P4" i="7" s="1"/>
  <c r="P5" i="7" s="1"/>
  <c r="P6" i="7" s="1"/>
  <c r="P7" i="7" s="1"/>
  <c r="O3" i="7"/>
  <c r="O4" i="7" s="1"/>
  <c r="O5" i="7" s="1"/>
  <c r="O6" i="7" s="1"/>
  <c r="O7" i="7" s="1"/>
  <c r="N3" i="7"/>
  <c r="N4" i="7" s="1"/>
  <c r="N5" i="7" s="1"/>
  <c r="N6" i="7" s="1"/>
  <c r="N7" i="7" s="1"/>
  <c r="M3" i="7"/>
  <c r="M4" i="7" s="1"/>
  <c r="M5" i="7" s="1"/>
  <c r="M6" i="7" s="1"/>
  <c r="M7" i="7" s="1"/>
  <c r="M15" i="7" s="1"/>
  <c r="L3" i="7"/>
  <c r="L4" i="7" s="1"/>
  <c r="L5" i="7" s="1"/>
  <c r="L6" i="7" s="1"/>
  <c r="L7" i="7" s="1"/>
  <c r="K3" i="7"/>
  <c r="K4" i="7" s="1"/>
  <c r="K5" i="7" s="1"/>
  <c r="K6" i="7" s="1"/>
  <c r="K7" i="7" s="1"/>
  <c r="J3" i="7"/>
  <c r="J4" i="7" s="1"/>
  <c r="J5" i="7" s="1"/>
  <c r="J6" i="7" s="1"/>
  <c r="J7" i="7" s="1"/>
  <c r="P15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P13" i="6" s="1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P5" i="5" s="1"/>
  <c r="O3" i="5"/>
  <c r="O4" i="5" s="1"/>
  <c r="O5" i="5" s="1"/>
  <c r="N3" i="5"/>
  <c r="N4" i="5" s="1"/>
  <c r="M3" i="5"/>
  <c r="M4" i="5" s="1"/>
  <c r="M5" i="5" s="1"/>
  <c r="L3" i="5"/>
  <c r="L4" i="5" s="1"/>
  <c r="L5" i="5" s="1"/>
  <c r="L11" i="5" s="1"/>
  <c r="K3" i="5"/>
  <c r="K4" i="5" s="1"/>
  <c r="K5" i="5" s="1"/>
  <c r="K11" i="5" s="1"/>
  <c r="J3" i="5"/>
  <c r="J4" i="5" s="1"/>
  <c r="J5" i="5" s="1"/>
  <c r="O11" i="5" s="1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J4" i="4" s="1"/>
  <c r="J5" i="4" s="1"/>
  <c r="J6" i="4" s="1"/>
  <c r="J7" i="4" s="1"/>
  <c r="J8" i="4" s="1"/>
  <c r="J9" i="4" s="1"/>
  <c r="P19" i="4" s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O1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L19" i="3" s="1"/>
  <c r="K3" i="3"/>
  <c r="K4" i="3" s="1"/>
  <c r="K5" i="3" s="1"/>
  <c r="K6" i="3" s="1"/>
  <c r="K7" i="3" s="1"/>
  <c r="K8" i="3" s="1"/>
  <c r="K9" i="3" s="1"/>
  <c r="J3" i="3"/>
  <c r="J4" i="3" s="1"/>
  <c r="J5" i="3" s="1"/>
  <c r="J6" i="3" s="1"/>
  <c r="J7" i="3" s="1"/>
  <c r="J8" i="3" s="1"/>
  <c r="J9" i="3" s="1"/>
  <c r="P19" i="3" s="1"/>
  <c r="K12" i="5" l="1"/>
  <c r="K13" i="5" s="1"/>
  <c r="N5" i="5"/>
  <c r="N11" i="5" s="1"/>
  <c r="N12" i="5" s="1"/>
  <c r="N13" i="5" s="1"/>
  <c r="N10" i="5"/>
  <c r="K10" i="5"/>
  <c r="M11" i="5"/>
  <c r="O12" i="5"/>
  <c r="O13" i="5" s="1"/>
  <c r="P12" i="5"/>
  <c r="P13" i="5" s="1"/>
  <c r="L10" i="5"/>
  <c r="L12" i="5" s="1"/>
  <c r="L13" i="5" s="1"/>
  <c r="K9" i="5"/>
  <c r="M10" i="5"/>
  <c r="N13" i="8"/>
  <c r="P14" i="8"/>
  <c r="L16" i="8"/>
  <c r="N17" i="8"/>
  <c r="P18" i="8"/>
  <c r="O13" i="8"/>
  <c r="O20" i="8" s="1"/>
  <c r="O21" i="8" s="1"/>
  <c r="K15" i="8"/>
  <c r="M16" i="8"/>
  <c r="O17" i="8"/>
  <c r="K19" i="8"/>
  <c r="P13" i="8"/>
  <c r="L15" i="8"/>
  <c r="N16" i="8"/>
  <c r="P17" i="8"/>
  <c r="L19" i="8"/>
  <c r="K14" i="8"/>
  <c r="M15" i="8"/>
  <c r="O16" i="8"/>
  <c r="K18" i="8"/>
  <c r="M19" i="8"/>
  <c r="L14" i="8"/>
  <c r="N15" i="8"/>
  <c r="P16" i="8"/>
  <c r="L18" i="8"/>
  <c r="N19" i="8"/>
  <c r="K13" i="8"/>
  <c r="K20" i="8" s="1"/>
  <c r="K21" i="8" s="1"/>
  <c r="M14" i="8"/>
  <c r="M20" i="8" s="1"/>
  <c r="M21" i="8" s="1"/>
  <c r="O15" i="8"/>
  <c r="K17" i="8"/>
  <c r="M18" i="8"/>
  <c r="O19" i="8"/>
  <c r="L13" i="8"/>
  <c r="N14" i="8"/>
  <c r="P15" i="8"/>
  <c r="P20" i="8" s="1"/>
  <c r="P21" i="8" s="1"/>
  <c r="L17" i="8"/>
  <c r="N18" i="8"/>
  <c r="K11" i="7"/>
  <c r="M12" i="7"/>
  <c r="O13" i="7"/>
  <c r="K15" i="7"/>
  <c r="N13" i="7"/>
  <c r="L11" i="7"/>
  <c r="N12" i="7"/>
  <c r="N16" i="7" s="1"/>
  <c r="N17" i="7" s="1"/>
  <c r="P13" i="7"/>
  <c r="L15" i="7"/>
  <c r="M13" i="7"/>
  <c r="M11" i="7"/>
  <c r="M16" i="7" s="1"/>
  <c r="M17" i="7" s="1"/>
  <c r="N11" i="7"/>
  <c r="P12" i="7"/>
  <c r="L14" i="7"/>
  <c r="N15" i="7"/>
  <c r="O11" i="7"/>
  <c r="K13" i="7"/>
  <c r="K16" i="7" s="1"/>
  <c r="K17" i="7" s="1"/>
  <c r="M14" i="7"/>
  <c r="O15" i="7"/>
  <c r="P11" i="7"/>
  <c r="L13" i="7"/>
  <c r="N14" i="7"/>
  <c r="M11" i="6"/>
  <c r="L10" i="6"/>
  <c r="N11" i="6"/>
  <c r="P12" i="6"/>
  <c r="M10" i="6"/>
  <c r="O11" i="6"/>
  <c r="O14" i="6" s="1"/>
  <c r="O15" i="6" s="1"/>
  <c r="K13" i="6"/>
  <c r="N10" i="6"/>
  <c r="P11" i="6"/>
  <c r="L13" i="6"/>
  <c r="O10" i="6"/>
  <c r="K12" i="6"/>
  <c r="K14" i="6" s="1"/>
  <c r="K15" i="6" s="1"/>
  <c r="M13" i="6"/>
  <c r="P10" i="6"/>
  <c r="P14" i="6" s="1"/>
  <c r="P15" i="6" s="1"/>
  <c r="L12" i="6"/>
  <c r="N13" i="6"/>
  <c r="K11" i="6"/>
  <c r="M12" i="6"/>
  <c r="O13" i="6"/>
  <c r="L11" i="6"/>
  <c r="N12" i="6"/>
  <c r="M13" i="4"/>
  <c r="O14" i="4"/>
  <c r="M17" i="4"/>
  <c r="O18" i="4"/>
  <c r="N13" i="4"/>
  <c r="P14" i="4"/>
  <c r="L16" i="4"/>
  <c r="N17" i="4"/>
  <c r="P18" i="4"/>
  <c r="O17" i="4"/>
  <c r="P17" i="4"/>
  <c r="K14" i="4"/>
  <c r="M15" i="4"/>
  <c r="O16" i="4"/>
  <c r="K18" i="4"/>
  <c r="M19" i="4"/>
  <c r="O13" i="4"/>
  <c r="L14" i="4"/>
  <c r="N15" i="4"/>
  <c r="P16" i="4"/>
  <c r="L18" i="4"/>
  <c r="N19" i="4"/>
  <c r="M20" i="4"/>
  <c r="M21" i="4" s="1"/>
  <c r="K13" i="4"/>
  <c r="K20" i="4" s="1"/>
  <c r="K21" i="4" s="1"/>
  <c r="M14" i="4"/>
  <c r="O15" i="4"/>
  <c r="K17" i="4"/>
  <c r="M18" i="4"/>
  <c r="O19" i="4"/>
  <c r="M16" i="4"/>
  <c r="P13" i="4"/>
  <c r="P20" i="4" s="1"/>
  <c r="P21" i="4" s="1"/>
  <c r="L13" i="4"/>
  <c r="N14" i="4"/>
  <c r="P15" i="4"/>
  <c r="L17" i="4"/>
  <c r="N18" i="4"/>
  <c r="N13" i="3"/>
  <c r="P14" i="3"/>
  <c r="L16" i="3"/>
  <c r="N17" i="3"/>
  <c r="P18" i="3"/>
  <c r="O13" i="3"/>
  <c r="O20" i="3" s="1"/>
  <c r="O21" i="3" s="1"/>
  <c r="K15" i="3"/>
  <c r="M16" i="3"/>
  <c r="O17" i="3"/>
  <c r="K19" i="3"/>
  <c r="K14" i="3"/>
  <c r="K20" i="3" s="1"/>
  <c r="K21" i="3" s="1"/>
  <c r="M15" i="3"/>
  <c r="M20" i="3" s="1"/>
  <c r="M21" i="3" s="1"/>
  <c r="O16" i="3"/>
  <c r="K18" i="3"/>
  <c r="M19" i="3"/>
  <c r="L15" i="3"/>
  <c r="N16" i="3"/>
  <c r="L14" i="3"/>
  <c r="N15" i="3"/>
  <c r="P16" i="3"/>
  <c r="L18" i="3"/>
  <c r="N19" i="3"/>
  <c r="O15" i="3"/>
  <c r="L13" i="3"/>
  <c r="N14" i="3"/>
  <c r="P15" i="3"/>
  <c r="P20" i="3" s="1"/>
  <c r="P21" i="3" s="1"/>
  <c r="L17" i="3"/>
  <c r="N18" i="3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P3" i="2"/>
  <c r="P4" i="2" s="1"/>
  <c r="P5" i="2" s="1"/>
  <c r="P6" i="2" s="1"/>
  <c r="P7" i="2" s="1"/>
  <c r="P8" i="2" s="1"/>
  <c r="O3" i="2"/>
  <c r="O4" i="2" s="1"/>
  <c r="O5" i="2" s="1"/>
  <c r="O6" i="2" s="1"/>
  <c r="O7" i="2" s="1"/>
  <c r="O8" i="2" s="1"/>
  <c r="N3" i="2"/>
  <c r="N4" i="2" s="1"/>
  <c r="N5" i="2" s="1"/>
  <c r="N6" i="2" s="1"/>
  <c r="N7" i="2" s="1"/>
  <c r="N8" i="2" s="1"/>
  <c r="M3" i="2"/>
  <c r="M4" i="2" s="1"/>
  <c r="M5" i="2" s="1"/>
  <c r="M6" i="2" s="1"/>
  <c r="M7" i="2" s="1"/>
  <c r="M8" i="2" s="1"/>
  <c r="L3" i="2"/>
  <c r="L4" i="2" s="1"/>
  <c r="L5" i="2" s="1"/>
  <c r="L6" i="2" s="1"/>
  <c r="L7" i="2" s="1"/>
  <c r="L8" i="2" s="1"/>
  <c r="K3" i="2"/>
  <c r="K4" i="2" s="1"/>
  <c r="K5" i="2" s="1"/>
  <c r="K6" i="2" s="1"/>
  <c r="K7" i="2" s="1"/>
  <c r="K8" i="2" s="1"/>
  <c r="J3" i="2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P3" i="1"/>
  <c r="P4" i="1" s="1"/>
  <c r="P5" i="1" s="1"/>
  <c r="P6" i="1" s="1"/>
  <c r="P7" i="1" s="1"/>
  <c r="P8" i="1" s="1"/>
  <c r="O3" i="1"/>
  <c r="O4" i="1" s="1"/>
  <c r="O5" i="1" s="1"/>
  <c r="O6" i="1" s="1"/>
  <c r="O7" i="1" s="1"/>
  <c r="O8" i="1" s="1"/>
  <c r="N3" i="1"/>
  <c r="N4" i="1" s="1"/>
  <c r="N5" i="1" s="1"/>
  <c r="N6" i="1" s="1"/>
  <c r="N7" i="1" s="1"/>
  <c r="N8" i="1" s="1"/>
  <c r="M3" i="1"/>
  <c r="M4" i="1" s="1"/>
  <c r="M5" i="1" s="1"/>
  <c r="M6" i="1" s="1"/>
  <c r="M7" i="1" s="1"/>
  <c r="M8" i="1" s="1"/>
  <c r="L3" i="1"/>
  <c r="L4" i="1" s="1"/>
  <c r="L5" i="1" s="1"/>
  <c r="L6" i="1" s="1"/>
  <c r="L7" i="1" s="1"/>
  <c r="L8" i="1" s="1"/>
  <c r="K3" i="1"/>
  <c r="K4" i="1" s="1"/>
  <c r="K5" i="1" s="1"/>
  <c r="K6" i="1" s="1"/>
  <c r="K7" i="1" s="1"/>
  <c r="K8" i="1" s="1"/>
  <c r="J3" i="1"/>
  <c r="M12" i="5" l="1"/>
  <c r="M13" i="5" s="1"/>
  <c r="N20" i="8"/>
  <c r="N21" i="8" s="1"/>
  <c r="L20" i="8"/>
  <c r="L21" i="8" s="1"/>
  <c r="L16" i="7"/>
  <c r="L17" i="7" s="1"/>
  <c r="P16" i="7"/>
  <c r="P17" i="7" s="1"/>
  <c r="O16" i="7"/>
  <c r="O17" i="7" s="1"/>
  <c r="M14" i="6"/>
  <c r="M15" i="6" s="1"/>
  <c r="L14" i="6"/>
  <c r="L15" i="6" s="1"/>
  <c r="N14" i="6"/>
  <c r="N15" i="6" s="1"/>
  <c r="N20" i="4"/>
  <c r="N21" i="4" s="1"/>
  <c r="O20" i="4"/>
  <c r="O21" i="4" s="1"/>
  <c r="L20" i="4"/>
  <c r="L21" i="4" s="1"/>
  <c r="L20" i="3"/>
  <c r="L21" i="3" s="1"/>
  <c r="N20" i="3"/>
  <c r="N21" i="3" s="1"/>
  <c r="J4" i="2"/>
  <c r="N12" i="2"/>
  <c r="M12" i="2"/>
  <c r="L12" i="2"/>
  <c r="K12" i="2"/>
  <c r="O12" i="2"/>
  <c r="P12" i="2"/>
  <c r="J4" i="1"/>
  <c r="N12" i="1"/>
  <c r="M12" i="1"/>
  <c r="L12" i="1"/>
  <c r="K12" i="1"/>
  <c r="P12" i="1"/>
  <c r="O12" i="1"/>
  <c r="J5" i="2" l="1"/>
  <c r="P13" i="2"/>
  <c r="O13" i="2"/>
  <c r="N13" i="2"/>
  <c r="M13" i="2"/>
  <c r="L13" i="2"/>
  <c r="K13" i="2"/>
  <c r="J5" i="1"/>
  <c r="P13" i="1"/>
  <c r="O13" i="1"/>
  <c r="N13" i="1"/>
  <c r="M13" i="1"/>
  <c r="L13" i="1"/>
  <c r="K13" i="1"/>
  <c r="J6" i="2" l="1"/>
  <c r="K14" i="2"/>
  <c r="P14" i="2"/>
  <c r="O14" i="2"/>
  <c r="N14" i="2"/>
  <c r="M14" i="2"/>
  <c r="L14" i="2"/>
  <c r="J6" i="1"/>
  <c r="M14" i="1"/>
  <c r="P14" i="1"/>
  <c r="N14" i="1"/>
  <c r="O14" i="1"/>
  <c r="L14" i="1"/>
  <c r="K14" i="1"/>
  <c r="J7" i="2" l="1"/>
  <c r="L15" i="2"/>
  <c r="K15" i="2"/>
  <c r="M15" i="2"/>
  <c r="P15" i="2"/>
  <c r="O15" i="2"/>
  <c r="N15" i="2"/>
  <c r="J7" i="1"/>
  <c r="L15" i="1"/>
  <c r="O15" i="1"/>
  <c r="K15" i="1"/>
  <c r="P15" i="1"/>
  <c r="N15" i="1"/>
  <c r="M15" i="1"/>
  <c r="J8" i="2" l="1"/>
  <c r="N16" i="2"/>
  <c r="M16" i="2"/>
  <c r="L16" i="2"/>
  <c r="K16" i="2"/>
  <c r="P16" i="2"/>
  <c r="O16" i="2"/>
  <c r="J8" i="1"/>
  <c r="N16" i="1"/>
  <c r="M16" i="1"/>
  <c r="L16" i="1"/>
  <c r="K16" i="1"/>
  <c r="P16" i="1"/>
  <c r="O16" i="1"/>
  <c r="P17" i="2" l="1"/>
  <c r="P18" i="2" s="1"/>
  <c r="P19" i="2" s="1"/>
  <c r="O17" i="2"/>
  <c r="O18" i="2" s="1"/>
  <c r="O19" i="2" s="1"/>
  <c r="N17" i="2"/>
  <c r="N18" i="2" s="1"/>
  <c r="N19" i="2" s="1"/>
  <c r="M17" i="2"/>
  <c r="M18" i="2" s="1"/>
  <c r="M19" i="2" s="1"/>
  <c r="L17" i="2"/>
  <c r="L18" i="2" s="1"/>
  <c r="L19" i="2" s="1"/>
  <c r="K17" i="2"/>
  <c r="K18" i="2" s="1"/>
  <c r="K19" i="2" s="1"/>
  <c r="P17" i="1"/>
  <c r="P18" i="1" s="1"/>
  <c r="P19" i="1" s="1"/>
  <c r="L17" i="1"/>
  <c r="L18" i="1" s="1"/>
  <c r="L19" i="1" s="1"/>
  <c r="O17" i="1"/>
  <c r="O18" i="1" s="1"/>
  <c r="O19" i="1" s="1"/>
  <c r="N17" i="1"/>
  <c r="N18" i="1" s="1"/>
  <c r="N19" i="1" s="1"/>
  <c r="K17" i="1"/>
  <c r="K18" i="1" s="1"/>
  <c r="K19" i="1" s="1"/>
  <c r="M17" i="1"/>
  <c r="M18" i="1" s="1"/>
  <c r="M19" i="1" s="1"/>
</calcChain>
</file>

<file path=xl/sharedStrings.xml><?xml version="1.0" encoding="utf-8"?>
<sst xmlns="http://schemas.openxmlformats.org/spreadsheetml/2006/main" count="408" uniqueCount="75">
  <si>
    <t>BOM DESPACHO</t>
  </si>
  <si>
    <t>DORES DO INDAIÁ</t>
  </si>
  <si>
    <t>ESTRELA DO INDAIÁ</t>
  </si>
  <si>
    <t>LUZ</t>
  </si>
  <si>
    <t>MARTINHO CAMPOS</t>
  </si>
  <si>
    <t>MOEMA</t>
  </si>
  <si>
    <t>SERRA DA SAUDADE</t>
  </si>
  <si>
    <t>CAMPO BELO</t>
  </si>
  <si>
    <t>AGUANIL</t>
  </si>
  <si>
    <t>CAMACHO</t>
  </si>
  <si>
    <t>CANA VERDE</t>
  </si>
  <si>
    <t>CANDEIAS</t>
  </si>
  <si>
    <t>CRISTAIS</t>
  </si>
  <si>
    <t>SANTANA DO JACARÉ</t>
  </si>
  <si>
    <t>DIVINÓPOLIS</t>
  </si>
  <si>
    <t>ARAÚJOS</t>
  </si>
  <si>
    <t>CARMO DO CAJURU</t>
  </si>
  <si>
    <t>CLÁUDIO</t>
  </si>
  <si>
    <t>ITAPECERICA</t>
  </si>
  <si>
    <t>PERDIGÃO</t>
  </si>
  <si>
    <t>SÃO GONÇALO DO PARÁ</t>
  </si>
  <si>
    <t>SÃO SEBASTIÃO DO OESTE</t>
  </si>
  <si>
    <t>FORMIGA</t>
  </si>
  <si>
    <t>BAMBUÍ</t>
  </si>
  <si>
    <t>CÓRREGO DANTA</t>
  </si>
  <si>
    <t>CÓRREGO FUNDO</t>
  </si>
  <si>
    <t>IGUATAMA</t>
  </si>
  <si>
    <t>MEDEIROS</t>
  </si>
  <si>
    <t>PAINS</t>
  </si>
  <si>
    <t>TAPIRAÍ</t>
  </si>
  <si>
    <t>ITAÚNA</t>
  </si>
  <si>
    <t>ITAGUARA</t>
  </si>
  <si>
    <t>ITATIAIUÇU</t>
  </si>
  <si>
    <t>PIRACEMA</t>
  </si>
  <si>
    <t>ARCOS</t>
  </si>
  <si>
    <t>JAPARAÍBA</t>
  </si>
  <si>
    <t>LAGOA DA PRATA</t>
  </si>
  <si>
    <t>PEDRA DO INDAIÁ</t>
  </si>
  <si>
    <t>SANTO ANTÔNIO DO MONTE</t>
  </si>
  <si>
    <t>CARMO DA MATA</t>
  </si>
  <si>
    <t>CARMÓPOLIS DE MINAS</t>
  </si>
  <si>
    <t>OLIVEIRA</t>
  </si>
  <si>
    <t>PASSA TEMPO</t>
  </si>
  <si>
    <t>SANTO ANTÔNIO DO AMPARO</t>
  </si>
  <si>
    <t>SÃO FRANCISCO DE PAULA</t>
  </si>
  <si>
    <t>PARÁ DE MINAS</t>
  </si>
  <si>
    <t>CONCEIÇÃO DO PARÁ</t>
  </si>
  <si>
    <t>IGARATINGA</t>
  </si>
  <si>
    <t>LEANDRO FERREIRA</t>
  </si>
  <si>
    <t>NOVA SERRANA</t>
  </si>
  <si>
    <t>ONÇA DE PITANGUI</t>
  </si>
  <si>
    <t>PITANGUI</t>
  </si>
  <si>
    <t>SÃO JOSÉ DA VARGINHA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</si>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</sst>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4-4148-BE7C-F3E22262EEFD}"/>
            </c:ext>
          </c:extLst>
        </c:ser>
        <c:ser>
          <c:idx val="1"/>
          <c:order val="1"/>
          <c:tx>
            <c:strRef>
              <c:f>'BOM DESPACHO'!$K$1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DESPACHO'!$K$2:$K$8</c:f>
              <c:numCache>
                <c:formatCode>0.00</c:formatCode>
                <c:ptCount val="7"/>
                <c:pt idx="0">
                  <c:v>7.0422535211267607E-3</c:v>
                </c:pt>
                <c:pt idx="1">
                  <c:v>6.3380281690140844E-2</c:v>
                </c:pt>
                <c:pt idx="2">
                  <c:v>0.15023474178403756</c:v>
                </c:pt>
                <c:pt idx="3">
                  <c:v>0.26056338028169013</c:v>
                </c:pt>
                <c:pt idx="4">
                  <c:v>0.30516431924882625</c:v>
                </c:pt>
                <c:pt idx="5">
                  <c:v>0.43427230046948351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4-4148-BE7C-F3E22262EEFD}"/>
            </c:ext>
          </c:extLst>
        </c:ser>
        <c:ser>
          <c:idx val="2"/>
          <c:order val="2"/>
          <c:tx>
            <c:strRef>
              <c:f>'BOM DESPACHO'!$L$1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DESPACHO'!$L$2:$L$8</c:f>
              <c:numCache>
                <c:formatCode>0.00</c:formatCode>
                <c:ptCount val="7"/>
                <c:pt idx="0">
                  <c:v>1.9047619047619049E-2</c:v>
                </c:pt>
                <c:pt idx="1">
                  <c:v>6.1904761904761907E-2</c:v>
                </c:pt>
                <c:pt idx="2">
                  <c:v>0.1380952380952381</c:v>
                </c:pt>
                <c:pt idx="3">
                  <c:v>0.30000000000000004</c:v>
                </c:pt>
                <c:pt idx="4">
                  <c:v>0.33809523809523812</c:v>
                </c:pt>
                <c:pt idx="5">
                  <c:v>0.52380952380952384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74-4148-BE7C-F3E22262EEFD}"/>
            </c:ext>
          </c:extLst>
        </c:ser>
        <c:ser>
          <c:idx val="3"/>
          <c:order val="3"/>
          <c:tx>
            <c:strRef>
              <c:f>'BOM DESPACHO'!$M$1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DESPACHO'!$M$2:$M$8</c:f>
              <c:numCache>
                <c:formatCode>0.00</c:formatCode>
                <c:ptCount val="7"/>
                <c:pt idx="0">
                  <c:v>0</c:v>
                </c:pt>
                <c:pt idx="1">
                  <c:v>6.1111111111111109E-2</c:v>
                </c:pt>
                <c:pt idx="2">
                  <c:v>9.4444444444444442E-2</c:v>
                </c:pt>
                <c:pt idx="3">
                  <c:v>0.37222222222222223</c:v>
                </c:pt>
                <c:pt idx="4">
                  <c:v>0.40555555555555556</c:v>
                </c:pt>
                <c:pt idx="5">
                  <c:v>0.62777777777777777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74-4148-BE7C-F3E22262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3024"/>
        <c:axId val="366063984"/>
      </c:scatterChart>
      <c:valAx>
        <c:axId val="366063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984"/>
        <c:crosses val="autoZero"/>
        <c:crossBetween val="midCat"/>
      </c:valAx>
      <c:valAx>
        <c:axId val="366063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C-48E0-AE7B-DDB2BDEA85AC}"/>
            </c:ext>
          </c:extLst>
        </c:ser>
        <c:ser>
          <c:idx val="1"/>
          <c:order val="1"/>
          <c:tx>
            <c:strRef>
              <c:f>'BOM DESPACHO'!$N$1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DESPACHO'!$N$2:$N$8</c:f>
              <c:numCache>
                <c:formatCode>0.00</c:formatCode>
                <c:ptCount val="7"/>
                <c:pt idx="0">
                  <c:v>0</c:v>
                </c:pt>
                <c:pt idx="1">
                  <c:v>2.0477815699658702E-2</c:v>
                </c:pt>
                <c:pt idx="2">
                  <c:v>0.10409556313993173</c:v>
                </c:pt>
                <c:pt idx="3">
                  <c:v>0.26791808873720135</c:v>
                </c:pt>
                <c:pt idx="4">
                  <c:v>0.35494880546075086</c:v>
                </c:pt>
                <c:pt idx="5">
                  <c:v>0.64163822525597269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4C-48E0-AE7B-DDB2BDEA85AC}"/>
            </c:ext>
          </c:extLst>
        </c:ser>
        <c:ser>
          <c:idx val="2"/>
          <c:order val="2"/>
          <c:tx>
            <c:strRef>
              <c:f>'BOM DESPACHO'!$O$1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DESPACHO'!$O$2:$O$8</c:f>
              <c:numCache>
                <c:formatCode>0.00</c:formatCode>
                <c:ptCount val="7"/>
                <c:pt idx="0">
                  <c:v>0</c:v>
                </c:pt>
                <c:pt idx="1">
                  <c:v>3.6170212765957444E-2</c:v>
                </c:pt>
                <c:pt idx="2">
                  <c:v>8.7234042553191476E-2</c:v>
                </c:pt>
                <c:pt idx="3">
                  <c:v>0.18723404255319148</c:v>
                </c:pt>
                <c:pt idx="4">
                  <c:v>0.34042553191489361</c:v>
                </c:pt>
                <c:pt idx="5">
                  <c:v>0.50638297872340421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4C-48E0-AE7B-DDB2BDEA85AC}"/>
            </c:ext>
          </c:extLst>
        </c:ser>
        <c:ser>
          <c:idx val="3"/>
          <c:order val="3"/>
          <c:tx>
            <c:strRef>
              <c:f>'BOM DESPACHO'!$P$1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DESPACHO'!$P$2:$P$8</c:f>
              <c:numCache>
                <c:formatCode>0.00</c:formatCode>
                <c:ptCount val="7"/>
                <c:pt idx="0">
                  <c:v>0</c:v>
                </c:pt>
                <c:pt idx="1">
                  <c:v>4.5918367346938778E-2</c:v>
                </c:pt>
                <c:pt idx="2">
                  <c:v>0.14285714285714285</c:v>
                </c:pt>
                <c:pt idx="3">
                  <c:v>0.3214285714285714</c:v>
                </c:pt>
                <c:pt idx="4">
                  <c:v>0.46428571428571425</c:v>
                </c:pt>
                <c:pt idx="5">
                  <c:v>0.61734693877551017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4C-48E0-AE7B-DDB2BDEA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38064"/>
        <c:axId val="655540464"/>
      </c:scatterChart>
      <c:valAx>
        <c:axId val="65553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0464"/>
        <c:crosses val="autoZero"/>
        <c:crossBetween val="midCat"/>
      </c:valAx>
      <c:valAx>
        <c:axId val="655540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A2-403B-AD89-3232E8763555}"/>
            </c:ext>
          </c:extLst>
        </c:ser>
        <c:ser>
          <c:idx val="1"/>
          <c:order val="1"/>
          <c:tx>
            <c:strRef>
              <c:f>'CAMPO BELO'!$K$1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BELO'!$K$2:$K$8</c:f>
              <c:numCache>
                <c:formatCode>0.00</c:formatCode>
                <c:ptCount val="7"/>
                <c:pt idx="0">
                  <c:v>1.896551724137931E-2</c:v>
                </c:pt>
                <c:pt idx="1">
                  <c:v>4.4827586206896551E-2</c:v>
                </c:pt>
                <c:pt idx="2">
                  <c:v>0.1103448275862069</c:v>
                </c:pt>
                <c:pt idx="3">
                  <c:v>0.1793103448275862</c:v>
                </c:pt>
                <c:pt idx="4">
                  <c:v>0.22413793103448276</c:v>
                </c:pt>
                <c:pt idx="5">
                  <c:v>0.32586206896551723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A2-403B-AD89-3232E8763555}"/>
            </c:ext>
          </c:extLst>
        </c:ser>
        <c:ser>
          <c:idx val="2"/>
          <c:order val="2"/>
          <c:tx>
            <c:strRef>
              <c:f>'CAMPO BELO'!$L$1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BELO'!$L$2:$L$8</c:f>
              <c:numCache>
                <c:formatCode>0.00</c:formatCode>
                <c:ptCount val="7"/>
                <c:pt idx="0">
                  <c:v>6.0606060606060606E-3</c:v>
                </c:pt>
                <c:pt idx="1">
                  <c:v>3.6363636363636362E-2</c:v>
                </c:pt>
                <c:pt idx="2">
                  <c:v>7.2727272727272724E-2</c:v>
                </c:pt>
                <c:pt idx="3">
                  <c:v>0.15757575757575759</c:v>
                </c:pt>
                <c:pt idx="4">
                  <c:v>0.25454545454545457</c:v>
                </c:pt>
                <c:pt idx="5">
                  <c:v>0.39393939393939398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A2-403B-AD89-3232E8763555}"/>
            </c:ext>
          </c:extLst>
        </c:ser>
        <c:ser>
          <c:idx val="3"/>
          <c:order val="3"/>
          <c:tx>
            <c:strRef>
              <c:f>'CAMPO BELO'!$M$1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BELO'!$M$2:$M$8</c:f>
              <c:numCache>
                <c:formatCode>0.00</c:formatCode>
                <c:ptCount val="7"/>
                <c:pt idx="0">
                  <c:v>3.0534351145038167E-2</c:v>
                </c:pt>
                <c:pt idx="1">
                  <c:v>0.11450381679389313</c:v>
                </c:pt>
                <c:pt idx="2">
                  <c:v>0.16030534351145037</c:v>
                </c:pt>
                <c:pt idx="3">
                  <c:v>0.26717557251908397</c:v>
                </c:pt>
                <c:pt idx="4">
                  <c:v>0.53435114503816794</c:v>
                </c:pt>
                <c:pt idx="5">
                  <c:v>0.63358778625954204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A2-403B-AD89-3232E876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0704"/>
        <c:axId val="639332144"/>
      </c:scatterChart>
      <c:valAx>
        <c:axId val="639330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2144"/>
        <c:crosses val="autoZero"/>
        <c:crossBetween val="midCat"/>
      </c:valAx>
      <c:valAx>
        <c:axId val="63933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21-4D1A-B69E-CC1B752E2871}"/>
            </c:ext>
          </c:extLst>
        </c:ser>
        <c:ser>
          <c:idx val="1"/>
          <c:order val="1"/>
          <c:tx>
            <c:strRef>
              <c:f>'CAMPO BELO'!$N$1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BELO'!$N$2:$N$8</c:f>
              <c:numCache>
                <c:formatCode>0.00</c:formatCode>
                <c:ptCount val="7"/>
                <c:pt idx="0">
                  <c:v>3.6036036036036036E-2</c:v>
                </c:pt>
                <c:pt idx="1">
                  <c:v>9.6846846846846857E-2</c:v>
                </c:pt>
                <c:pt idx="2">
                  <c:v>0.18243243243243246</c:v>
                </c:pt>
                <c:pt idx="3">
                  <c:v>0.2747747747747748</c:v>
                </c:pt>
                <c:pt idx="4">
                  <c:v>0.34684684684684686</c:v>
                </c:pt>
                <c:pt idx="5">
                  <c:v>0.54729729729729737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21-4D1A-B69E-CC1B752E2871}"/>
            </c:ext>
          </c:extLst>
        </c:ser>
        <c:ser>
          <c:idx val="2"/>
          <c:order val="2"/>
          <c:tx>
            <c:strRef>
              <c:f>'CAMPO BELO'!$O$1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BELO'!$O$2:$O$8</c:f>
              <c:numCache>
                <c:formatCode>0.00</c:formatCode>
                <c:ptCount val="7"/>
                <c:pt idx="0">
                  <c:v>4.519774011299435E-2</c:v>
                </c:pt>
                <c:pt idx="1">
                  <c:v>9.8870056497175146E-2</c:v>
                </c:pt>
                <c:pt idx="2">
                  <c:v>0.20338983050847459</c:v>
                </c:pt>
                <c:pt idx="3">
                  <c:v>0.2711864406779661</c:v>
                </c:pt>
                <c:pt idx="4">
                  <c:v>0.34745762711864409</c:v>
                </c:pt>
                <c:pt idx="5">
                  <c:v>0.55932203389830515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21-4D1A-B69E-CC1B752E2871}"/>
            </c:ext>
          </c:extLst>
        </c:ser>
        <c:ser>
          <c:idx val="3"/>
          <c:order val="3"/>
          <c:tx>
            <c:strRef>
              <c:f>'CAMPO BELO'!$P$1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BELO'!$P$2:$P$8</c:f>
              <c:numCache>
                <c:formatCode>0.00</c:formatCode>
                <c:ptCount val="7"/>
                <c:pt idx="0">
                  <c:v>7.7720207253886009E-2</c:v>
                </c:pt>
                <c:pt idx="1">
                  <c:v>0.13471502590673576</c:v>
                </c:pt>
                <c:pt idx="2">
                  <c:v>0.21761658031088082</c:v>
                </c:pt>
                <c:pt idx="3">
                  <c:v>0.27461139896373055</c:v>
                </c:pt>
                <c:pt idx="4">
                  <c:v>0.38341968911917096</c:v>
                </c:pt>
                <c:pt idx="5">
                  <c:v>0.54404145077720201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21-4D1A-B69E-CC1B752E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26864"/>
        <c:axId val="639331664"/>
      </c:scatterChart>
      <c:valAx>
        <c:axId val="63932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1664"/>
        <c:crosses val="autoZero"/>
        <c:crossBetween val="midCat"/>
      </c:valAx>
      <c:valAx>
        <c:axId val="6393316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1-4AF5-9967-45D9EF0FB267}"/>
            </c:ext>
          </c:extLst>
        </c:ser>
        <c:ser>
          <c:idx val="1"/>
          <c:order val="1"/>
          <c:tx>
            <c:strRef>
              <c:f>DIVINÓPOLIS!$K$1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DIVINÓPOLIS!$K$2:$K$9</c:f>
              <c:numCache>
                <c:formatCode>0.00</c:formatCode>
                <c:ptCount val="8"/>
                <c:pt idx="0">
                  <c:v>1.5313935681470138E-2</c:v>
                </c:pt>
                <c:pt idx="1">
                  <c:v>4.1347626339969371E-2</c:v>
                </c:pt>
                <c:pt idx="2">
                  <c:v>6.1255742725880552E-2</c:v>
                </c:pt>
                <c:pt idx="3">
                  <c:v>8.4226646248085763E-2</c:v>
                </c:pt>
                <c:pt idx="4">
                  <c:v>0.20061255742725881</c:v>
                </c:pt>
                <c:pt idx="5">
                  <c:v>0.23889739663093415</c:v>
                </c:pt>
                <c:pt idx="6">
                  <c:v>0.38744257274119448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1-4AF5-9967-45D9EF0FB267}"/>
            </c:ext>
          </c:extLst>
        </c:ser>
        <c:ser>
          <c:idx val="2"/>
          <c:order val="2"/>
          <c:tx>
            <c:strRef>
              <c:f>DIVINÓPOLIS!$L$1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DIVINÓPOLIS!$L$2:$L$9</c:f>
              <c:numCache>
                <c:formatCode>0.00</c:formatCode>
                <c:ptCount val="8"/>
                <c:pt idx="0">
                  <c:v>3.793103448275862E-2</c:v>
                </c:pt>
                <c:pt idx="1">
                  <c:v>5.5172413793103448E-2</c:v>
                </c:pt>
                <c:pt idx="2">
                  <c:v>7.9310344827586199E-2</c:v>
                </c:pt>
                <c:pt idx="3">
                  <c:v>9.6551724137931033E-2</c:v>
                </c:pt>
                <c:pt idx="4">
                  <c:v>0.22413793103448276</c:v>
                </c:pt>
                <c:pt idx="5">
                  <c:v>0.25172413793103449</c:v>
                </c:pt>
                <c:pt idx="6">
                  <c:v>0.5482758620689655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E1-4AF5-9967-45D9EF0FB267}"/>
            </c:ext>
          </c:extLst>
        </c:ser>
        <c:ser>
          <c:idx val="3"/>
          <c:order val="3"/>
          <c:tx>
            <c:strRef>
              <c:f>DIVINÓPOLIS!$M$1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DIVINÓPOLIS!$M$2:$M$9</c:f>
              <c:numCache>
                <c:formatCode>0.00</c:formatCode>
                <c:ptCount val="8"/>
                <c:pt idx="0">
                  <c:v>1.4970059880239521E-2</c:v>
                </c:pt>
                <c:pt idx="1">
                  <c:v>2.9940119760479042E-2</c:v>
                </c:pt>
                <c:pt idx="2">
                  <c:v>4.4910179640718563E-2</c:v>
                </c:pt>
                <c:pt idx="3">
                  <c:v>7.4850299401197612E-2</c:v>
                </c:pt>
                <c:pt idx="4">
                  <c:v>0.23353293413173654</c:v>
                </c:pt>
                <c:pt idx="5">
                  <c:v>0.25149700598802394</c:v>
                </c:pt>
                <c:pt idx="6">
                  <c:v>0.51497005988023958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E1-4AF5-9967-45D9EF0F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90192"/>
        <c:axId val="363137952"/>
      </c:scatterChart>
      <c:valAx>
        <c:axId val="248790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37952"/>
        <c:crosses val="autoZero"/>
        <c:crossBetween val="midCat"/>
      </c:valAx>
      <c:valAx>
        <c:axId val="363137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1-4B87-A830-2C73DB3EE69A}"/>
            </c:ext>
          </c:extLst>
        </c:ser>
        <c:ser>
          <c:idx val="1"/>
          <c:order val="1"/>
          <c:tx>
            <c:strRef>
              <c:f>DIVINÓPOLIS!$N$1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DIVINÓPOLIS!$N$2:$N$9</c:f>
              <c:numCache>
                <c:formatCode>0.00</c:formatCode>
                <c:ptCount val="8"/>
                <c:pt idx="0">
                  <c:v>4.0816326530612242E-2</c:v>
                </c:pt>
                <c:pt idx="1">
                  <c:v>6.7717996289424862E-2</c:v>
                </c:pt>
                <c:pt idx="2">
                  <c:v>0.12523191094619668</c:v>
                </c:pt>
                <c:pt idx="3">
                  <c:v>0.16233766233766236</c:v>
                </c:pt>
                <c:pt idx="4">
                  <c:v>0.25324675324675328</c:v>
                </c:pt>
                <c:pt idx="5">
                  <c:v>0.32560296846011133</c:v>
                </c:pt>
                <c:pt idx="6">
                  <c:v>0.44526901669758812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1-4B87-A830-2C73DB3EE69A}"/>
            </c:ext>
          </c:extLst>
        </c:ser>
        <c:ser>
          <c:idx val="2"/>
          <c:order val="2"/>
          <c:tx>
            <c:strRef>
              <c:f>DIVINÓPOLIS!$O$1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DIVINÓPOLIS!$O$2:$O$9</c:f>
              <c:numCache>
                <c:formatCode>0.00</c:formatCode>
                <c:ptCount val="8"/>
                <c:pt idx="0">
                  <c:v>3.0791788856304986E-2</c:v>
                </c:pt>
                <c:pt idx="1">
                  <c:v>7.6246334310850442E-2</c:v>
                </c:pt>
                <c:pt idx="2">
                  <c:v>0.15102639296187684</c:v>
                </c:pt>
                <c:pt idx="3">
                  <c:v>0.20087976539589442</c:v>
                </c:pt>
                <c:pt idx="4">
                  <c:v>0.30058651026392957</c:v>
                </c:pt>
                <c:pt idx="5">
                  <c:v>0.40909090909090906</c:v>
                </c:pt>
                <c:pt idx="6">
                  <c:v>0.52639296187683282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1-4B87-A830-2C73DB3EE69A}"/>
            </c:ext>
          </c:extLst>
        </c:ser>
        <c:ser>
          <c:idx val="3"/>
          <c:order val="3"/>
          <c:tx>
            <c:strRef>
              <c:f>DIVINÓPOLIS!$P$1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DIVINÓPOLIS!$P$2:$P$9</c:f>
              <c:numCache>
                <c:formatCode>0.00</c:formatCode>
                <c:ptCount val="8"/>
                <c:pt idx="0">
                  <c:v>3.3232628398791542E-2</c:v>
                </c:pt>
                <c:pt idx="1">
                  <c:v>4.8338368580060423E-2</c:v>
                </c:pt>
                <c:pt idx="2">
                  <c:v>9.9697885196374625E-2</c:v>
                </c:pt>
                <c:pt idx="3">
                  <c:v>0.14803625377643503</c:v>
                </c:pt>
                <c:pt idx="4">
                  <c:v>0.28398791540785495</c:v>
                </c:pt>
                <c:pt idx="5">
                  <c:v>0.3655589123867069</c:v>
                </c:pt>
                <c:pt idx="6">
                  <c:v>0.59818731117824764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81-4B87-A830-2C73DB3E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40992"/>
        <c:axId val="388741952"/>
      </c:scatterChart>
      <c:valAx>
        <c:axId val="38874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1952"/>
        <c:crosses val="autoZero"/>
        <c:crossBetween val="midCat"/>
      </c:valAx>
      <c:valAx>
        <c:axId val="388741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50-426C-A36A-7C50C443394A}"/>
            </c:ext>
          </c:extLst>
        </c:ser>
        <c:ser>
          <c:idx val="1"/>
          <c:order val="1"/>
          <c:tx>
            <c:strRef>
              <c:f>FORMIGA!$K$1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FORMIGA!$K$2:$K$9</c:f>
              <c:numCache>
                <c:formatCode>0.00</c:formatCode>
                <c:ptCount val="8"/>
                <c:pt idx="0">
                  <c:v>4.1666666666666666E-3</c:v>
                </c:pt>
                <c:pt idx="1">
                  <c:v>3.7499999999999999E-2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0.18333333333333335</c:v>
                </c:pt>
                <c:pt idx="5">
                  <c:v>0.22916666666666669</c:v>
                </c:pt>
                <c:pt idx="6">
                  <c:v>0.51249999999999996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50-426C-A36A-7C50C443394A}"/>
            </c:ext>
          </c:extLst>
        </c:ser>
        <c:ser>
          <c:idx val="2"/>
          <c:order val="2"/>
          <c:tx>
            <c:strRef>
              <c:f>FORMIGA!$L$1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FORMIGA!$L$2:$L$9</c:f>
              <c:numCache>
                <c:formatCode>0.00</c:formatCode>
                <c:ptCount val="8"/>
                <c:pt idx="0">
                  <c:v>0</c:v>
                </c:pt>
                <c:pt idx="1">
                  <c:v>2.9411764705882353E-2</c:v>
                </c:pt>
                <c:pt idx="2">
                  <c:v>7.3529411764705885E-2</c:v>
                </c:pt>
                <c:pt idx="3">
                  <c:v>8.0882352941176475E-2</c:v>
                </c:pt>
                <c:pt idx="4">
                  <c:v>0.1764705882352941</c:v>
                </c:pt>
                <c:pt idx="5">
                  <c:v>0.21323529411764705</c:v>
                </c:pt>
                <c:pt idx="6">
                  <c:v>0.44117647058823528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50-426C-A36A-7C50C443394A}"/>
            </c:ext>
          </c:extLst>
        </c:ser>
        <c:ser>
          <c:idx val="3"/>
          <c:order val="3"/>
          <c:tx>
            <c:strRef>
              <c:f>FORMIGA!$M$1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FORMIGA!$M$2:$M$9</c:f>
              <c:numCache>
                <c:formatCode>0.00</c:formatCode>
                <c:ptCount val="8"/>
                <c:pt idx="0">
                  <c:v>7.6923076923076927E-3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</c:v>
                </c:pt>
                <c:pt idx="4">
                  <c:v>0.22307692307692309</c:v>
                </c:pt>
                <c:pt idx="5">
                  <c:v>0.26923076923076927</c:v>
                </c:pt>
                <c:pt idx="6">
                  <c:v>0.46153846153846156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50-426C-A36A-7C50C4433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00336"/>
        <c:axId val="309818576"/>
      </c:scatterChart>
      <c:valAx>
        <c:axId val="309800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8576"/>
        <c:crosses val="autoZero"/>
        <c:crossBetween val="midCat"/>
      </c:valAx>
      <c:valAx>
        <c:axId val="309818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0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C-43AC-8330-E08CCC3B1A5D}"/>
            </c:ext>
          </c:extLst>
        </c:ser>
        <c:ser>
          <c:idx val="1"/>
          <c:order val="1"/>
          <c:tx>
            <c:strRef>
              <c:f>FORMIGA!$N$1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FORMIGA!$N$2:$N$9</c:f>
              <c:numCache>
                <c:formatCode>0.00</c:formatCode>
                <c:ptCount val="8"/>
                <c:pt idx="0">
                  <c:v>1.9400352733686066E-2</c:v>
                </c:pt>
                <c:pt idx="1">
                  <c:v>4.2328042328042326E-2</c:v>
                </c:pt>
                <c:pt idx="2">
                  <c:v>7.407407407407407E-2</c:v>
                </c:pt>
                <c:pt idx="3">
                  <c:v>0.11992945326278659</c:v>
                </c:pt>
                <c:pt idx="4">
                  <c:v>0.19753086419753085</c:v>
                </c:pt>
                <c:pt idx="5">
                  <c:v>0.2821869488536155</c:v>
                </c:pt>
                <c:pt idx="6">
                  <c:v>0.53086419753086411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C-43AC-8330-E08CCC3B1A5D}"/>
            </c:ext>
          </c:extLst>
        </c:ser>
        <c:ser>
          <c:idx val="2"/>
          <c:order val="2"/>
          <c:tx>
            <c:strRef>
              <c:f>FORMIGA!$O$1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FORMIGA!$O$2:$O$9</c:f>
              <c:numCache>
                <c:formatCode>0.00</c:formatCode>
                <c:ptCount val="8"/>
                <c:pt idx="0">
                  <c:v>2.3890784982935155E-2</c:v>
                </c:pt>
                <c:pt idx="1">
                  <c:v>6.8259385665529013E-2</c:v>
                </c:pt>
                <c:pt idx="2">
                  <c:v>8.8737201365187715E-2</c:v>
                </c:pt>
                <c:pt idx="3">
                  <c:v>0.15699658703071673</c:v>
                </c:pt>
                <c:pt idx="4">
                  <c:v>0.21843003412969283</c:v>
                </c:pt>
                <c:pt idx="5">
                  <c:v>0.29692832764505117</c:v>
                </c:pt>
                <c:pt idx="6">
                  <c:v>0.53583617747440271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C-43AC-8330-E08CCC3B1A5D}"/>
            </c:ext>
          </c:extLst>
        </c:ser>
        <c:ser>
          <c:idx val="3"/>
          <c:order val="3"/>
          <c:tx>
            <c:strRef>
              <c:f>FORMIGA!$P$1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FORMIGA!$P$2:$P$9</c:f>
              <c:numCache>
                <c:formatCode>0.00</c:formatCode>
                <c:ptCount val="8"/>
                <c:pt idx="0">
                  <c:v>3.0303030303030304E-2</c:v>
                </c:pt>
                <c:pt idx="1">
                  <c:v>4.7619047619047616E-2</c:v>
                </c:pt>
                <c:pt idx="2">
                  <c:v>0.11255411255411255</c:v>
                </c:pt>
                <c:pt idx="3">
                  <c:v>0.18614718614718614</c:v>
                </c:pt>
                <c:pt idx="4">
                  <c:v>0.25541125541125542</c:v>
                </c:pt>
                <c:pt idx="5">
                  <c:v>0.38095238095238093</c:v>
                </c:pt>
                <c:pt idx="6">
                  <c:v>0.54545454545454541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6C-43AC-8330-E08CCC3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69888"/>
        <c:axId val="562875648"/>
      </c:scatterChart>
      <c:valAx>
        <c:axId val="5628698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5648"/>
        <c:crosses val="autoZero"/>
        <c:crossBetween val="midCat"/>
      </c:valAx>
      <c:valAx>
        <c:axId val="562875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3-4635-A70D-6DCCE1D12B98}"/>
            </c:ext>
          </c:extLst>
        </c:ser>
        <c:ser>
          <c:idx val="1"/>
          <c:order val="1"/>
          <c:tx>
            <c:strRef>
              <c:f>ITAÚNA!$K$1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ITAÚNA!$K$2:$K$5</c:f>
              <c:numCache>
                <c:formatCode>0.00</c:formatCode>
                <c:ptCount val="4"/>
                <c:pt idx="0">
                  <c:v>4.6575342465753428E-2</c:v>
                </c:pt>
                <c:pt idx="1">
                  <c:v>0.11232876712328767</c:v>
                </c:pt>
                <c:pt idx="2">
                  <c:v>0.20821917808219176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3-4635-A70D-6DCCE1D12B98}"/>
            </c:ext>
          </c:extLst>
        </c:ser>
        <c:ser>
          <c:idx val="2"/>
          <c:order val="2"/>
          <c:tx>
            <c:strRef>
              <c:f>ITAÚNA!$L$1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ITAÚNA!$L$2:$L$5</c:f>
              <c:numCache>
                <c:formatCode>0.00</c:formatCode>
                <c:ptCount val="4"/>
                <c:pt idx="0">
                  <c:v>6.3063063063063057E-2</c:v>
                </c:pt>
                <c:pt idx="1">
                  <c:v>9.9099099099099086E-2</c:v>
                </c:pt>
                <c:pt idx="2">
                  <c:v>0.24324324324324323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3-4635-A70D-6DCCE1D12B98}"/>
            </c:ext>
          </c:extLst>
        </c:ser>
        <c:ser>
          <c:idx val="3"/>
          <c:order val="3"/>
          <c:tx>
            <c:strRef>
              <c:f>ITAÚNA!$M$1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ITAÚNA!$M$2:$M$5</c:f>
              <c:numCache>
                <c:formatCode>0.00</c:formatCode>
                <c:ptCount val="4"/>
                <c:pt idx="0">
                  <c:v>0.10227272727272728</c:v>
                </c:pt>
                <c:pt idx="1">
                  <c:v>0.11363636363636365</c:v>
                </c:pt>
                <c:pt idx="2">
                  <c:v>0.31818181818181823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E3-4635-A70D-6DCCE1D12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59664"/>
        <c:axId val="366051984"/>
      </c:scatterChart>
      <c:valAx>
        <c:axId val="3660596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1984"/>
        <c:crosses val="autoZero"/>
        <c:crossBetween val="midCat"/>
      </c:valAx>
      <c:valAx>
        <c:axId val="366051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BD-4005-B8E0-19547202F67A}"/>
            </c:ext>
          </c:extLst>
        </c:ser>
        <c:ser>
          <c:idx val="1"/>
          <c:order val="1"/>
          <c:tx>
            <c:strRef>
              <c:f>ITAÚNA!$N$1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ITAÚNA!$N$2:$N$5</c:f>
              <c:numCache>
                <c:formatCode>0.00</c:formatCode>
                <c:ptCount val="4"/>
                <c:pt idx="0">
                  <c:v>8.7613293051359523E-2</c:v>
                </c:pt>
                <c:pt idx="1">
                  <c:v>0.10574018126888218</c:v>
                </c:pt>
                <c:pt idx="2">
                  <c:v>0.32930513595166166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BD-4005-B8E0-19547202F67A}"/>
            </c:ext>
          </c:extLst>
        </c:ser>
        <c:ser>
          <c:idx val="2"/>
          <c:order val="2"/>
          <c:tx>
            <c:strRef>
              <c:f>ITAÚNA!$O$1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ITAÚNA!$O$2:$O$5</c:f>
              <c:numCache>
                <c:formatCode>0.00</c:formatCode>
                <c:ptCount val="4"/>
                <c:pt idx="0">
                  <c:v>0.10057471264367816</c:v>
                </c:pt>
                <c:pt idx="1">
                  <c:v>0.13218390804597702</c:v>
                </c:pt>
                <c:pt idx="2">
                  <c:v>0.3045977011494253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BD-4005-B8E0-19547202F67A}"/>
            </c:ext>
          </c:extLst>
        </c:ser>
        <c:ser>
          <c:idx val="3"/>
          <c:order val="3"/>
          <c:tx>
            <c:strRef>
              <c:f>ITAÚNA!$P$1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ITAÚNA!$P$2:$P$5</c:f>
              <c:numCache>
                <c:formatCode>0.00</c:formatCode>
                <c:ptCount val="4"/>
                <c:pt idx="0">
                  <c:v>9.3167701863354033E-2</c:v>
                </c:pt>
                <c:pt idx="1">
                  <c:v>0.15527950310559005</c:v>
                </c:pt>
                <c:pt idx="2">
                  <c:v>0.32298136645962733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BD-4005-B8E0-19547202F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4000"/>
        <c:axId val="2001012080"/>
      </c:scatterChart>
      <c:valAx>
        <c:axId val="200101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2080"/>
        <c:crosses val="autoZero"/>
        <c:crossBetween val="midCat"/>
      </c:valAx>
      <c:valAx>
        <c:axId val="200101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B-4FA9-BE4A-7E71780DB94C}"/>
            </c:ext>
          </c:extLst>
        </c:ser>
        <c:ser>
          <c:idx val="1"/>
          <c:order val="1"/>
          <c:tx>
            <c:strRef>
              <c:f>'LAGOA DA PRATA - STO ANT MONTE'!$K$1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MONTE'!$K$2:$K$6</c:f>
              <c:numCache>
                <c:formatCode>0.00</c:formatCode>
                <c:ptCount val="5"/>
                <c:pt idx="0">
                  <c:v>3.5999999999999997E-2</c:v>
                </c:pt>
                <c:pt idx="1">
                  <c:v>6.8000000000000005E-2</c:v>
                </c:pt>
                <c:pt idx="2">
                  <c:v>0.32400000000000001</c:v>
                </c:pt>
                <c:pt idx="3">
                  <c:v>0.52400000000000002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B-4FA9-BE4A-7E71780DB94C}"/>
            </c:ext>
          </c:extLst>
        </c:ser>
        <c:ser>
          <c:idx val="2"/>
          <c:order val="2"/>
          <c:tx>
            <c:strRef>
              <c:f>'LAGOA DA PRATA - STO ANT MONTE'!$L$1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MONTE'!$L$2:$L$6</c:f>
              <c:numCache>
                <c:formatCode>0.00</c:formatCode>
                <c:ptCount val="5"/>
                <c:pt idx="0">
                  <c:v>2.097902097902098E-2</c:v>
                </c:pt>
                <c:pt idx="1">
                  <c:v>5.5944055944055951E-2</c:v>
                </c:pt>
                <c:pt idx="2">
                  <c:v>0.36363636363636365</c:v>
                </c:pt>
                <c:pt idx="3">
                  <c:v>0.5524475524475525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DB-4FA9-BE4A-7E71780DB94C}"/>
            </c:ext>
          </c:extLst>
        </c:ser>
        <c:ser>
          <c:idx val="3"/>
          <c:order val="3"/>
          <c:tx>
            <c:strRef>
              <c:f>'LAGOA DA PRATA - STO ANT MONTE'!$M$1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MONTE'!$M$2:$M$6</c:f>
              <c:numCache>
                <c:formatCode>0.00</c:formatCode>
                <c:ptCount val="5"/>
                <c:pt idx="0">
                  <c:v>1.532567049808429E-2</c:v>
                </c:pt>
                <c:pt idx="1">
                  <c:v>4.2145593869731802E-2</c:v>
                </c:pt>
                <c:pt idx="2">
                  <c:v>0.16475095785440613</c:v>
                </c:pt>
                <c:pt idx="3">
                  <c:v>0.2950191570881226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DB-4FA9-BE4A-7E71780D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46080"/>
        <c:axId val="624743680"/>
      </c:scatterChart>
      <c:valAx>
        <c:axId val="624746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3680"/>
        <c:crosses val="autoZero"/>
        <c:crossBetween val="midCat"/>
      </c:valAx>
      <c:valAx>
        <c:axId val="62474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30-43AA-8939-98C1CACD6CF4}"/>
            </c:ext>
          </c:extLst>
        </c:ser>
        <c:ser>
          <c:idx val="1"/>
          <c:order val="1"/>
          <c:tx>
            <c:strRef>
              <c:f>'LAGOA DA PRATA - STO ANT MONTE'!$N$1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MONTE'!$N$2:$N$6</c:f>
              <c:numCache>
                <c:formatCode>0.00</c:formatCode>
                <c:ptCount val="5"/>
                <c:pt idx="0">
                  <c:v>3.25497287522604E-2</c:v>
                </c:pt>
                <c:pt idx="1">
                  <c:v>6.6907775768535266E-2</c:v>
                </c:pt>
                <c:pt idx="2">
                  <c:v>0.24593128390596744</c:v>
                </c:pt>
                <c:pt idx="3">
                  <c:v>0.4792043399638336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30-43AA-8939-98C1CACD6CF4}"/>
            </c:ext>
          </c:extLst>
        </c:ser>
        <c:ser>
          <c:idx val="2"/>
          <c:order val="2"/>
          <c:tx>
            <c:strRef>
              <c:f>'LAGOA DA PRATA - STO ANT MONTE'!$O$1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MONTE'!$O$2:$O$6</c:f>
              <c:numCache>
                <c:formatCode>0.00</c:formatCode>
                <c:ptCount val="5"/>
                <c:pt idx="0">
                  <c:v>1.7902813299232736E-2</c:v>
                </c:pt>
                <c:pt idx="1">
                  <c:v>3.8363171355498722E-2</c:v>
                </c:pt>
                <c:pt idx="2">
                  <c:v>0.24040920716112532</c:v>
                </c:pt>
                <c:pt idx="3">
                  <c:v>0.57800511508951402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30-43AA-8939-98C1CACD6CF4}"/>
            </c:ext>
          </c:extLst>
        </c:ser>
        <c:ser>
          <c:idx val="3"/>
          <c:order val="3"/>
          <c:tx>
            <c:strRef>
              <c:f>'LAGOA DA PRATA - STO ANT MONTE'!$P$1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MONTE'!$P$2:$P$6</c:f>
              <c:numCache>
                <c:formatCode>0.00</c:formatCode>
                <c:ptCount val="5"/>
                <c:pt idx="0">
                  <c:v>1.7751479289940829E-2</c:v>
                </c:pt>
                <c:pt idx="1">
                  <c:v>4.142011834319527E-2</c:v>
                </c:pt>
                <c:pt idx="2">
                  <c:v>0.26627218934911245</c:v>
                </c:pt>
                <c:pt idx="3">
                  <c:v>0.50887573964497046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30-43AA-8939-98C1CACD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7168"/>
        <c:axId val="562890528"/>
      </c:scatterChart>
      <c:valAx>
        <c:axId val="562887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0528"/>
        <c:crosses val="autoZero"/>
        <c:crossBetween val="midCat"/>
      </c:valAx>
      <c:valAx>
        <c:axId val="56289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6-4A3A-A953-C2342C1A056A}"/>
            </c:ext>
          </c:extLst>
        </c:ser>
        <c:ser>
          <c:idx val="1"/>
          <c:order val="1"/>
          <c:tx>
            <c:strRef>
              <c:f>'OLIVEIRA - STO ANT DO AMPARO'!$K$1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AMPARO'!$K$2:$K$7</c:f>
              <c:numCache>
                <c:formatCode>0.00</c:formatCode>
                <c:ptCount val="6"/>
                <c:pt idx="0">
                  <c:v>6.5104166666666671E-2</c:v>
                </c:pt>
                <c:pt idx="1">
                  <c:v>0.13020833333333334</c:v>
                </c:pt>
                <c:pt idx="2">
                  <c:v>0.18489583333333334</c:v>
                </c:pt>
                <c:pt idx="3">
                  <c:v>0.453125</c:v>
                </c:pt>
                <c:pt idx="4">
                  <c:v>0.61979166666666663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6-4A3A-A953-C2342C1A056A}"/>
            </c:ext>
          </c:extLst>
        </c:ser>
        <c:ser>
          <c:idx val="2"/>
          <c:order val="2"/>
          <c:tx>
            <c:strRef>
              <c:f>'OLIVEIRA - STO ANT DO AMPARO'!$L$1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AMPARO'!$L$2:$L$7</c:f>
              <c:numCache>
                <c:formatCode>0.00</c:formatCode>
                <c:ptCount val="6"/>
                <c:pt idx="0">
                  <c:v>5.9113300492610835E-2</c:v>
                </c:pt>
                <c:pt idx="1">
                  <c:v>9.3596059113300489E-2</c:v>
                </c:pt>
                <c:pt idx="2">
                  <c:v>0.15270935960591131</c:v>
                </c:pt>
                <c:pt idx="3">
                  <c:v>0.53694581280788167</c:v>
                </c:pt>
                <c:pt idx="4">
                  <c:v>0.68472906403940881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06-4A3A-A953-C2342C1A056A}"/>
            </c:ext>
          </c:extLst>
        </c:ser>
        <c:ser>
          <c:idx val="3"/>
          <c:order val="3"/>
          <c:tx>
            <c:strRef>
              <c:f>'OLIVEIRA - STO ANT DO AMPARO'!$M$1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AMPARO'!$M$2:$M$7</c:f>
              <c:numCache>
                <c:formatCode>0.00</c:formatCode>
                <c:ptCount val="6"/>
                <c:pt idx="0">
                  <c:v>3.5087719298245612E-2</c:v>
                </c:pt>
                <c:pt idx="1">
                  <c:v>0.10087719298245613</c:v>
                </c:pt>
                <c:pt idx="2">
                  <c:v>0.12719298245614036</c:v>
                </c:pt>
                <c:pt idx="3">
                  <c:v>0.51315789473684204</c:v>
                </c:pt>
                <c:pt idx="4">
                  <c:v>0.74999999999999989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06-4A3A-A953-C2342C1A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2768"/>
        <c:axId val="562867488"/>
      </c:scatterChart>
      <c:valAx>
        <c:axId val="562872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7488"/>
        <c:crosses val="autoZero"/>
        <c:crossBetween val="midCat"/>
      </c:valAx>
      <c:valAx>
        <c:axId val="562867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7-40A1-B45C-690E34D504A4}"/>
            </c:ext>
          </c:extLst>
        </c:ser>
        <c:ser>
          <c:idx val="1"/>
          <c:order val="1"/>
          <c:tx>
            <c:strRef>
              <c:f>'OLIVEIRA - STO ANT DO AMPARO'!$N$1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AMPARO'!$N$2:$N$7</c:f>
              <c:numCache>
                <c:formatCode>0.00</c:formatCode>
                <c:ptCount val="6"/>
                <c:pt idx="0">
                  <c:v>7.3359073359073365E-2</c:v>
                </c:pt>
                <c:pt idx="1">
                  <c:v>0.12355212355212356</c:v>
                </c:pt>
                <c:pt idx="2">
                  <c:v>0.22586872586872586</c:v>
                </c:pt>
                <c:pt idx="3">
                  <c:v>0.48069498069498068</c:v>
                </c:pt>
                <c:pt idx="4">
                  <c:v>0.66795366795366795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7-40A1-B45C-690E34D504A4}"/>
            </c:ext>
          </c:extLst>
        </c:ser>
        <c:ser>
          <c:idx val="2"/>
          <c:order val="2"/>
          <c:tx>
            <c:strRef>
              <c:f>'OLIVEIRA - STO ANT DO AMPARO'!$O$1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AMPARO'!$O$2:$O$7</c:f>
              <c:numCache>
                <c:formatCode>0.00</c:formatCode>
                <c:ptCount val="6"/>
                <c:pt idx="0">
                  <c:v>7.6246334310850442E-2</c:v>
                </c:pt>
                <c:pt idx="1">
                  <c:v>0.16715542521994137</c:v>
                </c:pt>
                <c:pt idx="2">
                  <c:v>0.21994134897360706</c:v>
                </c:pt>
                <c:pt idx="3">
                  <c:v>0.42521994134897367</c:v>
                </c:pt>
                <c:pt idx="4">
                  <c:v>0.63636363636363646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7-40A1-B45C-690E34D504A4}"/>
            </c:ext>
          </c:extLst>
        </c:ser>
        <c:ser>
          <c:idx val="3"/>
          <c:order val="3"/>
          <c:tx>
            <c:strRef>
              <c:f>'OLIVEIRA - STO ANT DO AMPARO'!$P$1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AMPARO'!$P$2:$P$7</c:f>
              <c:numCache>
                <c:formatCode>0.00</c:formatCode>
                <c:ptCount val="6"/>
                <c:pt idx="0">
                  <c:v>8.6124401913875603E-2</c:v>
                </c:pt>
                <c:pt idx="1">
                  <c:v>0.21052631578947367</c:v>
                </c:pt>
                <c:pt idx="2">
                  <c:v>0.25358851674641147</c:v>
                </c:pt>
                <c:pt idx="3">
                  <c:v>0.42583732057416268</c:v>
                </c:pt>
                <c:pt idx="4">
                  <c:v>0.62679425837320579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7-40A1-B45C-690E34D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7296"/>
        <c:axId val="309834416"/>
      </c:scatterChart>
      <c:valAx>
        <c:axId val="309837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4416"/>
        <c:crosses val="autoZero"/>
        <c:crossBetween val="midCat"/>
      </c:valAx>
      <c:valAx>
        <c:axId val="309834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0-46CE-AABA-1A8E0CDEDAEB}"/>
            </c:ext>
          </c:extLst>
        </c:ser>
        <c:ser>
          <c:idx val="1"/>
          <c:order val="1"/>
          <c:tx>
            <c:strRef>
              <c:f>'PARÁ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MINAS'!$K$2:$K$9</c:f>
              <c:numCache>
                <c:formatCode>0.00</c:formatCode>
                <c:ptCount val="8"/>
                <c:pt idx="0">
                  <c:v>2.2008253094910592E-2</c:v>
                </c:pt>
                <c:pt idx="1">
                  <c:v>2.6134800550206328E-2</c:v>
                </c:pt>
                <c:pt idx="2">
                  <c:v>7.5653370013755161E-2</c:v>
                </c:pt>
                <c:pt idx="3">
                  <c:v>8.940852819807428E-2</c:v>
                </c:pt>
                <c:pt idx="4">
                  <c:v>0.12654745529573591</c:v>
                </c:pt>
                <c:pt idx="5">
                  <c:v>0.17606602475928473</c:v>
                </c:pt>
                <c:pt idx="6">
                  <c:v>0.7455295735900962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0-46CE-AABA-1A8E0CDEDAEB}"/>
            </c:ext>
          </c:extLst>
        </c:ser>
        <c:ser>
          <c:idx val="2"/>
          <c:order val="2"/>
          <c:tx>
            <c:strRef>
              <c:f>'PARÁ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MINAS'!$L$2:$L$9</c:f>
              <c:numCache>
                <c:formatCode>0.00</c:formatCode>
                <c:ptCount val="8"/>
                <c:pt idx="0">
                  <c:v>2.8735632183908046E-3</c:v>
                </c:pt>
                <c:pt idx="1">
                  <c:v>1.1494252873563218E-2</c:v>
                </c:pt>
                <c:pt idx="2">
                  <c:v>3.1609195402298854E-2</c:v>
                </c:pt>
                <c:pt idx="3">
                  <c:v>4.3103448275862072E-2</c:v>
                </c:pt>
                <c:pt idx="4">
                  <c:v>0.1206896551724138</c:v>
                </c:pt>
                <c:pt idx="5">
                  <c:v>0.22126436781609196</c:v>
                </c:pt>
                <c:pt idx="6">
                  <c:v>0.65517241379310343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80-46CE-AABA-1A8E0CDEDAEB}"/>
            </c:ext>
          </c:extLst>
        </c:ser>
        <c:ser>
          <c:idx val="3"/>
          <c:order val="3"/>
          <c:tx>
            <c:strRef>
              <c:f>'PARÁ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MINAS'!$M$2:$M$9</c:f>
              <c:numCache>
                <c:formatCode>0.00</c:formatCode>
                <c:ptCount val="8"/>
                <c:pt idx="0">
                  <c:v>3.0245746691871456E-2</c:v>
                </c:pt>
                <c:pt idx="1">
                  <c:v>3.4026465028355386E-2</c:v>
                </c:pt>
                <c:pt idx="2">
                  <c:v>5.8601134215500943E-2</c:v>
                </c:pt>
                <c:pt idx="3">
                  <c:v>6.6162570888468802E-2</c:v>
                </c:pt>
                <c:pt idx="4">
                  <c:v>0.13043478260869565</c:v>
                </c:pt>
                <c:pt idx="5">
                  <c:v>0.21550094517958412</c:v>
                </c:pt>
                <c:pt idx="6">
                  <c:v>0.85444234404536856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80-46CE-AABA-1A8E0CDE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3328"/>
        <c:axId val="562891008"/>
      </c:scatterChart>
      <c:valAx>
        <c:axId val="5628833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1008"/>
        <c:crosses val="autoZero"/>
        <c:crossBetween val="midCat"/>
      </c:valAx>
      <c:valAx>
        <c:axId val="562891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D-43A6-9C30-D27A759CA6D5}"/>
            </c:ext>
          </c:extLst>
        </c:ser>
        <c:ser>
          <c:idx val="1"/>
          <c:order val="1"/>
          <c:tx>
            <c:strRef>
              <c:f>'PARÁ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MINAS'!$N$2:$N$9</c:f>
              <c:numCache>
                <c:formatCode>0.00</c:formatCode>
                <c:ptCount val="8"/>
                <c:pt idx="0">
                  <c:v>9.4836670179135937E-3</c:v>
                </c:pt>
                <c:pt idx="1">
                  <c:v>2.0021074815595362E-2</c:v>
                </c:pt>
                <c:pt idx="2">
                  <c:v>4.1095890410958902E-2</c:v>
                </c:pt>
                <c:pt idx="3">
                  <c:v>4.8472075869336141E-2</c:v>
                </c:pt>
                <c:pt idx="4">
                  <c:v>8.1138040042149626E-2</c:v>
                </c:pt>
                <c:pt idx="5">
                  <c:v>0.21285563751317177</c:v>
                </c:pt>
                <c:pt idx="6">
                  <c:v>0.62276080084299257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D-43A6-9C30-D27A759CA6D5}"/>
            </c:ext>
          </c:extLst>
        </c:ser>
        <c:ser>
          <c:idx val="2"/>
          <c:order val="2"/>
          <c:tx>
            <c:strRef>
              <c:f>'PARÁ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MINAS'!$O$2:$O$9</c:f>
              <c:numCache>
                <c:formatCode>0.00</c:formatCode>
                <c:ptCount val="8"/>
                <c:pt idx="0">
                  <c:v>1.7331022530329289E-2</c:v>
                </c:pt>
                <c:pt idx="1">
                  <c:v>2.9462738301559793E-2</c:v>
                </c:pt>
                <c:pt idx="2">
                  <c:v>4.852686308492201E-2</c:v>
                </c:pt>
                <c:pt idx="3">
                  <c:v>7.6256499133448868E-2</c:v>
                </c:pt>
                <c:pt idx="4">
                  <c:v>0.11611785095320623</c:v>
                </c:pt>
                <c:pt idx="5">
                  <c:v>0.17504332755632582</c:v>
                </c:pt>
                <c:pt idx="6">
                  <c:v>0.64991334488734831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BD-43A6-9C30-D27A759CA6D5}"/>
            </c:ext>
          </c:extLst>
        </c:ser>
        <c:ser>
          <c:idx val="3"/>
          <c:order val="3"/>
          <c:tx>
            <c:strRef>
              <c:f>'PARÁ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MINAS'!$P$2:$P$9</c:f>
              <c:numCache>
                <c:formatCode>0.00</c:formatCode>
                <c:ptCount val="8"/>
                <c:pt idx="0">
                  <c:v>2.6515151515151516E-2</c:v>
                </c:pt>
                <c:pt idx="1">
                  <c:v>3.0303030303030304E-2</c:v>
                </c:pt>
                <c:pt idx="2">
                  <c:v>6.8181818181818177E-2</c:v>
                </c:pt>
                <c:pt idx="3">
                  <c:v>9.4696969696969696E-2</c:v>
                </c:pt>
                <c:pt idx="4">
                  <c:v>0.11742424242424243</c:v>
                </c:pt>
                <c:pt idx="5">
                  <c:v>0.25378787878787878</c:v>
                </c:pt>
                <c:pt idx="6">
                  <c:v>0.66287878787878785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BD-43A6-9C30-D27A759C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30240"/>
        <c:axId val="1918631200"/>
      </c:scatterChart>
      <c:valAx>
        <c:axId val="1918630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1200"/>
        <c:crosses val="autoZero"/>
        <c:crossBetween val="midCat"/>
      </c:valAx>
      <c:valAx>
        <c:axId val="19186312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0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0</xdr:row>
      <xdr:rowOff>163830</xdr:rowOff>
    </xdr:from>
    <xdr:to>
      <xdr:col>23</xdr:col>
      <xdr:colOff>556260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5C110C-045D-F200-510A-FAC5E9D7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13</xdr:row>
      <xdr:rowOff>140970</xdr:rowOff>
    </xdr:from>
    <xdr:to>
      <xdr:col>23</xdr:col>
      <xdr:colOff>571500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1568632-3E60-A22C-553D-EA6976951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49530</xdr:rowOff>
    </xdr:from>
    <xdr:to>
      <xdr:col>23</xdr:col>
      <xdr:colOff>388620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CFD48B-ED60-24AB-FD34-76B334E0C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5A9DD3-BFAD-882B-5201-B9712723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3810</xdr:rowOff>
    </xdr:from>
    <xdr:to>
      <xdr:col>23</xdr:col>
      <xdr:colOff>365760</xdr:colOff>
      <xdr:row>12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88D4A7-3739-63D2-3101-32F1D535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12</xdr:row>
      <xdr:rowOff>110490</xdr:rowOff>
    </xdr:from>
    <xdr:to>
      <xdr:col>23</xdr:col>
      <xdr:colOff>373380</xdr:colOff>
      <xdr:row>27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811F68-A070-BED7-15A8-ECAAE7110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0</xdr:row>
      <xdr:rowOff>34290</xdr:rowOff>
    </xdr:from>
    <xdr:to>
      <xdr:col>23</xdr:col>
      <xdr:colOff>335280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0CD71DC-8F1B-187C-8567-31F80EBC3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12</xdr:row>
      <xdr:rowOff>163830</xdr:rowOff>
    </xdr:from>
    <xdr:to>
      <xdr:col>23</xdr:col>
      <xdr:colOff>327660</xdr:colOff>
      <xdr:row>27</xdr:row>
      <xdr:rowOff>163830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3707EB5-2527-F4AD-2AB2-0571D48C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26670</xdr:rowOff>
    </xdr:from>
    <xdr:to>
      <xdr:col>23</xdr:col>
      <xdr:colOff>381000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57B5AA-13C6-58CB-6D08-5ADDCB16F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118110</xdr:rowOff>
    </xdr:from>
    <xdr:to>
      <xdr:col>23</xdr:col>
      <xdr:colOff>365760</xdr:colOff>
      <xdr:row>27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E0BEFA-4206-D613-BEC4-1BF146095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8CC25B-B2CE-E240-54CE-A3AD6F99A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</xdr:colOff>
      <xdr:row>12</xdr:row>
      <xdr:rowOff>163830</xdr:rowOff>
    </xdr:from>
    <xdr:to>
      <xdr:col>23</xdr:col>
      <xdr:colOff>358140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1DF764-5F5C-1EEA-4418-572D845F1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DFDC0B-BDEF-1BBF-3A69-F56B1A5A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12</xdr:row>
      <xdr:rowOff>148590</xdr:rowOff>
    </xdr:from>
    <xdr:to>
      <xdr:col>23</xdr:col>
      <xdr:colOff>396240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FF21071-0E62-EAD7-508E-A914EDE39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49530</xdr:rowOff>
    </xdr:from>
    <xdr:to>
      <xdr:col>23</xdr:col>
      <xdr:colOff>381000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64D0CF0-73AD-A624-AE83-AE4C2C84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148590</xdr:rowOff>
    </xdr:from>
    <xdr:to>
      <xdr:col>23</xdr:col>
      <xdr:colOff>365760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EF6823-A361-6C12-1BEB-82016C214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A832-1F05-4FB0-A63E-5A831ED95D63}">
  <dimension ref="A1:P19"/>
  <sheetViews>
    <sheetView topLeftCell="C1" workbookViewId="0">
      <selection activeCell="N1" activeCellId="1" sqref="I1:J8 N1:P8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6</v>
      </c>
      <c r="B2" s="9">
        <v>7.1095291665898234E-3</v>
      </c>
      <c r="C2" s="9">
        <v>7.0422535211267607E-3</v>
      </c>
      <c r="D2" s="9">
        <v>1.9047619047619049E-2</v>
      </c>
      <c r="E2" s="9">
        <v>0</v>
      </c>
      <c r="F2" s="9">
        <v>0</v>
      </c>
      <c r="G2" s="9">
        <v>0</v>
      </c>
      <c r="H2" s="9">
        <v>0</v>
      </c>
      <c r="I2" s="8">
        <v>7.1095291665898234E-3</v>
      </c>
      <c r="J2" s="9">
        <v>7.1095291665898234E-3</v>
      </c>
      <c r="K2" s="9">
        <v>7.0422535211267607E-3</v>
      </c>
      <c r="L2" s="9">
        <v>1.9047619047619049E-2</v>
      </c>
      <c r="M2" s="9">
        <v>0</v>
      </c>
      <c r="N2" s="9">
        <v>0</v>
      </c>
      <c r="O2" s="9">
        <v>0</v>
      </c>
      <c r="P2" s="9">
        <v>0</v>
      </c>
    </row>
    <row r="3" spans="1:16" x14ac:dyDescent="0.3">
      <c r="A3" s="8" t="s">
        <v>2</v>
      </c>
      <c r="B3" s="9">
        <v>3.2117367168913558E-2</v>
      </c>
      <c r="C3" s="9">
        <v>5.6338028169014086E-2</v>
      </c>
      <c r="D3" s="9">
        <v>4.2857142857142858E-2</v>
      </c>
      <c r="E3" s="9">
        <v>6.1111111111111109E-2</v>
      </c>
      <c r="F3" s="9">
        <v>2.0477815699658702E-2</v>
      </c>
      <c r="G3" s="9">
        <v>3.6170212765957444E-2</v>
      </c>
      <c r="H3" s="9">
        <v>4.5918367346938778E-2</v>
      </c>
      <c r="I3" s="8">
        <v>3.9226896335503379E-2</v>
      </c>
      <c r="J3" s="8">
        <f>J2+B3</f>
        <v>3.9226896335503379E-2</v>
      </c>
      <c r="K3" s="8">
        <f t="shared" ref="K3:P8" si="0">K2+C3</f>
        <v>6.3380281690140844E-2</v>
      </c>
      <c r="L3" s="8">
        <f t="shared" si="0"/>
        <v>6.1904761904761907E-2</v>
      </c>
      <c r="M3" s="8">
        <f t="shared" si="0"/>
        <v>6.1111111111111109E-2</v>
      </c>
      <c r="N3" s="8">
        <f t="shared" si="0"/>
        <v>2.0477815699658702E-2</v>
      </c>
      <c r="O3" s="8">
        <f t="shared" si="0"/>
        <v>3.6170212765957444E-2</v>
      </c>
      <c r="P3" s="8">
        <f t="shared" si="0"/>
        <v>4.5918367346938778E-2</v>
      </c>
    </row>
    <row r="4" spans="1:16" x14ac:dyDescent="0.3">
      <c r="A4" s="8" t="s">
        <v>5</v>
      </c>
      <c r="B4" s="9">
        <v>6.9979528982166236E-2</v>
      </c>
      <c r="C4" s="9">
        <v>8.6854460093896718E-2</v>
      </c>
      <c r="D4" s="9">
        <v>7.6190476190476197E-2</v>
      </c>
      <c r="E4" s="9">
        <v>3.3333333333333333E-2</v>
      </c>
      <c r="F4" s="9">
        <v>8.3617747440273033E-2</v>
      </c>
      <c r="G4" s="9">
        <v>5.106382978723404E-2</v>
      </c>
      <c r="H4" s="9">
        <v>9.6938775510204078E-2</v>
      </c>
      <c r="I4" s="8">
        <v>0.10920642531766961</v>
      </c>
      <c r="J4" s="8">
        <f t="shared" ref="J4:J8" si="1">J3+B4</f>
        <v>0.10920642531766961</v>
      </c>
      <c r="K4" s="8">
        <f t="shared" si="0"/>
        <v>0.15023474178403756</v>
      </c>
      <c r="L4" s="8">
        <f t="shared" si="0"/>
        <v>0.1380952380952381</v>
      </c>
      <c r="M4" s="8">
        <f t="shared" si="0"/>
        <v>9.4444444444444442E-2</v>
      </c>
      <c r="N4" s="8">
        <f t="shared" si="0"/>
        <v>0.10409556313993173</v>
      </c>
      <c r="O4" s="8">
        <f t="shared" si="0"/>
        <v>8.7234042553191476E-2</v>
      </c>
      <c r="P4" s="8">
        <f t="shared" si="0"/>
        <v>0.14285714285714285</v>
      </c>
    </row>
    <row r="5" spans="1:16" x14ac:dyDescent="0.3">
      <c r="A5" s="8" t="s">
        <v>1</v>
      </c>
      <c r="B5" s="9">
        <v>0.12331482950039652</v>
      </c>
      <c r="C5" s="9">
        <v>0.11032863849765258</v>
      </c>
      <c r="D5" s="9">
        <v>0.16190476190476191</v>
      </c>
      <c r="E5" s="9">
        <v>0.27777777777777779</v>
      </c>
      <c r="F5" s="9">
        <v>0.16382252559726962</v>
      </c>
      <c r="G5" s="9">
        <v>0.1</v>
      </c>
      <c r="H5" s="9">
        <v>0.17857142857142858</v>
      </c>
      <c r="I5" s="8">
        <v>0.23252125481806613</v>
      </c>
      <c r="J5" s="8">
        <f t="shared" si="1"/>
        <v>0.23252125481806613</v>
      </c>
      <c r="K5" s="8">
        <f t="shared" si="0"/>
        <v>0.26056338028169013</v>
      </c>
      <c r="L5" s="8">
        <f t="shared" si="0"/>
        <v>0.30000000000000004</v>
      </c>
      <c r="M5" s="8">
        <f t="shared" si="0"/>
        <v>0.37222222222222223</v>
      </c>
      <c r="N5" s="8">
        <f t="shared" si="0"/>
        <v>0.26791808873720135</v>
      </c>
      <c r="O5" s="8">
        <f t="shared" si="0"/>
        <v>0.18723404255319148</v>
      </c>
      <c r="P5" s="8">
        <f t="shared" si="0"/>
        <v>0.3214285714285714</v>
      </c>
    </row>
    <row r="6" spans="1:16" x14ac:dyDescent="0.3">
      <c r="A6" s="8" t="s">
        <v>4</v>
      </c>
      <c r="B6" s="9">
        <v>0.1244582557217417</v>
      </c>
      <c r="C6" s="9">
        <v>4.4600938967136149E-2</v>
      </c>
      <c r="D6" s="9">
        <v>3.8095238095238099E-2</v>
      </c>
      <c r="E6" s="9">
        <v>3.3333333333333333E-2</v>
      </c>
      <c r="F6" s="9">
        <v>8.7030716723549492E-2</v>
      </c>
      <c r="G6" s="9">
        <v>0.15319148936170213</v>
      </c>
      <c r="H6" s="9">
        <v>0.14285714285714285</v>
      </c>
      <c r="I6" s="8">
        <v>0.35697951053980781</v>
      </c>
      <c r="J6" s="8">
        <f t="shared" si="1"/>
        <v>0.35697951053980781</v>
      </c>
      <c r="K6" s="8">
        <f t="shared" si="0"/>
        <v>0.30516431924882625</v>
      </c>
      <c r="L6" s="8">
        <f t="shared" si="0"/>
        <v>0.33809523809523812</v>
      </c>
      <c r="M6" s="8">
        <f t="shared" si="0"/>
        <v>0.40555555555555556</v>
      </c>
      <c r="N6" s="8">
        <f t="shared" si="0"/>
        <v>0.35494880546075086</v>
      </c>
      <c r="O6" s="8">
        <f t="shared" si="0"/>
        <v>0.34042553191489361</v>
      </c>
      <c r="P6" s="8">
        <f t="shared" si="0"/>
        <v>0.46428571428571425</v>
      </c>
    </row>
    <row r="7" spans="1:16" x14ac:dyDescent="0.3">
      <c r="A7" s="8" t="s">
        <v>3</v>
      </c>
      <c r="B7" s="9">
        <v>0.16871991590284566</v>
      </c>
      <c r="C7" s="9">
        <v>0.12910798122065728</v>
      </c>
      <c r="D7" s="9">
        <v>0.18571428571428572</v>
      </c>
      <c r="E7" s="9">
        <v>0.22222222222222221</v>
      </c>
      <c r="F7" s="9">
        <v>0.28668941979522183</v>
      </c>
      <c r="G7" s="9">
        <v>0.16595744680851063</v>
      </c>
      <c r="H7" s="9">
        <v>0.15306122448979592</v>
      </c>
      <c r="I7" s="8">
        <v>0.52569942644265344</v>
      </c>
      <c r="J7" s="8">
        <f t="shared" si="1"/>
        <v>0.52569942644265344</v>
      </c>
      <c r="K7" s="8">
        <f t="shared" si="0"/>
        <v>0.43427230046948351</v>
      </c>
      <c r="L7" s="8">
        <f t="shared" si="0"/>
        <v>0.52380952380952384</v>
      </c>
      <c r="M7" s="8">
        <f t="shared" si="0"/>
        <v>0.62777777777777777</v>
      </c>
      <c r="N7" s="8">
        <f t="shared" si="0"/>
        <v>0.64163822525597269</v>
      </c>
      <c r="O7" s="8">
        <f t="shared" si="0"/>
        <v>0.50638297872340421</v>
      </c>
      <c r="P7" s="8">
        <f t="shared" si="0"/>
        <v>0.61734693877551017</v>
      </c>
    </row>
    <row r="8" spans="1:16" x14ac:dyDescent="0.3">
      <c r="A8" s="8" t="s">
        <v>0</v>
      </c>
      <c r="B8" s="9">
        <v>0.47430057355734651</v>
      </c>
      <c r="C8" s="9">
        <v>0.56572769953051638</v>
      </c>
      <c r="D8" s="9">
        <v>0.47619047619047616</v>
      </c>
      <c r="E8" s="9">
        <v>0.37222222222222223</v>
      </c>
      <c r="F8" s="9">
        <v>0.35836177474402731</v>
      </c>
      <c r="G8" s="9">
        <v>0.49361702127659574</v>
      </c>
      <c r="H8" s="9">
        <v>0.38265306122448978</v>
      </c>
      <c r="I8" s="8">
        <v>1</v>
      </c>
      <c r="J8" s="8">
        <f t="shared" si="1"/>
        <v>1</v>
      </c>
      <c r="K8" s="8">
        <f t="shared" si="0"/>
        <v>0.99999999999999989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10" t="s">
        <v>67</v>
      </c>
      <c r="L10" s="10" t="s">
        <v>68</v>
      </c>
      <c r="M10" s="10" t="s">
        <v>69</v>
      </c>
      <c r="N10" s="10" t="s">
        <v>70</v>
      </c>
      <c r="O10" s="10" t="s">
        <v>71</v>
      </c>
      <c r="P10" s="10" t="s">
        <v>72</v>
      </c>
    </row>
    <row r="11" spans="1:16" x14ac:dyDescent="0.3">
      <c r="B11" s="8" t="s">
        <v>6</v>
      </c>
      <c r="C11" s="8">
        <f>C2-B2</f>
        <v>-6.727564546306266E-5</v>
      </c>
      <c r="D11" s="8">
        <f>D2-B2</f>
        <v>1.1938089881029226E-2</v>
      </c>
      <c r="E11" s="8">
        <f>E2-B2</f>
        <v>-7.1095291665898234E-3</v>
      </c>
      <c r="F11" s="8">
        <f>F2-B2</f>
        <v>-7.1095291665898234E-3</v>
      </c>
      <c r="G11" s="8">
        <f>G2-B2</f>
        <v>-7.1095291665898234E-3</v>
      </c>
      <c r="H11" s="8">
        <f>H2-B2</f>
        <v>-7.1095291665898234E-3</v>
      </c>
      <c r="J11" s="8" t="s">
        <v>6</v>
      </c>
      <c r="K11" s="7">
        <f>(J2-0) * ((K2+0))</f>
        <v>5.006710680697059E-5</v>
      </c>
      <c r="L11" s="7">
        <f>(J2-0) * ((L2+0))</f>
        <v>1.3541960317313951E-4</v>
      </c>
      <c r="M11" s="7">
        <f>(J2-0) * ((M2+0))</f>
        <v>0</v>
      </c>
      <c r="N11" s="7">
        <f>(J2-0) * ((N2+0))</f>
        <v>0</v>
      </c>
      <c r="O11" s="7">
        <f>(J2-0) * ((O2+0))</f>
        <v>0</v>
      </c>
      <c r="P11" s="7">
        <f>(J2-0) * ((P2+0))</f>
        <v>0</v>
      </c>
    </row>
    <row r="12" spans="1:16" x14ac:dyDescent="0.3">
      <c r="B12" s="8" t="s">
        <v>2</v>
      </c>
      <c r="C12" s="8">
        <f t="shared" ref="C12:C17" si="2">C3-B3</f>
        <v>2.4220661000100528E-2</v>
      </c>
      <c r="D12" s="8">
        <f t="shared" ref="D12:D17" si="3">D3-B3</f>
        <v>1.07397756882293E-2</v>
      </c>
      <c r="E12" s="8">
        <f t="shared" ref="E12:E17" si="4">E3-B3</f>
        <v>2.8993743942197552E-2</v>
      </c>
      <c r="F12" s="8">
        <f t="shared" ref="F12:F17" si="5">F3-B3</f>
        <v>-1.1639551469254855E-2</v>
      </c>
      <c r="G12" s="8">
        <f t="shared" ref="G12:G17" si="6">G3-B3</f>
        <v>4.0528455970438859E-3</v>
      </c>
      <c r="H12" s="8">
        <f t="shared" ref="H12:H17" si="7">H3-B3</f>
        <v>1.380100017802522E-2</v>
      </c>
      <c r="J12" s="8" t="s">
        <v>2</v>
      </c>
      <c r="K12" s="7">
        <f>(J3-J2) * ((K3+K2))</f>
        <v>2.2617864203460254E-3</v>
      </c>
      <c r="L12" s="7">
        <f>(J3-J2) * ((L3+L2))</f>
        <v>2.5999773422453834E-3</v>
      </c>
      <c r="M12" s="7">
        <f>(J3-J2) * ((M3+M2))</f>
        <v>1.9627279936558282E-3</v>
      </c>
      <c r="N12" s="7">
        <f>(J3-J2) * ((N3+N2))</f>
        <v>6.5769352564328106E-4</v>
      </c>
      <c r="O12" s="7">
        <f>(J3-J2) * ((O3+O2))</f>
        <v>1.1616920039819797E-3</v>
      </c>
      <c r="P12" s="7">
        <f>(J3-J2) * ((P3+P2))</f>
        <v>1.4747770638786838E-3</v>
      </c>
    </row>
    <row r="13" spans="1:16" x14ac:dyDescent="0.3">
      <c r="B13" s="8" t="s">
        <v>5</v>
      </c>
      <c r="C13" s="8">
        <f t="shared" si="2"/>
        <v>1.6874931111730482E-2</v>
      </c>
      <c r="D13" s="8">
        <f t="shared" si="3"/>
        <v>6.2109472083099609E-3</v>
      </c>
      <c r="E13" s="8">
        <f t="shared" si="4"/>
        <v>-3.6646195648832904E-2</v>
      </c>
      <c r="F13" s="8">
        <f t="shared" si="5"/>
        <v>1.3638218458106796E-2</v>
      </c>
      <c r="G13" s="8">
        <f t="shared" si="6"/>
        <v>-1.8915699194932196E-2</v>
      </c>
      <c r="H13" s="8">
        <f t="shared" si="7"/>
        <v>2.6959246528037842E-2</v>
      </c>
      <c r="J13" s="8" t="s">
        <v>5</v>
      </c>
      <c r="K13" s="7">
        <f t="shared" ref="K13:K17" si="8">(J4-J3) * ((K4+K3))</f>
        <v>1.4948678726237386E-2</v>
      </c>
      <c r="L13" s="7">
        <f t="shared" ref="L13:L17" si="9">(J4-J3) * ((L4+L3))</f>
        <v>1.3995905796433245E-2</v>
      </c>
      <c r="M13" s="7">
        <f t="shared" ref="M13:M17" si="10">(J4-J3) * ((M4+M3))</f>
        <v>1.0885704508336968E-2</v>
      </c>
      <c r="N13" s="7">
        <f t="shared" ref="N13:N17" si="11">(J4-J3) * ((N4+N3))</f>
        <v>8.7175863749114919E-3</v>
      </c>
      <c r="O13" s="7">
        <f t="shared" ref="O13:O17" si="12">(J4-J3) * ((O4+O3))</f>
        <v>8.6357716616290228E-3</v>
      </c>
      <c r="P13" s="7">
        <f t="shared" ref="P13:P17" si="13">(J4-J3) * ((P4+P3))</f>
        <v>1.3210421287449745E-2</v>
      </c>
    </row>
    <row r="14" spans="1:16" x14ac:dyDescent="0.3">
      <c r="B14" s="8" t="s">
        <v>1</v>
      </c>
      <c r="C14" s="8">
        <f t="shared" si="2"/>
        <v>-1.2986191002743938E-2</v>
      </c>
      <c r="D14" s="8">
        <f t="shared" si="3"/>
        <v>3.8589932404365396E-2</v>
      </c>
      <c r="E14" s="8">
        <f t="shared" si="4"/>
        <v>0.15446294827738127</v>
      </c>
      <c r="F14" s="8">
        <f t="shared" si="5"/>
        <v>4.0507696096873103E-2</v>
      </c>
      <c r="G14" s="8">
        <f t="shared" si="6"/>
        <v>-2.3314829500396511E-2</v>
      </c>
      <c r="H14" s="8">
        <f t="shared" si="7"/>
        <v>5.5256599071032059E-2</v>
      </c>
      <c r="J14" s="8" t="s">
        <v>1</v>
      </c>
      <c r="K14" s="7">
        <f t="shared" si="8"/>
        <v>5.0657500381618287E-2</v>
      </c>
      <c r="L14" s="7">
        <f t="shared" si="9"/>
        <v>5.4023639590649909E-2</v>
      </c>
      <c r="M14" s="7">
        <f t="shared" si="10"/>
        <v>5.7546920433518375E-2</v>
      </c>
      <c r="N14" s="7">
        <f t="shared" si="11"/>
        <v>4.5874800053048531E-2</v>
      </c>
      <c r="O14" s="7">
        <f t="shared" si="12"/>
        <v>3.3845985118193936E-2</v>
      </c>
      <c r="P14" s="7">
        <f t="shared" si="13"/>
        <v>5.7253313696612664E-2</v>
      </c>
    </row>
    <row r="15" spans="1:16" x14ac:dyDescent="0.3">
      <c r="B15" s="8" t="s">
        <v>4</v>
      </c>
      <c r="C15" s="8">
        <f t="shared" si="2"/>
        <v>-7.9857316754605556E-2</v>
      </c>
      <c r="D15" s="8">
        <f t="shared" si="3"/>
        <v>-8.6363017626503599E-2</v>
      </c>
      <c r="E15" s="8">
        <f t="shared" si="4"/>
        <v>-9.1124922388408358E-2</v>
      </c>
      <c r="F15" s="8">
        <f t="shared" si="5"/>
        <v>-3.7427538998192206E-2</v>
      </c>
      <c r="G15" s="8">
        <f t="shared" si="6"/>
        <v>2.8733233639960429E-2</v>
      </c>
      <c r="H15" s="8">
        <f t="shared" si="7"/>
        <v>1.8398887135401151E-2</v>
      </c>
      <c r="J15" s="8" t="s">
        <v>4</v>
      </c>
      <c r="K15" s="7">
        <f t="shared" si="8"/>
        <v>7.0409482697041656E-2</v>
      </c>
      <c r="L15" s="7">
        <f t="shared" si="9"/>
        <v>7.9416220317682792E-2</v>
      </c>
      <c r="M15" s="7">
        <f t="shared" si="10"/>
        <v>9.6800865561354643E-2</v>
      </c>
      <c r="N15" s="7">
        <f t="shared" si="11"/>
        <v>7.7520927198695772E-2</v>
      </c>
      <c r="O15" s="7">
        <f t="shared" si="12"/>
        <v>6.5671590253174331E-2</v>
      </c>
      <c r="P15" s="7">
        <f t="shared" si="13"/>
        <v>9.7788629495654159E-2</v>
      </c>
    </row>
    <row r="16" spans="1:16" x14ac:dyDescent="0.3">
      <c r="B16" s="8" t="s">
        <v>3</v>
      </c>
      <c r="C16" s="8">
        <f t="shared" si="2"/>
        <v>-3.9611934682188377E-2</v>
      </c>
      <c r="D16" s="8">
        <f t="shared" si="3"/>
        <v>1.6994369811440063E-2</v>
      </c>
      <c r="E16" s="8">
        <f t="shared" si="4"/>
        <v>5.3502306319376552E-2</v>
      </c>
      <c r="F16" s="8">
        <f t="shared" si="5"/>
        <v>0.11796950389237618</v>
      </c>
      <c r="G16" s="8">
        <f t="shared" si="6"/>
        <v>-2.7624690943350294E-3</v>
      </c>
      <c r="H16" s="8">
        <f t="shared" si="7"/>
        <v>-1.5658691413049736E-2</v>
      </c>
      <c r="J16" s="8" t="s">
        <v>3</v>
      </c>
      <c r="K16" s="7">
        <f t="shared" si="8"/>
        <v>0.12475768429435767</v>
      </c>
      <c r="L16" s="7">
        <f t="shared" si="9"/>
        <v>0.14542049894483361</v>
      </c>
      <c r="M16" s="7">
        <f t="shared" si="10"/>
        <v>0.17434391309960712</v>
      </c>
      <c r="N16" s="7">
        <f t="shared" si="11"/>
        <v>0.16814408001239223</v>
      </c>
      <c r="O16" s="7">
        <f t="shared" si="12"/>
        <v>0.14287346070070758</v>
      </c>
      <c r="P16" s="7">
        <f t="shared" si="13"/>
        <v>0.18249297026226158</v>
      </c>
    </row>
    <row r="17" spans="2:16" x14ac:dyDescent="0.3">
      <c r="B17" s="8" t="s">
        <v>0</v>
      </c>
      <c r="C17" s="8">
        <f t="shared" si="2"/>
        <v>9.1427125973169876E-2</v>
      </c>
      <c r="D17" s="8">
        <f t="shared" si="3"/>
        <v>1.8899026331296587E-3</v>
      </c>
      <c r="E17" s="8">
        <f t="shared" si="4"/>
        <v>-0.10207835133512427</v>
      </c>
      <c r="F17" s="8">
        <f t="shared" si="5"/>
        <v>-0.1159387988133192</v>
      </c>
      <c r="G17" s="8">
        <f t="shared" si="6"/>
        <v>1.931644771924923E-2</v>
      </c>
      <c r="H17" s="8">
        <f t="shared" si="7"/>
        <v>-9.1647512332856729E-2</v>
      </c>
      <c r="J17" s="8" t="s">
        <v>0</v>
      </c>
      <c r="K17" s="7">
        <f t="shared" si="8"/>
        <v>0.68027617475009095</v>
      </c>
      <c r="L17" s="7">
        <f t="shared" si="9"/>
        <v>0.72274373113500423</v>
      </c>
      <c r="M17" s="7">
        <f t="shared" si="10"/>
        <v>0.77205593362390301</v>
      </c>
      <c r="N17" s="7">
        <f t="shared" si="11"/>
        <v>0.77862995181257233</v>
      </c>
      <c r="O17" s="7">
        <f t="shared" si="12"/>
        <v>0.71447831080553481</v>
      </c>
      <c r="P17" s="7">
        <f t="shared" si="13"/>
        <v>0.76710858070244314</v>
      </c>
    </row>
    <row r="18" spans="2:16" x14ac:dyDescent="0.3">
      <c r="J18" s="11" t="s">
        <v>73</v>
      </c>
      <c r="K18" s="10">
        <f>SUM(K11:K17)</f>
        <v>0.94336137437649903</v>
      </c>
      <c r="L18" s="10">
        <f t="shared" ref="L18:P18" si="14">SUM(L11:L17)</f>
        <v>1.0183353927300223</v>
      </c>
      <c r="M18" s="10">
        <f t="shared" si="14"/>
        <v>1.113596065220376</v>
      </c>
      <c r="N18" s="10">
        <f t="shared" si="14"/>
        <v>1.0795450389772636</v>
      </c>
      <c r="O18" s="10">
        <f t="shared" si="14"/>
        <v>0.96666681054322168</v>
      </c>
      <c r="P18" s="10">
        <f t="shared" si="14"/>
        <v>1.1193286925082999</v>
      </c>
    </row>
    <row r="19" spans="2:16" x14ac:dyDescent="0.3">
      <c r="J19" s="12" t="s">
        <v>74</v>
      </c>
      <c r="K19" s="13">
        <f>1-K18</f>
        <v>5.6638625623500971E-2</v>
      </c>
      <c r="L19" s="13">
        <f t="shared" ref="L19:P19" si="15">1-L18</f>
        <v>-1.8335392730022271E-2</v>
      </c>
      <c r="M19" s="13">
        <f t="shared" si="15"/>
        <v>-0.11359606522037602</v>
      </c>
      <c r="N19" s="13">
        <f t="shared" si="15"/>
        <v>-7.9545038977263616E-2</v>
      </c>
      <c r="O19" s="13">
        <f t="shared" si="15"/>
        <v>3.3333189456778323E-2</v>
      </c>
      <c r="P19" s="13">
        <f t="shared" si="15"/>
        <v>-0.11932869250829992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FAB-7BE8-48D2-82E9-74A905705DE0}">
  <dimension ref="A1:P19"/>
  <sheetViews>
    <sheetView tabSelected="1" topLeftCell="C1" workbookViewId="0">
      <selection activeCell="C22" sqref="C2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9</v>
      </c>
      <c r="B2" s="9">
        <v>2.8357105757321508E-2</v>
      </c>
      <c r="C2" s="9">
        <v>1.896551724137931E-2</v>
      </c>
      <c r="D2" s="9">
        <v>6.0606060606060606E-3</v>
      </c>
      <c r="E2" s="9">
        <v>3.0534351145038167E-2</v>
      </c>
      <c r="F2" s="9">
        <v>3.6036036036036036E-2</v>
      </c>
      <c r="G2" s="9">
        <v>4.519774011299435E-2</v>
      </c>
      <c r="H2" s="9">
        <v>7.7720207253886009E-2</v>
      </c>
      <c r="I2" s="8">
        <v>2.8357105757321508E-2</v>
      </c>
      <c r="J2" s="9">
        <v>2.8357105757321508E-2</v>
      </c>
      <c r="K2" s="9">
        <v>1.896551724137931E-2</v>
      </c>
      <c r="L2" s="9">
        <v>6.0606060606060606E-3</v>
      </c>
      <c r="M2" s="9">
        <v>3.0534351145038167E-2</v>
      </c>
      <c r="N2" s="9">
        <v>3.6036036036036036E-2</v>
      </c>
      <c r="O2" s="9">
        <v>4.519774011299435E-2</v>
      </c>
      <c r="P2" s="9">
        <v>7.7720207253886009E-2</v>
      </c>
    </row>
    <row r="3" spans="1:16" x14ac:dyDescent="0.3">
      <c r="A3" s="8" t="s">
        <v>8</v>
      </c>
      <c r="B3" s="9">
        <v>4.5517200047944385E-2</v>
      </c>
      <c r="C3" s="9">
        <v>2.5862068965517241E-2</v>
      </c>
      <c r="D3" s="9">
        <v>3.0303030303030304E-2</v>
      </c>
      <c r="E3" s="9">
        <v>8.3969465648854963E-2</v>
      </c>
      <c r="F3" s="9">
        <v>6.0810810810810814E-2</v>
      </c>
      <c r="G3" s="9">
        <v>5.3672316384180789E-2</v>
      </c>
      <c r="H3" s="9">
        <v>5.6994818652849742E-2</v>
      </c>
      <c r="I3" s="8">
        <v>7.3874305805265897E-2</v>
      </c>
      <c r="J3" s="8">
        <f>J2+B3</f>
        <v>7.3874305805265897E-2</v>
      </c>
      <c r="K3" s="8">
        <f t="shared" ref="K3:P8" si="0">K2+C3</f>
        <v>4.4827586206896551E-2</v>
      </c>
      <c r="L3" s="8">
        <f t="shared" si="0"/>
        <v>3.6363636363636362E-2</v>
      </c>
      <c r="M3" s="8">
        <f t="shared" si="0"/>
        <v>0.11450381679389313</v>
      </c>
      <c r="N3" s="8">
        <f t="shared" si="0"/>
        <v>9.6846846846846857E-2</v>
      </c>
      <c r="O3" s="8">
        <f t="shared" si="0"/>
        <v>9.8870056497175146E-2</v>
      </c>
      <c r="P3" s="8">
        <f t="shared" si="0"/>
        <v>0.13471502590673576</v>
      </c>
    </row>
    <row r="4" spans="1:16" x14ac:dyDescent="0.3">
      <c r="A4" s="8" t="s">
        <v>13</v>
      </c>
      <c r="B4" s="9">
        <v>4.8413839945663034E-2</v>
      </c>
      <c r="C4" s="9">
        <v>6.5517241379310351E-2</v>
      </c>
      <c r="D4" s="9">
        <v>3.6363636363636362E-2</v>
      </c>
      <c r="E4" s="9">
        <v>4.5801526717557252E-2</v>
      </c>
      <c r="F4" s="9">
        <v>8.5585585585585586E-2</v>
      </c>
      <c r="G4" s="9">
        <v>0.10451977401129943</v>
      </c>
      <c r="H4" s="9">
        <v>8.2901554404145081E-2</v>
      </c>
      <c r="I4" s="8">
        <v>0.12228814575092893</v>
      </c>
      <c r="J4" s="8">
        <f t="shared" ref="J4:J8" si="1">J3+B4</f>
        <v>0.12228814575092893</v>
      </c>
      <c r="K4" s="8">
        <f t="shared" si="0"/>
        <v>0.1103448275862069</v>
      </c>
      <c r="L4" s="8">
        <f t="shared" si="0"/>
        <v>7.2727272727272724E-2</v>
      </c>
      <c r="M4" s="8">
        <f t="shared" si="0"/>
        <v>0.16030534351145037</v>
      </c>
      <c r="N4" s="8">
        <f t="shared" si="0"/>
        <v>0.18243243243243246</v>
      </c>
      <c r="O4" s="8">
        <f t="shared" si="0"/>
        <v>0.20338983050847459</v>
      </c>
      <c r="P4" s="8">
        <f t="shared" si="0"/>
        <v>0.21761658031088082</v>
      </c>
    </row>
    <row r="5" spans="1:16" x14ac:dyDescent="0.3">
      <c r="A5" s="8" t="s">
        <v>10</v>
      </c>
      <c r="B5" s="9">
        <v>5.5785289064684968E-2</v>
      </c>
      <c r="C5" s="9">
        <v>6.8965517241379309E-2</v>
      </c>
      <c r="D5" s="9">
        <v>8.4848484848484854E-2</v>
      </c>
      <c r="E5" s="9">
        <v>0.10687022900763359</v>
      </c>
      <c r="F5" s="9">
        <v>9.2342342342342343E-2</v>
      </c>
      <c r="G5" s="9">
        <v>6.7796610169491525E-2</v>
      </c>
      <c r="H5" s="9">
        <v>5.6994818652849742E-2</v>
      </c>
      <c r="I5" s="8">
        <v>0.17807343481561388</v>
      </c>
      <c r="J5" s="8">
        <f t="shared" si="1"/>
        <v>0.17807343481561388</v>
      </c>
      <c r="K5" s="8">
        <f t="shared" si="0"/>
        <v>0.1793103448275862</v>
      </c>
      <c r="L5" s="8">
        <f t="shared" si="0"/>
        <v>0.15757575757575759</v>
      </c>
      <c r="M5" s="8">
        <f t="shared" si="0"/>
        <v>0.26717557251908397</v>
      </c>
      <c r="N5" s="8">
        <f t="shared" si="0"/>
        <v>0.2747747747747748</v>
      </c>
      <c r="O5" s="8">
        <f t="shared" si="0"/>
        <v>0.2711864406779661</v>
      </c>
      <c r="P5" s="8">
        <f t="shared" si="0"/>
        <v>0.27461139896373055</v>
      </c>
    </row>
    <row r="6" spans="1:16" x14ac:dyDescent="0.3">
      <c r="A6" s="8" t="s">
        <v>12</v>
      </c>
      <c r="B6" s="9">
        <v>0.13044867953174319</v>
      </c>
      <c r="C6" s="9">
        <v>4.4827586206896551E-2</v>
      </c>
      <c r="D6" s="9">
        <v>9.696969696969697E-2</v>
      </c>
      <c r="E6" s="9">
        <v>0.26717557251908397</v>
      </c>
      <c r="F6" s="9">
        <v>7.2072072072072071E-2</v>
      </c>
      <c r="G6" s="9">
        <v>7.6271186440677971E-2</v>
      </c>
      <c r="H6" s="9">
        <v>0.10880829015544041</v>
      </c>
      <c r="I6" s="8">
        <v>0.3085221143473571</v>
      </c>
      <c r="J6" s="8">
        <f t="shared" si="1"/>
        <v>0.3085221143473571</v>
      </c>
      <c r="K6" s="8">
        <f t="shared" si="0"/>
        <v>0.22413793103448276</v>
      </c>
      <c r="L6" s="8">
        <f t="shared" si="0"/>
        <v>0.25454545454545457</v>
      </c>
      <c r="M6" s="8">
        <f t="shared" si="0"/>
        <v>0.53435114503816794</v>
      </c>
      <c r="N6" s="8">
        <f t="shared" si="0"/>
        <v>0.34684684684684686</v>
      </c>
      <c r="O6" s="8">
        <f t="shared" si="0"/>
        <v>0.34745762711864409</v>
      </c>
      <c r="P6" s="8">
        <f t="shared" si="0"/>
        <v>0.38341968911917096</v>
      </c>
    </row>
    <row r="7" spans="1:16" x14ac:dyDescent="0.3">
      <c r="A7" s="8" t="s">
        <v>11</v>
      </c>
      <c r="B7" s="9">
        <v>0.14872747612769188</v>
      </c>
      <c r="C7" s="9">
        <v>0.10172413793103448</v>
      </c>
      <c r="D7" s="9">
        <v>0.1393939393939394</v>
      </c>
      <c r="E7" s="9">
        <v>9.9236641221374045E-2</v>
      </c>
      <c r="F7" s="9">
        <v>0.20045045045045046</v>
      </c>
      <c r="G7" s="9">
        <v>0.21186440677966101</v>
      </c>
      <c r="H7" s="9">
        <v>0.16062176165803108</v>
      </c>
      <c r="I7" s="8">
        <v>0.45724959047504898</v>
      </c>
      <c r="J7" s="8">
        <f t="shared" si="1"/>
        <v>0.45724959047504898</v>
      </c>
      <c r="K7" s="8">
        <f t="shared" si="0"/>
        <v>0.32586206896551723</v>
      </c>
      <c r="L7" s="8">
        <f t="shared" si="0"/>
        <v>0.39393939393939398</v>
      </c>
      <c r="M7" s="8">
        <f t="shared" si="0"/>
        <v>0.63358778625954204</v>
      </c>
      <c r="N7" s="8">
        <f t="shared" si="0"/>
        <v>0.54729729729729737</v>
      </c>
      <c r="O7" s="8">
        <f t="shared" si="0"/>
        <v>0.55932203389830515</v>
      </c>
      <c r="P7" s="8">
        <f t="shared" si="0"/>
        <v>0.54404145077720201</v>
      </c>
    </row>
    <row r="8" spans="1:16" x14ac:dyDescent="0.3">
      <c r="A8" s="8" t="s">
        <v>7</v>
      </c>
      <c r="B8" s="9">
        <v>0.54275040952495102</v>
      </c>
      <c r="C8" s="9">
        <v>0.67413793103448272</v>
      </c>
      <c r="D8" s="9">
        <v>0.60606060606060608</v>
      </c>
      <c r="E8" s="9">
        <v>0.36641221374045801</v>
      </c>
      <c r="F8" s="9">
        <v>0.45270270270270269</v>
      </c>
      <c r="G8" s="9">
        <v>0.44067796610169491</v>
      </c>
      <c r="H8" s="9">
        <v>0.45595854922279794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10" t="s">
        <v>67</v>
      </c>
      <c r="L10" s="10" t="s">
        <v>68</v>
      </c>
      <c r="M10" s="10" t="s">
        <v>69</v>
      </c>
      <c r="N10" s="10" t="s">
        <v>70</v>
      </c>
      <c r="O10" s="10" t="s">
        <v>71</v>
      </c>
      <c r="P10" s="10" t="s">
        <v>72</v>
      </c>
    </row>
    <row r="11" spans="1:16" x14ac:dyDescent="0.3">
      <c r="B11" s="8" t="s">
        <v>9</v>
      </c>
      <c r="C11" s="8">
        <f>C2-B2</f>
        <v>-9.391588515942198E-3</v>
      </c>
      <c r="D11" s="8">
        <f>D2-B2</f>
        <v>-2.2296499696715447E-2</v>
      </c>
      <c r="E11" s="8">
        <f>E2-B2</f>
        <v>2.1772453877166587E-3</v>
      </c>
      <c r="F11" s="8">
        <f>F2-B2</f>
        <v>7.6789302787145276E-3</v>
      </c>
      <c r="G11" s="8">
        <f>G2-B2</f>
        <v>1.6840634355672842E-2</v>
      </c>
      <c r="H11" s="8">
        <f>H2-B2</f>
        <v>4.9363101496564504E-2</v>
      </c>
      <c r="J11" s="8" t="s">
        <v>9</v>
      </c>
      <c r="K11" s="7">
        <f>(J2-0) * ((K2+0))</f>
        <v>5.3780717815609758E-4</v>
      </c>
      <c r="L11" s="7">
        <f>(J2-0) * ((L2+0))</f>
        <v>1.7186124701406975E-4</v>
      </c>
      <c r="M11" s="7">
        <f>(J2-0) * ((M2+0))</f>
        <v>8.6586582465103838E-4</v>
      </c>
      <c r="N11" s="7">
        <f>(J2-0) * ((N2+0))</f>
        <v>1.0218776849485228E-3</v>
      </c>
      <c r="O11" s="7">
        <f>(J2-0) * ((O2+0))</f>
        <v>1.2816770963761134E-3</v>
      </c>
      <c r="P11" s="7">
        <f>(J2-0) * ((P2+0))</f>
        <v>2.2039201365793917E-3</v>
      </c>
    </row>
    <row r="12" spans="1:16" x14ac:dyDescent="0.3">
      <c r="B12" s="8" t="s">
        <v>8</v>
      </c>
      <c r="C12" s="8">
        <f t="shared" ref="C12:C17" si="2">C3-B3</f>
        <v>-1.9655131082427144E-2</v>
      </c>
      <c r="D12" s="8">
        <f t="shared" ref="D12:D17" si="3">D3-B3</f>
        <v>-1.5214169744914081E-2</v>
      </c>
      <c r="E12" s="8">
        <f t="shared" ref="E12:E17" si="4">E3-B3</f>
        <v>3.8452265600910578E-2</v>
      </c>
      <c r="F12" s="8">
        <f t="shared" ref="F12:F17" si="5">F3-B3</f>
        <v>1.5293610762866429E-2</v>
      </c>
      <c r="G12" s="8">
        <f t="shared" ref="G12:G17" si="6">G3-B3</f>
        <v>8.1551163362364038E-3</v>
      </c>
      <c r="H12" s="8">
        <f t="shared" ref="H12:H17" si="7">H3-B3</f>
        <v>1.1477618604905357E-2</v>
      </c>
      <c r="J12" s="8" t="s">
        <v>8</v>
      </c>
      <c r="K12" s="7">
        <f>(J3-J2) * ((K3+K2))</f>
        <v>2.9036834513343837E-3</v>
      </c>
      <c r="L12" s="7">
        <f>(J3-J2) * ((L3+L2))</f>
        <v>1.9310327293067316E-3</v>
      </c>
      <c r="M12" s="7">
        <f>(J3-J2) * ((M3+M2))</f>
        <v>6.6017313046636897E-3</v>
      </c>
      <c r="N12" s="7">
        <f>(J3-J2) * ((N3+N2))</f>
        <v>6.0484567631277457E-3</v>
      </c>
      <c r="O12" s="7">
        <f>(J3-J2) * ((O3+O2))</f>
        <v>6.5575627187716501E-3</v>
      </c>
      <c r="P12" s="7">
        <f>(J3-J2) * ((P3+P2))</f>
        <v>9.6694570050037312E-3</v>
      </c>
    </row>
    <row r="13" spans="1:16" x14ac:dyDescent="0.3">
      <c r="B13" s="8" t="s">
        <v>13</v>
      </c>
      <c r="C13" s="8">
        <f t="shared" si="2"/>
        <v>1.7103401433647317E-2</v>
      </c>
      <c r="D13" s="8">
        <f t="shared" si="3"/>
        <v>-1.2050203582026672E-2</v>
      </c>
      <c r="E13" s="8">
        <f t="shared" si="4"/>
        <v>-2.6123132281057823E-3</v>
      </c>
      <c r="F13" s="8">
        <f t="shared" si="5"/>
        <v>3.7171745639922552E-2</v>
      </c>
      <c r="G13" s="8">
        <f t="shared" si="6"/>
        <v>5.6105934065636395E-2</v>
      </c>
      <c r="H13" s="8">
        <f t="shared" si="7"/>
        <v>3.4487714458482047E-2</v>
      </c>
      <c r="J13" s="8" t="s">
        <v>13</v>
      </c>
      <c r="K13" s="7">
        <f t="shared" ref="K13:K17" si="8">(J4-J3) * ((K4+K3))</f>
        <v>7.5124924053615056E-3</v>
      </c>
      <c r="L13" s="7">
        <f t="shared" ref="L13:L17" si="9">(J4-J3) * ((L4+L3))</f>
        <v>5.2815098122541487E-3</v>
      </c>
      <c r="M13" s="7">
        <f t="shared" ref="M13:M17" si="10">(J4-J3) * ((M4+M3))</f>
        <v>1.3304566702624957E-2</v>
      </c>
      <c r="N13" s="7">
        <f t="shared" ref="N13:N17" si="11">(J4-J3) * ((N4+N3))</f>
        <v>1.3520982327167155E-2</v>
      </c>
      <c r="O13" s="7">
        <f t="shared" ref="O13:O17" si="12">(J4-J3) * ((O4+O3))</f>
        <v>1.4633561791485722E-2</v>
      </c>
      <c r="P13" s="7">
        <f t="shared" ref="P13:P17" si="13">(J4-J3) * ((P4+P3))</f>
        <v>1.7057725991218065E-2</v>
      </c>
    </row>
    <row r="14" spans="1:16" x14ac:dyDescent="0.3">
      <c r="B14" s="8" t="s">
        <v>10</v>
      </c>
      <c r="C14" s="8">
        <f t="shared" si="2"/>
        <v>1.3180228176694342E-2</v>
      </c>
      <c r="D14" s="8">
        <f t="shared" si="3"/>
        <v>2.9063195783799886E-2</v>
      </c>
      <c r="E14" s="8">
        <f t="shared" si="4"/>
        <v>5.1084939942948618E-2</v>
      </c>
      <c r="F14" s="8">
        <f t="shared" si="5"/>
        <v>3.6557053277657375E-2</v>
      </c>
      <c r="G14" s="8">
        <f t="shared" si="6"/>
        <v>1.2011321104806558E-2</v>
      </c>
      <c r="H14" s="8">
        <f t="shared" si="7"/>
        <v>1.2095295881647747E-3</v>
      </c>
      <c r="J14" s="8" t="s">
        <v>10</v>
      </c>
      <c r="K14" s="7">
        <f t="shared" si="8"/>
        <v>1.6158497522184609E-2</v>
      </c>
      <c r="L14" s="7">
        <f t="shared" si="9"/>
        <v>1.2847521117927444E-2</v>
      </c>
      <c r="M14" s="7">
        <f t="shared" si="10"/>
        <v>2.3847146470399674E-2</v>
      </c>
      <c r="N14" s="7">
        <f t="shared" si="11"/>
        <v>2.5505436216511367E-2</v>
      </c>
      <c r="O14" s="7">
        <f t="shared" si="12"/>
        <v>2.6474374471375912E-2</v>
      </c>
      <c r="P14" s="7">
        <f t="shared" si="13"/>
        <v>2.7459080109559948E-2</v>
      </c>
    </row>
    <row r="15" spans="1:16" x14ac:dyDescent="0.3">
      <c r="B15" s="8" t="s">
        <v>12</v>
      </c>
      <c r="C15" s="8">
        <f t="shared" si="2"/>
        <v>-8.5621093324846631E-2</v>
      </c>
      <c r="D15" s="8">
        <f t="shared" si="3"/>
        <v>-3.3478982562046219E-2</v>
      </c>
      <c r="E15" s="8">
        <f t="shared" si="4"/>
        <v>0.13672689298734078</v>
      </c>
      <c r="F15" s="8">
        <f t="shared" si="5"/>
        <v>-5.8376607459671118E-2</v>
      </c>
      <c r="G15" s="8">
        <f t="shared" si="6"/>
        <v>-5.4177493091065218E-2</v>
      </c>
      <c r="H15" s="8">
        <f t="shared" si="7"/>
        <v>-2.1640389376302777E-2</v>
      </c>
      <c r="J15" s="8" t="s">
        <v>12</v>
      </c>
      <c r="K15" s="7">
        <f t="shared" si="8"/>
        <v>5.2629294845565368E-2</v>
      </c>
      <c r="L15" s="7">
        <f t="shared" si="9"/>
        <v>5.3760667928233571E-2</v>
      </c>
      <c r="M15" s="7">
        <f t="shared" si="10"/>
        <v>0.10455810191475601</v>
      </c>
      <c r="N15" s="7">
        <f t="shared" si="11"/>
        <v>8.1089719708921468E-2</v>
      </c>
      <c r="O15" s="7">
        <f t="shared" si="12"/>
        <v>8.0701301744214027E-2</v>
      </c>
      <c r="P15" s="7">
        <f t="shared" si="13"/>
        <v>8.5839286531250711E-2</v>
      </c>
    </row>
    <row r="16" spans="1:16" x14ac:dyDescent="0.3">
      <c r="B16" s="8" t="s">
        <v>11</v>
      </c>
      <c r="C16" s="8">
        <f t="shared" si="2"/>
        <v>-4.7003338196657404E-2</v>
      </c>
      <c r="D16" s="8">
        <f t="shared" si="3"/>
        <v>-9.3335367337524788E-3</v>
      </c>
      <c r="E16" s="8">
        <f t="shared" si="4"/>
        <v>-4.9490834906317838E-2</v>
      </c>
      <c r="F16" s="8">
        <f t="shared" si="5"/>
        <v>5.1722974322758575E-2</v>
      </c>
      <c r="G16" s="8">
        <f t="shared" si="6"/>
        <v>6.3136930651969125E-2</v>
      </c>
      <c r="H16" s="8">
        <f t="shared" si="7"/>
        <v>1.1894285530339194E-2</v>
      </c>
      <c r="J16" s="8" t="s">
        <v>11</v>
      </c>
      <c r="K16" s="7">
        <f t="shared" si="8"/>
        <v>8.1800111870230535E-2</v>
      </c>
      <c r="L16" s="7">
        <f t="shared" si="9"/>
        <v>9.6447514822200195E-2</v>
      </c>
      <c r="M16" s="7">
        <f t="shared" si="10"/>
        <v>0.17370460952318212</v>
      </c>
      <c r="N16" s="7">
        <f t="shared" si="11"/>
        <v>0.1329838018529137</v>
      </c>
      <c r="O16" s="7">
        <f t="shared" si="12"/>
        <v>0.13486305038697485</v>
      </c>
      <c r="P16" s="7">
        <f t="shared" si="13"/>
        <v>0.13793895454329971</v>
      </c>
    </row>
    <row r="17" spans="2:16" x14ac:dyDescent="0.3">
      <c r="B17" s="8" t="s">
        <v>7</v>
      </c>
      <c r="C17" s="8">
        <f t="shared" si="2"/>
        <v>0.1313875215095317</v>
      </c>
      <c r="D17" s="8">
        <f t="shared" si="3"/>
        <v>6.3310196535655061E-2</v>
      </c>
      <c r="E17" s="8">
        <f t="shared" si="4"/>
        <v>-0.176338195784493</v>
      </c>
      <c r="F17" s="8">
        <f t="shared" si="5"/>
        <v>-9.004770682224833E-2</v>
      </c>
      <c r="G17" s="8">
        <f t="shared" si="6"/>
        <v>-0.10207244342325611</v>
      </c>
      <c r="H17" s="8">
        <f t="shared" si="7"/>
        <v>-8.6791860302153079E-2</v>
      </c>
      <c r="J17" s="8" t="s">
        <v>7</v>
      </c>
      <c r="K17" s="7">
        <f t="shared" si="8"/>
        <v>0.7196121809046333</v>
      </c>
      <c r="L17" s="7">
        <f t="shared" si="9"/>
        <v>0.75656117691356817</v>
      </c>
      <c r="M17" s="7">
        <f t="shared" si="10"/>
        <v>0.8866304399873246</v>
      </c>
      <c r="N17" s="7">
        <f t="shared" si="11"/>
        <v>0.83979624176495804</v>
      </c>
      <c r="O17" s="7">
        <f t="shared" si="12"/>
        <v>0.8463226724795847</v>
      </c>
      <c r="P17" s="7">
        <f t="shared" si="13"/>
        <v>0.83802912973282584</v>
      </c>
    </row>
    <row r="18" spans="2:16" x14ac:dyDescent="0.3">
      <c r="J18" s="11" t="s">
        <v>73</v>
      </c>
      <c r="K18" s="10">
        <f>SUM(K11:K17)</f>
        <v>0.88115406817746578</v>
      </c>
      <c r="L18" s="10">
        <f t="shared" ref="L18:P18" si="14">SUM(L11:L17)</f>
        <v>0.92700128457050435</v>
      </c>
      <c r="M18" s="10">
        <f t="shared" si="14"/>
        <v>1.2095124617276021</v>
      </c>
      <c r="N18" s="10">
        <f t="shared" si="14"/>
        <v>1.0999665163185481</v>
      </c>
      <c r="O18" s="10">
        <f t="shared" si="14"/>
        <v>1.110834200688783</v>
      </c>
      <c r="P18" s="10">
        <f t="shared" si="14"/>
        <v>1.1181975540497375</v>
      </c>
    </row>
    <row r="19" spans="2:16" x14ac:dyDescent="0.3">
      <c r="J19" s="12" t="s">
        <v>74</v>
      </c>
      <c r="K19" s="13">
        <f>1-K18</f>
        <v>0.11884593182253422</v>
      </c>
      <c r="L19" s="13">
        <f t="shared" ref="L19:P19" si="15">1-L18</f>
        <v>7.2998715429495653E-2</v>
      </c>
      <c r="M19" s="13">
        <f t="shared" si="15"/>
        <v>-0.20951246172760207</v>
      </c>
      <c r="N19" s="13">
        <f t="shared" si="15"/>
        <v>-9.9966516318548138E-2</v>
      </c>
      <c r="O19" s="13">
        <f t="shared" si="15"/>
        <v>-0.11083420068878302</v>
      </c>
      <c r="P19" s="13">
        <f t="shared" si="15"/>
        <v>-0.11819755404973753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6DDE-2264-46B2-A362-B04A250929B2}">
  <dimension ref="A1:P21"/>
  <sheetViews>
    <sheetView workbookViewId="0">
      <selection activeCell="K12" sqref="K12:P19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21</v>
      </c>
      <c r="B2" s="9">
        <v>1.9435019398655662E-2</v>
      </c>
      <c r="C2" s="9">
        <v>1.5313935681470138E-2</v>
      </c>
      <c r="D2" s="9">
        <v>3.793103448275862E-2</v>
      </c>
      <c r="E2" s="9">
        <v>1.4970059880239521E-2</v>
      </c>
      <c r="F2" s="9">
        <v>4.0816326530612242E-2</v>
      </c>
      <c r="G2" s="9">
        <v>3.0791788856304986E-2</v>
      </c>
      <c r="H2" s="9">
        <v>3.3232628398791542E-2</v>
      </c>
      <c r="I2" s="8">
        <v>1.9435019398655662E-2</v>
      </c>
      <c r="J2" s="9">
        <v>1.9435019398655662E-2</v>
      </c>
      <c r="K2" s="9">
        <v>1.5313935681470138E-2</v>
      </c>
      <c r="L2" s="9">
        <v>3.793103448275862E-2</v>
      </c>
      <c r="M2" s="9">
        <v>1.4970059880239521E-2</v>
      </c>
      <c r="N2" s="9">
        <v>4.0816326530612242E-2</v>
      </c>
      <c r="O2" s="9">
        <v>3.0791788856304986E-2</v>
      </c>
      <c r="P2" s="9">
        <v>3.3232628398791542E-2</v>
      </c>
    </row>
    <row r="3" spans="1:16" x14ac:dyDescent="0.3">
      <c r="A3" s="8" t="s">
        <v>15</v>
      </c>
      <c r="B3" s="9">
        <v>2.6637836749193705E-2</v>
      </c>
      <c r="C3" s="9">
        <v>2.6033690658499236E-2</v>
      </c>
      <c r="D3" s="9">
        <v>1.7241379310344827E-2</v>
      </c>
      <c r="E3" s="9">
        <v>1.4970059880239521E-2</v>
      </c>
      <c r="F3" s="9">
        <v>2.6901669758812616E-2</v>
      </c>
      <c r="G3" s="9">
        <v>4.5454545454545456E-2</v>
      </c>
      <c r="H3" s="9">
        <v>1.5105740181268883E-2</v>
      </c>
      <c r="I3" s="8">
        <v>4.6072856147849367E-2</v>
      </c>
      <c r="J3" s="8">
        <f t="shared" ref="J3:P9" si="0">J2+B3</f>
        <v>4.6072856147849367E-2</v>
      </c>
      <c r="K3" s="8">
        <f t="shared" si="0"/>
        <v>4.1347626339969371E-2</v>
      </c>
      <c r="L3" s="14">
        <f t="shared" si="0"/>
        <v>5.5172413793103448E-2</v>
      </c>
      <c r="M3" s="8">
        <f t="shared" si="0"/>
        <v>2.9940119760479042E-2</v>
      </c>
      <c r="N3" s="8">
        <f t="shared" si="0"/>
        <v>6.7717996289424862E-2</v>
      </c>
      <c r="O3" s="8">
        <f t="shared" si="0"/>
        <v>7.6246334310850442E-2</v>
      </c>
      <c r="P3" s="8">
        <f t="shared" si="0"/>
        <v>4.8338368580060423E-2</v>
      </c>
    </row>
    <row r="4" spans="1:16" x14ac:dyDescent="0.3">
      <c r="A4" s="8" t="s">
        <v>19</v>
      </c>
      <c r="B4" s="9">
        <v>3.354974419508866E-2</v>
      </c>
      <c r="C4" s="9">
        <v>1.9908116385911178E-2</v>
      </c>
      <c r="D4" s="9">
        <v>2.4137931034482758E-2</v>
      </c>
      <c r="E4" s="9">
        <v>1.4970059880239521E-2</v>
      </c>
      <c r="F4" s="9">
        <v>5.7513914656771803E-2</v>
      </c>
      <c r="G4" s="9">
        <v>7.4780058651026396E-2</v>
      </c>
      <c r="H4" s="9">
        <v>5.1359516616314202E-2</v>
      </c>
      <c r="I4" s="8">
        <v>7.9622600342938027E-2</v>
      </c>
      <c r="J4" s="8">
        <f t="shared" si="0"/>
        <v>7.9622600342938027E-2</v>
      </c>
      <c r="K4" s="8">
        <f t="shared" si="0"/>
        <v>6.1255742725880552E-2</v>
      </c>
      <c r="L4" s="14">
        <f t="shared" si="0"/>
        <v>7.9310344827586199E-2</v>
      </c>
      <c r="M4" s="8">
        <f t="shared" si="0"/>
        <v>4.4910179640718563E-2</v>
      </c>
      <c r="N4" s="8">
        <f t="shared" si="0"/>
        <v>0.12523191094619668</v>
      </c>
      <c r="O4" s="8">
        <f t="shared" si="0"/>
        <v>0.15102639296187684</v>
      </c>
      <c r="P4" s="8">
        <f t="shared" si="0"/>
        <v>9.9697885196374625E-2</v>
      </c>
    </row>
    <row r="5" spans="1:16" x14ac:dyDescent="0.3">
      <c r="A5" s="8" t="s">
        <v>20</v>
      </c>
      <c r="B5" s="9">
        <v>3.5737162901154966E-2</v>
      </c>
      <c r="C5" s="9">
        <v>2.2970903522205207E-2</v>
      </c>
      <c r="D5" s="9">
        <v>1.7241379310344827E-2</v>
      </c>
      <c r="E5" s="9">
        <v>2.9940119760479042E-2</v>
      </c>
      <c r="F5" s="9">
        <v>3.7105751391465679E-2</v>
      </c>
      <c r="G5" s="9">
        <v>4.9853372434017593E-2</v>
      </c>
      <c r="H5" s="9">
        <v>4.8338368580060423E-2</v>
      </c>
      <c r="I5" s="8">
        <v>0.115359763244093</v>
      </c>
      <c r="J5" s="8">
        <f t="shared" si="0"/>
        <v>0.115359763244093</v>
      </c>
      <c r="K5" s="8">
        <f t="shared" si="0"/>
        <v>8.4226646248085763E-2</v>
      </c>
      <c r="L5" s="14">
        <f t="shared" si="0"/>
        <v>9.6551724137931033E-2</v>
      </c>
      <c r="M5" s="8">
        <f t="shared" si="0"/>
        <v>7.4850299401197612E-2</v>
      </c>
      <c r="N5" s="8">
        <f t="shared" si="0"/>
        <v>0.16233766233766236</v>
      </c>
      <c r="O5" s="8">
        <f t="shared" si="0"/>
        <v>0.20087976539589442</v>
      </c>
      <c r="P5" s="8">
        <f t="shared" si="0"/>
        <v>0.14803625377643503</v>
      </c>
    </row>
    <row r="6" spans="1:16" x14ac:dyDescent="0.3">
      <c r="A6" s="8" t="s">
        <v>18</v>
      </c>
      <c r="B6" s="9">
        <v>6.086730312532343E-2</v>
      </c>
      <c r="C6" s="9">
        <v>0.11638591117917305</v>
      </c>
      <c r="D6" s="9">
        <v>0.12758620689655173</v>
      </c>
      <c r="E6" s="9">
        <v>0.15868263473053892</v>
      </c>
      <c r="F6" s="9">
        <v>9.0909090909090912E-2</v>
      </c>
      <c r="G6" s="9">
        <v>9.9706744868035185E-2</v>
      </c>
      <c r="H6" s="9">
        <v>0.13595166163141995</v>
      </c>
      <c r="I6" s="8">
        <v>0.17622706636941643</v>
      </c>
      <c r="J6" s="8">
        <f t="shared" si="0"/>
        <v>0.17622706636941643</v>
      </c>
      <c r="K6" s="8">
        <f t="shared" si="0"/>
        <v>0.20061255742725881</v>
      </c>
      <c r="L6" s="14">
        <f t="shared" si="0"/>
        <v>0.22413793103448276</v>
      </c>
      <c r="M6" s="8">
        <f t="shared" si="0"/>
        <v>0.23353293413173654</v>
      </c>
      <c r="N6" s="8">
        <f t="shared" si="0"/>
        <v>0.25324675324675328</v>
      </c>
      <c r="O6" s="8">
        <f t="shared" si="0"/>
        <v>0.30058651026392957</v>
      </c>
      <c r="P6" s="8">
        <f t="shared" si="0"/>
        <v>0.28398791540785495</v>
      </c>
    </row>
    <row r="7" spans="1:16" x14ac:dyDescent="0.3">
      <c r="A7" s="8" t="s">
        <v>16</v>
      </c>
      <c r="B7" s="9">
        <v>6.4056123233911147E-2</v>
      </c>
      <c r="C7" s="9">
        <v>3.8284839203675342E-2</v>
      </c>
      <c r="D7" s="9">
        <v>2.7586206896551724E-2</v>
      </c>
      <c r="E7" s="9">
        <v>1.7964071856287425E-2</v>
      </c>
      <c r="F7" s="9">
        <v>7.2356215213358069E-2</v>
      </c>
      <c r="G7" s="9">
        <v>0.10850439882697947</v>
      </c>
      <c r="H7" s="9">
        <v>8.1570996978851965E-2</v>
      </c>
      <c r="I7" s="8">
        <v>0.24028318960332756</v>
      </c>
      <c r="J7" s="8">
        <f t="shared" si="0"/>
        <v>0.24028318960332756</v>
      </c>
      <c r="K7" s="8">
        <f t="shared" si="0"/>
        <v>0.23889739663093415</v>
      </c>
      <c r="L7" s="14">
        <f t="shared" si="0"/>
        <v>0.25172413793103449</v>
      </c>
      <c r="M7" s="8">
        <f t="shared" si="0"/>
        <v>0.25149700598802394</v>
      </c>
      <c r="N7" s="8">
        <f t="shared" si="0"/>
        <v>0.32560296846011133</v>
      </c>
      <c r="O7" s="8">
        <f t="shared" si="0"/>
        <v>0.40909090909090906</v>
      </c>
      <c r="P7" s="8">
        <f t="shared" si="0"/>
        <v>0.3655589123867069</v>
      </c>
    </row>
    <row r="8" spans="1:16" x14ac:dyDescent="0.3">
      <c r="A8" s="8" t="s">
        <v>17</v>
      </c>
      <c r="B8" s="9">
        <v>8.1379248613282829E-2</v>
      </c>
      <c r="C8" s="9">
        <v>0.14854517611026033</v>
      </c>
      <c r="D8" s="9">
        <v>0.29655172413793102</v>
      </c>
      <c r="E8" s="9">
        <v>0.26347305389221559</v>
      </c>
      <c r="F8" s="9">
        <v>0.11966604823747681</v>
      </c>
      <c r="G8" s="9">
        <v>0.11730205278592376</v>
      </c>
      <c r="H8" s="9">
        <v>0.23262839879154079</v>
      </c>
      <c r="I8" s="8">
        <v>0.32166243821661039</v>
      </c>
      <c r="J8" s="8">
        <f t="shared" si="0"/>
        <v>0.32166243821661039</v>
      </c>
      <c r="K8" s="8">
        <f t="shared" si="0"/>
        <v>0.38744257274119448</v>
      </c>
      <c r="L8" s="14">
        <f t="shared" si="0"/>
        <v>0.5482758620689655</v>
      </c>
      <c r="M8" s="8">
        <f t="shared" si="0"/>
        <v>0.51497005988023958</v>
      </c>
      <c r="N8" s="8">
        <f t="shared" si="0"/>
        <v>0.44526901669758812</v>
      </c>
      <c r="O8" s="8">
        <f t="shared" si="0"/>
        <v>0.52639296187683282</v>
      </c>
      <c r="P8" s="8">
        <f t="shared" si="0"/>
        <v>0.59818731117824764</v>
      </c>
    </row>
    <row r="9" spans="1:16" x14ac:dyDescent="0.3">
      <c r="A9" s="8" t="s">
        <v>14</v>
      </c>
      <c r="B9" s="9">
        <v>0.67833756178338955</v>
      </c>
      <c r="C9" s="9">
        <v>0.61255742725880546</v>
      </c>
      <c r="D9" s="9">
        <v>0.4517241379310345</v>
      </c>
      <c r="E9" s="9">
        <v>0.48502994011976047</v>
      </c>
      <c r="F9" s="9">
        <v>0.55473098330241188</v>
      </c>
      <c r="G9" s="9">
        <v>0.47360703812316718</v>
      </c>
      <c r="H9" s="9">
        <v>0.40181268882175225</v>
      </c>
      <c r="I9" s="8">
        <v>1</v>
      </c>
      <c r="J9" s="8">
        <f t="shared" si="0"/>
        <v>1</v>
      </c>
      <c r="K9" s="8">
        <f t="shared" si="0"/>
        <v>1</v>
      </c>
      <c r="L9" s="14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0.99999999999999989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10" t="s">
        <v>67</v>
      </c>
      <c r="L11" s="10" t="s">
        <v>68</v>
      </c>
      <c r="M11" s="10" t="s">
        <v>69</v>
      </c>
      <c r="N11" s="10" t="s">
        <v>70</v>
      </c>
      <c r="O11" s="10" t="s">
        <v>71</v>
      </c>
      <c r="P11" s="10" t="s">
        <v>72</v>
      </c>
    </row>
    <row r="12" spans="1:16" x14ac:dyDescent="0.3">
      <c r="B12" s="8" t="s">
        <v>21</v>
      </c>
      <c r="C12" s="8">
        <f>C2-B2</f>
        <v>-4.1210837171855239E-3</v>
      </c>
      <c r="D12" s="8">
        <f>D2-B2</f>
        <v>1.8496015084102958E-2</v>
      </c>
      <c r="E12" s="8">
        <f>E2-B2</f>
        <v>-4.4649595184161409E-3</v>
      </c>
      <c r="F12" s="8">
        <f>F2-B2</f>
        <v>2.138130713195658E-2</v>
      </c>
      <c r="G12" s="8">
        <f>G2-B2</f>
        <v>1.1356769457649324E-2</v>
      </c>
      <c r="H12" s="8">
        <f>H2-B2</f>
        <v>1.379760900013588E-2</v>
      </c>
      <c r="J12" s="8" t="s">
        <v>21</v>
      </c>
      <c r="K12" s="7">
        <f>(J2-0) * (K2+0)</f>
        <v>2.9762663703913726E-4</v>
      </c>
      <c r="L12" s="7">
        <f t="shared" ref="L12" si="1">(K2-0) * (L2+0)</f>
        <v>5.8087342240059148E-4</v>
      </c>
      <c r="M12" s="7">
        <f>(J2-0) * (M2+0)</f>
        <v>2.9094340417149195E-4</v>
      </c>
      <c r="N12" s="7">
        <f>(J2-0) * (N2+0)</f>
        <v>7.9326609790431263E-4</v>
      </c>
      <c r="O12" s="7">
        <f>(J2-0) * (O2+0)</f>
        <v>5.984390137415966E-4</v>
      </c>
      <c r="P12" s="7">
        <f>(J2-0) * (P2+0)</f>
        <v>6.4587677759882862E-4</v>
      </c>
    </row>
    <row r="13" spans="1:16" x14ac:dyDescent="0.3">
      <c r="B13" s="8" t="s">
        <v>15</v>
      </c>
      <c r="C13" s="8">
        <f t="shared" ref="C13:C19" si="2">C3-B3</f>
        <v>-6.0414609069446915E-4</v>
      </c>
      <c r="D13" s="8">
        <f t="shared" ref="D13:D19" si="3">D3-B3</f>
        <v>-9.3964574388488778E-3</v>
      </c>
      <c r="E13" s="8">
        <f t="shared" ref="E13:E19" si="4">E3-B3</f>
        <v>-1.1667776868954184E-2</v>
      </c>
      <c r="F13" s="8">
        <f t="shared" ref="F13:F19" si="5">F3-B3</f>
        <v>2.6383300961891135E-4</v>
      </c>
      <c r="G13" s="8">
        <f t="shared" ref="G13:G19" si="6">G3-B3</f>
        <v>1.8816708705351751E-2</v>
      </c>
      <c r="H13" s="8">
        <f t="shared" ref="H13:H19" si="7">H3-B3</f>
        <v>-1.1532096567924822E-2</v>
      </c>
      <c r="J13" s="8" t="s">
        <v>15</v>
      </c>
      <c r="K13" s="7">
        <f>(J3-J2) * (K3+K2)</f>
        <v>1.5093414390814196E-3</v>
      </c>
      <c r="L13" s="7">
        <f>(J3-J2) * (L3+L2)</f>
        <v>2.4800744559594135E-3</v>
      </c>
      <c r="M13" s="7">
        <f>(J3-J2) * (M3+M2)</f>
        <v>1.1963100336464239E-3</v>
      </c>
      <c r="N13" s="7">
        <f>(J3-J2) * (N3+N2)</f>
        <v>2.8911195729644373E-3</v>
      </c>
      <c r="O13" s="7">
        <f>(J3-J2) * (O3+O2)</f>
        <v>2.8512640508667748E-3</v>
      </c>
      <c r="P13" s="7">
        <f>(J3-J2) * (P3+P2)</f>
        <v>2.1728749009916315E-3</v>
      </c>
    </row>
    <row r="14" spans="1:16" x14ac:dyDescent="0.3">
      <c r="B14" s="8" t="s">
        <v>19</v>
      </c>
      <c r="C14" s="8">
        <f t="shared" si="2"/>
        <v>-1.3641627809177482E-2</v>
      </c>
      <c r="D14" s="8">
        <f t="shared" si="3"/>
        <v>-9.4118131606059016E-3</v>
      </c>
      <c r="E14" s="8">
        <f t="shared" si="4"/>
        <v>-1.8579684314849139E-2</v>
      </c>
      <c r="F14" s="8">
        <f t="shared" si="5"/>
        <v>2.3964170461683143E-2</v>
      </c>
      <c r="G14" s="8">
        <f t="shared" si="6"/>
        <v>4.1230314455937736E-2</v>
      </c>
      <c r="H14" s="8">
        <f t="shared" si="7"/>
        <v>1.7809772421225542E-2</v>
      </c>
      <c r="J14" s="8" t="s">
        <v>19</v>
      </c>
      <c r="K14" s="7">
        <f t="shared" ref="K14:K19" si="8">(J4-J3) * (K4+K3)</f>
        <v>3.442316785713538E-3</v>
      </c>
      <c r="L14" s="7">
        <f t="shared" ref="L14:L19" si="9">(J4-J3) * (L4+L3)</f>
        <v>4.5118621503739921E-3</v>
      </c>
      <c r="M14" s="7">
        <f t="shared" ref="M14:M19" si="10">(J4-J3) * (M4+M3)</f>
        <v>2.5112083978359777E-3</v>
      </c>
      <c r="N14" s="7">
        <f t="shared" ref="N14:N19" si="11">(J4-J3) * (N4+N3)</f>
        <v>6.4734200302211898E-3</v>
      </c>
      <c r="O14" s="7">
        <f t="shared" ref="O14:O19" si="12">(J4-J3) * (O4+O3)</f>
        <v>7.6249418625201505E-3</v>
      </c>
      <c r="P14" s="7">
        <f t="shared" ref="P14:P19" si="13">(J4-J3) * (P4+P3)</f>
        <v>4.966578445798623E-3</v>
      </c>
    </row>
    <row r="15" spans="1:16" x14ac:dyDescent="0.3">
      <c r="B15" s="8" t="s">
        <v>20</v>
      </c>
      <c r="C15" s="8">
        <f t="shared" si="2"/>
        <v>-1.2766259378949759E-2</v>
      </c>
      <c r="D15" s="8">
        <f t="shared" si="3"/>
        <v>-1.8495783590810139E-2</v>
      </c>
      <c r="E15" s="8">
        <f t="shared" si="4"/>
        <v>-5.797043140675924E-3</v>
      </c>
      <c r="F15" s="8">
        <f t="shared" si="5"/>
        <v>1.3685884903107126E-3</v>
      </c>
      <c r="G15" s="8">
        <f t="shared" si="6"/>
        <v>1.4116209532862627E-2</v>
      </c>
      <c r="H15" s="8">
        <f t="shared" si="7"/>
        <v>1.2601205678905457E-2</v>
      </c>
      <c r="J15" s="8" t="s">
        <v>20</v>
      </c>
      <c r="K15" s="7">
        <f t="shared" si="8"/>
        <v>5.1991278340118262E-3</v>
      </c>
      <c r="L15" s="7">
        <f t="shared" si="9"/>
        <v>6.2848114067548394E-3</v>
      </c>
      <c r="M15" s="7">
        <f t="shared" si="10"/>
        <v>4.2798997486413141E-3</v>
      </c>
      <c r="N15" s="7">
        <f t="shared" si="11"/>
        <v>1.0276920685860893E-2</v>
      </c>
      <c r="O15" s="7">
        <f t="shared" si="12"/>
        <v>1.2576127707151311E-2</v>
      </c>
      <c r="P15" s="7">
        <f t="shared" si="13"/>
        <v>8.8533152806486645E-3</v>
      </c>
    </row>
    <row r="16" spans="1:16" x14ac:dyDescent="0.3">
      <c r="B16" s="8" t="s">
        <v>18</v>
      </c>
      <c r="C16" s="8">
        <f t="shared" si="2"/>
        <v>5.5518608053849616E-2</v>
      </c>
      <c r="D16" s="8">
        <f t="shared" si="3"/>
        <v>6.67189037712283E-2</v>
      </c>
      <c r="E16" s="8">
        <f t="shared" si="4"/>
        <v>9.7815331605215494E-2</v>
      </c>
      <c r="F16" s="8">
        <f t="shared" si="5"/>
        <v>3.0041787783767482E-2</v>
      </c>
      <c r="G16" s="8">
        <f t="shared" si="6"/>
        <v>3.8839441742711756E-2</v>
      </c>
      <c r="H16" s="8">
        <f t="shared" si="7"/>
        <v>7.5084358506096516E-2</v>
      </c>
      <c r="J16" s="8" t="s">
        <v>18</v>
      </c>
      <c r="K16" s="7">
        <f t="shared" si="8"/>
        <v>1.7337394152082936E-2</v>
      </c>
      <c r="L16" s="7">
        <f t="shared" si="9"/>
        <v>1.9519514450534754E-2</v>
      </c>
      <c r="M16" s="7">
        <f t="shared" si="10"/>
        <v>1.8770455754216511E-2</v>
      </c>
      <c r="N16" s="7">
        <f t="shared" si="11"/>
        <v>2.529550259753701E-2</v>
      </c>
      <c r="O16" s="7">
        <f t="shared" si="12"/>
        <v>3.052289980771351E-2</v>
      </c>
      <c r="P16" s="7">
        <f t="shared" si="13"/>
        <v>2.6296146063206193E-2</v>
      </c>
    </row>
    <row r="17" spans="2:16" x14ac:dyDescent="0.3">
      <c r="B17" s="8" t="s">
        <v>16</v>
      </c>
      <c r="C17" s="8">
        <f t="shared" si="2"/>
        <v>-2.5771284030235805E-2</v>
      </c>
      <c r="D17" s="8">
        <f t="shared" si="3"/>
        <v>-3.6469916337359423E-2</v>
      </c>
      <c r="E17" s="8">
        <f t="shared" si="4"/>
        <v>-4.6092051377623719E-2</v>
      </c>
      <c r="F17" s="8">
        <f t="shared" si="5"/>
        <v>8.3000919794469219E-3</v>
      </c>
      <c r="G17" s="8">
        <f t="shared" si="6"/>
        <v>4.4448275593068326E-2</v>
      </c>
      <c r="H17" s="8">
        <f t="shared" si="7"/>
        <v>1.7514873744940818E-2</v>
      </c>
      <c r="J17" s="8" t="s">
        <v>16</v>
      </c>
      <c r="K17" s="7">
        <f t="shared" si="8"/>
        <v>2.8153303779682226E-2</v>
      </c>
      <c r="L17" s="7">
        <f t="shared" si="9"/>
        <v>3.0481879331999091E-2</v>
      </c>
      <c r="M17" s="7">
        <f t="shared" si="10"/>
        <v>3.1069137616447914E-2</v>
      </c>
      <c r="N17" s="7">
        <f t="shared" si="11"/>
        <v>3.7078869107570085E-2</v>
      </c>
      <c r="O17" s="7">
        <f t="shared" si="12"/>
        <v>4.545918423051757E-2</v>
      </c>
      <c r="P17" s="7">
        <f t="shared" si="13"/>
        <v>4.1607451647404509E-2</v>
      </c>
    </row>
    <row r="18" spans="2:16" x14ac:dyDescent="0.3">
      <c r="B18" s="8" t="s">
        <v>17</v>
      </c>
      <c r="C18" s="8">
        <f t="shared" si="2"/>
        <v>6.7165927496977501E-2</v>
      </c>
      <c r="D18" s="8">
        <f t="shared" si="3"/>
        <v>0.21517247552464819</v>
      </c>
      <c r="E18" s="8">
        <f t="shared" si="4"/>
        <v>0.18209380527893276</v>
      </c>
      <c r="F18" s="8">
        <f t="shared" si="5"/>
        <v>3.8286799624193985E-2</v>
      </c>
      <c r="G18" s="8">
        <f t="shared" si="6"/>
        <v>3.5922804172640932E-2</v>
      </c>
      <c r="H18" s="8">
        <f t="shared" si="7"/>
        <v>0.15124915017825796</v>
      </c>
      <c r="J18" s="8" t="s">
        <v>17</v>
      </c>
      <c r="K18" s="7">
        <f t="shared" si="8"/>
        <v>5.0971076083970411E-2</v>
      </c>
      <c r="L18" s="7">
        <f t="shared" si="9"/>
        <v>6.510339889062626E-2</v>
      </c>
      <c r="M18" s="7">
        <f t="shared" si="10"/>
        <v>6.2374513907186839E-2</v>
      </c>
      <c r="N18" s="7">
        <f t="shared" si="11"/>
        <v>6.2732982929163295E-2</v>
      </c>
      <c r="O18" s="7">
        <f t="shared" si="12"/>
        <v>7.6128974509200059E-2</v>
      </c>
      <c r="P18" s="7">
        <f t="shared" si="13"/>
        <v>7.8428943527604891E-2</v>
      </c>
    </row>
    <row r="19" spans="2:16" x14ac:dyDescent="0.3">
      <c r="B19" s="8" t="s">
        <v>14</v>
      </c>
      <c r="C19" s="8">
        <f t="shared" si="2"/>
        <v>-6.5780134524584088E-2</v>
      </c>
      <c r="D19" s="8">
        <f t="shared" si="3"/>
        <v>-0.22661342385235506</v>
      </c>
      <c r="E19" s="8">
        <f t="shared" si="4"/>
        <v>-0.19330762166362908</v>
      </c>
      <c r="F19" s="8">
        <f t="shared" si="5"/>
        <v>-0.12360657848097767</v>
      </c>
      <c r="G19" s="8">
        <f t="shared" si="6"/>
        <v>-0.20473052366022237</v>
      </c>
      <c r="H19" s="8">
        <f t="shared" si="7"/>
        <v>-0.2765248729616373</v>
      </c>
      <c r="J19" s="8" t="s">
        <v>14</v>
      </c>
      <c r="K19" s="7">
        <f t="shared" si="8"/>
        <v>0.94115441190773497</v>
      </c>
      <c r="L19" s="7">
        <f t="shared" si="9"/>
        <v>1.0502536732439376</v>
      </c>
      <c r="M19" s="7">
        <f t="shared" si="10"/>
        <v>1.0276610965939974</v>
      </c>
      <c r="N19" s="7">
        <f t="shared" si="11"/>
        <v>0.98038026090771879</v>
      </c>
      <c r="O19" s="7">
        <f t="shared" si="12"/>
        <v>1.0354096800828572</v>
      </c>
      <c r="P19" s="7">
        <f t="shared" si="13"/>
        <v>1.0841104839378037</v>
      </c>
    </row>
    <row r="20" spans="2:16" x14ac:dyDescent="0.3">
      <c r="J20" s="10" t="s">
        <v>73</v>
      </c>
      <c r="K20" s="10">
        <f>SUM(K12:K19)</f>
        <v>1.0480645986193164</v>
      </c>
      <c r="L20" s="10">
        <f t="shared" ref="L20:P20" si="14">SUM(L12:L19)</f>
        <v>1.1792160873525865</v>
      </c>
      <c r="M20" s="10">
        <f t="shared" si="14"/>
        <v>1.1481535654561439</v>
      </c>
      <c r="N20" s="10">
        <f t="shared" si="14"/>
        <v>1.1259223419289399</v>
      </c>
      <c r="O20" s="10">
        <f t="shared" si="14"/>
        <v>1.2111715112645682</v>
      </c>
      <c r="P20" s="10">
        <f t="shared" si="14"/>
        <v>1.247081670581057</v>
      </c>
    </row>
    <row r="21" spans="2:16" x14ac:dyDescent="0.3">
      <c r="J21" s="13" t="s">
        <v>74</v>
      </c>
      <c r="K21" s="13">
        <f>1-K20</f>
        <v>-4.8064598619316445E-2</v>
      </c>
      <c r="L21" s="13">
        <f t="shared" ref="L21:P21" si="15">1-L20</f>
        <v>-0.17921608735258654</v>
      </c>
      <c r="M21" s="13">
        <f t="shared" si="15"/>
        <v>-0.14815356545614389</v>
      </c>
      <c r="N21" s="13">
        <f t="shared" si="15"/>
        <v>-0.12592234192893992</v>
      </c>
      <c r="O21" s="13">
        <f t="shared" si="15"/>
        <v>-0.21117151126456823</v>
      </c>
      <c r="P21" s="13">
        <f t="shared" si="15"/>
        <v>-0.24708167058105701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659C-EEDA-4856-AA2B-C6AE53CF6745}">
  <dimension ref="A1:P21"/>
  <sheetViews>
    <sheetView workbookViewId="0">
      <selection activeCell="N1" activeCellId="1" sqref="I1:J9 N1:P9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29</v>
      </c>
      <c r="B2" s="9">
        <v>1.513948741211159E-2</v>
      </c>
      <c r="C2" s="9">
        <v>4.1666666666666666E-3</v>
      </c>
      <c r="D2" s="9">
        <v>0</v>
      </c>
      <c r="E2" s="9">
        <v>7.6923076923076927E-3</v>
      </c>
      <c r="F2" s="9">
        <v>1.9400352733686066E-2</v>
      </c>
      <c r="G2" s="9">
        <v>2.3890784982935155E-2</v>
      </c>
      <c r="H2" s="9">
        <v>3.0303030303030304E-2</v>
      </c>
      <c r="I2" s="8">
        <v>1.513948741211159E-2</v>
      </c>
      <c r="J2" s="9">
        <v>1.513948741211159E-2</v>
      </c>
      <c r="K2" s="9">
        <v>4.1666666666666666E-3</v>
      </c>
      <c r="L2" s="9">
        <v>0</v>
      </c>
      <c r="M2" s="9">
        <v>7.6923076923076927E-3</v>
      </c>
      <c r="N2" s="9">
        <v>1.9400352733686066E-2</v>
      </c>
      <c r="O2" s="9">
        <v>2.3890784982935155E-2</v>
      </c>
      <c r="P2" s="9">
        <v>3.0303030303030304E-2</v>
      </c>
    </row>
    <row r="3" spans="1:16" x14ac:dyDescent="0.3">
      <c r="A3" s="8" t="s">
        <v>24</v>
      </c>
      <c r="B3" s="9">
        <v>2.5661795677672294E-2</v>
      </c>
      <c r="C3" s="9">
        <v>3.3333333333333333E-2</v>
      </c>
      <c r="D3" s="9">
        <v>2.9411764705882353E-2</v>
      </c>
      <c r="E3" s="9">
        <v>3.0769230769230771E-2</v>
      </c>
      <c r="F3" s="9">
        <v>2.292768959435626E-2</v>
      </c>
      <c r="G3" s="9">
        <v>4.4368600682593858E-2</v>
      </c>
      <c r="H3" s="9">
        <v>1.7316017316017316E-2</v>
      </c>
      <c r="I3" s="8">
        <v>4.0801283089783882E-2</v>
      </c>
      <c r="J3" s="8">
        <f t="shared" ref="J3:P9" si="0">J2+B3</f>
        <v>4.0801283089783882E-2</v>
      </c>
      <c r="K3" s="8">
        <f t="shared" si="0"/>
        <v>3.7499999999999999E-2</v>
      </c>
      <c r="L3" s="14">
        <f t="shared" si="0"/>
        <v>2.9411764705882353E-2</v>
      </c>
      <c r="M3" s="8">
        <f t="shared" si="0"/>
        <v>3.8461538461538464E-2</v>
      </c>
      <c r="N3" s="8">
        <f t="shared" si="0"/>
        <v>4.2328042328042326E-2</v>
      </c>
      <c r="O3" s="8">
        <f t="shared" si="0"/>
        <v>6.8259385665529013E-2</v>
      </c>
      <c r="P3" s="8">
        <f t="shared" si="0"/>
        <v>4.7619047619047616E-2</v>
      </c>
    </row>
    <row r="4" spans="1:16" x14ac:dyDescent="0.3">
      <c r="A4" s="8" t="s">
        <v>27</v>
      </c>
      <c r="B4" s="9">
        <v>3.1275313482163107E-2</v>
      </c>
      <c r="C4" s="9">
        <v>3.7499999999999999E-2</v>
      </c>
      <c r="D4" s="9">
        <v>4.4117647058823532E-2</v>
      </c>
      <c r="E4" s="9">
        <v>3.8461538461538464E-2</v>
      </c>
      <c r="F4" s="9">
        <v>3.1746031746031744E-2</v>
      </c>
      <c r="G4" s="9">
        <v>2.0477815699658702E-2</v>
      </c>
      <c r="H4" s="9">
        <v>6.4935064935064929E-2</v>
      </c>
      <c r="I4" s="8">
        <v>7.2076596571946983E-2</v>
      </c>
      <c r="J4" s="8">
        <f t="shared" si="0"/>
        <v>7.2076596571946983E-2</v>
      </c>
      <c r="K4" s="8">
        <f t="shared" si="0"/>
        <v>7.4999999999999997E-2</v>
      </c>
      <c r="L4" s="14">
        <f t="shared" si="0"/>
        <v>7.3529411764705885E-2</v>
      </c>
      <c r="M4" s="8">
        <f t="shared" si="0"/>
        <v>7.6923076923076927E-2</v>
      </c>
      <c r="N4" s="8">
        <f t="shared" si="0"/>
        <v>7.407407407407407E-2</v>
      </c>
      <c r="O4" s="8">
        <f t="shared" si="0"/>
        <v>8.8737201365187715E-2</v>
      </c>
      <c r="P4" s="8">
        <f t="shared" si="0"/>
        <v>0.11255411255411255</v>
      </c>
    </row>
    <row r="5" spans="1:16" x14ac:dyDescent="0.3">
      <c r="A5" s="8" t="s">
        <v>25</v>
      </c>
      <c r="B5" s="9">
        <v>5.2044519327349902E-2</v>
      </c>
      <c r="C5" s="9">
        <v>2.5000000000000001E-2</v>
      </c>
      <c r="D5" s="9">
        <v>7.3529411764705881E-3</v>
      </c>
      <c r="E5" s="9">
        <v>2.3076923076923078E-2</v>
      </c>
      <c r="F5" s="9">
        <v>4.585537918871252E-2</v>
      </c>
      <c r="G5" s="9">
        <v>6.8259385665529013E-2</v>
      </c>
      <c r="H5" s="9">
        <v>7.3593073593073599E-2</v>
      </c>
      <c r="I5" s="8">
        <v>0.12412111589929689</v>
      </c>
      <c r="J5" s="8">
        <f t="shared" si="0"/>
        <v>0.12412111589929689</v>
      </c>
      <c r="K5" s="8">
        <f t="shared" si="0"/>
        <v>0.1</v>
      </c>
      <c r="L5" s="14">
        <f t="shared" si="0"/>
        <v>8.0882352941176475E-2</v>
      </c>
      <c r="M5" s="8">
        <f t="shared" si="0"/>
        <v>0.1</v>
      </c>
      <c r="N5" s="8">
        <f t="shared" si="0"/>
        <v>0.11992945326278659</v>
      </c>
      <c r="O5" s="8">
        <f t="shared" si="0"/>
        <v>0.15699658703071673</v>
      </c>
      <c r="P5" s="8">
        <f t="shared" si="0"/>
        <v>0.18614718614718614</v>
      </c>
    </row>
    <row r="6" spans="1:16" x14ac:dyDescent="0.3">
      <c r="A6" s="8" t="s">
        <v>26</v>
      </c>
      <c r="B6" s="9">
        <v>6.400058322262904E-2</v>
      </c>
      <c r="C6" s="9">
        <v>8.3333333333333329E-2</v>
      </c>
      <c r="D6" s="9">
        <v>9.5588235294117641E-2</v>
      </c>
      <c r="E6" s="9">
        <v>0.12307692307692308</v>
      </c>
      <c r="F6" s="9">
        <v>7.7601410934744264E-2</v>
      </c>
      <c r="G6" s="9">
        <v>6.1433447098976107E-2</v>
      </c>
      <c r="H6" s="9">
        <v>6.9264069264069264E-2</v>
      </c>
      <c r="I6" s="8">
        <v>0.18812169912192594</v>
      </c>
      <c r="J6" s="8">
        <f t="shared" si="0"/>
        <v>0.18812169912192594</v>
      </c>
      <c r="K6" s="8">
        <f t="shared" si="0"/>
        <v>0.18333333333333335</v>
      </c>
      <c r="L6" s="14">
        <f t="shared" si="0"/>
        <v>0.1764705882352941</v>
      </c>
      <c r="M6" s="8">
        <f t="shared" si="0"/>
        <v>0.22307692307692309</v>
      </c>
      <c r="N6" s="8">
        <f t="shared" si="0"/>
        <v>0.19753086419753085</v>
      </c>
      <c r="O6" s="8">
        <f t="shared" si="0"/>
        <v>0.21843003412969283</v>
      </c>
      <c r="P6" s="8">
        <f t="shared" si="0"/>
        <v>0.25541125541125542</v>
      </c>
    </row>
    <row r="7" spans="1:16" x14ac:dyDescent="0.3">
      <c r="A7" s="8" t="s">
        <v>28</v>
      </c>
      <c r="B7" s="9">
        <v>6.7297411139552218E-2</v>
      </c>
      <c r="C7" s="9">
        <v>4.583333333333333E-2</v>
      </c>
      <c r="D7" s="9">
        <v>3.6764705882352942E-2</v>
      </c>
      <c r="E7" s="9">
        <v>4.6153846153846156E-2</v>
      </c>
      <c r="F7" s="9">
        <v>8.4656084656084651E-2</v>
      </c>
      <c r="G7" s="9">
        <v>7.8498293515358364E-2</v>
      </c>
      <c r="H7" s="9">
        <v>0.12554112554112554</v>
      </c>
      <c r="I7" s="8">
        <v>0.25541911026147818</v>
      </c>
      <c r="J7" s="8">
        <f t="shared" si="0"/>
        <v>0.25541911026147818</v>
      </c>
      <c r="K7" s="8">
        <f t="shared" si="0"/>
        <v>0.22916666666666669</v>
      </c>
      <c r="L7" s="14">
        <f t="shared" si="0"/>
        <v>0.21323529411764705</v>
      </c>
      <c r="M7" s="8">
        <f t="shared" si="0"/>
        <v>0.26923076923076927</v>
      </c>
      <c r="N7" s="8">
        <f t="shared" si="0"/>
        <v>0.2821869488536155</v>
      </c>
      <c r="O7" s="8">
        <f t="shared" si="0"/>
        <v>0.29692832764505117</v>
      </c>
      <c r="P7" s="8">
        <f t="shared" si="0"/>
        <v>0.38095238095238093</v>
      </c>
    </row>
    <row r="8" spans="1:16" x14ac:dyDescent="0.3">
      <c r="A8" s="8" t="s">
        <v>23</v>
      </c>
      <c r="B8" s="9">
        <v>0.19411593169814989</v>
      </c>
      <c r="C8" s="9">
        <v>0.28333333333333333</v>
      </c>
      <c r="D8" s="9">
        <v>0.22794117647058823</v>
      </c>
      <c r="E8" s="9">
        <v>0.19230769230769232</v>
      </c>
      <c r="F8" s="9">
        <v>0.24867724867724866</v>
      </c>
      <c r="G8" s="9">
        <v>0.23890784982935154</v>
      </c>
      <c r="H8" s="9">
        <v>0.16450216450216451</v>
      </c>
      <c r="I8" s="8">
        <v>0.44953504195962807</v>
      </c>
      <c r="J8" s="8">
        <f t="shared" si="0"/>
        <v>0.44953504195962807</v>
      </c>
      <c r="K8" s="8">
        <f t="shared" si="0"/>
        <v>0.51249999999999996</v>
      </c>
      <c r="L8" s="14">
        <f t="shared" si="0"/>
        <v>0.44117647058823528</v>
      </c>
      <c r="M8" s="8">
        <f t="shared" si="0"/>
        <v>0.46153846153846156</v>
      </c>
      <c r="N8" s="8">
        <f t="shared" si="0"/>
        <v>0.53086419753086411</v>
      </c>
      <c r="O8" s="8">
        <f t="shared" si="0"/>
        <v>0.53583617747440271</v>
      </c>
      <c r="P8" s="8">
        <f t="shared" si="0"/>
        <v>0.54545454545454541</v>
      </c>
    </row>
    <row r="9" spans="1:16" x14ac:dyDescent="0.3">
      <c r="A9" s="8" t="s">
        <v>22</v>
      </c>
      <c r="B9" s="9">
        <v>0.55046495804037199</v>
      </c>
      <c r="C9" s="9">
        <v>0.48749999999999999</v>
      </c>
      <c r="D9" s="9">
        <v>0.55882352941176472</v>
      </c>
      <c r="E9" s="9">
        <v>0.53846153846153844</v>
      </c>
      <c r="F9" s="9">
        <v>0.46913580246913578</v>
      </c>
      <c r="G9" s="9">
        <v>0.46416382252559729</v>
      </c>
      <c r="H9" s="9">
        <v>0.45454545454545453</v>
      </c>
      <c r="I9" s="8">
        <v>1</v>
      </c>
      <c r="J9" s="8">
        <f t="shared" si="0"/>
        <v>1</v>
      </c>
      <c r="K9" s="8">
        <f t="shared" si="0"/>
        <v>1</v>
      </c>
      <c r="L9" s="14">
        <f t="shared" si="0"/>
        <v>1</v>
      </c>
      <c r="M9" s="8">
        <f t="shared" si="0"/>
        <v>1</v>
      </c>
      <c r="N9" s="8">
        <f t="shared" si="0"/>
        <v>0.99999999999999989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10" t="s">
        <v>67</v>
      </c>
      <c r="L11" s="10" t="s">
        <v>68</v>
      </c>
      <c r="M11" s="10" t="s">
        <v>69</v>
      </c>
      <c r="N11" s="10" t="s">
        <v>70</v>
      </c>
      <c r="O11" s="10" t="s">
        <v>71</v>
      </c>
      <c r="P11" s="10" t="s">
        <v>72</v>
      </c>
    </row>
    <row r="12" spans="1:16" x14ac:dyDescent="0.3">
      <c r="B12" s="8" t="s">
        <v>29</v>
      </c>
      <c r="C12" s="8">
        <f>C2-B2</f>
        <v>-1.0972820745444922E-2</v>
      </c>
      <c r="D12" s="8">
        <f>D2-B2</f>
        <v>-1.513948741211159E-2</v>
      </c>
      <c r="E12" s="8">
        <f>E2-B2</f>
        <v>-7.447179719803897E-3</v>
      </c>
      <c r="F12" s="8">
        <f>F2-B2</f>
        <v>4.2608653215744762E-3</v>
      </c>
      <c r="G12" s="8">
        <f>G2-B2</f>
        <v>8.7512975708235654E-3</v>
      </c>
      <c r="H12" s="8">
        <f>H2-B2</f>
        <v>1.5163542890918714E-2</v>
      </c>
      <c r="J12" s="8" t="s">
        <v>29</v>
      </c>
      <c r="K12" s="7">
        <f>(J2-0) * (K2+0)</f>
        <v>6.3081197550464961E-5</v>
      </c>
      <c r="L12" s="7">
        <f t="shared" ref="L12" si="1">(K2-0) * (L2+0)</f>
        <v>0</v>
      </c>
      <c r="M12" s="7">
        <f>(J2-0) * (M2+0)</f>
        <v>1.1645759547778146E-4</v>
      </c>
      <c r="N12" s="7">
        <f>(J2-0) * (N2+0)</f>
        <v>2.9371139600216486E-4</v>
      </c>
      <c r="O12" s="7">
        <f>(J2-0) * (O2+0)</f>
        <v>3.6169423851461141E-4</v>
      </c>
      <c r="P12" s="7">
        <f>(J2-0) * (P2+0)</f>
        <v>4.5877234582156331E-4</v>
      </c>
    </row>
    <row r="13" spans="1:16" x14ac:dyDescent="0.3">
      <c r="B13" s="8" t="s">
        <v>24</v>
      </c>
      <c r="C13" s="8">
        <f t="shared" ref="C13:C19" si="2">C3-B3</f>
        <v>7.6715376556610385E-3</v>
      </c>
      <c r="D13" s="8">
        <f t="shared" ref="D13:D19" si="3">D3-B3</f>
        <v>3.7499690282100581E-3</v>
      </c>
      <c r="E13" s="8">
        <f t="shared" ref="E13:E19" si="4">E3-B3</f>
        <v>5.1074350915584765E-3</v>
      </c>
      <c r="F13" s="8">
        <f t="shared" ref="F13:F19" si="5">F3-B3</f>
        <v>-2.7341060833160347E-3</v>
      </c>
      <c r="G13" s="8">
        <f t="shared" ref="G13:G19" si="6">G3-B3</f>
        <v>1.8706805004921563E-2</v>
      </c>
      <c r="H13" s="8">
        <f t="shared" ref="H13:H19" si="7">H3-B3</f>
        <v>-8.3457783616549784E-3</v>
      </c>
      <c r="J13" s="8" t="s">
        <v>24</v>
      </c>
      <c r="K13" s="7">
        <f>(J3-J2) * (K3+K2)</f>
        <v>1.0692414865696789E-3</v>
      </c>
      <c r="L13" s="7">
        <f>(J3-J2) * (L3+L2)</f>
        <v>7.547586964021263E-4</v>
      </c>
      <c r="M13" s="7">
        <f>(J3-J2) * (M3+M2)</f>
        <v>1.1843905697387213E-3</v>
      </c>
      <c r="N13" s="7">
        <f>(J3-J2) * (N3+N2)</f>
        <v>1.5840614615847094E-3</v>
      </c>
      <c r="O13" s="7">
        <f>(J3-J2) * (O3+O2)</f>
        <v>2.3647388508435223E-3</v>
      </c>
      <c r="P13" s="7">
        <f>(J3-J2) * (P3+P2)</f>
        <v>1.9996204424160228E-3</v>
      </c>
    </row>
    <row r="14" spans="1:16" x14ac:dyDescent="0.3">
      <c r="B14" s="8" t="s">
        <v>27</v>
      </c>
      <c r="C14" s="8">
        <f t="shared" si="2"/>
        <v>6.2246865178368915E-3</v>
      </c>
      <c r="D14" s="8">
        <f t="shared" si="3"/>
        <v>1.2842333576660425E-2</v>
      </c>
      <c r="E14" s="8">
        <f t="shared" si="4"/>
        <v>7.1862249793753566E-3</v>
      </c>
      <c r="F14" s="8">
        <f t="shared" si="5"/>
        <v>4.7071826386863719E-4</v>
      </c>
      <c r="G14" s="8">
        <f t="shared" si="6"/>
        <v>-1.0797497782504405E-2</v>
      </c>
      <c r="H14" s="8">
        <f t="shared" si="7"/>
        <v>3.3659751452901822E-2</v>
      </c>
      <c r="J14" s="8" t="s">
        <v>27</v>
      </c>
      <c r="K14" s="7">
        <f t="shared" ref="K14:K19" si="8">(J4-J3) * (K4+K3)</f>
        <v>3.5184727667433484E-3</v>
      </c>
      <c r="L14" s="7">
        <f t="shared" ref="L14:L19" si="9">(J4-J3) * (L4+L3)</f>
        <v>3.2195175643403191E-3</v>
      </c>
      <c r="M14" s="7">
        <f t="shared" ref="M14:M19" si="10">(J4-J3) * (M4+M3)</f>
        <v>3.6086900171726655E-3</v>
      </c>
      <c r="N14" s="7">
        <f t="shared" ref="N14:N19" si="11">(J4-J3) * (N4+N3)</f>
        <v>3.6405126804634294E-3</v>
      </c>
      <c r="O14" s="7">
        <f t="shared" ref="O14:O19" si="12">(J4-J3) * (O4+O3)</f>
        <v>4.9101174750153676E-3</v>
      </c>
      <c r="P14" s="7">
        <f t="shared" ref="P14:P19" si="13">(J4-J3) * (P4+P3)</f>
        <v>5.0094657958443057E-3</v>
      </c>
    </row>
    <row r="15" spans="1:16" x14ac:dyDescent="0.3">
      <c r="B15" s="8" t="s">
        <v>25</v>
      </c>
      <c r="C15" s="8">
        <f t="shared" si="2"/>
        <v>-2.70445193273499E-2</v>
      </c>
      <c r="D15" s="8">
        <f t="shared" si="3"/>
        <v>-4.4691578150879312E-2</v>
      </c>
      <c r="E15" s="8">
        <f t="shared" si="4"/>
        <v>-2.8967596250426823E-2</v>
      </c>
      <c r="F15" s="8">
        <f t="shared" si="5"/>
        <v>-6.189140138637382E-3</v>
      </c>
      <c r="G15" s="8">
        <f t="shared" si="6"/>
        <v>1.6214866338179111E-2</v>
      </c>
      <c r="H15" s="8">
        <f t="shared" si="7"/>
        <v>2.1548554265723698E-2</v>
      </c>
      <c r="J15" s="8" t="s">
        <v>25</v>
      </c>
      <c r="K15" s="7">
        <f t="shared" si="8"/>
        <v>9.1077908822862329E-3</v>
      </c>
      <c r="L15" s="7">
        <f t="shared" si="9"/>
        <v>8.0362860726055016E-3</v>
      </c>
      <c r="M15" s="7">
        <f t="shared" si="10"/>
        <v>9.207876496377292E-3</v>
      </c>
      <c r="N15" s="7">
        <f t="shared" si="11"/>
        <v>1.0096820328057301E-2</v>
      </c>
      <c r="O15" s="7">
        <f t="shared" si="12"/>
        <v>1.278909689955356E-2</v>
      </c>
      <c r="P15" s="7">
        <f t="shared" si="13"/>
        <v>1.5545765513364257E-2</v>
      </c>
    </row>
    <row r="16" spans="1:16" x14ac:dyDescent="0.3">
      <c r="B16" s="8" t="s">
        <v>26</v>
      </c>
      <c r="C16" s="8">
        <f t="shared" si="2"/>
        <v>1.9332750110704289E-2</v>
      </c>
      <c r="D16" s="8">
        <f t="shared" si="3"/>
        <v>3.1587652071488601E-2</v>
      </c>
      <c r="E16" s="8">
        <f t="shared" si="4"/>
        <v>5.9076339854294044E-2</v>
      </c>
      <c r="F16" s="8">
        <f t="shared" si="5"/>
        <v>1.3600827712115224E-2</v>
      </c>
      <c r="G16" s="8">
        <f t="shared" si="6"/>
        <v>-2.5671361236529328E-3</v>
      </c>
      <c r="H16" s="8">
        <f t="shared" si="7"/>
        <v>5.263486041440224E-3</v>
      </c>
      <c r="J16" s="8" t="s">
        <v>26</v>
      </c>
      <c r="K16" s="7">
        <f t="shared" si="8"/>
        <v>1.8133498579744899E-2</v>
      </c>
      <c r="L16" s="7">
        <f t="shared" si="9"/>
        <v>1.6470738329353064E-2</v>
      </c>
      <c r="M16" s="7">
        <f t="shared" si="10"/>
        <v>2.0677111502695543E-2</v>
      </c>
      <c r="N16" s="7">
        <f t="shared" si="11"/>
        <v>2.0317645467501286E-2</v>
      </c>
      <c r="O16" s="7">
        <f t="shared" si="12"/>
        <v>2.4027522711567224E-2</v>
      </c>
      <c r="P16" s="7">
        <f t="shared" si="13"/>
        <v>2.8259997786615428E-2</v>
      </c>
    </row>
    <row r="17" spans="2:16" x14ac:dyDescent="0.3">
      <c r="B17" s="8" t="s">
        <v>28</v>
      </c>
      <c r="C17" s="8">
        <f t="shared" si="2"/>
        <v>-2.1464077806218888E-2</v>
      </c>
      <c r="D17" s="8">
        <f t="shared" si="3"/>
        <v>-3.0532705257199276E-2</v>
      </c>
      <c r="E17" s="8">
        <f t="shared" si="4"/>
        <v>-2.1143564985706062E-2</v>
      </c>
      <c r="F17" s="8">
        <f t="shared" si="5"/>
        <v>1.7358673516532433E-2</v>
      </c>
      <c r="G17" s="8">
        <f t="shared" si="6"/>
        <v>1.1200882375806145E-2</v>
      </c>
      <c r="H17" s="8">
        <f t="shared" si="7"/>
        <v>5.8243714401573318E-2</v>
      </c>
      <c r="J17" s="8" t="s">
        <v>28</v>
      </c>
      <c r="K17" s="7">
        <f t="shared" si="8"/>
        <v>2.7760182095065297E-2</v>
      </c>
      <c r="L17" s="7">
        <f t="shared" si="9"/>
        <v>2.6226196988207853E-2</v>
      </c>
      <c r="M17" s="7">
        <f t="shared" si="10"/>
        <v>3.3131033176394944E-2</v>
      </c>
      <c r="N17" s="7">
        <f t="shared" si="11"/>
        <v>3.2283766895869849E-2</v>
      </c>
      <c r="O17" s="7">
        <f t="shared" si="12"/>
        <v>3.4682283556561048E-2</v>
      </c>
      <c r="P17" s="7">
        <f t="shared" si="13"/>
        <v>4.2825625270624147E-2</v>
      </c>
    </row>
    <row r="18" spans="2:16" x14ac:dyDescent="0.3">
      <c r="B18" s="8" t="s">
        <v>23</v>
      </c>
      <c r="C18" s="8">
        <f t="shared" si="2"/>
        <v>8.9217401635183435E-2</v>
      </c>
      <c r="D18" s="8">
        <f t="shared" si="3"/>
        <v>3.382524477243834E-2</v>
      </c>
      <c r="E18" s="8">
        <f t="shared" si="4"/>
        <v>-1.8082393904575722E-3</v>
      </c>
      <c r="F18" s="8">
        <f t="shared" si="5"/>
        <v>5.4561316979098773E-2</v>
      </c>
      <c r="G18" s="8">
        <f t="shared" si="6"/>
        <v>4.4791918131201647E-2</v>
      </c>
      <c r="H18" s="8">
        <f t="shared" si="7"/>
        <v>-2.961376719598538E-2</v>
      </c>
      <c r="J18" s="8" t="s">
        <v>23</v>
      </c>
      <c r="K18" s="7">
        <f t="shared" si="8"/>
        <v>0.14396931600946117</v>
      </c>
      <c r="L18" s="7">
        <f t="shared" si="9"/>
        <v>0.12703174942011281</v>
      </c>
      <c r="M18" s="7">
        <f t="shared" si="10"/>
        <v>0.14185395008710955</v>
      </c>
      <c r="N18" s="7">
        <f t="shared" si="11"/>
        <v>0.15782618079867211</v>
      </c>
      <c r="O18" s="7">
        <f t="shared" si="12"/>
        <v>0.1616528577964115</v>
      </c>
      <c r="P18" s="7">
        <f t="shared" si="13"/>
        <v>0.1798303436510999</v>
      </c>
    </row>
    <row r="19" spans="2:16" x14ac:dyDescent="0.3">
      <c r="B19" s="8" t="s">
        <v>22</v>
      </c>
      <c r="C19" s="8">
        <f t="shared" si="2"/>
        <v>-6.2964958040371999E-2</v>
      </c>
      <c r="D19" s="8">
        <f t="shared" si="3"/>
        <v>8.3585713713927312E-3</v>
      </c>
      <c r="E19" s="8">
        <f t="shared" si="4"/>
        <v>-1.2003419578833552E-2</v>
      </c>
      <c r="F19" s="8">
        <f t="shared" si="5"/>
        <v>-8.1329155571236211E-2</v>
      </c>
      <c r="G19" s="8">
        <f t="shared" si="6"/>
        <v>-8.6301135514774696E-2</v>
      </c>
      <c r="H19" s="8">
        <f t="shared" si="7"/>
        <v>-9.5919503494917457E-2</v>
      </c>
      <c r="J19" s="8" t="s">
        <v>22</v>
      </c>
      <c r="K19" s="7">
        <f t="shared" si="8"/>
        <v>0.83257824903606259</v>
      </c>
      <c r="L19" s="7">
        <f t="shared" si="9"/>
        <v>0.7933171454111243</v>
      </c>
      <c r="M19" s="7">
        <f t="shared" si="10"/>
        <v>0.80452570790515909</v>
      </c>
      <c r="N19" s="7">
        <f t="shared" si="11"/>
        <v>0.84268709625933469</v>
      </c>
      <c r="O19" s="7">
        <f t="shared" si="12"/>
        <v>0.84542399699033244</v>
      </c>
      <c r="P19" s="7">
        <f t="shared" si="13"/>
        <v>0.85071857151693853</v>
      </c>
    </row>
    <row r="20" spans="2:16" x14ac:dyDescent="0.3">
      <c r="J20" s="10" t="s">
        <v>73</v>
      </c>
      <c r="K20" s="10">
        <f>SUM(K12:K19)</f>
        <v>1.0361998320534838</v>
      </c>
      <c r="L20" s="10">
        <f t="shared" ref="L20:P20" si="14">SUM(L12:L19)</f>
        <v>0.97505639248214604</v>
      </c>
      <c r="M20" s="10">
        <f t="shared" si="14"/>
        <v>1.0143052173501257</v>
      </c>
      <c r="N20" s="10">
        <f t="shared" si="14"/>
        <v>1.0687297952874855</v>
      </c>
      <c r="O20" s="10">
        <f t="shared" si="14"/>
        <v>1.0862123085187994</v>
      </c>
      <c r="P20" s="10">
        <f t="shared" si="14"/>
        <v>1.1246481623227242</v>
      </c>
    </row>
    <row r="21" spans="2:16" x14ac:dyDescent="0.3">
      <c r="J21" s="13" t="s">
        <v>74</v>
      </c>
      <c r="K21" s="13">
        <f>1-K20</f>
        <v>-3.619983205348376E-2</v>
      </c>
      <c r="L21" s="13">
        <f t="shared" ref="L21:P21" si="15">1-L20</f>
        <v>2.4943607517853961E-2</v>
      </c>
      <c r="M21" s="13">
        <f t="shared" si="15"/>
        <v>-1.4305217350125687E-2</v>
      </c>
      <c r="N21" s="13">
        <f t="shared" si="15"/>
        <v>-6.8729795287485462E-2</v>
      </c>
      <c r="O21" s="13">
        <f t="shared" si="15"/>
        <v>-8.6212308518799352E-2</v>
      </c>
      <c r="P21" s="13">
        <f t="shared" si="15"/>
        <v>-0.12464816232272424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2B7-ACE2-4808-AE5C-45093B690730}">
  <dimension ref="A1:P13"/>
  <sheetViews>
    <sheetView topLeftCell="C1" workbookViewId="0">
      <selection activeCell="M10" sqref="M10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33</v>
      </c>
      <c r="B2" s="9">
        <v>5.0801479654747225E-2</v>
      </c>
      <c r="C2" s="9">
        <v>4.6575342465753428E-2</v>
      </c>
      <c r="D2" s="9">
        <v>6.3063063063063057E-2</v>
      </c>
      <c r="E2" s="9">
        <v>0.10227272727272728</v>
      </c>
      <c r="F2" s="9">
        <v>8.7613293051359523E-2</v>
      </c>
      <c r="G2" s="9">
        <v>0.10057471264367816</v>
      </c>
      <c r="H2" s="9">
        <v>9.3167701863354033E-2</v>
      </c>
      <c r="I2" s="8">
        <v>5.0801479654747225E-2</v>
      </c>
      <c r="J2" s="9">
        <v>5.0801479654747225E-2</v>
      </c>
      <c r="K2" s="9">
        <v>4.6575342465753428E-2</v>
      </c>
      <c r="L2" s="9">
        <v>6.3063063063063057E-2</v>
      </c>
      <c r="M2" s="9">
        <v>0.10227272727272728</v>
      </c>
      <c r="N2" s="9">
        <v>8.7613293051359523E-2</v>
      </c>
      <c r="O2" s="9">
        <v>0.10057471264367816</v>
      </c>
      <c r="P2" s="9">
        <v>9.3167701863354033E-2</v>
      </c>
    </row>
    <row r="3" spans="1:16" x14ac:dyDescent="0.3">
      <c r="A3" s="8" t="s">
        <v>32</v>
      </c>
      <c r="B3" s="9">
        <v>9.0322580645161285E-2</v>
      </c>
      <c r="C3" s="9">
        <v>6.575342465753424E-2</v>
      </c>
      <c r="D3" s="9">
        <v>3.6036036036036036E-2</v>
      </c>
      <c r="E3" s="9">
        <v>1.1363636363636364E-2</v>
      </c>
      <c r="F3" s="9">
        <v>1.812688821752266E-2</v>
      </c>
      <c r="G3" s="9">
        <v>3.1609195402298854E-2</v>
      </c>
      <c r="H3" s="9">
        <v>6.2111801242236024E-2</v>
      </c>
      <c r="I3" s="8">
        <v>0.14112406029990851</v>
      </c>
      <c r="J3" s="8">
        <f>J2+B3</f>
        <v>0.14112406029990851</v>
      </c>
      <c r="K3" s="8">
        <f t="shared" ref="K3:P5" si="0">K2+C3</f>
        <v>0.11232876712328767</v>
      </c>
      <c r="L3" s="8">
        <f t="shared" si="0"/>
        <v>9.9099099099099086E-2</v>
      </c>
      <c r="M3" s="8">
        <f t="shared" si="0"/>
        <v>0.11363636363636365</v>
      </c>
      <c r="N3" s="8">
        <f t="shared" si="0"/>
        <v>0.10574018126888218</v>
      </c>
      <c r="O3" s="8">
        <f t="shared" si="0"/>
        <v>0.13218390804597702</v>
      </c>
      <c r="P3" s="8">
        <f t="shared" si="0"/>
        <v>0.15527950310559005</v>
      </c>
    </row>
    <row r="4" spans="1:16" x14ac:dyDescent="0.3">
      <c r="A4" s="8" t="s">
        <v>31</v>
      </c>
      <c r="B4" s="9">
        <v>0.10747384750009945</v>
      </c>
      <c r="C4" s="9">
        <v>9.5890410958904104E-2</v>
      </c>
      <c r="D4" s="9">
        <v>0.14414414414414414</v>
      </c>
      <c r="E4" s="9">
        <v>0.20454545454545456</v>
      </c>
      <c r="F4" s="9">
        <v>0.22356495468277945</v>
      </c>
      <c r="G4" s="9">
        <v>0.17241379310344829</v>
      </c>
      <c r="H4" s="9">
        <v>0.16770186335403728</v>
      </c>
      <c r="I4" s="8">
        <v>0.24859790780000796</v>
      </c>
      <c r="J4" s="8">
        <f t="shared" ref="J4:J5" si="1">J3+B4</f>
        <v>0.24859790780000796</v>
      </c>
      <c r="K4" s="8">
        <f t="shared" si="0"/>
        <v>0.20821917808219176</v>
      </c>
      <c r="L4" s="8">
        <f t="shared" si="0"/>
        <v>0.24324324324324323</v>
      </c>
      <c r="M4" s="8">
        <f t="shared" si="0"/>
        <v>0.31818181818181823</v>
      </c>
      <c r="N4" s="8">
        <f t="shared" si="0"/>
        <v>0.32930513595166166</v>
      </c>
      <c r="O4" s="8">
        <f t="shared" si="0"/>
        <v>0.3045977011494253</v>
      </c>
      <c r="P4" s="8">
        <f t="shared" si="0"/>
        <v>0.32298136645962733</v>
      </c>
    </row>
    <row r="5" spans="1:16" x14ac:dyDescent="0.3">
      <c r="A5" s="8" t="s">
        <v>30</v>
      </c>
      <c r="B5" s="9">
        <v>0.7514020921999921</v>
      </c>
      <c r="C5" s="9">
        <v>0.79178082191780819</v>
      </c>
      <c r="D5" s="9">
        <v>0.7567567567567568</v>
      </c>
      <c r="E5" s="9">
        <v>0.68181818181818177</v>
      </c>
      <c r="F5" s="9">
        <v>0.67069486404833834</v>
      </c>
      <c r="G5" s="9">
        <v>0.6954022988505747</v>
      </c>
      <c r="H5" s="9">
        <v>0.67701863354037262</v>
      </c>
      <c r="I5" s="8">
        <v>1</v>
      </c>
      <c r="J5" s="8">
        <f t="shared" si="1"/>
        <v>1</v>
      </c>
      <c r="K5" s="8">
        <f t="shared" si="0"/>
        <v>1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0"/>
        <v>1</v>
      </c>
    </row>
    <row r="7" spans="1:16" ht="28.8" x14ac:dyDescent="0.3">
      <c r="B7" s="1" t="s">
        <v>53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J7" s="7"/>
      <c r="K7" s="10" t="s">
        <v>67</v>
      </c>
      <c r="L7" s="10" t="s">
        <v>68</v>
      </c>
      <c r="M7" s="10" t="s">
        <v>69</v>
      </c>
      <c r="N7" s="10" t="s">
        <v>70</v>
      </c>
      <c r="O7" s="10" t="s">
        <v>71</v>
      </c>
      <c r="P7" s="10" t="s">
        <v>72</v>
      </c>
    </row>
    <row r="8" spans="1:16" x14ac:dyDescent="0.3">
      <c r="B8" s="8" t="s">
        <v>33</v>
      </c>
      <c r="C8" s="8">
        <f>C2-B2</f>
        <v>-4.2261371889937976E-3</v>
      </c>
      <c r="D8" s="8">
        <f>D2-B2</f>
        <v>1.2261583408315832E-2</v>
      </c>
      <c r="E8" s="8">
        <f>E2-B2</f>
        <v>5.1471247617980054E-2</v>
      </c>
      <c r="F8" s="8">
        <f>F2-B2</f>
        <v>3.6811813396612297E-2</v>
      </c>
      <c r="G8" s="8">
        <f>G2-B2</f>
        <v>4.9773232988930938E-2</v>
      </c>
      <c r="H8" s="8">
        <f>H2-B2</f>
        <v>4.2366222208606807E-2</v>
      </c>
      <c r="J8" s="8" t="s">
        <v>33</v>
      </c>
      <c r="K8" s="7">
        <f>($J2-0) * ((K2+0))</f>
        <v>2.3660963126868571E-3</v>
      </c>
      <c r="L8" s="7">
        <f t="shared" ref="L8:P8" si="2">($J2-0) * ((L2+0))</f>
        <v>3.2036969151642393E-3</v>
      </c>
      <c r="M8" s="7">
        <f t="shared" si="2"/>
        <v>5.1956058737809667E-3</v>
      </c>
      <c r="N8" s="7">
        <f t="shared" si="2"/>
        <v>4.4508849244340471E-3</v>
      </c>
      <c r="O8" s="7">
        <f t="shared" si="2"/>
        <v>5.1093442181498645E-3</v>
      </c>
      <c r="P8" s="7">
        <f t="shared" si="2"/>
        <v>4.7330571106907349E-3</v>
      </c>
    </row>
    <row r="9" spans="1:16" x14ac:dyDescent="0.3">
      <c r="B9" s="8" t="s">
        <v>32</v>
      </c>
      <c r="C9" s="8">
        <f t="shared" ref="C9:C11" si="3">C3-B3</f>
        <v>-2.4569155987627045E-2</v>
      </c>
      <c r="D9" s="8">
        <f t="shared" ref="D9:D11" si="4">D3-B3</f>
        <v>-5.4286544609125249E-2</v>
      </c>
      <c r="E9" s="8">
        <f t="shared" ref="E9:E11" si="5">E3-B3</f>
        <v>-7.8958944281524918E-2</v>
      </c>
      <c r="F9" s="8">
        <f t="shared" ref="F9:F11" si="6">F3-B3</f>
        <v>-7.2195692427638625E-2</v>
      </c>
      <c r="G9" s="8">
        <f t="shared" ref="G9:G11" si="7">G3-B3</f>
        <v>-5.8713385242862431E-2</v>
      </c>
      <c r="H9" s="8">
        <f t="shared" ref="H9:H11" si="8">H3-B3</f>
        <v>-2.8210779402925261E-2</v>
      </c>
      <c r="J9" s="8" t="s">
        <v>32</v>
      </c>
      <c r="K9" s="7">
        <f>($J3-$J2) * ((K3+K2))</f>
        <v>1.4352629253203712E-2</v>
      </c>
      <c r="L9" s="7">
        <f t="shared" ref="L9:P9" si="9">($J3-$J2) * ((L3+L2))</f>
        <v>1.4646904969485612E-2</v>
      </c>
      <c r="M9" s="7">
        <f t="shared" si="9"/>
        <v>1.9501466275659827E-2</v>
      </c>
      <c r="N9" s="7">
        <f t="shared" si="9"/>
        <v>1.7464184777312153E-2</v>
      </c>
      <c r="O9" s="7">
        <f t="shared" si="9"/>
        <v>2.1023359288097888E-2</v>
      </c>
      <c r="P9" s="7">
        <f t="shared" si="9"/>
        <v>2.2440392706872366E-2</v>
      </c>
    </row>
    <row r="10" spans="1:16" x14ac:dyDescent="0.3">
      <c r="B10" s="8" t="s">
        <v>31</v>
      </c>
      <c r="C10" s="8">
        <f t="shared" si="3"/>
        <v>-1.1583436541195341E-2</v>
      </c>
      <c r="D10" s="8">
        <f t="shared" si="4"/>
        <v>3.6670296644044698E-2</v>
      </c>
      <c r="E10" s="8">
        <f t="shared" si="5"/>
        <v>9.7071607045355113E-2</v>
      </c>
      <c r="F10" s="8">
        <f t="shared" si="6"/>
        <v>0.11609110718268001</v>
      </c>
      <c r="G10" s="8">
        <f t="shared" si="7"/>
        <v>6.4939945603348842E-2</v>
      </c>
      <c r="H10" s="8">
        <f t="shared" si="8"/>
        <v>6.0228015853937833E-2</v>
      </c>
      <c r="J10" s="8" t="s">
        <v>31</v>
      </c>
      <c r="K10" s="7">
        <f t="shared" ref="K10:P11" si="10">($J4-$J3) * ((K4+K3))</f>
        <v>3.445052097948393E-2</v>
      </c>
      <c r="L10" s="7">
        <f t="shared" si="10"/>
        <v>3.6792848693727731E-2</v>
      </c>
      <c r="M10" s="7">
        <f t="shared" si="10"/>
        <v>4.6409161420497495E-2</v>
      </c>
      <c r="N10" s="7">
        <f t="shared" si="10"/>
        <v>4.6755994078593113E-2</v>
      </c>
      <c r="O10" s="7">
        <f t="shared" si="10"/>
        <v>4.6942600057514702E-2</v>
      </c>
      <c r="P10" s="7">
        <f t="shared" si="10"/>
        <v>5.1400535760917125E-2</v>
      </c>
    </row>
    <row r="11" spans="1:16" x14ac:dyDescent="0.3">
      <c r="B11" s="8" t="s">
        <v>30</v>
      </c>
      <c r="C11" s="8">
        <f t="shared" si="3"/>
        <v>4.0378729717816086E-2</v>
      </c>
      <c r="D11" s="8">
        <f t="shared" si="4"/>
        <v>5.3546645567646989E-3</v>
      </c>
      <c r="E11" s="8">
        <f t="shared" si="5"/>
        <v>-6.9583910381810332E-2</v>
      </c>
      <c r="F11" s="8">
        <f t="shared" si="6"/>
        <v>-8.0707228151653765E-2</v>
      </c>
      <c r="G11" s="8">
        <f t="shared" si="7"/>
        <v>-5.5999793349417404E-2</v>
      </c>
      <c r="H11" s="8">
        <f t="shared" si="8"/>
        <v>-7.4383458659619484E-2</v>
      </c>
      <c r="J11" s="8" t="s">
        <v>30</v>
      </c>
      <c r="K11" s="7">
        <f t="shared" si="10"/>
        <v>0.90785841824711366</v>
      </c>
      <c r="L11" s="7">
        <f t="shared" si="10"/>
        <v>0.93417557408647645</v>
      </c>
      <c r="M11" s="7">
        <f t="shared" si="10"/>
        <v>0.99048457608180773</v>
      </c>
      <c r="N11" s="7">
        <f t="shared" si="10"/>
        <v>0.99884266032627333</v>
      </c>
      <c r="O11" s="7">
        <f t="shared" si="10"/>
        <v>0.98027744212297818</v>
      </c>
      <c r="P11" s="7">
        <f t="shared" si="10"/>
        <v>0.99409096669936825</v>
      </c>
    </row>
    <row r="12" spans="1:16" x14ac:dyDescent="0.3">
      <c r="J12" s="11" t="s">
        <v>73</v>
      </c>
      <c r="K12" s="10">
        <f>SUM(K8:K11)</f>
        <v>0.95902766479248813</v>
      </c>
      <c r="L12" s="10">
        <f t="shared" ref="L12:P12" si="11">SUM(L8:L11)</f>
        <v>0.98881902466485405</v>
      </c>
      <c r="M12" s="10">
        <f t="shared" si="11"/>
        <v>1.0615908096517459</v>
      </c>
      <c r="N12" s="10">
        <f t="shared" si="11"/>
        <v>1.0675137241066126</v>
      </c>
      <c r="O12" s="10">
        <f t="shared" si="11"/>
        <v>1.0533527456867406</v>
      </c>
      <c r="P12" s="10">
        <f t="shared" si="11"/>
        <v>1.0726649522778484</v>
      </c>
    </row>
    <row r="13" spans="1:16" x14ac:dyDescent="0.3">
      <c r="J13" s="12" t="s">
        <v>74</v>
      </c>
      <c r="K13" s="13">
        <f>1-K12</f>
        <v>4.0972335207511867E-2</v>
      </c>
      <c r="L13" s="13">
        <f t="shared" ref="L13:P13" si="12">1-L12</f>
        <v>1.1180975335145948E-2</v>
      </c>
      <c r="M13" s="13">
        <f t="shared" si="12"/>
        <v>-6.1590809651745904E-2</v>
      </c>
      <c r="N13" s="13">
        <f t="shared" si="12"/>
        <v>-6.7513724106612605E-2</v>
      </c>
      <c r="O13" s="13">
        <f t="shared" si="12"/>
        <v>-5.3352745686740644E-2</v>
      </c>
      <c r="P13" s="13">
        <f t="shared" si="12"/>
        <v>-7.2664952277848416E-2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412-A7B6-4057-ADFD-C3BB5239B5F9}">
  <dimension ref="A1:P15"/>
  <sheetViews>
    <sheetView topLeftCell="C1" workbookViewId="0">
      <selection activeCell="K9" sqref="K9:P13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37</v>
      </c>
      <c r="B2" s="9">
        <v>3.0383827888641017E-2</v>
      </c>
      <c r="C2" s="9">
        <v>3.5999999999999997E-2</v>
      </c>
      <c r="D2" s="9">
        <v>2.097902097902098E-2</v>
      </c>
      <c r="E2" s="9">
        <v>1.532567049808429E-2</v>
      </c>
      <c r="F2" s="9">
        <v>3.25497287522604E-2</v>
      </c>
      <c r="G2" s="9">
        <v>1.7902813299232736E-2</v>
      </c>
      <c r="H2" s="9">
        <v>1.7751479289940829E-2</v>
      </c>
      <c r="I2" s="8">
        <v>3.0383827888641017E-2</v>
      </c>
      <c r="J2" s="9">
        <v>3.0383827888641017E-2</v>
      </c>
      <c r="K2" s="9">
        <v>3.5999999999999997E-2</v>
      </c>
      <c r="L2" s="9">
        <v>2.097902097902098E-2</v>
      </c>
      <c r="M2" s="9">
        <v>1.532567049808429E-2</v>
      </c>
      <c r="N2" s="9">
        <v>3.25497287522604E-2</v>
      </c>
      <c r="O2" s="9">
        <v>1.7902813299232736E-2</v>
      </c>
      <c r="P2" s="9">
        <v>1.7751479289940829E-2</v>
      </c>
    </row>
    <row r="3" spans="1:16" x14ac:dyDescent="0.3">
      <c r="A3" s="8" t="s">
        <v>35</v>
      </c>
      <c r="B3" s="9">
        <v>3.3753017755095802E-2</v>
      </c>
      <c r="C3" s="9">
        <v>3.2000000000000001E-2</v>
      </c>
      <c r="D3" s="9">
        <v>3.4965034965034968E-2</v>
      </c>
      <c r="E3" s="9">
        <v>2.681992337164751E-2</v>
      </c>
      <c r="F3" s="9">
        <v>3.4358047016274866E-2</v>
      </c>
      <c r="G3" s="9">
        <v>2.0460358056265986E-2</v>
      </c>
      <c r="H3" s="9">
        <v>2.3668639053254437E-2</v>
      </c>
      <c r="I3" s="8">
        <v>6.4136845643736812E-2</v>
      </c>
      <c r="J3" s="8">
        <f t="shared" ref="J3:P6" si="0">J2+B3</f>
        <v>6.4136845643736812E-2</v>
      </c>
      <c r="K3" s="8">
        <f t="shared" si="0"/>
        <v>6.8000000000000005E-2</v>
      </c>
      <c r="L3" s="8">
        <f t="shared" si="0"/>
        <v>5.5944055944055951E-2</v>
      </c>
      <c r="M3" s="8">
        <f t="shared" si="0"/>
        <v>4.2145593869731802E-2</v>
      </c>
      <c r="N3" s="8">
        <f t="shared" si="0"/>
        <v>6.6907775768535266E-2</v>
      </c>
      <c r="O3" s="8">
        <f t="shared" si="0"/>
        <v>3.8363171355498722E-2</v>
      </c>
      <c r="P3" s="8">
        <f t="shared" si="0"/>
        <v>4.142011834319527E-2</v>
      </c>
    </row>
    <row r="4" spans="1:16" x14ac:dyDescent="0.3">
      <c r="A4" s="8" t="s">
        <v>38</v>
      </c>
      <c r="B4" s="9">
        <v>0.2185236683678147</v>
      </c>
      <c r="C4" s="9">
        <v>0.25600000000000001</v>
      </c>
      <c r="D4" s="9">
        <v>0.30769230769230771</v>
      </c>
      <c r="E4" s="9">
        <v>0.12260536398467432</v>
      </c>
      <c r="F4" s="9">
        <v>0.17902350813743217</v>
      </c>
      <c r="G4" s="9">
        <v>0.20204603580562661</v>
      </c>
      <c r="H4" s="9">
        <v>0.22485207100591717</v>
      </c>
      <c r="I4" s="8">
        <v>0.28266051401155151</v>
      </c>
      <c r="J4" s="8">
        <f t="shared" si="0"/>
        <v>0.28266051401155151</v>
      </c>
      <c r="K4" s="8">
        <f t="shared" si="0"/>
        <v>0.32400000000000001</v>
      </c>
      <c r="L4" s="8">
        <f t="shared" si="0"/>
        <v>0.36363636363636365</v>
      </c>
      <c r="M4" s="8">
        <f t="shared" si="0"/>
        <v>0.16475095785440613</v>
      </c>
      <c r="N4" s="8">
        <f t="shared" si="0"/>
        <v>0.24593128390596744</v>
      </c>
      <c r="O4" s="8">
        <f t="shared" si="0"/>
        <v>0.24040920716112532</v>
      </c>
      <c r="P4" s="8">
        <f t="shared" si="0"/>
        <v>0.26627218934911245</v>
      </c>
    </row>
    <row r="5" spans="1:16" x14ac:dyDescent="0.3">
      <c r="A5" s="8" t="s">
        <v>34</v>
      </c>
      <c r="B5" s="9">
        <v>0.31062249793723068</v>
      </c>
      <c r="C5" s="9">
        <v>0.2</v>
      </c>
      <c r="D5" s="9">
        <v>0.1888111888111888</v>
      </c>
      <c r="E5" s="9">
        <v>0.13026819923371646</v>
      </c>
      <c r="F5" s="9">
        <v>0.23327305605786619</v>
      </c>
      <c r="G5" s="9">
        <v>0.33759590792838873</v>
      </c>
      <c r="H5" s="9">
        <v>0.24260355029585798</v>
      </c>
      <c r="I5" s="8">
        <v>0.59328301194878219</v>
      </c>
      <c r="J5" s="8">
        <f t="shared" si="0"/>
        <v>0.59328301194878219</v>
      </c>
      <c r="K5" s="8">
        <f t="shared" si="0"/>
        <v>0.52400000000000002</v>
      </c>
      <c r="L5" s="8">
        <f t="shared" si="0"/>
        <v>0.5524475524475525</v>
      </c>
      <c r="M5" s="8">
        <f t="shared" si="0"/>
        <v>0.2950191570881226</v>
      </c>
      <c r="N5" s="8">
        <f t="shared" si="0"/>
        <v>0.4792043399638336</v>
      </c>
      <c r="O5" s="8">
        <f t="shared" si="0"/>
        <v>0.57800511508951402</v>
      </c>
      <c r="P5" s="8">
        <f t="shared" si="0"/>
        <v>0.50887573964497046</v>
      </c>
    </row>
    <row r="6" spans="1:16" x14ac:dyDescent="0.3">
      <c r="A6" s="8" t="s">
        <v>36</v>
      </c>
      <c r="B6" s="9">
        <v>0.40671698805121781</v>
      </c>
      <c r="C6" s="9">
        <v>0.47599999999999998</v>
      </c>
      <c r="D6" s="9">
        <v>0.44755244755244755</v>
      </c>
      <c r="E6" s="9">
        <v>0.70498084291187735</v>
      </c>
      <c r="F6" s="9">
        <v>0.5207956600361664</v>
      </c>
      <c r="G6" s="9">
        <v>0.42199488491048592</v>
      </c>
      <c r="H6" s="9">
        <v>0.4911242603550296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53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J8" s="7"/>
      <c r="K8" s="10" t="s">
        <v>67</v>
      </c>
      <c r="L8" s="10" t="s">
        <v>68</v>
      </c>
      <c r="M8" s="10" t="s">
        <v>69</v>
      </c>
      <c r="N8" s="10" t="s">
        <v>70</v>
      </c>
      <c r="O8" s="10" t="s">
        <v>71</v>
      </c>
      <c r="P8" s="10" t="s">
        <v>72</v>
      </c>
    </row>
    <row r="9" spans="1:16" x14ac:dyDescent="0.3">
      <c r="B9" s="8" t="s">
        <v>37</v>
      </c>
      <c r="C9" s="8">
        <f>C2-B2</f>
        <v>5.6161721113589802E-3</v>
      </c>
      <c r="D9" s="8">
        <f>D2-B2</f>
        <v>-9.4048069096200372E-3</v>
      </c>
      <c r="E9" s="8">
        <f>E2-B2</f>
        <v>-1.5058157390556727E-2</v>
      </c>
      <c r="F9" s="8">
        <f>F2-B2</f>
        <v>2.1659008636193827E-3</v>
      </c>
      <c r="G9" s="8">
        <f>G2-B2</f>
        <v>-1.2481014589408281E-2</v>
      </c>
      <c r="H9" s="8">
        <f>H2-B2</f>
        <v>-1.2632348598700188E-2</v>
      </c>
      <c r="J9" s="8" t="s">
        <v>37</v>
      </c>
      <c r="K9" s="7">
        <f>(J2-0) * ((K2+0))</f>
        <v>1.0938178039910766E-3</v>
      </c>
      <c r="L9" s="7">
        <f>(J2-0) * ((L2+0))</f>
        <v>6.3742296269876262E-4</v>
      </c>
      <c r="M9" s="7">
        <f>(J2-0) * ((M2+0))</f>
        <v>4.6565253469181632E-4</v>
      </c>
      <c r="N9" s="7">
        <f>(J2-0) * ((N2+0))</f>
        <v>9.8898535623063001E-4</v>
      </c>
      <c r="O9" s="7">
        <f>(J2-0) * ((O2+0))</f>
        <v>5.4395599800636087E-4</v>
      </c>
      <c r="P9" s="7">
        <f>(J2-0) * ((P2+0))</f>
        <v>5.3935789151433758E-4</v>
      </c>
    </row>
    <row r="10" spans="1:16" x14ac:dyDescent="0.3">
      <c r="B10" s="8" t="s">
        <v>35</v>
      </c>
      <c r="C10" s="8">
        <f t="shared" ref="C10:C13" si="1">C3-B3</f>
        <v>-1.7530177550958009E-3</v>
      </c>
      <c r="D10" s="8">
        <f t="shared" ref="D10:D13" si="2">D3-B3</f>
        <v>1.212017209939166E-3</v>
      </c>
      <c r="E10" s="8">
        <f t="shared" ref="E10:E13" si="3">E3-B3</f>
        <v>-6.9330943834482912E-3</v>
      </c>
      <c r="F10" s="8">
        <f t="shared" ref="F10:F13" si="4">F3-B3</f>
        <v>6.0502926117906447E-4</v>
      </c>
      <c r="G10" s="8">
        <f t="shared" ref="G10:G13" si="5">G3-B3</f>
        <v>-1.3292659698829815E-2</v>
      </c>
      <c r="H10" s="8">
        <f t="shared" ref="H10:H13" si="6">H3-B3</f>
        <v>-1.0084378701841364E-2</v>
      </c>
      <c r="J10" s="8" t="s">
        <v>35</v>
      </c>
      <c r="K10" s="7">
        <f>(J3-J2) * ((K3+K2))</f>
        <v>3.510313846529963E-3</v>
      </c>
      <c r="L10" s="7">
        <f>(J3-J2) * ((L3+L2))</f>
        <v>2.5963859811612153E-3</v>
      </c>
      <c r="M10" s="7">
        <f>(J3-J2) * ((M3+M2))</f>
        <v>1.9398286066147007E-3</v>
      </c>
      <c r="N10" s="7">
        <f>(J3-J2) * ((N3+N2))</f>
        <v>3.3569909159679363E-3</v>
      </c>
      <c r="O10" s="7">
        <f>(J3-J2) * ((O3+O2))</f>
        <v>1.8991467790590983E-3</v>
      </c>
      <c r="P10" s="7">
        <f>(J3-J2) * ((P3+P2))</f>
        <v>1.9972199855086271E-3</v>
      </c>
    </row>
    <row r="11" spans="1:16" x14ac:dyDescent="0.3">
      <c r="B11" s="8" t="s">
        <v>38</v>
      </c>
      <c r="C11" s="8">
        <f t="shared" si="1"/>
        <v>3.7476331632185306E-2</v>
      </c>
      <c r="D11" s="8">
        <f t="shared" si="2"/>
        <v>8.916863932449301E-2</v>
      </c>
      <c r="E11" s="8">
        <f t="shared" si="3"/>
        <v>-9.5918304383140376E-2</v>
      </c>
      <c r="F11" s="8">
        <f t="shared" si="4"/>
        <v>-3.9500160230382525E-2</v>
      </c>
      <c r="G11" s="8">
        <f t="shared" si="5"/>
        <v>-1.6477632562188094E-2</v>
      </c>
      <c r="H11" s="8">
        <f t="shared" si="6"/>
        <v>6.3284026381024705E-3</v>
      </c>
      <c r="J11" s="8" t="s">
        <v>38</v>
      </c>
      <c r="K11" s="7">
        <f t="shared" ref="K11:K13" si="7">(J4-J3) * ((K4+K3))</f>
        <v>8.5661278000183361E-2</v>
      </c>
      <c r="L11" s="7">
        <f t="shared" ref="L11:L13" si="8">(J4-J3) * ((L4+L3))</f>
        <v>9.1688252462020156E-2</v>
      </c>
      <c r="M11" s="7">
        <f t="shared" ref="M11:M13" si="9">(J4-J3) * ((M4+M3))</f>
        <v>4.5211793455409939E-2</v>
      </c>
      <c r="N11" s="7">
        <f t="shared" ref="N11:N13" si="10">(J4-J3) * ((N4+N3))</f>
        <v>6.8362738928810021E-2</v>
      </c>
      <c r="O11" s="7">
        <f t="shared" ref="O11:O13" si="11">(J4-J3) * ((O4+O3))</f>
        <v>6.0918362793073666E-2</v>
      </c>
      <c r="P11" s="7">
        <f t="shared" ref="P11:P13" si="12">(J4-J3) * ((P4+P3))</f>
        <v>6.7238051805481452E-2</v>
      </c>
    </row>
    <row r="12" spans="1:16" x14ac:dyDescent="0.3">
      <c r="B12" s="8" t="s">
        <v>34</v>
      </c>
      <c r="C12" s="8">
        <f t="shared" si="1"/>
        <v>-0.11062249793723067</v>
      </c>
      <c r="D12" s="8">
        <f t="shared" si="2"/>
        <v>-0.12181130912604188</v>
      </c>
      <c r="E12" s="8">
        <f t="shared" si="3"/>
        <v>-0.18035429870351422</v>
      </c>
      <c r="F12" s="8">
        <f t="shared" si="4"/>
        <v>-7.7349441879364489E-2</v>
      </c>
      <c r="G12" s="8">
        <f t="shared" si="5"/>
        <v>2.6973409991158048E-2</v>
      </c>
      <c r="H12" s="8">
        <f t="shared" si="6"/>
        <v>-6.8018947641372701E-2</v>
      </c>
      <c r="J12" s="8" t="s">
        <v>34</v>
      </c>
      <c r="K12" s="7">
        <f t="shared" si="7"/>
        <v>0.26340787825077167</v>
      </c>
      <c r="L12" s="7">
        <f t="shared" si="8"/>
        <v>0.28455627433410646</v>
      </c>
      <c r="M12" s="7">
        <f t="shared" si="9"/>
        <v>0.14281494158033595</v>
      </c>
      <c r="N12" s="7">
        <f t="shared" si="10"/>
        <v>0.22524343882970974</v>
      </c>
      <c r="O12" s="7">
        <f t="shared" si="11"/>
        <v>0.25421790112509929</v>
      </c>
      <c r="P12" s="7">
        <f t="shared" si="12"/>
        <v>0.24077838597501316</v>
      </c>
    </row>
    <row r="13" spans="1:16" x14ac:dyDescent="0.3">
      <c r="B13" s="8" t="s">
        <v>36</v>
      </c>
      <c r="C13" s="8">
        <f t="shared" si="1"/>
        <v>6.9283011948782169E-2</v>
      </c>
      <c r="D13" s="8">
        <f t="shared" si="2"/>
        <v>4.0835459501229743E-2</v>
      </c>
      <c r="E13" s="8">
        <f t="shared" si="3"/>
        <v>0.29826385486065954</v>
      </c>
      <c r="F13" s="8">
        <f t="shared" si="4"/>
        <v>0.11407867198494859</v>
      </c>
      <c r="G13" s="8">
        <f t="shared" si="5"/>
        <v>1.5277896859268114E-2</v>
      </c>
      <c r="H13" s="8">
        <f t="shared" si="6"/>
        <v>8.4407272303811787E-2</v>
      </c>
      <c r="J13" s="8" t="s">
        <v>36</v>
      </c>
      <c r="K13" s="7">
        <f t="shared" si="7"/>
        <v>0.61983668979005591</v>
      </c>
      <c r="L13" s="7">
        <f t="shared" si="8"/>
        <v>0.6314067926389535</v>
      </c>
      <c r="M13" s="7">
        <f t="shared" si="9"/>
        <v>0.52670629103950817</v>
      </c>
      <c r="N13" s="7">
        <f t="shared" si="10"/>
        <v>0.60161753386238004</v>
      </c>
      <c r="O13" s="7">
        <f t="shared" si="11"/>
        <v>0.64180148753862243</v>
      </c>
      <c r="P13" s="7">
        <f t="shared" si="12"/>
        <v>0.61368539617195583</v>
      </c>
    </row>
    <row r="14" spans="1:16" x14ac:dyDescent="0.3">
      <c r="J14" s="10" t="s">
        <v>73</v>
      </c>
      <c r="K14" s="10">
        <f>SUM(K9:K13)</f>
        <v>0.97350997769153191</v>
      </c>
      <c r="L14" s="10">
        <f t="shared" ref="L14:P14" si="13">SUM(L9:L13)</f>
        <v>1.01088512837894</v>
      </c>
      <c r="M14" s="10">
        <f t="shared" si="13"/>
        <v>0.71713850721656058</v>
      </c>
      <c r="N14" s="10">
        <f t="shared" si="13"/>
        <v>0.89956968789309832</v>
      </c>
      <c r="O14" s="10">
        <f t="shared" si="13"/>
        <v>0.95938085423386088</v>
      </c>
      <c r="P14" s="10">
        <f t="shared" si="13"/>
        <v>0.92423841182947342</v>
      </c>
    </row>
    <row r="15" spans="1:16" x14ac:dyDescent="0.3">
      <c r="J15" s="13" t="s">
        <v>74</v>
      </c>
      <c r="K15" s="13">
        <f>1-K14</f>
        <v>2.6490022308468086E-2</v>
      </c>
      <c r="L15" s="13">
        <f t="shared" ref="L15:P15" si="14">1-L14</f>
        <v>-1.0885128378939957E-2</v>
      </c>
      <c r="M15" s="13">
        <f t="shared" si="14"/>
        <v>0.28286149278343942</v>
      </c>
      <c r="N15" s="13">
        <f t="shared" si="14"/>
        <v>0.10043031210690168</v>
      </c>
      <c r="O15" s="13">
        <f t="shared" si="14"/>
        <v>4.061914576613912E-2</v>
      </c>
      <c r="P15" s="13">
        <f t="shared" si="14"/>
        <v>7.5761588170526584E-2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63F-6F4F-4146-A752-3F596C4A9F5C}">
  <dimension ref="A1:P17"/>
  <sheetViews>
    <sheetView workbookViewId="0">
      <selection activeCell="N21" sqref="N21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44</v>
      </c>
      <c r="B2" s="9">
        <v>6.1128894479437527E-2</v>
      </c>
      <c r="C2" s="9">
        <v>6.5104166666666671E-2</v>
      </c>
      <c r="D2" s="9">
        <v>5.9113300492610835E-2</v>
      </c>
      <c r="E2" s="9">
        <v>3.5087719298245612E-2</v>
      </c>
      <c r="F2" s="9">
        <v>7.3359073359073365E-2</v>
      </c>
      <c r="G2" s="9">
        <v>7.6246334310850442E-2</v>
      </c>
      <c r="H2" s="9">
        <v>8.6124401913875603E-2</v>
      </c>
      <c r="I2" s="8">
        <v>6.1128894479437527E-2</v>
      </c>
      <c r="J2" s="9">
        <v>6.1128894479437527E-2</v>
      </c>
      <c r="K2" s="9">
        <v>6.5104166666666671E-2</v>
      </c>
      <c r="L2" s="9">
        <v>5.9113300492610835E-2</v>
      </c>
      <c r="M2" s="9">
        <v>3.5087719298245612E-2</v>
      </c>
      <c r="N2" s="9">
        <v>7.3359073359073365E-2</v>
      </c>
      <c r="O2" s="9">
        <v>7.6246334310850442E-2</v>
      </c>
      <c r="P2" s="9">
        <v>8.6124401913875603E-2</v>
      </c>
    </row>
    <row r="3" spans="1:16" x14ac:dyDescent="0.3">
      <c r="A3" s="8" t="s">
        <v>42</v>
      </c>
      <c r="B3" s="9">
        <v>7.5387922537524993E-2</v>
      </c>
      <c r="C3" s="9">
        <v>6.5104166666666671E-2</v>
      </c>
      <c r="D3" s="9">
        <v>3.4482758620689655E-2</v>
      </c>
      <c r="E3" s="9">
        <v>6.5789473684210523E-2</v>
      </c>
      <c r="F3" s="9">
        <v>5.019305019305019E-2</v>
      </c>
      <c r="G3" s="9">
        <v>9.0909090909090912E-2</v>
      </c>
      <c r="H3" s="9">
        <v>0.12440191387559808</v>
      </c>
      <c r="I3" s="8">
        <v>0.13651681701696253</v>
      </c>
      <c r="J3" s="8">
        <f t="shared" ref="J3:P7" si="0">J2+B3</f>
        <v>0.13651681701696253</v>
      </c>
      <c r="K3" s="8">
        <f t="shared" si="0"/>
        <v>0.13020833333333334</v>
      </c>
      <c r="L3" s="8">
        <f t="shared" si="0"/>
        <v>9.3596059113300489E-2</v>
      </c>
      <c r="M3" s="8">
        <f t="shared" si="0"/>
        <v>0.10087719298245613</v>
      </c>
      <c r="N3" s="8">
        <f t="shared" si="0"/>
        <v>0.12355212355212356</v>
      </c>
      <c r="O3" s="8">
        <f t="shared" si="0"/>
        <v>0.16715542521994137</v>
      </c>
      <c r="P3" s="8">
        <f t="shared" si="0"/>
        <v>0.21052631578947367</v>
      </c>
    </row>
    <row r="4" spans="1:16" x14ac:dyDescent="0.3">
      <c r="A4" s="8" t="s">
        <v>39</v>
      </c>
      <c r="B4" s="9">
        <v>0.10838363262585775</v>
      </c>
      <c r="C4" s="9">
        <v>5.46875E-2</v>
      </c>
      <c r="D4" s="9">
        <v>5.9113300492610835E-2</v>
      </c>
      <c r="E4" s="9">
        <v>2.6315789473684209E-2</v>
      </c>
      <c r="F4" s="9">
        <v>0.10231660231660232</v>
      </c>
      <c r="G4" s="9">
        <v>5.2785923753665691E-2</v>
      </c>
      <c r="H4" s="9">
        <v>4.3062200956937802E-2</v>
      </c>
      <c r="I4" s="8">
        <v>0.24490044964282026</v>
      </c>
      <c r="J4" s="8">
        <f t="shared" si="0"/>
        <v>0.24490044964282026</v>
      </c>
      <c r="K4" s="8">
        <f t="shared" si="0"/>
        <v>0.18489583333333334</v>
      </c>
      <c r="L4" s="8">
        <f t="shared" si="0"/>
        <v>0.15270935960591131</v>
      </c>
      <c r="M4" s="8">
        <f t="shared" si="0"/>
        <v>0.12719298245614036</v>
      </c>
      <c r="N4" s="8">
        <f t="shared" si="0"/>
        <v>0.22586872586872586</v>
      </c>
      <c r="O4" s="8">
        <f t="shared" si="0"/>
        <v>0.21994134897360706</v>
      </c>
      <c r="P4" s="8">
        <f t="shared" si="0"/>
        <v>0.25358851674641147</v>
      </c>
    </row>
    <row r="5" spans="1:16" x14ac:dyDescent="0.3">
      <c r="A5" s="8" t="s">
        <v>43</v>
      </c>
      <c r="B5" s="9">
        <v>0.17551089374724255</v>
      </c>
      <c r="C5" s="9">
        <v>0.26822916666666669</v>
      </c>
      <c r="D5" s="9">
        <v>0.38423645320197042</v>
      </c>
      <c r="E5" s="9">
        <v>0.38596491228070173</v>
      </c>
      <c r="F5" s="9">
        <v>0.25482625482625482</v>
      </c>
      <c r="G5" s="9">
        <v>0.20527859237536658</v>
      </c>
      <c r="H5" s="9">
        <v>0.17224880382775121</v>
      </c>
      <c r="I5" s="8">
        <v>0.42041134339006281</v>
      </c>
      <c r="J5" s="8">
        <f t="shared" si="0"/>
        <v>0.42041134339006281</v>
      </c>
      <c r="K5" s="8">
        <f t="shared" si="0"/>
        <v>0.453125</v>
      </c>
      <c r="L5" s="8">
        <f t="shared" si="0"/>
        <v>0.53694581280788167</v>
      </c>
      <c r="M5" s="8">
        <f t="shared" si="0"/>
        <v>0.51315789473684204</v>
      </c>
      <c r="N5" s="8">
        <f t="shared" si="0"/>
        <v>0.48069498069498068</v>
      </c>
      <c r="O5" s="8">
        <f t="shared" si="0"/>
        <v>0.42521994134897367</v>
      </c>
      <c r="P5" s="8">
        <f t="shared" si="0"/>
        <v>0.42583732057416268</v>
      </c>
    </row>
    <row r="6" spans="1:16" x14ac:dyDescent="0.3">
      <c r="A6" s="8" t="s">
        <v>40</v>
      </c>
      <c r="B6" s="9">
        <v>0.18545184879234763</v>
      </c>
      <c r="C6" s="9">
        <v>0.16666666666666666</v>
      </c>
      <c r="D6" s="9">
        <v>0.14778325123152711</v>
      </c>
      <c r="E6" s="9">
        <v>0.23684210526315788</v>
      </c>
      <c r="F6" s="9">
        <v>0.18725868725868725</v>
      </c>
      <c r="G6" s="9">
        <v>0.21114369501466276</v>
      </c>
      <c r="H6" s="9">
        <v>0.20095693779904306</v>
      </c>
      <c r="I6" s="8">
        <v>0.60586319218241047</v>
      </c>
      <c r="J6" s="8">
        <f t="shared" si="0"/>
        <v>0.60586319218241047</v>
      </c>
      <c r="K6" s="8">
        <f t="shared" si="0"/>
        <v>0.61979166666666663</v>
      </c>
      <c r="L6" s="8">
        <f t="shared" si="0"/>
        <v>0.68472906403940881</v>
      </c>
      <c r="M6" s="8">
        <f t="shared" si="0"/>
        <v>0.74999999999999989</v>
      </c>
      <c r="N6" s="8">
        <f t="shared" si="0"/>
        <v>0.66795366795366795</v>
      </c>
      <c r="O6" s="8">
        <f t="shared" si="0"/>
        <v>0.63636363636363646</v>
      </c>
      <c r="P6" s="8">
        <f t="shared" si="0"/>
        <v>0.62679425837320579</v>
      </c>
    </row>
    <row r="7" spans="1:16" x14ac:dyDescent="0.3">
      <c r="A7" s="8" t="s">
        <v>41</v>
      </c>
      <c r="B7" s="9">
        <v>0.39413680781758959</v>
      </c>
      <c r="C7" s="9">
        <v>0.38020833333333331</v>
      </c>
      <c r="D7" s="9">
        <v>0.31527093596059114</v>
      </c>
      <c r="E7" s="9">
        <v>0.25</v>
      </c>
      <c r="F7" s="9">
        <v>0.33204633204633205</v>
      </c>
      <c r="G7" s="9">
        <v>0.36363636363636365</v>
      </c>
      <c r="H7" s="9">
        <v>0.37320574162679426</v>
      </c>
      <c r="I7" s="8">
        <v>1</v>
      </c>
      <c r="J7" s="8">
        <f t="shared" si="0"/>
        <v>1</v>
      </c>
      <c r="K7" s="8">
        <f t="shared" si="0"/>
        <v>1</v>
      </c>
      <c r="L7" s="8">
        <f t="shared" si="0"/>
        <v>1</v>
      </c>
      <c r="M7" s="8">
        <f t="shared" si="0"/>
        <v>0.99999999999999989</v>
      </c>
      <c r="N7" s="8">
        <f t="shared" si="0"/>
        <v>1</v>
      </c>
      <c r="O7" s="8">
        <f t="shared" si="0"/>
        <v>1</v>
      </c>
      <c r="P7" s="8">
        <f t="shared" si="0"/>
        <v>1</v>
      </c>
    </row>
    <row r="9" spans="1:16" ht="28.8" x14ac:dyDescent="0.3">
      <c r="B9" s="1" t="s">
        <v>53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J9" s="1" t="s">
        <v>53</v>
      </c>
      <c r="K9" s="10" t="s">
        <v>67</v>
      </c>
      <c r="L9" s="10" t="s">
        <v>68</v>
      </c>
      <c r="M9" s="10" t="s">
        <v>69</v>
      </c>
      <c r="N9" s="10" t="s">
        <v>70</v>
      </c>
      <c r="O9" s="10" t="s">
        <v>71</v>
      </c>
      <c r="P9" s="10" t="s">
        <v>72</v>
      </c>
    </row>
    <row r="10" spans="1:16" x14ac:dyDescent="0.3">
      <c r="B10" s="8" t="s">
        <v>44</v>
      </c>
      <c r="C10" s="8">
        <f>C2-B2</f>
        <v>3.9752721872291438E-3</v>
      </c>
      <c r="D10" s="8">
        <f>D2-B2</f>
        <v>-2.0155939868266928E-3</v>
      </c>
      <c r="E10" s="8">
        <f>E2-B2</f>
        <v>-2.6041175181191915E-2</v>
      </c>
      <c r="F10" s="8">
        <f>F2-B2</f>
        <v>1.2230178879635838E-2</v>
      </c>
      <c r="G10" s="8">
        <f>G2-B2</f>
        <v>1.5117439831412914E-2</v>
      </c>
      <c r="H10" s="8">
        <f>H2-B2</f>
        <v>2.4995507434438076E-2</v>
      </c>
      <c r="J10" s="8" t="s">
        <v>44</v>
      </c>
      <c r="K10" s="7">
        <f>(J2-0) * ((K2+0))</f>
        <v>3.9797457343383807E-3</v>
      </c>
      <c r="L10" s="7">
        <f>(J2-0) * ((L2+0))</f>
        <v>3.61353070814409E-3</v>
      </c>
      <c r="M10" s="7">
        <f>(J2-0) * ((M2+0))</f>
        <v>2.1448734905065796E-3</v>
      </c>
      <c r="N10" s="7">
        <f>(J2-0) * ((N2+0))</f>
        <v>4.4843590544761123E-3</v>
      </c>
      <c r="O10" s="7">
        <f>(J2-0) * ((O2+0))</f>
        <v>4.6608541245318933E-3</v>
      </c>
      <c r="P10" s="7">
        <f>(J2-0) * ((P2+0))</f>
        <v>5.2646894766979688E-3</v>
      </c>
    </row>
    <row r="11" spans="1:16" x14ac:dyDescent="0.3">
      <c r="B11" s="8" t="s">
        <v>42</v>
      </c>
      <c r="C11" s="8">
        <f t="shared" ref="C11:C15" si="1">C3-B3</f>
        <v>-1.0283755870858322E-2</v>
      </c>
      <c r="D11" s="8">
        <f t="shared" ref="D11:D15" si="2">D3-B3</f>
        <v>-4.0905163916835338E-2</v>
      </c>
      <c r="E11" s="8">
        <f t="shared" ref="E11:E15" si="3">E3-B3</f>
        <v>-9.5984488533144702E-3</v>
      </c>
      <c r="F11" s="8">
        <f t="shared" ref="F11:F15" si="4">F3-B3</f>
        <v>-2.5194872344474803E-2</v>
      </c>
      <c r="G11" s="8">
        <f t="shared" ref="G11:G15" si="5">G3-B3</f>
        <v>1.5521168371565919E-2</v>
      </c>
      <c r="H11" s="8">
        <f t="shared" ref="H11:H15" si="6">H3-B3</f>
        <v>4.901399133807309E-2</v>
      </c>
      <c r="J11" s="8" t="s">
        <v>42</v>
      </c>
      <c r="K11" s="7">
        <f>(J3-J2) * ((K3+K2))</f>
        <v>1.472420362061035E-2</v>
      </c>
      <c r="L11" s="7">
        <f>(J3-J2) * ((L3+L2))</f>
        <v>1.1512441372725489E-2</v>
      </c>
      <c r="M11" s="7">
        <f>(J3-J2) * ((M3+M2))</f>
        <v>1.0250112274838923E-2</v>
      </c>
      <c r="N11" s="7">
        <f>(J3-J2) * ((N3+N2))</f>
        <v>1.4844726059512644E-2</v>
      </c>
      <c r="O11" s="7">
        <f>(J3-J2) * ((O3+O2))</f>
        <v>1.8349552993004618E-2</v>
      </c>
      <c r="P11" s="7">
        <f>(J3-J2) * ((P3+P2))</f>
        <v>2.2363881326921291E-2</v>
      </c>
    </row>
    <row r="12" spans="1:16" x14ac:dyDescent="0.3">
      <c r="B12" s="8" t="s">
        <v>39</v>
      </c>
      <c r="C12" s="8">
        <f t="shared" si="1"/>
        <v>-5.3696132625857748E-2</v>
      </c>
      <c r="D12" s="8">
        <f t="shared" si="2"/>
        <v>-4.9270332133246914E-2</v>
      </c>
      <c r="E12" s="8">
        <f t="shared" si="3"/>
        <v>-8.2067843152173539E-2</v>
      </c>
      <c r="F12" s="8">
        <f t="shared" si="4"/>
        <v>-6.0670303092554279E-3</v>
      </c>
      <c r="G12" s="8">
        <f t="shared" si="5"/>
        <v>-5.5597708872192057E-2</v>
      </c>
      <c r="H12" s="8">
        <f t="shared" si="6"/>
        <v>-6.5321431668919946E-2</v>
      </c>
      <c r="J12" s="8" t="s">
        <v>39</v>
      </c>
      <c r="K12" s="7">
        <f t="shared" ref="K12:K15" si="7">(J4-J3) * ((K4+K3))</f>
        <v>3.4152134238877051E-2</v>
      </c>
      <c r="L12" s="7">
        <f t="shared" ref="L12:L15" si="8">(J4-J3) * ((L4+L3))</f>
        <v>2.6695476016221114E-2</v>
      </c>
      <c r="M12" s="7">
        <f t="shared" ref="M12:M15" si="9">(J4-J3) * ((M4+M3))</f>
        <v>2.4719074107651763E-2</v>
      </c>
      <c r="N12" s="7">
        <f t="shared" ref="N12:N15" si="10">(J4-J3) * ((N4+N3))</f>
        <v>3.7871500975444491E-2</v>
      </c>
      <c r="O12" s="7">
        <f t="shared" ref="O12:O15" si="11">(J4-J3) * ((O4+O3))</f>
        <v>4.1954954564848157E-2</v>
      </c>
      <c r="P12" s="7">
        <f t="shared" ref="P12:P15" si="12">(J4-J3) * ((P4+P3))</f>
        <v>5.030245150578086E-2</v>
      </c>
    </row>
    <row r="13" spans="1:16" x14ac:dyDescent="0.3">
      <c r="B13" s="8" t="s">
        <v>43</v>
      </c>
      <c r="C13" s="8">
        <f t="shared" si="1"/>
        <v>9.2718272919424138E-2</v>
      </c>
      <c r="D13" s="8">
        <f t="shared" si="2"/>
        <v>0.20872555945472787</v>
      </c>
      <c r="E13" s="8">
        <f t="shared" si="3"/>
        <v>0.21045401853345919</v>
      </c>
      <c r="F13" s="8">
        <f t="shared" si="4"/>
        <v>7.931536107901227E-2</v>
      </c>
      <c r="G13" s="8">
        <f t="shared" si="5"/>
        <v>2.9767698628124034E-2</v>
      </c>
      <c r="H13" s="8">
        <f t="shared" si="6"/>
        <v>-3.26208991949134E-3</v>
      </c>
      <c r="J13" s="8" t="s">
        <v>43</v>
      </c>
      <c r="K13" s="7">
        <f t="shared" si="7"/>
        <v>0.11197960668769381</v>
      </c>
      <c r="L13" s="7">
        <f t="shared" si="8"/>
        <v>0.12104199568775345</v>
      </c>
      <c r="M13" s="7">
        <f t="shared" si="9"/>
        <v>0.1123885547679711</v>
      </c>
      <c r="N13" s="7">
        <f t="shared" si="10"/>
        <v>0.12400962762836056</v>
      </c>
      <c r="O13" s="7">
        <f t="shared" si="11"/>
        <v>0.11323283467564037</v>
      </c>
      <c r="P13" s="7">
        <f t="shared" si="12"/>
        <v>0.11924663594310259</v>
      </c>
    </row>
    <row r="14" spans="1:16" x14ac:dyDescent="0.3">
      <c r="B14" s="8" t="s">
        <v>40</v>
      </c>
      <c r="C14" s="8">
        <f t="shared" si="1"/>
        <v>-1.8785182125680977E-2</v>
      </c>
      <c r="D14" s="8">
        <f t="shared" si="2"/>
        <v>-3.7668597560820527E-2</v>
      </c>
      <c r="E14" s="8">
        <f t="shared" si="3"/>
        <v>5.1390256470810247E-2</v>
      </c>
      <c r="F14" s="8">
        <f t="shared" si="4"/>
        <v>1.8068384663396109E-3</v>
      </c>
      <c r="G14" s="8">
        <f t="shared" si="5"/>
        <v>2.5691846222315129E-2</v>
      </c>
      <c r="H14" s="8">
        <f t="shared" si="6"/>
        <v>1.5505089006695422E-2</v>
      </c>
      <c r="J14" s="8" t="s">
        <v>40</v>
      </c>
      <c r="K14" s="7">
        <f t="shared" si="7"/>
        <v>0.19897437943345631</v>
      </c>
      <c r="L14" s="7">
        <f t="shared" si="8"/>
        <v>0.22656186453449367</v>
      </c>
      <c r="M14" s="7">
        <f t="shared" si="9"/>
        <v>0.23425496689559702</v>
      </c>
      <c r="N14" s="7">
        <f t="shared" si="10"/>
        <v>0.21301901550472369</v>
      </c>
      <c r="O14" s="7">
        <f t="shared" si="11"/>
        <v>0.19687263713439843</v>
      </c>
      <c r="P14" s="7">
        <f t="shared" si="12"/>
        <v>0.19521247241299758</v>
      </c>
    </row>
    <row r="15" spans="1:16" x14ac:dyDescent="0.3">
      <c r="B15" s="8" t="s">
        <v>41</v>
      </c>
      <c r="C15" s="8">
        <f t="shared" si="1"/>
        <v>-1.392847448425627E-2</v>
      </c>
      <c r="D15" s="8">
        <f t="shared" si="2"/>
        <v>-7.8865871856998448E-2</v>
      </c>
      <c r="E15" s="8">
        <f t="shared" si="3"/>
        <v>-0.14413680781758959</v>
      </c>
      <c r="F15" s="8">
        <f t="shared" si="4"/>
        <v>-6.2090475771257536E-2</v>
      </c>
      <c r="G15" s="8">
        <f t="shared" si="5"/>
        <v>-3.0500444181225939E-2</v>
      </c>
      <c r="H15" s="8">
        <f t="shared" si="6"/>
        <v>-2.0931066190795322E-2</v>
      </c>
      <c r="J15" s="8" t="s">
        <v>41</v>
      </c>
      <c r="K15" s="7">
        <f t="shared" si="7"/>
        <v>0.63841951682953302</v>
      </c>
      <c r="L15" s="7">
        <f t="shared" si="8"/>
        <v>0.664013735338008</v>
      </c>
      <c r="M15" s="7">
        <f t="shared" si="9"/>
        <v>0.68973941368078162</v>
      </c>
      <c r="N15" s="7">
        <f t="shared" si="10"/>
        <v>0.65740193427489835</v>
      </c>
      <c r="O15" s="7">
        <f t="shared" si="11"/>
        <v>0.64495114006514653</v>
      </c>
      <c r="P15" s="7">
        <f t="shared" si="12"/>
        <v>0.64117949597119828</v>
      </c>
    </row>
    <row r="16" spans="1:16" x14ac:dyDescent="0.3">
      <c r="J16" s="11" t="s">
        <v>73</v>
      </c>
      <c r="K16" s="10">
        <f>SUM(K10:K15)</f>
        <v>1.0022295865445088</v>
      </c>
      <c r="L16" s="10">
        <f t="shared" ref="L16:P16" si="13">SUM(L10:L15)</f>
        <v>1.0534390436573458</v>
      </c>
      <c r="M16" s="10">
        <f t="shared" si="13"/>
        <v>1.073496995217347</v>
      </c>
      <c r="N16" s="10">
        <f t="shared" si="13"/>
        <v>1.0516311634974158</v>
      </c>
      <c r="O16" s="10">
        <f t="shared" si="13"/>
        <v>1.02002197355757</v>
      </c>
      <c r="P16" s="10">
        <f t="shared" si="13"/>
        <v>1.0335696266366985</v>
      </c>
    </row>
    <row r="17" spans="10:16" x14ac:dyDescent="0.3">
      <c r="J17" s="12" t="s">
        <v>74</v>
      </c>
      <c r="K17" s="13">
        <f>1-K16</f>
        <v>-2.229586544508777E-3</v>
      </c>
      <c r="L17" s="13">
        <f t="shared" ref="L17:P17" si="14">1-L16</f>
        <v>-5.3439043657345753E-2</v>
      </c>
      <c r="M17" s="13">
        <f t="shared" si="14"/>
        <v>-7.3496995217346983E-2</v>
      </c>
      <c r="N17" s="13">
        <f t="shared" si="14"/>
        <v>-5.1631163497415811E-2</v>
      </c>
      <c r="O17" s="13">
        <f t="shared" si="14"/>
        <v>-2.0021973557569961E-2</v>
      </c>
      <c r="P17" s="13">
        <f t="shared" si="14"/>
        <v>-3.3569626636698491E-2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B57-3C55-456A-8F23-EF48DE100C9E}">
  <dimension ref="A1:P21"/>
  <sheetViews>
    <sheetView workbookViewId="0">
      <selection activeCell="N1" activeCellId="1" sqref="I1:J9 N1:P9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50</v>
      </c>
      <c r="B2" s="9">
        <v>1.211030162519864E-2</v>
      </c>
      <c r="C2" s="9">
        <v>2.2008253094910592E-2</v>
      </c>
      <c r="D2" s="9">
        <v>2.8735632183908046E-3</v>
      </c>
      <c r="E2" s="9">
        <v>3.0245746691871456E-2</v>
      </c>
      <c r="F2" s="9">
        <v>9.4836670179135937E-3</v>
      </c>
      <c r="G2" s="9">
        <v>1.7331022530329289E-2</v>
      </c>
      <c r="H2" s="9">
        <v>2.6515151515151516E-2</v>
      </c>
      <c r="I2" s="8">
        <v>1.211030162519864E-2</v>
      </c>
      <c r="J2" s="9">
        <v>1.211030162519864E-2</v>
      </c>
      <c r="K2" s="9">
        <v>2.2008253094910592E-2</v>
      </c>
      <c r="L2" s="9">
        <v>2.8735632183908046E-3</v>
      </c>
      <c r="M2" s="9">
        <v>3.0245746691871456E-2</v>
      </c>
      <c r="N2" s="9">
        <v>9.4836670179135937E-3</v>
      </c>
      <c r="O2" s="9">
        <v>1.7331022530329289E-2</v>
      </c>
      <c r="P2" s="9">
        <v>2.6515151515151516E-2</v>
      </c>
    </row>
    <row r="3" spans="1:16" x14ac:dyDescent="0.3">
      <c r="A3" s="8" t="s">
        <v>48</v>
      </c>
      <c r="B3" s="9">
        <v>1.2367477602659277E-2</v>
      </c>
      <c r="C3" s="9">
        <v>4.1265474552957355E-3</v>
      </c>
      <c r="D3" s="9">
        <v>8.6206896551724137E-3</v>
      </c>
      <c r="E3" s="9">
        <v>3.780718336483932E-3</v>
      </c>
      <c r="F3" s="9">
        <v>1.053740779768177E-2</v>
      </c>
      <c r="G3" s="9">
        <v>1.2131715771230503E-2</v>
      </c>
      <c r="H3" s="9">
        <v>3.787878787878788E-3</v>
      </c>
      <c r="I3" s="8">
        <v>2.4477779227857918E-2</v>
      </c>
      <c r="J3" s="8">
        <f t="shared" ref="J3:P9" si="0">J2+B3</f>
        <v>2.4477779227857918E-2</v>
      </c>
      <c r="K3" s="8">
        <f t="shared" si="0"/>
        <v>2.6134800550206328E-2</v>
      </c>
      <c r="L3" s="14">
        <f t="shared" si="0"/>
        <v>1.1494252873563218E-2</v>
      </c>
      <c r="M3" s="8">
        <f t="shared" si="0"/>
        <v>3.4026465028355386E-2</v>
      </c>
      <c r="N3" s="8">
        <f t="shared" si="0"/>
        <v>2.0021074815595362E-2</v>
      </c>
      <c r="O3" s="8">
        <f t="shared" si="0"/>
        <v>2.9462738301559793E-2</v>
      </c>
      <c r="P3" s="8">
        <f t="shared" si="0"/>
        <v>3.0303030303030304E-2</v>
      </c>
    </row>
    <row r="4" spans="1:16" x14ac:dyDescent="0.3">
      <c r="A4" s="8" t="s">
        <v>52</v>
      </c>
      <c r="B4" s="9">
        <v>1.9771842685070741E-2</v>
      </c>
      <c r="C4" s="9">
        <v>4.951856946354883E-2</v>
      </c>
      <c r="D4" s="9">
        <v>2.0114942528735632E-2</v>
      </c>
      <c r="E4" s="9">
        <v>2.4574669187145556E-2</v>
      </c>
      <c r="F4" s="9">
        <v>2.107481559536354E-2</v>
      </c>
      <c r="G4" s="9">
        <v>1.9064124783362217E-2</v>
      </c>
      <c r="H4" s="9">
        <v>3.787878787878788E-2</v>
      </c>
      <c r="I4" s="8">
        <v>4.4249621912928659E-2</v>
      </c>
      <c r="J4" s="8">
        <f t="shared" si="0"/>
        <v>4.4249621912928659E-2</v>
      </c>
      <c r="K4" s="8">
        <f t="shared" si="0"/>
        <v>7.5653370013755161E-2</v>
      </c>
      <c r="L4" s="14">
        <f t="shared" si="0"/>
        <v>3.1609195402298854E-2</v>
      </c>
      <c r="M4" s="8">
        <f t="shared" si="0"/>
        <v>5.8601134215500943E-2</v>
      </c>
      <c r="N4" s="8">
        <f t="shared" si="0"/>
        <v>4.1095890410958902E-2</v>
      </c>
      <c r="O4" s="8">
        <f t="shared" si="0"/>
        <v>4.852686308492201E-2</v>
      </c>
      <c r="P4" s="8">
        <f t="shared" si="0"/>
        <v>6.8181818181818177E-2</v>
      </c>
    </row>
    <row r="5" spans="1:16" x14ac:dyDescent="0.3">
      <c r="A5" s="8" t="s">
        <v>46</v>
      </c>
      <c r="B5" s="9">
        <v>2.1334090786958491E-2</v>
      </c>
      <c r="C5" s="9">
        <v>1.3755158184319119E-2</v>
      </c>
      <c r="D5" s="9">
        <v>1.1494252873563218E-2</v>
      </c>
      <c r="E5" s="9">
        <v>7.5614366729678641E-3</v>
      </c>
      <c r="F5" s="9">
        <v>7.3761854583772393E-3</v>
      </c>
      <c r="G5" s="9">
        <v>2.7729636048526862E-2</v>
      </c>
      <c r="H5" s="9">
        <v>2.6515151515151516E-2</v>
      </c>
      <c r="I5" s="8">
        <v>6.5583712699887151E-2</v>
      </c>
      <c r="J5" s="8">
        <f t="shared" si="0"/>
        <v>6.5583712699887151E-2</v>
      </c>
      <c r="K5" s="8">
        <f t="shared" si="0"/>
        <v>8.940852819807428E-2</v>
      </c>
      <c r="L5" s="14">
        <f t="shared" si="0"/>
        <v>4.3103448275862072E-2</v>
      </c>
      <c r="M5" s="8">
        <f t="shared" si="0"/>
        <v>6.6162570888468802E-2</v>
      </c>
      <c r="N5" s="8">
        <f t="shared" si="0"/>
        <v>4.8472075869336141E-2</v>
      </c>
      <c r="O5" s="8">
        <f t="shared" si="0"/>
        <v>7.6256499133448868E-2</v>
      </c>
      <c r="P5" s="8">
        <f t="shared" si="0"/>
        <v>9.4696969696969696E-2</v>
      </c>
    </row>
    <row r="6" spans="1:16" x14ac:dyDescent="0.3">
      <c r="A6" s="8" t="s">
        <v>47</v>
      </c>
      <c r="B6" s="9">
        <v>4.2783334996660552E-2</v>
      </c>
      <c r="C6" s="9">
        <v>3.7138927097661624E-2</v>
      </c>
      <c r="D6" s="9">
        <v>7.7586206896551727E-2</v>
      </c>
      <c r="E6" s="9">
        <v>6.4272211720226846E-2</v>
      </c>
      <c r="F6" s="9">
        <v>3.2665964172813484E-2</v>
      </c>
      <c r="G6" s="9">
        <v>3.9861351819757362E-2</v>
      </c>
      <c r="H6" s="9">
        <v>2.2727272727272728E-2</v>
      </c>
      <c r="I6" s="8">
        <v>0.1083670476965477</v>
      </c>
      <c r="J6" s="8">
        <f t="shared" si="0"/>
        <v>0.1083670476965477</v>
      </c>
      <c r="K6" s="8">
        <f t="shared" si="0"/>
        <v>0.12654745529573591</v>
      </c>
      <c r="L6" s="14">
        <f t="shared" si="0"/>
        <v>0.1206896551724138</v>
      </c>
      <c r="M6" s="8">
        <f t="shared" si="0"/>
        <v>0.13043478260869565</v>
      </c>
      <c r="N6" s="8">
        <f t="shared" si="0"/>
        <v>8.1138040042149626E-2</v>
      </c>
      <c r="O6" s="8">
        <f t="shared" si="0"/>
        <v>0.11611785095320623</v>
      </c>
      <c r="P6" s="8">
        <f t="shared" si="0"/>
        <v>0.11742424242424243</v>
      </c>
    </row>
    <row r="7" spans="1:16" x14ac:dyDescent="0.3">
      <c r="A7" s="8" t="s">
        <v>51</v>
      </c>
      <c r="B7" s="9">
        <v>0.1091385756289296</v>
      </c>
      <c r="C7" s="9">
        <v>4.951856946354883E-2</v>
      </c>
      <c r="D7" s="9">
        <v>0.10057471264367816</v>
      </c>
      <c r="E7" s="9">
        <v>8.5066162570888462E-2</v>
      </c>
      <c r="F7" s="9">
        <v>0.13171759747102213</v>
      </c>
      <c r="G7" s="9">
        <v>5.8925476603119586E-2</v>
      </c>
      <c r="H7" s="9">
        <v>0.13636363636363635</v>
      </c>
      <c r="I7" s="8">
        <v>0.21750562332547729</v>
      </c>
      <c r="J7" s="8">
        <f t="shared" si="0"/>
        <v>0.21750562332547729</v>
      </c>
      <c r="K7" s="8">
        <f t="shared" si="0"/>
        <v>0.17606602475928473</v>
      </c>
      <c r="L7" s="14">
        <f t="shared" si="0"/>
        <v>0.22126436781609196</v>
      </c>
      <c r="M7" s="8">
        <f t="shared" si="0"/>
        <v>0.21550094517958412</v>
      </c>
      <c r="N7" s="8">
        <f t="shared" si="0"/>
        <v>0.21285563751317177</v>
      </c>
      <c r="O7" s="8">
        <f t="shared" si="0"/>
        <v>0.17504332755632582</v>
      </c>
      <c r="P7" s="8">
        <f t="shared" si="0"/>
        <v>0.25378787878787878</v>
      </c>
    </row>
    <row r="8" spans="1:16" x14ac:dyDescent="0.3">
      <c r="A8" s="8" t="s">
        <v>45</v>
      </c>
      <c r="B8" s="9">
        <v>0.36701698896830209</v>
      </c>
      <c r="C8" s="9">
        <v>0.56946354883081152</v>
      </c>
      <c r="D8" s="9">
        <v>0.43390804597701149</v>
      </c>
      <c r="E8" s="9">
        <v>0.63894139886578449</v>
      </c>
      <c r="F8" s="9">
        <v>0.40990516332982085</v>
      </c>
      <c r="G8" s="9">
        <v>0.47487001733102252</v>
      </c>
      <c r="H8" s="9">
        <v>0.40909090909090912</v>
      </c>
      <c r="I8" s="8">
        <v>0.58452261229377944</v>
      </c>
      <c r="J8" s="8">
        <f t="shared" si="0"/>
        <v>0.58452261229377944</v>
      </c>
      <c r="K8" s="8">
        <f t="shared" si="0"/>
        <v>0.7455295735900962</v>
      </c>
      <c r="L8" s="14">
        <f t="shared" si="0"/>
        <v>0.65517241379310343</v>
      </c>
      <c r="M8" s="8">
        <f t="shared" si="0"/>
        <v>0.85444234404536856</v>
      </c>
      <c r="N8" s="8">
        <f t="shared" si="0"/>
        <v>0.62276080084299257</v>
      </c>
      <c r="O8" s="8">
        <f t="shared" si="0"/>
        <v>0.64991334488734831</v>
      </c>
      <c r="P8" s="8">
        <f t="shared" si="0"/>
        <v>0.66287878787878785</v>
      </c>
    </row>
    <row r="9" spans="1:16" x14ac:dyDescent="0.3">
      <c r="A9" s="8" t="s">
        <v>49</v>
      </c>
      <c r="B9" s="9">
        <v>0.41547738770622061</v>
      </c>
      <c r="C9" s="9">
        <v>0.25447042640990369</v>
      </c>
      <c r="D9" s="9">
        <v>0.34482758620689657</v>
      </c>
      <c r="E9" s="9">
        <v>0.14555765595463138</v>
      </c>
      <c r="F9" s="9">
        <v>0.37723919915700738</v>
      </c>
      <c r="G9" s="9">
        <v>0.35008665511265163</v>
      </c>
      <c r="H9" s="9">
        <v>0.3371212121212121</v>
      </c>
      <c r="I9" s="8">
        <v>1</v>
      </c>
      <c r="J9" s="8">
        <f t="shared" si="0"/>
        <v>1</v>
      </c>
      <c r="K9" s="8">
        <f t="shared" si="0"/>
        <v>0.99999999999999989</v>
      </c>
      <c r="L9" s="14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10" t="s">
        <v>67</v>
      </c>
      <c r="L11" s="10" t="s">
        <v>68</v>
      </c>
      <c r="M11" s="10" t="s">
        <v>69</v>
      </c>
      <c r="N11" s="10" t="s">
        <v>70</v>
      </c>
      <c r="O11" s="10" t="s">
        <v>71</v>
      </c>
      <c r="P11" s="10" t="s">
        <v>72</v>
      </c>
    </row>
    <row r="12" spans="1:16" x14ac:dyDescent="0.3">
      <c r="B12" s="8" t="s">
        <v>50</v>
      </c>
      <c r="C12" s="8">
        <f>C2-B2</f>
        <v>9.8979514697119519E-3</v>
      </c>
      <c r="D12" s="8">
        <f>D2-B2</f>
        <v>-9.2367384068078352E-3</v>
      </c>
      <c r="E12" s="8">
        <f>E2-B2</f>
        <v>1.8135445066672817E-2</v>
      </c>
      <c r="F12" s="8">
        <f>F2-B2</f>
        <v>-2.6266346072850461E-3</v>
      </c>
      <c r="G12" s="8">
        <f>G2-B2</f>
        <v>5.2207209051306491E-3</v>
      </c>
      <c r="H12" s="8">
        <f>H2-B2</f>
        <v>1.4404849889952876E-2</v>
      </c>
      <c r="J12" s="8" t="s">
        <v>50</v>
      </c>
      <c r="K12" s="7">
        <f>(J2-0) * (K2+0)</f>
        <v>2.6652658322307872E-4</v>
      </c>
      <c r="L12" s="7">
        <f t="shared" ref="L12" si="1">(K2-0) * (L2+0)</f>
        <v>6.3242106594570669E-5</v>
      </c>
      <c r="M12" s="7">
        <f>(J2-0) * (M2+0)</f>
        <v>3.6628511531791726E-4</v>
      </c>
      <c r="N12" s="7">
        <f>(J2-0) * (N2+0)</f>
        <v>1.1485006809988173E-4</v>
      </c>
      <c r="O12" s="7">
        <f>(J2-0) * (O2+0)</f>
        <v>2.0988391031540103E-4</v>
      </c>
      <c r="P12" s="7">
        <f>(J2-0) * (P2+0)</f>
        <v>3.2110648248632757E-4</v>
      </c>
    </row>
    <row r="13" spans="1:16" x14ac:dyDescent="0.3">
      <c r="B13" s="8" t="s">
        <v>48</v>
      </c>
      <c r="C13" s="8">
        <f t="shared" ref="C13:C19" si="2">C3-B3</f>
        <v>-8.240930147363542E-3</v>
      </c>
      <c r="D13" s="8">
        <f t="shared" ref="D13:D19" si="3">D3-B3</f>
        <v>-3.746787947486863E-3</v>
      </c>
      <c r="E13" s="8">
        <f t="shared" ref="E13:E19" si="4">E3-B3</f>
        <v>-8.586759266175345E-3</v>
      </c>
      <c r="F13" s="8">
        <f t="shared" ref="F13:F19" si="5">F3-B3</f>
        <v>-1.8300698049775067E-3</v>
      </c>
      <c r="G13" s="8">
        <f t="shared" ref="G13:G19" si="6">G3-B3</f>
        <v>-2.3576183142877405E-4</v>
      </c>
      <c r="H13" s="8">
        <f t="shared" ref="H13:H19" si="7">H3-B3</f>
        <v>-8.5795988147804886E-3</v>
      </c>
      <c r="J13" s="8" t="s">
        <v>48</v>
      </c>
      <c r="K13" s="7">
        <f>(J3-J2) * (K3+K2)</f>
        <v>5.9540813767960769E-4</v>
      </c>
      <c r="L13" s="7">
        <f>(J3-J2) * (L3+L2)</f>
        <v>1.7769364371636893E-4</v>
      </c>
      <c r="M13" s="7">
        <f>(J3-J2) * (M3+M2)</f>
        <v>7.9488513892328071E-4</v>
      </c>
      <c r="N13" s="7">
        <f>(J3-J2) * (N3+N2)</f>
        <v>3.6489923379816628E-4</v>
      </c>
      <c r="O13" s="7">
        <f>(J3-J2) * (O3+O2)</f>
        <v>5.7872078903258321E-4</v>
      </c>
      <c r="P13" s="7">
        <f>(J3-J2) * (P3+P2)</f>
        <v>7.0269759106018632E-4</v>
      </c>
    </row>
    <row r="14" spans="1:16" x14ac:dyDescent="0.3">
      <c r="B14" s="8" t="s">
        <v>52</v>
      </c>
      <c r="C14" s="8">
        <f t="shared" si="2"/>
        <v>2.9746726778478089E-2</v>
      </c>
      <c r="D14" s="8">
        <f t="shared" si="3"/>
        <v>3.4309984366489091E-4</v>
      </c>
      <c r="E14" s="8">
        <f t="shared" si="4"/>
        <v>4.8028265020748154E-3</v>
      </c>
      <c r="F14" s="8">
        <f t="shared" si="5"/>
        <v>1.3029729102927989E-3</v>
      </c>
      <c r="G14" s="8">
        <f t="shared" si="6"/>
        <v>-7.0771790170852389E-4</v>
      </c>
      <c r="H14" s="8">
        <f t="shared" si="7"/>
        <v>1.8106945193717139E-2</v>
      </c>
      <c r="J14" s="8" t="s">
        <v>52</v>
      </c>
      <c r="K14" s="7">
        <f t="shared" ref="K14:K19" si="8">(J4-J3) * (K4+K3)</f>
        <v>2.0125396955917949E-3</v>
      </c>
      <c r="L14" s="7">
        <f t="shared" ref="L14:L19" si="9">(J4-J3) * (L4+L3)</f>
        <v>8.5223459849442849E-4</v>
      </c>
      <c r="M14" s="7">
        <f t="shared" ref="M14:M19" si="10">(J4-J3) * (M4+M3)</f>
        <v>1.8314183205453049E-3</v>
      </c>
      <c r="N14" s="7">
        <f t="shared" ref="N14:N19" si="11">(J4-J3) * (N4+N3)</f>
        <v>1.2083950218483698E-3</v>
      </c>
      <c r="O14" s="7">
        <f t="shared" ref="O14:O19" si="12">(J4-J3) * (O4+O3)</f>
        <v>1.5419981296848934E-3</v>
      </c>
      <c r="P14" s="7">
        <f t="shared" ref="P14:P19" si="13">(J4-J3) * (P4+P3)</f>
        <v>1.9472269311054517E-3</v>
      </c>
    </row>
    <row r="15" spans="1:16" x14ac:dyDescent="0.3">
      <c r="B15" s="8" t="s">
        <v>46</v>
      </c>
      <c r="C15" s="8">
        <f t="shared" si="2"/>
        <v>-7.5789326026393725E-3</v>
      </c>
      <c r="D15" s="8">
        <f t="shared" si="3"/>
        <v>-9.8398379133952732E-3</v>
      </c>
      <c r="E15" s="8">
        <f t="shared" si="4"/>
        <v>-1.3772654113990628E-2</v>
      </c>
      <c r="F15" s="8">
        <f t="shared" si="5"/>
        <v>-1.3957905328581252E-2</v>
      </c>
      <c r="G15" s="8">
        <f t="shared" si="6"/>
        <v>6.3955452615683701E-3</v>
      </c>
      <c r="H15" s="8">
        <f t="shared" si="7"/>
        <v>5.1810607281930245E-3</v>
      </c>
      <c r="J15" s="8" t="s">
        <v>46</v>
      </c>
      <c r="K15" s="7">
        <f t="shared" si="8"/>
        <v>3.5214455219188703E-3</v>
      </c>
      <c r="L15" s="7">
        <f t="shared" si="9"/>
        <v>1.5939263231635656E-3</v>
      </c>
      <c r="M15" s="7">
        <f t="shared" si="10"/>
        <v>2.661720211605407E-3</v>
      </c>
      <c r="N15" s="7">
        <f t="shared" si="11"/>
        <v>1.9108511242270513E-3</v>
      </c>
      <c r="O15" s="7">
        <f t="shared" si="12"/>
        <v>2.6621395782686504E-3</v>
      </c>
      <c r="P15" s="7">
        <f t="shared" si="13"/>
        <v>3.4748708478758148E-3</v>
      </c>
    </row>
    <row r="16" spans="1:16" x14ac:dyDescent="0.3">
      <c r="B16" s="8" t="s">
        <v>47</v>
      </c>
      <c r="C16" s="8">
        <f t="shared" si="2"/>
        <v>-5.644407898998928E-3</v>
      </c>
      <c r="D16" s="8">
        <f t="shared" si="3"/>
        <v>3.4802871899891175E-2</v>
      </c>
      <c r="E16" s="8">
        <f t="shared" si="4"/>
        <v>2.1488876723566294E-2</v>
      </c>
      <c r="F16" s="8">
        <f t="shared" si="5"/>
        <v>-1.0117370823847067E-2</v>
      </c>
      <c r="G16" s="8">
        <f t="shared" si="6"/>
        <v>-2.9219831769031895E-3</v>
      </c>
      <c r="H16" s="8">
        <f t="shared" si="7"/>
        <v>-2.0056062269387824E-2</v>
      </c>
      <c r="J16" s="8" t="s">
        <v>47</v>
      </c>
      <c r="K16" s="7">
        <f t="shared" si="8"/>
        <v>9.2393171863489783E-3</v>
      </c>
      <c r="L16" s="7">
        <f t="shared" si="9"/>
        <v>7.007615214970263E-3</v>
      </c>
      <c r="M16" s="7">
        <f t="shared" si="10"/>
        <v>8.4110904341260818E-3</v>
      </c>
      <c r="N16" s="7">
        <f t="shared" si="11"/>
        <v>5.5451530079971001E-3</v>
      </c>
      <c r="O16" s="7">
        <f t="shared" si="12"/>
        <v>8.2304162645222192E-3</v>
      </c>
      <c r="P16" s="7">
        <f t="shared" si="13"/>
        <v>9.0752528780795108E-3</v>
      </c>
    </row>
    <row r="17" spans="2:16" x14ac:dyDescent="0.3">
      <c r="B17" s="8" t="s">
        <v>51</v>
      </c>
      <c r="C17" s="8">
        <f t="shared" si="2"/>
        <v>-5.9620006165380775E-2</v>
      </c>
      <c r="D17" s="8">
        <f t="shared" si="3"/>
        <v>-8.5638629852514414E-3</v>
      </c>
      <c r="E17" s="8">
        <f t="shared" si="4"/>
        <v>-2.4072413058041142E-2</v>
      </c>
      <c r="F17" s="8">
        <f t="shared" si="5"/>
        <v>2.2579021842092525E-2</v>
      </c>
      <c r="G17" s="8">
        <f t="shared" si="6"/>
        <v>-5.0213099025810018E-2</v>
      </c>
      <c r="H17" s="8">
        <f t="shared" si="7"/>
        <v>2.7225060734706749E-2</v>
      </c>
      <c r="J17" s="8" t="s">
        <v>51</v>
      </c>
      <c r="K17" s="7">
        <f t="shared" si="8"/>
        <v>3.3026804179318449E-2</v>
      </c>
      <c r="L17" s="7">
        <f t="shared" si="9"/>
        <v>3.732037499954776E-2</v>
      </c>
      <c r="M17" s="7">
        <f t="shared" si="10"/>
        <v>3.7754932589969967E-2</v>
      </c>
      <c r="N17" s="7">
        <f t="shared" si="11"/>
        <v>3.2086051212298586E-2</v>
      </c>
      <c r="O17" s="7">
        <f t="shared" si="12"/>
        <v>3.1776916300970834E-2</v>
      </c>
      <c r="P17" s="7">
        <f t="shared" si="13"/>
        <v>4.051356216528447E-2</v>
      </c>
    </row>
    <row r="18" spans="2:16" x14ac:dyDescent="0.3">
      <c r="B18" s="8" t="s">
        <v>45</v>
      </c>
      <c r="C18" s="8">
        <f t="shared" si="2"/>
        <v>0.20244655986250942</v>
      </c>
      <c r="D18" s="8">
        <f t="shared" si="3"/>
        <v>6.6891057008709398E-2</v>
      </c>
      <c r="E18" s="8">
        <f t="shared" si="4"/>
        <v>0.2719244098974824</v>
      </c>
      <c r="F18" s="8">
        <f t="shared" si="5"/>
        <v>4.2888174361518761E-2</v>
      </c>
      <c r="G18" s="8">
        <f t="shared" si="6"/>
        <v>0.10785302836272043</v>
      </c>
      <c r="H18" s="8">
        <f t="shared" si="7"/>
        <v>4.2073920122607023E-2</v>
      </c>
      <c r="J18" s="8" t="s">
        <v>45</v>
      </c>
      <c r="K18" s="7">
        <f t="shared" si="8"/>
        <v>0.33824124155263052</v>
      </c>
      <c r="L18" s="7">
        <f t="shared" si="9"/>
        <v>0.32166718860727628</v>
      </c>
      <c r="M18" s="7">
        <f t="shared" si="10"/>
        <v>0.39268736437818341</v>
      </c>
      <c r="N18" s="7">
        <f t="shared" si="11"/>
        <v>0.30668542913789631</v>
      </c>
      <c r="O18" s="7">
        <f t="shared" si="12"/>
        <v>0.30277311394958717</v>
      </c>
      <c r="P18" s="7">
        <f t="shared" si="13"/>
        <v>0.33643223988761028</v>
      </c>
    </row>
    <row r="19" spans="2:16" x14ac:dyDescent="0.3">
      <c r="B19" s="8" t="s">
        <v>49</v>
      </c>
      <c r="C19" s="8">
        <f t="shared" si="2"/>
        <v>-0.16100696129631692</v>
      </c>
      <c r="D19" s="8">
        <f t="shared" si="3"/>
        <v>-7.0649801499324039E-2</v>
      </c>
      <c r="E19" s="8">
        <f t="shared" si="4"/>
        <v>-0.26991973175158923</v>
      </c>
      <c r="F19" s="8">
        <f t="shared" si="5"/>
        <v>-3.8238188549213237E-2</v>
      </c>
      <c r="G19" s="8">
        <f t="shared" si="6"/>
        <v>-6.5390732593568979E-2</v>
      </c>
      <c r="H19" s="8">
        <f t="shared" si="7"/>
        <v>-7.8356175585008514E-2</v>
      </c>
      <c r="J19" s="8" t="s">
        <v>49</v>
      </c>
      <c r="K19" s="7">
        <f t="shared" si="8"/>
        <v>0.72522806739916623</v>
      </c>
      <c r="L19" s="7">
        <f t="shared" si="9"/>
        <v>0.68768671068615816</v>
      </c>
      <c r="M19" s="7">
        <f t="shared" si="10"/>
        <v>0.7704788607557701</v>
      </c>
      <c r="N19" s="7">
        <f t="shared" si="11"/>
        <v>0.67422041840630098</v>
      </c>
      <c r="O19" s="7">
        <f t="shared" si="12"/>
        <v>0.68550168647542797</v>
      </c>
      <c r="P19" s="7">
        <f t="shared" si="13"/>
        <v>0.69088853485996526</v>
      </c>
    </row>
    <row r="20" spans="2:16" x14ac:dyDescent="0.3">
      <c r="J20" s="10" t="s">
        <v>73</v>
      </c>
      <c r="K20" s="10">
        <f>SUM(K12:K19)</f>
        <v>1.1121313502558774</v>
      </c>
      <c r="L20" s="10">
        <f t="shared" ref="L20:P20" si="14">SUM(L12:L19)</f>
        <v>1.0563689861799215</v>
      </c>
      <c r="M20" s="10">
        <f t="shared" si="14"/>
        <v>1.2149865569444414</v>
      </c>
      <c r="N20" s="10">
        <f t="shared" si="14"/>
        <v>1.0221360472124665</v>
      </c>
      <c r="O20" s="10">
        <f t="shared" si="14"/>
        <v>1.0332748753978098</v>
      </c>
      <c r="P20" s="10">
        <f t="shared" si="14"/>
        <v>1.0833554916434673</v>
      </c>
    </row>
    <row r="21" spans="2:16" x14ac:dyDescent="0.3">
      <c r="J21" s="13" t="s">
        <v>74</v>
      </c>
      <c r="K21" s="13">
        <f>1-K20</f>
        <v>-0.11213135025587739</v>
      </c>
      <c r="L21" s="13">
        <f t="shared" ref="L21:P21" si="15">1-L20</f>
        <v>-5.6368986179921476E-2</v>
      </c>
      <c r="M21" s="13">
        <f t="shared" si="15"/>
        <v>-0.21498655694444135</v>
      </c>
      <c r="N21" s="13">
        <f t="shared" si="15"/>
        <v>-2.2136047212466536E-2</v>
      </c>
      <c r="O21" s="13">
        <f t="shared" si="15"/>
        <v>-3.3274875397809822E-2</v>
      </c>
      <c r="P21" s="13">
        <f t="shared" si="15"/>
        <v>-8.3355491643467339E-2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BOM DESPACHO</vt:lpstr>
      <vt:lpstr>CAMPO BELO</vt:lpstr>
      <vt:lpstr>DIVINÓPOLIS</vt:lpstr>
      <vt:lpstr>FORMIGA</vt:lpstr>
      <vt:lpstr>ITAÚNA</vt:lpstr>
      <vt:lpstr>LAGOA DA PRATA - STO ANT MONTE</vt:lpstr>
      <vt:lpstr>OLIVEIRA - STO ANT DO AMPARO</vt:lpstr>
      <vt:lpstr>PARÁ DE 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2025-04-21T02:11:29Z</dcterms:created>
  <dcterms:modified xsi:type="dcterms:W3CDTF">2025-08-24T19:30:33Z</dcterms:modified>
</cp:coreProperties>
</file>