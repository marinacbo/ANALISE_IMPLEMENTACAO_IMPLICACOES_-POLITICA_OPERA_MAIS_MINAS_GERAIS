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121" documentId="8_{D5B47AAD-06EB-49FD-84F9-61F73835FF8C}" xr6:coauthVersionLast="47" xr6:coauthVersionMax="47" xr10:uidLastSave="{576D0C48-A8A0-4629-B39B-0A6DA112E9C2}"/>
  <bookViews>
    <workbookView xWindow="-108" yWindow="-108" windowWidth="23256" windowHeight="12456" xr2:uid="{5B7693AA-BCBE-454C-B67C-0D85F527A365}"/>
  </bookViews>
  <sheets>
    <sheet name="Belo Horizonte" sheetId="1" r:id="rId1"/>
    <sheet name="Betim" sheetId="2" r:id="rId2"/>
    <sheet name="Contagem" sheetId="3" r:id="rId3"/>
    <sheet name="Curvelo" sheetId="4" r:id="rId4"/>
    <sheet name="Guanhães" sheetId="5" r:id="rId5"/>
    <sheet name="Itabira" sheetId="6" r:id="rId6"/>
    <sheet name="J Monlevade" sheetId="7" r:id="rId7"/>
    <sheet name="Ouro Preto" sheetId="8" r:id="rId8"/>
    <sheet name="Sete Lagoas" sheetId="9" r:id="rId9"/>
    <sheet name="Vespasiano" sheetId="10" r:id="rId10"/>
    <sheet name="Planilha1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0" l="1"/>
  <c r="L13" i="10"/>
  <c r="M13" i="10"/>
  <c r="N13" i="10"/>
  <c r="O13" i="10"/>
  <c r="P13" i="10"/>
  <c r="K14" i="10"/>
  <c r="L14" i="10"/>
  <c r="M14" i="10"/>
  <c r="N14" i="10"/>
  <c r="O14" i="10"/>
  <c r="P14" i="10"/>
  <c r="K15" i="10"/>
  <c r="L15" i="10"/>
  <c r="M15" i="10"/>
  <c r="N15" i="10"/>
  <c r="O15" i="10"/>
  <c r="P15" i="10"/>
  <c r="K16" i="10"/>
  <c r="L16" i="10"/>
  <c r="M16" i="10"/>
  <c r="N16" i="10"/>
  <c r="O16" i="10"/>
  <c r="P16" i="10"/>
  <c r="K17" i="10"/>
  <c r="L17" i="10"/>
  <c r="M17" i="10"/>
  <c r="N17" i="10"/>
  <c r="O17" i="10"/>
  <c r="P17" i="10"/>
  <c r="P12" i="10"/>
  <c r="O12" i="10"/>
  <c r="N12" i="10"/>
  <c r="M12" i="10"/>
  <c r="L12" i="10"/>
  <c r="K12" i="10"/>
  <c r="P11" i="10"/>
  <c r="O11" i="10"/>
  <c r="N11" i="10"/>
  <c r="M11" i="10"/>
  <c r="L11" i="10"/>
  <c r="K11" i="10"/>
  <c r="P28" i="9"/>
  <c r="O28" i="9"/>
  <c r="N28" i="9"/>
  <c r="M28" i="9"/>
  <c r="L28" i="9"/>
  <c r="K28" i="9"/>
  <c r="L8" i="7" l="1"/>
  <c r="M8" i="7"/>
  <c r="N8" i="7"/>
  <c r="O8" i="7"/>
  <c r="P8" i="7"/>
  <c r="K8" i="7"/>
  <c r="L17" i="6"/>
  <c r="M17" i="6"/>
  <c r="N17" i="6"/>
  <c r="O17" i="6"/>
  <c r="P17" i="6"/>
  <c r="K17" i="6"/>
  <c r="L13" i="5"/>
  <c r="M13" i="5"/>
  <c r="N13" i="5"/>
  <c r="O13" i="5"/>
  <c r="P13" i="5"/>
  <c r="K13" i="5"/>
  <c r="H12" i="10" l="1"/>
  <c r="H13" i="10"/>
  <c r="H14" i="10"/>
  <c r="H15" i="10"/>
  <c r="H16" i="10"/>
  <c r="H17" i="10"/>
  <c r="H11" i="10"/>
  <c r="G12" i="10"/>
  <c r="G13" i="10"/>
  <c r="G14" i="10"/>
  <c r="G15" i="10"/>
  <c r="G16" i="10"/>
  <c r="G17" i="10"/>
  <c r="G11" i="10"/>
  <c r="F12" i="10"/>
  <c r="F13" i="10"/>
  <c r="F14" i="10"/>
  <c r="F15" i="10"/>
  <c r="F16" i="10"/>
  <c r="F17" i="10"/>
  <c r="F11" i="10"/>
  <c r="E12" i="10"/>
  <c r="E13" i="10"/>
  <c r="E14" i="10"/>
  <c r="E15" i="10"/>
  <c r="E16" i="10"/>
  <c r="E17" i="10"/>
  <c r="E11" i="10"/>
  <c r="C9" i="8"/>
  <c r="C10" i="8"/>
  <c r="C8" i="8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28" i="9"/>
  <c r="D12" i="10"/>
  <c r="D13" i="10"/>
  <c r="D14" i="10"/>
  <c r="D15" i="10"/>
  <c r="D16" i="10"/>
  <c r="D17" i="10"/>
  <c r="D11" i="10"/>
  <c r="C12" i="10"/>
  <c r="C13" i="10"/>
  <c r="C14" i="10"/>
  <c r="C15" i="10"/>
  <c r="C16" i="10"/>
  <c r="C17" i="10"/>
  <c r="C11" i="10"/>
  <c r="P3" i="10"/>
  <c r="P4" i="10" s="1"/>
  <c r="P5" i="10" s="1"/>
  <c r="P6" i="10" s="1"/>
  <c r="P7" i="10" s="1"/>
  <c r="P8" i="10" s="1"/>
  <c r="O3" i="10"/>
  <c r="O4" i="10" s="1"/>
  <c r="O5" i="10" s="1"/>
  <c r="O6" i="10" s="1"/>
  <c r="O7" i="10" s="1"/>
  <c r="O8" i="10" s="1"/>
  <c r="N3" i="10"/>
  <c r="N4" i="10" s="1"/>
  <c r="N5" i="10" s="1"/>
  <c r="N6" i="10" s="1"/>
  <c r="N7" i="10" s="1"/>
  <c r="N8" i="10" s="1"/>
  <c r="M3" i="10"/>
  <c r="M4" i="10" s="1"/>
  <c r="M5" i="10" s="1"/>
  <c r="M6" i="10" s="1"/>
  <c r="M7" i="10" s="1"/>
  <c r="M8" i="10" s="1"/>
  <c r="L3" i="10"/>
  <c r="L4" i="10" s="1"/>
  <c r="L5" i="10" s="1"/>
  <c r="L6" i="10" s="1"/>
  <c r="L7" i="10" s="1"/>
  <c r="L8" i="10" s="1"/>
  <c r="K3" i="10"/>
  <c r="K4" i="10" s="1"/>
  <c r="K5" i="10" s="1"/>
  <c r="K6" i="10" s="1"/>
  <c r="K7" i="10" s="1"/>
  <c r="K8" i="10" s="1"/>
  <c r="J3" i="10"/>
  <c r="J4" i="10" s="1"/>
  <c r="J5" i="10" s="1"/>
  <c r="J6" i="10" s="1"/>
  <c r="J7" i="10" s="1"/>
  <c r="J8" i="10" s="1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28" i="9"/>
  <c r="E41" i="9"/>
  <c r="E42" i="9"/>
  <c r="E43" i="9"/>
  <c r="E44" i="9"/>
  <c r="E45" i="9"/>
  <c r="E46" i="9"/>
  <c r="E47" i="9"/>
  <c r="E48" i="9"/>
  <c r="E49" i="9"/>
  <c r="E50" i="9"/>
  <c r="E51" i="9"/>
  <c r="E29" i="9"/>
  <c r="E30" i="9"/>
  <c r="E31" i="9"/>
  <c r="E32" i="9"/>
  <c r="E33" i="9"/>
  <c r="E34" i="9"/>
  <c r="E35" i="9"/>
  <c r="E36" i="9"/>
  <c r="E37" i="9"/>
  <c r="E38" i="9"/>
  <c r="E39" i="9"/>
  <c r="E40" i="9"/>
  <c r="E28" i="9"/>
  <c r="D41" i="9"/>
  <c r="D42" i="9"/>
  <c r="D43" i="9"/>
  <c r="D44" i="9"/>
  <c r="D45" i="9"/>
  <c r="D46" i="9"/>
  <c r="D47" i="9"/>
  <c r="D48" i="9"/>
  <c r="D49" i="9"/>
  <c r="D50" i="9"/>
  <c r="D51" i="9"/>
  <c r="D29" i="9"/>
  <c r="D30" i="9"/>
  <c r="D31" i="9"/>
  <c r="D32" i="9"/>
  <c r="D33" i="9"/>
  <c r="D34" i="9"/>
  <c r="D35" i="9"/>
  <c r="D36" i="9"/>
  <c r="D37" i="9"/>
  <c r="D38" i="9"/>
  <c r="D39" i="9"/>
  <c r="D40" i="9"/>
  <c r="D28" i="9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M3" i="9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K3" i="9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J3" i="9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P2" i="8"/>
  <c r="P3" i="8" s="1"/>
  <c r="P4" i="8" s="1"/>
  <c r="O2" i="8"/>
  <c r="O3" i="8" s="1"/>
  <c r="O4" i="8" s="1"/>
  <c r="N2" i="8"/>
  <c r="N3" i="8" s="1"/>
  <c r="N4" i="8" s="1"/>
  <c r="M2" i="8"/>
  <c r="M3" i="8" s="1"/>
  <c r="M4" i="8" s="1"/>
  <c r="L2" i="8"/>
  <c r="L3" i="8" s="1"/>
  <c r="L4" i="8" s="1"/>
  <c r="K2" i="8"/>
  <c r="K3" i="8" s="1"/>
  <c r="K4" i="8" s="1"/>
  <c r="J2" i="8"/>
  <c r="H9" i="7"/>
  <c r="H10" i="7"/>
  <c r="H11" i="7"/>
  <c r="G9" i="7"/>
  <c r="G10" i="7"/>
  <c r="G11" i="7"/>
  <c r="F9" i="7"/>
  <c r="F10" i="7"/>
  <c r="F11" i="7"/>
  <c r="E9" i="7"/>
  <c r="E10" i="7"/>
  <c r="E11" i="7"/>
  <c r="D9" i="7"/>
  <c r="D10" i="7"/>
  <c r="D11" i="7"/>
  <c r="H8" i="7"/>
  <c r="G8" i="7"/>
  <c r="F8" i="7"/>
  <c r="E8" i="7"/>
  <c r="D8" i="7"/>
  <c r="C9" i="7"/>
  <c r="C10" i="7"/>
  <c r="C11" i="7"/>
  <c r="C8" i="7"/>
  <c r="P3" i="7"/>
  <c r="P4" i="7" s="1"/>
  <c r="P5" i="7" s="1"/>
  <c r="O3" i="7"/>
  <c r="O4" i="7" s="1"/>
  <c r="O5" i="7" s="1"/>
  <c r="N3" i="7"/>
  <c r="N4" i="7" s="1"/>
  <c r="N5" i="7" s="1"/>
  <c r="M3" i="7"/>
  <c r="M4" i="7" s="1"/>
  <c r="M5" i="7" s="1"/>
  <c r="L3" i="7"/>
  <c r="L4" i="7" s="1"/>
  <c r="L5" i="7" s="1"/>
  <c r="K3" i="7"/>
  <c r="K4" i="7" s="1"/>
  <c r="K5" i="7" s="1"/>
  <c r="J3" i="7"/>
  <c r="H29" i="6"/>
  <c r="G29" i="6"/>
  <c r="F29" i="6"/>
  <c r="E29" i="6"/>
  <c r="D29" i="6"/>
  <c r="C29" i="6"/>
  <c r="H28" i="6"/>
  <c r="G28" i="6"/>
  <c r="F28" i="6"/>
  <c r="E28" i="6"/>
  <c r="D28" i="6"/>
  <c r="C28" i="6"/>
  <c r="H27" i="6"/>
  <c r="G27" i="6"/>
  <c r="F27" i="6"/>
  <c r="E27" i="6"/>
  <c r="D27" i="6"/>
  <c r="C27" i="6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P4" i="6"/>
  <c r="P5" i="6" s="1"/>
  <c r="P6" i="6" s="1"/>
  <c r="P7" i="6" s="1"/>
  <c r="P8" i="6" s="1"/>
  <c r="P9" i="6" s="1"/>
  <c r="P10" i="6" s="1"/>
  <c r="P11" i="6" s="1"/>
  <c r="P12" i="6" s="1"/>
  <c r="P13" i="6" s="1"/>
  <c r="P14" i="6" s="1"/>
  <c r="Q4" i="6"/>
  <c r="Q5" i="6" s="1"/>
  <c r="Q6" i="6" s="1"/>
  <c r="Q7" i="6" s="1"/>
  <c r="Q8" i="6" s="1"/>
  <c r="Q9" i="6" s="1"/>
  <c r="Q10" i="6" s="1"/>
  <c r="Q11" i="6" s="1"/>
  <c r="Q12" i="6" s="1"/>
  <c r="Q13" i="6" s="1"/>
  <c r="Q14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P3" i="6"/>
  <c r="Q3" i="6"/>
  <c r="J3" i="6"/>
  <c r="H14" i="5"/>
  <c r="H15" i="5"/>
  <c r="H16" i="5"/>
  <c r="H17" i="5"/>
  <c r="H18" i="5"/>
  <c r="H19" i="5"/>
  <c r="H20" i="5"/>
  <c r="H21" i="5"/>
  <c r="H13" i="5"/>
  <c r="G14" i="5"/>
  <c r="G15" i="5"/>
  <c r="G16" i="5"/>
  <c r="G17" i="5"/>
  <c r="G18" i="5"/>
  <c r="G19" i="5"/>
  <c r="G20" i="5"/>
  <c r="G21" i="5"/>
  <c r="G13" i="5"/>
  <c r="F14" i="5"/>
  <c r="F15" i="5"/>
  <c r="F16" i="5"/>
  <c r="F17" i="5"/>
  <c r="F18" i="5"/>
  <c r="F19" i="5"/>
  <c r="F20" i="5"/>
  <c r="F21" i="5"/>
  <c r="F13" i="5"/>
  <c r="E14" i="5"/>
  <c r="E15" i="5"/>
  <c r="E16" i="5"/>
  <c r="E17" i="5"/>
  <c r="E18" i="5"/>
  <c r="E19" i="5"/>
  <c r="E20" i="5"/>
  <c r="E21" i="5"/>
  <c r="E13" i="5"/>
  <c r="D14" i="5"/>
  <c r="D15" i="5"/>
  <c r="D16" i="5"/>
  <c r="D17" i="5"/>
  <c r="D18" i="5"/>
  <c r="D19" i="5"/>
  <c r="D20" i="5"/>
  <c r="D21" i="5"/>
  <c r="D13" i="5"/>
  <c r="C14" i="5"/>
  <c r="C15" i="5"/>
  <c r="C16" i="5"/>
  <c r="C17" i="5"/>
  <c r="C18" i="5"/>
  <c r="C19" i="5"/>
  <c r="C20" i="5"/>
  <c r="C21" i="5"/>
  <c r="C13" i="5"/>
  <c r="P3" i="5"/>
  <c r="P4" i="5" s="1"/>
  <c r="P5" i="5" s="1"/>
  <c r="P6" i="5" s="1"/>
  <c r="P7" i="5" s="1"/>
  <c r="P8" i="5" s="1"/>
  <c r="P9" i="5" s="1"/>
  <c r="P10" i="5" s="1"/>
  <c r="O3" i="5"/>
  <c r="N3" i="5"/>
  <c r="N4" i="5" s="1"/>
  <c r="N5" i="5" s="1"/>
  <c r="N6" i="5" s="1"/>
  <c r="N7" i="5" s="1"/>
  <c r="N8" i="5" s="1"/>
  <c r="N9" i="5" s="1"/>
  <c r="N10" i="5" s="1"/>
  <c r="M3" i="5"/>
  <c r="M4" i="5" s="1"/>
  <c r="M5" i="5" s="1"/>
  <c r="M6" i="5" s="1"/>
  <c r="M7" i="5" s="1"/>
  <c r="M8" i="5" s="1"/>
  <c r="M9" i="5" s="1"/>
  <c r="M10" i="5" s="1"/>
  <c r="L3" i="5"/>
  <c r="L4" i="5" s="1"/>
  <c r="L5" i="5" s="1"/>
  <c r="L6" i="5" s="1"/>
  <c r="L7" i="5" s="1"/>
  <c r="L8" i="5" s="1"/>
  <c r="L9" i="5" s="1"/>
  <c r="L10" i="5" s="1"/>
  <c r="K3" i="5"/>
  <c r="K4" i="5" s="1"/>
  <c r="K5" i="5" s="1"/>
  <c r="K6" i="5" s="1"/>
  <c r="K7" i="5" s="1"/>
  <c r="K8" i="5" s="1"/>
  <c r="K9" i="5" s="1"/>
  <c r="K10" i="5" s="1"/>
  <c r="J3" i="5"/>
  <c r="P2" i="3"/>
  <c r="P3" i="3" s="1"/>
  <c r="P4" i="3" s="1"/>
  <c r="O2" i="3"/>
  <c r="O3" i="3" s="1"/>
  <c r="O4" i="3" s="1"/>
  <c r="J4" i="9" l="1"/>
  <c r="L29" i="9"/>
  <c r="K29" i="9"/>
  <c r="O29" i="9"/>
  <c r="P29" i="9"/>
  <c r="N29" i="9"/>
  <c r="M29" i="9"/>
  <c r="J4" i="7"/>
  <c r="M9" i="7"/>
  <c r="K9" i="7"/>
  <c r="N9" i="7"/>
  <c r="O9" i="7"/>
  <c r="P9" i="7"/>
  <c r="L9" i="7"/>
  <c r="J3" i="8"/>
  <c r="L8" i="8"/>
  <c r="M8" i="8"/>
  <c r="K8" i="8"/>
  <c r="N8" i="8"/>
  <c r="O8" i="8"/>
  <c r="P8" i="8"/>
  <c r="M18" i="6"/>
  <c r="N18" i="6"/>
  <c r="O18" i="6"/>
  <c r="P18" i="6"/>
  <c r="L18" i="6"/>
  <c r="K18" i="6"/>
  <c r="J4" i="5"/>
  <c r="O14" i="5"/>
  <c r="P14" i="5"/>
  <c r="K14" i="5"/>
  <c r="L14" i="5"/>
  <c r="M14" i="5"/>
  <c r="N14" i="5"/>
  <c r="J4" i="6"/>
  <c r="J5" i="5"/>
  <c r="O4" i="5"/>
  <c r="H17" i="4"/>
  <c r="H18" i="4"/>
  <c r="H19" i="4"/>
  <c r="H20" i="4"/>
  <c r="H21" i="4"/>
  <c r="H22" i="4"/>
  <c r="H23" i="4"/>
  <c r="H24" i="4"/>
  <c r="H25" i="4"/>
  <c r="H26" i="4"/>
  <c r="H16" i="4"/>
  <c r="G17" i="4"/>
  <c r="G18" i="4"/>
  <c r="G19" i="4"/>
  <c r="G20" i="4"/>
  <c r="G21" i="4"/>
  <c r="G22" i="4"/>
  <c r="G23" i="4"/>
  <c r="G24" i="4"/>
  <c r="G25" i="4"/>
  <c r="G26" i="4"/>
  <c r="G16" i="4"/>
  <c r="F17" i="4"/>
  <c r="F18" i="4"/>
  <c r="F19" i="4"/>
  <c r="F20" i="4"/>
  <c r="F21" i="4"/>
  <c r="F22" i="4"/>
  <c r="F23" i="4"/>
  <c r="F24" i="4"/>
  <c r="F25" i="4"/>
  <c r="F26" i="4"/>
  <c r="F16" i="4"/>
  <c r="E17" i="4"/>
  <c r="E18" i="4"/>
  <c r="E19" i="4"/>
  <c r="E20" i="4"/>
  <c r="E21" i="4"/>
  <c r="E22" i="4"/>
  <c r="E23" i="4"/>
  <c r="E24" i="4"/>
  <c r="E25" i="4"/>
  <c r="E26" i="4"/>
  <c r="E16" i="4"/>
  <c r="D17" i="4"/>
  <c r="D18" i="4"/>
  <c r="D19" i="4"/>
  <c r="D20" i="4"/>
  <c r="D21" i="4"/>
  <c r="D22" i="4"/>
  <c r="D23" i="4"/>
  <c r="D24" i="4"/>
  <c r="D25" i="4"/>
  <c r="D26" i="4"/>
  <c r="D16" i="4"/>
  <c r="C17" i="4"/>
  <c r="C18" i="4"/>
  <c r="C19" i="4"/>
  <c r="C20" i="4"/>
  <c r="C21" i="4"/>
  <c r="C22" i="4"/>
  <c r="C23" i="4"/>
  <c r="C24" i="4"/>
  <c r="C25" i="4"/>
  <c r="C26" i="4"/>
  <c r="C16" i="4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L2" i="4"/>
  <c r="L3" i="4" s="1"/>
  <c r="L4" i="4" s="1"/>
  <c r="L5" i="4" s="1"/>
  <c r="L6" i="4" s="1"/>
  <c r="L7" i="4" s="1"/>
  <c r="L8" i="4" s="1"/>
  <c r="L9" i="4" s="1"/>
  <c r="L10" i="4" s="1"/>
  <c r="L11" i="4" s="1"/>
  <c r="L12" i="4" s="1"/>
  <c r="M2" i="4"/>
  <c r="M3" i="4" s="1"/>
  <c r="M4" i="4" s="1"/>
  <c r="M5" i="4" s="1"/>
  <c r="M6" i="4" s="1"/>
  <c r="M7" i="4" s="1"/>
  <c r="M8" i="4" s="1"/>
  <c r="M9" i="4" s="1"/>
  <c r="M10" i="4" s="1"/>
  <c r="M11" i="4" s="1"/>
  <c r="M12" i="4" s="1"/>
  <c r="N2" i="4"/>
  <c r="N3" i="4" s="1"/>
  <c r="N4" i="4" s="1"/>
  <c r="N5" i="4" s="1"/>
  <c r="N6" i="4" s="1"/>
  <c r="N7" i="4" s="1"/>
  <c r="N8" i="4" s="1"/>
  <c r="N9" i="4" s="1"/>
  <c r="N10" i="4" s="1"/>
  <c r="N11" i="4" s="1"/>
  <c r="N12" i="4" s="1"/>
  <c r="O2" i="4"/>
  <c r="O3" i="4" s="1"/>
  <c r="O4" i="4" s="1"/>
  <c r="O5" i="4" s="1"/>
  <c r="O6" i="4" s="1"/>
  <c r="O7" i="4" s="1"/>
  <c r="O8" i="4" s="1"/>
  <c r="O9" i="4" s="1"/>
  <c r="O10" i="4" s="1"/>
  <c r="O11" i="4" s="1"/>
  <c r="O12" i="4" s="1"/>
  <c r="P2" i="4"/>
  <c r="P3" i="4" s="1"/>
  <c r="P4" i="4" s="1"/>
  <c r="P5" i="4" s="1"/>
  <c r="P6" i="4" s="1"/>
  <c r="P7" i="4" s="1"/>
  <c r="P8" i="4" s="1"/>
  <c r="P9" i="4" s="1"/>
  <c r="P10" i="4" s="1"/>
  <c r="P11" i="4" s="1"/>
  <c r="P12" i="4" s="1"/>
  <c r="J2" i="4"/>
  <c r="H9" i="3"/>
  <c r="H10" i="3"/>
  <c r="H8" i="3"/>
  <c r="G9" i="3"/>
  <c r="G10" i="3"/>
  <c r="G8" i="3"/>
  <c r="F9" i="3"/>
  <c r="F10" i="3"/>
  <c r="F8" i="3"/>
  <c r="E9" i="3"/>
  <c r="E10" i="3"/>
  <c r="E8" i="3"/>
  <c r="D9" i="3"/>
  <c r="D10" i="3"/>
  <c r="D8" i="3"/>
  <c r="C9" i="3"/>
  <c r="C10" i="3"/>
  <c r="C8" i="3"/>
  <c r="J2" i="3"/>
  <c r="K2" i="3"/>
  <c r="L2" i="3"/>
  <c r="M2" i="3"/>
  <c r="N2" i="3"/>
  <c r="J5" i="9" l="1"/>
  <c r="L30" i="9"/>
  <c r="M30" i="9"/>
  <c r="N30" i="9"/>
  <c r="P30" i="9"/>
  <c r="O30" i="9"/>
  <c r="K30" i="9"/>
  <c r="J4" i="8"/>
  <c r="O9" i="8"/>
  <c r="K9" i="8"/>
  <c r="P9" i="8"/>
  <c r="L9" i="8"/>
  <c r="M9" i="8"/>
  <c r="N9" i="8"/>
  <c r="L15" i="5"/>
  <c r="M15" i="5"/>
  <c r="P15" i="5"/>
  <c r="N15" i="5"/>
  <c r="O15" i="5"/>
  <c r="K15" i="5"/>
  <c r="L8" i="3"/>
  <c r="K8" i="3"/>
  <c r="O8" i="3"/>
  <c r="P8" i="3"/>
  <c r="M8" i="3"/>
  <c r="N8" i="3"/>
  <c r="N16" i="4"/>
  <c r="O16" i="4"/>
  <c r="P16" i="4"/>
  <c r="L16" i="4"/>
  <c r="M16" i="4"/>
  <c r="K16" i="4"/>
  <c r="M18" i="10"/>
  <c r="M19" i="10" s="1"/>
  <c r="P19" i="6"/>
  <c r="K19" i="6"/>
  <c r="L19" i="6"/>
  <c r="M19" i="6"/>
  <c r="N19" i="6"/>
  <c r="O19" i="6"/>
  <c r="M16" i="5"/>
  <c r="N16" i="5"/>
  <c r="P16" i="5"/>
  <c r="K16" i="5"/>
  <c r="L16" i="5"/>
  <c r="J5" i="7"/>
  <c r="P10" i="7"/>
  <c r="L10" i="7"/>
  <c r="K10" i="7"/>
  <c r="M10" i="7"/>
  <c r="N10" i="7"/>
  <c r="O10" i="7"/>
  <c r="O18" i="10"/>
  <c r="O19" i="10" s="1"/>
  <c r="L18" i="10"/>
  <c r="L19" i="10" s="1"/>
  <c r="N18" i="10"/>
  <c r="N19" i="10" s="1"/>
  <c r="K18" i="10"/>
  <c r="K19" i="10" s="1"/>
  <c r="P18" i="10"/>
  <c r="P19" i="10" s="1"/>
  <c r="J5" i="6"/>
  <c r="O5" i="5"/>
  <c r="O6" i="5" s="1"/>
  <c r="O7" i="5" s="1"/>
  <c r="O8" i="5" s="1"/>
  <c r="O9" i="5" s="1"/>
  <c r="O10" i="5" s="1"/>
  <c r="J6" i="5"/>
  <c r="J3" i="4"/>
  <c r="H18" i="2"/>
  <c r="H19" i="2"/>
  <c r="H20" i="2"/>
  <c r="H21" i="2"/>
  <c r="H22" i="2"/>
  <c r="H23" i="2"/>
  <c r="H24" i="2"/>
  <c r="H25" i="2"/>
  <c r="H26" i="2"/>
  <c r="H27" i="2"/>
  <c r="H28" i="2"/>
  <c r="H29" i="2"/>
  <c r="H17" i="2"/>
  <c r="G18" i="2"/>
  <c r="G19" i="2"/>
  <c r="G20" i="2"/>
  <c r="G21" i="2"/>
  <c r="G22" i="2"/>
  <c r="G23" i="2"/>
  <c r="G24" i="2"/>
  <c r="G25" i="2"/>
  <c r="G26" i="2"/>
  <c r="G27" i="2"/>
  <c r="G28" i="2"/>
  <c r="G29" i="2"/>
  <c r="G17" i="2"/>
  <c r="F18" i="2"/>
  <c r="F19" i="2"/>
  <c r="F20" i="2"/>
  <c r="F21" i="2"/>
  <c r="F22" i="2"/>
  <c r="F23" i="2"/>
  <c r="F24" i="2"/>
  <c r="F25" i="2"/>
  <c r="F26" i="2"/>
  <c r="F27" i="2"/>
  <c r="F28" i="2"/>
  <c r="F29" i="2"/>
  <c r="F17" i="2"/>
  <c r="E18" i="2"/>
  <c r="E19" i="2"/>
  <c r="E20" i="2"/>
  <c r="E21" i="2"/>
  <c r="E22" i="2"/>
  <c r="E23" i="2"/>
  <c r="E24" i="2"/>
  <c r="E25" i="2"/>
  <c r="E26" i="2"/>
  <c r="E27" i="2"/>
  <c r="E28" i="2"/>
  <c r="E29" i="2"/>
  <c r="E17" i="2"/>
  <c r="D18" i="2"/>
  <c r="D19" i="2"/>
  <c r="D20" i="2"/>
  <c r="D21" i="2"/>
  <c r="D22" i="2"/>
  <c r="D23" i="2"/>
  <c r="D24" i="2"/>
  <c r="D25" i="2"/>
  <c r="D26" i="2"/>
  <c r="D27" i="2"/>
  <c r="D28" i="2"/>
  <c r="D29" i="2"/>
  <c r="D17" i="2"/>
  <c r="C18" i="2"/>
  <c r="C19" i="2"/>
  <c r="C20" i="2"/>
  <c r="C21" i="2"/>
  <c r="C22" i="2"/>
  <c r="C23" i="2"/>
  <c r="C24" i="2"/>
  <c r="C25" i="2"/>
  <c r="C26" i="2"/>
  <c r="C27" i="2"/>
  <c r="C28" i="2"/>
  <c r="C29" i="2"/>
  <c r="C17" i="2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L2" i="2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M2" i="2"/>
  <c r="N2" i="2"/>
  <c r="O2" i="2"/>
  <c r="P2" i="2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J2" i="2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O2" i="1"/>
  <c r="N2" i="1"/>
  <c r="M2" i="1"/>
  <c r="L2" i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J2" i="1"/>
  <c r="J6" i="9" l="1"/>
  <c r="N31" i="9"/>
  <c r="K31" i="9"/>
  <c r="O31" i="9"/>
  <c r="P31" i="9"/>
  <c r="L31" i="9"/>
  <c r="M31" i="9"/>
  <c r="K12" i="7"/>
  <c r="K13" i="7" s="1"/>
  <c r="P17" i="5"/>
  <c r="K17" i="5"/>
  <c r="L17" i="5"/>
  <c r="M17" i="5"/>
  <c r="N17" i="5"/>
  <c r="O17" i="5"/>
  <c r="N11" i="8"/>
  <c r="N12" i="8" s="1"/>
  <c r="L11" i="7"/>
  <c r="L12" i="7" s="1"/>
  <c r="L13" i="7" s="1"/>
  <c r="M11" i="7"/>
  <c r="M12" i="7" s="1"/>
  <c r="M13" i="7" s="1"/>
  <c r="N11" i="7"/>
  <c r="N12" i="7" s="1"/>
  <c r="N13" i="7" s="1"/>
  <c r="P11" i="7"/>
  <c r="P12" i="7" s="1"/>
  <c r="P13" i="7" s="1"/>
  <c r="K11" i="7"/>
  <c r="O11" i="7"/>
  <c r="O12" i="7" s="1"/>
  <c r="O13" i="7" s="1"/>
  <c r="L20" i="6"/>
  <c r="M20" i="6"/>
  <c r="N20" i="6"/>
  <c r="O20" i="6"/>
  <c r="K20" i="6"/>
  <c r="P20" i="6"/>
  <c r="O16" i="5"/>
  <c r="L17" i="4"/>
  <c r="O17" i="4"/>
  <c r="P17" i="4"/>
  <c r="K17" i="4"/>
  <c r="M17" i="4"/>
  <c r="N17" i="4"/>
  <c r="L10" i="8"/>
  <c r="L11" i="8" s="1"/>
  <c r="L12" i="8" s="1"/>
  <c r="M10" i="8"/>
  <c r="M11" i="8" s="1"/>
  <c r="M12" i="8" s="1"/>
  <c r="N10" i="8"/>
  <c r="P10" i="8"/>
  <c r="P11" i="8" s="1"/>
  <c r="P12" i="8" s="1"/>
  <c r="O10" i="8"/>
  <c r="O11" i="8" s="1"/>
  <c r="O12" i="8" s="1"/>
  <c r="K10" i="8"/>
  <c r="K11" i="8" s="1"/>
  <c r="K12" i="8" s="1"/>
  <c r="P17" i="1"/>
  <c r="O17" i="1"/>
  <c r="K17" i="1"/>
  <c r="N17" i="1"/>
  <c r="M17" i="1"/>
  <c r="L17" i="1"/>
  <c r="L17" i="2"/>
  <c r="P17" i="2"/>
  <c r="K17" i="2"/>
  <c r="M17" i="2"/>
  <c r="N17" i="2"/>
  <c r="O17" i="2"/>
  <c r="J6" i="6"/>
  <c r="J7" i="5"/>
  <c r="J4" i="4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J3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J3" i="2"/>
  <c r="J7" i="9" l="1"/>
  <c r="P32" i="9"/>
  <c r="K32" i="9"/>
  <c r="L32" i="9"/>
  <c r="M32" i="9"/>
  <c r="N32" i="9"/>
  <c r="O32" i="9"/>
  <c r="K18" i="5"/>
  <c r="L18" i="5"/>
  <c r="M18" i="5"/>
  <c r="N18" i="5"/>
  <c r="O18" i="5"/>
  <c r="P18" i="5"/>
  <c r="N21" i="6"/>
  <c r="O21" i="6"/>
  <c r="P21" i="6"/>
  <c r="L21" i="6"/>
  <c r="M21" i="6"/>
  <c r="K21" i="6"/>
  <c r="L18" i="4"/>
  <c r="M18" i="4"/>
  <c r="N18" i="4"/>
  <c r="O18" i="4"/>
  <c r="P18" i="4"/>
  <c r="K18" i="4"/>
  <c r="O18" i="1"/>
  <c r="K18" i="1"/>
  <c r="N18" i="1"/>
  <c r="L18" i="1"/>
  <c r="M18" i="1"/>
  <c r="P18" i="1"/>
  <c r="O18" i="2"/>
  <c r="K18" i="2"/>
  <c r="L18" i="2"/>
  <c r="P18" i="2"/>
  <c r="M18" i="2"/>
  <c r="N18" i="2"/>
  <c r="J7" i="6"/>
  <c r="J8" i="5"/>
  <c r="J5" i="4"/>
  <c r="J4" i="1"/>
  <c r="J4" i="2"/>
  <c r="M3" i="3"/>
  <c r="M4" i="3" s="1"/>
  <c r="J3" i="3"/>
  <c r="N3" i="3"/>
  <c r="K3" i="3"/>
  <c r="K4" i="3" s="1"/>
  <c r="L3" i="3"/>
  <c r="L4" i="3" s="1"/>
  <c r="J8" i="9" l="1"/>
  <c r="M33" i="9"/>
  <c r="K33" i="9"/>
  <c r="N33" i="9"/>
  <c r="L33" i="9"/>
  <c r="O33" i="9"/>
  <c r="P33" i="9"/>
  <c r="L22" i="6"/>
  <c r="K22" i="6"/>
  <c r="M22" i="6"/>
  <c r="N22" i="6"/>
  <c r="O22" i="6"/>
  <c r="P22" i="6"/>
  <c r="N19" i="5"/>
  <c r="O19" i="5"/>
  <c r="K19" i="5"/>
  <c r="P19" i="5"/>
  <c r="L19" i="5"/>
  <c r="M19" i="5"/>
  <c r="O9" i="3"/>
  <c r="K9" i="3"/>
  <c r="P9" i="3"/>
  <c r="M9" i="3"/>
  <c r="N9" i="3"/>
  <c r="L9" i="3"/>
  <c r="O19" i="4"/>
  <c r="P19" i="4"/>
  <c r="K19" i="4"/>
  <c r="L19" i="4"/>
  <c r="M19" i="4"/>
  <c r="N19" i="4"/>
  <c r="N19" i="1"/>
  <c r="M19" i="1"/>
  <c r="O19" i="1"/>
  <c r="K19" i="1"/>
  <c r="P19" i="1"/>
  <c r="L19" i="1"/>
  <c r="N19" i="2"/>
  <c r="O19" i="2"/>
  <c r="K19" i="2"/>
  <c r="L19" i="2"/>
  <c r="P19" i="2"/>
  <c r="M19" i="2"/>
  <c r="J8" i="6"/>
  <c r="J9" i="5"/>
  <c r="J6" i="4"/>
  <c r="J5" i="1"/>
  <c r="J5" i="2"/>
  <c r="J4" i="3"/>
  <c r="N4" i="3"/>
  <c r="J9" i="9" l="1"/>
  <c r="L34" i="9"/>
  <c r="O34" i="9"/>
  <c r="P34" i="9"/>
  <c r="M34" i="9"/>
  <c r="N34" i="9"/>
  <c r="K34" i="9"/>
  <c r="K20" i="5"/>
  <c r="L20" i="5"/>
  <c r="M20" i="5"/>
  <c r="N20" i="5"/>
  <c r="O20" i="5"/>
  <c r="P20" i="5"/>
  <c r="L23" i="6"/>
  <c r="M23" i="6"/>
  <c r="N23" i="6"/>
  <c r="O23" i="6"/>
  <c r="K23" i="6"/>
  <c r="P23" i="6"/>
  <c r="M10" i="3"/>
  <c r="O10" i="3"/>
  <c r="O11" i="3" s="1"/>
  <c r="O12" i="3" s="1"/>
  <c r="L10" i="3"/>
  <c r="N10" i="3"/>
  <c r="N11" i="3" s="1"/>
  <c r="N12" i="3" s="1"/>
  <c r="P10" i="3"/>
  <c r="K10" i="3"/>
  <c r="L20" i="4"/>
  <c r="M20" i="4"/>
  <c r="P20" i="4"/>
  <c r="O20" i="4"/>
  <c r="K20" i="4"/>
  <c r="N20" i="4"/>
  <c r="M20" i="1"/>
  <c r="P20" i="1"/>
  <c r="L20" i="1"/>
  <c r="O20" i="1"/>
  <c r="K20" i="1"/>
  <c r="N20" i="1"/>
  <c r="M20" i="2"/>
  <c r="L20" i="2"/>
  <c r="N20" i="2"/>
  <c r="O20" i="2"/>
  <c r="K20" i="2"/>
  <c r="P20" i="2"/>
  <c r="J9" i="6"/>
  <c r="J10" i="5"/>
  <c r="J7" i="4"/>
  <c r="J6" i="1"/>
  <c r="J6" i="2"/>
  <c r="P11" i="3"/>
  <c r="P12" i="3" s="1"/>
  <c r="M11" i="3"/>
  <c r="M12" i="3" s="1"/>
  <c r="K11" i="3"/>
  <c r="K12" i="3" s="1"/>
  <c r="L11" i="3"/>
  <c r="L12" i="3" s="1"/>
  <c r="J10" i="9" l="1"/>
  <c r="N35" i="9"/>
  <c r="K35" i="9"/>
  <c r="O35" i="9"/>
  <c r="P35" i="9"/>
  <c r="L35" i="9"/>
  <c r="M35" i="9"/>
  <c r="L21" i="5"/>
  <c r="L22" i="5" s="1"/>
  <c r="L23" i="5" s="1"/>
  <c r="M21" i="5"/>
  <c r="N21" i="5"/>
  <c r="O21" i="5"/>
  <c r="K21" i="5"/>
  <c r="K22" i="5" s="1"/>
  <c r="K23" i="5" s="1"/>
  <c r="P21" i="5"/>
  <c r="M21" i="4"/>
  <c r="K21" i="4"/>
  <c r="N21" i="4"/>
  <c r="O21" i="4"/>
  <c r="P21" i="4"/>
  <c r="L21" i="4"/>
  <c r="O24" i="6"/>
  <c r="K24" i="6"/>
  <c r="P24" i="6"/>
  <c r="M24" i="6"/>
  <c r="N24" i="6"/>
  <c r="L24" i="6"/>
  <c r="P21" i="1"/>
  <c r="L21" i="1"/>
  <c r="O21" i="1"/>
  <c r="K21" i="1"/>
  <c r="M21" i="1"/>
  <c r="N21" i="1"/>
  <c r="L21" i="2"/>
  <c r="P21" i="2"/>
  <c r="O21" i="2"/>
  <c r="M21" i="2"/>
  <c r="N21" i="2"/>
  <c r="K21" i="2"/>
  <c r="J10" i="6"/>
  <c r="P22" i="5"/>
  <c r="P23" i="5" s="1"/>
  <c r="M22" i="5"/>
  <c r="M23" i="5" s="1"/>
  <c r="O22" i="5"/>
  <c r="O23" i="5" s="1"/>
  <c r="N22" i="5"/>
  <c r="N23" i="5" s="1"/>
  <c r="J8" i="4"/>
  <c r="J7" i="1"/>
  <c r="J7" i="2"/>
  <c r="J11" i="9" l="1"/>
  <c r="P36" i="9"/>
  <c r="K36" i="9"/>
  <c r="M36" i="9"/>
  <c r="L36" i="9"/>
  <c r="N36" i="9"/>
  <c r="O36" i="9"/>
  <c r="K25" i="6"/>
  <c r="L25" i="6"/>
  <c r="M25" i="6"/>
  <c r="N25" i="6"/>
  <c r="O25" i="6"/>
  <c r="P25" i="6"/>
  <c r="P22" i="4"/>
  <c r="K22" i="4"/>
  <c r="L22" i="4"/>
  <c r="M22" i="4"/>
  <c r="N22" i="4"/>
  <c r="O22" i="4"/>
  <c r="O22" i="1"/>
  <c r="N22" i="1"/>
  <c r="P22" i="1"/>
  <c r="M22" i="1"/>
  <c r="L22" i="1"/>
  <c r="K22" i="1"/>
  <c r="O22" i="2"/>
  <c r="K22" i="2"/>
  <c r="L22" i="2"/>
  <c r="P22" i="2"/>
  <c r="N22" i="2"/>
  <c r="M22" i="2"/>
  <c r="J11" i="6"/>
  <c r="J9" i="4"/>
  <c r="J8" i="1"/>
  <c r="J8" i="2"/>
  <c r="J12" i="9" l="1"/>
  <c r="M37" i="9"/>
  <c r="K37" i="9"/>
  <c r="N37" i="9"/>
  <c r="L37" i="9"/>
  <c r="P37" i="9"/>
  <c r="O37" i="9"/>
  <c r="M26" i="6"/>
  <c r="N26" i="6"/>
  <c r="O26" i="6"/>
  <c r="K26" i="6"/>
  <c r="P26" i="6"/>
  <c r="L26" i="6"/>
  <c r="L23" i="4"/>
  <c r="M23" i="4"/>
  <c r="K23" i="4"/>
  <c r="N23" i="4"/>
  <c r="O23" i="4"/>
  <c r="P23" i="4"/>
  <c r="N23" i="1"/>
  <c r="M23" i="1"/>
  <c r="P23" i="1"/>
  <c r="L23" i="1"/>
  <c r="O23" i="1"/>
  <c r="K23" i="1"/>
  <c r="N23" i="2"/>
  <c r="O23" i="2"/>
  <c r="K23" i="2"/>
  <c r="L23" i="2"/>
  <c r="P23" i="2"/>
  <c r="M23" i="2"/>
  <c r="J12" i="6"/>
  <c r="J10" i="4"/>
  <c r="J9" i="1"/>
  <c r="J9" i="2"/>
  <c r="J13" i="9" l="1"/>
  <c r="L38" i="9"/>
  <c r="O38" i="9"/>
  <c r="P38" i="9"/>
  <c r="M38" i="9"/>
  <c r="N38" i="9"/>
  <c r="K38" i="9"/>
  <c r="N24" i="4"/>
  <c r="O24" i="4"/>
  <c r="P24" i="4"/>
  <c r="K24" i="4"/>
  <c r="L24" i="4"/>
  <c r="M24" i="4"/>
  <c r="P27" i="6"/>
  <c r="K27" i="6"/>
  <c r="N27" i="6"/>
  <c r="O27" i="6"/>
  <c r="L27" i="6"/>
  <c r="M27" i="6"/>
  <c r="M24" i="1"/>
  <c r="P24" i="1"/>
  <c r="L24" i="1"/>
  <c r="N24" i="1"/>
  <c r="O24" i="1"/>
  <c r="K24" i="1"/>
  <c r="M24" i="2"/>
  <c r="L24" i="2"/>
  <c r="P24" i="2"/>
  <c r="N24" i="2"/>
  <c r="O24" i="2"/>
  <c r="K24" i="2"/>
  <c r="J13" i="6"/>
  <c r="J11" i="4"/>
  <c r="J10" i="1"/>
  <c r="J10" i="2"/>
  <c r="J14" i="9" l="1"/>
  <c r="N39" i="9"/>
  <c r="O39" i="9"/>
  <c r="K39" i="9"/>
  <c r="P39" i="9"/>
  <c r="L39" i="9"/>
  <c r="M39" i="9"/>
  <c r="L25" i="4"/>
  <c r="M25" i="4"/>
  <c r="K25" i="4"/>
  <c r="N25" i="4"/>
  <c r="O25" i="4"/>
  <c r="P25" i="4"/>
  <c r="L28" i="6"/>
  <c r="M28" i="6"/>
  <c r="N28" i="6"/>
  <c r="O28" i="6"/>
  <c r="K28" i="6"/>
  <c r="P28" i="6"/>
  <c r="P25" i="1"/>
  <c r="L25" i="1"/>
  <c r="O25" i="1"/>
  <c r="K25" i="1"/>
  <c r="N25" i="1"/>
  <c r="M25" i="1"/>
  <c r="L25" i="2"/>
  <c r="P25" i="2"/>
  <c r="K25" i="2"/>
  <c r="M25" i="2"/>
  <c r="N25" i="2"/>
  <c r="O25" i="2"/>
  <c r="J14" i="6"/>
  <c r="J12" i="4"/>
  <c r="J11" i="1"/>
  <c r="J11" i="2"/>
  <c r="J15" i="9" l="1"/>
  <c r="P40" i="9"/>
  <c r="K40" i="9"/>
  <c r="M40" i="9"/>
  <c r="L40" i="9"/>
  <c r="N40" i="9"/>
  <c r="O40" i="9"/>
  <c r="L26" i="4"/>
  <c r="M26" i="4"/>
  <c r="N26" i="4"/>
  <c r="O26" i="4"/>
  <c r="K26" i="4"/>
  <c r="P26" i="4"/>
  <c r="N29" i="6"/>
  <c r="O29" i="6"/>
  <c r="O30" i="6" s="1"/>
  <c r="O31" i="6" s="1"/>
  <c r="P29" i="6"/>
  <c r="P30" i="6" s="1"/>
  <c r="P31" i="6" s="1"/>
  <c r="K29" i="6"/>
  <c r="L29" i="6"/>
  <c r="L30" i="6" s="1"/>
  <c r="L31" i="6" s="1"/>
  <c r="M29" i="6"/>
  <c r="O26" i="1"/>
  <c r="N26" i="1"/>
  <c r="L26" i="1"/>
  <c r="K26" i="1"/>
  <c r="M26" i="1"/>
  <c r="P26" i="1"/>
  <c r="O26" i="2"/>
  <c r="K26" i="2"/>
  <c r="N26" i="2"/>
  <c r="L26" i="2"/>
  <c r="P26" i="2"/>
  <c r="M26" i="2"/>
  <c r="M30" i="6"/>
  <c r="M31" i="6" s="1"/>
  <c r="K30" i="6"/>
  <c r="K31" i="6" s="1"/>
  <c r="N30" i="6"/>
  <c r="N31" i="6" s="1"/>
  <c r="J12" i="1"/>
  <c r="J12" i="2"/>
  <c r="J16" i="9" l="1"/>
  <c r="M41" i="9"/>
  <c r="K41" i="9"/>
  <c r="N41" i="9"/>
  <c r="L41" i="9"/>
  <c r="O41" i="9"/>
  <c r="P41" i="9"/>
  <c r="N27" i="1"/>
  <c r="M27" i="1"/>
  <c r="K27" i="1"/>
  <c r="P27" i="1"/>
  <c r="L27" i="1"/>
  <c r="O27" i="1"/>
  <c r="N27" i="2"/>
  <c r="O27" i="2"/>
  <c r="K27" i="2"/>
  <c r="L27" i="2"/>
  <c r="P27" i="2"/>
  <c r="M27" i="2"/>
  <c r="N27" i="4"/>
  <c r="N28" i="4" s="1"/>
  <c r="L27" i="4"/>
  <c r="L28" i="4" s="1"/>
  <c r="O27" i="4"/>
  <c r="O28" i="4" s="1"/>
  <c r="K27" i="4"/>
  <c r="K28" i="4" s="1"/>
  <c r="M27" i="4"/>
  <c r="M28" i="4" s="1"/>
  <c r="P27" i="4"/>
  <c r="P28" i="4" s="1"/>
  <c r="J13" i="1"/>
  <c r="J13" i="2"/>
  <c r="J17" i="9" l="1"/>
  <c r="L42" i="9"/>
  <c r="P42" i="9"/>
  <c r="M42" i="9"/>
  <c r="N42" i="9"/>
  <c r="O42" i="9"/>
  <c r="K42" i="9"/>
  <c r="M28" i="1"/>
  <c r="P28" i="1"/>
  <c r="L28" i="1"/>
  <c r="N28" i="1"/>
  <c r="O28" i="1"/>
  <c r="K28" i="1"/>
  <c r="M28" i="2"/>
  <c r="L28" i="2"/>
  <c r="N28" i="2"/>
  <c r="O28" i="2"/>
  <c r="K28" i="2"/>
  <c r="P28" i="2"/>
  <c r="J14" i="1"/>
  <c r="J14" i="2"/>
  <c r="J18" i="9" l="1"/>
  <c r="N43" i="9"/>
  <c r="O43" i="9"/>
  <c r="P43" i="9"/>
  <c r="L43" i="9"/>
  <c r="M43" i="9"/>
  <c r="K43" i="9"/>
  <c r="P29" i="1"/>
  <c r="L29" i="1"/>
  <c r="O29" i="1"/>
  <c r="O30" i="1" s="1"/>
  <c r="O31" i="1" s="1"/>
  <c r="K29" i="1"/>
  <c r="K30" i="1" s="1"/>
  <c r="K31" i="1" s="1"/>
  <c r="N29" i="1"/>
  <c r="M29" i="1"/>
  <c r="L29" i="2"/>
  <c r="L30" i="2" s="1"/>
  <c r="L31" i="2" s="1"/>
  <c r="P29" i="2"/>
  <c r="P30" i="2" s="1"/>
  <c r="P31" i="2" s="1"/>
  <c r="O29" i="2"/>
  <c r="O30" i="2" s="1"/>
  <c r="O31" i="2" s="1"/>
  <c r="M29" i="2"/>
  <c r="M30" i="2" s="1"/>
  <c r="M31" i="2" s="1"/>
  <c r="N29" i="2"/>
  <c r="N30" i="2" s="1"/>
  <c r="N31" i="2" s="1"/>
  <c r="K29" i="2"/>
  <c r="K30" i="2" s="1"/>
  <c r="K31" i="2" s="1"/>
  <c r="N30" i="1"/>
  <c r="N31" i="1" s="1"/>
  <c r="M30" i="1"/>
  <c r="M31" i="1" s="1"/>
  <c r="L30" i="1"/>
  <c r="L31" i="1" s="1"/>
  <c r="P30" i="1"/>
  <c r="P31" i="1" s="1"/>
  <c r="J19" i="9" l="1"/>
  <c r="P44" i="9"/>
  <c r="K44" i="9"/>
  <c r="M44" i="9"/>
  <c r="L44" i="9"/>
  <c r="N44" i="9"/>
  <c r="O44" i="9"/>
  <c r="J20" i="9" l="1"/>
  <c r="K45" i="9"/>
  <c r="M45" i="9"/>
  <c r="N45" i="9"/>
  <c r="O45" i="9"/>
  <c r="L45" i="9"/>
  <c r="P45" i="9"/>
  <c r="J21" i="9" l="1"/>
  <c r="L46" i="9"/>
  <c r="O46" i="9"/>
  <c r="P46" i="9"/>
  <c r="M46" i="9"/>
  <c r="N46" i="9"/>
  <c r="K46" i="9"/>
  <c r="J22" i="9" l="1"/>
  <c r="N47" i="9"/>
  <c r="O47" i="9"/>
  <c r="P47" i="9"/>
  <c r="K47" i="9"/>
  <c r="L47" i="9"/>
  <c r="M47" i="9"/>
  <c r="J23" i="9" l="1"/>
  <c r="P48" i="9"/>
  <c r="K48" i="9"/>
  <c r="M48" i="9"/>
  <c r="L48" i="9"/>
  <c r="N48" i="9"/>
  <c r="O48" i="9"/>
  <c r="J24" i="9" l="1"/>
  <c r="K49" i="9"/>
  <c r="M49" i="9"/>
  <c r="N49" i="9"/>
  <c r="L49" i="9"/>
  <c r="P49" i="9"/>
  <c r="O49" i="9"/>
  <c r="J25" i="9" l="1"/>
  <c r="L50" i="9"/>
  <c r="P50" i="9"/>
  <c r="M50" i="9"/>
  <c r="N50" i="9"/>
  <c r="O50" i="9"/>
  <c r="K50" i="9"/>
  <c r="N51" i="9" l="1"/>
  <c r="N52" i="9" s="1"/>
  <c r="N53" i="9" s="1"/>
  <c r="O51" i="9"/>
  <c r="O52" i="9" s="1"/>
  <c r="O53" i="9" s="1"/>
  <c r="P51" i="9"/>
  <c r="P52" i="9" s="1"/>
  <c r="P53" i="9" s="1"/>
  <c r="K51" i="9"/>
  <c r="K52" i="9" s="1"/>
  <c r="K53" i="9" s="1"/>
  <c r="L51" i="9"/>
  <c r="L52" i="9" s="1"/>
  <c r="L53" i="9" s="1"/>
  <c r="M51" i="9"/>
  <c r="M52" i="9" s="1"/>
  <c r="M53" i="9" s="1"/>
</calcChain>
</file>

<file path=xl/sharedStrings.xml><?xml version="1.0" encoding="utf-8"?>
<sst xmlns="http://schemas.openxmlformats.org/spreadsheetml/2006/main" count="612" uniqueCount="124">
  <si>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</si>
  <si>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</si>
  <si>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</si>
  <si>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</si>
  <si>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</si>
  <si>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</si>
  <si>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</si>
  <si>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</si>
  <si>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Igualdade</t>
  </si>
  <si>
    <t>TAQUARAÇU DE MINAS</t>
  </si>
  <si>
    <t>MOEDA</t>
  </si>
  <si>
    <t>NOVA UNIÃO</t>
  </si>
  <si>
    <t>BELO VALE</t>
  </si>
  <si>
    <t>RIO ACIMA</t>
  </si>
  <si>
    <t>RAPOSOS</t>
  </si>
  <si>
    <t>JABOTICATUBAS</t>
  </si>
  <si>
    <t>CAETÉ</t>
  </si>
  <si>
    <t>NOVA LIMA</t>
  </si>
  <si>
    <t>SABARÁ</t>
  </si>
  <si>
    <t>SANTA LUZIA</t>
  </si>
  <si>
    <t>RIBEIRÃO DAS NEVES</t>
  </si>
  <si>
    <t>BELO HORIZONTE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</si>
  <si>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</si>
  <si>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</si>
  <si>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</si>
  <si>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</si>
  <si>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</si>
  <si>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</si>
  <si>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</si>
  <si>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</si>
  <si>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</si>
  <si>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</si>
  <si>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</si>
  <si>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</si>
  <si>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</si>
  <si>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</si>
  <si>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PIEDADE DOS GERAIS</t>
  </si>
  <si>
    <t>CRUCILÂNDIA</t>
  </si>
  <si>
    <t>RIO MANSO</t>
  </si>
  <si>
    <t>BONFIM</t>
  </si>
  <si>
    <t>FLORESTAL</t>
  </si>
  <si>
    <t>MÁRIO CAMPOS</t>
  </si>
  <si>
    <t>JUATUBA</t>
  </si>
  <si>
    <t>MATEUS LEME</t>
  </si>
  <si>
    <t>SÃO JOAQUIM DE BICAS</t>
  </si>
  <si>
    <t>BRUMADINHO</t>
  </si>
  <si>
    <t>IGARAPÉ</t>
  </si>
  <si>
    <t>ESMERALDAS</t>
  </si>
  <si>
    <t>BETIM</t>
  </si>
  <si>
    <t>SARZEDO</t>
  </si>
  <si>
    <t>IBIRITÉ</t>
  </si>
  <si>
    <t>CONTAGEM</t>
  </si>
  <si>
    <t xml:space="preserve"> </t>
  </si>
  <si>
    <t>MONJOLOS</t>
  </si>
  <si>
    <t>MORRO DA GARÇA</t>
  </si>
  <si>
    <t>SANTO HIPÓLITO</t>
  </si>
  <si>
    <t>PRESIDENTE JUSCELINO</t>
  </si>
  <si>
    <t>AUGUSTO DE LIMA</t>
  </si>
  <si>
    <t>INIMUTABA</t>
  </si>
  <si>
    <t>BUENÓPOLIS</t>
  </si>
  <si>
    <t>FELIXLÂNDIA</t>
  </si>
  <si>
    <t>CORINTO</t>
  </si>
  <si>
    <t>TRÊS MARIAS</t>
  </si>
  <si>
    <t>CURVELO</t>
  </si>
  <si>
    <t>CARMÉSIA</t>
  </si>
  <si>
    <t>SENHORA DO PORTO</t>
  </si>
  <si>
    <t>MATERLÂNDIA</t>
  </si>
  <si>
    <t>DOM JOAQUIM</t>
  </si>
  <si>
    <t>DORES DE GUANHÃES</t>
  </si>
  <si>
    <t>VIRGINÓPOLIS</t>
  </si>
  <si>
    <t>RIO VERMELHO</t>
  </si>
  <si>
    <t>SABINÓPOLIS</t>
  </si>
  <si>
    <t>GUANHÃES</t>
  </si>
  <si>
    <t>SÃO SEBASTIÃO DO RIO PRETO</t>
  </si>
  <si>
    <t>PASSABÉM</t>
  </si>
  <si>
    <t>SANTO ANTÔNIO DO RIO ABAIXO</t>
  </si>
  <si>
    <t>ITAMBÉ DO MATO DENTRO</t>
  </si>
  <si>
    <t>MORRO DO PILAR</t>
  </si>
  <si>
    <t>CATAS ALTAS</t>
  </si>
  <si>
    <t>BOM JESUS DO AMPARO</t>
  </si>
  <si>
    <t>FERROS</t>
  </si>
  <si>
    <t>SANTA MARIA DE ITABIRA</t>
  </si>
  <si>
    <t>SÃO GONÇALO DO RIO ABAIXO</t>
  </si>
  <si>
    <t>SANTA BÁRBARA</t>
  </si>
  <si>
    <t>BARÃO DE COCAIS</t>
  </si>
  <si>
    <t>ITABIRA</t>
  </si>
  <si>
    <t>BELA VISTA DE MINAS</t>
  </si>
  <si>
    <t>RIO PIRACICABA</t>
  </si>
  <si>
    <t>NOVA ERA</t>
  </si>
  <si>
    <t>JOÃO MONLEVADE</t>
  </si>
  <si>
    <t>ITABIRITO</t>
  </si>
  <si>
    <t>MARIANA</t>
  </si>
  <si>
    <t>OURO PRETO</t>
  </si>
  <si>
    <t>CEDRO DO ABAETÉ</t>
  </si>
  <si>
    <t>ARAÇAÍ</t>
  </si>
  <si>
    <t>BIQUINHAS</t>
  </si>
  <si>
    <t>FORTUNA DE MINAS</t>
  </si>
  <si>
    <t>CACHOEIRA DA PRATA</t>
  </si>
  <si>
    <t>QUARTEL GERAL</t>
  </si>
  <si>
    <t>FUNILÂNDIA</t>
  </si>
  <si>
    <t>PAINEIRAS</t>
  </si>
  <si>
    <t>PEQUI</t>
  </si>
  <si>
    <t>JEQUITIBÁ</t>
  </si>
  <si>
    <t>INHAÚMA</t>
  </si>
  <si>
    <t>SANTANA DE PIRAPAMA</t>
  </si>
  <si>
    <t>BALDIM</t>
  </si>
  <si>
    <t>MARAVILHAS</t>
  </si>
  <si>
    <t>CORDISBURGO</t>
  </si>
  <si>
    <t>MORADA NOVA DE MINAS</t>
  </si>
  <si>
    <t>CAPIM BRANCO</t>
  </si>
  <si>
    <t>PRUDENTE DE MORAIS</t>
  </si>
  <si>
    <t>CAETANÓPOLIS</t>
  </si>
  <si>
    <t>PAPAGAIOS</t>
  </si>
  <si>
    <t>ABAETÉ</t>
  </si>
  <si>
    <t>PARAOPEBA</t>
  </si>
  <si>
    <t>POMPÉU</t>
  </si>
  <si>
    <t>SETE LAGOAS</t>
  </si>
  <si>
    <t>SANTANA DO RIACHO</t>
  </si>
  <si>
    <t>CONFINS</t>
  </si>
  <si>
    <t>SÃO JOSÉ DA LAPA</t>
  </si>
  <si>
    <t>MATOZINHOS</t>
  </si>
  <si>
    <t>PEDRO LEOPOLDO</t>
  </si>
  <si>
    <t>LAGOA SANTA</t>
  </si>
  <si>
    <t>VESPASIANO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</si>
</sst>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indent="2"/>
    </xf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0" fillId="0" borderId="0" xfId="0" applyAlignment="1">
      <alignment horizontal="left" indent="2"/>
    </xf>
    <xf numFmtId="2" fontId="0" fillId="0" borderId="2" xfId="0" applyNumberFormat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/>
    <xf numFmtId="0" fontId="2" fillId="10" borderId="1" xfId="0" applyFont="1" applyFill="1" applyBorder="1" applyAlignment="1">
      <alignment horizontal="left" indent="2"/>
    </xf>
    <xf numFmtId="0" fontId="2" fillId="10" borderId="1" xfId="0" applyFont="1" applyFill="1" applyBorder="1"/>
    <xf numFmtId="164" fontId="2" fillId="10" borderId="1" xfId="0" applyNumberFormat="1" applyFont="1" applyFill="1" applyBorder="1"/>
    <xf numFmtId="2" fontId="4" fillId="0" borderId="1" xfId="0" applyNumberFormat="1" applyFont="1" applyBorder="1"/>
    <xf numFmtId="0" fontId="2" fillId="10" borderId="3" xfId="0" applyFont="1" applyFill="1" applyBorder="1" applyAlignment="1">
      <alignment horizontal="left" indent="2"/>
    </xf>
    <xf numFmtId="0" fontId="2" fillId="0" borderId="0" xfId="0" applyFont="1" applyAlignment="1">
      <alignment vertical="center" wrapText="1"/>
    </xf>
    <xf numFmtId="164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2" fontId="0" fillId="0" borderId="3" xfId="0" applyNumberFormat="1" applyBorder="1"/>
    <xf numFmtId="2" fontId="0" fillId="0" borderId="1" xfId="1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18-4B9A-97EF-83012103B344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Horizonte'!$K$2:$K$14</c:f>
              <c:numCache>
                <c:formatCode>0.000</c:formatCode>
                <c:ptCount val="13"/>
                <c:pt idx="0">
                  <c:v>9.8728865852153527E-4</c:v>
                </c:pt>
                <c:pt idx="1">
                  <c:v>2.0979883993582625E-3</c:v>
                </c:pt>
                <c:pt idx="2">
                  <c:v>2.5916327286190301E-3</c:v>
                </c:pt>
                <c:pt idx="3">
                  <c:v>3.8257435517709492E-3</c:v>
                </c:pt>
                <c:pt idx="4">
                  <c:v>6.4173762803899793E-3</c:v>
                </c:pt>
                <c:pt idx="5">
                  <c:v>1.0119708749845736E-2</c:v>
                </c:pt>
                <c:pt idx="6">
                  <c:v>1.4562507713192644E-2</c:v>
                </c:pt>
                <c:pt idx="7">
                  <c:v>2.344810563988646E-2</c:v>
                </c:pt>
                <c:pt idx="8">
                  <c:v>5.1585832407750214E-2</c:v>
                </c:pt>
                <c:pt idx="9">
                  <c:v>8.021720350487474E-2</c:v>
                </c:pt>
                <c:pt idx="10">
                  <c:v>0.10601011970874985</c:v>
                </c:pt>
                <c:pt idx="11">
                  <c:v>0.14574848821424163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18-4B9A-97EF-83012103B344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Horizonte'!$L$2:$L$14</c:f>
              <c:numCache>
                <c:formatCode>0.000</c:formatCode>
                <c:ptCount val="13"/>
                <c:pt idx="0">
                  <c:v>8.2259391280504524E-4</c:v>
                </c:pt>
                <c:pt idx="1">
                  <c:v>1.6451878256100905E-3</c:v>
                </c:pt>
                <c:pt idx="2">
                  <c:v>2.741979709350151E-3</c:v>
                </c:pt>
                <c:pt idx="3">
                  <c:v>5.2097614477652869E-3</c:v>
                </c:pt>
                <c:pt idx="4">
                  <c:v>7.951741157115437E-3</c:v>
                </c:pt>
                <c:pt idx="5">
                  <c:v>1.3435700575815739E-2</c:v>
                </c:pt>
                <c:pt idx="6">
                  <c:v>1.9742253907321088E-2</c:v>
                </c:pt>
                <c:pt idx="7">
                  <c:v>3.1532766657526738E-2</c:v>
                </c:pt>
                <c:pt idx="8">
                  <c:v>6.4710721140663563E-2</c:v>
                </c:pt>
                <c:pt idx="9">
                  <c:v>0.10008225939128051</c:v>
                </c:pt>
                <c:pt idx="10">
                  <c:v>0.18563202632300524</c:v>
                </c:pt>
                <c:pt idx="11">
                  <c:v>0.23443926514943791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18-4B9A-97EF-83012103B344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Horizonte'!$M$2:$M$14</c:f>
              <c:numCache>
                <c:formatCode>0.000</c:formatCode>
                <c:ptCount val="13"/>
                <c:pt idx="0">
                  <c:v>6.8632435180477885E-3</c:v>
                </c:pt>
                <c:pt idx="1">
                  <c:v>8.6426029486527702E-3</c:v>
                </c:pt>
                <c:pt idx="2">
                  <c:v>1.0421962379257752E-2</c:v>
                </c:pt>
                <c:pt idx="3">
                  <c:v>1.2455516014234874E-2</c:v>
                </c:pt>
                <c:pt idx="4">
                  <c:v>1.3472292831723435E-2</c:v>
                </c:pt>
                <c:pt idx="5">
                  <c:v>1.5760040671072697E-2</c:v>
                </c:pt>
                <c:pt idx="6">
                  <c:v>2.2369089984748347E-2</c:v>
                </c:pt>
                <c:pt idx="7">
                  <c:v>3.9145907473309607E-2</c:v>
                </c:pt>
                <c:pt idx="8">
                  <c:v>7.0920183019827138E-2</c:v>
                </c:pt>
                <c:pt idx="9">
                  <c:v>9.5322826639552605E-2</c:v>
                </c:pt>
                <c:pt idx="10">
                  <c:v>0.2534316217590239</c:v>
                </c:pt>
                <c:pt idx="11">
                  <c:v>0.30198271479410271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18-4B9A-97EF-83012103B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2223"/>
        <c:axId val="173930255"/>
      </c:scatterChart>
      <c:valAx>
        <c:axId val="17114222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0255"/>
        <c:crosses val="autoZero"/>
        <c:crossBetween val="midCat"/>
      </c:valAx>
      <c:valAx>
        <c:axId val="1739302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2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D2-4F2D-AB29-56A3BC1F4140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Horizonte'!$N$2:$N$14</c:f>
              <c:numCache>
                <c:formatCode>0.000</c:formatCode>
                <c:ptCount val="13"/>
                <c:pt idx="0">
                  <c:v>2.6618100308209583E-3</c:v>
                </c:pt>
                <c:pt idx="1">
                  <c:v>3.7825721490613619E-3</c:v>
                </c:pt>
                <c:pt idx="2">
                  <c:v>8.2656206220229761E-3</c:v>
                </c:pt>
                <c:pt idx="3">
                  <c:v>9.5264780050434306E-3</c:v>
                </c:pt>
                <c:pt idx="4">
                  <c:v>1.6671336508826004E-2</c:v>
                </c:pt>
                <c:pt idx="5">
                  <c:v>2.2975623423928275E-2</c:v>
                </c:pt>
                <c:pt idx="6">
                  <c:v>2.8999719809470442E-2</c:v>
                </c:pt>
                <c:pt idx="7">
                  <c:v>4.7632390025217151E-2</c:v>
                </c:pt>
                <c:pt idx="8">
                  <c:v>9.1482207901372931E-2</c:v>
                </c:pt>
                <c:pt idx="9">
                  <c:v>0.12132249929952367</c:v>
                </c:pt>
                <c:pt idx="10">
                  <c:v>0.25637433454749231</c:v>
                </c:pt>
                <c:pt idx="11">
                  <c:v>0.30414681983748948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D2-4F2D-AB29-56A3BC1F4140}"/>
            </c:ext>
          </c:extLst>
        </c:ser>
        <c:ser>
          <c:idx val="2"/>
          <c:order val="2"/>
          <c:tx>
            <c:v>2023-1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Horizonte'!$O$2:$O$14</c:f>
              <c:numCache>
                <c:formatCode>0.000</c:formatCode>
                <c:ptCount val="13"/>
                <c:pt idx="0">
                  <c:v>2.5635969236836916E-3</c:v>
                </c:pt>
                <c:pt idx="1">
                  <c:v>3.1551962137645433E-3</c:v>
                </c:pt>
                <c:pt idx="2">
                  <c:v>3.9439952672056791E-3</c:v>
                </c:pt>
                <c:pt idx="3">
                  <c:v>4.5355945572865307E-3</c:v>
                </c:pt>
                <c:pt idx="4">
                  <c:v>1.143758627489647E-2</c:v>
                </c:pt>
                <c:pt idx="5">
                  <c:v>2.0311575626109246E-2</c:v>
                </c:pt>
                <c:pt idx="6">
                  <c:v>2.4452770656675209E-2</c:v>
                </c:pt>
                <c:pt idx="7">
                  <c:v>5.1666338000394399E-2</c:v>
                </c:pt>
                <c:pt idx="8">
                  <c:v>9.7416683099980278E-2</c:v>
                </c:pt>
                <c:pt idx="9">
                  <c:v>0.10786827055807532</c:v>
                </c:pt>
                <c:pt idx="10">
                  <c:v>0.22244133307040032</c:v>
                </c:pt>
                <c:pt idx="11">
                  <c:v>0.27824886610136068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D2-4F2D-AB29-56A3BC1F4140}"/>
            </c:ext>
          </c:extLst>
        </c:ser>
        <c:ser>
          <c:idx val="3"/>
          <c:order val="3"/>
          <c:tx>
            <c:v>2023-3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Horizonte'!$J$2:$J$14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Horizonte'!$P$2:$P$14</c:f>
              <c:numCache>
                <c:formatCode>0.000</c:formatCode>
                <c:ptCount val="13"/>
                <c:pt idx="0">
                  <c:v>2.0177562550443904E-3</c:v>
                </c:pt>
                <c:pt idx="1">
                  <c:v>2.8248587570621469E-3</c:v>
                </c:pt>
                <c:pt idx="2">
                  <c:v>3.6319612590799029E-3</c:v>
                </c:pt>
                <c:pt idx="3">
                  <c:v>3.6319612590799029E-3</c:v>
                </c:pt>
                <c:pt idx="4">
                  <c:v>8.4745762711864406E-3</c:v>
                </c:pt>
                <c:pt idx="5">
                  <c:v>1.6949152542372881E-2</c:v>
                </c:pt>
                <c:pt idx="6">
                  <c:v>2.9459241323648105E-2</c:v>
                </c:pt>
                <c:pt idx="7">
                  <c:v>5.8111380145278453E-2</c:v>
                </c:pt>
                <c:pt idx="8">
                  <c:v>0.1033091202582728</c:v>
                </c:pt>
                <c:pt idx="9">
                  <c:v>0.12348668280871671</c:v>
                </c:pt>
                <c:pt idx="10">
                  <c:v>0.23486682808716708</c:v>
                </c:pt>
                <c:pt idx="11">
                  <c:v>0.2990314769975787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D2-4F2D-AB29-56A3BC1F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58447"/>
        <c:axId val="234189551"/>
      </c:scatterChart>
      <c:valAx>
        <c:axId val="2605584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189551"/>
        <c:crosses val="autoZero"/>
        <c:crossBetween val="midCat"/>
      </c:valAx>
      <c:valAx>
        <c:axId val="2341895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5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03-4C5E-91DF-C3D8BFDCBDD1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Betim!$K$2:$K$14</c:f>
              <c:numCache>
                <c:formatCode>0.00</c:formatCode>
                <c:ptCount val="13"/>
                <c:pt idx="0">
                  <c:v>5.8528428093645481E-3</c:v>
                </c:pt>
                <c:pt idx="1">
                  <c:v>1.2541806020066888E-2</c:v>
                </c:pt>
                <c:pt idx="2">
                  <c:v>2.1739130434782608E-2</c:v>
                </c:pt>
                <c:pt idx="3">
                  <c:v>3.0100334448160536E-2</c:v>
                </c:pt>
                <c:pt idx="4">
                  <c:v>3.678929765886288E-2</c:v>
                </c:pt>
                <c:pt idx="5">
                  <c:v>4.9331103678929768E-2</c:v>
                </c:pt>
                <c:pt idx="6">
                  <c:v>7.1906354515050175E-2</c:v>
                </c:pt>
                <c:pt idx="7">
                  <c:v>0.15301003344481606</c:v>
                </c:pt>
                <c:pt idx="8">
                  <c:v>0.16889632107023411</c:v>
                </c:pt>
                <c:pt idx="9">
                  <c:v>0.26170568561872909</c:v>
                </c:pt>
                <c:pt idx="10">
                  <c:v>0.29682274247491636</c:v>
                </c:pt>
                <c:pt idx="11">
                  <c:v>0.41053511705685614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03-4C5E-91DF-C3D8BFDCBDD1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Betim!$L$2:$L$14</c:f>
              <c:numCache>
                <c:formatCode>0.00</c:formatCode>
                <c:ptCount val="13"/>
                <c:pt idx="0">
                  <c:v>4.3731778425655978E-3</c:v>
                </c:pt>
                <c:pt idx="1">
                  <c:v>1.1661807580174927E-2</c:v>
                </c:pt>
                <c:pt idx="2">
                  <c:v>1.7492711370262391E-2</c:v>
                </c:pt>
                <c:pt idx="3">
                  <c:v>2.1865889212827991E-2</c:v>
                </c:pt>
                <c:pt idx="4">
                  <c:v>2.4781341107871724E-2</c:v>
                </c:pt>
                <c:pt idx="5">
                  <c:v>3.6443148688046649E-2</c:v>
                </c:pt>
                <c:pt idx="6">
                  <c:v>6.1224489795918366E-2</c:v>
                </c:pt>
                <c:pt idx="7">
                  <c:v>0.17201166180758018</c:v>
                </c:pt>
                <c:pt idx="8">
                  <c:v>0.19533527696793004</c:v>
                </c:pt>
                <c:pt idx="9">
                  <c:v>0.26822157434402333</c:v>
                </c:pt>
                <c:pt idx="10">
                  <c:v>0.3075801749271137</c:v>
                </c:pt>
                <c:pt idx="11">
                  <c:v>0.51020408163265307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B03-4C5E-91DF-C3D8BFDCBDD1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Betim!$M$2:$M$14</c:f>
              <c:numCache>
                <c:formatCode>0.00</c:formatCode>
                <c:ptCount val="13"/>
                <c:pt idx="0">
                  <c:v>1.0934393638170975E-2</c:v>
                </c:pt>
                <c:pt idx="1">
                  <c:v>1.1928429423459246E-2</c:v>
                </c:pt>
                <c:pt idx="2">
                  <c:v>2.0874751491053681E-2</c:v>
                </c:pt>
                <c:pt idx="3">
                  <c:v>2.5844930417495034E-2</c:v>
                </c:pt>
                <c:pt idx="4">
                  <c:v>2.8827037773359845E-2</c:v>
                </c:pt>
                <c:pt idx="5">
                  <c:v>3.0815109343936387E-2</c:v>
                </c:pt>
                <c:pt idx="6">
                  <c:v>5.1689860834990067E-2</c:v>
                </c:pt>
                <c:pt idx="7">
                  <c:v>0.10337972166998013</c:v>
                </c:pt>
                <c:pt idx="8">
                  <c:v>0.1451292246520875</c:v>
                </c:pt>
                <c:pt idx="9">
                  <c:v>0.21371769383697814</c:v>
                </c:pt>
                <c:pt idx="10">
                  <c:v>0.24453280318091453</c:v>
                </c:pt>
                <c:pt idx="11">
                  <c:v>0.29622266401590458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B03-4C5E-91DF-C3D8BFDCB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50447"/>
        <c:axId val="232480431"/>
      </c:scatterChart>
      <c:valAx>
        <c:axId val="2605504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480431"/>
        <c:crosses val="autoZero"/>
        <c:crossBetween val="midCat"/>
      </c:valAx>
      <c:valAx>
        <c:axId val="2324804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5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B-4BD4-BDBF-A6CA689FB17B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Betim!$N$2:$N$14</c:f>
              <c:numCache>
                <c:formatCode>0.00</c:formatCode>
                <c:ptCount val="13"/>
                <c:pt idx="0">
                  <c:v>8.4865629420084864E-3</c:v>
                </c:pt>
                <c:pt idx="1">
                  <c:v>1.2729844413012729E-2</c:v>
                </c:pt>
                <c:pt idx="2">
                  <c:v>2.1216407355021213E-2</c:v>
                </c:pt>
                <c:pt idx="3">
                  <c:v>3.3946251768033946E-2</c:v>
                </c:pt>
                <c:pt idx="4">
                  <c:v>4.054691183404055E-2</c:v>
                </c:pt>
                <c:pt idx="5">
                  <c:v>4.3375766148043379E-2</c:v>
                </c:pt>
                <c:pt idx="6">
                  <c:v>8.0150872230080161E-2</c:v>
                </c:pt>
                <c:pt idx="7">
                  <c:v>0.14804337576614807</c:v>
                </c:pt>
                <c:pt idx="8">
                  <c:v>0.17491749174917495</c:v>
                </c:pt>
                <c:pt idx="9">
                  <c:v>0.25648279113625649</c:v>
                </c:pt>
                <c:pt idx="10">
                  <c:v>0.28194247996228194</c:v>
                </c:pt>
                <c:pt idx="11">
                  <c:v>0.3752946723243753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B-4BD4-BDBF-A6CA689FB17B}"/>
            </c:ext>
          </c:extLst>
        </c:ser>
        <c:ser>
          <c:idx val="2"/>
          <c:order val="2"/>
          <c:tx>
            <c:v>2023-1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Betim!$O$2:$O$14</c:f>
              <c:numCache>
                <c:formatCode>0.00</c:formatCode>
                <c:ptCount val="13"/>
                <c:pt idx="0">
                  <c:v>8.5603112840466934E-3</c:v>
                </c:pt>
                <c:pt idx="1">
                  <c:v>2.0233463035019456E-2</c:v>
                </c:pt>
                <c:pt idx="2">
                  <c:v>3.1906614785992216E-2</c:v>
                </c:pt>
                <c:pt idx="3">
                  <c:v>4.2023346303501942E-2</c:v>
                </c:pt>
                <c:pt idx="4">
                  <c:v>5.1361867704280154E-2</c:v>
                </c:pt>
                <c:pt idx="5">
                  <c:v>5.7587548638132292E-2</c:v>
                </c:pt>
                <c:pt idx="6">
                  <c:v>8.0155642023346296E-2</c:v>
                </c:pt>
                <c:pt idx="7">
                  <c:v>0.14319066147859921</c:v>
                </c:pt>
                <c:pt idx="8">
                  <c:v>0.18132295719844357</c:v>
                </c:pt>
                <c:pt idx="9">
                  <c:v>0.2591439688715953</c:v>
                </c:pt>
                <c:pt idx="10">
                  <c:v>0.2723735408560311</c:v>
                </c:pt>
                <c:pt idx="11">
                  <c:v>0.40856031128404668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AB-4BD4-BDBF-A6CA689FB17B}"/>
            </c:ext>
          </c:extLst>
        </c:ser>
        <c:ser>
          <c:idx val="3"/>
          <c:order val="3"/>
          <c:tx>
            <c:v>2023-3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Betim!$P$2:$P$14</c:f>
              <c:numCache>
                <c:formatCode>0.00</c:formatCode>
                <c:ptCount val="13"/>
                <c:pt idx="0">
                  <c:v>2.2263450834879406E-2</c:v>
                </c:pt>
                <c:pt idx="1">
                  <c:v>4.8237476808905382E-2</c:v>
                </c:pt>
                <c:pt idx="2">
                  <c:v>5.5658627087198514E-2</c:v>
                </c:pt>
                <c:pt idx="3">
                  <c:v>7.792207792207792E-2</c:v>
                </c:pt>
                <c:pt idx="4">
                  <c:v>9.2764378478664186E-2</c:v>
                </c:pt>
                <c:pt idx="5">
                  <c:v>0.10018552875695733</c:v>
                </c:pt>
                <c:pt idx="6">
                  <c:v>0.14471243042671614</c:v>
                </c:pt>
                <c:pt idx="7">
                  <c:v>0.22448979591836735</c:v>
                </c:pt>
                <c:pt idx="8">
                  <c:v>0.29870129870129869</c:v>
                </c:pt>
                <c:pt idx="9">
                  <c:v>0.37476808905380332</c:v>
                </c:pt>
                <c:pt idx="10">
                  <c:v>0.40445269016697588</c:v>
                </c:pt>
                <c:pt idx="11">
                  <c:v>0.55473098330241188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AB-4BD4-BDBF-A6CA689FB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31583"/>
        <c:axId val="317957295"/>
      </c:scatterChart>
      <c:valAx>
        <c:axId val="1729315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57295"/>
        <c:crosses val="autoZero"/>
        <c:crossBetween val="midCat"/>
      </c:valAx>
      <c:valAx>
        <c:axId val="3179572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02-4569-8EA6-14A9BA95D4FA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Contagem!$K$2:$K$4</c:f>
              <c:numCache>
                <c:formatCode>0.00</c:formatCode>
                <c:ptCount val="3"/>
                <c:pt idx="0">
                  <c:v>1.0198604401502952E-2</c:v>
                </c:pt>
                <c:pt idx="1">
                  <c:v>0.30864197530864196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02-4569-8EA6-14A9BA95D4FA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Contagem!$L$2:$L$4</c:f>
              <c:numCache>
                <c:formatCode>0.00</c:formatCode>
                <c:ptCount val="3"/>
                <c:pt idx="0">
                  <c:v>1.2865497076023392E-2</c:v>
                </c:pt>
                <c:pt idx="1">
                  <c:v>0.37076023391812868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02-4569-8EA6-14A9BA95D4FA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Contagem!$M$2:$M$4</c:f>
              <c:numCache>
                <c:formatCode>0.00</c:formatCode>
                <c:ptCount val="3"/>
                <c:pt idx="0">
                  <c:v>1.7743979721166033E-2</c:v>
                </c:pt>
                <c:pt idx="1">
                  <c:v>0.27376425855513309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02-4569-8EA6-14A9BA95D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33311"/>
        <c:axId val="242035103"/>
      </c:scatterChart>
      <c:valAx>
        <c:axId val="2694333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35103"/>
        <c:crosses val="autoZero"/>
        <c:crossBetween val="midCat"/>
      </c:valAx>
      <c:valAx>
        <c:axId val="2420351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33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4-48C3-83C8-93A3AA1CC6D9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Contagem!$N$2:$N$4</c:f>
              <c:numCache>
                <c:formatCode>0.00</c:formatCode>
                <c:ptCount val="3"/>
                <c:pt idx="0">
                  <c:v>1.2432432432432432E-2</c:v>
                </c:pt>
                <c:pt idx="1">
                  <c:v>0.2583783783783784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44-48C3-83C8-93A3AA1CC6D9}"/>
            </c:ext>
          </c:extLst>
        </c:ser>
        <c:ser>
          <c:idx val="2"/>
          <c:order val="2"/>
          <c:tx>
            <c:v>2023-1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Contagem!$O$2:$O$4</c:f>
              <c:numCache>
                <c:formatCode>0.00</c:formatCode>
                <c:ptCount val="3"/>
                <c:pt idx="0">
                  <c:v>1.9313304721030045E-2</c:v>
                </c:pt>
                <c:pt idx="1">
                  <c:v>0.23068669527896996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44-48C3-83C8-93A3AA1CC6D9}"/>
            </c:ext>
          </c:extLst>
        </c:ser>
        <c:ser>
          <c:idx val="3"/>
          <c:order val="3"/>
          <c:tx>
            <c:v>2023-3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Contagem!$P$2:$P$4</c:f>
              <c:numCache>
                <c:formatCode>0.00</c:formatCode>
                <c:ptCount val="3"/>
                <c:pt idx="0">
                  <c:v>2.0718232044198894E-2</c:v>
                </c:pt>
                <c:pt idx="1">
                  <c:v>0.24861878453038674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44-48C3-83C8-93A3AA1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07151"/>
        <c:axId val="174063791"/>
      </c:scatterChart>
      <c:valAx>
        <c:axId val="1041071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3791"/>
        <c:crosses val="autoZero"/>
        <c:crossBetween val="midCat"/>
      </c:valAx>
      <c:valAx>
        <c:axId val="174063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7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2A-4EB1-98A1-8F01B6E6B5EC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Curvelo!$K$2:$K$12</c:f>
              <c:numCache>
                <c:formatCode>0.00</c:formatCode>
                <c:ptCount val="11"/>
                <c:pt idx="0">
                  <c:v>7.331378299120235E-3</c:v>
                </c:pt>
                <c:pt idx="1">
                  <c:v>2.3460410557184751E-2</c:v>
                </c:pt>
                <c:pt idx="2">
                  <c:v>4.9853372434017593E-2</c:v>
                </c:pt>
                <c:pt idx="3">
                  <c:v>6.0117302052785919E-2</c:v>
                </c:pt>
                <c:pt idx="4">
                  <c:v>7.3313782991202336E-2</c:v>
                </c:pt>
                <c:pt idx="5">
                  <c:v>9.9706744868035185E-2</c:v>
                </c:pt>
                <c:pt idx="6">
                  <c:v>0.15689149560117302</c:v>
                </c:pt>
                <c:pt idx="7">
                  <c:v>0.24926686217008798</c:v>
                </c:pt>
                <c:pt idx="8">
                  <c:v>0.35337243401759533</c:v>
                </c:pt>
                <c:pt idx="9">
                  <c:v>0.56598240469208216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2A-4EB1-98A1-8F01B6E6B5EC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Curvelo!$L$2:$L$12</c:f>
              <c:numCache>
                <c:formatCode>0.00</c:formatCode>
                <c:ptCount val="11"/>
                <c:pt idx="0">
                  <c:v>2.4475524475524476E-2</c:v>
                </c:pt>
                <c:pt idx="1">
                  <c:v>5.2447552447552448E-2</c:v>
                </c:pt>
                <c:pt idx="2">
                  <c:v>6.6433566433566432E-2</c:v>
                </c:pt>
                <c:pt idx="3">
                  <c:v>7.3426573426573424E-2</c:v>
                </c:pt>
                <c:pt idx="4">
                  <c:v>8.3916083916083919E-2</c:v>
                </c:pt>
                <c:pt idx="5">
                  <c:v>0.13636363636363635</c:v>
                </c:pt>
                <c:pt idx="6">
                  <c:v>0.16083916083916083</c:v>
                </c:pt>
                <c:pt idx="7">
                  <c:v>0.22027972027972026</c:v>
                </c:pt>
                <c:pt idx="8">
                  <c:v>0.33566433566433562</c:v>
                </c:pt>
                <c:pt idx="9">
                  <c:v>0.51398601398601396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2A-4EB1-98A1-8F01B6E6B5EC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Curvelo!$M$2:$M$12</c:f>
              <c:numCache>
                <c:formatCode>0.00</c:formatCode>
                <c:ptCount val="11"/>
                <c:pt idx="0">
                  <c:v>3.246753246753247E-3</c:v>
                </c:pt>
                <c:pt idx="1">
                  <c:v>2.5974025974025976E-2</c:v>
                </c:pt>
                <c:pt idx="2">
                  <c:v>3.2467532467532471E-2</c:v>
                </c:pt>
                <c:pt idx="3">
                  <c:v>5.8441558441558447E-2</c:v>
                </c:pt>
                <c:pt idx="4">
                  <c:v>8.7662337662337664E-2</c:v>
                </c:pt>
                <c:pt idx="5">
                  <c:v>0.11363636363636365</c:v>
                </c:pt>
                <c:pt idx="6">
                  <c:v>0.14285714285714288</c:v>
                </c:pt>
                <c:pt idx="7">
                  <c:v>0.27922077922077926</c:v>
                </c:pt>
                <c:pt idx="8">
                  <c:v>0.38311688311688319</c:v>
                </c:pt>
                <c:pt idx="9">
                  <c:v>0.61363636363636376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2A-4EB1-98A1-8F01B6E6B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20911"/>
        <c:axId val="242018879"/>
      </c:scatterChart>
      <c:valAx>
        <c:axId val="2694209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18879"/>
        <c:crosses val="autoZero"/>
        <c:crossBetween val="midCat"/>
      </c:valAx>
      <c:valAx>
        <c:axId val="2420188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20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44-48E4-98C2-7BB8B4485592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Curvelo!$N$2:$N$12</c:f>
              <c:numCache>
                <c:formatCode>0.00</c:formatCode>
                <c:ptCount val="11"/>
                <c:pt idx="0">
                  <c:v>1.5334063526834611E-2</c:v>
                </c:pt>
                <c:pt idx="1">
                  <c:v>3.8335158817086525E-2</c:v>
                </c:pt>
                <c:pt idx="2">
                  <c:v>5.257393209200438E-2</c:v>
                </c:pt>
                <c:pt idx="3">
                  <c:v>8.3242059145673605E-2</c:v>
                </c:pt>
                <c:pt idx="4">
                  <c:v>9.419496166484119E-2</c:v>
                </c:pt>
                <c:pt idx="5">
                  <c:v>0.14676889375684557</c:v>
                </c:pt>
                <c:pt idx="6">
                  <c:v>0.1796276013143483</c:v>
                </c:pt>
                <c:pt idx="7">
                  <c:v>0.2541073384446878</c:v>
                </c:pt>
                <c:pt idx="8">
                  <c:v>0.36473165388828033</c:v>
                </c:pt>
                <c:pt idx="9">
                  <c:v>0.49288061336254096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44-48E4-98C2-7BB8B4485592}"/>
            </c:ext>
          </c:extLst>
        </c:ser>
        <c:ser>
          <c:idx val="2"/>
          <c:order val="2"/>
          <c:tx>
            <c:v>2023-1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Curvelo!$O$2:$O$12</c:f>
              <c:numCache>
                <c:formatCode>0.00</c:formatCode>
                <c:ptCount val="11"/>
                <c:pt idx="0">
                  <c:v>9.5602294455066923E-3</c:v>
                </c:pt>
                <c:pt idx="1">
                  <c:v>2.6768642447418736E-2</c:v>
                </c:pt>
                <c:pt idx="2">
                  <c:v>4.780114722753346E-2</c:v>
                </c:pt>
                <c:pt idx="3">
                  <c:v>7.0745697896749518E-2</c:v>
                </c:pt>
                <c:pt idx="4">
                  <c:v>8.6042065009560229E-2</c:v>
                </c:pt>
                <c:pt idx="5">
                  <c:v>0.15105162523900573</c:v>
                </c:pt>
                <c:pt idx="6">
                  <c:v>0.21797323135755259</c:v>
                </c:pt>
                <c:pt idx="7">
                  <c:v>0.27533460803059273</c:v>
                </c:pt>
                <c:pt idx="8">
                  <c:v>0.39961759082217974</c:v>
                </c:pt>
                <c:pt idx="9">
                  <c:v>0.58891013384321222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44-48E4-98C2-7BB8B4485592}"/>
            </c:ext>
          </c:extLst>
        </c:ser>
        <c:ser>
          <c:idx val="3"/>
          <c:order val="3"/>
          <c:tx>
            <c:v>2023-3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Curvelo!$P$2:$P$12</c:f>
              <c:numCache>
                <c:formatCode>0.00</c:formatCode>
                <c:ptCount val="11"/>
                <c:pt idx="0">
                  <c:v>3.6101083032490974E-2</c:v>
                </c:pt>
                <c:pt idx="1">
                  <c:v>4.6931407942238268E-2</c:v>
                </c:pt>
                <c:pt idx="2">
                  <c:v>6.8592057761732855E-2</c:v>
                </c:pt>
                <c:pt idx="3">
                  <c:v>7.9422382671480149E-2</c:v>
                </c:pt>
                <c:pt idx="4">
                  <c:v>0.10830324909747294</c:v>
                </c:pt>
                <c:pt idx="5">
                  <c:v>0.15162454873646211</c:v>
                </c:pt>
                <c:pt idx="6">
                  <c:v>0.20938628158844769</c:v>
                </c:pt>
                <c:pt idx="7">
                  <c:v>0.29602888086642604</c:v>
                </c:pt>
                <c:pt idx="8">
                  <c:v>0.42238267148014441</c:v>
                </c:pt>
                <c:pt idx="9">
                  <c:v>0.54873646209386284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44-48E4-98C2-7BB8B4485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21135"/>
        <c:axId val="234140047"/>
      </c:scatterChart>
      <c:valAx>
        <c:axId val="10412113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140047"/>
        <c:crosses val="autoZero"/>
        <c:crossBetween val="midCat"/>
      </c:valAx>
      <c:valAx>
        <c:axId val="2341400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1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F4-45D7-825E-B40D81CC6E42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Guanhães!$K$2:$K$10</c:f>
              <c:numCache>
                <c:formatCode>0.00</c:formatCode>
                <c:ptCount val="9"/>
                <c:pt idx="0">
                  <c:v>1.858736059479554E-2</c:v>
                </c:pt>
                <c:pt idx="1">
                  <c:v>6.3197026022304828E-2</c:v>
                </c:pt>
                <c:pt idx="2">
                  <c:v>0.1003717472118959</c:v>
                </c:pt>
                <c:pt idx="3">
                  <c:v>0.1449814126394052</c:v>
                </c:pt>
                <c:pt idx="4">
                  <c:v>0.20817843866171004</c:v>
                </c:pt>
                <c:pt idx="5">
                  <c:v>0.35315985130111527</c:v>
                </c:pt>
                <c:pt idx="6">
                  <c:v>0.47583643122676583</c:v>
                </c:pt>
                <c:pt idx="7">
                  <c:v>0.66542750929368033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F4-45D7-825E-B40D81CC6E42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Guanhães!$L$2:$L$10</c:f>
              <c:numCache>
                <c:formatCode>0.00</c:formatCode>
                <c:ptCount val="9"/>
                <c:pt idx="0">
                  <c:v>2.1276595744680851E-2</c:v>
                </c:pt>
                <c:pt idx="1">
                  <c:v>4.2553191489361701E-2</c:v>
                </c:pt>
                <c:pt idx="2">
                  <c:v>4.9645390070921988E-2</c:v>
                </c:pt>
                <c:pt idx="3">
                  <c:v>7.8014184397163122E-2</c:v>
                </c:pt>
                <c:pt idx="4">
                  <c:v>0.10638297872340426</c:v>
                </c:pt>
                <c:pt idx="5">
                  <c:v>0.19858156028368795</c:v>
                </c:pt>
                <c:pt idx="6">
                  <c:v>0.34042553191489366</c:v>
                </c:pt>
                <c:pt idx="7">
                  <c:v>0.57446808510638303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F4-45D7-825E-B40D81CC6E42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Guanhães!$M$2:$M$10</c:f>
              <c:numCache>
                <c:formatCode>0.00</c:formatCode>
                <c:ptCount val="9"/>
                <c:pt idx="0">
                  <c:v>1.3422818791946308E-2</c:v>
                </c:pt>
                <c:pt idx="1">
                  <c:v>4.0268456375838924E-2</c:v>
                </c:pt>
                <c:pt idx="2">
                  <c:v>8.0536912751677847E-2</c:v>
                </c:pt>
                <c:pt idx="3">
                  <c:v>0.11409395973154363</c:v>
                </c:pt>
                <c:pt idx="4">
                  <c:v>0.11409395973154363</c:v>
                </c:pt>
                <c:pt idx="5">
                  <c:v>0.21476510067114093</c:v>
                </c:pt>
                <c:pt idx="6">
                  <c:v>0.33557046979865773</c:v>
                </c:pt>
                <c:pt idx="7">
                  <c:v>0.47651006711409394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F4-45D7-825E-B40D81CC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685711"/>
        <c:axId val="173996399"/>
      </c:scatterChart>
      <c:valAx>
        <c:axId val="3196857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6399"/>
        <c:crosses val="autoZero"/>
        <c:crossBetween val="midCat"/>
      </c:valAx>
      <c:valAx>
        <c:axId val="1739963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85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DF-48E2-B83B-584ED7F04ACD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Guanhães!$N$2:$N$10</c:f>
              <c:numCache>
                <c:formatCode>0.00</c:formatCode>
                <c:ptCount val="9"/>
                <c:pt idx="0">
                  <c:v>4.3243243243243246E-2</c:v>
                </c:pt>
                <c:pt idx="1">
                  <c:v>9.1891891891891897E-2</c:v>
                </c:pt>
                <c:pt idx="2">
                  <c:v>0.14864864864864866</c:v>
                </c:pt>
                <c:pt idx="3">
                  <c:v>0.17027027027027028</c:v>
                </c:pt>
                <c:pt idx="4">
                  <c:v>0.25405405405405407</c:v>
                </c:pt>
                <c:pt idx="5">
                  <c:v>0.31891891891891894</c:v>
                </c:pt>
                <c:pt idx="6">
                  <c:v>0.47297297297297303</c:v>
                </c:pt>
                <c:pt idx="7">
                  <c:v>0.63243243243243252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DF-48E2-B83B-584ED7F04ACD}"/>
            </c:ext>
          </c:extLst>
        </c:ser>
        <c:ser>
          <c:idx val="2"/>
          <c:order val="2"/>
          <c:tx>
            <c:v>2023-1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Guanhães!$O$2:$O$10</c:f>
              <c:numCache>
                <c:formatCode>0.00</c:formatCode>
                <c:ptCount val="9"/>
                <c:pt idx="0">
                  <c:v>3.3210332103321034E-2</c:v>
                </c:pt>
                <c:pt idx="1">
                  <c:v>5.5350553505535055E-2</c:v>
                </c:pt>
                <c:pt idx="2">
                  <c:v>9.9630996309963096E-2</c:v>
                </c:pt>
                <c:pt idx="3">
                  <c:v>0.14760147601476015</c:v>
                </c:pt>
                <c:pt idx="4">
                  <c:v>0.1918819188191882</c:v>
                </c:pt>
                <c:pt idx="5">
                  <c:v>0.30627306273062732</c:v>
                </c:pt>
                <c:pt idx="6">
                  <c:v>0.42804428044280446</c:v>
                </c:pt>
                <c:pt idx="7">
                  <c:v>0.57933579335793361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DF-48E2-B83B-584ED7F04ACD}"/>
            </c:ext>
          </c:extLst>
        </c:ser>
        <c:ser>
          <c:idx val="3"/>
          <c:order val="3"/>
          <c:tx>
            <c:v>2023-3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Guanhães!$P$2:$P$10</c:f>
              <c:numCache>
                <c:formatCode>0.00</c:formatCode>
                <c:ptCount val="9"/>
                <c:pt idx="0">
                  <c:v>3.5714285714285712E-2</c:v>
                </c:pt>
                <c:pt idx="1">
                  <c:v>4.2857142857142858E-2</c:v>
                </c:pt>
                <c:pt idx="2">
                  <c:v>0.1</c:v>
                </c:pt>
                <c:pt idx="3">
                  <c:v>0.14285714285714285</c:v>
                </c:pt>
                <c:pt idx="4">
                  <c:v>0.15714285714285714</c:v>
                </c:pt>
                <c:pt idx="5">
                  <c:v>0.35714285714285715</c:v>
                </c:pt>
                <c:pt idx="6">
                  <c:v>0.51428571428571423</c:v>
                </c:pt>
                <c:pt idx="7">
                  <c:v>0.69285714285714284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DF-48E2-B83B-584ED7F04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7743"/>
        <c:axId val="318015951"/>
      </c:scatterChart>
      <c:valAx>
        <c:axId val="1629177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15951"/>
        <c:crosses val="autoZero"/>
        <c:crossBetween val="midCat"/>
      </c:valAx>
      <c:valAx>
        <c:axId val="3180159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7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Itabira!$K$2:$K$14</c:f>
              <c:numCache>
                <c:formatCode>0.00</c:formatCode>
                <c:ptCount val="13"/>
                <c:pt idx="0">
                  <c:v>9.7879282218597055E-3</c:v>
                </c:pt>
                <c:pt idx="1">
                  <c:v>1.794453507340946E-2</c:v>
                </c:pt>
                <c:pt idx="2">
                  <c:v>2.9363784665579117E-2</c:v>
                </c:pt>
                <c:pt idx="3">
                  <c:v>3.9151712887438822E-2</c:v>
                </c:pt>
                <c:pt idx="4">
                  <c:v>4.730831973898858E-2</c:v>
                </c:pt>
                <c:pt idx="5">
                  <c:v>5.2202283849918429E-2</c:v>
                </c:pt>
                <c:pt idx="6">
                  <c:v>7.3409461663947795E-2</c:v>
                </c:pt>
                <c:pt idx="7">
                  <c:v>0.10766721044045677</c:v>
                </c:pt>
                <c:pt idx="8">
                  <c:v>0.15823817292006526</c:v>
                </c:pt>
                <c:pt idx="9">
                  <c:v>0.18433931484502447</c:v>
                </c:pt>
                <c:pt idx="10">
                  <c:v>0.35889070146818924</c:v>
                </c:pt>
                <c:pt idx="11">
                  <c:v>0.40293637846655794</c:v>
                </c:pt>
                <c:pt idx="12">
                  <c:v>1</c:v>
                </c:pt>
              </c:numCache>
            </c:numRef>
          </c:xVal>
          <c:yVal>
            <c:numRef>
              <c:f>Itabira!$K$2:$K$14</c:f>
              <c:numCache>
                <c:formatCode>0.00</c:formatCode>
                <c:ptCount val="13"/>
                <c:pt idx="0">
                  <c:v>9.7879282218597055E-3</c:v>
                </c:pt>
                <c:pt idx="1">
                  <c:v>1.794453507340946E-2</c:v>
                </c:pt>
                <c:pt idx="2">
                  <c:v>2.9363784665579117E-2</c:v>
                </c:pt>
                <c:pt idx="3">
                  <c:v>3.9151712887438822E-2</c:v>
                </c:pt>
                <c:pt idx="4">
                  <c:v>4.730831973898858E-2</c:v>
                </c:pt>
                <c:pt idx="5">
                  <c:v>5.2202283849918429E-2</c:v>
                </c:pt>
                <c:pt idx="6">
                  <c:v>7.3409461663947795E-2</c:v>
                </c:pt>
                <c:pt idx="7">
                  <c:v>0.10766721044045677</c:v>
                </c:pt>
                <c:pt idx="8">
                  <c:v>0.15823817292006526</c:v>
                </c:pt>
                <c:pt idx="9">
                  <c:v>0.18433931484502447</c:v>
                </c:pt>
                <c:pt idx="10">
                  <c:v>0.35889070146818924</c:v>
                </c:pt>
                <c:pt idx="11">
                  <c:v>0.40293637846655794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F7-4B0D-B0C8-C804B79EE38F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Itabira!$K$2:$K$14</c:f>
              <c:numCache>
                <c:formatCode>0.00</c:formatCode>
                <c:ptCount val="13"/>
                <c:pt idx="0">
                  <c:v>9.7879282218597055E-3</c:v>
                </c:pt>
                <c:pt idx="1">
                  <c:v>1.794453507340946E-2</c:v>
                </c:pt>
                <c:pt idx="2">
                  <c:v>2.9363784665579117E-2</c:v>
                </c:pt>
                <c:pt idx="3">
                  <c:v>3.9151712887438822E-2</c:v>
                </c:pt>
                <c:pt idx="4">
                  <c:v>4.730831973898858E-2</c:v>
                </c:pt>
                <c:pt idx="5">
                  <c:v>5.2202283849918429E-2</c:v>
                </c:pt>
                <c:pt idx="6">
                  <c:v>7.3409461663947795E-2</c:v>
                </c:pt>
                <c:pt idx="7">
                  <c:v>0.10766721044045677</c:v>
                </c:pt>
                <c:pt idx="8">
                  <c:v>0.15823817292006526</c:v>
                </c:pt>
                <c:pt idx="9">
                  <c:v>0.18433931484502447</c:v>
                </c:pt>
                <c:pt idx="10">
                  <c:v>0.35889070146818924</c:v>
                </c:pt>
                <c:pt idx="11">
                  <c:v>0.40293637846655794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F7-4B0D-B0C8-C804B79EE38F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Itabira!$L$2:$L$14</c:f>
              <c:numCache>
                <c:formatCode>0.00</c:formatCode>
                <c:ptCount val="13"/>
                <c:pt idx="0">
                  <c:v>3.5971223021582736E-3</c:v>
                </c:pt>
                <c:pt idx="1">
                  <c:v>7.1942446043165471E-3</c:v>
                </c:pt>
                <c:pt idx="2">
                  <c:v>7.1942446043165471E-3</c:v>
                </c:pt>
                <c:pt idx="3">
                  <c:v>1.4388489208633094E-2</c:v>
                </c:pt>
                <c:pt idx="4">
                  <c:v>2.1582733812949641E-2</c:v>
                </c:pt>
                <c:pt idx="5">
                  <c:v>2.8776978417266189E-2</c:v>
                </c:pt>
                <c:pt idx="6">
                  <c:v>2.8776978417266189E-2</c:v>
                </c:pt>
                <c:pt idx="7">
                  <c:v>5.7553956834532377E-2</c:v>
                </c:pt>
                <c:pt idx="8">
                  <c:v>6.83453237410072E-2</c:v>
                </c:pt>
                <c:pt idx="9">
                  <c:v>8.6330935251798566E-2</c:v>
                </c:pt>
                <c:pt idx="10">
                  <c:v>0.17625899280575541</c:v>
                </c:pt>
                <c:pt idx="11">
                  <c:v>0.30935251798561153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F7-4B0D-B0C8-C804B79EE38F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Itabira!$M$2:$M$14</c:f>
              <c:numCache>
                <c:formatCode>0.00</c:formatCode>
                <c:ptCount val="13"/>
                <c:pt idx="0">
                  <c:v>6.6225165562913907E-3</c:v>
                </c:pt>
                <c:pt idx="1">
                  <c:v>1.9867549668874173E-2</c:v>
                </c:pt>
                <c:pt idx="2">
                  <c:v>2.6490066225165563E-2</c:v>
                </c:pt>
                <c:pt idx="3">
                  <c:v>3.3112582781456956E-2</c:v>
                </c:pt>
                <c:pt idx="4">
                  <c:v>4.6357615894039736E-2</c:v>
                </c:pt>
                <c:pt idx="5">
                  <c:v>4.6357615894039736E-2</c:v>
                </c:pt>
                <c:pt idx="6">
                  <c:v>6.6225165562913912E-2</c:v>
                </c:pt>
                <c:pt idx="7">
                  <c:v>9.2715231788079472E-2</c:v>
                </c:pt>
                <c:pt idx="8">
                  <c:v>0.11258278145695365</c:v>
                </c:pt>
                <c:pt idx="9">
                  <c:v>0.16556291390728478</c:v>
                </c:pt>
                <c:pt idx="10">
                  <c:v>0.27152317880794702</c:v>
                </c:pt>
                <c:pt idx="11">
                  <c:v>0.4370860927152318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FF7-4B0D-B0C8-C804B79EE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948879"/>
        <c:axId val="1309946959"/>
      </c:scatterChart>
      <c:valAx>
        <c:axId val="13099488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946959"/>
        <c:crosses val="autoZero"/>
        <c:crossBetween val="midCat"/>
      </c:valAx>
      <c:valAx>
        <c:axId val="13099469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94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1-4D30-89F0-AEE5BC207350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Itabira!$N$2:$N$14</c:f>
              <c:numCache>
                <c:formatCode>0.00</c:formatCode>
                <c:ptCount val="13"/>
                <c:pt idx="0">
                  <c:v>2.6097271648873072E-2</c:v>
                </c:pt>
                <c:pt idx="1">
                  <c:v>4.8635824436536176E-2</c:v>
                </c:pt>
                <c:pt idx="2">
                  <c:v>5.931198102016607E-2</c:v>
                </c:pt>
                <c:pt idx="3">
                  <c:v>6.5243179122182679E-2</c:v>
                </c:pt>
                <c:pt idx="4">
                  <c:v>7.9478054567022532E-2</c:v>
                </c:pt>
                <c:pt idx="5">
                  <c:v>8.1850533807829182E-2</c:v>
                </c:pt>
                <c:pt idx="6">
                  <c:v>0.10438908659549229</c:v>
                </c:pt>
                <c:pt idx="7">
                  <c:v>0.14116251482799524</c:v>
                </c:pt>
                <c:pt idx="8">
                  <c:v>0.16370106761565836</c:v>
                </c:pt>
                <c:pt idx="9">
                  <c:v>0.20996441281138789</c:v>
                </c:pt>
                <c:pt idx="10">
                  <c:v>0.38196915776986951</c:v>
                </c:pt>
                <c:pt idx="11">
                  <c:v>0.44128113879003561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1-4D30-89F0-AEE5BC207350}"/>
            </c:ext>
          </c:extLst>
        </c:ser>
        <c:ser>
          <c:idx val="2"/>
          <c:order val="2"/>
          <c:tx>
            <c:v>2023_1_2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Itabira!$O$2:$O$14</c:f>
              <c:numCache>
                <c:formatCode>0.00</c:formatCode>
                <c:ptCount val="13"/>
                <c:pt idx="0">
                  <c:v>2.1413276231263382E-2</c:v>
                </c:pt>
                <c:pt idx="1">
                  <c:v>3.4261241970021408E-2</c:v>
                </c:pt>
                <c:pt idx="2">
                  <c:v>5.9957173447537468E-2</c:v>
                </c:pt>
                <c:pt idx="3">
                  <c:v>7.7087794432548179E-2</c:v>
                </c:pt>
                <c:pt idx="4">
                  <c:v>9.6359743040685231E-2</c:v>
                </c:pt>
                <c:pt idx="5">
                  <c:v>0.10278372591006424</c:v>
                </c:pt>
                <c:pt idx="6">
                  <c:v>0.12419700214132762</c:v>
                </c:pt>
                <c:pt idx="7">
                  <c:v>0.17773019271948609</c:v>
                </c:pt>
                <c:pt idx="8">
                  <c:v>0.21841541755888652</c:v>
                </c:pt>
                <c:pt idx="9">
                  <c:v>0.26552462526766596</c:v>
                </c:pt>
                <c:pt idx="10">
                  <c:v>0.38758029978586728</c:v>
                </c:pt>
                <c:pt idx="11">
                  <c:v>0.46252676659528913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1-4D30-89F0-AEE5BC207350}"/>
            </c:ext>
          </c:extLst>
        </c:ser>
        <c:ser>
          <c:idx val="3"/>
          <c:order val="3"/>
          <c:tx>
            <c:v>2023_3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Itabira!$P$2:$P$14</c:f>
              <c:numCache>
                <c:formatCode>0.00</c:formatCode>
                <c:ptCount val="13"/>
                <c:pt idx="0">
                  <c:v>4.4776119402985072E-2</c:v>
                </c:pt>
                <c:pt idx="1">
                  <c:v>5.4726368159203981E-2</c:v>
                </c:pt>
                <c:pt idx="2">
                  <c:v>7.4626865671641784E-2</c:v>
                </c:pt>
                <c:pt idx="3">
                  <c:v>9.4527363184079588E-2</c:v>
                </c:pt>
                <c:pt idx="4">
                  <c:v>0.12437810945273631</c:v>
                </c:pt>
                <c:pt idx="5">
                  <c:v>0.12437810945273631</c:v>
                </c:pt>
                <c:pt idx="6">
                  <c:v>0.14925373134328357</c:v>
                </c:pt>
                <c:pt idx="7">
                  <c:v>0.19900497512437809</c:v>
                </c:pt>
                <c:pt idx="8">
                  <c:v>0.24378109452736316</c:v>
                </c:pt>
                <c:pt idx="9">
                  <c:v>0.27363184079601988</c:v>
                </c:pt>
                <c:pt idx="10">
                  <c:v>0.4776119402985074</c:v>
                </c:pt>
                <c:pt idx="11">
                  <c:v>0.53233830845771135</c:v>
                </c:pt>
                <c:pt idx="1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D1-4D30-89F0-AEE5BC207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212271"/>
        <c:axId val="938210831"/>
      </c:scatterChart>
      <c:valAx>
        <c:axId val="93821227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210831"/>
        <c:crosses val="autoZero"/>
        <c:crossBetween val="midCat"/>
      </c:valAx>
      <c:valAx>
        <c:axId val="9382108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21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40-44FE-BD7C-D70FD7BDBE48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Monlevade'!$K$2:$K$5</c:f>
              <c:numCache>
                <c:formatCode>0.00</c:formatCode>
                <c:ptCount val="4"/>
                <c:pt idx="0">
                  <c:v>7.476635514018691E-2</c:v>
                </c:pt>
                <c:pt idx="1">
                  <c:v>0.18068535825545171</c:v>
                </c:pt>
                <c:pt idx="2">
                  <c:v>0.31775700934579437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40-44FE-BD7C-D70FD7BDBE48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Monlevade'!$K$2:$K$5</c:f>
              <c:numCache>
                <c:formatCode>0.00</c:formatCode>
                <c:ptCount val="4"/>
                <c:pt idx="0">
                  <c:v>7.476635514018691E-2</c:v>
                </c:pt>
                <c:pt idx="1">
                  <c:v>0.18068535825545171</c:v>
                </c:pt>
                <c:pt idx="2">
                  <c:v>0.31775700934579437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40-44FE-BD7C-D70FD7BDBE48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Monlevade'!$M$2:$M$5</c:f>
              <c:numCache>
                <c:formatCode>0.00</c:formatCode>
                <c:ptCount val="4"/>
                <c:pt idx="0">
                  <c:v>0.10919540229885058</c:v>
                </c:pt>
                <c:pt idx="1">
                  <c:v>0.21264367816091956</c:v>
                </c:pt>
                <c:pt idx="2">
                  <c:v>0.3045977011494253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40-44FE-BD7C-D70FD7BDB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187311"/>
        <c:axId val="938198351"/>
      </c:scatterChart>
      <c:valAx>
        <c:axId val="9381873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198351"/>
        <c:crosses val="autoZero"/>
        <c:crossBetween val="midCat"/>
      </c:valAx>
      <c:valAx>
        <c:axId val="9381983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18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9-40C0-9B3F-A37F13670E76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Monlevade'!$N$2:$N$5</c:f>
              <c:numCache>
                <c:formatCode>0.00</c:formatCode>
                <c:ptCount val="4"/>
                <c:pt idx="0">
                  <c:v>0.10377358490566038</c:v>
                </c:pt>
                <c:pt idx="1">
                  <c:v>0.16352201257861637</c:v>
                </c:pt>
                <c:pt idx="2">
                  <c:v>0.34905660377358494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9-40C0-9B3F-A37F13670E76}"/>
            </c:ext>
          </c:extLst>
        </c:ser>
        <c:ser>
          <c:idx val="2"/>
          <c:order val="2"/>
          <c:tx>
            <c:v>2023_1_2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Monlevade'!$O$2:$O$5</c:f>
              <c:numCache>
                <c:formatCode>0.00</c:formatCode>
                <c:ptCount val="4"/>
                <c:pt idx="0">
                  <c:v>5.4794520547945202E-2</c:v>
                </c:pt>
                <c:pt idx="1">
                  <c:v>0.11415525114155251</c:v>
                </c:pt>
                <c:pt idx="2">
                  <c:v>0.29223744292237441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E9-40C0-9B3F-A37F13670E76}"/>
            </c:ext>
          </c:extLst>
        </c:ser>
        <c:ser>
          <c:idx val="3"/>
          <c:order val="3"/>
          <c:tx>
            <c:v>2023_3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Monlevade'!$P$2:$P$5</c:f>
              <c:numCache>
                <c:formatCode>0.00</c:formatCode>
                <c:ptCount val="4"/>
                <c:pt idx="0">
                  <c:v>7.0707070707070704E-2</c:v>
                </c:pt>
                <c:pt idx="1">
                  <c:v>0.15151515151515152</c:v>
                </c:pt>
                <c:pt idx="2">
                  <c:v>0.3232323232323232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E9-40C0-9B3F-A37F13670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198831"/>
        <c:axId val="938202671"/>
      </c:scatterChart>
      <c:valAx>
        <c:axId val="9381988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202671"/>
        <c:crosses val="autoZero"/>
        <c:crossBetween val="midCat"/>
      </c:valAx>
      <c:valAx>
        <c:axId val="938202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19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56-4A78-B5FE-D9B52EFFBB0D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Preto'!$K$2:$K$4</c:f>
              <c:numCache>
                <c:formatCode>0.00</c:formatCode>
                <c:ptCount val="3"/>
                <c:pt idx="0">
                  <c:v>0.32625994694960214</c:v>
                </c:pt>
                <c:pt idx="1">
                  <c:v>0.48806366047745364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56-4A78-B5FE-D9B52EFFBB0D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Preto'!$L$2:$L$4</c:f>
              <c:numCache>
                <c:formatCode>0.00</c:formatCode>
                <c:ptCount val="3"/>
                <c:pt idx="0">
                  <c:v>0.37378640776699029</c:v>
                </c:pt>
                <c:pt idx="1">
                  <c:v>0.470873786407767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56-4A78-B5FE-D9B52EFFBB0D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Preto'!$M$2:$M$4</c:f>
              <c:numCache>
                <c:formatCode>0.00</c:formatCode>
                <c:ptCount val="3"/>
                <c:pt idx="0">
                  <c:v>9.0909090909090912E-2</c:v>
                </c:pt>
                <c:pt idx="1">
                  <c:v>0.15384615384615385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56-4A78-B5FE-D9B52EFFB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627199"/>
        <c:axId val="963626719"/>
      </c:scatterChart>
      <c:valAx>
        <c:axId val="963627199"/>
        <c:scaling>
          <c:orientation val="minMax"/>
          <c:max val="1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626719"/>
        <c:crosses val="autoZero"/>
        <c:crossBetween val="midCat"/>
      </c:valAx>
      <c:valAx>
        <c:axId val="963626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62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6-4482-A430-7C288015C446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Preto'!$N$2:$N$4</c:f>
              <c:numCache>
                <c:formatCode>0.00</c:formatCode>
                <c:ptCount val="3"/>
                <c:pt idx="0">
                  <c:v>0.20362903225806453</c:v>
                </c:pt>
                <c:pt idx="1">
                  <c:v>0.51209677419354838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6-4482-A430-7C288015C446}"/>
            </c:ext>
          </c:extLst>
        </c:ser>
        <c:ser>
          <c:idx val="2"/>
          <c:order val="2"/>
          <c:tx>
            <c:v>2023_1_2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Preto'!$O$2:$O$4</c:f>
              <c:numCache>
                <c:formatCode>0.00</c:formatCode>
                <c:ptCount val="3"/>
                <c:pt idx="0">
                  <c:v>0.35483870967741937</c:v>
                </c:pt>
                <c:pt idx="1">
                  <c:v>0.59392789373814048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06-4482-A430-7C288015C446}"/>
            </c:ext>
          </c:extLst>
        </c:ser>
        <c:ser>
          <c:idx val="3"/>
          <c:order val="3"/>
          <c:tx>
            <c:v>2023_3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Preto'!$P$2:$P$4</c:f>
              <c:numCache>
                <c:formatCode>0.00</c:formatCode>
                <c:ptCount val="3"/>
                <c:pt idx="0">
                  <c:v>0.29319371727748689</c:v>
                </c:pt>
                <c:pt idx="1">
                  <c:v>0.63350785340314131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6-4482-A430-7C288015C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209871"/>
        <c:axId val="938210351"/>
      </c:scatterChart>
      <c:valAx>
        <c:axId val="938209871"/>
        <c:scaling>
          <c:orientation val="minMax"/>
          <c:max val="1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210351"/>
        <c:crosses val="autoZero"/>
        <c:crossBetween val="midCat"/>
      </c:valAx>
      <c:valAx>
        <c:axId val="9382103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20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89-4124-B4E4-9B207F38A64B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Lagoas'!$K$2:$K$25</c:f>
              <c:numCache>
                <c:formatCode>0.00</c:formatCode>
                <c:ptCount val="24"/>
                <c:pt idx="0">
                  <c:v>9.3545369504209543E-4</c:v>
                </c:pt>
                <c:pt idx="1">
                  <c:v>1.1225444340505146E-2</c:v>
                </c:pt>
                <c:pt idx="2">
                  <c:v>1.8709073900841908E-2</c:v>
                </c:pt>
                <c:pt idx="3">
                  <c:v>2.5257249766136577E-2</c:v>
                </c:pt>
                <c:pt idx="4">
                  <c:v>2.9934518241347054E-2</c:v>
                </c:pt>
                <c:pt idx="5">
                  <c:v>3.3676333021515438E-2</c:v>
                </c:pt>
                <c:pt idx="6">
                  <c:v>5.3320860617399442E-2</c:v>
                </c:pt>
                <c:pt idx="7">
                  <c:v>5.612722170252573E-2</c:v>
                </c:pt>
                <c:pt idx="8">
                  <c:v>6.2675397567820396E-2</c:v>
                </c:pt>
                <c:pt idx="9">
                  <c:v>7.5771749298409727E-2</c:v>
                </c:pt>
                <c:pt idx="10">
                  <c:v>9.3545369504209538E-2</c:v>
                </c:pt>
                <c:pt idx="11">
                  <c:v>0.11318989710009354</c:v>
                </c:pt>
                <c:pt idx="12">
                  <c:v>0.12535079513564079</c:v>
                </c:pt>
                <c:pt idx="13">
                  <c:v>0.14780168381665107</c:v>
                </c:pt>
                <c:pt idx="14">
                  <c:v>0.16089803554724041</c:v>
                </c:pt>
                <c:pt idx="15">
                  <c:v>0.17025257249766138</c:v>
                </c:pt>
                <c:pt idx="16">
                  <c:v>0.19083255378858749</c:v>
                </c:pt>
                <c:pt idx="17">
                  <c:v>0.21141253507951357</c:v>
                </c:pt>
                <c:pt idx="18">
                  <c:v>0.24228250701590273</c:v>
                </c:pt>
                <c:pt idx="19">
                  <c:v>0.2637979420018709</c:v>
                </c:pt>
                <c:pt idx="20">
                  <c:v>0.30495790458372307</c:v>
                </c:pt>
                <c:pt idx="21">
                  <c:v>0.33395696913002804</c:v>
                </c:pt>
                <c:pt idx="22" formatCode="0.000">
                  <c:v>0.3966323666978484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89-4124-B4E4-9B207F38A64B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Lagoas'!$L$2:$L$25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1.557632398753894E-3</c:v>
                </c:pt>
                <c:pt idx="3">
                  <c:v>6.2305295950155761E-3</c:v>
                </c:pt>
                <c:pt idx="4">
                  <c:v>2.4922118380062305E-2</c:v>
                </c:pt>
                <c:pt idx="5">
                  <c:v>2.4922118380062305E-2</c:v>
                </c:pt>
                <c:pt idx="6">
                  <c:v>3.2710280373831772E-2</c:v>
                </c:pt>
                <c:pt idx="7">
                  <c:v>3.5825545171339561E-2</c:v>
                </c:pt>
                <c:pt idx="8">
                  <c:v>4.2056074766355138E-2</c:v>
                </c:pt>
                <c:pt idx="9">
                  <c:v>4.5171339563862926E-2</c:v>
                </c:pt>
                <c:pt idx="10">
                  <c:v>5.763239875389408E-2</c:v>
                </c:pt>
                <c:pt idx="11">
                  <c:v>6.5420560747663545E-2</c:v>
                </c:pt>
                <c:pt idx="12">
                  <c:v>7.9439252336448593E-2</c:v>
                </c:pt>
                <c:pt idx="13">
                  <c:v>9.1900311526479747E-2</c:v>
                </c:pt>
                <c:pt idx="14">
                  <c:v>9.9688473520249218E-2</c:v>
                </c:pt>
                <c:pt idx="15">
                  <c:v>0.1059190031152648</c:v>
                </c:pt>
                <c:pt idx="16">
                  <c:v>0.11682242990654206</c:v>
                </c:pt>
                <c:pt idx="17">
                  <c:v>0.13239875389408098</c:v>
                </c:pt>
                <c:pt idx="18">
                  <c:v>0.15732087227414329</c:v>
                </c:pt>
                <c:pt idx="19">
                  <c:v>0.16510903426791276</c:v>
                </c:pt>
                <c:pt idx="20">
                  <c:v>0.22118380062305296</c:v>
                </c:pt>
                <c:pt idx="21">
                  <c:v>0.23831775700934579</c:v>
                </c:pt>
                <c:pt idx="22" formatCode="0.000">
                  <c:v>0.27725856697819312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89-4124-B4E4-9B207F38A64B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Lagoas'!$M$2:$M$25</c:f>
              <c:numCache>
                <c:formatCode>0.00</c:formatCode>
                <c:ptCount val="24"/>
                <c:pt idx="0">
                  <c:v>0</c:v>
                </c:pt>
                <c:pt idx="1">
                  <c:v>3.5046728971962616E-3</c:v>
                </c:pt>
                <c:pt idx="2">
                  <c:v>1.4018691588785047E-2</c:v>
                </c:pt>
                <c:pt idx="3">
                  <c:v>1.8691588785046728E-2</c:v>
                </c:pt>
                <c:pt idx="4">
                  <c:v>3.0373831775700931E-2</c:v>
                </c:pt>
                <c:pt idx="5">
                  <c:v>3.0373831775700931E-2</c:v>
                </c:pt>
                <c:pt idx="6">
                  <c:v>3.6214953271028034E-2</c:v>
                </c:pt>
                <c:pt idx="7">
                  <c:v>3.6214953271028034E-2</c:v>
                </c:pt>
                <c:pt idx="8">
                  <c:v>3.8551401869158876E-2</c:v>
                </c:pt>
                <c:pt idx="9">
                  <c:v>5.3738317757009345E-2</c:v>
                </c:pt>
                <c:pt idx="10">
                  <c:v>6.4252336448598124E-2</c:v>
                </c:pt>
                <c:pt idx="11">
                  <c:v>8.6448598130841117E-2</c:v>
                </c:pt>
                <c:pt idx="12">
                  <c:v>0.10397196261682243</c:v>
                </c:pt>
                <c:pt idx="13">
                  <c:v>0.125</c:v>
                </c:pt>
                <c:pt idx="14">
                  <c:v>0.13668224299065421</c:v>
                </c:pt>
                <c:pt idx="15">
                  <c:v>0.16004672897196262</c:v>
                </c:pt>
                <c:pt idx="16">
                  <c:v>0.17757009345794392</c:v>
                </c:pt>
                <c:pt idx="17">
                  <c:v>0.1822429906542056</c:v>
                </c:pt>
                <c:pt idx="18">
                  <c:v>0.21378504672897194</c:v>
                </c:pt>
                <c:pt idx="19">
                  <c:v>0.2289719626168224</c:v>
                </c:pt>
                <c:pt idx="20">
                  <c:v>0.32710280373831774</c:v>
                </c:pt>
                <c:pt idx="21">
                  <c:v>0.34813084112149528</c:v>
                </c:pt>
                <c:pt idx="22" formatCode="0.000">
                  <c:v>0.37616822429906538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89-4124-B4E4-9B207F38A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97535"/>
        <c:axId val="1314818655"/>
      </c:scatterChart>
      <c:valAx>
        <c:axId val="131479753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4818655"/>
        <c:crosses val="autoZero"/>
        <c:crossBetween val="midCat"/>
      </c:valAx>
      <c:valAx>
        <c:axId val="1314818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479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94-47BC-BD3D-F1BCB68B3F63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Lagoas'!$N$2:$N$25</c:f>
              <c:numCache>
                <c:formatCode>0.00</c:formatCode>
                <c:ptCount val="24"/>
                <c:pt idx="0">
                  <c:v>0</c:v>
                </c:pt>
                <c:pt idx="1">
                  <c:v>1.1764705882352941E-2</c:v>
                </c:pt>
                <c:pt idx="2">
                  <c:v>1.2941176470588235E-2</c:v>
                </c:pt>
                <c:pt idx="3">
                  <c:v>1.8823529411764704E-2</c:v>
                </c:pt>
                <c:pt idx="4">
                  <c:v>2.2941176470588236E-2</c:v>
                </c:pt>
                <c:pt idx="5">
                  <c:v>3.1764705882352945E-2</c:v>
                </c:pt>
                <c:pt idx="6">
                  <c:v>4.0000000000000008E-2</c:v>
                </c:pt>
                <c:pt idx="7">
                  <c:v>5.1764705882352949E-2</c:v>
                </c:pt>
                <c:pt idx="8">
                  <c:v>5.6470588235294127E-2</c:v>
                </c:pt>
                <c:pt idx="9">
                  <c:v>6.7058823529411768E-2</c:v>
                </c:pt>
                <c:pt idx="10">
                  <c:v>8.352941176470588E-2</c:v>
                </c:pt>
                <c:pt idx="11">
                  <c:v>0.10529411764705882</c:v>
                </c:pt>
                <c:pt idx="12">
                  <c:v>0.1188235294117647</c:v>
                </c:pt>
                <c:pt idx="13">
                  <c:v>0.14647058823529413</c:v>
                </c:pt>
                <c:pt idx="14">
                  <c:v>0.16411764705882353</c:v>
                </c:pt>
                <c:pt idx="15">
                  <c:v>0.17941176470588235</c:v>
                </c:pt>
                <c:pt idx="16">
                  <c:v>0.19588235294117648</c:v>
                </c:pt>
                <c:pt idx="17">
                  <c:v>0.20470588235294118</c:v>
                </c:pt>
                <c:pt idx="18">
                  <c:v>0.22470588235294117</c:v>
                </c:pt>
                <c:pt idx="19">
                  <c:v>0.24294117647058822</c:v>
                </c:pt>
                <c:pt idx="20">
                  <c:v>0.31470588235294117</c:v>
                </c:pt>
                <c:pt idx="21">
                  <c:v>0.35352941176470587</c:v>
                </c:pt>
                <c:pt idx="22" formatCode="0.000">
                  <c:v>0.39117647058823529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94-47BC-BD3D-F1BCB68B3F63}"/>
            </c:ext>
          </c:extLst>
        </c:ser>
        <c:ser>
          <c:idx val="2"/>
          <c:order val="2"/>
          <c:tx>
            <c:v>2023_1_2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Lagoas'!$O$2:$O$25</c:f>
              <c:numCache>
                <c:formatCode>0.00</c:formatCode>
                <c:ptCount val="24"/>
                <c:pt idx="0">
                  <c:v>1.0787486515641855E-3</c:v>
                </c:pt>
                <c:pt idx="1">
                  <c:v>9.7087378640776691E-3</c:v>
                </c:pt>
                <c:pt idx="2">
                  <c:v>2.2653721682847898E-2</c:v>
                </c:pt>
                <c:pt idx="3">
                  <c:v>4.0992448759439054E-2</c:v>
                </c:pt>
                <c:pt idx="4">
                  <c:v>6.0409924487594392E-2</c:v>
                </c:pt>
                <c:pt idx="5">
                  <c:v>7.6591154261057171E-2</c:v>
                </c:pt>
                <c:pt idx="6">
                  <c:v>8.306364617044229E-2</c:v>
                </c:pt>
                <c:pt idx="7">
                  <c:v>0.1057173678532902</c:v>
                </c:pt>
                <c:pt idx="8">
                  <c:v>0.11542610571736786</c:v>
                </c:pt>
                <c:pt idx="9">
                  <c:v>0.12944983818770228</c:v>
                </c:pt>
                <c:pt idx="10">
                  <c:v>0.15857605177993528</c:v>
                </c:pt>
                <c:pt idx="11">
                  <c:v>0.17907227615965482</c:v>
                </c:pt>
                <c:pt idx="12">
                  <c:v>0.20496224379719527</c:v>
                </c:pt>
                <c:pt idx="13">
                  <c:v>0.23516720604099248</c:v>
                </c:pt>
                <c:pt idx="14">
                  <c:v>0.24811218985976272</c:v>
                </c:pt>
                <c:pt idx="15">
                  <c:v>0.26752966558791808</c:v>
                </c:pt>
                <c:pt idx="16">
                  <c:v>0.28047464940668831</c:v>
                </c:pt>
                <c:pt idx="17">
                  <c:v>0.29989212513484365</c:v>
                </c:pt>
                <c:pt idx="18">
                  <c:v>0.33549083063646179</c:v>
                </c:pt>
                <c:pt idx="19">
                  <c:v>0.3807982740021576</c:v>
                </c:pt>
                <c:pt idx="20">
                  <c:v>0.46062567421790734</c:v>
                </c:pt>
                <c:pt idx="21">
                  <c:v>0.47788565264293431</c:v>
                </c:pt>
                <c:pt idx="22" formatCode="0.000">
                  <c:v>0.50809061488673146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94-47BC-BD3D-F1BCB68B3F63}"/>
            </c:ext>
          </c:extLst>
        </c:ser>
        <c:ser>
          <c:idx val="3"/>
          <c:order val="3"/>
          <c:tx>
            <c:v>2023_3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 formatCode="0.000">
                  <c:v>0.46416294542347492</c:v>
                </c:pt>
                <c:pt idx="23" formatCode="0.000">
                  <c:v>1</c:v>
                </c:pt>
              </c:numCache>
            </c:numRef>
          </c:xVal>
          <c:yVal>
            <c:numRef>
              <c:f>'Sete Lagoas'!$P$2:$P$25</c:f>
              <c:numCache>
                <c:formatCode>0.00</c:formatCode>
                <c:ptCount val="24"/>
                <c:pt idx="0">
                  <c:v>0</c:v>
                </c:pt>
                <c:pt idx="1">
                  <c:v>1.2474012474012475E-2</c:v>
                </c:pt>
                <c:pt idx="2">
                  <c:v>1.2474012474012475E-2</c:v>
                </c:pt>
                <c:pt idx="3">
                  <c:v>2.286902286902287E-2</c:v>
                </c:pt>
                <c:pt idx="4">
                  <c:v>3.5343035343035345E-2</c:v>
                </c:pt>
                <c:pt idx="5">
                  <c:v>4.3659043659043661E-2</c:v>
                </c:pt>
                <c:pt idx="6">
                  <c:v>5.1975051975051978E-2</c:v>
                </c:pt>
                <c:pt idx="7">
                  <c:v>8.7318087318087323E-2</c:v>
                </c:pt>
                <c:pt idx="8">
                  <c:v>8.7318087318087323E-2</c:v>
                </c:pt>
                <c:pt idx="9">
                  <c:v>0.12266112266112267</c:v>
                </c:pt>
                <c:pt idx="10">
                  <c:v>0.13305613305613306</c:v>
                </c:pt>
                <c:pt idx="11">
                  <c:v>0.15592515592515593</c:v>
                </c:pt>
                <c:pt idx="12">
                  <c:v>0.19334719334719336</c:v>
                </c:pt>
                <c:pt idx="13">
                  <c:v>0.20374220374220375</c:v>
                </c:pt>
                <c:pt idx="14">
                  <c:v>0.21829521829521831</c:v>
                </c:pt>
                <c:pt idx="15">
                  <c:v>0.26403326403326405</c:v>
                </c:pt>
                <c:pt idx="16">
                  <c:v>0.288981288981289</c:v>
                </c:pt>
                <c:pt idx="17">
                  <c:v>0.29106029106029108</c:v>
                </c:pt>
                <c:pt idx="18">
                  <c:v>0.32224532224532226</c:v>
                </c:pt>
                <c:pt idx="19">
                  <c:v>0.36382536382536385</c:v>
                </c:pt>
                <c:pt idx="20">
                  <c:v>0.43659043659043661</c:v>
                </c:pt>
                <c:pt idx="21">
                  <c:v>0.44698544698544701</c:v>
                </c:pt>
                <c:pt idx="22" formatCode="0.000">
                  <c:v>0.49688149688149691</c:v>
                </c:pt>
                <c:pt idx="23" formatCode="0.0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94-47BC-BD3D-F1BCB68B3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282783"/>
        <c:axId val="967286143"/>
      </c:scatterChart>
      <c:valAx>
        <c:axId val="9672827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286143"/>
        <c:crosses val="autoZero"/>
        <c:crossBetween val="midCat"/>
      </c:valAx>
      <c:valAx>
        <c:axId val="9672861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282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EF-4409-BA3E-9B5869612187}"/>
            </c:ext>
          </c:extLst>
        </c:ser>
        <c:ser>
          <c:idx val="1"/>
          <c:order val="1"/>
          <c:tx>
            <c:v>2019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Vespasiano!$K$2:$K$8</c:f>
              <c:numCache>
                <c:formatCode>0.00</c:formatCode>
                <c:ptCount val="7"/>
                <c:pt idx="0">
                  <c:v>6.4864864864864862E-3</c:v>
                </c:pt>
                <c:pt idx="1">
                  <c:v>4.2162162162162162E-2</c:v>
                </c:pt>
                <c:pt idx="2">
                  <c:v>0.10486486486486486</c:v>
                </c:pt>
                <c:pt idx="3">
                  <c:v>0.21945945945945944</c:v>
                </c:pt>
                <c:pt idx="4">
                  <c:v>0.41621621621621618</c:v>
                </c:pt>
                <c:pt idx="5">
                  <c:v>0.58594594594594596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EF-4409-BA3E-9B5869612187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Vespasiano!$L$2:$L$8</c:f>
              <c:numCache>
                <c:formatCode>0.00</c:formatCode>
                <c:ptCount val="7"/>
                <c:pt idx="0">
                  <c:v>3.0441400304414001E-3</c:v>
                </c:pt>
                <c:pt idx="1">
                  <c:v>1.6742770167427701E-2</c:v>
                </c:pt>
                <c:pt idx="2">
                  <c:v>7.0015220700152203E-2</c:v>
                </c:pt>
                <c:pt idx="3">
                  <c:v>0.20547945205479451</c:v>
                </c:pt>
                <c:pt idx="4">
                  <c:v>0.36377473363774732</c:v>
                </c:pt>
                <c:pt idx="5">
                  <c:v>0.66514459665144599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EF-4409-BA3E-9B5869612187}"/>
            </c:ext>
          </c:extLst>
        </c:ser>
        <c:ser>
          <c:idx val="3"/>
          <c:order val="3"/>
          <c:tx>
            <c:v>2021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Vespasiano!$M$2:$M$8</c:f>
              <c:numCache>
                <c:formatCode>0.00</c:formatCode>
                <c:ptCount val="7"/>
                <c:pt idx="0">
                  <c:v>6.2305295950155761E-3</c:v>
                </c:pt>
                <c:pt idx="1">
                  <c:v>1.5576323987538939E-2</c:v>
                </c:pt>
                <c:pt idx="2">
                  <c:v>5.1401869158878497E-2</c:v>
                </c:pt>
                <c:pt idx="3">
                  <c:v>0.2009345794392523</c:v>
                </c:pt>
                <c:pt idx="4">
                  <c:v>0.43302180685358249</c:v>
                </c:pt>
                <c:pt idx="5">
                  <c:v>0.76947040498442365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EF-4409-BA3E-9B586961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542847"/>
        <c:axId val="982540447"/>
      </c:scatterChart>
      <c:valAx>
        <c:axId val="9825428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2540447"/>
        <c:crosses val="autoZero"/>
        <c:crossBetween val="midCat"/>
      </c:valAx>
      <c:valAx>
        <c:axId val="9825404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254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Igualdade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D0-46B6-88E4-19983AB40511}"/>
            </c:ext>
          </c:extLst>
        </c:ser>
        <c:ser>
          <c:idx val="1"/>
          <c:order val="1"/>
          <c:tx>
            <c:v>2022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Vespasiano!$N$2:$N$8</c:f>
              <c:numCache>
                <c:formatCode>0.00</c:formatCode>
                <c:ptCount val="7"/>
                <c:pt idx="0">
                  <c:v>1.3035381750465549E-2</c:v>
                </c:pt>
                <c:pt idx="1">
                  <c:v>1.6759776536312849E-2</c:v>
                </c:pt>
                <c:pt idx="2">
                  <c:v>0.11824953445065177</c:v>
                </c:pt>
                <c:pt idx="3">
                  <c:v>0.20577281191806332</c:v>
                </c:pt>
                <c:pt idx="4">
                  <c:v>0.3957169459962756</c:v>
                </c:pt>
                <c:pt idx="5">
                  <c:v>0.58472998137802601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D0-46B6-88E4-19983AB40511}"/>
            </c:ext>
          </c:extLst>
        </c:ser>
        <c:ser>
          <c:idx val="2"/>
          <c:order val="2"/>
          <c:tx>
            <c:v>2023_1_2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Vespasiano!$O$2:$O$8</c:f>
              <c:numCache>
                <c:formatCode>0.00</c:formatCode>
                <c:ptCount val="7"/>
                <c:pt idx="0">
                  <c:v>1.9698725376593278E-2</c:v>
                </c:pt>
                <c:pt idx="1">
                  <c:v>5.6778679026651215E-2</c:v>
                </c:pt>
                <c:pt idx="2">
                  <c:v>0.14020857473928158</c:v>
                </c:pt>
                <c:pt idx="3">
                  <c:v>0.20973348783314022</c:v>
                </c:pt>
                <c:pt idx="4">
                  <c:v>0.40208574739281577</c:v>
                </c:pt>
                <c:pt idx="5">
                  <c:v>0.61645422943221329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D0-46B6-88E4-19983AB40511}"/>
            </c:ext>
          </c:extLst>
        </c:ser>
        <c:ser>
          <c:idx val="3"/>
          <c:order val="3"/>
          <c:tx>
            <c:v>2023_3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Vespasiano!$P$2:$P$8</c:f>
              <c:numCache>
                <c:formatCode>0.00</c:formatCode>
                <c:ptCount val="7"/>
                <c:pt idx="0">
                  <c:v>2.5522041763341066E-2</c:v>
                </c:pt>
                <c:pt idx="1">
                  <c:v>5.8004640371229696E-2</c:v>
                </c:pt>
                <c:pt idx="2">
                  <c:v>0.11832946635730858</c:v>
                </c:pt>
                <c:pt idx="3">
                  <c:v>0.21809744779582366</c:v>
                </c:pt>
                <c:pt idx="4">
                  <c:v>0.46403712296983757</c:v>
                </c:pt>
                <c:pt idx="5">
                  <c:v>0.7331786542923433</c:v>
                </c:pt>
                <c:pt idx="6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D0-46B6-88E4-19983AB40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181071"/>
        <c:axId val="938194991"/>
      </c:scatterChart>
      <c:valAx>
        <c:axId val="93818107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194991"/>
        <c:crosses val="autoZero"/>
        <c:crossBetween val="midCat"/>
      </c:valAx>
      <c:valAx>
        <c:axId val="9381949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18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197302</xdr:colOff>
      <xdr:row>0</xdr:row>
      <xdr:rowOff>84364</xdr:rowOff>
    </xdr:from>
    <xdr:to>
      <xdr:col>26</xdr:col>
      <xdr:colOff>27214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784754-F4AE-4F56-AEBB-A47BA4E3F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202365</xdr:colOff>
      <xdr:row>24</xdr:row>
      <xdr:rowOff>100817</xdr:rowOff>
    </xdr:from>
    <xdr:to>
      <xdr:col>26</xdr:col>
      <xdr:colOff>86706</xdr:colOff>
      <xdr:row>46</xdr:row>
      <xdr:rowOff>98096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D4178E-D1B2-4018-B9C3-A97C2BDC4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352295</xdr:colOff>
      <xdr:row>0</xdr:row>
      <xdr:rowOff>128912</xdr:rowOff>
    </xdr:from>
    <xdr:to>
      <xdr:col>25</xdr:col>
      <xdr:colOff>221814</xdr:colOff>
      <xdr:row>21</xdr:row>
      <xdr:rowOff>39144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A2952F-DB60-47FC-98AF-637D667B5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408399</xdr:colOff>
      <xdr:row>21</xdr:row>
      <xdr:rowOff>115864</xdr:rowOff>
    </xdr:from>
    <xdr:to>
      <xdr:col>25</xdr:col>
      <xdr:colOff>365342</xdr:colOff>
      <xdr:row>39</xdr:row>
      <xdr:rowOff>156575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3C2D242-B02E-4790-B1FD-14FF74CD8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298648</xdr:colOff>
      <xdr:row>0</xdr:row>
      <xdr:rowOff>151408</xdr:rowOff>
    </xdr:from>
    <xdr:to>
      <xdr:col>23</xdr:col>
      <xdr:colOff>78382</xdr:colOff>
      <xdr:row>14</xdr:row>
      <xdr:rowOff>66874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AC2217-62FB-449A-951D-432BDA1E3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288726</xdr:colOff>
      <xdr:row>15</xdr:row>
      <xdr:rowOff>111720</xdr:rowOff>
    </xdr:from>
    <xdr:to>
      <xdr:col>23</xdr:col>
      <xdr:colOff>68460</xdr:colOff>
      <xdr:row>30</xdr:row>
      <xdr:rowOff>176014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10BC9C0-6EBF-44B8-8A18-308F6E536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617964</xdr:colOff>
      <xdr:row>0</xdr:row>
      <xdr:rowOff>86189</xdr:rowOff>
    </xdr:from>
    <xdr:to>
      <xdr:col>23</xdr:col>
      <xdr:colOff>392617</xdr:colOff>
      <xdr:row>14</xdr:row>
      <xdr:rowOff>88048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060093-D462-4C29-9516-2FACBAF1A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583116</xdr:colOff>
      <xdr:row>15</xdr:row>
      <xdr:rowOff>39726</xdr:rowOff>
    </xdr:from>
    <xdr:to>
      <xdr:col>23</xdr:col>
      <xdr:colOff>357769</xdr:colOff>
      <xdr:row>29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6AD1CF-70D9-4941-8717-AB3EA7260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223837</xdr:colOff>
      <xdr:row>0</xdr:row>
      <xdr:rowOff>57150</xdr:rowOff>
    </xdr:from>
    <xdr:to>
      <xdr:col>22</xdr:col>
      <xdr:colOff>681037</xdr:colOff>
      <xdr:row>14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130F58-0B52-4C04-9AC4-63A264991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147637</xdr:colOff>
      <xdr:row>15</xdr:row>
      <xdr:rowOff>76200</xdr:rowOff>
    </xdr:from>
    <xdr:to>
      <xdr:col>22</xdr:col>
      <xdr:colOff>604837</xdr:colOff>
      <xdr:row>30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22A9E7C-163C-48BC-A2D7-D08593216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152400</xdr:colOff>
      <xdr:row>0</xdr:row>
      <xdr:rowOff>110490</xdr:rowOff>
    </xdr:from>
    <xdr:to>
      <xdr:col>24</xdr:col>
      <xdr:colOff>457200</xdr:colOff>
      <xdr:row>14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75BD0C3-09C4-B7A1-2734-EFF1D0AE9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259080</xdr:colOff>
      <xdr:row>15</xdr:row>
      <xdr:rowOff>110490</xdr:rowOff>
    </xdr:from>
    <xdr:to>
      <xdr:col>24</xdr:col>
      <xdr:colOff>563880</xdr:colOff>
      <xdr:row>29</xdr:row>
      <xdr:rowOff>110490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615A9-99FB-E84C-68D0-8B0358F5E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183266</xdr:colOff>
      <xdr:row>0</xdr:row>
      <xdr:rowOff>80057</xdr:rowOff>
    </xdr:from>
    <xdr:to>
      <xdr:col>23</xdr:col>
      <xdr:colOff>501570</xdr:colOff>
      <xdr:row>14</xdr:row>
      <xdr:rowOff>74270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BE235F-9A8C-20B6-A71F-8C6105BB2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144684</xdr:colOff>
      <xdr:row>15</xdr:row>
      <xdr:rowOff>41476</xdr:rowOff>
    </xdr:from>
    <xdr:to>
      <xdr:col>23</xdr:col>
      <xdr:colOff>462988</xdr:colOff>
      <xdr:row>30</xdr:row>
      <xdr:rowOff>35688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4839238-62EB-B739-9E05-29DDED5E0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110490</xdr:rowOff>
    </xdr:from>
    <xdr:to>
      <xdr:col>23</xdr:col>
      <xdr:colOff>373380</xdr:colOff>
      <xdr:row>14</xdr:row>
      <xdr:rowOff>148590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C6777481-7C78-AB48-2170-6DB15FD85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</xdr:colOff>
      <xdr:row>15</xdr:row>
      <xdr:rowOff>64770</xdr:rowOff>
    </xdr:from>
    <xdr:to>
      <xdr:col>23</xdr:col>
      <xdr:colOff>350520</xdr:colOff>
      <xdr:row>30</xdr:row>
      <xdr:rowOff>64770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4E4F6A45-C584-A79D-E329-A4D5997C1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463826</xdr:colOff>
      <xdr:row>0</xdr:row>
      <xdr:rowOff>180009</xdr:rowOff>
    </xdr:from>
    <xdr:to>
      <xdr:col>24</xdr:col>
      <xdr:colOff>176695</xdr:colOff>
      <xdr:row>14</xdr:row>
      <xdr:rowOff>151296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A31A224-998B-D087-E366-66CD79AA3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430695</xdr:colOff>
      <xdr:row>15</xdr:row>
      <xdr:rowOff>91661</xdr:rowOff>
    </xdr:from>
    <xdr:to>
      <xdr:col>24</xdr:col>
      <xdr:colOff>143564</xdr:colOff>
      <xdr:row>29</xdr:row>
      <xdr:rowOff>29817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F0EB45B-84D7-C252-4F75-79E6FA806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194553</xdr:colOff>
      <xdr:row>0</xdr:row>
      <xdr:rowOff>71336</xdr:rowOff>
    </xdr:from>
    <xdr:to>
      <xdr:col>23</xdr:col>
      <xdr:colOff>510702</xdr:colOff>
      <xdr:row>13</xdr:row>
      <xdr:rowOff>74579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571818D-F95B-4B15-6583-DCD2EDFF4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170235</xdr:colOff>
      <xdr:row>13</xdr:row>
      <xdr:rowOff>152401</xdr:rowOff>
    </xdr:from>
    <xdr:to>
      <xdr:col>23</xdr:col>
      <xdr:colOff>486384</xdr:colOff>
      <xdr:row>28</xdr:row>
      <xdr:rowOff>98898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13ADFCE-5FFB-2F11-2ABA-D3AD44EA5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209-8EAB-427C-A12B-5FDBB2924D4B}">
  <dimension ref="A1:P33"/>
  <sheetViews>
    <sheetView tabSelected="1" zoomScale="65" zoomScaleNormal="80" workbookViewId="0">
      <selection activeCell="I20" sqref="I20"/>
    </sheetView>
  </sheetViews>
  <sheetFormatPr defaultRowHeight="14.4" x14ac:dyDescent="0.3"/>
  <cols>
    <col min="1" max="1" width="16.77734375" customWidth="1"/>
    <col min="2" max="8" width="10.21875" customWidth="1"/>
    <col min="9" max="9" width="13.109375" customWidth="1"/>
    <col min="10" max="10" width="16.77734375" customWidth="1"/>
    <col min="11" max="16" width="12.33203125" customWidth="1"/>
  </cols>
  <sheetData>
    <row r="1" spans="1:16" ht="28.8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30" t="s">
        <v>1</v>
      </c>
      <c r="J1" s="11" t="s">
        <v>1</v>
      </c>
      <c r="K1" s="12" t="s">
        <v>2</v>
      </c>
      <c r="L1" s="12" t="s">
        <v>3</v>
      </c>
      <c r="M1" s="12" t="s">
        <v>4</v>
      </c>
      <c r="N1" s="11" t="s">
        <v>5</v>
      </c>
      <c r="O1" s="12" t="s">
        <v>6</v>
      </c>
      <c r="P1" s="12" t="s">
        <v>7</v>
      </c>
    </row>
    <row r="2" spans="1:16" x14ac:dyDescent="0.3">
      <c r="A2" s="3" t="s">
        <v>9</v>
      </c>
      <c r="B2" s="8">
        <v>1.1960479324918034E-3</v>
      </c>
      <c r="C2" s="8">
        <v>9.8728865852153527E-4</v>
      </c>
      <c r="D2" s="8">
        <v>8.2259391280504524E-4</v>
      </c>
      <c r="E2" s="8">
        <v>6.8632435180477885E-3</v>
      </c>
      <c r="F2" s="8">
        <v>2.6618100308209583E-3</v>
      </c>
      <c r="G2" s="8">
        <v>2.5635969236836916E-3</v>
      </c>
      <c r="H2" s="8">
        <v>2.0177562550443904E-3</v>
      </c>
      <c r="I2" s="6">
        <v>1.1960479324918034E-3</v>
      </c>
      <c r="J2" s="6">
        <f t="shared" ref="I2:P2" si="0">B2</f>
        <v>1.1960479324918034E-3</v>
      </c>
      <c r="K2" s="6">
        <f t="shared" si="0"/>
        <v>9.8728865852153527E-4</v>
      </c>
      <c r="L2" s="6">
        <f t="shared" si="0"/>
        <v>8.2259391280504524E-4</v>
      </c>
      <c r="M2" s="6">
        <f t="shared" si="0"/>
        <v>6.8632435180477885E-3</v>
      </c>
      <c r="N2" s="6">
        <f t="shared" si="0"/>
        <v>2.6618100308209583E-3</v>
      </c>
      <c r="O2" s="6">
        <f t="shared" si="0"/>
        <v>2.5635969236836916E-3</v>
      </c>
      <c r="P2" s="6">
        <f t="shared" si="0"/>
        <v>2.0177562550443904E-3</v>
      </c>
    </row>
    <row r="3" spans="1:16" x14ac:dyDescent="0.3">
      <c r="A3" s="3" t="s">
        <v>10</v>
      </c>
      <c r="B3" s="8">
        <v>1.4364187305751074E-3</v>
      </c>
      <c r="C3" s="8">
        <v>1.1106997408367272E-3</v>
      </c>
      <c r="D3" s="8">
        <v>8.2259391280504524E-4</v>
      </c>
      <c r="E3" s="8">
        <v>1.7793594306049821E-3</v>
      </c>
      <c r="F3" s="8">
        <v>1.1207621182404036E-3</v>
      </c>
      <c r="G3" s="8">
        <v>5.9159929008085186E-4</v>
      </c>
      <c r="H3" s="8">
        <v>8.0710250201775622E-4</v>
      </c>
      <c r="I3" s="6">
        <v>2.6324666630669108E-3</v>
      </c>
      <c r="J3" s="6">
        <f t="shared" ref="I3:J14" si="1">J2+B3</f>
        <v>2.6324666630669108E-3</v>
      </c>
      <c r="K3" s="6">
        <f t="shared" ref="K3:K14" si="2">K2+C3</f>
        <v>2.0979883993582625E-3</v>
      </c>
      <c r="L3" s="6">
        <f t="shared" ref="L3:L14" si="3">L2+D3</f>
        <v>1.6451878256100905E-3</v>
      </c>
      <c r="M3" s="6">
        <f t="shared" ref="M3:M14" si="4">M2+E3</f>
        <v>8.6426029486527702E-3</v>
      </c>
      <c r="N3" s="6">
        <f t="shared" ref="N3:N14" si="5">N2+F3</f>
        <v>3.7825721490613619E-3</v>
      </c>
      <c r="O3" s="6">
        <f t="shared" ref="O3:O14" si="6">O2+G3</f>
        <v>3.1551962137645433E-3</v>
      </c>
      <c r="P3" s="6">
        <f t="shared" ref="P3:P14" si="7">P2+H3</f>
        <v>2.8248587570621469E-3</v>
      </c>
    </row>
    <row r="4" spans="1:16" x14ac:dyDescent="0.3">
      <c r="A4" s="3" t="s">
        <v>11</v>
      </c>
      <c r="B4" s="8">
        <v>1.6660483214976842E-3</v>
      </c>
      <c r="C4" s="8">
        <v>4.9364432926076764E-4</v>
      </c>
      <c r="D4" s="8">
        <v>1.0967918837400603E-3</v>
      </c>
      <c r="E4" s="8">
        <v>1.7793594306049821E-3</v>
      </c>
      <c r="F4" s="8">
        <v>4.4830484729616142E-3</v>
      </c>
      <c r="G4" s="8">
        <v>7.8879905344113592E-4</v>
      </c>
      <c r="H4" s="8">
        <v>8.0710250201775622E-4</v>
      </c>
      <c r="I4" s="6">
        <v>4.2985149845645946E-3</v>
      </c>
      <c r="J4" s="6">
        <f t="shared" si="1"/>
        <v>4.2985149845645946E-3</v>
      </c>
      <c r="K4" s="6">
        <f t="shared" si="2"/>
        <v>2.5916327286190301E-3</v>
      </c>
      <c r="L4" s="6">
        <f t="shared" si="3"/>
        <v>2.741979709350151E-3</v>
      </c>
      <c r="M4" s="6">
        <f t="shared" si="4"/>
        <v>1.0421962379257752E-2</v>
      </c>
      <c r="N4" s="6">
        <f t="shared" si="5"/>
        <v>8.2656206220229761E-3</v>
      </c>
      <c r="O4" s="6">
        <f t="shared" si="6"/>
        <v>3.9439952672056791E-3</v>
      </c>
      <c r="P4" s="6">
        <f t="shared" si="7"/>
        <v>3.6319612590799029E-3</v>
      </c>
    </row>
    <row r="5" spans="1:16" x14ac:dyDescent="0.3">
      <c r="A5" s="3" t="s">
        <v>12</v>
      </c>
      <c r="B5" s="8">
        <v>2.2420092676296594E-3</v>
      </c>
      <c r="C5" s="8">
        <v>1.2341108231519191E-3</v>
      </c>
      <c r="D5" s="8">
        <v>2.4677817384151355E-3</v>
      </c>
      <c r="E5" s="8">
        <v>2.0335536349771225E-3</v>
      </c>
      <c r="F5" s="8">
        <v>1.2608573830204539E-3</v>
      </c>
      <c r="G5" s="8">
        <v>5.9159929008085186E-4</v>
      </c>
      <c r="H5" s="8">
        <v>0</v>
      </c>
      <c r="I5" s="6">
        <v>6.540524252194254E-3</v>
      </c>
      <c r="J5" s="6">
        <f t="shared" si="1"/>
        <v>6.540524252194254E-3</v>
      </c>
      <c r="K5" s="6">
        <f t="shared" si="2"/>
        <v>3.8257435517709492E-3</v>
      </c>
      <c r="L5" s="6">
        <f t="shared" si="3"/>
        <v>5.2097614477652869E-3</v>
      </c>
      <c r="M5" s="6">
        <f t="shared" si="4"/>
        <v>1.2455516014234874E-2</v>
      </c>
      <c r="N5" s="6">
        <f t="shared" si="5"/>
        <v>9.5264780050434306E-3</v>
      </c>
      <c r="O5" s="6">
        <f t="shared" si="6"/>
        <v>4.5355945572865307E-3</v>
      </c>
      <c r="P5" s="6">
        <f t="shared" si="7"/>
        <v>3.6319612590799029E-3</v>
      </c>
    </row>
    <row r="6" spans="1:16" x14ac:dyDescent="0.3">
      <c r="A6" s="3" t="s">
        <v>13</v>
      </c>
      <c r="B6" s="8">
        <v>3.055147679986344E-3</v>
      </c>
      <c r="C6" s="8">
        <v>2.5916327286190301E-3</v>
      </c>
      <c r="D6" s="8">
        <v>2.741979709350151E-3</v>
      </c>
      <c r="E6" s="8">
        <v>1.0167768174885613E-3</v>
      </c>
      <c r="F6" s="8">
        <v>7.1448585037825725E-3</v>
      </c>
      <c r="G6" s="8">
        <v>6.901991717609939E-3</v>
      </c>
      <c r="H6" s="8">
        <v>4.8426150121065378E-3</v>
      </c>
      <c r="I6" s="6">
        <v>9.5956719321805984E-3</v>
      </c>
      <c r="J6" s="6">
        <f t="shared" si="1"/>
        <v>9.5956719321805984E-3</v>
      </c>
      <c r="K6" s="6">
        <f t="shared" si="2"/>
        <v>6.4173762803899793E-3</v>
      </c>
      <c r="L6" s="6">
        <f t="shared" si="3"/>
        <v>7.951741157115437E-3</v>
      </c>
      <c r="M6" s="6">
        <f t="shared" si="4"/>
        <v>1.3472292831723435E-2</v>
      </c>
      <c r="N6" s="6">
        <f t="shared" si="5"/>
        <v>1.6671336508826004E-2</v>
      </c>
      <c r="O6" s="6">
        <f t="shared" si="6"/>
        <v>1.143758627489647E-2</v>
      </c>
      <c r="P6" s="6">
        <f t="shared" si="7"/>
        <v>8.4745762711864406E-3</v>
      </c>
    </row>
    <row r="7" spans="1:16" x14ac:dyDescent="0.3">
      <c r="A7" s="3" t="s">
        <v>14</v>
      </c>
      <c r="B7" s="8">
        <v>4.7902880907881662E-3</v>
      </c>
      <c r="C7" s="8">
        <v>3.7023324694557573E-3</v>
      </c>
      <c r="D7" s="8">
        <v>5.4839594187003019E-3</v>
      </c>
      <c r="E7" s="8">
        <v>2.287747839349263E-3</v>
      </c>
      <c r="F7" s="8">
        <v>6.3042869151022692E-3</v>
      </c>
      <c r="G7" s="8">
        <v>8.8739893512127781E-3</v>
      </c>
      <c r="H7" s="8">
        <v>8.4745762711864406E-3</v>
      </c>
      <c r="I7" s="6">
        <v>1.4385960022968765E-2</v>
      </c>
      <c r="J7" s="6">
        <f t="shared" si="1"/>
        <v>1.4385960022968765E-2</v>
      </c>
      <c r="K7" s="6">
        <f t="shared" si="2"/>
        <v>1.0119708749845736E-2</v>
      </c>
      <c r="L7" s="6">
        <f t="shared" si="3"/>
        <v>1.3435700575815739E-2</v>
      </c>
      <c r="M7" s="6">
        <f t="shared" si="4"/>
        <v>1.5760040671072697E-2</v>
      </c>
      <c r="N7" s="6">
        <f t="shared" si="5"/>
        <v>2.2975623423928275E-2</v>
      </c>
      <c r="O7" s="6">
        <f t="shared" si="6"/>
        <v>2.0311575626109246E-2</v>
      </c>
      <c r="P7" s="6">
        <f t="shared" si="7"/>
        <v>1.6949152542372881E-2</v>
      </c>
    </row>
    <row r="8" spans="1:16" x14ac:dyDescent="0.3">
      <c r="A8" s="3" t="s">
        <v>15</v>
      </c>
      <c r="B8" s="8">
        <v>6.004334802846594E-3</v>
      </c>
      <c r="C8" s="8">
        <v>4.4427989633469087E-3</v>
      </c>
      <c r="D8" s="8">
        <v>6.3065533315053469E-3</v>
      </c>
      <c r="E8" s="8">
        <v>6.6090493136756485E-3</v>
      </c>
      <c r="F8" s="8">
        <v>6.024096385542169E-3</v>
      </c>
      <c r="G8" s="8">
        <v>4.1411950305659632E-3</v>
      </c>
      <c r="H8" s="8">
        <v>1.2510088781275222E-2</v>
      </c>
      <c r="I8" s="6">
        <v>2.039029482581536E-2</v>
      </c>
      <c r="J8" s="6">
        <f t="shared" si="1"/>
        <v>2.039029482581536E-2</v>
      </c>
      <c r="K8" s="6">
        <f t="shared" si="2"/>
        <v>1.4562507713192644E-2</v>
      </c>
      <c r="L8" s="6">
        <f t="shared" si="3"/>
        <v>1.9742253907321088E-2</v>
      </c>
      <c r="M8" s="6">
        <f t="shared" si="4"/>
        <v>2.2369089984748347E-2</v>
      </c>
      <c r="N8" s="6">
        <f t="shared" si="5"/>
        <v>2.8999719809470442E-2</v>
      </c>
      <c r="O8" s="6">
        <f t="shared" si="6"/>
        <v>2.4452770656675209E-2</v>
      </c>
      <c r="P8" s="6">
        <f t="shared" si="7"/>
        <v>2.9459241323648105E-2</v>
      </c>
    </row>
    <row r="9" spans="1:16" x14ac:dyDescent="0.3">
      <c r="A9" s="3" t="s">
        <v>16</v>
      </c>
      <c r="B9" s="8">
        <v>1.3169300584844215E-2</v>
      </c>
      <c r="C9" s="8">
        <v>8.8855979266938175E-3</v>
      </c>
      <c r="D9" s="8">
        <v>1.1790512750205649E-2</v>
      </c>
      <c r="E9" s="8">
        <v>1.677681748856126E-2</v>
      </c>
      <c r="F9" s="8">
        <v>1.8632670215746709E-2</v>
      </c>
      <c r="G9" s="8">
        <v>2.7213567343719186E-2</v>
      </c>
      <c r="H9" s="8">
        <v>2.8652138821630348E-2</v>
      </c>
      <c r="I9" s="6">
        <v>3.3559595410659573E-2</v>
      </c>
      <c r="J9" s="6">
        <f t="shared" si="1"/>
        <v>3.3559595410659573E-2</v>
      </c>
      <c r="K9" s="6">
        <f t="shared" si="2"/>
        <v>2.344810563988646E-2</v>
      </c>
      <c r="L9" s="6">
        <f t="shared" si="3"/>
        <v>3.1532766657526738E-2</v>
      </c>
      <c r="M9" s="6">
        <f t="shared" si="4"/>
        <v>3.9145907473309607E-2</v>
      </c>
      <c r="N9" s="6">
        <f t="shared" si="5"/>
        <v>4.7632390025217151E-2</v>
      </c>
      <c r="O9" s="6">
        <f t="shared" si="6"/>
        <v>5.1666338000394399E-2</v>
      </c>
      <c r="P9" s="6">
        <f t="shared" si="7"/>
        <v>5.8111380145278453E-2</v>
      </c>
    </row>
    <row r="10" spans="1:16" x14ac:dyDescent="0.3">
      <c r="A10" s="3" t="s">
        <v>17</v>
      </c>
      <c r="B10" s="8">
        <v>2.8269115429656995E-2</v>
      </c>
      <c r="C10" s="8">
        <v>2.8137726767863754E-2</v>
      </c>
      <c r="D10" s="8">
        <v>3.3177954483136825E-2</v>
      </c>
      <c r="E10" s="8">
        <v>3.1774275546517537E-2</v>
      </c>
      <c r="F10" s="8">
        <v>4.3849817876155786E-2</v>
      </c>
      <c r="G10" s="8">
        <v>4.5750345099585879E-2</v>
      </c>
      <c r="H10" s="8">
        <v>4.519774011299435E-2</v>
      </c>
      <c r="I10" s="6">
        <v>6.1828710840316568E-2</v>
      </c>
      <c r="J10" s="6">
        <f t="shared" si="1"/>
        <v>6.1828710840316568E-2</v>
      </c>
      <c r="K10" s="6">
        <f t="shared" si="2"/>
        <v>5.1585832407750214E-2</v>
      </c>
      <c r="L10" s="6">
        <f t="shared" si="3"/>
        <v>6.4710721140663563E-2</v>
      </c>
      <c r="M10" s="6">
        <f t="shared" si="4"/>
        <v>7.0920183019827138E-2</v>
      </c>
      <c r="N10" s="6">
        <f t="shared" si="5"/>
        <v>9.1482207901372931E-2</v>
      </c>
      <c r="O10" s="6">
        <f t="shared" si="6"/>
        <v>9.7416683099980278E-2</v>
      </c>
      <c r="P10" s="6">
        <f t="shared" si="7"/>
        <v>0.1033091202582728</v>
      </c>
    </row>
    <row r="11" spans="1:16" x14ac:dyDescent="0.3">
      <c r="A11" s="3" t="s">
        <v>18</v>
      </c>
      <c r="B11" s="8">
        <v>4.0026092424313681E-2</v>
      </c>
      <c r="C11" s="8">
        <v>2.8631371097124523E-2</v>
      </c>
      <c r="D11" s="8">
        <v>3.5371538250616945E-2</v>
      </c>
      <c r="E11" s="8">
        <v>2.440264361972547E-2</v>
      </c>
      <c r="F11" s="8">
        <v>2.9840291398150743E-2</v>
      </c>
      <c r="G11" s="8">
        <v>1.045158745809505E-2</v>
      </c>
      <c r="H11" s="8">
        <v>2.0177562550443905E-2</v>
      </c>
      <c r="I11" s="6">
        <v>0.10185480326463026</v>
      </c>
      <c r="J11" s="6">
        <f t="shared" si="1"/>
        <v>0.10185480326463026</v>
      </c>
      <c r="K11" s="6">
        <f t="shared" si="2"/>
        <v>8.021720350487474E-2</v>
      </c>
      <c r="L11" s="6">
        <f t="shared" si="3"/>
        <v>0.10008225939128051</v>
      </c>
      <c r="M11" s="6">
        <f t="shared" si="4"/>
        <v>9.5322826639552605E-2</v>
      </c>
      <c r="N11" s="6">
        <f t="shared" si="5"/>
        <v>0.12132249929952367</v>
      </c>
      <c r="O11" s="6">
        <f t="shared" si="6"/>
        <v>0.10786827055807532</v>
      </c>
      <c r="P11" s="6">
        <f t="shared" si="7"/>
        <v>0.12348668280871671</v>
      </c>
    </row>
    <row r="12" spans="1:16" x14ac:dyDescent="0.3">
      <c r="A12" s="3" t="s">
        <v>19</v>
      </c>
      <c r="B12" s="8">
        <v>6.4361603609974574E-2</v>
      </c>
      <c r="C12" s="8">
        <v>2.5792916203875107E-2</v>
      </c>
      <c r="D12" s="8">
        <v>8.5549766931724711E-2</v>
      </c>
      <c r="E12" s="8">
        <v>0.15810879511947126</v>
      </c>
      <c r="F12" s="8">
        <v>0.13505183524796863</v>
      </c>
      <c r="G12" s="8">
        <v>0.11457306251232499</v>
      </c>
      <c r="H12" s="8">
        <v>0.11138014527845036</v>
      </c>
      <c r="I12" s="6">
        <v>0.16621640687460482</v>
      </c>
      <c r="J12" s="6">
        <f t="shared" si="1"/>
        <v>0.16621640687460482</v>
      </c>
      <c r="K12" s="6">
        <f t="shared" si="2"/>
        <v>0.10601011970874985</v>
      </c>
      <c r="L12" s="6">
        <f t="shared" si="3"/>
        <v>0.18563202632300524</v>
      </c>
      <c r="M12" s="6">
        <f t="shared" si="4"/>
        <v>0.2534316217590239</v>
      </c>
      <c r="N12" s="6">
        <f t="shared" si="5"/>
        <v>0.25637433454749231</v>
      </c>
      <c r="O12" s="6">
        <f t="shared" si="6"/>
        <v>0.22244133307040032</v>
      </c>
      <c r="P12" s="6">
        <f t="shared" si="7"/>
        <v>0.23486682808716708</v>
      </c>
    </row>
    <row r="13" spans="1:16" x14ac:dyDescent="0.3">
      <c r="A13" s="3" t="s">
        <v>20</v>
      </c>
      <c r="B13" s="8">
        <v>9.9113763318371129E-2</v>
      </c>
      <c r="C13" s="8">
        <v>3.973836850549179E-2</v>
      </c>
      <c r="D13" s="8">
        <v>4.8807238826432682E-2</v>
      </c>
      <c r="E13" s="8">
        <v>4.8551093035078798E-2</v>
      </c>
      <c r="F13" s="8">
        <v>4.7772485289997196E-2</v>
      </c>
      <c r="G13" s="8">
        <v>5.5807533030960366E-2</v>
      </c>
      <c r="H13" s="8">
        <v>6.4164648910411626E-2</v>
      </c>
      <c r="I13" s="6">
        <v>0.26533017019297594</v>
      </c>
      <c r="J13" s="6">
        <f t="shared" si="1"/>
        <v>0.26533017019297594</v>
      </c>
      <c r="K13" s="6">
        <f t="shared" si="2"/>
        <v>0.14574848821424163</v>
      </c>
      <c r="L13" s="6">
        <f t="shared" si="3"/>
        <v>0.23443926514943791</v>
      </c>
      <c r="M13" s="6">
        <f t="shared" si="4"/>
        <v>0.30198271479410271</v>
      </c>
      <c r="N13" s="6">
        <f t="shared" si="5"/>
        <v>0.30414681983748948</v>
      </c>
      <c r="O13" s="6">
        <f t="shared" si="6"/>
        <v>0.27824886610136068</v>
      </c>
      <c r="P13" s="6">
        <f t="shared" si="7"/>
        <v>0.2990314769975787</v>
      </c>
    </row>
    <row r="14" spans="1:16" x14ac:dyDescent="0.3">
      <c r="A14" s="3" t="s">
        <v>21</v>
      </c>
      <c r="B14" s="8">
        <v>0.734669829807024</v>
      </c>
      <c r="C14" s="8">
        <v>0.85425151178575831</v>
      </c>
      <c r="D14" s="8">
        <v>0.76556073485056209</v>
      </c>
      <c r="E14" s="8">
        <v>0.69801728520589734</v>
      </c>
      <c r="F14" s="8">
        <v>0.69585318016251052</v>
      </c>
      <c r="G14" s="8">
        <v>0.72175113389863932</v>
      </c>
      <c r="H14" s="8">
        <v>0.7009685230024213</v>
      </c>
      <c r="I14" s="6">
        <v>1</v>
      </c>
      <c r="J14" s="6">
        <f t="shared" si="1"/>
        <v>1</v>
      </c>
      <c r="K14" s="6">
        <f t="shared" si="2"/>
        <v>1</v>
      </c>
      <c r="L14" s="6">
        <f t="shared" si="3"/>
        <v>1</v>
      </c>
      <c r="M14" s="6">
        <f t="shared" si="4"/>
        <v>1</v>
      </c>
      <c r="N14" s="6">
        <f t="shared" si="5"/>
        <v>1</v>
      </c>
      <c r="O14" s="6">
        <f t="shared" si="6"/>
        <v>1</v>
      </c>
      <c r="P14" s="6">
        <f t="shared" si="7"/>
        <v>1</v>
      </c>
    </row>
    <row r="16" spans="1:16" ht="28.8" x14ac:dyDescent="0.3">
      <c r="B16" s="1" t="s">
        <v>0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7"/>
      <c r="J16" s="5"/>
      <c r="K16" s="18" t="s">
        <v>28</v>
      </c>
      <c r="L16" s="18" t="s">
        <v>29</v>
      </c>
      <c r="M16" s="18" t="s">
        <v>30</v>
      </c>
      <c r="N16" s="18" t="s">
        <v>31</v>
      </c>
      <c r="O16" s="18" t="s">
        <v>32</v>
      </c>
      <c r="P16" s="18" t="s">
        <v>33</v>
      </c>
    </row>
    <row r="17" spans="2:16" x14ac:dyDescent="0.3">
      <c r="B17" s="3" t="s">
        <v>9</v>
      </c>
      <c r="C17" s="6">
        <f>C2-$B2</f>
        <v>-2.0875927397026811E-4</v>
      </c>
      <c r="D17" s="6">
        <f t="shared" ref="D17:H17" si="8">D2-$B2</f>
        <v>-3.7345401968675814E-4</v>
      </c>
      <c r="E17" s="6">
        <f t="shared" si="8"/>
        <v>5.6671955855559855E-3</v>
      </c>
      <c r="F17" s="6">
        <f t="shared" si="8"/>
        <v>1.4657620983291549E-3</v>
      </c>
      <c r="G17" s="6">
        <f t="shared" si="8"/>
        <v>1.3675489911918882E-3</v>
      </c>
      <c r="H17" s="6">
        <f t="shared" si="8"/>
        <v>8.2170832255258706E-4</v>
      </c>
      <c r="I17" s="28"/>
      <c r="J17" s="3" t="s">
        <v>9</v>
      </c>
      <c r="K17" s="5">
        <f>($J2-0) * ((K2+0))</f>
        <v>1.1808445587972884E-6</v>
      </c>
      <c r="L17" s="5">
        <f t="shared" ref="L17:P17" si="9">($J2-0) * ((L2+0))</f>
        <v>9.8386174869081716E-7</v>
      </c>
      <c r="M17" s="5">
        <f t="shared" si="9"/>
        <v>8.2087682199488278E-6</v>
      </c>
      <c r="N17" s="5">
        <f t="shared" si="9"/>
        <v>3.1836523840493509E-6</v>
      </c>
      <c r="O17" s="5">
        <f t="shared" si="9"/>
        <v>3.0661848003142267E-6</v>
      </c>
      <c r="P17" s="5">
        <f t="shared" si="9"/>
        <v>2.4133331971182469E-6</v>
      </c>
    </row>
    <row r="18" spans="2:16" x14ac:dyDescent="0.3">
      <c r="B18" s="3" t="s">
        <v>10</v>
      </c>
      <c r="C18" s="6">
        <f t="shared" ref="C18:H29" si="10">C3-$B3</f>
        <v>-3.2571898973838024E-4</v>
      </c>
      <c r="D18" s="6">
        <f t="shared" si="10"/>
        <v>-6.1382481777006218E-4</v>
      </c>
      <c r="E18" s="6">
        <f t="shared" si="10"/>
        <v>3.4294070002987469E-4</v>
      </c>
      <c r="F18" s="6">
        <f t="shared" si="10"/>
        <v>-3.1565661233470387E-4</v>
      </c>
      <c r="G18" s="6">
        <f t="shared" si="10"/>
        <v>-8.4481944049425556E-4</v>
      </c>
      <c r="H18" s="6">
        <f t="shared" si="10"/>
        <v>-6.293162285573512E-4</v>
      </c>
      <c r="I18" s="28"/>
      <c r="J18" s="3" t="s">
        <v>10</v>
      </c>
      <c r="K18" s="5">
        <f t="shared" ref="K18:K29" si="11">($J3-$J2) * ((K3+K2))</f>
        <v>4.4317497549522015E-6</v>
      </c>
      <c r="L18" s="5">
        <f t="shared" ref="L18:P18" si="12">($J3-$J2) * ((L3+L2))</f>
        <v>3.5447679120307015E-6</v>
      </c>
      <c r="M18" s="5">
        <f t="shared" si="12"/>
        <v>2.2272888298190531E-5</v>
      </c>
      <c r="N18" s="5">
        <f t="shared" si="12"/>
        <v>9.2568312701674052E-6</v>
      </c>
      <c r="O18" s="5">
        <f t="shared" si="12"/>
        <v>8.2145815789150293E-6</v>
      </c>
      <c r="P18" s="5">
        <f t="shared" si="12"/>
        <v>6.9560229083540315E-6</v>
      </c>
    </row>
    <row r="19" spans="2:16" x14ac:dyDescent="0.3">
      <c r="B19" s="3" t="s">
        <v>11</v>
      </c>
      <c r="C19" s="6">
        <f t="shared" si="10"/>
        <v>-1.1724039922369166E-3</v>
      </c>
      <c r="D19" s="6">
        <f t="shared" si="10"/>
        <v>-5.6925643775762396E-4</v>
      </c>
      <c r="E19" s="6">
        <f t="shared" si="10"/>
        <v>1.133111091072979E-4</v>
      </c>
      <c r="F19" s="6">
        <f t="shared" si="10"/>
        <v>2.81700015146393E-3</v>
      </c>
      <c r="G19" s="6">
        <f t="shared" si="10"/>
        <v>-8.7724926805654829E-4</v>
      </c>
      <c r="H19" s="6">
        <f t="shared" si="10"/>
        <v>-8.5894581947992799E-4</v>
      </c>
      <c r="I19" s="28"/>
      <c r="J19" s="3" t="s">
        <v>11</v>
      </c>
      <c r="K19" s="5">
        <f t="shared" si="11"/>
        <v>7.8131354087266419E-6</v>
      </c>
      <c r="L19" s="5">
        <f t="shared" ref="L19:P19" si="13">($J4-$J3) * ((L4+L3))</f>
        <v>7.3092331077496421E-6</v>
      </c>
      <c r="M19" s="5">
        <f t="shared" si="13"/>
        <v>3.1762487064648269E-5</v>
      </c>
      <c r="N19" s="5">
        <f t="shared" si="13"/>
        <v>2.0072871343345587E-5</v>
      </c>
      <c r="O19" s="5">
        <f t="shared" si="13"/>
        <v>1.1827596050861095E-5</v>
      </c>
      <c r="P19" s="5">
        <f t="shared" si="13"/>
        <v>1.0757374150106109E-5</v>
      </c>
    </row>
    <row r="20" spans="2:16" x14ac:dyDescent="0.3">
      <c r="B20" s="3" t="s">
        <v>12</v>
      </c>
      <c r="C20" s="6">
        <f t="shared" si="10"/>
        <v>-1.0078984444777403E-3</v>
      </c>
      <c r="D20" s="6">
        <f t="shared" si="10"/>
        <v>2.2577247078547609E-4</v>
      </c>
      <c r="E20" s="6">
        <f t="shared" si="10"/>
        <v>-2.0845563265253688E-4</v>
      </c>
      <c r="F20" s="6">
        <f t="shared" si="10"/>
        <v>-9.8115188460920553E-4</v>
      </c>
      <c r="G20" s="6">
        <f t="shared" si="10"/>
        <v>-1.6504099775488076E-3</v>
      </c>
      <c r="H20" s="6">
        <f t="shared" si="10"/>
        <v>-2.2420092676296594E-3</v>
      </c>
      <c r="I20" s="28"/>
      <c r="J20" s="3" t="s">
        <v>12</v>
      </c>
      <c r="K20" s="5">
        <f t="shared" si="11"/>
        <v>1.4387817094501085E-5</v>
      </c>
      <c r="L20" s="5">
        <f t="shared" ref="L20:P20" si="14">($J5-$J4) * ((L5+L4))</f>
        <v>1.7827877368045E-5</v>
      </c>
      <c r="M20" s="5">
        <f t="shared" si="14"/>
        <v>5.1291518578207761E-5</v>
      </c>
      <c r="N20" s="5">
        <f t="shared" si="14"/>
        <v>3.9890050012463822E-5</v>
      </c>
      <c r="O20" s="5">
        <f t="shared" si="14"/>
        <v>1.901131897220969E-5</v>
      </c>
      <c r="P20" s="5">
        <f t="shared" si="14"/>
        <v>1.6285781605058057E-5</v>
      </c>
    </row>
    <row r="21" spans="2:16" x14ac:dyDescent="0.3">
      <c r="B21" s="3" t="s">
        <v>13</v>
      </c>
      <c r="C21" s="6">
        <f t="shared" si="10"/>
        <v>-4.6351495136731386E-4</v>
      </c>
      <c r="D21" s="6">
        <f t="shared" si="10"/>
        <v>-3.1316797063619299E-4</v>
      </c>
      <c r="E21" s="6">
        <f t="shared" si="10"/>
        <v>-2.0383708624977827E-3</v>
      </c>
      <c r="F21" s="6">
        <f t="shared" si="10"/>
        <v>4.089710823796229E-3</v>
      </c>
      <c r="G21" s="6">
        <f t="shared" si="10"/>
        <v>3.8468440376235951E-3</v>
      </c>
      <c r="H21" s="6">
        <f t="shared" si="10"/>
        <v>1.7874673321201938E-3</v>
      </c>
      <c r="I21" s="28"/>
      <c r="J21" s="3" t="s">
        <v>13</v>
      </c>
      <c r="K21" s="5">
        <f t="shared" si="11"/>
        <v>3.1294243791048576E-5</v>
      </c>
      <c r="L21" s="5">
        <f t="shared" ref="L21:P21" si="15">($J6-$J5) * ((L6+L5))</f>
        <v>4.0210334148435575E-5</v>
      </c>
      <c r="M21" s="5">
        <f t="shared" si="15"/>
        <v>7.9213285042858934E-5</v>
      </c>
      <c r="N21" s="5">
        <f t="shared" si="15"/>
        <v>8.0038192232760778E-5</v>
      </c>
      <c r="O21" s="5">
        <f t="shared" si="15"/>
        <v>4.8800426361446237E-5</v>
      </c>
      <c r="P21" s="5">
        <f t="shared" si="15"/>
        <v>3.6987260048260828E-5</v>
      </c>
    </row>
    <row r="22" spans="2:16" x14ac:dyDescent="0.3">
      <c r="B22" s="3" t="s">
        <v>14</v>
      </c>
      <c r="C22" s="6">
        <f t="shared" si="10"/>
        <v>-1.087955621332409E-3</v>
      </c>
      <c r="D22" s="6">
        <f t="shared" si="10"/>
        <v>6.9367132791213568E-4</v>
      </c>
      <c r="E22" s="6">
        <f t="shared" si="10"/>
        <v>-2.5025402514389033E-3</v>
      </c>
      <c r="F22" s="6">
        <f t="shared" si="10"/>
        <v>1.513998824314103E-3</v>
      </c>
      <c r="G22" s="6">
        <f t="shared" si="10"/>
        <v>4.0837012604246119E-3</v>
      </c>
      <c r="H22" s="6">
        <f t="shared" si="10"/>
        <v>3.6842881803982744E-3</v>
      </c>
      <c r="I22" s="28"/>
      <c r="J22" s="3" t="s">
        <v>14</v>
      </c>
      <c r="K22" s="5">
        <f t="shared" si="11"/>
        <v>7.9217401476689429E-5</v>
      </c>
      <c r="L22" s="5">
        <f t="shared" ref="L22:P22" si="16">($J7-$J6) * ((L7+L6))</f>
        <v>1.0245200742568604E-4</v>
      </c>
      <c r="M22" s="5">
        <f t="shared" si="16"/>
        <v>1.4003129904439224E-4</v>
      </c>
      <c r="N22" s="5">
        <f t="shared" si="16"/>
        <v>1.8992036000182845E-4</v>
      </c>
      <c r="O22" s="5">
        <f t="shared" si="16"/>
        <v>1.5208763214689307E-4</v>
      </c>
      <c r="P22" s="5">
        <f t="shared" si="16"/>
        <v>1.217869853590212E-4</v>
      </c>
    </row>
    <row r="23" spans="2:16" x14ac:dyDescent="0.3">
      <c r="B23" s="3" t="s">
        <v>15</v>
      </c>
      <c r="C23" s="6">
        <f t="shared" si="10"/>
        <v>-1.5615358394996852E-3</v>
      </c>
      <c r="D23" s="6">
        <f t="shared" si="10"/>
        <v>3.0221852865875299E-4</v>
      </c>
      <c r="E23" s="6">
        <f t="shared" si="10"/>
        <v>6.0471451082905452E-4</v>
      </c>
      <c r="F23" s="6">
        <f t="shared" si="10"/>
        <v>1.9761582695575035E-5</v>
      </c>
      <c r="G23" s="6">
        <f t="shared" si="10"/>
        <v>-1.8631397722806307E-3</v>
      </c>
      <c r="H23" s="6">
        <f t="shared" si="10"/>
        <v>6.5057539784286285E-3</v>
      </c>
      <c r="I23" s="28"/>
      <c r="J23" s="3" t="s">
        <v>15</v>
      </c>
      <c r="K23" s="5">
        <f t="shared" si="11"/>
        <v>1.4820029132041451E-4</v>
      </c>
      <c r="L23" s="5">
        <f t="shared" ref="L23:P23" si="17">($J8-$J7) * ((L8+L7))</f>
        <v>1.9921154679035865E-4</v>
      </c>
      <c r="M23" s="5">
        <f t="shared" si="17"/>
        <v>2.2894006619903132E-4</v>
      </c>
      <c r="N23" s="5">
        <f t="shared" si="17"/>
        <v>3.1207736226619319E-4</v>
      </c>
      <c r="O23" s="5">
        <f t="shared" si="17"/>
        <v>2.6878012231239934E-4</v>
      </c>
      <c r="P23" s="5">
        <f t="shared" si="17"/>
        <v>2.7865153443396224E-4</v>
      </c>
    </row>
    <row r="24" spans="2:16" x14ac:dyDescent="0.3">
      <c r="B24" s="3" t="s">
        <v>16</v>
      </c>
      <c r="C24" s="6">
        <f t="shared" si="10"/>
        <v>-4.2837026581503974E-3</v>
      </c>
      <c r="D24" s="6">
        <f t="shared" si="10"/>
        <v>-1.378787834638566E-3</v>
      </c>
      <c r="E24" s="6">
        <f t="shared" si="10"/>
        <v>3.6075169037170455E-3</v>
      </c>
      <c r="F24" s="6">
        <f t="shared" si="10"/>
        <v>5.4633696309024943E-3</v>
      </c>
      <c r="G24" s="6">
        <f t="shared" si="10"/>
        <v>1.4044266758874971E-2</v>
      </c>
      <c r="H24" s="6">
        <f t="shared" si="10"/>
        <v>1.5482838236786133E-2</v>
      </c>
      <c r="I24" s="28"/>
      <c r="J24" s="3" t="s">
        <v>16</v>
      </c>
      <c r="K24" s="5">
        <f t="shared" si="11"/>
        <v>5.005731926609919E-4</v>
      </c>
      <c r="L24" s="5">
        <f t="shared" ref="L24:P24" si="18">($J9-$J8) * ((L9+L8))</f>
        <v>6.7525615831254954E-4</v>
      </c>
      <c r="M24" s="5">
        <f t="shared" si="18"/>
        <v>8.1010949200109291E-4</v>
      </c>
      <c r="N24" s="5">
        <f t="shared" si="18"/>
        <v>1.0091912888637975E-3</v>
      </c>
      <c r="O24" s="5">
        <f t="shared" si="18"/>
        <v>1.002435422155367E-3</v>
      </c>
      <c r="P24" s="5">
        <f t="shared" si="18"/>
        <v>1.1532438365259056E-3</v>
      </c>
    </row>
    <row r="25" spans="2:16" x14ac:dyDescent="0.3">
      <c r="B25" s="3" t="s">
        <v>17</v>
      </c>
      <c r="C25" s="6">
        <f t="shared" si="10"/>
        <v>-1.3138866179324138E-4</v>
      </c>
      <c r="D25" s="6">
        <f t="shared" si="10"/>
        <v>4.9088390534798299E-3</v>
      </c>
      <c r="E25" s="6">
        <f t="shared" si="10"/>
        <v>3.5051601168605423E-3</v>
      </c>
      <c r="F25" s="6">
        <f>F10-$B10</f>
        <v>1.5580702446498791E-2</v>
      </c>
      <c r="G25" s="6">
        <f t="shared" si="10"/>
        <v>1.7481229669928884E-2</v>
      </c>
      <c r="H25" s="6">
        <f t="shared" si="10"/>
        <v>1.6928624683337355E-2</v>
      </c>
      <c r="I25" s="28"/>
      <c r="J25" s="3" t="s">
        <v>17</v>
      </c>
      <c r="K25" s="5">
        <f t="shared" si="11"/>
        <v>2.1211430558103726E-3</v>
      </c>
      <c r="L25" s="5">
        <f t="shared" ref="L25:P25" si="19">($J10-$J9) * ((L10+L9))</f>
        <v>2.7207182659198265E-3</v>
      </c>
      <c r="M25" s="5">
        <f t="shared" si="19"/>
        <v>3.111471017041555E-3</v>
      </c>
      <c r="N25" s="5">
        <f t="shared" si="19"/>
        <v>3.9326466267370968E-3</v>
      </c>
      <c r="O25" s="5">
        <f t="shared" si="19"/>
        <v>4.2144451320884815E-3</v>
      </c>
      <c r="P25" s="5">
        <f t="shared" si="19"/>
        <v>4.5632147586209832E-3</v>
      </c>
    </row>
    <row r="26" spans="2:16" x14ac:dyDescent="0.3">
      <c r="B26" s="3" t="s">
        <v>18</v>
      </c>
      <c r="C26" s="6">
        <f t="shared" si="10"/>
        <v>-1.1394721327189158E-2</v>
      </c>
      <c r="D26" s="6">
        <f t="shared" si="10"/>
        <v>-4.6545541736967358E-3</v>
      </c>
      <c r="E26" s="6">
        <f t="shared" si="10"/>
        <v>-1.562344880458821E-2</v>
      </c>
      <c r="F26" s="6">
        <f t="shared" si="10"/>
        <v>-1.0185801026162938E-2</v>
      </c>
      <c r="G26" s="6">
        <f t="shared" si="10"/>
        <v>-2.9574504966218631E-2</v>
      </c>
      <c r="H26" s="6">
        <f t="shared" si="10"/>
        <v>-1.9848529873869775E-2</v>
      </c>
      <c r="I26" s="28"/>
      <c r="J26" s="3" t="s">
        <v>18</v>
      </c>
      <c r="K26" s="5">
        <f t="shared" si="11"/>
        <v>5.2755604972438627E-3</v>
      </c>
      <c r="L26" s="5">
        <f t="shared" ref="L26:P26" si="20">($J11-$J10) * ((L11+L10))</f>
        <v>6.5960190696497199E-3</v>
      </c>
      <c r="M26" s="5">
        <f t="shared" si="20"/>
        <v>6.6540580695224069E-3</v>
      </c>
      <c r="N26" s="5">
        <f t="shared" si="20"/>
        <v>8.5177408787520999E-3</v>
      </c>
      <c r="O26" s="5">
        <f t="shared" si="20"/>
        <v>8.2167545284382859E-3</v>
      </c>
      <c r="P26" s="5">
        <f t="shared" si="20"/>
        <v>9.0777497750057674E-3</v>
      </c>
    </row>
    <row r="27" spans="2:16" x14ac:dyDescent="0.3">
      <c r="B27" s="3" t="s">
        <v>19</v>
      </c>
      <c r="C27" s="6">
        <f t="shared" si="10"/>
        <v>-3.8568687406099464E-2</v>
      </c>
      <c r="D27" s="6">
        <f t="shared" si="10"/>
        <v>2.1188163321750136E-2</v>
      </c>
      <c r="E27" s="6">
        <f t="shared" si="10"/>
        <v>9.3747191509496688E-2</v>
      </c>
      <c r="F27" s="6">
        <f t="shared" si="10"/>
        <v>7.0690231637994053E-2</v>
      </c>
      <c r="G27" s="6">
        <f t="shared" si="10"/>
        <v>5.0211458902350417E-2</v>
      </c>
      <c r="H27" s="6">
        <f t="shared" si="10"/>
        <v>4.7018541668475786E-2</v>
      </c>
      <c r="I27" s="28"/>
      <c r="J27" s="3" t="s">
        <v>19</v>
      </c>
      <c r="K27" s="5">
        <f t="shared" si="11"/>
        <v>1.198588915802192E-2</v>
      </c>
      <c r="L27" s="5">
        <f t="shared" ref="L27:P27" si="21">($J12-$J11) * ((L12+L11))</f>
        <v>1.8389029602849875E-2</v>
      </c>
      <c r="M27" s="5">
        <f t="shared" si="21"/>
        <v>2.2446395565044509E-2</v>
      </c>
      <c r="N27" s="5">
        <f t="shared" si="21"/>
        <v>2.4309173904804065E-2</v>
      </c>
      <c r="O27" s="5">
        <f t="shared" si="21"/>
        <v>2.1259255777303761E-2</v>
      </c>
      <c r="P27" s="5">
        <f t="shared" si="21"/>
        <v>2.3064206620523574E-2</v>
      </c>
    </row>
    <row r="28" spans="2:16" x14ac:dyDescent="0.3">
      <c r="B28" s="3" t="s">
        <v>20</v>
      </c>
      <c r="C28" s="6">
        <f t="shared" si="10"/>
        <v>-5.9375394812879338E-2</v>
      </c>
      <c r="D28" s="6">
        <f t="shared" si="10"/>
        <v>-5.0306524491938447E-2</v>
      </c>
      <c r="E28" s="6">
        <f t="shared" si="10"/>
        <v>-5.0562670283292331E-2</v>
      </c>
      <c r="F28" s="6">
        <f t="shared" si="10"/>
        <v>-5.1341278028373932E-2</v>
      </c>
      <c r="G28" s="6">
        <f t="shared" si="10"/>
        <v>-4.3306230287410763E-2</v>
      </c>
      <c r="H28" s="6">
        <f t="shared" si="10"/>
        <v>-3.4949114407959503E-2</v>
      </c>
      <c r="I28" s="28"/>
      <c r="J28" s="3" t="s">
        <v>20</v>
      </c>
      <c r="K28" s="5">
        <f t="shared" si="11"/>
        <v>2.4952743079041974E-2</v>
      </c>
      <c r="L28" s="5">
        <f t="shared" ref="L28:P28" si="22">($J13-$J12) * ((L13+L12))</f>
        <v>4.1634846559842224E-2</v>
      </c>
      <c r="M28" s="5">
        <f t="shared" si="22"/>
        <v>5.5049205096756711E-2</v>
      </c>
      <c r="N28" s="5">
        <f t="shared" si="22"/>
        <v>5.5555361030653241E-2</v>
      </c>
      <c r="O28" s="5">
        <f t="shared" si="22"/>
        <v>4.9625289896538013E-2</v>
      </c>
      <c r="P28" s="5">
        <f t="shared" si="22"/>
        <v>5.2916670246248992E-2</v>
      </c>
    </row>
    <row r="29" spans="2:16" x14ac:dyDescent="0.3">
      <c r="B29" s="3" t="s">
        <v>21</v>
      </c>
      <c r="C29" s="6">
        <f t="shared" si="10"/>
        <v>0.11958168197873431</v>
      </c>
      <c r="D29" s="6">
        <f t="shared" si="10"/>
        <v>3.0890905043538086E-2</v>
      </c>
      <c r="E29" s="6">
        <f t="shared" si="10"/>
        <v>-3.6652544601126658E-2</v>
      </c>
      <c r="F29" s="6">
        <f t="shared" si="10"/>
        <v>-3.8816649644513479E-2</v>
      </c>
      <c r="G29" s="6">
        <f t="shared" si="10"/>
        <v>-1.2918695908384681E-2</v>
      </c>
      <c r="H29" s="6">
        <f t="shared" si="10"/>
        <v>-3.3701306804602704E-2</v>
      </c>
      <c r="I29" s="28"/>
      <c r="J29" s="3" t="s">
        <v>21</v>
      </c>
      <c r="K29" s="5">
        <f t="shared" si="11"/>
        <v>0.84174684683801193</v>
      </c>
      <c r="L29" s="5">
        <f t="shared" ref="L29:P29" si="23">($J14-$J13) * ((L14+L13))</f>
        <v>0.90690528483444544</v>
      </c>
      <c r="M29" s="5">
        <f t="shared" si="23"/>
        <v>0.95652741948947051</v>
      </c>
      <c r="N29" s="5">
        <f t="shared" si="23"/>
        <v>0.95811732217337997</v>
      </c>
      <c r="O29" s="5">
        <f t="shared" si="23"/>
        <v>0.93909087690970805</v>
      </c>
      <c r="P29" s="5">
        <f t="shared" si="23"/>
        <v>0.95435923411977808</v>
      </c>
    </row>
    <row r="30" spans="2:16" x14ac:dyDescent="0.3">
      <c r="J30" s="19" t="s">
        <v>34</v>
      </c>
      <c r="K30" s="18">
        <f>SUM(K17:K29)</f>
        <v>0.88686928130419618</v>
      </c>
      <c r="L30" s="18">
        <f t="shared" ref="L30:P30" si="24">SUM(L17:L29)</f>
        <v>0.97729269411952058</v>
      </c>
      <c r="M30" s="18">
        <f t="shared" si="24"/>
        <v>1.0451603790422841</v>
      </c>
      <c r="N30" s="18">
        <f t="shared" si="24"/>
        <v>1.052095875222701</v>
      </c>
      <c r="O30" s="18">
        <f t="shared" si="24"/>
        <v>1.023920845528455</v>
      </c>
      <c r="P30" s="18">
        <f t="shared" si="24"/>
        <v>1.0456081576484051</v>
      </c>
    </row>
    <row r="31" spans="2:16" x14ac:dyDescent="0.3">
      <c r="J31" s="22" t="s">
        <v>35</v>
      </c>
      <c r="K31" s="24">
        <f>1-K30</f>
        <v>0.11313071869580382</v>
      </c>
      <c r="L31" s="24">
        <f t="shared" ref="L31:P31" si="25">1-L30</f>
        <v>2.2707305880479423E-2</v>
      </c>
      <c r="M31" s="24">
        <f t="shared" si="25"/>
        <v>-4.5160379042284093E-2</v>
      </c>
      <c r="N31" s="24">
        <f t="shared" si="25"/>
        <v>-5.2095875222700982E-2</v>
      </c>
      <c r="O31" s="24">
        <f t="shared" si="25"/>
        <v>-2.392084552845497E-2</v>
      </c>
      <c r="P31" s="24">
        <f t="shared" si="25"/>
        <v>-4.560815764840509E-2</v>
      </c>
    </row>
    <row r="32" spans="2:16" x14ac:dyDescent="0.3">
      <c r="B32" s="20"/>
      <c r="C32" s="21"/>
      <c r="D32" s="21"/>
      <c r="E32" s="21"/>
      <c r="F32" s="21"/>
      <c r="G32" s="21"/>
    </row>
    <row r="33" spans="2:2" x14ac:dyDescent="0.3">
      <c r="B33" s="21"/>
    </row>
  </sheetData>
  <sortState xmlns:xlrd2="http://schemas.microsoft.com/office/spreadsheetml/2017/richdata2" ref="A2:H14">
    <sortCondition ref="B2:B14"/>
  </sortState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53EB-D70A-4E24-BC32-8125C2093B7E}">
  <dimension ref="A1:P934"/>
  <sheetViews>
    <sheetView zoomScale="62" workbookViewId="0">
      <selection activeCell="I1" sqref="I1"/>
    </sheetView>
  </sheetViews>
  <sheetFormatPr defaultRowHeight="14.4" x14ac:dyDescent="0.3"/>
  <cols>
    <col min="1" max="1" width="32" customWidth="1"/>
    <col min="2" max="6" width="10.77734375" style="4" customWidth="1"/>
    <col min="7" max="7" width="14" style="9" customWidth="1"/>
    <col min="8" max="8" width="10.77734375" style="9" customWidth="1"/>
    <col min="9" max="9" width="11" style="9" customWidth="1"/>
    <col min="10" max="10" width="18.77734375" customWidth="1"/>
    <col min="11" max="14" width="10.77734375" customWidth="1"/>
    <col min="15" max="15" width="14.21875" customWidth="1"/>
    <col min="16" max="16" width="10.77734375" customWidth="1"/>
  </cols>
  <sheetData>
    <row r="1" spans="1:16" ht="23.4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30" t="s">
        <v>1</v>
      </c>
      <c r="J1" s="11" t="s">
        <v>1</v>
      </c>
      <c r="K1" s="12" t="s">
        <v>2</v>
      </c>
      <c r="L1" s="12" t="s">
        <v>3</v>
      </c>
      <c r="M1" s="12" t="s">
        <v>4</v>
      </c>
      <c r="N1" s="11" t="s">
        <v>5</v>
      </c>
      <c r="O1" s="12" t="s">
        <v>6</v>
      </c>
      <c r="P1" s="12" t="s">
        <v>7</v>
      </c>
    </row>
    <row r="2" spans="1:16" x14ac:dyDescent="0.3">
      <c r="A2" s="3" t="s">
        <v>36</v>
      </c>
      <c r="B2" s="8">
        <v>6.7411848362175977E-3</v>
      </c>
      <c r="C2" s="8">
        <v>5.8528428093645481E-3</v>
      </c>
      <c r="D2" s="8">
        <v>4.3731778425655978E-3</v>
      </c>
      <c r="E2" s="8">
        <v>1.0934393638170975E-2</v>
      </c>
      <c r="F2" s="8">
        <v>8.4865629420084864E-3</v>
      </c>
      <c r="G2" s="8">
        <v>8.5603112840466934E-3</v>
      </c>
      <c r="H2" s="8">
        <v>2.2263450834879406E-2</v>
      </c>
      <c r="I2" s="7">
        <v>6.7411848362175977E-3</v>
      </c>
      <c r="J2" s="7">
        <f t="shared" ref="I2:P2" si="0">B2</f>
        <v>6.7411848362175977E-3</v>
      </c>
      <c r="K2" s="7">
        <f t="shared" si="0"/>
        <v>5.8528428093645481E-3</v>
      </c>
      <c r="L2" s="7">
        <f t="shared" si="0"/>
        <v>4.3731778425655978E-3</v>
      </c>
      <c r="M2" s="7">
        <f t="shared" si="0"/>
        <v>1.0934393638170975E-2</v>
      </c>
      <c r="N2" s="7">
        <f t="shared" si="0"/>
        <v>8.4865629420084864E-3</v>
      </c>
      <c r="O2" s="7">
        <f t="shared" si="0"/>
        <v>8.5603112840466934E-3</v>
      </c>
      <c r="P2" s="7">
        <f t="shared" si="0"/>
        <v>2.2263450834879406E-2</v>
      </c>
    </row>
    <row r="3" spans="1:16" x14ac:dyDescent="0.3">
      <c r="A3" s="3" t="s">
        <v>37</v>
      </c>
      <c r="B3" s="8">
        <v>6.7920718095541635E-3</v>
      </c>
      <c r="C3" s="8">
        <v>6.688963210702341E-3</v>
      </c>
      <c r="D3" s="8">
        <v>7.2886297376093291E-3</v>
      </c>
      <c r="E3" s="8">
        <v>9.9403578528827028E-4</v>
      </c>
      <c r="F3" s="8">
        <v>4.2432814710042432E-3</v>
      </c>
      <c r="G3" s="8">
        <v>1.1673151750972763E-2</v>
      </c>
      <c r="H3" s="8">
        <v>2.5974025974025976E-2</v>
      </c>
      <c r="I3" s="7">
        <v>1.3533256645771761E-2</v>
      </c>
      <c r="J3" s="7">
        <f t="shared" ref="I3:J14" si="1">J2+B3</f>
        <v>1.3533256645771761E-2</v>
      </c>
      <c r="K3" s="7">
        <f t="shared" ref="K3:K14" si="2">K2+C3</f>
        <v>1.2541806020066888E-2</v>
      </c>
      <c r="L3" s="7">
        <f t="shared" ref="L3:L14" si="3">L2+D3</f>
        <v>1.1661807580174927E-2</v>
      </c>
      <c r="M3" s="7">
        <f t="shared" ref="M3:M14" si="4">M2+E3</f>
        <v>1.1928429423459246E-2</v>
      </c>
      <c r="N3" s="7">
        <f t="shared" ref="N3:N14" si="5">N2+F3</f>
        <v>1.2729844413012729E-2</v>
      </c>
      <c r="O3" s="7">
        <f t="shared" ref="O3:O14" si="6">O2+G3</f>
        <v>2.0233463035019456E-2</v>
      </c>
      <c r="P3" s="7">
        <f t="shared" ref="P3:P14" si="7">P2+H3</f>
        <v>4.8237476808905382E-2</v>
      </c>
    </row>
    <row r="4" spans="1:16" x14ac:dyDescent="0.3">
      <c r="A4" s="3" t="s">
        <v>38</v>
      </c>
      <c r="B4" s="8">
        <v>7.9330113169950433E-3</v>
      </c>
      <c r="C4" s="8">
        <v>9.1973244147157199E-3</v>
      </c>
      <c r="D4" s="8">
        <v>5.8309037900874635E-3</v>
      </c>
      <c r="E4" s="8">
        <v>8.9463220675944331E-3</v>
      </c>
      <c r="F4" s="8">
        <v>8.4865629420084864E-3</v>
      </c>
      <c r="G4" s="8">
        <v>1.1673151750972763E-2</v>
      </c>
      <c r="H4" s="8">
        <v>7.4211502782931356E-3</v>
      </c>
      <c r="I4" s="7">
        <v>2.1466267962766804E-2</v>
      </c>
      <c r="J4" s="7">
        <f t="shared" si="1"/>
        <v>2.1466267962766804E-2</v>
      </c>
      <c r="K4" s="7">
        <f t="shared" si="2"/>
        <v>2.1739130434782608E-2</v>
      </c>
      <c r="L4" s="7">
        <f t="shared" si="3"/>
        <v>1.7492711370262391E-2</v>
      </c>
      <c r="M4" s="7">
        <f t="shared" si="4"/>
        <v>2.0874751491053681E-2</v>
      </c>
      <c r="N4" s="7">
        <f t="shared" si="5"/>
        <v>2.1216407355021213E-2</v>
      </c>
      <c r="O4" s="7">
        <f t="shared" si="6"/>
        <v>3.1906614785992216E-2</v>
      </c>
      <c r="P4" s="7">
        <f t="shared" si="7"/>
        <v>5.5658627087198514E-2</v>
      </c>
    </row>
    <row r="5" spans="1:16" x14ac:dyDescent="0.3">
      <c r="A5" s="3" t="s">
        <v>39</v>
      </c>
      <c r="B5" s="8">
        <v>9.1757247711090548E-3</v>
      </c>
      <c r="C5" s="8">
        <v>8.3612040133779261E-3</v>
      </c>
      <c r="D5" s="8">
        <v>4.3731778425655978E-3</v>
      </c>
      <c r="E5" s="8">
        <v>4.970178926441352E-3</v>
      </c>
      <c r="F5" s="8">
        <v>1.272984441301273E-2</v>
      </c>
      <c r="G5" s="8">
        <v>1.0116731517509728E-2</v>
      </c>
      <c r="H5" s="8">
        <v>2.2263450834879406E-2</v>
      </c>
      <c r="I5" s="7">
        <v>3.0641992733875859E-2</v>
      </c>
      <c r="J5" s="7">
        <f t="shared" si="1"/>
        <v>3.0641992733875859E-2</v>
      </c>
      <c r="K5" s="7">
        <f t="shared" si="2"/>
        <v>3.0100334448160536E-2</v>
      </c>
      <c r="L5" s="7">
        <f t="shared" si="3"/>
        <v>2.1865889212827991E-2</v>
      </c>
      <c r="M5" s="7">
        <f t="shared" si="4"/>
        <v>2.5844930417495034E-2</v>
      </c>
      <c r="N5" s="7">
        <f t="shared" si="5"/>
        <v>3.3946251768033946E-2</v>
      </c>
      <c r="O5" s="7">
        <f t="shared" si="6"/>
        <v>4.2023346303501942E-2</v>
      </c>
      <c r="P5" s="7">
        <f t="shared" si="7"/>
        <v>7.792207792207792E-2</v>
      </c>
    </row>
    <row r="6" spans="1:16" x14ac:dyDescent="0.3">
      <c r="A6" s="3" t="s">
        <v>40</v>
      </c>
      <c r="B6" s="8">
        <v>1.0180072929067576E-2</v>
      </c>
      <c r="C6" s="8">
        <v>6.688963210702341E-3</v>
      </c>
      <c r="D6" s="8">
        <v>2.9154518950437317E-3</v>
      </c>
      <c r="E6" s="8">
        <v>2.982107355864811E-3</v>
      </c>
      <c r="F6" s="8">
        <v>6.6006600660066007E-3</v>
      </c>
      <c r="G6" s="8">
        <v>9.3385214007782099E-3</v>
      </c>
      <c r="H6" s="8">
        <v>1.4842300556586271E-2</v>
      </c>
      <c r="I6" s="7">
        <v>4.0822065662943434E-2</v>
      </c>
      <c r="J6" s="7">
        <f t="shared" si="1"/>
        <v>4.0822065662943434E-2</v>
      </c>
      <c r="K6" s="7">
        <f t="shared" si="2"/>
        <v>3.678929765886288E-2</v>
      </c>
      <c r="L6" s="7">
        <f t="shared" si="3"/>
        <v>2.4781341107871724E-2</v>
      </c>
      <c r="M6" s="7">
        <f t="shared" si="4"/>
        <v>2.8827037773359845E-2</v>
      </c>
      <c r="N6" s="7">
        <f t="shared" si="5"/>
        <v>4.054691183404055E-2</v>
      </c>
      <c r="O6" s="7">
        <f t="shared" si="6"/>
        <v>5.1361867704280154E-2</v>
      </c>
      <c r="P6" s="7">
        <f t="shared" si="7"/>
        <v>9.2764378478664186E-2</v>
      </c>
    </row>
    <row r="7" spans="1:16" x14ac:dyDescent="0.3">
      <c r="A7" s="3" t="s">
        <v>41</v>
      </c>
      <c r="B7" s="8">
        <v>2.1177015693274751E-2</v>
      </c>
      <c r="C7" s="8">
        <v>1.254180602006689E-2</v>
      </c>
      <c r="D7" s="8">
        <v>1.1661807580174927E-2</v>
      </c>
      <c r="E7" s="8">
        <v>1.9880715705765406E-3</v>
      </c>
      <c r="F7" s="8">
        <v>2.828854314002829E-3</v>
      </c>
      <c r="G7" s="8">
        <v>6.2256809338521405E-3</v>
      </c>
      <c r="H7" s="8">
        <v>7.4211502782931356E-3</v>
      </c>
      <c r="I7" s="7">
        <v>6.1999081356218184E-2</v>
      </c>
      <c r="J7" s="7">
        <f t="shared" si="1"/>
        <v>6.1999081356218184E-2</v>
      </c>
      <c r="K7" s="7">
        <f t="shared" si="2"/>
        <v>4.9331103678929768E-2</v>
      </c>
      <c r="L7" s="7">
        <f t="shared" si="3"/>
        <v>3.6443148688046649E-2</v>
      </c>
      <c r="M7" s="7">
        <f t="shared" si="4"/>
        <v>3.0815109343936387E-2</v>
      </c>
      <c r="N7" s="7">
        <f t="shared" si="5"/>
        <v>4.3375766148043379E-2</v>
      </c>
      <c r="O7" s="7">
        <f t="shared" si="6"/>
        <v>5.7587548638132292E-2</v>
      </c>
      <c r="P7" s="7">
        <f t="shared" si="7"/>
        <v>0.10018552875695733</v>
      </c>
    </row>
    <row r="8" spans="1:16" x14ac:dyDescent="0.3">
      <c r="A8" s="3" t="s">
        <v>42</v>
      </c>
      <c r="B8" s="8">
        <v>3.7258638398506599E-2</v>
      </c>
      <c r="C8" s="8">
        <v>2.25752508361204E-2</v>
      </c>
      <c r="D8" s="8">
        <v>2.478134110787172E-2</v>
      </c>
      <c r="E8" s="8">
        <v>2.0874751491053677E-2</v>
      </c>
      <c r="F8" s="8">
        <v>3.6775106082036775E-2</v>
      </c>
      <c r="G8" s="8">
        <v>2.2568093385214007E-2</v>
      </c>
      <c r="H8" s="8">
        <v>4.4526901669758812E-2</v>
      </c>
      <c r="I8" s="7">
        <v>9.9257719754724777E-2</v>
      </c>
      <c r="J8" s="7">
        <f t="shared" si="1"/>
        <v>9.9257719754724777E-2</v>
      </c>
      <c r="K8" s="7">
        <f t="shared" si="2"/>
        <v>7.1906354515050175E-2</v>
      </c>
      <c r="L8" s="7">
        <f t="shared" si="3"/>
        <v>6.1224489795918366E-2</v>
      </c>
      <c r="M8" s="7">
        <f t="shared" si="4"/>
        <v>5.1689860834990067E-2</v>
      </c>
      <c r="N8" s="7">
        <f t="shared" si="5"/>
        <v>8.0150872230080161E-2</v>
      </c>
      <c r="O8" s="7">
        <f t="shared" si="6"/>
        <v>8.0155642023346296E-2</v>
      </c>
      <c r="P8" s="7">
        <f t="shared" si="7"/>
        <v>0.14471243042671614</v>
      </c>
    </row>
    <row r="9" spans="1:16" x14ac:dyDescent="0.3">
      <c r="A9" s="3" t="s">
        <v>43</v>
      </c>
      <c r="B9" s="8">
        <v>4.2358048779181333E-2</v>
      </c>
      <c r="C9" s="8">
        <v>8.1103678929765888E-2</v>
      </c>
      <c r="D9" s="8">
        <v>0.11078717201166181</v>
      </c>
      <c r="E9" s="8">
        <v>5.168986083499006E-2</v>
      </c>
      <c r="F9" s="8">
        <v>6.7892503536067891E-2</v>
      </c>
      <c r="G9" s="8">
        <v>6.3035019455252916E-2</v>
      </c>
      <c r="H9" s="8">
        <v>7.9777365491651209E-2</v>
      </c>
      <c r="I9" s="7">
        <v>0.14161576853390612</v>
      </c>
      <c r="J9" s="7">
        <f t="shared" si="1"/>
        <v>0.14161576853390612</v>
      </c>
      <c r="K9" s="7">
        <f t="shared" si="2"/>
        <v>0.15301003344481606</v>
      </c>
      <c r="L9" s="7">
        <f t="shared" si="3"/>
        <v>0.17201166180758018</v>
      </c>
      <c r="M9" s="7">
        <f t="shared" si="4"/>
        <v>0.10337972166998013</v>
      </c>
      <c r="N9" s="7">
        <f t="shared" si="5"/>
        <v>0.14804337576614807</v>
      </c>
      <c r="O9" s="7">
        <f t="shared" si="6"/>
        <v>0.14319066147859921</v>
      </c>
      <c r="P9" s="7">
        <f t="shared" si="7"/>
        <v>0.22448979591836735</v>
      </c>
    </row>
    <row r="10" spans="1:16" x14ac:dyDescent="0.3">
      <c r="A10" s="3" t="s">
        <v>44</v>
      </c>
      <c r="B10" s="8">
        <v>4.378422316348244E-2</v>
      </c>
      <c r="C10" s="8">
        <v>1.588628762541806E-2</v>
      </c>
      <c r="D10" s="8">
        <v>2.3323615160349854E-2</v>
      </c>
      <c r="E10" s="8">
        <v>4.1749502982107355E-2</v>
      </c>
      <c r="F10" s="8">
        <v>2.6874115983026876E-2</v>
      </c>
      <c r="G10" s="8">
        <v>3.8132295719844361E-2</v>
      </c>
      <c r="H10" s="8">
        <v>7.4211502782931357E-2</v>
      </c>
      <c r="I10" s="7">
        <v>0.18539999169738855</v>
      </c>
      <c r="J10" s="7">
        <f t="shared" si="1"/>
        <v>0.18539999169738855</v>
      </c>
      <c r="K10" s="7">
        <f t="shared" si="2"/>
        <v>0.16889632107023411</v>
      </c>
      <c r="L10" s="7">
        <f t="shared" si="3"/>
        <v>0.19533527696793004</v>
      </c>
      <c r="M10" s="7">
        <f t="shared" si="4"/>
        <v>0.1451292246520875</v>
      </c>
      <c r="N10" s="7">
        <f t="shared" si="5"/>
        <v>0.17491749174917495</v>
      </c>
      <c r="O10" s="7">
        <f t="shared" si="6"/>
        <v>0.18132295719844357</v>
      </c>
      <c r="P10" s="7">
        <f t="shared" si="7"/>
        <v>0.29870129870129869</v>
      </c>
    </row>
    <row r="11" spans="1:16" x14ac:dyDescent="0.3">
      <c r="A11" s="3" t="s">
        <v>45</v>
      </c>
      <c r="B11" s="8">
        <v>5.5182905190873016E-2</v>
      </c>
      <c r="C11" s="8">
        <v>9.2809364548494977E-2</v>
      </c>
      <c r="D11" s="8">
        <v>7.2886297376093298E-2</v>
      </c>
      <c r="E11" s="8">
        <v>6.8588469184890657E-2</v>
      </c>
      <c r="F11" s="8">
        <v>8.1565299387081569E-2</v>
      </c>
      <c r="G11" s="8">
        <v>7.7821011673151752E-2</v>
      </c>
      <c r="H11" s="8">
        <v>7.6066790352504632E-2</v>
      </c>
      <c r="I11" s="25">
        <v>0.24058289688826157</v>
      </c>
      <c r="J11" s="25">
        <f t="shared" si="1"/>
        <v>0.24058289688826157</v>
      </c>
      <c r="K11" s="25">
        <f t="shared" si="2"/>
        <v>0.26170568561872909</v>
      </c>
      <c r="L11" s="25">
        <f t="shared" si="3"/>
        <v>0.26822157434402333</v>
      </c>
      <c r="M11" s="25">
        <f t="shared" si="4"/>
        <v>0.21371769383697814</v>
      </c>
      <c r="N11" s="25">
        <f t="shared" si="5"/>
        <v>0.25648279113625649</v>
      </c>
      <c r="O11" s="25">
        <f t="shared" si="6"/>
        <v>0.2591439688715953</v>
      </c>
      <c r="P11" s="25">
        <f t="shared" si="7"/>
        <v>0.37476808905380332</v>
      </c>
    </row>
    <row r="12" spans="1:16" x14ac:dyDescent="0.3">
      <c r="A12" s="3" t="s">
        <v>46</v>
      </c>
      <c r="B12" s="8">
        <v>5.9673011022386251E-2</v>
      </c>
      <c r="C12" s="8">
        <v>3.5117056856187288E-2</v>
      </c>
      <c r="D12" s="8">
        <v>3.9358600583090382E-2</v>
      </c>
      <c r="E12" s="8">
        <v>3.0815109343936383E-2</v>
      </c>
      <c r="F12" s="8">
        <v>2.5459688826025461E-2</v>
      </c>
      <c r="G12" s="8">
        <v>1.3229571984435798E-2</v>
      </c>
      <c r="H12" s="8">
        <v>2.9684601113172542E-2</v>
      </c>
      <c r="I12" s="7">
        <v>0.30025590791064782</v>
      </c>
      <c r="J12" s="7">
        <f t="shared" si="1"/>
        <v>0.30025590791064782</v>
      </c>
      <c r="K12" s="7">
        <f t="shared" si="2"/>
        <v>0.29682274247491636</v>
      </c>
      <c r="L12" s="7">
        <f t="shared" si="3"/>
        <v>0.3075801749271137</v>
      </c>
      <c r="M12" s="7">
        <f t="shared" si="4"/>
        <v>0.24453280318091453</v>
      </c>
      <c r="N12" s="7">
        <f t="shared" si="5"/>
        <v>0.28194247996228194</v>
      </c>
      <c r="O12" s="7">
        <f t="shared" si="6"/>
        <v>0.2723735408560311</v>
      </c>
      <c r="P12" s="7">
        <f t="shared" si="7"/>
        <v>0.40445269016697588</v>
      </c>
    </row>
    <row r="13" spans="1:16" x14ac:dyDescent="0.3">
      <c r="A13" s="3" t="s">
        <v>47</v>
      </c>
      <c r="B13" s="8">
        <v>9.7103058173184445E-2</v>
      </c>
      <c r="C13" s="8">
        <v>0.11371237458193979</v>
      </c>
      <c r="D13" s="8">
        <v>0.20262390670553937</v>
      </c>
      <c r="E13" s="8">
        <v>5.168986083499006E-2</v>
      </c>
      <c r="F13" s="8">
        <v>9.3352192362093356E-2</v>
      </c>
      <c r="G13" s="8">
        <v>0.13618677042801555</v>
      </c>
      <c r="H13" s="8">
        <v>0.150278293135436</v>
      </c>
      <c r="I13" s="7">
        <v>0.39735896608383225</v>
      </c>
      <c r="J13" s="7">
        <f t="shared" si="1"/>
        <v>0.39735896608383225</v>
      </c>
      <c r="K13" s="7">
        <f t="shared" si="2"/>
        <v>0.41053511705685614</v>
      </c>
      <c r="L13" s="7">
        <f t="shared" si="3"/>
        <v>0.51020408163265307</v>
      </c>
      <c r="M13" s="7">
        <f t="shared" si="4"/>
        <v>0.29622266401590458</v>
      </c>
      <c r="N13" s="7">
        <f t="shared" si="5"/>
        <v>0.3752946723243753</v>
      </c>
      <c r="O13" s="7">
        <f t="shared" si="6"/>
        <v>0.40856031128404668</v>
      </c>
      <c r="P13" s="7">
        <f t="shared" si="7"/>
        <v>0.55473098330241188</v>
      </c>
    </row>
    <row r="14" spans="1:16" x14ac:dyDescent="0.3">
      <c r="A14" s="3" t="s">
        <v>48</v>
      </c>
      <c r="B14" s="8">
        <v>0.60264103391616775</v>
      </c>
      <c r="C14" s="8">
        <v>0.58946488294314381</v>
      </c>
      <c r="D14" s="8">
        <v>0.48979591836734693</v>
      </c>
      <c r="E14" s="8">
        <v>0.70377733598409542</v>
      </c>
      <c r="F14" s="8">
        <v>0.6247053276756247</v>
      </c>
      <c r="G14" s="8">
        <v>0.59143968871595332</v>
      </c>
      <c r="H14" s="8">
        <v>0.44526901669758812</v>
      </c>
      <c r="I14" s="7">
        <v>1</v>
      </c>
      <c r="J14" s="7">
        <f t="shared" si="1"/>
        <v>1</v>
      </c>
      <c r="K14" s="7">
        <f t="shared" si="2"/>
        <v>1</v>
      </c>
      <c r="L14" s="7">
        <f t="shared" si="3"/>
        <v>1</v>
      </c>
      <c r="M14" s="7">
        <f t="shared" si="4"/>
        <v>1</v>
      </c>
      <c r="N14" s="7">
        <f t="shared" si="5"/>
        <v>1</v>
      </c>
      <c r="O14" s="7">
        <f t="shared" si="6"/>
        <v>1</v>
      </c>
      <c r="P14" s="7">
        <f t="shared" si="7"/>
        <v>1</v>
      </c>
    </row>
    <row r="15" spans="1:16" x14ac:dyDescent="0.3">
      <c r="A15" s="14"/>
      <c r="B15" s="15"/>
      <c r="C15" s="9"/>
      <c r="D15" s="9"/>
      <c r="E15" s="9"/>
      <c r="F15" s="9"/>
      <c r="J15" s="4"/>
      <c r="K15" s="4"/>
      <c r="L15" s="4"/>
      <c r="M15" s="4"/>
      <c r="N15" s="4"/>
      <c r="O15" s="4"/>
      <c r="P15" s="4"/>
    </row>
    <row r="16" spans="1:16" x14ac:dyDescent="0.3">
      <c r="B16" s="1" t="s">
        <v>0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9"/>
      <c r="J16" s="5"/>
      <c r="K16" s="18" t="s">
        <v>28</v>
      </c>
      <c r="L16" s="18" t="s">
        <v>29</v>
      </c>
      <c r="M16" s="18" t="s">
        <v>30</v>
      </c>
      <c r="N16" s="18" t="s">
        <v>31</v>
      </c>
      <c r="O16" s="18" t="s">
        <v>32</v>
      </c>
      <c r="P16" s="18" t="s">
        <v>33</v>
      </c>
    </row>
    <row r="17" spans="2:16" x14ac:dyDescent="0.3">
      <c r="B17" s="3" t="s">
        <v>36</v>
      </c>
      <c r="C17" s="7">
        <f>C2-B2</f>
        <v>-8.883420268530496E-4</v>
      </c>
      <c r="D17" s="7">
        <f>D2-B2</f>
        <v>-2.3680069936519998E-3</v>
      </c>
      <c r="E17" s="7">
        <f>E2-B2</f>
        <v>4.1932088019533773E-3</v>
      </c>
      <c r="F17" s="7">
        <f>F2-B2</f>
        <v>1.7453781057908888E-3</v>
      </c>
      <c r="G17" s="7">
        <f>G2-B2</f>
        <v>1.8191264478290958E-3</v>
      </c>
      <c r="H17" s="7">
        <f>H2-B2</f>
        <v>1.5522265998661808E-2</v>
      </c>
      <c r="I17" s="7"/>
      <c r="J17" s="3" t="s">
        <v>36</v>
      </c>
      <c r="K17" s="5">
        <f>($J2-0) * ((K2+0))</f>
        <v>3.9455095195253496E-5</v>
      </c>
      <c r="L17" s="5">
        <f t="shared" ref="L17:P17" si="8">($J2-0) * ((L2+0))</f>
        <v>2.9480400158385996E-5</v>
      </c>
      <c r="M17" s="5">
        <f t="shared" si="8"/>
        <v>7.3710768586872353E-5</v>
      </c>
      <c r="N17" s="5">
        <f t="shared" si="8"/>
        <v>5.7209489416273812E-5</v>
      </c>
      <c r="O17" s="5">
        <f t="shared" si="8"/>
        <v>5.7706640621317962E-5</v>
      </c>
      <c r="P17" s="5">
        <f t="shared" si="8"/>
        <v>1.5008203716996505E-4</v>
      </c>
    </row>
    <row r="18" spans="2:16" x14ac:dyDescent="0.3">
      <c r="B18" s="3" t="s">
        <v>37</v>
      </c>
      <c r="C18" s="7">
        <f t="shared" ref="C18:C29" si="9">C3-B3</f>
        <v>-1.0310859885182249E-4</v>
      </c>
      <c r="D18" s="7">
        <f t="shared" ref="D18:D29" si="10">D3-B3</f>
        <v>4.965579280551656E-4</v>
      </c>
      <c r="E18" s="7">
        <f t="shared" ref="E18:E29" si="11">E3-B3</f>
        <v>-5.7980360242658934E-3</v>
      </c>
      <c r="F18" s="7">
        <f t="shared" ref="F18:F29" si="12">F3-B3</f>
        <v>-2.5487903385499203E-3</v>
      </c>
      <c r="G18" s="7">
        <f t="shared" ref="G18:G29" si="13">G3-B3</f>
        <v>4.8810799414185993E-3</v>
      </c>
      <c r="H18" s="7">
        <f t="shared" ref="H18:H29" si="14">H3-B3</f>
        <v>1.9181954164471812E-2</v>
      </c>
      <c r="I18" s="7"/>
      <c r="J18" s="3" t="s">
        <v>37</v>
      </c>
      <c r="K18" s="5">
        <f>($J3-$J2) * ((K3+K2))</f>
        <v>1.2493777576102976E-4</v>
      </c>
      <c r="L18" s="5">
        <f t="shared" ref="L18:P18" si="15">($J3-$J2) * ((L3+L2))</f>
        <v>1.0891077245640787E-4</v>
      </c>
      <c r="M18" s="5">
        <f t="shared" si="15"/>
        <v>1.5528593600372344E-4</v>
      </c>
      <c r="N18" s="5">
        <f t="shared" si="15"/>
        <v>1.4410336229605719E-4</v>
      </c>
      <c r="O18" s="5">
        <f t="shared" si="15"/>
        <v>1.9556938284319382E-4</v>
      </c>
      <c r="P18" s="5">
        <f t="shared" si="15"/>
        <v>4.7884736319676852E-4</v>
      </c>
    </row>
    <row r="19" spans="2:16" x14ac:dyDescent="0.3">
      <c r="B19" s="3" t="s">
        <v>38</v>
      </c>
      <c r="C19" s="7">
        <f t="shared" si="9"/>
        <v>1.2643130977206766E-3</v>
      </c>
      <c r="D19" s="7">
        <f t="shared" si="10"/>
        <v>-2.1021075269075798E-3</v>
      </c>
      <c r="E19" s="7">
        <f t="shared" si="11"/>
        <v>1.0133107505993898E-3</v>
      </c>
      <c r="F19" s="7">
        <f t="shared" si="12"/>
        <v>5.5355162501344313E-4</v>
      </c>
      <c r="G19" s="7">
        <f t="shared" si="13"/>
        <v>3.7401404339777195E-3</v>
      </c>
      <c r="H19" s="7">
        <f t="shared" si="14"/>
        <v>-5.1186103870190774E-4</v>
      </c>
      <c r="I19" s="7"/>
      <c r="J19" s="3" t="s">
        <v>38</v>
      </c>
      <c r="K19" s="5">
        <f t="shared" ref="K19:P29" si="16">($J4-$J3) * ((K4+K3))</f>
        <v>2.7195105685350897E-4</v>
      </c>
      <c r="L19" s="5">
        <f t="shared" si="16"/>
        <v>2.3128312877536568E-4</v>
      </c>
      <c r="M19" s="5">
        <f t="shared" si="16"/>
        <v>2.6022800542826682E-4</v>
      </c>
      <c r="N19" s="5">
        <f t="shared" si="16"/>
        <v>2.6929599944537625E-4</v>
      </c>
      <c r="O19" s="5">
        <f t="shared" si="16"/>
        <v>4.136278274230878E-4</v>
      </c>
      <c r="P19" s="5">
        <f t="shared" si="16"/>
        <v>8.2420896799948503E-4</v>
      </c>
    </row>
    <row r="20" spans="2:16" x14ac:dyDescent="0.3">
      <c r="B20" s="3" t="s">
        <v>39</v>
      </c>
      <c r="C20" s="7">
        <f t="shared" si="9"/>
        <v>-8.1452075773112871E-4</v>
      </c>
      <c r="D20" s="7">
        <f t="shared" si="10"/>
        <v>-4.802546928543457E-3</v>
      </c>
      <c r="E20" s="7">
        <f t="shared" si="11"/>
        <v>-4.2055458446677027E-3</v>
      </c>
      <c r="F20" s="7">
        <f t="shared" si="12"/>
        <v>3.5541196419036757E-3</v>
      </c>
      <c r="G20" s="7">
        <f t="shared" si="13"/>
        <v>9.4100674640067335E-4</v>
      </c>
      <c r="H20" s="7">
        <f t="shared" si="14"/>
        <v>1.3087726063770351E-2</v>
      </c>
      <c r="I20" s="7"/>
      <c r="J20" s="3" t="s">
        <v>39</v>
      </c>
      <c r="K20" s="5">
        <f t="shared" si="16"/>
        <v>4.7566466204745938E-4</v>
      </c>
      <c r="L20" s="5">
        <f t="shared" si="16"/>
        <v>3.6114368632644969E-4</v>
      </c>
      <c r="M20" s="5">
        <f t="shared" si="16"/>
        <v>4.28686942586606E-4</v>
      </c>
      <c r="N20" s="5">
        <f t="shared" si="16"/>
        <v>5.0615737775566206E-4</v>
      </c>
      <c r="O20" s="5">
        <f t="shared" si="16"/>
        <v>6.7836097529600002E-4</v>
      </c>
      <c r="P20" s="5">
        <f t="shared" si="16"/>
        <v>1.2256997838958291E-3</v>
      </c>
    </row>
    <row r="21" spans="2:16" x14ac:dyDescent="0.3">
      <c r="B21" s="3" t="s">
        <v>40</v>
      </c>
      <c r="C21" s="7">
        <f t="shared" si="9"/>
        <v>-3.4911097183652354E-3</v>
      </c>
      <c r="D21" s="7">
        <f t="shared" si="10"/>
        <v>-7.2646210340238451E-3</v>
      </c>
      <c r="E21" s="7">
        <f t="shared" si="11"/>
        <v>-7.1979655732027654E-3</v>
      </c>
      <c r="F21" s="7">
        <f t="shared" si="12"/>
        <v>-3.5794128630609757E-3</v>
      </c>
      <c r="G21" s="7">
        <f t="shared" si="13"/>
        <v>-8.4155152828936652E-4</v>
      </c>
      <c r="H21" s="7">
        <f t="shared" si="14"/>
        <v>4.6622276275186947E-3</v>
      </c>
      <c r="I21" s="7"/>
      <c r="J21" s="3" t="s">
        <v>40</v>
      </c>
      <c r="K21" s="5">
        <f t="shared" si="16"/>
        <v>6.8094133304799837E-4</v>
      </c>
      <c r="L21" s="5">
        <f t="shared" si="16"/>
        <v>4.748722066037353E-4</v>
      </c>
      <c r="M21" s="5">
        <f t="shared" si="16"/>
        <v>5.5656462335856524E-4</v>
      </c>
      <c r="N21" s="5">
        <f t="shared" si="16"/>
        <v>7.5834583818608066E-4</v>
      </c>
      <c r="O21" s="5">
        <f t="shared" si="16"/>
        <v>9.5066828909580469E-4</v>
      </c>
      <c r="P21" s="5">
        <f t="shared" si="16"/>
        <v>1.7376005741636675E-3</v>
      </c>
    </row>
    <row r="22" spans="2:16" x14ac:dyDescent="0.3">
      <c r="B22" s="3" t="s">
        <v>41</v>
      </c>
      <c r="C22" s="7">
        <f t="shared" si="9"/>
        <v>-8.6352096732078606E-3</v>
      </c>
      <c r="D22" s="7">
        <f t="shared" si="10"/>
        <v>-9.5152081130998236E-3</v>
      </c>
      <c r="E22" s="7">
        <f t="shared" si="11"/>
        <v>-1.9188944122698209E-2</v>
      </c>
      <c r="F22" s="7">
        <f t="shared" si="12"/>
        <v>-1.8348161379271921E-2</v>
      </c>
      <c r="G22" s="7">
        <f t="shared" si="13"/>
        <v>-1.495133475942261E-2</v>
      </c>
      <c r="H22" s="7">
        <f t="shared" si="14"/>
        <v>-1.3755865414981614E-2</v>
      </c>
      <c r="I22" s="7"/>
      <c r="J22" s="3" t="s">
        <v>41</v>
      </c>
      <c r="K22" s="5">
        <f t="shared" si="16"/>
        <v>1.8237730906415545E-3</v>
      </c>
      <c r="L22" s="5">
        <f t="shared" si="16"/>
        <v>1.2965519812209033E-3</v>
      </c>
      <c r="M22" s="5">
        <f t="shared" si="16"/>
        <v>1.2630426854835838E-3</v>
      </c>
      <c r="N22" s="5">
        <f t="shared" si="16"/>
        <v>1.7772318686482347E-3</v>
      </c>
      <c r="O22" s="5">
        <f t="shared" si="16"/>
        <v>2.3072234996563933E-3</v>
      </c>
      <c r="P22" s="5">
        <f t="shared" si="16"/>
        <v>4.0861032135446635E-3</v>
      </c>
    </row>
    <row r="23" spans="2:16" x14ac:dyDescent="0.3">
      <c r="B23" s="3" t="s">
        <v>42</v>
      </c>
      <c r="C23" s="7">
        <f t="shared" si="9"/>
        <v>-1.4683387562386199E-2</v>
      </c>
      <c r="D23" s="7">
        <f t="shared" si="10"/>
        <v>-1.2477297290634879E-2</v>
      </c>
      <c r="E23" s="7">
        <f t="shared" si="11"/>
        <v>-1.6383886907452922E-2</v>
      </c>
      <c r="F23" s="7">
        <f t="shared" si="12"/>
        <v>-4.8353231646982436E-4</v>
      </c>
      <c r="G23" s="7">
        <f t="shared" si="13"/>
        <v>-1.4690545013292592E-2</v>
      </c>
      <c r="H23" s="7">
        <f t="shared" si="14"/>
        <v>7.2682632712522122E-3</v>
      </c>
      <c r="I23" s="7"/>
      <c r="J23" s="3" t="s">
        <v>42</v>
      </c>
      <c r="K23" s="5">
        <f t="shared" si="16"/>
        <v>4.5171426152035583E-3</v>
      </c>
      <c r="L23" s="5">
        <f t="shared" si="16"/>
        <v>3.6389632255101187E-3</v>
      </c>
      <c r="M23" s="5">
        <f t="shared" si="16"/>
        <v>3.0740228499761906E-3</v>
      </c>
      <c r="N23" s="5">
        <f t="shared" si="16"/>
        <v>4.6024343519135919E-3</v>
      </c>
      <c r="O23" s="5">
        <f t="shared" si="16"/>
        <v>5.1321237327125804E-3</v>
      </c>
      <c r="P23" s="5">
        <f t="shared" si="16"/>
        <v>9.124564505756716E-3</v>
      </c>
    </row>
    <row r="24" spans="2:16" x14ac:dyDescent="0.3">
      <c r="B24" s="3" t="s">
        <v>43</v>
      </c>
      <c r="C24" s="7">
        <f t="shared" si="9"/>
        <v>3.8745630150584555E-2</v>
      </c>
      <c r="D24" s="7">
        <f t="shared" si="10"/>
        <v>6.8429123232480488E-2</v>
      </c>
      <c r="E24" s="7">
        <f t="shared" si="11"/>
        <v>9.3318120558087275E-3</v>
      </c>
      <c r="F24" s="7">
        <f t="shared" si="12"/>
        <v>2.5534454756886558E-2</v>
      </c>
      <c r="G24" s="7">
        <f t="shared" si="13"/>
        <v>2.0676970676071584E-2</v>
      </c>
      <c r="H24" s="7">
        <f t="shared" si="14"/>
        <v>3.7419316712469876E-2</v>
      </c>
      <c r="I24" s="7"/>
      <c r="J24" s="3" t="s">
        <v>43</v>
      </c>
      <c r="K24" s="5">
        <f t="shared" si="16"/>
        <v>9.5270193324412892E-3</v>
      </c>
      <c r="L24" s="5">
        <f t="shared" si="16"/>
        <v>9.8794282866895254E-3</v>
      </c>
      <c r="M24" s="5">
        <f t="shared" si="16"/>
        <v>6.5684449399128139E-3</v>
      </c>
      <c r="N24" s="5">
        <f t="shared" si="16"/>
        <v>9.6658630877528382E-3</v>
      </c>
      <c r="O24" s="5">
        <f t="shared" si="16"/>
        <v>9.4605136183852478E-3</v>
      </c>
      <c r="P24" s="5">
        <f t="shared" si="16"/>
        <v>1.5638685912907395E-2</v>
      </c>
    </row>
    <row r="25" spans="2:16" x14ac:dyDescent="0.3">
      <c r="B25" s="3" t="s">
        <v>44</v>
      </c>
      <c r="C25" s="7">
        <f t="shared" si="9"/>
        <v>-2.789793553806438E-2</v>
      </c>
      <c r="D25" s="7">
        <f t="shared" si="10"/>
        <v>-2.0460608003132586E-2</v>
      </c>
      <c r="E25" s="7">
        <f t="shared" si="11"/>
        <v>-2.0347201813750854E-3</v>
      </c>
      <c r="F25" s="7">
        <f t="shared" si="12"/>
        <v>-1.6910107180455564E-2</v>
      </c>
      <c r="G25" s="7">
        <f t="shared" si="13"/>
        <v>-5.6519274436380787E-3</v>
      </c>
      <c r="H25" s="7">
        <f t="shared" si="14"/>
        <v>3.0427279619448917E-2</v>
      </c>
      <c r="I25" s="7"/>
      <c r="J25" s="3" t="s">
        <v>44</v>
      </c>
      <c r="K25" s="5">
        <f t="shared" si="16"/>
        <v>1.4094419663830049E-2</v>
      </c>
      <c r="L25" s="5">
        <f t="shared" si="16"/>
        <v>1.6084000345769057E-2</v>
      </c>
      <c r="M25" s="5">
        <f t="shared" si="16"/>
        <v>1.0880771163887287E-2</v>
      </c>
      <c r="N25" s="5">
        <f t="shared" si="16"/>
        <v>1.4140590696362788E-2</v>
      </c>
      <c r="O25" s="5">
        <f t="shared" si="16"/>
        <v>1.4208576699744881E-2</v>
      </c>
      <c r="P25" s="5">
        <f t="shared" si="16"/>
        <v>2.2907515643974113E-2</v>
      </c>
    </row>
    <row r="26" spans="2:16" x14ac:dyDescent="0.3">
      <c r="B26" s="3" t="s">
        <v>45</v>
      </c>
      <c r="C26" s="7">
        <f t="shared" si="9"/>
        <v>3.7626459357621961E-2</v>
      </c>
      <c r="D26" s="7">
        <f t="shared" si="10"/>
        <v>1.7703392185220282E-2</v>
      </c>
      <c r="E26" s="7">
        <f t="shared" si="11"/>
        <v>1.3405563994017641E-2</v>
      </c>
      <c r="F26" s="7">
        <f t="shared" si="12"/>
        <v>2.6382394196208553E-2</v>
      </c>
      <c r="G26" s="7">
        <f t="shared" si="13"/>
        <v>2.2638106482278736E-2</v>
      </c>
      <c r="H26" s="7">
        <f t="shared" si="14"/>
        <v>2.0883885161631616E-2</v>
      </c>
      <c r="I26" s="7"/>
      <c r="J26" s="3" t="s">
        <v>45</v>
      </c>
      <c r="K26" s="5">
        <f t="shared" si="16"/>
        <v>2.3761869710116724E-2</v>
      </c>
      <c r="L26" s="5">
        <f t="shared" si="16"/>
        <v>2.5580413776527141E-2</v>
      </c>
      <c r="M26" s="5">
        <f t="shared" si="16"/>
        <v>1.9802215481019046E-2</v>
      </c>
      <c r="N26" s="5">
        <f t="shared" si="16"/>
        <v>2.380592090978256E-2</v>
      </c>
      <c r="O26" s="5">
        <f t="shared" si="16"/>
        <v>2.4306244621038229E-2</v>
      </c>
      <c r="P26" s="5">
        <f t="shared" si="16"/>
        <v>3.7163997373445092E-2</v>
      </c>
    </row>
    <row r="27" spans="2:16" x14ac:dyDescent="0.3">
      <c r="B27" s="3" t="s">
        <v>46</v>
      </c>
      <c r="C27" s="7">
        <f t="shared" si="9"/>
        <v>-2.4555954166198962E-2</v>
      </c>
      <c r="D27" s="7">
        <f t="shared" si="10"/>
        <v>-2.0314410439295869E-2</v>
      </c>
      <c r="E27" s="7">
        <f t="shared" si="11"/>
        <v>-2.8857901678449868E-2</v>
      </c>
      <c r="F27" s="7">
        <f t="shared" si="12"/>
        <v>-3.4213322196360793E-2</v>
      </c>
      <c r="G27" s="7">
        <f t="shared" si="13"/>
        <v>-4.6443439037950451E-2</v>
      </c>
      <c r="H27" s="7">
        <f t="shared" si="14"/>
        <v>-2.9988409909213708E-2</v>
      </c>
      <c r="I27" s="7"/>
      <c r="J27" s="3" t="s">
        <v>46</v>
      </c>
      <c r="K27" s="5">
        <f t="shared" si="16"/>
        <v>3.3329073045948177E-2</v>
      </c>
      <c r="L27" s="5">
        <f t="shared" si="16"/>
        <v>3.4359824130965846E-2</v>
      </c>
      <c r="M27" s="5">
        <f t="shared" si="16"/>
        <v>2.734518695956269E-2</v>
      </c>
      <c r="N27" s="5">
        <f t="shared" si="16"/>
        <v>3.2129457136994395E-2</v>
      </c>
      <c r="O27" s="5">
        <f t="shared" si="16"/>
        <v>3.171725021656794E-2</v>
      </c>
      <c r="P27" s="5">
        <f t="shared" si="16"/>
        <v>4.649845014731397E-2</v>
      </c>
    </row>
    <row r="28" spans="2:16" x14ac:dyDescent="0.3">
      <c r="B28" s="3" t="s">
        <v>47</v>
      </c>
      <c r="C28" s="7">
        <f t="shared" si="9"/>
        <v>1.6609316408755348E-2</v>
      </c>
      <c r="D28" s="7">
        <f t="shared" si="10"/>
        <v>0.10552084853235492</v>
      </c>
      <c r="E28" s="7">
        <f t="shared" si="11"/>
        <v>-4.5413197338194385E-2</v>
      </c>
      <c r="F28" s="7">
        <f t="shared" si="12"/>
        <v>-3.7508658110910892E-3</v>
      </c>
      <c r="G28" s="7">
        <f t="shared" si="13"/>
        <v>3.9083712254831107E-2</v>
      </c>
      <c r="H28" s="7">
        <f t="shared" si="14"/>
        <v>5.3175234962251558E-2</v>
      </c>
      <c r="I28" s="7"/>
      <c r="J28" s="3" t="s">
        <v>47</v>
      </c>
      <c r="K28" s="5">
        <f t="shared" si="16"/>
        <v>6.8686611383372925E-2</v>
      </c>
      <c r="L28" s="5">
        <f t="shared" si="16"/>
        <v>7.9409352237837419E-2</v>
      </c>
      <c r="M28" s="5">
        <f t="shared" si="16"/>
        <v>5.2509009588680253E-2</v>
      </c>
      <c r="N28" s="5">
        <f t="shared" si="16"/>
        <v>6.3819737432069354E-2</v>
      </c>
      <c r="O28" s="5">
        <f t="shared" si="16"/>
        <v>6.6120759456448547E-2</v>
      </c>
      <c r="P28" s="5">
        <f t="shared" si="16"/>
        <v>9.313966804366669E-2</v>
      </c>
    </row>
    <row r="29" spans="2:16" x14ac:dyDescent="0.3">
      <c r="B29" s="3" t="s">
        <v>48</v>
      </c>
      <c r="C29" s="7">
        <f t="shared" si="9"/>
        <v>-1.3176150973023937E-2</v>
      </c>
      <c r="D29" s="7">
        <f t="shared" si="10"/>
        <v>-0.11284511554882082</v>
      </c>
      <c r="E29" s="7">
        <f t="shared" si="11"/>
        <v>0.10113630206792767</v>
      </c>
      <c r="F29" s="7">
        <f t="shared" si="12"/>
        <v>2.2064293759456954E-2</v>
      </c>
      <c r="G29" s="7">
        <f t="shared" si="13"/>
        <v>-1.120134520021443E-2</v>
      </c>
      <c r="H29" s="7">
        <f t="shared" si="14"/>
        <v>-0.15737201721857963</v>
      </c>
      <c r="I29" s="7"/>
      <c r="J29" s="3" t="s">
        <v>48</v>
      </c>
      <c r="K29" s="5">
        <f t="shared" si="16"/>
        <v>0.85004634131820644</v>
      </c>
      <c r="L29" s="5">
        <f t="shared" si="16"/>
        <v>0.91011094917951862</v>
      </c>
      <c r="M29" s="5">
        <f t="shared" si="16"/>
        <v>0.78115696642811416</v>
      </c>
      <c r="N29" s="5">
        <f t="shared" si="16"/>
        <v>0.82880900326895868</v>
      </c>
      <c r="O29" s="5">
        <f t="shared" si="16"/>
        <v>0.84885624232549695</v>
      </c>
      <c r="P29" s="5">
        <f t="shared" si="16"/>
        <v>0.93694468723886559</v>
      </c>
    </row>
    <row r="30" spans="2:16" x14ac:dyDescent="0.3">
      <c r="G30" s="4"/>
      <c r="J30" s="19" t="s">
        <v>34</v>
      </c>
      <c r="K30" s="18">
        <f>SUM(K17:K29)</f>
        <v>1.007379200082666</v>
      </c>
      <c r="L30" s="18">
        <f t="shared" ref="L30:P30" si="17">SUM(L17:L29)</f>
        <v>1.0815651733583591</v>
      </c>
      <c r="M30" s="18">
        <f t="shared" si="17"/>
        <v>0.90407413637260003</v>
      </c>
      <c r="N30" s="18">
        <f t="shared" si="17"/>
        <v>0.98048535081958188</v>
      </c>
      <c r="O30" s="18">
        <f t="shared" si="17"/>
        <v>1.0044048672853301</v>
      </c>
      <c r="P30" s="18">
        <f t="shared" si="17"/>
        <v>1.1699201108058999</v>
      </c>
    </row>
    <row r="31" spans="2:16" x14ac:dyDescent="0.3">
      <c r="J31" s="22" t="s">
        <v>35</v>
      </c>
      <c r="K31" s="24">
        <f>1-K30</f>
        <v>-7.3792000826660153E-3</v>
      </c>
      <c r="L31" s="24">
        <f t="shared" ref="L31:P31" si="18">1-L30</f>
        <v>-8.1565173358359111E-2</v>
      </c>
      <c r="M31" s="24">
        <f t="shared" si="18"/>
        <v>9.5925863627399965E-2</v>
      </c>
      <c r="N31" s="24">
        <f t="shared" si="18"/>
        <v>1.951464918041812E-2</v>
      </c>
      <c r="O31" s="24">
        <f t="shared" si="18"/>
        <v>-4.4048672853300719E-3</v>
      </c>
      <c r="P31" s="24">
        <f t="shared" si="18"/>
        <v>-0.16992011080589986</v>
      </c>
    </row>
    <row r="91" spans="7:9" x14ac:dyDescent="0.3">
      <c r="G91" s="4"/>
      <c r="H91" s="4"/>
      <c r="I91" s="4"/>
    </row>
    <row r="92" spans="7:9" x14ac:dyDescent="0.3">
      <c r="G92" s="4"/>
      <c r="H92" s="4"/>
      <c r="I92" s="4"/>
    </row>
    <row r="93" spans="7:9" x14ac:dyDescent="0.3">
      <c r="G93" s="4"/>
      <c r="H93" s="4"/>
      <c r="I93" s="4"/>
    </row>
    <row r="94" spans="7:9" x14ac:dyDescent="0.3">
      <c r="G94" s="4"/>
      <c r="H94" s="4"/>
      <c r="I94" s="4"/>
    </row>
    <row r="95" spans="7:9" x14ac:dyDescent="0.3">
      <c r="G95" s="4"/>
      <c r="H95" s="4"/>
      <c r="I95" s="4"/>
    </row>
    <row r="96" spans="7:9" x14ac:dyDescent="0.3">
      <c r="G96" s="4"/>
      <c r="H96" s="4"/>
      <c r="I96" s="4"/>
    </row>
    <row r="97" spans="7:9" x14ac:dyDescent="0.3">
      <c r="G97" s="4"/>
      <c r="H97" s="4"/>
      <c r="I97" s="4"/>
    </row>
    <row r="98" spans="7:9" x14ac:dyDescent="0.3">
      <c r="G98" s="4"/>
      <c r="H98" s="4"/>
      <c r="I98" s="4"/>
    </row>
    <row r="99" spans="7:9" x14ac:dyDescent="0.3">
      <c r="G99" s="4"/>
      <c r="H99" s="4"/>
      <c r="I99" s="4"/>
    </row>
    <row r="100" spans="7:9" x14ac:dyDescent="0.3">
      <c r="G100" s="4"/>
      <c r="H100" s="4"/>
      <c r="I100" s="4"/>
    </row>
    <row r="101" spans="7:9" x14ac:dyDescent="0.3">
      <c r="G101" s="4"/>
      <c r="H101" s="4"/>
      <c r="I101" s="4"/>
    </row>
    <row r="102" spans="7:9" x14ac:dyDescent="0.3">
      <c r="G102" s="4"/>
      <c r="H102" s="4"/>
      <c r="I102" s="4"/>
    </row>
    <row r="103" spans="7:9" x14ac:dyDescent="0.3">
      <c r="G103" s="4"/>
      <c r="H103" s="4"/>
      <c r="I103" s="4"/>
    </row>
    <row r="104" spans="7:9" x14ac:dyDescent="0.3">
      <c r="G104" s="4"/>
      <c r="H104" s="4"/>
      <c r="I104" s="4"/>
    </row>
    <row r="105" spans="7:9" x14ac:dyDescent="0.3">
      <c r="G105" s="4"/>
      <c r="H105" s="4"/>
      <c r="I105" s="4"/>
    </row>
    <row r="106" spans="7:9" x14ac:dyDescent="0.3">
      <c r="G106" s="4"/>
      <c r="H106" s="4"/>
      <c r="I106" s="4"/>
    </row>
    <row r="107" spans="7:9" x14ac:dyDescent="0.3">
      <c r="G107" s="4"/>
      <c r="H107" s="4"/>
      <c r="I107" s="4"/>
    </row>
    <row r="108" spans="7:9" x14ac:dyDescent="0.3">
      <c r="G108" s="4"/>
      <c r="H108" s="4"/>
      <c r="I108" s="4"/>
    </row>
    <row r="109" spans="7:9" x14ac:dyDescent="0.3">
      <c r="G109" s="4"/>
      <c r="H109" s="4"/>
      <c r="I109" s="4"/>
    </row>
    <row r="110" spans="7:9" x14ac:dyDescent="0.3">
      <c r="G110" s="4"/>
      <c r="H110" s="4"/>
      <c r="I110" s="4"/>
    </row>
    <row r="111" spans="7:9" x14ac:dyDescent="0.3">
      <c r="G111" s="4"/>
      <c r="H111" s="4"/>
      <c r="I111" s="4"/>
    </row>
    <row r="112" spans="7:9" x14ac:dyDescent="0.3">
      <c r="G112" s="4"/>
      <c r="H112" s="4"/>
      <c r="I112" s="4"/>
    </row>
    <row r="113" spans="7:9" x14ac:dyDescent="0.3">
      <c r="G113" s="4"/>
      <c r="H113" s="4"/>
      <c r="I113" s="4"/>
    </row>
    <row r="114" spans="7:9" x14ac:dyDescent="0.3">
      <c r="G114" s="4"/>
      <c r="H114" s="4"/>
      <c r="I114" s="4"/>
    </row>
    <row r="115" spans="7:9" x14ac:dyDescent="0.3">
      <c r="G115" s="4"/>
      <c r="H115" s="4"/>
      <c r="I115" s="4"/>
    </row>
    <row r="116" spans="7:9" x14ac:dyDescent="0.3">
      <c r="G116" s="4"/>
      <c r="H116" s="4"/>
      <c r="I116" s="4"/>
    </row>
    <row r="117" spans="7:9" x14ac:dyDescent="0.3">
      <c r="G117" s="4"/>
      <c r="H117" s="4"/>
      <c r="I117" s="4"/>
    </row>
    <row r="118" spans="7:9" x14ac:dyDescent="0.3">
      <c r="G118" s="4"/>
      <c r="H118" s="4"/>
      <c r="I118" s="4"/>
    </row>
    <row r="119" spans="7:9" x14ac:dyDescent="0.3">
      <c r="G119" s="4"/>
      <c r="H119" s="4"/>
      <c r="I119" s="4"/>
    </row>
    <row r="120" spans="7:9" x14ac:dyDescent="0.3">
      <c r="G120" s="4"/>
      <c r="H120" s="4"/>
      <c r="I120" s="4"/>
    </row>
    <row r="121" spans="7:9" x14ac:dyDescent="0.3">
      <c r="G121" s="4"/>
      <c r="H121" s="4"/>
      <c r="I121" s="4"/>
    </row>
    <row r="122" spans="7:9" x14ac:dyDescent="0.3">
      <c r="G122" s="4"/>
      <c r="H122" s="4"/>
      <c r="I122" s="4"/>
    </row>
    <row r="123" spans="7:9" x14ac:dyDescent="0.3">
      <c r="G123" s="4"/>
      <c r="H123" s="4"/>
      <c r="I123" s="4"/>
    </row>
    <row r="124" spans="7:9" x14ac:dyDescent="0.3">
      <c r="G124" s="4"/>
      <c r="H124" s="4"/>
      <c r="I124" s="4"/>
    </row>
    <row r="125" spans="7:9" x14ac:dyDescent="0.3">
      <c r="G125" s="4"/>
      <c r="H125" s="4"/>
      <c r="I125" s="4"/>
    </row>
    <row r="126" spans="7:9" x14ac:dyDescent="0.3">
      <c r="G126" s="4"/>
      <c r="H126" s="4"/>
      <c r="I126" s="4"/>
    </row>
    <row r="127" spans="7:9" x14ac:dyDescent="0.3">
      <c r="G127" s="4"/>
      <c r="H127" s="4"/>
      <c r="I127" s="4"/>
    </row>
    <row r="128" spans="7:9" x14ac:dyDescent="0.3">
      <c r="G128" s="4"/>
      <c r="H128" s="4"/>
      <c r="I128" s="4"/>
    </row>
    <row r="129" spans="7:9" x14ac:dyDescent="0.3">
      <c r="G129" s="4"/>
      <c r="H129" s="4"/>
      <c r="I129" s="4"/>
    </row>
    <row r="130" spans="7:9" x14ac:dyDescent="0.3">
      <c r="G130" s="4"/>
      <c r="H130" s="4"/>
      <c r="I130" s="4"/>
    </row>
    <row r="131" spans="7:9" x14ac:dyDescent="0.3">
      <c r="G131" s="4"/>
      <c r="H131" s="4"/>
      <c r="I131" s="4"/>
    </row>
    <row r="132" spans="7:9" x14ac:dyDescent="0.3">
      <c r="G132" s="4"/>
      <c r="H132" s="4"/>
      <c r="I132" s="4"/>
    </row>
    <row r="133" spans="7:9" x14ac:dyDescent="0.3">
      <c r="G133" s="4"/>
      <c r="H133" s="4"/>
      <c r="I133" s="4"/>
    </row>
    <row r="134" spans="7:9" x14ac:dyDescent="0.3">
      <c r="G134" s="4"/>
      <c r="H134" s="4"/>
      <c r="I134" s="4"/>
    </row>
    <row r="135" spans="7:9" x14ac:dyDescent="0.3">
      <c r="G135" s="4"/>
      <c r="H135" s="4"/>
      <c r="I135" s="4"/>
    </row>
    <row r="136" spans="7:9" x14ac:dyDescent="0.3">
      <c r="G136" s="4"/>
      <c r="H136" s="4"/>
      <c r="I136" s="4"/>
    </row>
    <row r="137" spans="7:9" x14ac:dyDescent="0.3">
      <c r="G137" s="4"/>
      <c r="H137" s="4"/>
      <c r="I137" s="4"/>
    </row>
    <row r="138" spans="7:9" x14ac:dyDescent="0.3">
      <c r="G138" s="4"/>
      <c r="H138" s="4"/>
      <c r="I138" s="4"/>
    </row>
    <row r="139" spans="7:9" x14ac:dyDescent="0.3">
      <c r="G139" s="4"/>
      <c r="H139" s="4"/>
      <c r="I139" s="4"/>
    </row>
    <row r="140" spans="7:9" x14ac:dyDescent="0.3">
      <c r="G140" s="4"/>
      <c r="H140" s="4"/>
      <c r="I140" s="4"/>
    </row>
    <row r="141" spans="7:9" x14ac:dyDescent="0.3">
      <c r="G141" s="4"/>
      <c r="H141" s="4"/>
      <c r="I141" s="4"/>
    </row>
    <row r="142" spans="7:9" x14ac:dyDescent="0.3">
      <c r="G142" s="4"/>
      <c r="H142" s="4"/>
      <c r="I142" s="4"/>
    </row>
    <row r="143" spans="7:9" x14ac:dyDescent="0.3">
      <c r="G143" s="4"/>
      <c r="H143" s="4"/>
      <c r="I143" s="4"/>
    </row>
    <row r="144" spans="7:9" x14ac:dyDescent="0.3">
      <c r="G144" s="4"/>
      <c r="H144" s="4"/>
      <c r="I144" s="4"/>
    </row>
    <row r="145" spans="7:9" x14ac:dyDescent="0.3">
      <c r="G145" s="4"/>
      <c r="H145" s="4"/>
      <c r="I145" s="4"/>
    </row>
    <row r="146" spans="7:9" x14ac:dyDescent="0.3">
      <c r="G146" s="4"/>
      <c r="H146" s="4"/>
      <c r="I146" s="4"/>
    </row>
    <row r="147" spans="7:9" x14ac:dyDescent="0.3">
      <c r="G147" s="4"/>
      <c r="H147" s="4"/>
      <c r="I147" s="4"/>
    </row>
    <row r="148" spans="7:9" x14ac:dyDescent="0.3">
      <c r="G148" s="4"/>
      <c r="H148" s="4"/>
      <c r="I148" s="4"/>
    </row>
    <row r="149" spans="7:9" x14ac:dyDescent="0.3">
      <c r="G149" s="4"/>
      <c r="H149" s="4"/>
      <c r="I149" s="4"/>
    </row>
    <row r="150" spans="7:9" x14ac:dyDescent="0.3">
      <c r="G150" s="4"/>
      <c r="H150" s="4"/>
      <c r="I150" s="4"/>
    </row>
    <row r="151" spans="7:9" x14ac:dyDescent="0.3">
      <c r="G151" s="4"/>
      <c r="H151" s="4"/>
      <c r="I151" s="4"/>
    </row>
    <row r="152" spans="7:9" x14ac:dyDescent="0.3">
      <c r="G152" s="4"/>
      <c r="H152" s="4"/>
      <c r="I152" s="4"/>
    </row>
    <row r="153" spans="7:9" x14ac:dyDescent="0.3">
      <c r="G153" s="4"/>
      <c r="H153" s="4"/>
      <c r="I153" s="4"/>
    </row>
    <row r="154" spans="7:9" x14ac:dyDescent="0.3">
      <c r="G154" s="4"/>
      <c r="H154" s="4"/>
      <c r="I154" s="4"/>
    </row>
    <row r="155" spans="7:9" x14ac:dyDescent="0.3">
      <c r="G155" s="4"/>
      <c r="H155" s="4"/>
      <c r="I155" s="4"/>
    </row>
    <row r="156" spans="7:9" x14ac:dyDescent="0.3">
      <c r="G156" s="4"/>
      <c r="H156" s="4"/>
      <c r="I156" s="4"/>
    </row>
    <row r="157" spans="7:9" x14ac:dyDescent="0.3">
      <c r="G157" s="4"/>
      <c r="H157" s="4"/>
      <c r="I157" s="4"/>
    </row>
    <row r="158" spans="7:9" x14ac:dyDescent="0.3">
      <c r="G158" s="4"/>
      <c r="H158" s="4"/>
      <c r="I158" s="4"/>
    </row>
    <row r="159" spans="7:9" x14ac:dyDescent="0.3">
      <c r="G159" s="4"/>
      <c r="H159" s="4"/>
      <c r="I159" s="4"/>
    </row>
    <row r="160" spans="7:9" x14ac:dyDescent="0.3">
      <c r="G160" s="4"/>
      <c r="H160" s="4"/>
      <c r="I160" s="4"/>
    </row>
    <row r="161" spans="7:9" x14ac:dyDescent="0.3">
      <c r="G161" s="4"/>
      <c r="H161" s="4"/>
      <c r="I161" s="4"/>
    </row>
    <row r="162" spans="7:9" x14ac:dyDescent="0.3">
      <c r="G162" s="4"/>
      <c r="H162" s="4"/>
      <c r="I162" s="4"/>
    </row>
    <row r="163" spans="7:9" x14ac:dyDescent="0.3">
      <c r="G163" s="4"/>
      <c r="H163" s="4"/>
      <c r="I163" s="4"/>
    </row>
    <row r="164" spans="7:9" x14ac:dyDescent="0.3">
      <c r="G164" s="4"/>
      <c r="H164" s="4"/>
      <c r="I164" s="4"/>
    </row>
    <row r="165" spans="7:9" x14ac:dyDescent="0.3">
      <c r="G165" s="4"/>
      <c r="H165" s="4"/>
      <c r="I165" s="4"/>
    </row>
    <row r="166" spans="7:9" x14ac:dyDescent="0.3">
      <c r="G166" s="4"/>
      <c r="H166" s="4"/>
      <c r="I166" s="4"/>
    </row>
    <row r="167" spans="7:9" x14ac:dyDescent="0.3">
      <c r="G167" s="4"/>
      <c r="H167" s="4"/>
      <c r="I167" s="4"/>
    </row>
    <row r="168" spans="7:9" x14ac:dyDescent="0.3">
      <c r="G168" s="4"/>
      <c r="H168" s="4"/>
      <c r="I168" s="4"/>
    </row>
    <row r="169" spans="7:9" x14ac:dyDescent="0.3">
      <c r="G169" s="4"/>
      <c r="H169" s="4"/>
      <c r="I169" s="4"/>
    </row>
    <row r="170" spans="7:9" x14ac:dyDescent="0.3">
      <c r="G170" s="4"/>
      <c r="H170" s="4"/>
      <c r="I170" s="4"/>
    </row>
    <row r="171" spans="7:9" x14ac:dyDescent="0.3">
      <c r="G171" s="4"/>
      <c r="H171" s="4"/>
      <c r="I171" s="4"/>
    </row>
    <row r="172" spans="7:9" x14ac:dyDescent="0.3">
      <c r="G172" s="4"/>
      <c r="H172" s="4"/>
      <c r="I172" s="4"/>
    </row>
    <row r="173" spans="7:9" x14ac:dyDescent="0.3">
      <c r="G173" s="4"/>
      <c r="H173" s="4"/>
      <c r="I173" s="4"/>
    </row>
    <row r="174" spans="7:9" x14ac:dyDescent="0.3">
      <c r="G174" s="4"/>
      <c r="H174" s="4"/>
      <c r="I174" s="4"/>
    </row>
    <row r="175" spans="7:9" x14ac:dyDescent="0.3">
      <c r="G175" s="4"/>
      <c r="H175" s="4"/>
      <c r="I175" s="4"/>
    </row>
    <row r="176" spans="7:9" x14ac:dyDescent="0.3">
      <c r="G176" s="4"/>
      <c r="H176" s="4"/>
      <c r="I176" s="4"/>
    </row>
    <row r="177" spans="7:9" x14ac:dyDescent="0.3">
      <c r="G177" s="4"/>
      <c r="H177" s="4"/>
      <c r="I177" s="4"/>
    </row>
    <row r="178" spans="7:9" x14ac:dyDescent="0.3">
      <c r="G178" s="4"/>
      <c r="H178" s="4"/>
      <c r="I178" s="4"/>
    </row>
    <row r="179" spans="7:9" x14ac:dyDescent="0.3">
      <c r="G179" s="4"/>
      <c r="H179" s="4"/>
      <c r="I179" s="4"/>
    </row>
    <row r="180" spans="7:9" x14ac:dyDescent="0.3">
      <c r="G180" s="4"/>
      <c r="H180" s="4"/>
      <c r="I180" s="4"/>
    </row>
    <row r="181" spans="7:9" x14ac:dyDescent="0.3">
      <c r="G181" s="4"/>
      <c r="H181" s="4"/>
      <c r="I181" s="4"/>
    </row>
    <row r="182" spans="7:9" x14ac:dyDescent="0.3">
      <c r="G182" s="4"/>
      <c r="H182" s="4"/>
      <c r="I182" s="4"/>
    </row>
    <row r="183" spans="7:9" x14ac:dyDescent="0.3">
      <c r="G183" s="4"/>
      <c r="H183" s="4"/>
      <c r="I183" s="4"/>
    </row>
    <row r="184" spans="7:9" x14ac:dyDescent="0.3">
      <c r="G184" s="4"/>
      <c r="H184" s="4"/>
      <c r="I184" s="4"/>
    </row>
    <row r="185" spans="7:9" x14ac:dyDescent="0.3">
      <c r="G185" s="4"/>
      <c r="H185" s="4"/>
      <c r="I185" s="4"/>
    </row>
    <row r="186" spans="7:9" x14ac:dyDescent="0.3">
      <c r="G186" s="4"/>
      <c r="H186" s="4"/>
      <c r="I186" s="4"/>
    </row>
    <row r="187" spans="7:9" x14ac:dyDescent="0.3">
      <c r="G187" s="4"/>
      <c r="H187" s="4"/>
      <c r="I187" s="4"/>
    </row>
    <row r="188" spans="7:9" x14ac:dyDescent="0.3">
      <c r="G188" s="4"/>
      <c r="H188" s="4"/>
      <c r="I188" s="4"/>
    </row>
    <row r="189" spans="7:9" x14ac:dyDescent="0.3">
      <c r="G189" s="4"/>
      <c r="H189" s="4"/>
      <c r="I189" s="4"/>
    </row>
    <row r="190" spans="7:9" x14ac:dyDescent="0.3">
      <c r="G190" s="4"/>
      <c r="H190" s="4"/>
      <c r="I190" s="4"/>
    </row>
    <row r="191" spans="7:9" x14ac:dyDescent="0.3">
      <c r="G191" s="4"/>
      <c r="H191" s="4"/>
      <c r="I191" s="4"/>
    </row>
    <row r="192" spans="7:9" x14ac:dyDescent="0.3">
      <c r="G192" s="4"/>
      <c r="H192" s="4"/>
      <c r="I192" s="4"/>
    </row>
    <row r="193" spans="7:9" x14ac:dyDescent="0.3">
      <c r="G193" s="4"/>
      <c r="H193" s="4"/>
      <c r="I193" s="4"/>
    </row>
    <row r="194" spans="7:9" x14ac:dyDescent="0.3">
      <c r="G194" s="4"/>
      <c r="H194" s="4"/>
      <c r="I194" s="4"/>
    </row>
    <row r="195" spans="7:9" x14ac:dyDescent="0.3">
      <c r="G195" s="4"/>
      <c r="H195" s="4"/>
      <c r="I195" s="4"/>
    </row>
    <row r="196" spans="7:9" x14ac:dyDescent="0.3">
      <c r="G196" s="4"/>
      <c r="H196" s="4"/>
      <c r="I196" s="4"/>
    </row>
    <row r="197" spans="7:9" x14ac:dyDescent="0.3">
      <c r="G197" s="4"/>
      <c r="H197" s="4"/>
      <c r="I197" s="4"/>
    </row>
    <row r="198" spans="7:9" x14ac:dyDescent="0.3">
      <c r="G198" s="4"/>
      <c r="H198" s="4"/>
      <c r="I198" s="4"/>
    </row>
    <row r="199" spans="7:9" x14ac:dyDescent="0.3">
      <c r="G199" s="4"/>
      <c r="H199" s="4"/>
      <c r="I199" s="4"/>
    </row>
    <row r="200" spans="7:9" x14ac:dyDescent="0.3">
      <c r="G200" s="4"/>
      <c r="H200" s="4"/>
      <c r="I200" s="4"/>
    </row>
    <row r="201" spans="7:9" x14ac:dyDescent="0.3">
      <c r="G201" s="4"/>
      <c r="H201" s="4"/>
      <c r="I201" s="4"/>
    </row>
    <row r="202" spans="7:9" x14ac:dyDescent="0.3">
      <c r="G202" s="4"/>
      <c r="H202" s="4"/>
      <c r="I202" s="4"/>
    </row>
    <row r="203" spans="7:9" x14ac:dyDescent="0.3">
      <c r="G203" s="4"/>
      <c r="H203" s="4"/>
      <c r="I203" s="4"/>
    </row>
    <row r="204" spans="7:9" x14ac:dyDescent="0.3">
      <c r="G204" s="4"/>
      <c r="H204" s="4"/>
      <c r="I204" s="4"/>
    </row>
    <row r="205" spans="7:9" x14ac:dyDescent="0.3">
      <c r="G205" s="4"/>
      <c r="H205" s="4"/>
      <c r="I205" s="4"/>
    </row>
    <row r="206" spans="7:9" x14ac:dyDescent="0.3">
      <c r="G206" s="4"/>
      <c r="H206" s="4"/>
      <c r="I206" s="4"/>
    </row>
    <row r="207" spans="7:9" x14ac:dyDescent="0.3">
      <c r="G207" s="4"/>
      <c r="H207" s="4"/>
      <c r="I207" s="4"/>
    </row>
    <row r="208" spans="7:9" x14ac:dyDescent="0.3">
      <c r="G208" s="4"/>
      <c r="H208" s="4"/>
      <c r="I208" s="4"/>
    </row>
    <row r="209" spans="7:9" x14ac:dyDescent="0.3">
      <c r="G209" s="4"/>
      <c r="H209" s="4"/>
      <c r="I209" s="4"/>
    </row>
    <row r="210" spans="7:9" x14ac:dyDescent="0.3">
      <c r="G210" s="4"/>
      <c r="H210" s="4"/>
      <c r="I210" s="4"/>
    </row>
    <row r="211" spans="7:9" x14ac:dyDescent="0.3">
      <c r="G211" s="4"/>
      <c r="H211" s="4"/>
      <c r="I211" s="4"/>
    </row>
    <row r="212" spans="7:9" x14ac:dyDescent="0.3">
      <c r="G212" s="4"/>
      <c r="H212" s="4"/>
      <c r="I212" s="4"/>
    </row>
    <row r="213" spans="7:9" x14ac:dyDescent="0.3">
      <c r="G213" s="4"/>
      <c r="H213" s="4"/>
      <c r="I213" s="4"/>
    </row>
    <row r="214" spans="7:9" x14ac:dyDescent="0.3">
      <c r="G214" s="4"/>
      <c r="H214" s="4"/>
      <c r="I214" s="4"/>
    </row>
    <row r="215" spans="7:9" x14ac:dyDescent="0.3">
      <c r="G215" s="4"/>
      <c r="H215" s="4"/>
      <c r="I215" s="4"/>
    </row>
    <row r="216" spans="7:9" x14ac:dyDescent="0.3">
      <c r="G216" s="4"/>
      <c r="H216" s="4"/>
      <c r="I216" s="4"/>
    </row>
    <row r="217" spans="7:9" x14ac:dyDescent="0.3">
      <c r="G217" s="4"/>
      <c r="H217" s="4"/>
      <c r="I217" s="4"/>
    </row>
    <row r="218" spans="7:9" x14ac:dyDescent="0.3">
      <c r="G218" s="4"/>
      <c r="H218" s="4"/>
      <c r="I218" s="4"/>
    </row>
    <row r="219" spans="7:9" x14ac:dyDescent="0.3">
      <c r="G219" s="4"/>
      <c r="H219" s="4"/>
      <c r="I219" s="4"/>
    </row>
    <row r="220" spans="7:9" x14ac:dyDescent="0.3">
      <c r="G220" s="4"/>
      <c r="H220" s="4"/>
      <c r="I220" s="4"/>
    </row>
    <row r="221" spans="7:9" x14ac:dyDescent="0.3">
      <c r="G221" s="4"/>
      <c r="H221" s="4"/>
      <c r="I221" s="4"/>
    </row>
    <row r="222" spans="7:9" x14ac:dyDescent="0.3">
      <c r="G222" s="4"/>
      <c r="H222" s="4"/>
      <c r="I222" s="4"/>
    </row>
    <row r="223" spans="7:9" x14ac:dyDescent="0.3">
      <c r="G223" s="4"/>
      <c r="H223" s="4"/>
      <c r="I223" s="4"/>
    </row>
    <row r="224" spans="7:9" x14ac:dyDescent="0.3">
      <c r="G224" s="4"/>
      <c r="H224" s="4"/>
      <c r="I224" s="4"/>
    </row>
    <row r="225" spans="7:9" x14ac:dyDescent="0.3">
      <c r="G225" s="4"/>
      <c r="H225" s="4"/>
      <c r="I225" s="4"/>
    </row>
    <row r="226" spans="7:9" x14ac:dyDescent="0.3">
      <c r="G226" s="4"/>
      <c r="H226" s="4"/>
      <c r="I226" s="4"/>
    </row>
    <row r="227" spans="7:9" x14ac:dyDescent="0.3">
      <c r="G227" s="4"/>
      <c r="H227" s="4"/>
      <c r="I227" s="4"/>
    </row>
    <row r="228" spans="7:9" x14ac:dyDescent="0.3">
      <c r="G228" s="4"/>
      <c r="H228" s="4"/>
      <c r="I228" s="4"/>
    </row>
    <row r="229" spans="7:9" x14ac:dyDescent="0.3">
      <c r="G229" s="4"/>
      <c r="H229" s="4"/>
      <c r="I229" s="4"/>
    </row>
    <row r="230" spans="7:9" x14ac:dyDescent="0.3">
      <c r="G230" s="4"/>
      <c r="H230" s="4"/>
      <c r="I230" s="4"/>
    </row>
    <row r="231" spans="7:9" x14ac:dyDescent="0.3">
      <c r="G231" s="4"/>
      <c r="H231" s="4"/>
      <c r="I231" s="4"/>
    </row>
    <row r="232" spans="7:9" x14ac:dyDescent="0.3">
      <c r="G232" s="4"/>
      <c r="H232" s="4"/>
      <c r="I232" s="4"/>
    </row>
    <row r="233" spans="7:9" x14ac:dyDescent="0.3">
      <c r="G233" s="4"/>
      <c r="H233" s="4"/>
      <c r="I233" s="4"/>
    </row>
    <row r="234" spans="7:9" x14ac:dyDescent="0.3">
      <c r="G234" s="4"/>
      <c r="H234" s="4"/>
      <c r="I234" s="4"/>
    </row>
    <row r="235" spans="7:9" x14ac:dyDescent="0.3">
      <c r="G235" s="4"/>
      <c r="H235" s="4"/>
      <c r="I235" s="4"/>
    </row>
    <row r="236" spans="7:9" x14ac:dyDescent="0.3">
      <c r="G236" s="4"/>
      <c r="H236" s="4"/>
      <c r="I236" s="4"/>
    </row>
    <row r="237" spans="7:9" x14ac:dyDescent="0.3">
      <c r="G237" s="4"/>
      <c r="H237" s="4"/>
      <c r="I237" s="4"/>
    </row>
    <row r="238" spans="7:9" x14ac:dyDescent="0.3">
      <c r="G238" s="4"/>
      <c r="H238" s="4"/>
      <c r="I238" s="4"/>
    </row>
    <row r="239" spans="7:9" x14ac:dyDescent="0.3">
      <c r="G239" s="4"/>
      <c r="H239" s="4"/>
      <c r="I239" s="4"/>
    </row>
    <row r="240" spans="7:9" x14ac:dyDescent="0.3">
      <c r="G240" s="4"/>
      <c r="H240" s="4"/>
      <c r="I240" s="4"/>
    </row>
    <row r="241" spans="7:9" x14ac:dyDescent="0.3">
      <c r="G241" s="4"/>
      <c r="H241" s="4"/>
      <c r="I241" s="4"/>
    </row>
    <row r="242" spans="7:9" x14ac:dyDescent="0.3">
      <c r="G242" s="4"/>
      <c r="H242" s="4"/>
      <c r="I242" s="4"/>
    </row>
    <row r="243" spans="7:9" x14ac:dyDescent="0.3">
      <c r="G243" s="4"/>
      <c r="H243" s="4"/>
      <c r="I243" s="4"/>
    </row>
    <row r="244" spans="7:9" x14ac:dyDescent="0.3">
      <c r="G244" s="4"/>
      <c r="H244" s="4"/>
      <c r="I244" s="4"/>
    </row>
    <row r="245" spans="7:9" x14ac:dyDescent="0.3">
      <c r="G245" s="4"/>
      <c r="H245" s="4"/>
      <c r="I245" s="4"/>
    </row>
    <row r="246" spans="7:9" x14ac:dyDescent="0.3">
      <c r="G246" s="4"/>
      <c r="H246" s="4"/>
      <c r="I246" s="4"/>
    </row>
    <row r="247" spans="7:9" x14ac:dyDescent="0.3">
      <c r="G247" s="4"/>
      <c r="H247" s="4"/>
      <c r="I247" s="4"/>
    </row>
    <row r="248" spans="7:9" x14ac:dyDescent="0.3">
      <c r="G248" s="4"/>
      <c r="H248" s="4"/>
      <c r="I248" s="4"/>
    </row>
    <row r="249" spans="7:9" x14ac:dyDescent="0.3">
      <c r="G249" s="4"/>
      <c r="H249" s="4"/>
      <c r="I249" s="4"/>
    </row>
    <row r="250" spans="7:9" x14ac:dyDescent="0.3">
      <c r="G250" s="4"/>
      <c r="H250" s="4"/>
      <c r="I250" s="4"/>
    </row>
    <row r="251" spans="7:9" x14ac:dyDescent="0.3">
      <c r="G251" s="4"/>
      <c r="H251" s="4"/>
      <c r="I251" s="4"/>
    </row>
    <row r="252" spans="7:9" x14ac:dyDescent="0.3">
      <c r="G252" s="4"/>
      <c r="H252" s="4"/>
      <c r="I252" s="4"/>
    </row>
    <row r="253" spans="7:9" x14ac:dyDescent="0.3">
      <c r="G253" s="4"/>
      <c r="H253" s="4"/>
      <c r="I253" s="4"/>
    </row>
    <row r="254" spans="7:9" x14ac:dyDescent="0.3">
      <c r="G254" s="4"/>
      <c r="H254" s="4"/>
      <c r="I254" s="4"/>
    </row>
    <row r="255" spans="7:9" x14ac:dyDescent="0.3">
      <c r="G255" s="4"/>
      <c r="H255" s="4"/>
      <c r="I255" s="4"/>
    </row>
    <row r="256" spans="7:9" x14ac:dyDescent="0.3">
      <c r="G256" s="4"/>
      <c r="H256" s="4"/>
      <c r="I256" s="4"/>
    </row>
    <row r="257" spans="7:9" x14ac:dyDescent="0.3">
      <c r="G257" s="4"/>
      <c r="H257" s="4"/>
      <c r="I257" s="4"/>
    </row>
    <row r="258" spans="7:9" x14ac:dyDescent="0.3">
      <c r="G258" s="4"/>
      <c r="H258" s="4"/>
      <c r="I258" s="4"/>
    </row>
    <row r="259" spans="7:9" x14ac:dyDescent="0.3">
      <c r="G259" s="4"/>
      <c r="H259" s="4"/>
      <c r="I259" s="4"/>
    </row>
    <row r="260" spans="7:9" x14ac:dyDescent="0.3">
      <c r="G260" s="4"/>
      <c r="H260" s="4"/>
      <c r="I260" s="4"/>
    </row>
    <row r="261" spans="7:9" x14ac:dyDescent="0.3">
      <c r="G261" s="4"/>
      <c r="H261" s="4"/>
      <c r="I261" s="4"/>
    </row>
    <row r="262" spans="7:9" x14ac:dyDescent="0.3">
      <c r="G262" s="4"/>
      <c r="H262" s="4"/>
      <c r="I262" s="4"/>
    </row>
    <row r="263" spans="7:9" x14ac:dyDescent="0.3">
      <c r="G263" s="4"/>
      <c r="H263" s="4"/>
      <c r="I263" s="4"/>
    </row>
    <row r="264" spans="7:9" x14ac:dyDescent="0.3">
      <c r="G264" s="4"/>
      <c r="H264" s="4"/>
      <c r="I264" s="4"/>
    </row>
    <row r="265" spans="7:9" x14ac:dyDescent="0.3">
      <c r="G265" s="4"/>
      <c r="H265" s="4"/>
      <c r="I265" s="4"/>
    </row>
    <row r="266" spans="7:9" x14ac:dyDescent="0.3">
      <c r="G266" s="4"/>
      <c r="H266" s="4"/>
      <c r="I266" s="4"/>
    </row>
    <row r="267" spans="7:9" x14ac:dyDescent="0.3">
      <c r="G267" s="4"/>
      <c r="H267" s="4"/>
      <c r="I267" s="4"/>
    </row>
    <row r="268" spans="7:9" x14ac:dyDescent="0.3">
      <c r="G268" s="4"/>
      <c r="H268" s="4"/>
      <c r="I268" s="4"/>
    </row>
    <row r="269" spans="7:9" x14ac:dyDescent="0.3">
      <c r="G269" s="4"/>
      <c r="H269" s="4"/>
      <c r="I269" s="4"/>
    </row>
    <row r="270" spans="7:9" x14ac:dyDescent="0.3">
      <c r="G270" s="4"/>
      <c r="H270" s="4"/>
      <c r="I270" s="4"/>
    </row>
    <row r="271" spans="7:9" x14ac:dyDescent="0.3">
      <c r="G271" s="4"/>
      <c r="H271" s="4"/>
      <c r="I271" s="4"/>
    </row>
    <row r="272" spans="7:9" x14ac:dyDescent="0.3">
      <c r="G272" s="4"/>
      <c r="H272" s="4"/>
      <c r="I272" s="4"/>
    </row>
    <row r="273" spans="7:9" x14ac:dyDescent="0.3">
      <c r="G273" s="4"/>
      <c r="H273" s="4"/>
      <c r="I273" s="4"/>
    </row>
    <row r="274" spans="7:9" x14ac:dyDescent="0.3">
      <c r="G274" s="4"/>
      <c r="H274" s="4"/>
      <c r="I274" s="4"/>
    </row>
    <row r="275" spans="7:9" x14ac:dyDescent="0.3">
      <c r="G275" s="4"/>
      <c r="H275" s="4"/>
      <c r="I275" s="4"/>
    </row>
    <row r="276" spans="7:9" x14ac:dyDescent="0.3">
      <c r="G276" s="4"/>
      <c r="H276" s="4"/>
      <c r="I276" s="4"/>
    </row>
    <row r="277" spans="7:9" x14ac:dyDescent="0.3">
      <c r="G277" s="4"/>
      <c r="H277" s="4"/>
      <c r="I277" s="4"/>
    </row>
    <row r="278" spans="7:9" x14ac:dyDescent="0.3">
      <c r="G278" s="4"/>
      <c r="H278" s="4"/>
      <c r="I278" s="4"/>
    </row>
    <row r="279" spans="7:9" x14ac:dyDescent="0.3">
      <c r="G279" s="4"/>
      <c r="H279" s="4"/>
      <c r="I279" s="4"/>
    </row>
    <row r="280" spans="7:9" x14ac:dyDescent="0.3">
      <c r="G280" s="4"/>
      <c r="H280" s="4"/>
      <c r="I280" s="4"/>
    </row>
    <row r="281" spans="7:9" x14ac:dyDescent="0.3">
      <c r="G281" s="4"/>
      <c r="H281" s="4"/>
      <c r="I281" s="4"/>
    </row>
    <row r="282" spans="7:9" x14ac:dyDescent="0.3">
      <c r="G282" s="4"/>
      <c r="H282" s="4"/>
      <c r="I282" s="4"/>
    </row>
    <row r="283" spans="7:9" x14ac:dyDescent="0.3">
      <c r="G283" s="4"/>
      <c r="H283" s="4"/>
      <c r="I283" s="4"/>
    </row>
    <row r="284" spans="7:9" x14ac:dyDescent="0.3">
      <c r="G284" s="4"/>
      <c r="H284" s="4"/>
      <c r="I284" s="4"/>
    </row>
    <row r="285" spans="7:9" x14ac:dyDescent="0.3">
      <c r="G285" s="4"/>
      <c r="H285" s="4"/>
      <c r="I285" s="4"/>
    </row>
    <row r="286" spans="7:9" x14ac:dyDescent="0.3">
      <c r="G286" s="4"/>
      <c r="H286" s="4"/>
      <c r="I286" s="4"/>
    </row>
    <row r="287" spans="7:9" x14ac:dyDescent="0.3">
      <c r="G287" s="4"/>
      <c r="H287" s="4"/>
      <c r="I287" s="4"/>
    </row>
    <row r="288" spans="7:9" x14ac:dyDescent="0.3">
      <c r="G288" s="4"/>
      <c r="H288" s="4"/>
      <c r="I288" s="4"/>
    </row>
    <row r="289" spans="7:9" x14ac:dyDescent="0.3">
      <c r="G289" s="4"/>
      <c r="H289" s="4"/>
      <c r="I289" s="4"/>
    </row>
    <row r="290" spans="7:9" x14ac:dyDescent="0.3">
      <c r="G290" s="4"/>
      <c r="H290" s="4"/>
      <c r="I290" s="4"/>
    </row>
    <row r="291" spans="7:9" x14ac:dyDescent="0.3">
      <c r="G291" s="4"/>
      <c r="H291" s="4"/>
      <c r="I291" s="4"/>
    </row>
    <row r="292" spans="7:9" x14ac:dyDescent="0.3">
      <c r="G292" s="4"/>
      <c r="H292" s="4"/>
      <c r="I292" s="4"/>
    </row>
    <row r="293" spans="7:9" x14ac:dyDescent="0.3">
      <c r="G293" s="4"/>
      <c r="H293" s="4"/>
      <c r="I293" s="4"/>
    </row>
    <row r="294" spans="7:9" x14ac:dyDescent="0.3">
      <c r="G294" s="4"/>
      <c r="H294" s="4"/>
      <c r="I294" s="4"/>
    </row>
    <row r="295" spans="7:9" x14ac:dyDescent="0.3">
      <c r="G295" s="4"/>
      <c r="H295" s="4"/>
      <c r="I295" s="4"/>
    </row>
    <row r="296" spans="7:9" x14ac:dyDescent="0.3">
      <c r="G296" s="4"/>
      <c r="H296" s="4"/>
      <c r="I296" s="4"/>
    </row>
    <row r="297" spans="7:9" x14ac:dyDescent="0.3">
      <c r="G297" s="4"/>
      <c r="H297" s="4"/>
      <c r="I297" s="4"/>
    </row>
    <row r="298" spans="7:9" x14ac:dyDescent="0.3">
      <c r="G298" s="4"/>
      <c r="H298" s="4"/>
      <c r="I298" s="4"/>
    </row>
    <row r="299" spans="7:9" x14ac:dyDescent="0.3">
      <c r="G299" s="4"/>
      <c r="H299" s="4"/>
      <c r="I299" s="4"/>
    </row>
    <row r="300" spans="7:9" x14ac:dyDescent="0.3">
      <c r="G300" s="4"/>
      <c r="H300" s="4"/>
      <c r="I300" s="4"/>
    </row>
    <row r="301" spans="7:9" x14ac:dyDescent="0.3">
      <c r="G301" s="4"/>
      <c r="H301" s="4"/>
      <c r="I301" s="4"/>
    </row>
    <row r="302" spans="7:9" x14ac:dyDescent="0.3">
      <c r="G302" s="4"/>
      <c r="H302" s="4"/>
      <c r="I302" s="4"/>
    </row>
    <row r="303" spans="7:9" x14ac:dyDescent="0.3">
      <c r="G303" s="4"/>
      <c r="H303" s="4"/>
      <c r="I303" s="4"/>
    </row>
    <row r="304" spans="7:9" x14ac:dyDescent="0.3">
      <c r="G304" s="4"/>
      <c r="H304" s="4"/>
      <c r="I304" s="4"/>
    </row>
    <row r="305" spans="7:9" x14ac:dyDescent="0.3">
      <c r="G305" s="4"/>
      <c r="H305" s="4"/>
      <c r="I305" s="4"/>
    </row>
    <row r="306" spans="7:9" x14ac:dyDescent="0.3">
      <c r="G306" s="4"/>
      <c r="H306" s="4"/>
      <c r="I306" s="4"/>
    </row>
    <row r="307" spans="7:9" x14ac:dyDescent="0.3">
      <c r="G307" s="4"/>
      <c r="H307" s="4"/>
      <c r="I307" s="4"/>
    </row>
    <row r="308" spans="7:9" x14ac:dyDescent="0.3">
      <c r="G308" s="4"/>
      <c r="H308" s="4"/>
      <c r="I308" s="4"/>
    </row>
    <row r="309" spans="7:9" x14ac:dyDescent="0.3">
      <c r="G309" s="4"/>
      <c r="H309" s="4"/>
      <c r="I309" s="4"/>
    </row>
    <row r="310" spans="7:9" x14ac:dyDescent="0.3">
      <c r="G310" s="4"/>
      <c r="H310" s="4"/>
      <c r="I310" s="4"/>
    </row>
    <row r="311" spans="7:9" x14ac:dyDescent="0.3">
      <c r="G311" s="4"/>
      <c r="H311" s="4"/>
      <c r="I311" s="4"/>
    </row>
    <row r="312" spans="7:9" x14ac:dyDescent="0.3">
      <c r="G312" s="4"/>
      <c r="H312" s="4"/>
      <c r="I312" s="4"/>
    </row>
    <row r="313" spans="7:9" x14ac:dyDescent="0.3">
      <c r="G313" s="4"/>
      <c r="H313" s="4"/>
      <c r="I313" s="4"/>
    </row>
    <row r="314" spans="7:9" x14ac:dyDescent="0.3">
      <c r="G314" s="4"/>
      <c r="H314" s="4"/>
      <c r="I314" s="4"/>
    </row>
    <row r="315" spans="7:9" x14ac:dyDescent="0.3">
      <c r="G315" s="4"/>
      <c r="H315" s="4"/>
      <c r="I315" s="4"/>
    </row>
    <row r="316" spans="7:9" x14ac:dyDescent="0.3">
      <c r="G316" s="4"/>
      <c r="H316" s="4"/>
      <c r="I316" s="4"/>
    </row>
    <row r="317" spans="7:9" x14ac:dyDescent="0.3">
      <c r="G317" s="4"/>
      <c r="H317" s="4"/>
      <c r="I317" s="4"/>
    </row>
    <row r="318" spans="7:9" x14ac:dyDescent="0.3">
      <c r="G318" s="4"/>
      <c r="H318" s="4"/>
      <c r="I318" s="4"/>
    </row>
    <row r="319" spans="7:9" x14ac:dyDescent="0.3">
      <c r="G319" s="4"/>
      <c r="H319" s="4"/>
      <c r="I319" s="4"/>
    </row>
    <row r="320" spans="7:9" x14ac:dyDescent="0.3">
      <c r="G320" s="4"/>
      <c r="H320" s="4"/>
      <c r="I320" s="4"/>
    </row>
    <row r="321" spans="7:9" x14ac:dyDescent="0.3">
      <c r="G321" s="4"/>
      <c r="H321" s="4"/>
      <c r="I321" s="4"/>
    </row>
    <row r="322" spans="7:9" x14ac:dyDescent="0.3">
      <c r="G322" s="4"/>
      <c r="H322" s="4"/>
      <c r="I322" s="4"/>
    </row>
    <row r="323" spans="7:9" x14ac:dyDescent="0.3">
      <c r="G323" s="4"/>
      <c r="H323" s="4"/>
      <c r="I323" s="4"/>
    </row>
    <row r="324" spans="7:9" x14ac:dyDescent="0.3">
      <c r="G324" s="4"/>
      <c r="H324" s="4"/>
      <c r="I324" s="4"/>
    </row>
    <row r="325" spans="7:9" x14ac:dyDescent="0.3">
      <c r="G325" s="4"/>
      <c r="H325" s="4"/>
      <c r="I325" s="4"/>
    </row>
    <row r="326" spans="7:9" x14ac:dyDescent="0.3">
      <c r="G326" s="4"/>
      <c r="H326" s="4"/>
      <c r="I326" s="4"/>
    </row>
    <row r="327" spans="7:9" x14ac:dyDescent="0.3">
      <c r="G327" s="4"/>
      <c r="H327" s="4"/>
      <c r="I327" s="4"/>
    </row>
    <row r="328" spans="7:9" x14ac:dyDescent="0.3">
      <c r="G328" s="4"/>
      <c r="H328" s="4"/>
      <c r="I328" s="4"/>
    </row>
    <row r="329" spans="7:9" x14ac:dyDescent="0.3">
      <c r="G329" s="4"/>
      <c r="H329" s="4"/>
      <c r="I329" s="4"/>
    </row>
    <row r="330" spans="7:9" x14ac:dyDescent="0.3">
      <c r="G330" s="4"/>
      <c r="H330" s="4"/>
      <c r="I330" s="4"/>
    </row>
    <row r="331" spans="7:9" x14ac:dyDescent="0.3">
      <c r="G331" s="4"/>
      <c r="H331" s="4"/>
      <c r="I331" s="4"/>
    </row>
    <row r="332" spans="7:9" x14ac:dyDescent="0.3">
      <c r="G332" s="4"/>
      <c r="H332" s="4"/>
      <c r="I332" s="4"/>
    </row>
    <row r="333" spans="7:9" x14ac:dyDescent="0.3">
      <c r="G333" s="4"/>
      <c r="H333" s="4"/>
      <c r="I333" s="4"/>
    </row>
    <row r="334" spans="7:9" x14ac:dyDescent="0.3">
      <c r="G334" s="4"/>
      <c r="H334" s="4"/>
      <c r="I334" s="4"/>
    </row>
    <row r="335" spans="7:9" x14ac:dyDescent="0.3">
      <c r="G335" s="4"/>
      <c r="H335" s="4"/>
      <c r="I335" s="4"/>
    </row>
    <row r="336" spans="7:9" x14ac:dyDescent="0.3">
      <c r="G336" s="4"/>
      <c r="H336" s="4"/>
      <c r="I336" s="4"/>
    </row>
    <row r="337" spans="7:9" x14ac:dyDescent="0.3">
      <c r="G337" s="4"/>
      <c r="H337" s="4"/>
      <c r="I337" s="4"/>
    </row>
    <row r="338" spans="7:9" x14ac:dyDescent="0.3">
      <c r="G338" s="4"/>
      <c r="H338" s="4"/>
      <c r="I338" s="4"/>
    </row>
    <row r="339" spans="7:9" x14ac:dyDescent="0.3">
      <c r="G339" s="4"/>
      <c r="H339" s="4"/>
      <c r="I339" s="4"/>
    </row>
    <row r="340" spans="7:9" x14ac:dyDescent="0.3">
      <c r="G340" s="4"/>
      <c r="H340" s="4"/>
      <c r="I340" s="4"/>
    </row>
    <row r="341" spans="7:9" x14ac:dyDescent="0.3">
      <c r="G341" s="4"/>
      <c r="H341" s="4"/>
      <c r="I341" s="4"/>
    </row>
    <row r="342" spans="7:9" x14ac:dyDescent="0.3">
      <c r="G342" s="4"/>
      <c r="H342" s="4"/>
      <c r="I342" s="4"/>
    </row>
    <row r="343" spans="7:9" x14ac:dyDescent="0.3">
      <c r="G343" s="4"/>
      <c r="H343" s="4"/>
      <c r="I343" s="4"/>
    </row>
    <row r="344" spans="7:9" x14ac:dyDescent="0.3">
      <c r="G344" s="4"/>
      <c r="H344" s="4"/>
      <c r="I344" s="4"/>
    </row>
    <row r="345" spans="7:9" x14ac:dyDescent="0.3">
      <c r="G345" s="4"/>
      <c r="H345" s="4"/>
      <c r="I345" s="4"/>
    </row>
    <row r="346" spans="7:9" x14ac:dyDescent="0.3">
      <c r="G346" s="4"/>
      <c r="H346" s="4"/>
      <c r="I346" s="4"/>
    </row>
    <row r="347" spans="7:9" x14ac:dyDescent="0.3">
      <c r="G347" s="4"/>
      <c r="H347" s="4"/>
      <c r="I347" s="4"/>
    </row>
    <row r="348" spans="7:9" x14ac:dyDescent="0.3">
      <c r="G348" s="4"/>
      <c r="H348" s="4"/>
      <c r="I348" s="4"/>
    </row>
    <row r="349" spans="7:9" x14ac:dyDescent="0.3">
      <c r="G349" s="4"/>
      <c r="H349" s="4"/>
      <c r="I349" s="4"/>
    </row>
    <row r="350" spans="7:9" x14ac:dyDescent="0.3">
      <c r="G350" s="4"/>
      <c r="H350" s="4"/>
      <c r="I350" s="4"/>
    </row>
    <row r="351" spans="7:9" x14ac:dyDescent="0.3">
      <c r="G351" s="4"/>
      <c r="H351" s="4"/>
      <c r="I351" s="4"/>
    </row>
    <row r="352" spans="7:9" x14ac:dyDescent="0.3">
      <c r="G352" s="4"/>
      <c r="H352" s="4"/>
      <c r="I352" s="4"/>
    </row>
    <row r="353" spans="7:9" x14ac:dyDescent="0.3">
      <c r="G353" s="4"/>
      <c r="H353" s="4"/>
      <c r="I353" s="4"/>
    </row>
    <row r="354" spans="7:9" x14ac:dyDescent="0.3">
      <c r="G354" s="4"/>
      <c r="H354" s="4"/>
      <c r="I354" s="4"/>
    </row>
    <row r="355" spans="7:9" x14ac:dyDescent="0.3">
      <c r="G355" s="4"/>
      <c r="H355" s="4"/>
      <c r="I355" s="4"/>
    </row>
    <row r="356" spans="7:9" x14ac:dyDescent="0.3">
      <c r="G356" s="4"/>
      <c r="H356" s="4"/>
      <c r="I356" s="4"/>
    </row>
    <row r="357" spans="7:9" x14ac:dyDescent="0.3">
      <c r="G357" s="4"/>
      <c r="H357" s="4"/>
      <c r="I357" s="4"/>
    </row>
    <row r="358" spans="7:9" x14ac:dyDescent="0.3">
      <c r="G358" s="4"/>
      <c r="H358" s="4"/>
      <c r="I358" s="4"/>
    </row>
    <row r="359" spans="7:9" x14ac:dyDescent="0.3">
      <c r="G359" s="4"/>
      <c r="H359" s="4"/>
      <c r="I359" s="4"/>
    </row>
    <row r="360" spans="7:9" x14ac:dyDescent="0.3">
      <c r="G360" s="4"/>
      <c r="H360" s="4"/>
      <c r="I360" s="4"/>
    </row>
    <row r="361" spans="7:9" x14ac:dyDescent="0.3">
      <c r="G361" s="4"/>
      <c r="H361" s="4"/>
      <c r="I361" s="4"/>
    </row>
    <row r="362" spans="7:9" x14ac:dyDescent="0.3">
      <c r="G362" s="4"/>
      <c r="H362" s="4"/>
      <c r="I362" s="4"/>
    </row>
    <row r="363" spans="7:9" x14ac:dyDescent="0.3">
      <c r="G363" s="4"/>
      <c r="H363" s="4"/>
      <c r="I363" s="4"/>
    </row>
    <row r="364" spans="7:9" x14ac:dyDescent="0.3">
      <c r="G364" s="4"/>
      <c r="H364" s="4"/>
      <c r="I364" s="4"/>
    </row>
    <row r="365" spans="7:9" x14ac:dyDescent="0.3">
      <c r="G365" s="4"/>
      <c r="H365" s="4"/>
      <c r="I365" s="4"/>
    </row>
    <row r="366" spans="7:9" x14ac:dyDescent="0.3">
      <c r="G366" s="4"/>
      <c r="H366" s="4"/>
      <c r="I366" s="4"/>
    </row>
    <row r="367" spans="7:9" x14ac:dyDescent="0.3">
      <c r="G367" s="4"/>
      <c r="H367" s="4"/>
      <c r="I367" s="4"/>
    </row>
    <row r="368" spans="7:9" x14ac:dyDescent="0.3">
      <c r="G368" s="4"/>
      <c r="H368" s="4"/>
      <c r="I368" s="4"/>
    </row>
    <row r="369" spans="7:9" x14ac:dyDescent="0.3">
      <c r="G369" s="4"/>
      <c r="H369" s="4"/>
      <c r="I369" s="4"/>
    </row>
    <row r="370" spans="7:9" x14ac:dyDescent="0.3">
      <c r="G370" s="4"/>
      <c r="H370" s="4"/>
      <c r="I370" s="4"/>
    </row>
    <row r="371" spans="7:9" x14ac:dyDescent="0.3">
      <c r="G371" s="4"/>
      <c r="H371" s="4"/>
      <c r="I371" s="4"/>
    </row>
    <row r="372" spans="7:9" x14ac:dyDescent="0.3">
      <c r="G372" s="4"/>
      <c r="H372" s="4"/>
      <c r="I372" s="4"/>
    </row>
    <row r="373" spans="7:9" x14ac:dyDescent="0.3">
      <c r="G373" s="4"/>
      <c r="H373" s="4"/>
      <c r="I373" s="4"/>
    </row>
    <row r="374" spans="7:9" x14ac:dyDescent="0.3">
      <c r="G374" s="4"/>
      <c r="H374" s="4"/>
      <c r="I374" s="4"/>
    </row>
    <row r="375" spans="7:9" x14ac:dyDescent="0.3">
      <c r="G375" s="4"/>
      <c r="H375" s="4"/>
      <c r="I375" s="4"/>
    </row>
    <row r="376" spans="7:9" x14ac:dyDescent="0.3">
      <c r="G376" s="4"/>
      <c r="H376" s="4"/>
      <c r="I376" s="4"/>
    </row>
    <row r="377" spans="7:9" x14ac:dyDescent="0.3">
      <c r="G377" s="4"/>
      <c r="H377" s="4"/>
      <c r="I377" s="4"/>
    </row>
    <row r="378" spans="7:9" x14ac:dyDescent="0.3">
      <c r="G378" s="4"/>
      <c r="H378" s="4"/>
      <c r="I378" s="4"/>
    </row>
    <row r="379" spans="7:9" x14ac:dyDescent="0.3">
      <c r="G379" s="4"/>
      <c r="H379" s="4"/>
      <c r="I379" s="4"/>
    </row>
    <row r="380" spans="7:9" x14ac:dyDescent="0.3">
      <c r="G380" s="4"/>
      <c r="H380" s="4"/>
      <c r="I380" s="4"/>
    </row>
    <row r="381" spans="7:9" x14ac:dyDescent="0.3">
      <c r="G381" s="4"/>
      <c r="H381" s="4"/>
      <c r="I381" s="4"/>
    </row>
    <row r="382" spans="7:9" x14ac:dyDescent="0.3">
      <c r="G382" s="4"/>
      <c r="H382" s="4"/>
      <c r="I382" s="4"/>
    </row>
    <row r="383" spans="7:9" x14ac:dyDescent="0.3">
      <c r="G383" s="4"/>
      <c r="H383" s="4"/>
      <c r="I383" s="4"/>
    </row>
    <row r="384" spans="7:9" x14ac:dyDescent="0.3">
      <c r="G384" s="4"/>
      <c r="H384" s="4"/>
      <c r="I384" s="4"/>
    </row>
    <row r="385" spans="7:9" x14ac:dyDescent="0.3">
      <c r="G385" s="4"/>
      <c r="H385" s="4"/>
      <c r="I385" s="4"/>
    </row>
    <row r="386" spans="7:9" x14ac:dyDescent="0.3">
      <c r="G386" s="4"/>
      <c r="H386" s="4"/>
      <c r="I386" s="4"/>
    </row>
    <row r="387" spans="7:9" x14ac:dyDescent="0.3">
      <c r="G387" s="4"/>
      <c r="H387" s="4"/>
      <c r="I387" s="4"/>
    </row>
    <row r="388" spans="7:9" x14ac:dyDescent="0.3">
      <c r="G388" s="4"/>
      <c r="H388" s="4"/>
      <c r="I388" s="4"/>
    </row>
    <row r="389" spans="7:9" x14ac:dyDescent="0.3">
      <c r="G389" s="4"/>
      <c r="H389" s="4"/>
      <c r="I389" s="4"/>
    </row>
    <row r="390" spans="7:9" x14ac:dyDescent="0.3">
      <c r="G390" s="4"/>
      <c r="H390" s="4"/>
      <c r="I390" s="4"/>
    </row>
    <row r="391" spans="7:9" x14ac:dyDescent="0.3">
      <c r="G391" s="4"/>
      <c r="H391" s="4"/>
      <c r="I391" s="4"/>
    </row>
    <row r="392" spans="7:9" x14ac:dyDescent="0.3">
      <c r="G392" s="4"/>
      <c r="H392" s="4"/>
      <c r="I392" s="4"/>
    </row>
    <row r="393" spans="7:9" x14ac:dyDescent="0.3">
      <c r="G393" s="4"/>
      <c r="H393" s="4"/>
      <c r="I393" s="4"/>
    </row>
    <row r="394" spans="7:9" x14ac:dyDescent="0.3">
      <c r="G394" s="4"/>
      <c r="H394" s="4"/>
      <c r="I394" s="4"/>
    </row>
    <row r="395" spans="7:9" x14ac:dyDescent="0.3">
      <c r="G395" s="4"/>
      <c r="H395" s="4"/>
      <c r="I395" s="4"/>
    </row>
    <row r="396" spans="7:9" x14ac:dyDescent="0.3">
      <c r="G396" s="4"/>
      <c r="H396" s="4"/>
      <c r="I396" s="4"/>
    </row>
    <row r="397" spans="7:9" x14ac:dyDescent="0.3">
      <c r="G397" s="4"/>
      <c r="H397" s="4"/>
      <c r="I397" s="4"/>
    </row>
    <row r="398" spans="7:9" x14ac:dyDescent="0.3">
      <c r="G398" s="4"/>
      <c r="H398" s="4"/>
      <c r="I398" s="4"/>
    </row>
    <row r="399" spans="7:9" x14ac:dyDescent="0.3">
      <c r="G399" s="4"/>
      <c r="H399" s="4"/>
      <c r="I399" s="4"/>
    </row>
    <row r="400" spans="7:9" x14ac:dyDescent="0.3">
      <c r="G400" s="4"/>
      <c r="H400" s="4"/>
      <c r="I400" s="4"/>
    </row>
    <row r="401" spans="7:9" x14ac:dyDescent="0.3">
      <c r="G401" s="4"/>
      <c r="H401" s="4"/>
      <c r="I401" s="4"/>
    </row>
    <row r="402" spans="7:9" x14ac:dyDescent="0.3">
      <c r="G402" s="4"/>
      <c r="H402" s="4"/>
      <c r="I402" s="4"/>
    </row>
    <row r="403" spans="7:9" x14ac:dyDescent="0.3">
      <c r="G403" s="4"/>
      <c r="H403" s="4"/>
      <c r="I403" s="4"/>
    </row>
    <row r="404" spans="7:9" x14ac:dyDescent="0.3">
      <c r="G404" s="4"/>
      <c r="H404" s="4"/>
      <c r="I404" s="4"/>
    </row>
    <row r="405" spans="7:9" x14ac:dyDescent="0.3">
      <c r="G405" s="4"/>
      <c r="H405" s="4"/>
      <c r="I405" s="4"/>
    </row>
    <row r="406" spans="7:9" x14ac:dyDescent="0.3">
      <c r="G406" s="4"/>
      <c r="H406" s="4"/>
      <c r="I406" s="4"/>
    </row>
    <row r="407" spans="7:9" x14ac:dyDescent="0.3">
      <c r="G407" s="4"/>
      <c r="H407" s="4"/>
      <c r="I407" s="4"/>
    </row>
    <row r="408" spans="7:9" x14ac:dyDescent="0.3">
      <c r="G408" s="4"/>
      <c r="H408" s="4"/>
      <c r="I408" s="4"/>
    </row>
    <row r="409" spans="7:9" x14ac:dyDescent="0.3">
      <c r="G409" s="4"/>
      <c r="H409" s="4"/>
      <c r="I409" s="4"/>
    </row>
    <row r="410" spans="7:9" x14ac:dyDescent="0.3">
      <c r="G410" s="4"/>
      <c r="H410" s="4"/>
      <c r="I410" s="4"/>
    </row>
    <row r="411" spans="7:9" x14ac:dyDescent="0.3">
      <c r="G411" s="4"/>
      <c r="H411" s="4"/>
      <c r="I411" s="4"/>
    </row>
    <row r="412" spans="7:9" x14ac:dyDescent="0.3">
      <c r="G412" s="4"/>
      <c r="H412" s="4"/>
      <c r="I412" s="4"/>
    </row>
    <row r="413" spans="7:9" x14ac:dyDescent="0.3">
      <c r="G413" s="4"/>
      <c r="H413" s="4"/>
      <c r="I413" s="4"/>
    </row>
    <row r="414" spans="7:9" x14ac:dyDescent="0.3">
      <c r="G414" s="4"/>
      <c r="H414" s="4"/>
      <c r="I414" s="4"/>
    </row>
    <row r="415" spans="7:9" x14ac:dyDescent="0.3">
      <c r="G415" s="4"/>
      <c r="H415" s="4"/>
      <c r="I415" s="4"/>
    </row>
    <row r="416" spans="7:9" x14ac:dyDescent="0.3">
      <c r="G416" s="4"/>
      <c r="H416" s="4"/>
      <c r="I416" s="4"/>
    </row>
    <row r="417" spans="7:9" x14ac:dyDescent="0.3">
      <c r="G417" s="4"/>
      <c r="H417" s="4"/>
      <c r="I417" s="4"/>
    </row>
    <row r="418" spans="7:9" x14ac:dyDescent="0.3">
      <c r="G418" s="4"/>
      <c r="H418" s="4"/>
      <c r="I418" s="4"/>
    </row>
    <row r="419" spans="7:9" x14ac:dyDescent="0.3">
      <c r="G419" s="4"/>
      <c r="H419" s="4"/>
      <c r="I419" s="4"/>
    </row>
    <row r="420" spans="7:9" x14ac:dyDescent="0.3">
      <c r="G420" s="4"/>
      <c r="H420" s="4"/>
      <c r="I420" s="4"/>
    </row>
    <row r="421" spans="7:9" x14ac:dyDescent="0.3">
      <c r="G421" s="4"/>
      <c r="H421" s="4"/>
      <c r="I421" s="4"/>
    </row>
    <row r="422" spans="7:9" x14ac:dyDescent="0.3">
      <c r="G422" s="4"/>
      <c r="H422" s="4"/>
      <c r="I422" s="4"/>
    </row>
    <row r="423" spans="7:9" x14ac:dyDescent="0.3">
      <c r="G423" s="4"/>
      <c r="H423" s="4"/>
      <c r="I423" s="4"/>
    </row>
    <row r="424" spans="7:9" x14ac:dyDescent="0.3">
      <c r="G424" s="4"/>
      <c r="H424" s="4"/>
      <c r="I424" s="4"/>
    </row>
    <row r="425" spans="7:9" x14ac:dyDescent="0.3">
      <c r="G425" s="4"/>
      <c r="H425" s="4"/>
      <c r="I425" s="4"/>
    </row>
    <row r="426" spans="7:9" x14ac:dyDescent="0.3">
      <c r="G426" s="4"/>
      <c r="H426" s="4"/>
      <c r="I426" s="4"/>
    </row>
    <row r="427" spans="7:9" x14ac:dyDescent="0.3">
      <c r="G427" s="4"/>
      <c r="H427" s="4"/>
      <c r="I427" s="4"/>
    </row>
    <row r="428" spans="7:9" x14ac:dyDescent="0.3">
      <c r="G428" s="4"/>
      <c r="H428" s="4"/>
      <c r="I428" s="4"/>
    </row>
    <row r="429" spans="7:9" x14ac:dyDescent="0.3">
      <c r="G429" s="4"/>
      <c r="H429" s="4"/>
      <c r="I429" s="4"/>
    </row>
    <row r="430" spans="7:9" x14ac:dyDescent="0.3">
      <c r="G430" s="4"/>
      <c r="H430" s="4"/>
      <c r="I430" s="4"/>
    </row>
    <row r="431" spans="7:9" x14ac:dyDescent="0.3">
      <c r="G431" s="4"/>
      <c r="H431" s="4"/>
      <c r="I431" s="4"/>
    </row>
    <row r="432" spans="7:9" x14ac:dyDescent="0.3">
      <c r="G432" s="4"/>
      <c r="H432" s="4"/>
      <c r="I432" s="4"/>
    </row>
    <row r="433" spans="7:9" x14ac:dyDescent="0.3">
      <c r="G433" s="4"/>
      <c r="H433" s="4"/>
      <c r="I433" s="4"/>
    </row>
    <row r="434" spans="7:9" x14ac:dyDescent="0.3">
      <c r="G434" s="4"/>
      <c r="H434" s="4"/>
      <c r="I434" s="4"/>
    </row>
    <row r="435" spans="7:9" x14ac:dyDescent="0.3">
      <c r="G435" s="4"/>
      <c r="H435" s="4"/>
      <c r="I435" s="4"/>
    </row>
    <row r="436" spans="7:9" x14ac:dyDescent="0.3">
      <c r="G436" s="4"/>
      <c r="H436" s="4"/>
      <c r="I436" s="4"/>
    </row>
    <row r="437" spans="7:9" x14ac:dyDescent="0.3">
      <c r="G437" s="4"/>
      <c r="H437" s="4"/>
      <c r="I437" s="4"/>
    </row>
    <row r="438" spans="7:9" x14ac:dyDescent="0.3">
      <c r="G438" s="4"/>
      <c r="H438" s="4"/>
      <c r="I438" s="4"/>
    </row>
    <row r="439" spans="7:9" x14ac:dyDescent="0.3">
      <c r="G439" s="4"/>
      <c r="H439" s="4"/>
      <c r="I439" s="4"/>
    </row>
    <row r="440" spans="7:9" x14ac:dyDescent="0.3">
      <c r="G440" s="4"/>
      <c r="H440" s="4"/>
      <c r="I440" s="4"/>
    </row>
    <row r="441" spans="7:9" x14ac:dyDescent="0.3">
      <c r="G441" s="4"/>
      <c r="H441" s="4"/>
      <c r="I441" s="4"/>
    </row>
    <row r="442" spans="7:9" x14ac:dyDescent="0.3">
      <c r="G442" s="4"/>
      <c r="H442" s="4"/>
      <c r="I442" s="4"/>
    </row>
    <row r="443" spans="7:9" x14ac:dyDescent="0.3">
      <c r="G443" s="4"/>
      <c r="H443" s="4"/>
      <c r="I443" s="4"/>
    </row>
    <row r="444" spans="7:9" x14ac:dyDescent="0.3">
      <c r="G444" s="4"/>
      <c r="H444" s="4"/>
      <c r="I444" s="4"/>
    </row>
    <row r="445" spans="7:9" x14ac:dyDescent="0.3">
      <c r="G445" s="4"/>
      <c r="H445" s="4"/>
      <c r="I445" s="4"/>
    </row>
    <row r="446" spans="7:9" x14ac:dyDescent="0.3">
      <c r="G446" s="4"/>
      <c r="H446" s="4"/>
      <c r="I446" s="4"/>
    </row>
    <row r="447" spans="7:9" x14ac:dyDescent="0.3">
      <c r="G447" s="4"/>
      <c r="H447" s="4"/>
      <c r="I447" s="4"/>
    </row>
    <row r="448" spans="7:9" x14ac:dyDescent="0.3">
      <c r="G448" s="4"/>
      <c r="H448" s="4"/>
      <c r="I448" s="4"/>
    </row>
    <row r="449" spans="7:9" x14ac:dyDescent="0.3">
      <c r="G449" s="4"/>
      <c r="H449" s="4"/>
      <c r="I449" s="4"/>
    </row>
    <row r="450" spans="7:9" x14ac:dyDescent="0.3">
      <c r="G450" s="4"/>
      <c r="H450" s="4"/>
      <c r="I450" s="4"/>
    </row>
    <row r="451" spans="7:9" x14ac:dyDescent="0.3">
      <c r="G451" s="4"/>
      <c r="H451" s="4"/>
      <c r="I451" s="4"/>
    </row>
    <row r="452" spans="7:9" x14ac:dyDescent="0.3">
      <c r="G452" s="4"/>
      <c r="H452" s="4"/>
      <c r="I452" s="4"/>
    </row>
    <row r="453" spans="7:9" x14ac:dyDescent="0.3">
      <c r="G453" s="4"/>
      <c r="H453" s="4"/>
      <c r="I453" s="4"/>
    </row>
    <row r="454" spans="7:9" x14ac:dyDescent="0.3">
      <c r="G454" s="4"/>
      <c r="H454" s="4"/>
      <c r="I454" s="4"/>
    </row>
    <row r="455" spans="7:9" x14ac:dyDescent="0.3">
      <c r="G455" s="4"/>
      <c r="H455" s="4"/>
      <c r="I455" s="4"/>
    </row>
    <row r="456" spans="7:9" x14ac:dyDescent="0.3">
      <c r="G456" s="4"/>
      <c r="H456" s="4"/>
      <c r="I456" s="4"/>
    </row>
    <row r="457" spans="7:9" x14ac:dyDescent="0.3">
      <c r="G457" s="4"/>
      <c r="H457" s="4"/>
      <c r="I457" s="4"/>
    </row>
    <row r="458" spans="7:9" x14ac:dyDescent="0.3">
      <c r="G458" s="4"/>
      <c r="H458" s="4"/>
      <c r="I458" s="4"/>
    </row>
    <row r="459" spans="7:9" x14ac:dyDescent="0.3">
      <c r="G459" s="4"/>
      <c r="H459" s="4"/>
      <c r="I459" s="4"/>
    </row>
    <row r="460" spans="7:9" x14ac:dyDescent="0.3">
      <c r="G460" s="4"/>
      <c r="H460" s="4"/>
      <c r="I460" s="4"/>
    </row>
    <row r="461" spans="7:9" x14ac:dyDescent="0.3">
      <c r="G461" s="4"/>
      <c r="H461" s="4"/>
      <c r="I461" s="4"/>
    </row>
    <row r="462" spans="7:9" x14ac:dyDescent="0.3">
      <c r="G462" s="4"/>
      <c r="H462" s="4"/>
      <c r="I462" s="4"/>
    </row>
    <row r="463" spans="7:9" x14ac:dyDescent="0.3">
      <c r="G463" s="4"/>
      <c r="H463" s="4"/>
      <c r="I463" s="4"/>
    </row>
    <row r="464" spans="7:9" x14ac:dyDescent="0.3">
      <c r="G464" s="4"/>
      <c r="H464" s="4"/>
      <c r="I464" s="4"/>
    </row>
    <row r="465" spans="7:9" x14ac:dyDescent="0.3">
      <c r="G465" s="4"/>
      <c r="H465" s="4"/>
      <c r="I465" s="4"/>
    </row>
    <row r="466" spans="7:9" x14ac:dyDescent="0.3">
      <c r="G466" s="4"/>
      <c r="H466" s="4"/>
      <c r="I466" s="4"/>
    </row>
    <row r="467" spans="7:9" x14ac:dyDescent="0.3">
      <c r="G467" s="4"/>
      <c r="H467" s="4"/>
      <c r="I467" s="4"/>
    </row>
    <row r="468" spans="7:9" x14ac:dyDescent="0.3">
      <c r="G468" s="4"/>
      <c r="H468" s="4"/>
      <c r="I468" s="4"/>
    </row>
    <row r="469" spans="7:9" x14ac:dyDescent="0.3">
      <c r="G469" s="4"/>
      <c r="H469" s="4"/>
      <c r="I469" s="4"/>
    </row>
    <row r="470" spans="7:9" x14ac:dyDescent="0.3">
      <c r="G470" s="4"/>
      <c r="H470" s="4"/>
      <c r="I470" s="4"/>
    </row>
    <row r="471" spans="7:9" x14ac:dyDescent="0.3">
      <c r="G471" s="4"/>
      <c r="H471" s="4"/>
      <c r="I471" s="4"/>
    </row>
    <row r="472" spans="7:9" x14ac:dyDescent="0.3">
      <c r="G472" s="4"/>
      <c r="H472" s="4"/>
      <c r="I472" s="4"/>
    </row>
    <row r="473" spans="7:9" x14ac:dyDescent="0.3">
      <c r="G473" s="4"/>
      <c r="H473" s="4"/>
      <c r="I473" s="4"/>
    </row>
    <row r="474" spans="7:9" x14ac:dyDescent="0.3">
      <c r="G474" s="4"/>
      <c r="H474" s="4"/>
      <c r="I474" s="4"/>
    </row>
    <row r="475" spans="7:9" x14ac:dyDescent="0.3">
      <c r="G475" s="4"/>
      <c r="H475" s="4"/>
      <c r="I475" s="4"/>
    </row>
    <row r="476" spans="7:9" x14ac:dyDescent="0.3">
      <c r="G476" s="4"/>
      <c r="H476" s="4"/>
      <c r="I476" s="4"/>
    </row>
    <row r="477" spans="7:9" x14ac:dyDescent="0.3">
      <c r="G477" s="4"/>
      <c r="H477" s="4"/>
      <c r="I477" s="4"/>
    </row>
    <row r="478" spans="7:9" x14ac:dyDescent="0.3">
      <c r="G478" s="4"/>
      <c r="H478" s="4"/>
      <c r="I478" s="4"/>
    </row>
    <row r="479" spans="7:9" x14ac:dyDescent="0.3">
      <c r="G479" s="4"/>
      <c r="H479" s="4"/>
      <c r="I479" s="4"/>
    </row>
    <row r="480" spans="7:9" x14ac:dyDescent="0.3">
      <c r="G480" s="4"/>
      <c r="H480" s="4"/>
      <c r="I480" s="4"/>
    </row>
    <row r="481" spans="7:9" x14ac:dyDescent="0.3">
      <c r="G481" s="4"/>
      <c r="H481" s="4"/>
      <c r="I481" s="4"/>
    </row>
    <row r="482" spans="7:9" x14ac:dyDescent="0.3">
      <c r="G482" s="4"/>
      <c r="H482" s="4"/>
      <c r="I482" s="4"/>
    </row>
    <row r="483" spans="7:9" x14ac:dyDescent="0.3">
      <c r="G483" s="4"/>
      <c r="H483" s="4"/>
      <c r="I483" s="4"/>
    </row>
    <row r="484" spans="7:9" x14ac:dyDescent="0.3">
      <c r="G484" s="4"/>
      <c r="H484" s="4"/>
      <c r="I484" s="4"/>
    </row>
    <row r="485" spans="7:9" x14ac:dyDescent="0.3">
      <c r="G485" s="4"/>
      <c r="H485" s="4"/>
      <c r="I485" s="4"/>
    </row>
    <row r="486" spans="7:9" x14ac:dyDescent="0.3">
      <c r="G486" s="4"/>
      <c r="H486" s="4"/>
      <c r="I486" s="4"/>
    </row>
    <row r="487" spans="7:9" x14ac:dyDescent="0.3">
      <c r="G487" s="4"/>
      <c r="H487" s="4"/>
      <c r="I487" s="4"/>
    </row>
    <row r="488" spans="7:9" x14ac:dyDescent="0.3">
      <c r="G488" s="4"/>
      <c r="H488" s="4"/>
      <c r="I488" s="4"/>
    </row>
    <row r="489" spans="7:9" x14ac:dyDescent="0.3">
      <c r="G489" s="4"/>
      <c r="H489" s="4"/>
      <c r="I489" s="4"/>
    </row>
    <row r="490" spans="7:9" x14ac:dyDescent="0.3">
      <c r="G490" s="4"/>
      <c r="H490" s="4"/>
      <c r="I490" s="4"/>
    </row>
    <row r="491" spans="7:9" x14ac:dyDescent="0.3">
      <c r="G491" s="4"/>
      <c r="H491" s="4"/>
      <c r="I491" s="4"/>
    </row>
    <row r="492" spans="7:9" x14ac:dyDescent="0.3">
      <c r="G492" s="4"/>
      <c r="H492" s="4"/>
      <c r="I492" s="4"/>
    </row>
    <row r="493" spans="7:9" x14ac:dyDescent="0.3">
      <c r="G493" s="4"/>
      <c r="H493" s="4"/>
      <c r="I493" s="4"/>
    </row>
    <row r="494" spans="7:9" x14ac:dyDescent="0.3">
      <c r="G494" s="4"/>
      <c r="H494" s="4"/>
      <c r="I494" s="4"/>
    </row>
    <row r="495" spans="7:9" x14ac:dyDescent="0.3">
      <c r="G495" s="4"/>
      <c r="H495" s="4"/>
      <c r="I495" s="4"/>
    </row>
    <row r="496" spans="7:9" x14ac:dyDescent="0.3">
      <c r="G496" s="4"/>
      <c r="H496" s="4"/>
      <c r="I496" s="4"/>
    </row>
    <row r="497" spans="7:9" x14ac:dyDescent="0.3">
      <c r="G497" s="4"/>
      <c r="H497" s="4"/>
      <c r="I497" s="4"/>
    </row>
    <row r="498" spans="7:9" x14ac:dyDescent="0.3">
      <c r="G498" s="4"/>
      <c r="H498" s="4"/>
      <c r="I498" s="4"/>
    </row>
    <row r="499" spans="7:9" x14ac:dyDescent="0.3">
      <c r="G499" s="4"/>
      <c r="H499" s="4"/>
      <c r="I499" s="4"/>
    </row>
    <row r="500" spans="7:9" x14ac:dyDescent="0.3">
      <c r="G500" s="4"/>
      <c r="H500" s="4"/>
      <c r="I500" s="4"/>
    </row>
    <row r="501" spans="7:9" x14ac:dyDescent="0.3">
      <c r="G501" s="4"/>
      <c r="H501" s="4"/>
      <c r="I501" s="4"/>
    </row>
    <row r="502" spans="7:9" x14ac:dyDescent="0.3">
      <c r="G502" s="4"/>
      <c r="H502" s="4"/>
      <c r="I502" s="4"/>
    </row>
    <row r="503" spans="7:9" x14ac:dyDescent="0.3">
      <c r="G503" s="4"/>
      <c r="H503" s="4"/>
      <c r="I503" s="4"/>
    </row>
    <row r="504" spans="7:9" x14ac:dyDescent="0.3">
      <c r="G504" s="4"/>
      <c r="H504" s="4"/>
      <c r="I504" s="4"/>
    </row>
    <row r="505" spans="7:9" x14ac:dyDescent="0.3">
      <c r="G505" s="4"/>
      <c r="H505" s="4"/>
      <c r="I505" s="4"/>
    </row>
    <row r="506" spans="7:9" x14ac:dyDescent="0.3">
      <c r="G506" s="4"/>
      <c r="H506" s="4"/>
      <c r="I506" s="4"/>
    </row>
    <row r="507" spans="7:9" x14ac:dyDescent="0.3">
      <c r="G507" s="4"/>
      <c r="H507" s="4"/>
      <c r="I507" s="4"/>
    </row>
    <row r="508" spans="7:9" x14ac:dyDescent="0.3">
      <c r="G508" s="4"/>
      <c r="H508" s="4"/>
      <c r="I508" s="4"/>
    </row>
    <row r="509" spans="7:9" x14ac:dyDescent="0.3">
      <c r="G509" s="4"/>
      <c r="H509" s="4"/>
      <c r="I509" s="4"/>
    </row>
    <row r="510" spans="7:9" x14ac:dyDescent="0.3">
      <c r="G510" s="4"/>
      <c r="H510" s="4"/>
      <c r="I510" s="4"/>
    </row>
    <row r="511" spans="7:9" x14ac:dyDescent="0.3">
      <c r="G511" s="4"/>
      <c r="H511" s="4"/>
      <c r="I511" s="4"/>
    </row>
    <row r="512" spans="7:9" x14ac:dyDescent="0.3">
      <c r="G512" s="4"/>
      <c r="H512" s="4"/>
      <c r="I512" s="4"/>
    </row>
    <row r="513" spans="7:9" x14ac:dyDescent="0.3">
      <c r="G513" s="4"/>
      <c r="H513" s="4"/>
      <c r="I513" s="4"/>
    </row>
    <row r="514" spans="7:9" x14ac:dyDescent="0.3">
      <c r="G514" s="4"/>
      <c r="H514" s="4"/>
      <c r="I514" s="4"/>
    </row>
    <row r="515" spans="7:9" x14ac:dyDescent="0.3">
      <c r="G515" s="4"/>
      <c r="H515" s="4"/>
      <c r="I515" s="4"/>
    </row>
    <row r="516" spans="7:9" x14ac:dyDescent="0.3">
      <c r="G516" s="4"/>
      <c r="H516" s="4"/>
      <c r="I516" s="4"/>
    </row>
    <row r="517" spans="7:9" x14ac:dyDescent="0.3">
      <c r="G517" s="4"/>
      <c r="H517" s="4"/>
      <c r="I517" s="4"/>
    </row>
    <row r="518" spans="7:9" x14ac:dyDescent="0.3">
      <c r="G518" s="4"/>
      <c r="H518" s="4"/>
      <c r="I518" s="4"/>
    </row>
    <row r="519" spans="7:9" x14ac:dyDescent="0.3">
      <c r="G519" s="4"/>
      <c r="H519" s="4"/>
      <c r="I519" s="4"/>
    </row>
    <row r="520" spans="7:9" x14ac:dyDescent="0.3">
      <c r="G520" s="4"/>
      <c r="H520" s="4"/>
      <c r="I520" s="4"/>
    </row>
    <row r="521" spans="7:9" x14ac:dyDescent="0.3">
      <c r="G521" s="4"/>
      <c r="H521" s="4"/>
      <c r="I521" s="4"/>
    </row>
    <row r="522" spans="7:9" x14ac:dyDescent="0.3">
      <c r="G522" s="4"/>
      <c r="H522" s="4"/>
      <c r="I522" s="4"/>
    </row>
    <row r="523" spans="7:9" x14ac:dyDescent="0.3">
      <c r="G523" s="4"/>
      <c r="H523" s="4"/>
      <c r="I523" s="4"/>
    </row>
    <row r="524" spans="7:9" x14ac:dyDescent="0.3">
      <c r="G524" s="4"/>
      <c r="H524" s="4"/>
      <c r="I524" s="4"/>
    </row>
    <row r="525" spans="7:9" x14ac:dyDescent="0.3">
      <c r="G525" s="4"/>
      <c r="H525" s="4"/>
      <c r="I525" s="4"/>
    </row>
    <row r="526" spans="7:9" x14ac:dyDescent="0.3">
      <c r="G526" s="4"/>
      <c r="H526" s="4"/>
      <c r="I526" s="4"/>
    </row>
    <row r="527" spans="7:9" x14ac:dyDescent="0.3">
      <c r="G527" s="4"/>
      <c r="H527" s="4"/>
      <c r="I527" s="4"/>
    </row>
    <row r="528" spans="7:9" x14ac:dyDescent="0.3">
      <c r="G528" s="4"/>
      <c r="H528" s="4"/>
      <c r="I528" s="4"/>
    </row>
    <row r="529" spans="7:9" x14ac:dyDescent="0.3">
      <c r="G529" s="4"/>
      <c r="H529" s="4"/>
      <c r="I529" s="4"/>
    </row>
    <row r="530" spans="7:9" x14ac:dyDescent="0.3">
      <c r="G530" s="4"/>
      <c r="H530" s="4"/>
      <c r="I530" s="4"/>
    </row>
    <row r="531" spans="7:9" x14ac:dyDescent="0.3">
      <c r="G531" s="4"/>
      <c r="H531" s="4"/>
      <c r="I531" s="4"/>
    </row>
    <row r="532" spans="7:9" x14ac:dyDescent="0.3">
      <c r="G532" s="4"/>
      <c r="H532" s="4"/>
      <c r="I532" s="4"/>
    </row>
    <row r="533" spans="7:9" x14ac:dyDescent="0.3">
      <c r="G533" s="4"/>
      <c r="H533" s="4"/>
      <c r="I533" s="4"/>
    </row>
    <row r="534" spans="7:9" x14ac:dyDescent="0.3">
      <c r="G534" s="4"/>
      <c r="H534" s="4"/>
      <c r="I534" s="4"/>
    </row>
    <row r="535" spans="7:9" x14ac:dyDescent="0.3">
      <c r="G535" s="4"/>
      <c r="H535" s="4"/>
      <c r="I535" s="4"/>
    </row>
    <row r="536" spans="7:9" x14ac:dyDescent="0.3">
      <c r="G536" s="4"/>
      <c r="H536" s="4"/>
      <c r="I536" s="4"/>
    </row>
    <row r="537" spans="7:9" x14ac:dyDescent="0.3">
      <c r="G537" s="4"/>
      <c r="H537" s="4"/>
      <c r="I537" s="4"/>
    </row>
    <row r="538" spans="7:9" x14ac:dyDescent="0.3">
      <c r="G538" s="4"/>
      <c r="H538" s="4"/>
      <c r="I538" s="4"/>
    </row>
    <row r="539" spans="7:9" x14ac:dyDescent="0.3">
      <c r="G539" s="4"/>
      <c r="H539" s="4"/>
      <c r="I539" s="4"/>
    </row>
    <row r="540" spans="7:9" x14ac:dyDescent="0.3">
      <c r="G540" s="4"/>
      <c r="H540" s="4"/>
      <c r="I540" s="4"/>
    </row>
    <row r="541" spans="7:9" x14ac:dyDescent="0.3">
      <c r="G541" s="4"/>
      <c r="H541" s="4"/>
      <c r="I541" s="4"/>
    </row>
    <row r="542" spans="7:9" x14ac:dyDescent="0.3">
      <c r="G542" s="4"/>
      <c r="H542" s="4"/>
      <c r="I542" s="4"/>
    </row>
    <row r="543" spans="7:9" x14ac:dyDescent="0.3">
      <c r="G543" s="4"/>
      <c r="H543" s="4"/>
      <c r="I543" s="4"/>
    </row>
    <row r="544" spans="7:9" x14ac:dyDescent="0.3">
      <c r="G544" s="4"/>
      <c r="H544" s="4"/>
      <c r="I544" s="4"/>
    </row>
    <row r="545" spans="7:9" x14ac:dyDescent="0.3">
      <c r="G545" s="4"/>
      <c r="H545" s="4"/>
      <c r="I545" s="4"/>
    </row>
    <row r="546" spans="7:9" x14ac:dyDescent="0.3">
      <c r="G546" s="4"/>
      <c r="H546" s="4"/>
      <c r="I546" s="4"/>
    </row>
    <row r="547" spans="7:9" x14ac:dyDescent="0.3">
      <c r="G547" s="4"/>
      <c r="H547" s="4"/>
      <c r="I547" s="4"/>
    </row>
    <row r="548" spans="7:9" x14ac:dyDescent="0.3">
      <c r="G548" s="4"/>
      <c r="H548" s="4"/>
      <c r="I548" s="4"/>
    </row>
    <row r="549" spans="7:9" x14ac:dyDescent="0.3">
      <c r="G549" s="4"/>
      <c r="H549" s="4"/>
      <c r="I549" s="4"/>
    </row>
    <row r="550" spans="7:9" x14ac:dyDescent="0.3">
      <c r="G550" s="4"/>
      <c r="H550" s="4"/>
      <c r="I550" s="4"/>
    </row>
    <row r="551" spans="7:9" x14ac:dyDescent="0.3">
      <c r="G551" s="4"/>
      <c r="H551" s="4"/>
      <c r="I551" s="4"/>
    </row>
    <row r="552" spans="7:9" x14ac:dyDescent="0.3">
      <c r="G552" s="4"/>
      <c r="H552" s="4"/>
      <c r="I552" s="4"/>
    </row>
    <row r="553" spans="7:9" x14ac:dyDescent="0.3">
      <c r="G553" s="4"/>
      <c r="H553" s="4"/>
      <c r="I553" s="4"/>
    </row>
    <row r="554" spans="7:9" x14ac:dyDescent="0.3">
      <c r="G554" s="4"/>
      <c r="H554" s="4"/>
      <c r="I554" s="4"/>
    </row>
    <row r="555" spans="7:9" x14ac:dyDescent="0.3">
      <c r="G555" s="4"/>
      <c r="H555" s="4"/>
      <c r="I555" s="4"/>
    </row>
    <row r="556" spans="7:9" x14ac:dyDescent="0.3">
      <c r="G556" s="4"/>
      <c r="H556" s="4"/>
      <c r="I556" s="4"/>
    </row>
    <row r="557" spans="7:9" x14ac:dyDescent="0.3">
      <c r="G557" s="4"/>
      <c r="H557" s="4"/>
      <c r="I557" s="4"/>
    </row>
    <row r="558" spans="7:9" x14ac:dyDescent="0.3">
      <c r="G558" s="4"/>
      <c r="H558" s="4"/>
      <c r="I558" s="4"/>
    </row>
    <row r="559" spans="7:9" x14ac:dyDescent="0.3">
      <c r="G559" s="4"/>
      <c r="H559" s="4"/>
      <c r="I559" s="4"/>
    </row>
    <row r="560" spans="7:9" x14ac:dyDescent="0.3">
      <c r="G560" s="4"/>
      <c r="H560" s="4"/>
      <c r="I560" s="4"/>
    </row>
    <row r="561" spans="7:9" x14ac:dyDescent="0.3">
      <c r="G561" s="4"/>
      <c r="H561" s="4"/>
      <c r="I561" s="4"/>
    </row>
    <row r="562" spans="7:9" x14ac:dyDescent="0.3">
      <c r="G562" s="4"/>
      <c r="H562" s="4"/>
      <c r="I562" s="4"/>
    </row>
    <row r="563" spans="7:9" x14ac:dyDescent="0.3">
      <c r="G563" s="4"/>
      <c r="H563" s="4"/>
      <c r="I563" s="4"/>
    </row>
    <row r="564" spans="7:9" x14ac:dyDescent="0.3">
      <c r="G564" s="4"/>
      <c r="H564" s="4"/>
      <c r="I564" s="4"/>
    </row>
    <row r="565" spans="7:9" x14ac:dyDescent="0.3">
      <c r="G565" s="4"/>
      <c r="H565" s="4"/>
      <c r="I565" s="4"/>
    </row>
    <row r="566" spans="7:9" x14ac:dyDescent="0.3">
      <c r="G566" s="4"/>
      <c r="H566" s="4"/>
      <c r="I566" s="4"/>
    </row>
    <row r="567" spans="7:9" x14ac:dyDescent="0.3">
      <c r="G567" s="4"/>
      <c r="H567" s="4"/>
      <c r="I567" s="4"/>
    </row>
    <row r="568" spans="7:9" x14ac:dyDescent="0.3">
      <c r="G568" s="4"/>
      <c r="H568" s="4"/>
      <c r="I568" s="4"/>
    </row>
    <row r="569" spans="7:9" x14ac:dyDescent="0.3">
      <c r="G569" s="4"/>
      <c r="H569" s="4"/>
      <c r="I569" s="4"/>
    </row>
    <row r="570" spans="7:9" x14ac:dyDescent="0.3">
      <c r="G570" s="4"/>
      <c r="H570" s="4"/>
      <c r="I570" s="4"/>
    </row>
    <row r="571" spans="7:9" x14ac:dyDescent="0.3">
      <c r="G571" s="4"/>
      <c r="H571" s="4"/>
      <c r="I571" s="4"/>
    </row>
    <row r="572" spans="7:9" x14ac:dyDescent="0.3">
      <c r="G572" s="4"/>
      <c r="H572" s="4"/>
      <c r="I572" s="4"/>
    </row>
    <row r="573" spans="7:9" x14ac:dyDescent="0.3">
      <c r="G573" s="4"/>
      <c r="H573" s="4"/>
      <c r="I573" s="4"/>
    </row>
    <row r="574" spans="7:9" x14ac:dyDescent="0.3">
      <c r="G574" s="4"/>
      <c r="H574" s="4"/>
      <c r="I574" s="4"/>
    </row>
    <row r="575" spans="7:9" x14ac:dyDescent="0.3">
      <c r="G575" s="4"/>
      <c r="H575" s="4"/>
      <c r="I575" s="4"/>
    </row>
    <row r="576" spans="7:9" x14ac:dyDescent="0.3">
      <c r="G576" s="4"/>
      <c r="H576" s="4"/>
      <c r="I576" s="4"/>
    </row>
    <row r="577" spans="7:9" x14ac:dyDescent="0.3">
      <c r="G577" s="4"/>
      <c r="H577" s="4"/>
      <c r="I577" s="4"/>
    </row>
    <row r="578" spans="7:9" x14ac:dyDescent="0.3">
      <c r="G578" s="4"/>
      <c r="H578" s="4"/>
      <c r="I578" s="4"/>
    </row>
    <row r="579" spans="7:9" x14ac:dyDescent="0.3">
      <c r="G579" s="4"/>
      <c r="H579" s="4"/>
      <c r="I579" s="4"/>
    </row>
    <row r="580" spans="7:9" x14ac:dyDescent="0.3">
      <c r="G580" s="4"/>
      <c r="H580" s="4"/>
      <c r="I580" s="4"/>
    </row>
    <row r="581" spans="7:9" x14ac:dyDescent="0.3">
      <c r="G581" s="4"/>
      <c r="H581" s="4"/>
      <c r="I581" s="4"/>
    </row>
    <row r="582" spans="7:9" x14ac:dyDescent="0.3">
      <c r="G582" s="4"/>
      <c r="H582" s="4"/>
      <c r="I582" s="4"/>
    </row>
    <row r="583" spans="7:9" x14ac:dyDescent="0.3">
      <c r="G583" s="4"/>
      <c r="H583" s="4"/>
      <c r="I583" s="4"/>
    </row>
    <row r="584" spans="7:9" x14ac:dyDescent="0.3">
      <c r="G584" s="4"/>
      <c r="H584" s="4"/>
      <c r="I584" s="4"/>
    </row>
    <row r="585" spans="7:9" x14ac:dyDescent="0.3">
      <c r="G585" s="4"/>
      <c r="H585" s="4"/>
      <c r="I585" s="4"/>
    </row>
    <row r="586" spans="7:9" x14ac:dyDescent="0.3">
      <c r="G586" s="4"/>
      <c r="H586" s="4"/>
      <c r="I586" s="4"/>
    </row>
    <row r="587" spans="7:9" x14ac:dyDescent="0.3">
      <c r="G587" s="4"/>
      <c r="H587" s="4"/>
      <c r="I587" s="4"/>
    </row>
    <row r="588" spans="7:9" x14ac:dyDescent="0.3">
      <c r="G588" s="4"/>
      <c r="H588" s="4"/>
      <c r="I588" s="4"/>
    </row>
    <row r="589" spans="7:9" x14ac:dyDescent="0.3">
      <c r="G589" s="4"/>
      <c r="H589" s="4"/>
      <c r="I589" s="4"/>
    </row>
    <row r="590" spans="7:9" x14ac:dyDescent="0.3">
      <c r="G590" s="4"/>
      <c r="H590" s="4"/>
      <c r="I590" s="4"/>
    </row>
    <row r="591" spans="7:9" x14ac:dyDescent="0.3">
      <c r="G591" s="4"/>
      <c r="H591" s="4"/>
      <c r="I591" s="4"/>
    </row>
    <row r="592" spans="7:9" x14ac:dyDescent="0.3">
      <c r="G592" s="4"/>
      <c r="H592" s="4"/>
      <c r="I592" s="4"/>
    </row>
    <row r="593" spans="7:9" x14ac:dyDescent="0.3">
      <c r="G593" s="4"/>
      <c r="H593" s="4"/>
      <c r="I593" s="4"/>
    </row>
    <row r="594" spans="7:9" x14ac:dyDescent="0.3">
      <c r="G594" s="4"/>
      <c r="H594" s="4"/>
      <c r="I594" s="4"/>
    </row>
    <row r="595" spans="7:9" x14ac:dyDescent="0.3">
      <c r="G595" s="4"/>
      <c r="H595" s="4"/>
      <c r="I595" s="4"/>
    </row>
    <row r="596" spans="7:9" x14ac:dyDescent="0.3">
      <c r="G596" s="4"/>
      <c r="H596" s="4"/>
      <c r="I596" s="4"/>
    </row>
    <row r="597" spans="7:9" x14ac:dyDescent="0.3">
      <c r="G597" s="4"/>
      <c r="H597" s="4"/>
      <c r="I597" s="4"/>
    </row>
    <row r="598" spans="7:9" x14ac:dyDescent="0.3">
      <c r="G598" s="4"/>
      <c r="H598" s="4"/>
      <c r="I598" s="4"/>
    </row>
    <row r="599" spans="7:9" x14ac:dyDescent="0.3">
      <c r="G599" s="4"/>
      <c r="H599" s="4"/>
      <c r="I599" s="4"/>
    </row>
    <row r="600" spans="7:9" x14ac:dyDescent="0.3">
      <c r="G600" s="4"/>
      <c r="H600" s="4"/>
      <c r="I600" s="4"/>
    </row>
    <row r="601" spans="7:9" x14ac:dyDescent="0.3">
      <c r="G601" s="4"/>
      <c r="H601" s="4"/>
      <c r="I601" s="4"/>
    </row>
    <row r="602" spans="7:9" x14ac:dyDescent="0.3">
      <c r="G602" s="4"/>
      <c r="H602" s="4"/>
      <c r="I602" s="4"/>
    </row>
    <row r="603" spans="7:9" x14ac:dyDescent="0.3">
      <c r="G603" s="4"/>
      <c r="H603" s="4"/>
      <c r="I603" s="4"/>
    </row>
    <row r="604" spans="7:9" x14ac:dyDescent="0.3">
      <c r="G604" s="4"/>
      <c r="H604" s="4"/>
      <c r="I604" s="4"/>
    </row>
    <row r="605" spans="7:9" x14ac:dyDescent="0.3">
      <c r="G605" s="4"/>
      <c r="H605" s="4"/>
      <c r="I605" s="4"/>
    </row>
    <row r="606" spans="7:9" x14ac:dyDescent="0.3">
      <c r="G606" s="4"/>
      <c r="H606" s="4"/>
      <c r="I606" s="4"/>
    </row>
    <row r="607" spans="7:9" x14ac:dyDescent="0.3">
      <c r="G607" s="4"/>
      <c r="H607" s="4"/>
      <c r="I607" s="4"/>
    </row>
    <row r="608" spans="7:9" x14ac:dyDescent="0.3">
      <c r="G608" s="4"/>
      <c r="H608" s="4"/>
      <c r="I608" s="4"/>
    </row>
    <row r="609" spans="7:9" x14ac:dyDescent="0.3">
      <c r="G609" s="4"/>
      <c r="H609" s="4"/>
      <c r="I609" s="4"/>
    </row>
    <row r="610" spans="7:9" x14ac:dyDescent="0.3">
      <c r="G610" s="4"/>
      <c r="H610" s="4"/>
      <c r="I610" s="4"/>
    </row>
    <row r="611" spans="7:9" x14ac:dyDescent="0.3">
      <c r="G611" s="4"/>
      <c r="H611" s="4"/>
      <c r="I611" s="4"/>
    </row>
    <row r="612" spans="7:9" x14ac:dyDescent="0.3">
      <c r="G612" s="4"/>
      <c r="H612" s="4"/>
      <c r="I612" s="4"/>
    </row>
    <row r="613" spans="7:9" x14ac:dyDescent="0.3">
      <c r="G613" s="4"/>
      <c r="H613" s="4"/>
      <c r="I613" s="4"/>
    </row>
    <row r="614" spans="7:9" x14ac:dyDescent="0.3">
      <c r="G614" s="4"/>
      <c r="H614" s="4"/>
      <c r="I614" s="4"/>
    </row>
    <row r="615" spans="7:9" x14ac:dyDescent="0.3">
      <c r="G615" s="4"/>
      <c r="H615" s="4"/>
      <c r="I615" s="4"/>
    </row>
    <row r="616" spans="7:9" x14ac:dyDescent="0.3">
      <c r="G616" s="4"/>
      <c r="H616" s="4"/>
      <c r="I616" s="4"/>
    </row>
    <row r="617" spans="7:9" x14ac:dyDescent="0.3">
      <c r="G617" s="4"/>
      <c r="H617" s="4"/>
      <c r="I617" s="4"/>
    </row>
    <row r="618" spans="7:9" x14ac:dyDescent="0.3">
      <c r="G618" s="4"/>
      <c r="H618" s="4"/>
      <c r="I618" s="4"/>
    </row>
    <row r="619" spans="7:9" x14ac:dyDescent="0.3">
      <c r="G619" s="4"/>
      <c r="H619" s="4"/>
      <c r="I619" s="4"/>
    </row>
    <row r="620" spans="7:9" x14ac:dyDescent="0.3">
      <c r="G620" s="4"/>
      <c r="H620" s="4"/>
      <c r="I620" s="4"/>
    </row>
    <row r="621" spans="7:9" x14ac:dyDescent="0.3">
      <c r="G621" s="4"/>
      <c r="H621" s="4"/>
      <c r="I621" s="4"/>
    </row>
    <row r="622" spans="7:9" x14ac:dyDescent="0.3">
      <c r="G622" s="4"/>
      <c r="H622" s="4"/>
      <c r="I622" s="4"/>
    </row>
    <row r="623" spans="7:9" x14ac:dyDescent="0.3">
      <c r="G623" s="4"/>
      <c r="H623" s="4"/>
      <c r="I623" s="4"/>
    </row>
    <row r="624" spans="7:9" x14ac:dyDescent="0.3">
      <c r="G624" s="4"/>
      <c r="H624" s="4"/>
      <c r="I624" s="4"/>
    </row>
    <row r="625" spans="7:9" x14ac:dyDescent="0.3">
      <c r="G625" s="4"/>
      <c r="H625" s="4"/>
      <c r="I625" s="4"/>
    </row>
    <row r="626" spans="7:9" x14ac:dyDescent="0.3">
      <c r="G626" s="4"/>
      <c r="H626" s="4"/>
      <c r="I626" s="4"/>
    </row>
    <row r="627" spans="7:9" x14ac:dyDescent="0.3">
      <c r="G627" s="4"/>
      <c r="H627" s="4"/>
      <c r="I627" s="4"/>
    </row>
    <row r="628" spans="7:9" x14ac:dyDescent="0.3">
      <c r="G628" s="4"/>
      <c r="H628" s="4"/>
      <c r="I628" s="4"/>
    </row>
    <row r="629" spans="7:9" x14ac:dyDescent="0.3">
      <c r="G629" s="4"/>
      <c r="H629" s="4"/>
      <c r="I629" s="4"/>
    </row>
    <row r="630" spans="7:9" x14ac:dyDescent="0.3">
      <c r="G630" s="4"/>
      <c r="H630" s="4"/>
      <c r="I630" s="4"/>
    </row>
    <row r="631" spans="7:9" x14ac:dyDescent="0.3">
      <c r="G631" s="4"/>
      <c r="H631" s="4"/>
      <c r="I631" s="4"/>
    </row>
    <row r="632" spans="7:9" x14ac:dyDescent="0.3">
      <c r="G632" s="4"/>
      <c r="H632" s="4"/>
      <c r="I632" s="4"/>
    </row>
    <row r="633" spans="7:9" x14ac:dyDescent="0.3">
      <c r="G633" s="4"/>
      <c r="H633" s="4"/>
      <c r="I633" s="4"/>
    </row>
    <row r="634" spans="7:9" x14ac:dyDescent="0.3">
      <c r="G634" s="4"/>
      <c r="H634" s="4"/>
      <c r="I634" s="4"/>
    </row>
    <row r="635" spans="7:9" x14ac:dyDescent="0.3">
      <c r="G635" s="4"/>
      <c r="H635" s="4"/>
      <c r="I635" s="4"/>
    </row>
    <row r="636" spans="7:9" x14ac:dyDescent="0.3">
      <c r="G636" s="4"/>
      <c r="H636" s="4"/>
      <c r="I636" s="4"/>
    </row>
    <row r="637" spans="7:9" x14ac:dyDescent="0.3">
      <c r="G637" s="4"/>
      <c r="H637" s="4"/>
      <c r="I637" s="4"/>
    </row>
    <row r="638" spans="7:9" x14ac:dyDescent="0.3">
      <c r="G638" s="4"/>
      <c r="H638" s="4"/>
      <c r="I638" s="4"/>
    </row>
    <row r="639" spans="7:9" x14ac:dyDescent="0.3">
      <c r="G639" s="4"/>
      <c r="H639" s="4"/>
      <c r="I639" s="4"/>
    </row>
    <row r="640" spans="7:9" x14ac:dyDescent="0.3">
      <c r="G640" s="4"/>
      <c r="H640" s="4"/>
      <c r="I640" s="4"/>
    </row>
    <row r="641" spans="7:9" x14ac:dyDescent="0.3">
      <c r="G641" s="4"/>
      <c r="H641" s="4"/>
      <c r="I641" s="4"/>
    </row>
    <row r="642" spans="7:9" x14ac:dyDescent="0.3">
      <c r="G642" s="4"/>
      <c r="H642" s="4"/>
      <c r="I642" s="4"/>
    </row>
    <row r="643" spans="7:9" x14ac:dyDescent="0.3">
      <c r="G643" s="4"/>
      <c r="H643" s="4"/>
      <c r="I643" s="4"/>
    </row>
    <row r="644" spans="7:9" x14ac:dyDescent="0.3">
      <c r="G644" s="4"/>
      <c r="H644" s="4"/>
      <c r="I644" s="4"/>
    </row>
    <row r="645" spans="7:9" x14ac:dyDescent="0.3">
      <c r="G645" s="4"/>
      <c r="H645" s="4"/>
      <c r="I645" s="4"/>
    </row>
    <row r="646" spans="7:9" x14ac:dyDescent="0.3">
      <c r="G646" s="4"/>
      <c r="H646" s="4"/>
      <c r="I646" s="4"/>
    </row>
    <row r="647" spans="7:9" x14ac:dyDescent="0.3">
      <c r="G647" s="4"/>
      <c r="H647" s="4"/>
      <c r="I647" s="4"/>
    </row>
    <row r="648" spans="7:9" x14ac:dyDescent="0.3">
      <c r="G648" s="4"/>
      <c r="H648" s="4"/>
      <c r="I648" s="4"/>
    </row>
    <row r="649" spans="7:9" x14ac:dyDescent="0.3">
      <c r="G649" s="4"/>
      <c r="H649" s="4"/>
      <c r="I649" s="4"/>
    </row>
    <row r="650" spans="7:9" x14ac:dyDescent="0.3">
      <c r="G650" s="4"/>
      <c r="H650" s="4"/>
      <c r="I650" s="4"/>
    </row>
    <row r="651" spans="7:9" x14ac:dyDescent="0.3">
      <c r="G651" s="4"/>
      <c r="H651" s="4"/>
      <c r="I651" s="4"/>
    </row>
    <row r="652" spans="7:9" x14ac:dyDescent="0.3">
      <c r="G652" s="4"/>
      <c r="H652" s="4"/>
      <c r="I652" s="4"/>
    </row>
    <row r="653" spans="7:9" x14ac:dyDescent="0.3">
      <c r="G653" s="4"/>
      <c r="H653" s="4"/>
      <c r="I653" s="4"/>
    </row>
    <row r="654" spans="7:9" x14ac:dyDescent="0.3">
      <c r="G654" s="4"/>
      <c r="H654" s="4"/>
      <c r="I654" s="4"/>
    </row>
    <row r="655" spans="7:9" x14ac:dyDescent="0.3">
      <c r="G655" s="4"/>
      <c r="H655" s="4"/>
      <c r="I655" s="4"/>
    </row>
    <row r="656" spans="7:9" x14ac:dyDescent="0.3">
      <c r="G656" s="4"/>
      <c r="H656" s="4"/>
      <c r="I656" s="4"/>
    </row>
    <row r="657" spans="7:9" x14ac:dyDescent="0.3">
      <c r="G657" s="4"/>
      <c r="H657" s="4"/>
      <c r="I657" s="4"/>
    </row>
    <row r="658" spans="7:9" x14ac:dyDescent="0.3">
      <c r="G658" s="4"/>
      <c r="H658" s="4"/>
      <c r="I658" s="4"/>
    </row>
    <row r="659" spans="7:9" x14ac:dyDescent="0.3">
      <c r="G659" s="4"/>
      <c r="H659" s="4"/>
      <c r="I659" s="4"/>
    </row>
    <row r="660" spans="7:9" x14ac:dyDescent="0.3">
      <c r="G660" s="4"/>
      <c r="H660" s="4"/>
      <c r="I660" s="4"/>
    </row>
    <row r="661" spans="7:9" x14ac:dyDescent="0.3">
      <c r="G661" s="4"/>
      <c r="H661" s="4"/>
      <c r="I661" s="4"/>
    </row>
    <row r="662" spans="7:9" x14ac:dyDescent="0.3">
      <c r="G662" s="4"/>
      <c r="H662" s="4"/>
      <c r="I662" s="4"/>
    </row>
    <row r="663" spans="7:9" x14ac:dyDescent="0.3">
      <c r="G663" s="4"/>
      <c r="H663" s="4"/>
      <c r="I663" s="4"/>
    </row>
    <row r="664" spans="7:9" x14ac:dyDescent="0.3">
      <c r="G664" s="4"/>
      <c r="H664" s="4"/>
      <c r="I664" s="4"/>
    </row>
    <row r="665" spans="7:9" x14ac:dyDescent="0.3">
      <c r="G665" s="4"/>
      <c r="H665" s="4"/>
      <c r="I665" s="4"/>
    </row>
    <row r="666" spans="7:9" x14ac:dyDescent="0.3">
      <c r="G666" s="4"/>
      <c r="H666" s="4"/>
      <c r="I666" s="4"/>
    </row>
    <row r="667" spans="7:9" x14ac:dyDescent="0.3">
      <c r="G667" s="4"/>
      <c r="H667" s="4"/>
      <c r="I667" s="4"/>
    </row>
    <row r="668" spans="7:9" x14ac:dyDescent="0.3">
      <c r="G668" s="4"/>
      <c r="H668" s="4"/>
      <c r="I668" s="4"/>
    </row>
    <row r="669" spans="7:9" x14ac:dyDescent="0.3">
      <c r="G669" s="4"/>
      <c r="H669" s="4"/>
      <c r="I669" s="4"/>
    </row>
    <row r="670" spans="7:9" x14ac:dyDescent="0.3">
      <c r="G670" s="4"/>
      <c r="H670" s="4"/>
      <c r="I670" s="4"/>
    </row>
    <row r="671" spans="7:9" x14ac:dyDescent="0.3">
      <c r="G671" s="4"/>
      <c r="H671" s="4"/>
      <c r="I671" s="4"/>
    </row>
    <row r="672" spans="7:9" x14ac:dyDescent="0.3">
      <c r="G672" s="4"/>
      <c r="H672" s="4"/>
      <c r="I672" s="4"/>
    </row>
    <row r="673" spans="7:9" x14ac:dyDescent="0.3">
      <c r="G673" s="4"/>
      <c r="H673" s="4"/>
      <c r="I673" s="4"/>
    </row>
    <row r="674" spans="7:9" x14ac:dyDescent="0.3">
      <c r="G674" s="4"/>
      <c r="H674" s="4"/>
      <c r="I674" s="4"/>
    </row>
    <row r="675" spans="7:9" x14ac:dyDescent="0.3">
      <c r="G675" s="4"/>
      <c r="H675" s="4"/>
      <c r="I675" s="4"/>
    </row>
    <row r="676" spans="7:9" x14ac:dyDescent="0.3">
      <c r="G676" s="4"/>
      <c r="H676" s="4"/>
      <c r="I676" s="4"/>
    </row>
    <row r="677" spans="7:9" x14ac:dyDescent="0.3">
      <c r="G677" s="4"/>
      <c r="H677" s="4"/>
      <c r="I677" s="4"/>
    </row>
    <row r="678" spans="7:9" x14ac:dyDescent="0.3">
      <c r="G678" s="4"/>
      <c r="H678" s="4"/>
      <c r="I678" s="4"/>
    </row>
    <row r="679" spans="7:9" x14ac:dyDescent="0.3">
      <c r="G679" s="4"/>
      <c r="H679" s="4"/>
      <c r="I679" s="4"/>
    </row>
    <row r="680" spans="7:9" x14ac:dyDescent="0.3">
      <c r="G680" s="4"/>
      <c r="H680" s="4"/>
      <c r="I680" s="4"/>
    </row>
    <row r="681" spans="7:9" x14ac:dyDescent="0.3">
      <c r="G681" s="4"/>
      <c r="H681" s="4"/>
      <c r="I681" s="4"/>
    </row>
    <row r="682" spans="7:9" x14ac:dyDescent="0.3">
      <c r="G682" s="4"/>
      <c r="H682" s="4"/>
      <c r="I682" s="4"/>
    </row>
    <row r="683" spans="7:9" x14ac:dyDescent="0.3">
      <c r="G683" s="4"/>
      <c r="H683" s="4"/>
      <c r="I683" s="4"/>
    </row>
    <row r="684" spans="7:9" x14ac:dyDescent="0.3">
      <c r="G684" s="4"/>
      <c r="H684" s="4"/>
      <c r="I684" s="4"/>
    </row>
    <row r="685" spans="7:9" x14ac:dyDescent="0.3">
      <c r="G685" s="4"/>
      <c r="H685" s="4"/>
      <c r="I685" s="4"/>
    </row>
    <row r="686" spans="7:9" x14ac:dyDescent="0.3">
      <c r="G686" s="4"/>
      <c r="H686" s="4"/>
      <c r="I686" s="4"/>
    </row>
    <row r="687" spans="7:9" x14ac:dyDescent="0.3">
      <c r="G687" s="4"/>
      <c r="H687" s="4"/>
      <c r="I687" s="4"/>
    </row>
    <row r="688" spans="7:9" x14ac:dyDescent="0.3">
      <c r="G688" s="4"/>
      <c r="H688" s="4"/>
      <c r="I688" s="4"/>
    </row>
    <row r="689" spans="7:9" x14ac:dyDescent="0.3">
      <c r="G689" s="4"/>
      <c r="H689" s="4"/>
      <c r="I689" s="4"/>
    </row>
    <row r="690" spans="7:9" x14ac:dyDescent="0.3">
      <c r="G690" s="4"/>
      <c r="H690" s="4"/>
      <c r="I690" s="4"/>
    </row>
    <row r="691" spans="7:9" x14ac:dyDescent="0.3">
      <c r="G691" s="4"/>
      <c r="H691" s="4"/>
      <c r="I691" s="4"/>
    </row>
    <row r="692" spans="7:9" x14ac:dyDescent="0.3">
      <c r="G692" s="4"/>
      <c r="H692" s="4"/>
      <c r="I692" s="4"/>
    </row>
    <row r="693" spans="7:9" x14ac:dyDescent="0.3">
      <c r="G693" s="4"/>
      <c r="H693" s="4"/>
      <c r="I693" s="4"/>
    </row>
    <row r="694" spans="7:9" x14ac:dyDescent="0.3">
      <c r="G694" s="4"/>
      <c r="H694" s="4"/>
      <c r="I694" s="4"/>
    </row>
    <row r="695" spans="7:9" x14ac:dyDescent="0.3">
      <c r="G695" s="4"/>
      <c r="H695" s="4"/>
      <c r="I695" s="4"/>
    </row>
    <row r="696" spans="7:9" x14ac:dyDescent="0.3">
      <c r="G696" s="4"/>
      <c r="H696" s="4"/>
      <c r="I696" s="4"/>
    </row>
    <row r="697" spans="7:9" x14ac:dyDescent="0.3">
      <c r="G697" s="4"/>
      <c r="H697" s="4"/>
      <c r="I697" s="4"/>
    </row>
    <row r="698" spans="7:9" x14ac:dyDescent="0.3">
      <c r="G698" s="4"/>
      <c r="H698" s="4"/>
      <c r="I698" s="4"/>
    </row>
    <row r="699" spans="7:9" x14ac:dyDescent="0.3">
      <c r="G699" s="4"/>
      <c r="H699" s="4"/>
      <c r="I699" s="4"/>
    </row>
    <row r="700" spans="7:9" x14ac:dyDescent="0.3">
      <c r="G700" s="4"/>
      <c r="H700" s="4"/>
      <c r="I700" s="4"/>
    </row>
    <row r="701" spans="7:9" x14ac:dyDescent="0.3">
      <c r="G701" s="4"/>
      <c r="H701" s="4"/>
      <c r="I701" s="4"/>
    </row>
    <row r="702" spans="7:9" x14ac:dyDescent="0.3">
      <c r="G702" s="4"/>
      <c r="H702" s="4"/>
      <c r="I702" s="4"/>
    </row>
    <row r="703" spans="7:9" x14ac:dyDescent="0.3">
      <c r="G703" s="4"/>
      <c r="H703" s="4"/>
      <c r="I703" s="4"/>
    </row>
    <row r="704" spans="7:9" x14ac:dyDescent="0.3">
      <c r="G704" s="4"/>
      <c r="H704" s="4"/>
      <c r="I704" s="4"/>
    </row>
    <row r="705" spans="7:9" x14ac:dyDescent="0.3">
      <c r="G705" s="4"/>
      <c r="H705" s="4"/>
      <c r="I705" s="4"/>
    </row>
    <row r="706" spans="7:9" x14ac:dyDescent="0.3">
      <c r="G706" s="4"/>
      <c r="H706" s="4"/>
      <c r="I706" s="4"/>
    </row>
    <row r="707" spans="7:9" x14ac:dyDescent="0.3">
      <c r="G707" s="4"/>
      <c r="H707" s="4"/>
      <c r="I707" s="4"/>
    </row>
    <row r="708" spans="7:9" x14ac:dyDescent="0.3">
      <c r="G708" s="4"/>
      <c r="H708" s="4"/>
      <c r="I708" s="4"/>
    </row>
    <row r="709" spans="7:9" x14ac:dyDescent="0.3">
      <c r="G709" s="4"/>
      <c r="H709" s="4"/>
      <c r="I709" s="4"/>
    </row>
    <row r="710" spans="7:9" x14ac:dyDescent="0.3">
      <c r="G710" s="4"/>
      <c r="H710" s="4"/>
      <c r="I710" s="4"/>
    </row>
    <row r="711" spans="7:9" x14ac:dyDescent="0.3">
      <c r="G711" s="4"/>
      <c r="H711" s="4"/>
      <c r="I711" s="4"/>
    </row>
    <row r="712" spans="7:9" x14ac:dyDescent="0.3">
      <c r="G712" s="4"/>
      <c r="H712" s="4"/>
      <c r="I712" s="4"/>
    </row>
    <row r="713" spans="7:9" x14ac:dyDescent="0.3">
      <c r="G713" s="4"/>
      <c r="H713" s="4"/>
      <c r="I713" s="4"/>
    </row>
    <row r="714" spans="7:9" x14ac:dyDescent="0.3">
      <c r="G714" s="4"/>
      <c r="H714" s="4"/>
      <c r="I714" s="4"/>
    </row>
    <row r="715" spans="7:9" x14ac:dyDescent="0.3">
      <c r="G715" s="4"/>
      <c r="H715" s="4"/>
      <c r="I715" s="4"/>
    </row>
    <row r="716" spans="7:9" x14ac:dyDescent="0.3">
      <c r="G716" s="4"/>
      <c r="H716" s="4"/>
      <c r="I716" s="4"/>
    </row>
    <row r="717" spans="7:9" x14ac:dyDescent="0.3">
      <c r="G717" s="4"/>
      <c r="H717" s="4"/>
      <c r="I717" s="4"/>
    </row>
    <row r="718" spans="7:9" x14ac:dyDescent="0.3">
      <c r="G718" s="4"/>
      <c r="H718" s="4"/>
      <c r="I718" s="4"/>
    </row>
    <row r="719" spans="7:9" x14ac:dyDescent="0.3">
      <c r="G719" s="4"/>
      <c r="H719" s="4"/>
      <c r="I719" s="4"/>
    </row>
    <row r="720" spans="7:9" x14ac:dyDescent="0.3">
      <c r="G720" s="4"/>
      <c r="H720" s="4"/>
      <c r="I720" s="4"/>
    </row>
    <row r="721" spans="7:9" x14ac:dyDescent="0.3">
      <c r="G721" s="4"/>
      <c r="H721" s="4"/>
      <c r="I721" s="4"/>
    </row>
    <row r="722" spans="7:9" x14ac:dyDescent="0.3">
      <c r="G722" s="4"/>
      <c r="H722" s="4"/>
      <c r="I722" s="4"/>
    </row>
    <row r="723" spans="7:9" x14ac:dyDescent="0.3">
      <c r="G723" s="4"/>
      <c r="H723" s="4"/>
      <c r="I723" s="4"/>
    </row>
    <row r="724" spans="7:9" x14ac:dyDescent="0.3">
      <c r="G724" s="4"/>
      <c r="H724" s="4"/>
      <c r="I724" s="4"/>
    </row>
    <row r="725" spans="7:9" x14ac:dyDescent="0.3">
      <c r="G725" s="4"/>
      <c r="H725" s="4"/>
      <c r="I725" s="4"/>
    </row>
    <row r="726" spans="7:9" x14ac:dyDescent="0.3">
      <c r="G726" s="4"/>
      <c r="H726" s="4"/>
      <c r="I726" s="4"/>
    </row>
    <row r="727" spans="7:9" x14ac:dyDescent="0.3">
      <c r="G727" s="4"/>
      <c r="H727" s="4"/>
      <c r="I727" s="4"/>
    </row>
    <row r="728" spans="7:9" x14ac:dyDescent="0.3">
      <c r="G728" s="4"/>
      <c r="H728" s="4"/>
      <c r="I728" s="4"/>
    </row>
    <row r="729" spans="7:9" x14ac:dyDescent="0.3">
      <c r="G729" s="4"/>
      <c r="H729" s="4"/>
      <c r="I729" s="4"/>
    </row>
    <row r="730" spans="7:9" x14ac:dyDescent="0.3">
      <c r="G730" s="4"/>
      <c r="H730" s="4"/>
      <c r="I730" s="4"/>
    </row>
    <row r="731" spans="7:9" x14ac:dyDescent="0.3">
      <c r="G731" s="4"/>
      <c r="H731" s="4"/>
      <c r="I731" s="4"/>
    </row>
    <row r="732" spans="7:9" x14ac:dyDescent="0.3">
      <c r="G732" s="4"/>
      <c r="H732" s="4"/>
      <c r="I732" s="4"/>
    </row>
    <row r="733" spans="7:9" x14ac:dyDescent="0.3">
      <c r="G733" s="4"/>
      <c r="H733" s="4"/>
      <c r="I733" s="4"/>
    </row>
    <row r="734" spans="7:9" x14ac:dyDescent="0.3">
      <c r="G734" s="4"/>
      <c r="H734" s="4"/>
      <c r="I734" s="4"/>
    </row>
    <row r="735" spans="7:9" x14ac:dyDescent="0.3">
      <c r="G735" s="4"/>
      <c r="H735" s="4"/>
      <c r="I735" s="4"/>
    </row>
    <row r="736" spans="7:9" x14ac:dyDescent="0.3">
      <c r="G736" s="4"/>
      <c r="H736" s="4"/>
      <c r="I736" s="4"/>
    </row>
    <row r="737" spans="7:9" x14ac:dyDescent="0.3">
      <c r="G737" s="4"/>
      <c r="H737" s="4"/>
      <c r="I737" s="4"/>
    </row>
    <row r="738" spans="7:9" x14ac:dyDescent="0.3">
      <c r="G738" s="4"/>
      <c r="H738" s="4"/>
      <c r="I738" s="4"/>
    </row>
    <row r="739" spans="7:9" x14ac:dyDescent="0.3">
      <c r="G739" s="4"/>
      <c r="H739" s="4"/>
      <c r="I739" s="4"/>
    </row>
    <row r="740" spans="7:9" x14ac:dyDescent="0.3">
      <c r="G740" s="4"/>
      <c r="H740" s="4"/>
      <c r="I740" s="4"/>
    </row>
    <row r="741" spans="7:9" x14ac:dyDescent="0.3">
      <c r="G741" s="4"/>
      <c r="H741" s="4"/>
      <c r="I741" s="4"/>
    </row>
    <row r="742" spans="7:9" x14ac:dyDescent="0.3">
      <c r="G742" s="4"/>
      <c r="H742" s="4"/>
      <c r="I742" s="4"/>
    </row>
    <row r="743" spans="7:9" x14ac:dyDescent="0.3">
      <c r="G743" s="4"/>
      <c r="H743" s="4"/>
      <c r="I743" s="4"/>
    </row>
    <row r="744" spans="7:9" x14ac:dyDescent="0.3">
      <c r="G744" s="4"/>
      <c r="H744" s="4"/>
      <c r="I744" s="4"/>
    </row>
    <row r="745" spans="7:9" x14ac:dyDescent="0.3">
      <c r="G745" s="4"/>
      <c r="H745" s="4"/>
      <c r="I745" s="4"/>
    </row>
    <row r="746" spans="7:9" x14ac:dyDescent="0.3">
      <c r="G746" s="4"/>
      <c r="H746" s="4"/>
      <c r="I746" s="4"/>
    </row>
    <row r="747" spans="7:9" x14ac:dyDescent="0.3">
      <c r="G747" s="4"/>
      <c r="H747" s="4"/>
      <c r="I747" s="4"/>
    </row>
    <row r="748" spans="7:9" x14ac:dyDescent="0.3">
      <c r="G748" s="4"/>
      <c r="H748" s="4"/>
      <c r="I748" s="4"/>
    </row>
    <row r="749" spans="7:9" x14ac:dyDescent="0.3">
      <c r="G749" s="4"/>
      <c r="H749" s="4"/>
      <c r="I749" s="4"/>
    </row>
    <row r="750" spans="7:9" x14ac:dyDescent="0.3">
      <c r="G750" s="4"/>
      <c r="H750" s="4"/>
      <c r="I750" s="4"/>
    </row>
    <row r="751" spans="7:9" x14ac:dyDescent="0.3">
      <c r="G751" s="4"/>
      <c r="H751" s="4"/>
      <c r="I751" s="4"/>
    </row>
    <row r="752" spans="7:9" x14ac:dyDescent="0.3">
      <c r="G752" s="4"/>
      <c r="H752" s="4"/>
      <c r="I752" s="4"/>
    </row>
    <row r="753" spans="7:9" x14ac:dyDescent="0.3">
      <c r="G753" s="4"/>
      <c r="H753" s="4"/>
      <c r="I753" s="4"/>
    </row>
    <row r="754" spans="7:9" x14ac:dyDescent="0.3">
      <c r="G754" s="4"/>
      <c r="H754" s="4"/>
      <c r="I754" s="4"/>
    </row>
    <row r="755" spans="7:9" x14ac:dyDescent="0.3">
      <c r="G755" s="4"/>
      <c r="H755" s="4"/>
      <c r="I755" s="4"/>
    </row>
    <row r="756" spans="7:9" x14ac:dyDescent="0.3">
      <c r="G756" s="4"/>
      <c r="H756" s="4"/>
      <c r="I756" s="4"/>
    </row>
    <row r="757" spans="7:9" x14ac:dyDescent="0.3">
      <c r="G757" s="4"/>
      <c r="H757" s="4"/>
      <c r="I757" s="4"/>
    </row>
    <row r="758" spans="7:9" x14ac:dyDescent="0.3">
      <c r="G758" s="4"/>
      <c r="H758" s="4"/>
      <c r="I758" s="4"/>
    </row>
    <row r="759" spans="7:9" x14ac:dyDescent="0.3">
      <c r="G759" s="4"/>
      <c r="H759" s="4"/>
      <c r="I759" s="4"/>
    </row>
    <row r="760" spans="7:9" x14ac:dyDescent="0.3">
      <c r="G760" s="4"/>
      <c r="H760" s="4"/>
      <c r="I760" s="4"/>
    </row>
    <row r="761" spans="7:9" x14ac:dyDescent="0.3">
      <c r="G761" s="4"/>
      <c r="H761" s="4"/>
      <c r="I761" s="4"/>
    </row>
    <row r="762" spans="7:9" x14ac:dyDescent="0.3">
      <c r="G762" s="4"/>
      <c r="H762" s="4"/>
      <c r="I762" s="4"/>
    </row>
    <row r="763" spans="7:9" x14ac:dyDescent="0.3">
      <c r="G763" s="4"/>
      <c r="H763" s="4"/>
      <c r="I763" s="4"/>
    </row>
    <row r="764" spans="7:9" x14ac:dyDescent="0.3">
      <c r="G764" s="4"/>
      <c r="H764" s="4"/>
      <c r="I764" s="4"/>
    </row>
    <row r="765" spans="7:9" x14ac:dyDescent="0.3">
      <c r="G765" s="4"/>
      <c r="H765" s="4"/>
      <c r="I765" s="4"/>
    </row>
    <row r="766" spans="7:9" x14ac:dyDescent="0.3">
      <c r="G766" s="4"/>
      <c r="H766" s="4"/>
      <c r="I766" s="4"/>
    </row>
    <row r="767" spans="7:9" x14ac:dyDescent="0.3">
      <c r="G767" s="4"/>
      <c r="H767" s="4"/>
      <c r="I767" s="4"/>
    </row>
    <row r="768" spans="7:9" x14ac:dyDescent="0.3">
      <c r="G768" s="4"/>
      <c r="H768" s="4"/>
      <c r="I768" s="4"/>
    </row>
    <row r="769" spans="7:9" x14ac:dyDescent="0.3">
      <c r="G769" s="4"/>
      <c r="H769" s="4"/>
      <c r="I769" s="4"/>
    </row>
    <row r="770" spans="7:9" x14ac:dyDescent="0.3">
      <c r="G770" s="4"/>
      <c r="H770" s="4"/>
      <c r="I770" s="4"/>
    </row>
    <row r="771" spans="7:9" x14ac:dyDescent="0.3">
      <c r="G771" s="4"/>
      <c r="H771" s="4"/>
      <c r="I771" s="4"/>
    </row>
    <row r="772" spans="7:9" x14ac:dyDescent="0.3">
      <c r="G772" s="4"/>
      <c r="H772" s="4"/>
      <c r="I772" s="4"/>
    </row>
    <row r="773" spans="7:9" x14ac:dyDescent="0.3">
      <c r="G773" s="4"/>
      <c r="H773" s="4"/>
      <c r="I773" s="4"/>
    </row>
    <row r="774" spans="7:9" x14ac:dyDescent="0.3">
      <c r="G774" s="4"/>
      <c r="H774" s="4"/>
      <c r="I774" s="4"/>
    </row>
    <row r="775" spans="7:9" x14ac:dyDescent="0.3">
      <c r="G775" s="4"/>
      <c r="H775" s="4"/>
      <c r="I775" s="4"/>
    </row>
    <row r="776" spans="7:9" x14ac:dyDescent="0.3">
      <c r="G776" s="4"/>
      <c r="H776" s="4"/>
      <c r="I776" s="4"/>
    </row>
    <row r="777" spans="7:9" x14ac:dyDescent="0.3">
      <c r="G777" s="4"/>
      <c r="H777" s="4"/>
      <c r="I777" s="4"/>
    </row>
    <row r="778" spans="7:9" x14ac:dyDescent="0.3">
      <c r="G778" s="4"/>
      <c r="H778" s="4"/>
      <c r="I778" s="4"/>
    </row>
    <row r="779" spans="7:9" x14ac:dyDescent="0.3">
      <c r="G779" s="4"/>
      <c r="H779" s="4"/>
      <c r="I779" s="4"/>
    </row>
    <row r="780" spans="7:9" x14ac:dyDescent="0.3">
      <c r="G780" s="4"/>
      <c r="H780" s="4"/>
      <c r="I780" s="4"/>
    </row>
    <row r="781" spans="7:9" x14ac:dyDescent="0.3">
      <c r="G781" s="4"/>
      <c r="H781" s="4"/>
      <c r="I781" s="4"/>
    </row>
    <row r="782" spans="7:9" x14ac:dyDescent="0.3">
      <c r="G782" s="4"/>
      <c r="H782" s="4"/>
      <c r="I782" s="4"/>
    </row>
    <row r="783" spans="7:9" x14ac:dyDescent="0.3">
      <c r="G783" s="4"/>
      <c r="H783" s="4"/>
      <c r="I783" s="4"/>
    </row>
    <row r="784" spans="7:9" x14ac:dyDescent="0.3">
      <c r="G784" s="4"/>
      <c r="H784" s="4"/>
      <c r="I784" s="4"/>
    </row>
    <row r="785" spans="7:9" x14ac:dyDescent="0.3">
      <c r="G785" s="4"/>
      <c r="H785" s="4"/>
      <c r="I785" s="4"/>
    </row>
    <row r="786" spans="7:9" x14ac:dyDescent="0.3">
      <c r="G786" s="4"/>
      <c r="H786" s="4"/>
      <c r="I786" s="4"/>
    </row>
    <row r="787" spans="7:9" x14ac:dyDescent="0.3">
      <c r="G787" s="4"/>
      <c r="H787" s="4"/>
      <c r="I787" s="4"/>
    </row>
    <row r="788" spans="7:9" x14ac:dyDescent="0.3">
      <c r="G788" s="4"/>
      <c r="H788" s="4"/>
      <c r="I788" s="4"/>
    </row>
    <row r="789" spans="7:9" x14ac:dyDescent="0.3">
      <c r="G789" s="4"/>
      <c r="H789" s="4"/>
      <c r="I789" s="4"/>
    </row>
    <row r="790" spans="7:9" x14ac:dyDescent="0.3">
      <c r="G790" s="4"/>
      <c r="H790" s="4"/>
      <c r="I790" s="4"/>
    </row>
    <row r="791" spans="7:9" x14ac:dyDescent="0.3">
      <c r="G791" s="4"/>
      <c r="H791" s="4"/>
      <c r="I791" s="4"/>
    </row>
    <row r="792" spans="7:9" x14ac:dyDescent="0.3">
      <c r="G792" s="4"/>
      <c r="H792" s="4"/>
      <c r="I792" s="4"/>
    </row>
    <row r="793" spans="7:9" x14ac:dyDescent="0.3">
      <c r="G793" s="4"/>
      <c r="H793" s="4"/>
      <c r="I793" s="4"/>
    </row>
    <row r="794" spans="7:9" x14ac:dyDescent="0.3">
      <c r="G794" s="4"/>
      <c r="H794" s="4"/>
      <c r="I794" s="4"/>
    </row>
    <row r="795" spans="7:9" x14ac:dyDescent="0.3">
      <c r="G795" s="4"/>
      <c r="H795" s="4"/>
      <c r="I795" s="4"/>
    </row>
    <row r="796" spans="7:9" x14ac:dyDescent="0.3">
      <c r="G796" s="4"/>
      <c r="H796" s="4"/>
      <c r="I796" s="4"/>
    </row>
    <row r="797" spans="7:9" x14ac:dyDescent="0.3">
      <c r="G797" s="4"/>
      <c r="H797" s="4"/>
      <c r="I797" s="4"/>
    </row>
    <row r="798" spans="7:9" x14ac:dyDescent="0.3">
      <c r="G798" s="4"/>
      <c r="H798" s="4"/>
      <c r="I798" s="4"/>
    </row>
    <row r="799" spans="7:9" x14ac:dyDescent="0.3">
      <c r="G799" s="4"/>
      <c r="H799" s="4"/>
      <c r="I799" s="4"/>
    </row>
    <row r="800" spans="7:9" x14ac:dyDescent="0.3">
      <c r="G800" s="4"/>
      <c r="H800" s="4"/>
      <c r="I800" s="4"/>
    </row>
    <row r="801" spans="7:9" x14ac:dyDescent="0.3">
      <c r="G801" s="4"/>
      <c r="H801" s="4"/>
      <c r="I801" s="4"/>
    </row>
    <row r="802" spans="7:9" x14ac:dyDescent="0.3">
      <c r="G802" s="4"/>
      <c r="H802" s="4"/>
      <c r="I802" s="4"/>
    </row>
    <row r="803" spans="7:9" x14ac:dyDescent="0.3">
      <c r="G803" s="4"/>
      <c r="H803" s="4"/>
      <c r="I803" s="4"/>
    </row>
    <row r="804" spans="7:9" x14ac:dyDescent="0.3">
      <c r="G804" s="4"/>
      <c r="H804" s="4"/>
      <c r="I804" s="4"/>
    </row>
    <row r="805" spans="7:9" x14ac:dyDescent="0.3">
      <c r="G805" s="4"/>
      <c r="H805" s="4"/>
      <c r="I805" s="4"/>
    </row>
    <row r="806" spans="7:9" x14ac:dyDescent="0.3">
      <c r="G806" s="4"/>
      <c r="H806" s="4"/>
      <c r="I806" s="4"/>
    </row>
    <row r="807" spans="7:9" x14ac:dyDescent="0.3">
      <c r="G807" s="4"/>
      <c r="H807" s="4"/>
      <c r="I807" s="4"/>
    </row>
    <row r="808" spans="7:9" x14ac:dyDescent="0.3">
      <c r="G808" s="4"/>
      <c r="H808" s="4"/>
      <c r="I808" s="4"/>
    </row>
    <row r="809" spans="7:9" x14ac:dyDescent="0.3">
      <c r="G809" s="4"/>
      <c r="H809" s="4"/>
      <c r="I809" s="4"/>
    </row>
    <row r="810" spans="7:9" x14ac:dyDescent="0.3">
      <c r="G810" s="4"/>
      <c r="H810" s="4"/>
      <c r="I810" s="4"/>
    </row>
    <row r="811" spans="7:9" x14ac:dyDescent="0.3">
      <c r="G811" s="4"/>
      <c r="H811" s="4"/>
      <c r="I811" s="4"/>
    </row>
    <row r="812" spans="7:9" x14ac:dyDescent="0.3">
      <c r="G812" s="4"/>
      <c r="H812" s="4"/>
      <c r="I812" s="4"/>
    </row>
    <row r="813" spans="7:9" x14ac:dyDescent="0.3">
      <c r="G813" s="4"/>
      <c r="H813" s="4"/>
      <c r="I813" s="4"/>
    </row>
    <row r="814" spans="7:9" x14ac:dyDescent="0.3">
      <c r="G814" s="4"/>
      <c r="H814" s="4"/>
      <c r="I814" s="4"/>
    </row>
    <row r="815" spans="7:9" x14ac:dyDescent="0.3">
      <c r="G815" s="4"/>
      <c r="H815" s="4"/>
      <c r="I815" s="4"/>
    </row>
    <row r="816" spans="7:9" x14ac:dyDescent="0.3">
      <c r="G816" s="4"/>
      <c r="H816" s="4"/>
      <c r="I816" s="4"/>
    </row>
    <row r="817" spans="7:9" x14ac:dyDescent="0.3">
      <c r="G817" s="4"/>
      <c r="H817" s="4"/>
      <c r="I817" s="4"/>
    </row>
    <row r="818" spans="7:9" x14ac:dyDescent="0.3">
      <c r="G818" s="4"/>
      <c r="H818" s="4"/>
      <c r="I818" s="4"/>
    </row>
    <row r="819" spans="7:9" x14ac:dyDescent="0.3">
      <c r="G819" s="4"/>
      <c r="H819" s="4"/>
      <c r="I819" s="4"/>
    </row>
    <row r="820" spans="7:9" x14ac:dyDescent="0.3">
      <c r="G820" s="4"/>
      <c r="H820" s="4"/>
      <c r="I820" s="4"/>
    </row>
    <row r="821" spans="7:9" x14ac:dyDescent="0.3">
      <c r="G821" s="4"/>
      <c r="H821" s="4"/>
      <c r="I821" s="4"/>
    </row>
    <row r="822" spans="7:9" x14ac:dyDescent="0.3">
      <c r="G822" s="4"/>
      <c r="H822" s="4"/>
      <c r="I822" s="4"/>
    </row>
    <row r="823" spans="7:9" x14ac:dyDescent="0.3">
      <c r="G823" s="4"/>
      <c r="H823" s="4"/>
      <c r="I823" s="4"/>
    </row>
    <row r="824" spans="7:9" x14ac:dyDescent="0.3">
      <c r="G824" s="4"/>
      <c r="H824" s="4"/>
      <c r="I824" s="4"/>
    </row>
    <row r="825" spans="7:9" x14ac:dyDescent="0.3">
      <c r="G825" s="4"/>
      <c r="H825" s="4"/>
      <c r="I825" s="4"/>
    </row>
    <row r="826" spans="7:9" x14ac:dyDescent="0.3">
      <c r="G826" s="4"/>
      <c r="H826" s="4"/>
      <c r="I826" s="4"/>
    </row>
    <row r="827" spans="7:9" x14ac:dyDescent="0.3">
      <c r="G827" s="4"/>
      <c r="H827" s="4"/>
      <c r="I827" s="4"/>
    </row>
    <row r="828" spans="7:9" x14ac:dyDescent="0.3">
      <c r="G828" s="4"/>
      <c r="H828" s="4"/>
      <c r="I828" s="4"/>
    </row>
    <row r="829" spans="7:9" x14ac:dyDescent="0.3">
      <c r="G829" s="4"/>
      <c r="H829" s="4"/>
      <c r="I829" s="4"/>
    </row>
    <row r="830" spans="7:9" x14ac:dyDescent="0.3">
      <c r="G830" s="4"/>
      <c r="H830" s="4"/>
      <c r="I830" s="4"/>
    </row>
    <row r="831" spans="7:9" x14ac:dyDescent="0.3">
      <c r="G831" s="4"/>
      <c r="H831" s="4"/>
      <c r="I831" s="4"/>
    </row>
    <row r="832" spans="7:9" x14ac:dyDescent="0.3">
      <c r="G832" s="4"/>
      <c r="H832" s="4"/>
      <c r="I832" s="4"/>
    </row>
    <row r="833" spans="7:9" x14ac:dyDescent="0.3">
      <c r="G833" s="4"/>
      <c r="H833" s="4"/>
      <c r="I833" s="4"/>
    </row>
    <row r="834" spans="7:9" x14ac:dyDescent="0.3">
      <c r="G834" s="4"/>
      <c r="H834" s="4"/>
      <c r="I834" s="4"/>
    </row>
    <row r="835" spans="7:9" x14ac:dyDescent="0.3">
      <c r="G835" s="4"/>
      <c r="H835" s="4"/>
      <c r="I835" s="4"/>
    </row>
    <row r="836" spans="7:9" x14ac:dyDescent="0.3">
      <c r="G836" s="4"/>
      <c r="H836" s="4"/>
      <c r="I836" s="4"/>
    </row>
    <row r="837" spans="7:9" x14ac:dyDescent="0.3">
      <c r="G837" s="4"/>
      <c r="H837" s="4"/>
      <c r="I837" s="4"/>
    </row>
    <row r="838" spans="7:9" x14ac:dyDescent="0.3">
      <c r="G838" s="4"/>
      <c r="H838" s="4"/>
      <c r="I838" s="4"/>
    </row>
    <row r="839" spans="7:9" x14ac:dyDescent="0.3">
      <c r="G839" s="4"/>
      <c r="H839" s="4"/>
      <c r="I839" s="4"/>
    </row>
    <row r="840" spans="7:9" x14ac:dyDescent="0.3">
      <c r="G840" s="4"/>
      <c r="H840" s="4"/>
      <c r="I840" s="4"/>
    </row>
    <row r="841" spans="7:9" x14ac:dyDescent="0.3">
      <c r="G841" s="4"/>
      <c r="H841" s="4"/>
      <c r="I841" s="4"/>
    </row>
    <row r="842" spans="7:9" x14ac:dyDescent="0.3">
      <c r="G842" s="4"/>
      <c r="H842" s="4"/>
      <c r="I842" s="4"/>
    </row>
    <row r="843" spans="7:9" x14ac:dyDescent="0.3">
      <c r="G843" s="4"/>
      <c r="H843" s="4"/>
      <c r="I843" s="4"/>
    </row>
    <row r="844" spans="7:9" x14ac:dyDescent="0.3">
      <c r="G844" s="4"/>
      <c r="H844" s="4"/>
      <c r="I844" s="4"/>
    </row>
    <row r="845" spans="7:9" x14ac:dyDescent="0.3">
      <c r="G845" s="4"/>
      <c r="H845" s="4"/>
      <c r="I845" s="4"/>
    </row>
    <row r="846" spans="7:9" x14ac:dyDescent="0.3">
      <c r="G846" s="4"/>
      <c r="H846" s="4"/>
      <c r="I846" s="4"/>
    </row>
    <row r="847" spans="7:9" x14ac:dyDescent="0.3">
      <c r="G847" s="4"/>
      <c r="H847" s="4"/>
      <c r="I847" s="4"/>
    </row>
    <row r="848" spans="7:9" x14ac:dyDescent="0.3">
      <c r="G848" s="4"/>
      <c r="H848" s="4"/>
      <c r="I848" s="4"/>
    </row>
    <row r="849" spans="7:9" x14ac:dyDescent="0.3">
      <c r="G849" s="4"/>
      <c r="H849" s="4"/>
      <c r="I849" s="4"/>
    </row>
    <row r="850" spans="7:9" x14ac:dyDescent="0.3">
      <c r="G850" s="4"/>
      <c r="H850" s="4"/>
      <c r="I850" s="4"/>
    </row>
    <row r="851" spans="7:9" x14ac:dyDescent="0.3">
      <c r="G851" s="4"/>
      <c r="H851" s="4"/>
      <c r="I851" s="4"/>
    </row>
    <row r="852" spans="7:9" x14ac:dyDescent="0.3">
      <c r="G852" s="4"/>
      <c r="H852" s="4"/>
      <c r="I852" s="4"/>
    </row>
    <row r="853" spans="7:9" x14ac:dyDescent="0.3">
      <c r="G853" s="4"/>
      <c r="H853" s="4"/>
      <c r="I853" s="4"/>
    </row>
    <row r="854" spans="7:9" x14ac:dyDescent="0.3">
      <c r="G854" s="4"/>
      <c r="H854" s="4"/>
      <c r="I854" s="4"/>
    </row>
    <row r="855" spans="7:9" x14ac:dyDescent="0.3">
      <c r="G855" s="4"/>
      <c r="H855" s="4"/>
      <c r="I855" s="4"/>
    </row>
    <row r="856" spans="7:9" x14ac:dyDescent="0.3">
      <c r="G856" s="4"/>
      <c r="H856" s="4"/>
      <c r="I856" s="4"/>
    </row>
    <row r="857" spans="7:9" x14ac:dyDescent="0.3">
      <c r="G857" s="4"/>
      <c r="H857" s="4"/>
      <c r="I857" s="4"/>
    </row>
    <row r="858" spans="7:9" x14ac:dyDescent="0.3">
      <c r="G858" s="4"/>
      <c r="H858" s="4"/>
      <c r="I858" s="4"/>
    </row>
    <row r="859" spans="7:9" x14ac:dyDescent="0.3">
      <c r="G859" s="4"/>
      <c r="H859" s="4"/>
      <c r="I859" s="4"/>
    </row>
    <row r="860" spans="7:9" x14ac:dyDescent="0.3">
      <c r="G860" s="4"/>
      <c r="H860" s="4"/>
      <c r="I860" s="4"/>
    </row>
    <row r="861" spans="7:9" x14ac:dyDescent="0.3">
      <c r="G861" s="4"/>
      <c r="H861" s="4"/>
      <c r="I861" s="4"/>
    </row>
    <row r="862" spans="7:9" x14ac:dyDescent="0.3">
      <c r="G862" s="4"/>
      <c r="H862" s="4"/>
      <c r="I862" s="4"/>
    </row>
    <row r="863" spans="7:9" x14ac:dyDescent="0.3">
      <c r="G863" s="4"/>
      <c r="H863" s="4"/>
      <c r="I863" s="4"/>
    </row>
    <row r="864" spans="7:9" x14ac:dyDescent="0.3">
      <c r="G864" s="4"/>
      <c r="H864" s="4"/>
      <c r="I864" s="4"/>
    </row>
    <row r="865" spans="7:9" x14ac:dyDescent="0.3">
      <c r="G865" s="4"/>
      <c r="H865" s="4"/>
      <c r="I865" s="4"/>
    </row>
    <row r="866" spans="7:9" x14ac:dyDescent="0.3">
      <c r="G866" s="4"/>
      <c r="H866" s="4"/>
      <c r="I866" s="4"/>
    </row>
    <row r="867" spans="7:9" x14ac:dyDescent="0.3">
      <c r="G867" s="4"/>
      <c r="H867" s="4"/>
      <c r="I867" s="4"/>
    </row>
    <row r="868" spans="7:9" x14ac:dyDescent="0.3">
      <c r="G868" s="4"/>
      <c r="H868" s="4"/>
      <c r="I868" s="4"/>
    </row>
    <row r="869" spans="7:9" x14ac:dyDescent="0.3">
      <c r="G869" s="4"/>
      <c r="H869" s="4"/>
      <c r="I869" s="4"/>
    </row>
    <row r="870" spans="7:9" x14ac:dyDescent="0.3">
      <c r="G870" s="4"/>
      <c r="H870" s="4"/>
      <c r="I870" s="4"/>
    </row>
    <row r="871" spans="7:9" x14ac:dyDescent="0.3">
      <c r="G871" s="4"/>
      <c r="H871" s="4"/>
      <c r="I871" s="4"/>
    </row>
    <row r="872" spans="7:9" x14ac:dyDescent="0.3">
      <c r="G872" s="4"/>
      <c r="H872" s="4"/>
      <c r="I872" s="4"/>
    </row>
    <row r="873" spans="7:9" x14ac:dyDescent="0.3">
      <c r="G873" s="4"/>
      <c r="H873" s="4"/>
      <c r="I873" s="4"/>
    </row>
    <row r="874" spans="7:9" x14ac:dyDescent="0.3">
      <c r="G874" s="4"/>
      <c r="H874" s="4"/>
      <c r="I874" s="4"/>
    </row>
    <row r="875" spans="7:9" x14ac:dyDescent="0.3">
      <c r="G875" s="4"/>
      <c r="H875" s="4"/>
      <c r="I875" s="4"/>
    </row>
    <row r="876" spans="7:9" x14ac:dyDescent="0.3">
      <c r="G876" s="4"/>
      <c r="H876" s="4"/>
      <c r="I876" s="4"/>
    </row>
    <row r="877" spans="7:9" x14ac:dyDescent="0.3">
      <c r="G877" s="4"/>
      <c r="H877" s="4"/>
      <c r="I877" s="4"/>
    </row>
    <row r="878" spans="7:9" x14ac:dyDescent="0.3">
      <c r="G878" s="4"/>
      <c r="H878" s="4"/>
      <c r="I878" s="4"/>
    </row>
    <row r="879" spans="7:9" x14ac:dyDescent="0.3">
      <c r="G879" s="4"/>
      <c r="H879" s="4"/>
      <c r="I879" s="4"/>
    </row>
    <row r="880" spans="7:9" x14ac:dyDescent="0.3">
      <c r="G880" s="4"/>
      <c r="H880" s="4"/>
      <c r="I880" s="4"/>
    </row>
    <row r="881" spans="7:9" x14ac:dyDescent="0.3">
      <c r="G881" s="4"/>
      <c r="H881" s="4"/>
      <c r="I881" s="4"/>
    </row>
    <row r="882" spans="7:9" x14ac:dyDescent="0.3">
      <c r="G882" s="4"/>
      <c r="H882" s="4"/>
      <c r="I882" s="4"/>
    </row>
    <row r="883" spans="7:9" x14ac:dyDescent="0.3">
      <c r="G883" s="4"/>
      <c r="H883" s="4"/>
      <c r="I883" s="4"/>
    </row>
    <row r="884" spans="7:9" x14ac:dyDescent="0.3">
      <c r="G884" s="4"/>
      <c r="H884" s="4"/>
      <c r="I884" s="4"/>
    </row>
    <row r="885" spans="7:9" x14ac:dyDescent="0.3">
      <c r="G885" s="4"/>
      <c r="H885" s="4"/>
      <c r="I885" s="4"/>
    </row>
    <row r="886" spans="7:9" x14ac:dyDescent="0.3">
      <c r="G886" s="4"/>
      <c r="H886" s="4"/>
      <c r="I886" s="4"/>
    </row>
    <row r="887" spans="7:9" x14ac:dyDescent="0.3">
      <c r="G887" s="4"/>
      <c r="H887" s="4"/>
      <c r="I887" s="4"/>
    </row>
    <row r="888" spans="7:9" x14ac:dyDescent="0.3">
      <c r="G888" s="4"/>
      <c r="H888" s="4"/>
      <c r="I888" s="4"/>
    </row>
    <row r="889" spans="7:9" x14ac:dyDescent="0.3">
      <c r="G889" s="4"/>
      <c r="H889" s="4"/>
      <c r="I889" s="4"/>
    </row>
    <row r="890" spans="7:9" x14ac:dyDescent="0.3">
      <c r="G890" s="4"/>
      <c r="H890" s="4"/>
      <c r="I890" s="4"/>
    </row>
    <row r="891" spans="7:9" x14ac:dyDescent="0.3">
      <c r="G891" s="4"/>
      <c r="H891" s="4"/>
      <c r="I891" s="4"/>
    </row>
    <row r="892" spans="7:9" x14ac:dyDescent="0.3">
      <c r="G892" s="4"/>
      <c r="H892" s="4"/>
      <c r="I892" s="4"/>
    </row>
    <row r="893" spans="7:9" x14ac:dyDescent="0.3">
      <c r="G893" s="4"/>
      <c r="H893" s="4"/>
      <c r="I893" s="4"/>
    </row>
    <row r="894" spans="7:9" x14ac:dyDescent="0.3">
      <c r="G894" s="4"/>
      <c r="H894" s="4"/>
      <c r="I894" s="4"/>
    </row>
    <row r="895" spans="7:9" x14ac:dyDescent="0.3">
      <c r="G895" s="4"/>
      <c r="H895" s="4"/>
      <c r="I895" s="4"/>
    </row>
    <row r="896" spans="7:9" x14ac:dyDescent="0.3">
      <c r="G896" s="4"/>
      <c r="H896" s="4"/>
      <c r="I896" s="4"/>
    </row>
    <row r="897" spans="7:9" x14ac:dyDescent="0.3">
      <c r="G897" s="4"/>
      <c r="H897" s="4"/>
      <c r="I897" s="4"/>
    </row>
    <row r="898" spans="7:9" x14ac:dyDescent="0.3">
      <c r="G898" s="4"/>
      <c r="H898" s="4"/>
      <c r="I898" s="4"/>
    </row>
    <row r="899" spans="7:9" x14ac:dyDescent="0.3">
      <c r="G899" s="4"/>
      <c r="H899" s="4"/>
      <c r="I899" s="4"/>
    </row>
    <row r="900" spans="7:9" x14ac:dyDescent="0.3">
      <c r="G900" s="4"/>
      <c r="H900" s="4"/>
      <c r="I900" s="4"/>
    </row>
    <row r="901" spans="7:9" x14ac:dyDescent="0.3">
      <c r="G901" s="4"/>
      <c r="H901" s="4"/>
      <c r="I901" s="4"/>
    </row>
    <row r="902" spans="7:9" x14ac:dyDescent="0.3">
      <c r="G902" s="4"/>
      <c r="H902" s="4"/>
      <c r="I902" s="4"/>
    </row>
    <row r="903" spans="7:9" x14ac:dyDescent="0.3">
      <c r="G903" s="4"/>
      <c r="H903" s="4"/>
      <c r="I903" s="4"/>
    </row>
    <row r="904" spans="7:9" x14ac:dyDescent="0.3">
      <c r="G904" s="4"/>
      <c r="H904" s="4"/>
      <c r="I904" s="4"/>
    </row>
    <row r="905" spans="7:9" x14ac:dyDescent="0.3">
      <c r="G905" s="4"/>
      <c r="H905" s="4"/>
      <c r="I905" s="4"/>
    </row>
    <row r="906" spans="7:9" x14ac:dyDescent="0.3">
      <c r="G906" s="4"/>
      <c r="H906" s="4"/>
      <c r="I906" s="4"/>
    </row>
    <row r="907" spans="7:9" x14ac:dyDescent="0.3">
      <c r="G907" s="4"/>
      <c r="H907" s="4"/>
      <c r="I907" s="4"/>
    </row>
    <row r="908" spans="7:9" x14ac:dyDescent="0.3">
      <c r="G908" s="4"/>
      <c r="H908" s="4"/>
      <c r="I908" s="4"/>
    </row>
    <row r="909" spans="7:9" x14ac:dyDescent="0.3">
      <c r="G909" s="4"/>
      <c r="H909" s="4"/>
      <c r="I909" s="4"/>
    </row>
    <row r="910" spans="7:9" x14ac:dyDescent="0.3">
      <c r="G910" s="4"/>
      <c r="H910" s="4"/>
      <c r="I910" s="4"/>
    </row>
    <row r="911" spans="7:9" x14ac:dyDescent="0.3">
      <c r="G911" s="4"/>
      <c r="H911" s="4"/>
      <c r="I911" s="4"/>
    </row>
    <row r="912" spans="7:9" x14ac:dyDescent="0.3">
      <c r="G912" s="4"/>
      <c r="H912" s="4"/>
      <c r="I912" s="4"/>
    </row>
    <row r="913" spans="7:9" x14ac:dyDescent="0.3">
      <c r="G913" s="4"/>
      <c r="H913" s="4"/>
      <c r="I913" s="4"/>
    </row>
    <row r="914" spans="7:9" x14ac:dyDescent="0.3">
      <c r="G914" s="4"/>
      <c r="H914" s="4"/>
      <c r="I914" s="4"/>
    </row>
    <row r="915" spans="7:9" x14ac:dyDescent="0.3">
      <c r="G915" s="4"/>
      <c r="H915" s="4"/>
      <c r="I915" s="4"/>
    </row>
    <row r="916" spans="7:9" x14ac:dyDescent="0.3">
      <c r="G916" s="4"/>
      <c r="H916" s="4"/>
      <c r="I916" s="4"/>
    </row>
    <row r="917" spans="7:9" x14ac:dyDescent="0.3">
      <c r="G917" s="4"/>
      <c r="H917" s="4"/>
      <c r="I917" s="4"/>
    </row>
    <row r="918" spans="7:9" x14ac:dyDescent="0.3">
      <c r="G918" s="4"/>
      <c r="H918" s="4"/>
      <c r="I918" s="4"/>
    </row>
    <row r="919" spans="7:9" x14ac:dyDescent="0.3">
      <c r="G919" s="4"/>
      <c r="H919" s="4"/>
      <c r="I919" s="4"/>
    </row>
    <row r="920" spans="7:9" x14ac:dyDescent="0.3">
      <c r="G920" s="4"/>
      <c r="H920" s="4"/>
      <c r="I920" s="4"/>
    </row>
    <row r="921" spans="7:9" x14ac:dyDescent="0.3">
      <c r="G921" s="4"/>
      <c r="H921" s="4"/>
      <c r="I921" s="4"/>
    </row>
    <row r="922" spans="7:9" x14ac:dyDescent="0.3">
      <c r="G922" s="4"/>
      <c r="H922" s="4"/>
      <c r="I922" s="4"/>
    </row>
    <row r="923" spans="7:9" x14ac:dyDescent="0.3">
      <c r="G923" s="4"/>
      <c r="H923" s="4"/>
      <c r="I923" s="4"/>
    </row>
    <row r="924" spans="7:9" x14ac:dyDescent="0.3">
      <c r="G924" s="4"/>
      <c r="H924" s="4"/>
      <c r="I924" s="4"/>
    </row>
    <row r="925" spans="7:9" x14ac:dyDescent="0.3">
      <c r="G925" s="4"/>
      <c r="H925" s="4"/>
      <c r="I925" s="4"/>
    </row>
    <row r="926" spans="7:9" x14ac:dyDescent="0.3">
      <c r="G926" s="4"/>
      <c r="H926" s="4"/>
      <c r="I926" s="4"/>
    </row>
    <row r="927" spans="7:9" x14ac:dyDescent="0.3">
      <c r="G927" s="4"/>
      <c r="H927" s="4"/>
      <c r="I927" s="4"/>
    </row>
    <row r="928" spans="7:9" x14ac:dyDescent="0.3">
      <c r="G928" s="4"/>
      <c r="H928" s="4"/>
      <c r="I928" s="4"/>
    </row>
    <row r="929" spans="7:9" x14ac:dyDescent="0.3">
      <c r="G929" s="4"/>
      <c r="H929" s="4"/>
      <c r="I929" s="4"/>
    </row>
    <row r="930" spans="7:9" x14ac:dyDescent="0.3">
      <c r="G930" s="4"/>
      <c r="H930" s="4"/>
      <c r="I930" s="4"/>
    </row>
    <row r="931" spans="7:9" x14ac:dyDescent="0.3">
      <c r="G931" s="4"/>
      <c r="H931" s="4"/>
      <c r="I931" s="4"/>
    </row>
    <row r="932" spans="7:9" x14ac:dyDescent="0.3">
      <c r="G932" s="4"/>
      <c r="H932" s="4"/>
      <c r="I932" s="4"/>
    </row>
    <row r="933" spans="7:9" x14ac:dyDescent="0.3">
      <c r="G933" s="4"/>
      <c r="H933" s="4"/>
      <c r="I933" s="4"/>
    </row>
    <row r="934" spans="7:9" x14ac:dyDescent="0.3">
      <c r="G934" s="4"/>
      <c r="H934" s="4"/>
      <c r="I934" s="4"/>
    </row>
  </sheetData>
  <sortState xmlns:xlrd2="http://schemas.microsoft.com/office/spreadsheetml/2017/richdata2" ref="A2:H14">
    <sortCondition ref="B2:B14"/>
  </sortState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EDA4-552B-4BBC-92A9-48FFFEFA6F43}">
  <dimension ref="A1:P12"/>
  <sheetViews>
    <sheetView zoomScale="84" zoomScaleNormal="75" workbookViewId="0">
      <selection activeCell="I1" sqref="I1:I4"/>
    </sheetView>
  </sheetViews>
  <sheetFormatPr defaultRowHeight="14.4" x14ac:dyDescent="0.3"/>
  <cols>
    <col min="1" max="16" width="9.21875" customWidth="1"/>
  </cols>
  <sheetData>
    <row r="1" spans="1:16" ht="23.4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31" t="s">
        <v>7</v>
      </c>
      <c r="I1" s="13" t="s">
        <v>1</v>
      </c>
      <c r="J1" s="33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49</v>
      </c>
      <c r="B2" s="8">
        <v>3.8175684387434426E-2</v>
      </c>
      <c r="C2" s="8">
        <v>1.0198604401502952E-2</v>
      </c>
      <c r="D2" s="8">
        <v>1.2865497076023392E-2</v>
      </c>
      <c r="E2" s="8">
        <v>1.7743979721166033E-2</v>
      </c>
      <c r="F2" s="8">
        <v>1.2432432432432432E-2</v>
      </c>
      <c r="G2" s="8">
        <v>1.9313304721030045E-2</v>
      </c>
      <c r="H2" s="32">
        <v>2.0718232044198894E-2</v>
      </c>
      <c r="I2" s="35">
        <v>3.8175684387434426E-2</v>
      </c>
      <c r="J2" s="34">
        <f t="shared" ref="J2:P2" si="0">B2</f>
        <v>3.8175684387434426E-2</v>
      </c>
      <c r="K2" s="7">
        <f t="shared" si="0"/>
        <v>1.0198604401502952E-2</v>
      </c>
      <c r="L2" s="7">
        <f t="shared" si="0"/>
        <v>1.2865497076023392E-2</v>
      </c>
      <c r="M2" s="7">
        <f t="shared" si="0"/>
        <v>1.7743979721166033E-2</v>
      </c>
      <c r="N2" s="7">
        <f t="shared" si="0"/>
        <v>1.2432432432432432E-2</v>
      </c>
      <c r="O2" s="7">
        <f t="shared" si="0"/>
        <v>1.9313304721030045E-2</v>
      </c>
      <c r="P2" s="7">
        <f t="shared" si="0"/>
        <v>2.0718232044198894E-2</v>
      </c>
    </row>
    <row r="3" spans="1:16" x14ac:dyDescent="0.3">
      <c r="A3" s="3" t="s">
        <v>50</v>
      </c>
      <c r="B3" s="8">
        <v>0.20632808216797524</v>
      </c>
      <c r="C3" s="8">
        <v>0.29844337090713902</v>
      </c>
      <c r="D3" s="8">
        <v>0.35789473684210527</v>
      </c>
      <c r="E3" s="8">
        <v>0.25602027883396705</v>
      </c>
      <c r="F3" s="8">
        <v>0.24594594594594596</v>
      </c>
      <c r="G3" s="8">
        <v>0.21137339055793991</v>
      </c>
      <c r="H3" s="32">
        <v>0.22790055248618785</v>
      </c>
      <c r="I3" s="35">
        <v>0.24450376655540967</v>
      </c>
      <c r="J3" s="34">
        <f t="shared" ref="J3:P4" si="1">J2+B3</f>
        <v>0.24450376655540967</v>
      </c>
      <c r="K3" s="7">
        <f t="shared" si="1"/>
        <v>0.30864197530864196</v>
      </c>
      <c r="L3" s="7">
        <f t="shared" si="1"/>
        <v>0.37076023391812868</v>
      </c>
      <c r="M3" s="7">
        <f t="shared" si="1"/>
        <v>0.27376425855513309</v>
      </c>
      <c r="N3" s="7">
        <f t="shared" si="1"/>
        <v>0.2583783783783784</v>
      </c>
      <c r="O3" s="7">
        <f t="shared" si="1"/>
        <v>0.23068669527896996</v>
      </c>
      <c r="P3" s="7">
        <f t="shared" si="1"/>
        <v>0.24861878453038674</v>
      </c>
    </row>
    <row r="4" spans="1:16" x14ac:dyDescent="0.3">
      <c r="A4" s="3" t="s">
        <v>51</v>
      </c>
      <c r="B4" s="8">
        <v>0.75549623344459027</v>
      </c>
      <c r="C4" s="8">
        <v>0.69135802469135799</v>
      </c>
      <c r="D4" s="8">
        <v>0.62923976608187138</v>
      </c>
      <c r="E4" s="8">
        <v>0.72623574144486691</v>
      </c>
      <c r="F4" s="8">
        <v>0.7416216216216216</v>
      </c>
      <c r="G4" s="8">
        <v>0.76931330472102999</v>
      </c>
      <c r="H4" s="32">
        <v>0.75138121546961323</v>
      </c>
      <c r="I4" s="35">
        <v>1</v>
      </c>
      <c r="J4" s="34">
        <f t="shared" si="1"/>
        <v>1</v>
      </c>
      <c r="K4" s="7">
        <f t="shared" si="1"/>
        <v>1</v>
      </c>
      <c r="L4" s="7">
        <f t="shared" si="1"/>
        <v>1</v>
      </c>
      <c r="M4" s="7">
        <f t="shared" si="1"/>
        <v>1</v>
      </c>
      <c r="N4" s="7">
        <f t="shared" si="1"/>
        <v>1</v>
      </c>
      <c r="O4" s="7">
        <f t="shared" si="1"/>
        <v>1</v>
      </c>
      <c r="P4" s="7">
        <f t="shared" si="1"/>
        <v>1</v>
      </c>
    </row>
    <row r="5" spans="1:16" x14ac:dyDescent="0.3">
      <c r="M5" t="s">
        <v>52</v>
      </c>
    </row>
    <row r="6" spans="1:16" x14ac:dyDescent="0.3">
      <c r="B6" s="4"/>
    </row>
    <row r="7" spans="1:16" ht="28.8" x14ac:dyDescent="0.3">
      <c r="B7" s="1" t="s">
        <v>0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J7" s="5"/>
      <c r="K7" s="18" t="s">
        <v>28</v>
      </c>
      <c r="L7" s="18" t="s">
        <v>29</v>
      </c>
      <c r="M7" s="18" t="s">
        <v>30</v>
      </c>
      <c r="N7" s="18" t="s">
        <v>31</v>
      </c>
      <c r="O7" s="18" t="s">
        <v>32</v>
      </c>
      <c r="P7" s="18" t="s">
        <v>33</v>
      </c>
    </row>
    <row r="8" spans="1:16" x14ac:dyDescent="0.3">
      <c r="B8" s="3" t="s">
        <v>49</v>
      </c>
      <c r="C8" s="7">
        <f>C2-B2</f>
        <v>-2.7977079985931474E-2</v>
      </c>
      <c r="D8" s="7">
        <f>D2-B2</f>
        <v>-2.5310187311411034E-2</v>
      </c>
      <c r="E8" s="7">
        <f>E2-B2</f>
        <v>-2.0431704666268393E-2</v>
      </c>
      <c r="F8" s="7">
        <f>F2-B2</f>
        <v>-2.5743251955001996E-2</v>
      </c>
      <c r="G8" s="7">
        <f>G2-B2</f>
        <v>-1.8862379666404382E-2</v>
      </c>
      <c r="H8" s="7">
        <f>H2-B2</f>
        <v>-1.7457452343235532E-2</v>
      </c>
      <c r="J8" s="3" t="s">
        <v>49</v>
      </c>
      <c r="K8" s="5">
        <f>($J2-0) * ((K2+0))</f>
        <v>3.8933870282407626E-4</v>
      </c>
      <c r="L8" s="5">
        <f t="shared" ref="L8:P8" si="2">($J2-0) * ((L2+0))</f>
        <v>4.9114915586172952E-4</v>
      </c>
      <c r="M8" s="5">
        <f t="shared" si="2"/>
        <v>6.7738856961227121E-4</v>
      </c>
      <c r="N8" s="5">
        <f t="shared" si="2"/>
        <v>4.7461661670864419E-4</v>
      </c>
      <c r="O8" s="5">
        <f t="shared" si="2"/>
        <v>7.3729862550839026E-4</v>
      </c>
      <c r="P8" s="5">
        <f t="shared" si="2"/>
        <v>7.9093268758496731E-4</v>
      </c>
    </row>
    <row r="9" spans="1:16" x14ac:dyDescent="0.3">
      <c r="B9" s="3" t="s">
        <v>50</v>
      </c>
      <c r="C9" s="7">
        <f t="shared" ref="C9" si="3">C3-B3</f>
        <v>9.2115288739163775E-2</v>
      </c>
      <c r="D9" s="7">
        <f t="shared" ref="D9:D10" si="4">D3-B3</f>
        <v>0.15156665467413002</v>
      </c>
      <c r="E9" s="7">
        <f t="shared" ref="E9:E10" si="5">E3-B3</f>
        <v>4.9692196665991811E-2</v>
      </c>
      <c r="F9" s="7">
        <f t="shared" ref="F9:F10" si="6">F3-B3</f>
        <v>3.9617863777970719E-2</v>
      </c>
      <c r="G9" s="7">
        <f t="shared" ref="G9:G10" si="7">G3-B3</f>
        <v>5.04530838996467E-3</v>
      </c>
      <c r="H9" s="7">
        <f t="shared" ref="H9:H10" si="8">H3-B3</f>
        <v>2.1572470318212605E-2</v>
      </c>
      <c r="J9" s="3" t="s">
        <v>50</v>
      </c>
      <c r="K9" s="5">
        <f>($J3-$J2) * ((K3+K2))</f>
        <v>6.5785765328919638E-2</v>
      </c>
      <c r="L9" s="5">
        <f t="shared" ref="L9:P9" si="9">($J3-$J2) * ((L3+L2))</f>
        <v>7.9152761346310982E-2</v>
      </c>
      <c r="M9" s="5">
        <f t="shared" si="9"/>
        <v>6.0146335739713952E-2</v>
      </c>
      <c r="N9" s="5">
        <f t="shared" si="9"/>
        <v>5.5875875224948975E-2</v>
      </c>
      <c r="O9" s="5">
        <f t="shared" si="9"/>
        <v>5.158202054199381E-2</v>
      </c>
      <c r="P9" s="5">
        <f t="shared" si="9"/>
        <v>5.5571790086678417E-2</v>
      </c>
    </row>
    <row r="10" spans="1:16" x14ac:dyDescent="0.3">
      <c r="B10" s="3" t="s">
        <v>51</v>
      </c>
      <c r="C10" s="7">
        <f t="shared" ref="C10" si="10">C4-B4</f>
        <v>-6.4138208753232284E-2</v>
      </c>
      <c r="D10" s="7">
        <f t="shared" si="4"/>
        <v>-0.12625646736271889</v>
      </c>
      <c r="E10" s="7">
        <f t="shared" si="5"/>
        <v>-2.9260491999723359E-2</v>
      </c>
      <c r="F10" s="7">
        <f t="shared" si="6"/>
        <v>-1.3874611822968674E-2</v>
      </c>
      <c r="G10" s="7">
        <f t="shared" si="7"/>
        <v>1.3817071276439719E-2</v>
      </c>
      <c r="H10" s="7">
        <f t="shared" si="8"/>
        <v>-4.1150179749770421E-3</v>
      </c>
      <c r="J10" s="3" t="s">
        <v>51</v>
      </c>
      <c r="K10" s="5">
        <f>($J4-$J3) * ((K4+K3))</f>
        <v>0.98867408327316753</v>
      </c>
      <c r="L10" s="5">
        <f t="shared" ref="L10:P10" si="11">($J4-$J3) * ((L4+L3))</f>
        <v>1.0356041936807716</v>
      </c>
      <c r="M10" s="5">
        <f t="shared" si="11"/>
        <v>0.9623240996347443</v>
      </c>
      <c r="N10" s="5">
        <f t="shared" si="11"/>
        <v>0.9507001251129763</v>
      </c>
      <c r="O10" s="5">
        <f t="shared" si="11"/>
        <v>0.92977916283363193</v>
      </c>
      <c r="P10" s="5">
        <f t="shared" si="11"/>
        <v>0.94332678872086961</v>
      </c>
    </row>
    <row r="11" spans="1:16" x14ac:dyDescent="0.3">
      <c r="J11" s="19" t="s">
        <v>34</v>
      </c>
      <c r="K11" s="18">
        <f>SUM(K8:K10)</f>
        <v>1.0548491873049113</v>
      </c>
      <c r="L11" s="18">
        <f t="shared" ref="L11:P11" si="12">SUM(L8:L10)</f>
        <v>1.1152481041829443</v>
      </c>
      <c r="M11" s="18">
        <f t="shared" si="12"/>
        <v>1.0231478239440706</v>
      </c>
      <c r="N11" s="18">
        <f t="shared" si="12"/>
        <v>1.0070506169546338</v>
      </c>
      <c r="O11" s="18">
        <f t="shared" si="12"/>
        <v>0.98209848200113414</v>
      </c>
      <c r="P11" s="18">
        <f t="shared" si="12"/>
        <v>0.99968951149513297</v>
      </c>
    </row>
    <row r="12" spans="1:16" x14ac:dyDescent="0.3">
      <c r="J12" s="26" t="s">
        <v>35</v>
      </c>
      <c r="K12" s="24">
        <f>1-K11</f>
        <v>-5.4849187304911284E-2</v>
      </c>
      <c r="L12" s="24">
        <f t="shared" ref="L12:P12" si="13">1-L11</f>
        <v>-0.11524810418294429</v>
      </c>
      <c r="M12" s="24">
        <f t="shared" si="13"/>
        <v>-2.3147823944070556E-2</v>
      </c>
      <c r="N12" s="24">
        <f t="shared" si="13"/>
        <v>-7.050616954633826E-3</v>
      </c>
      <c r="O12" s="24">
        <f t="shared" si="13"/>
        <v>1.7901517998865857E-2</v>
      </c>
      <c r="P12" s="24">
        <f t="shared" si="13"/>
        <v>3.1048850486703472E-4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953E-C222-4E34-AE30-666C90CE99AB}">
  <dimension ref="A1:P28"/>
  <sheetViews>
    <sheetView zoomScale="88" zoomScaleNormal="88" workbookViewId="0">
      <selection activeCell="J4" sqref="J4"/>
    </sheetView>
  </sheetViews>
  <sheetFormatPr defaultRowHeight="14.4" x14ac:dyDescent="0.3"/>
  <cols>
    <col min="1" max="1" width="15.77734375" customWidth="1"/>
    <col min="2" max="8" width="12.6640625" customWidth="1"/>
    <col min="11" max="11" width="13" bestFit="1" customWidth="1"/>
    <col min="12" max="12" width="11.109375" bestFit="1" customWidth="1"/>
    <col min="13" max="13" width="12.109375" bestFit="1" customWidth="1"/>
    <col min="14" max="14" width="11.109375" bestFit="1" customWidth="1"/>
    <col min="15" max="15" width="12.109375" bestFit="1" customWidth="1"/>
    <col min="16" max="16" width="11.109375" customWidth="1"/>
  </cols>
  <sheetData>
    <row r="1" spans="1:16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13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53</v>
      </c>
      <c r="B2" s="8">
        <v>1.1661994393271926E-2</v>
      </c>
      <c r="C2" s="8">
        <v>7.331378299120235E-3</v>
      </c>
      <c r="D2" s="8">
        <v>2.4475524475524476E-2</v>
      </c>
      <c r="E2" s="8">
        <v>3.246753246753247E-3</v>
      </c>
      <c r="F2" s="8">
        <v>1.5334063526834611E-2</v>
      </c>
      <c r="G2" s="8">
        <v>9.5602294455066923E-3</v>
      </c>
      <c r="H2" s="8">
        <v>3.6101083032490974E-2</v>
      </c>
      <c r="I2" s="7">
        <v>1.1661994393271926E-2</v>
      </c>
      <c r="J2" s="7">
        <f>B2</f>
        <v>1.1661994393271926E-2</v>
      </c>
      <c r="K2" s="7">
        <f t="shared" ref="K2:P2" si="0">C2</f>
        <v>7.331378299120235E-3</v>
      </c>
      <c r="L2" s="7">
        <f t="shared" si="0"/>
        <v>2.4475524475524476E-2</v>
      </c>
      <c r="M2" s="7">
        <f t="shared" si="0"/>
        <v>3.246753246753247E-3</v>
      </c>
      <c r="N2" s="7">
        <f t="shared" si="0"/>
        <v>1.5334063526834611E-2</v>
      </c>
      <c r="O2" s="7">
        <f t="shared" si="0"/>
        <v>9.5602294455066923E-3</v>
      </c>
      <c r="P2" s="7">
        <f t="shared" si="0"/>
        <v>3.6101083032490974E-2</v>
      </c>
    </row>
    <row r="3" spans="1:16" x14ac:dyDescent="0.3">
      <c r="A3" s="3" t="s">
        <v>54</v>
      </c>
      <c r="B3" s="8">
        <v>1.2884795087438259E-2</v>
      </c>
      <c r="C3" s="8">
        <v>1.6129032258064516E-2</v>
      </c>
      <c r="D3" s="8">
        <v>2.7972027972027972E-2</v>
      </c>
      <c r="E3" s="8">
        <v>2.2727272727272728E-2</v>
      </c>
      <c r="F3" s="8">
        <v>2.3001095290251915E-2</v>
      </c>
      <c r="G3" s="8">
        <v>1.7208413001912046E-2</v>
      </c>
      <c r="H3" s="8">
        <v>1.0830324909747292E-2</v>
      </c>
      <c r="I3" s="7">
        <v>2.4546789480710186E-2</v>
      </c>
      <c r="J3" s="7">
        <f>J2+B3</f>
        <v>2.4546789480710186E-2</v>
      </c>
      <c r="K3" s="7">
        <f>K2+C3</f>
        <v>2.3460410557184751E-2</v>
      </c>
      <c r="L3" s="7">
        <f t="shared" ref="L3:P12" si="1">L2+D3</f>
        <v>5.2447552447552448E-2</v>
      </c>
      <c r="M3" s="7">
        <f t="shared" si="1"/>
        <v>2.5974025974025976E-2</v>
      </c>
      <c r="N3" s="7">
        <f t="shared" si="1"/>
        <v>3.8335158817086525E-2</v>
      </c>
      <c r="O3" s="7">
        <f t="shared" si="1"/>
        <v>2.6768642447418736E-2</v>
      </c>
      <c r="P3" s="7">
        <f t="shared" si="1"/>
        <v>4.6931407942238268E-2</v>
      </c>
    </row>
    <row r="4" spans="1:16" x14ac:dyDescent="0.3">
      <c r="A4" s="3" t="s">
        <v>55</v>
      </c>
      <c r="B4" s="8">
        <v>1.6254171672673876E-2</v>
      </c>
      <c r="C4" s="8">
        <v>2.6392961876832845E-2</v>
      </c>
      <c r="D4" s="8">
        <v>1.3986013986013986E-2</v>
      </c>
      <c r="E4" s="8">
        <v>6.4935064935064939E-3</v>
      </c>
      <c r="F4" s="8">
        <v>1.4238773274917854E-2</v>
      </c>
      <c r="G4" s="8">
        <v>2.1032504780114723E-2</v>
      </c>
      <c r="H4" s="8">
        <v>2.1660649819494584E-2</v>
      </c>
      <c r="I4" s="7">
        <v>4.0800961153384066E-2</v>
      </c>
      <c r="J4" s="7">
        <f t="shared" ref="J4:J12" si="2">J3+B4</f>
        <v>4.0800961153384066E-2</v>
      </c>
      <c r="K4" s="7">
        <f t="shared" ref="K4:K12" si="3">K3+C4</f>
        <v>4.9853372434017593E-2</v>
      </c>
      <c r="L4" s="7">
        <f t="shared" si="1"/>
        <v>6.6433566433566432E-2</v>
      </c>
      <c r="M4" s="7">
        <f t="shared" si="1"/>
        <v>3.2467532467532471E-2</v>
      </c>
      <c r="N4" s="7">
        <f t="shared" si="1"/>
        <v>5.257393209200438E-2</v>
      </c>
      <c r="O4" s="7">
        <f t="shared" si="1"/>
        <v>4.780114722753346E-2</v>
      </c>
      <c r="P4" s="7">
        <f t="shared" si="1"/>
        <v>6.8592057761732855E-2</v>
      </c>
    </row>
    <row r="5" spans="1:16" x14ac:dyDescent="0.3">
      <c r="A5" s="3" t="s">
        <v>56</v>
      </c>
      <c r="B5" s="8">
        <v>1.9073554932585769E-2</v>
      </c>
      <c r="C5" s="8">
        <v>1.0263929618768328E-2</v>
      </c>
      <c r="D5" s="8">
        <v>6.993006993006993E-3</v>
      </c>
      <c r="E5" s="8">
        <v>2.5974025974025976E-2</v>
      </c>
      <c r="F5" s="8">
        <v>3.0668127053669222E-2</v>
      </c>
      <c r="G5" s="8">
        <v>2.2944550669216062E-2</v>
      </c>
      <c r="H5" s="8">
        <v>1.0830324909747292E-2</v>
      </c>
      <c r="I5" s="7">
        <v>5.9874516085969831E-2</v>
      </c>
      <c r="J5" s="7">
        <f t="shared" si="2"/>
        <v>5.9874516085969831E-2</v>
      </c>
      <c r="K5" s="7">
        <f t="shared" si="3"/>
        <v>6.0117302052785919E-2</v>
      </c>
      <c r="L5" s="7">
        <f t="shared" si="1"/>
        <v>7.3426573426573424E-2</v>
      </c>
      <c r="M5" s="7">
        <f t="shared" si="1"/>
        <v>5.8441558441558447E-2</v>
      </c>
      <c r="N5" s="7">
        <f t="shared" si="1"/>
        <v>8.3242059145673605E-2</v>
      </c>
      <c r="O5" s="7">
        <f t="shared" si="1"/>
        <v>7.0745697896749518E-2</v>
      </c>
      <c r="P5" s="7">
        <f t="shared" si="1"/>
        <v>7.9422382671480149E-2</v>
      </c>
    </row>
    <row r="6" spans="1:16" x14ac:dyDescent="0.3">
      <c r="A6" s="3" t="s">
        <v>57</v>
      </c>
      <c r="B6" s="8">
        <v>2.580696836203444E-2</v>
      </c>
      <c r="C6" s="8">
        <v>1.3196480938416423E-2</v>
      </c>
      <c r="D6" s="8">
        <v>1.048951048951049E-2</v>
      </c>
      <c r="E6" s="8">
        <v>2.922077922077922E-2</v>
      </c>
      <c r="F6" s="8">
        <v>1.0952902519167579E-2</v>
      </c>
      <c r="G6" s="8">
        <v>1.5296367112810707E-2</v>
      </c>
      <c r="H6" s="8">
        <v>2.8880866425992781E-2</v>
      </c>
      <c r="I6" s="7">
        <v>8.5681484448004275E-2</v>
      </c>
      <c r="J6" s="7">
        <f t="shared" si="2"/>
        <v>8.5681484448004275E-2</v>
      </c>
      <c r="K6" s="7">
        <f t="shared" si="3"/>
        <v>7.3313782991202336E-2</v>
      </c>
      <c r="L6" s="7">
        <f t="shared" si="1"/>
        <v>8.3916083916083919E-2</v>
      </c>
      <c r="M6" s="7">
        <f t="shared" si="1"/>
        <v>8.7662337662337664E-2</v>
      </c>
      <c r="N6" s="7">
        <f t="shared" si="1"/>
        <v>9.419496166484119E-2</v>
      </c>
      <c r="O6" s="7">
        <f t="shared" si="1"/>
        <v>8.6042065009560229E-2</v>
      </c>
      <c r="P6" s="7">
        <f t="shared" si="1"/>
        <v>0.10830324909747294</v>
      </c>
    </row>
    <row r="7" spans="1:16" x14ac:dyDescent="0.3">
      <c r="A7" s="3" t="s">
        <v>58</v>
      </c>
      <c r="B7" s="8">
        <v>4.0608730476571889E-2</v>
      </c>
      <c r="C7" s="8">
        <v>2.6392961876832845E-2</v>
      </c>
      <c r="D7" s="8">
        <v>5.2447552447552448E-2</v>
      </c>
      <c r="E7" s="8">
        <v>2.5974025974025976E-2</v>
      </c>
      <c r="F7" s="8">
        <v>5.257393209200438E-2</v>
      </c>
      <c r="G7" s="8">
        <v>6.5009560229445512E-2</v>
      </c>
      <c r="H7" s="8">
        <v>4.3321299638989168E-2</v>
      </c>
      <c r="I7" s="7">
        <v>0.12629021492457615</v>
      </c>
      <c r="J7" s="7">
        <f t="shared" si="2"/>
        <v>0.12629021492457615</v>
      </c>
      <c r="K7" s="7">
        <f t="shared" si="3"/>
        <v>9.9706744868035185E-2</v>
      </c>
      <c r="L7" s="7">
        <f t="shared" si="1"/>
        <v>0.13636363636363635</v>
      </c>
      <c r="M7" s="7">
        <f t="shared" si="1"/>
        <v>0.11363636363636365</v>
      </c>
      <c r="N7" s="7">
        <f t="shared" si="1"/>
        <v>0.14676889375684557</v>
      </c>
      <c r="O7" s="7">
        <f t="shared" si="1"/>
        <v>0.15105162523900573</v>
      </c>
      <c r="P7" s="7">
        <f t="shared" si="1"/>
        <v>0.15162454873646211</v>
      </c>
    </row>
    <row r="8" spans="1:16" x14ac:dyDescent="0.3">
      <c r="A8" s="3" t="s">
        <v>59</v>
      </c>
      <c r="B8" s="8">
        <v>5.5223601655319719E-2</v>
      </c>
      <c r="C8" s="8">
        <v>5.7184750733137828E-2</v>
      </c>
      <c r="D8" s="8">
        <v>2.4475524475524476E-2</v>
      </c>
      <c r="E8" s="8">
        <v>2.922077922077922E-2</v>
      </c>
      <c r="F8" s="8">
        <v>3.2858707557502739E-2</v>
      </c>
      <c r="G8" s="8">
        <v>6.6921606118546847E-2</v>
      </c>
      <c r="H8" s="8">
        <v>5.7761732851985562E-2</v>
      </c>
      <c r="I8" s="7">
        <v>0.18151381657989588</v>
      </c>
      <c r="J8" s="7">
        <f t="shared" si="2"/>
        <v>0.18151381657989588</v>
      </c>
      <c r="K8" s="7">
        <f t="shared" si="3"/>
        <v>0.15689149560117302</v>
      </c>
      <c r="L8" s="7">
        <f t="shared" si="1"/>
        <v>0.16083916083916083</v>
      </c>
      <c r="M8" s="7">
        <f t="shared" si="1"/>
        <v>0.14285714285714288</v>
      </c>
      <c r="N8" s="7">
        <f t="shared" si="1"/>
        <v>0.1796276013143483</v>
      </c>
      <c r="O8" s="7">
        <f t="shared" si="1"/>
        <v>0.21797323135755259</v>
      </c>
      <c r="P8" s="7">
        <f t="shared" si="1"/>
        <v>0.20938628158844769</v>
      </c>
    </row>
    <row r="9" spans="1:16" x14ac:dyDescent="0.3">
      <c r="A9" s="3" t="s">
        <v>60</v>
      </c>
      <c r="B9" s="8">
        <v>8.2915498598317983E-2</v>
      </c>
      <c r="C9" s="8">
        <v>9.2375366568914957E-2</v>
      </c>
      <c r="D9" s="8">
        <v>5.944055944055944E-2</v>
      </c>
      <c r="E9" s="8">
        <v>0.13636363636363635</v>
      </c>
      <c r="F9" s="8">
        <v>7.4479737130339535E-2</v>
      </c>
      <c r="G9" s="8">
        <v>5.736137667304015E-2</v>
      </c>
      <c r="H9" s="8">
        <v>8.6642599277978335E-2</v>
      </c>
      <c r="I9" s="7">
        <v>0.26442931517821389</v>
      </c>
      <c r="J9" s="7">
        <f t="shared" si="2"/>
        <v>0.26442931517821389</v>
      </c>
      <c r="K9" s="7">
        <f t="shared" si="3"/>
        <v>0.24926686217008798</v>
      </c>
      <c r="L9" s="7">
        <f t="shared" si="1"/>
        <v>0.22027972027972026</v>
      </c>
      <c r="M9" s="7">
        <f t="shared" si="1"/>
        <v>0.27922077922077926</v>
      </c>
      <c r="N9" s="7">
        <f t="shared" si="1"/>
        <v>0.2541073384446878</v>
      </c>
      <c r="O9" s="7">
        <f t="shared" si="1"/>
        <v>0.27533460803059273</v>
      </c>
      <c r="P9" s="7">
        <f t="shared" si="1"/>
        <v>0.29602888086642604</v>
      </c>
    </row>
    <row r="10" spans="1:16" x14ac:dyDescent="0.3">
      <c r="A10" s="3" t="s">
        <v>61</v>
      </c>
      <c r="B10" s="8">
        <v>0.1260552663195835</v>
      </c>
      <c r="C10" s="8">
        <v>0.10410557184750734</v>
      </c>
      <c r="D10" s="8">
        <v>0.11538461538461539</v>
      </c>
      <c r="E10" s="8">
        <v>0.1038961038961039</v>
      </c>
      <c r="F10" s="8">
        <v>0.11062431544359255</v>
      </c>
      <c r="G10" s="8">
        <v>0.124282982791587</v>
      </c>
      <c r="H10" s="8">
        <v>0.1263537906137184</v>
      </c>
      <c r="I10" s="7">
        <v>0.39048458149779741</v>
      </c>
      <c r="J10" s="7">
        <f t="shared" si="2"/>
        <v>0.39048458149779741</v>
      </c>
      <c r="K10" s="7">
        <f t="shared" si="3"/>
        <v>0.35337243401759533</v>
      </c>
      <c r="L10" s="7">
        <f t="shared" si="1"/>
        <v>0.33566433566433562</v>
      </c>
      <c r="M10" s="7">
        <f t="shared" si="1"/>
        <v>0.38311688311688319</v>
      </c>
      <c r="N10" s="7">
        <f t="shared" si="1"/>
        <v>0.36473165388828033</v>
      </c>
      <c r="O10" s="7">
        <f t="shared" si="1"/>
        <v>0.39961759082217974</v>
      </c>
      <c r="P10" s="7">
        <f t="shared" si="1"/>
        <v>0.42238267148014441</v>
      </c>
    </row>
    <row r="11" spans="1:16" x14ac:dyDescent="0.3">
      <c r="A11" s="3" t="s">
        <v>62</v>
      </c>
      <c r="B11" s="8">
        <v>0.17654251768789214</v>
      </c>
      <c r="C11" s="8">
        <v>0.21260997067448681</v>
      </c>
      <c r="D11" s="8">
        <v>0.17832167832167833</v>
      </c>
      <c r="E11" s="8">
        <v>0.23051948051948051</v>
      </c>
      <c r="F11" s="8">
        <v>0.12814895947426067</v>
      </c>
      <c r="G11" s="8">
        <v>0.18929254302103252</v>
      </c>
      <c r="H11" s="8">
        <v>0.1263537906137184</v>
      </c>
      <c r="I11" s="7">
        <v>0.56702709918568961</v>
      </c>
      <c r="J11" s="7">
        <f t="shared" si="2"/>
        <v>0.56702709918568961</v>
      </c>
      <c r="K11" s="7">
        <f t="shared" si="3"/>
        <v>0.56598240469208216</v>
      </c>
      <c r="L11" s="7">
        <f t="shared" si="1"/>
        <v>0.51398601398601396</v>
      </c>
      <c r="M11" s="7">
        <f t="shared" si="1"/>
        <v>0.61363636363636376</v>
      </c>
      <c r="N11" s="7">
        <f t="shared" si="1"/>
        <v>0.49288061336254096</v>
      </c>
      <c r="O11" s="7">
        <f t="shared" si="1"/>
        <v>0.58891013384321222</v>
      </c>
      <c r="P11" s="7">
        <f t="shared" si="1"/>
        <v>0.54873646209386284</v>
      </c>
    </row>
    <row r="12" spans="1:16" x14ac:dyDescent="0.3">
      <c r="A12" s="3" t="s">
        <v>63</v>
      </c>
      <c r="B12" s="8">
        <v>0.4329729008143105</v>
      </c>
      <c r="C12" s="8">
        <v>0.43401759530791789</v>
      </c>
      <c r="D12" s="8">
        <v>0.48601398601398599</v>
      </c>
      <c r="E12" s="8">
        <v>0.38636363636363635</v>
      </c>
      <c r="F12" s="8">
        <v>0.50711938663745892</v>
      </c>
      <c r="G12" s="8">
        <v>0.41108986615678778</v>
      </c>
      <c r="H12" s="8">
        <v>0.45126353790613716</v>
      </c>
      <c r="I12" s="7">
        <v>1</v>
      </c>
      <c r="J12" s="7">
        <f t="shared" si="2"/>
        <v>1</v>
      </c>
      <c r="K12" s="7">
        <f t="shared" si="3"/>
        <v>1</v>
      </c>
      <c r="L12" s="7">
        <f t="shared" si="1"/>
        <v>1</v>
      </c>
      <c r="M12" s="7">
        <f t="shared" si="1"/>
        <v>1</v>
      </c>
      <c r="N12" s="7">
        <f t="shared" si="1"/>
        <v>0.99999999999999989</v>
      </c>
      <c r="O12" s="7">
        <f t="shared" si="1"/>
        <v>1</v>
      </c>
      <c r="P12" s="7">
        <f t="shared" si="1"/>
        <v>1</v>
      </c>
    </row>
    <row r="15" spans="1:16" x14ac:dyDescent="0.3">
      <c r="B15" s="1" t="s">
        <v>0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J15" s="5"/>
      <c r="K15" s="18" t="s">
        <v>28</v>
      </c>
      <c r="L15" s="18" t="s">
        <v>29</v>
      </c>
      <c r="M15" s="18" t="s">
        <v>30</v>
      </c>
      <c r="N15" s="18" t="s">
        <v>31</v>
      </c>
      <c r="O15" s="18" t="s">
        <v>32</v>
      </c>
      <c r="P15" s="18" t="s">
        <v>33</v>
      </c>
    </row>
    <row r="16" spans="1:16" x14ac:dyDescent="0.3">
      <c r="B16" s="3" t="s">
        <v>53</v>
      </c>
      <c r="C16" s="7">
        <f>C2-B2</f>
        <v>-4.3306160941516906E-3</v>
      </c>
      <c r="D16" s="7">
        <f>D2-B2</f>
        <v>1.281353008225255E-2</v>
      </c>
      <c r="E16" s="7">
        <f>E2-B2</f>
        <v>-8.4152411465186795E-3</v>
      </c>
      <c r="F16" s="7">
        <f>F2-B2</f>
        <v>3.6720691335626852E-3</v>
      </c>
      <c r="G16" s="7">
        <f>G2-B2</f>
        <v>-2.1017649477652334E-3</v>
      </c>
      <c r="H16" s="7">
        <f>H2-B2</f>
        <v>2.443908863921905E-2</v>
      </c>
      <c r="J16" s="3" t="s">
        <v>53</v>
      </c>
      <c r="K16" s="5">
        <f>($J2-0) * ((K2+0))</f>
        <v>8.5498492619295643E-5</v>
      </c>
      <c r="L16" s="5">
        <f t="shared" ref="L16:P16" si="4">($J2-0) * ((L2+0))</f>
        <v>2.8543342920595623E-4</v>
      </c>
      <c r="M16" s="5">
        <f t="shared" si="4"/>
        <v>3.7863618159973784E-5</v>
      </c>
      <c r="N16" s="5">
        <f t="shared" si="4"/>
        <v>1.7882576287602076E-4</v>
      </c>
      <c r="O16" s="5">
        <f t="shared" si="4"/>
        <v>1.1149134219189222E-4</v>
      </c>
      <c r="P16" s="5">
        <f t="shared" si="4"/>
        <v>4.2101062791595397E-4</v>
      </c>
    </row>
    <row r="17" spans="2:16" x14ac:dyDescent="0.3">
      <c r="B17" s="3" t="s">
        <v>54</v>
      </c>
      <c r="C17" s="7">
        <f t="shared" ref="C17:C26" si="5">C3-B3</f>
        <v>3.2442371706262567E-3</v>
      </c>
      <c r="D17" s="7">
        <f t="shared" ref="D17:D26" si="6">D3-B3</f>
        <v>1.5087232884589713E-2</v>
      </c>
      <c r="E17" s="7">
        <f t="shared" ref="E17:E26" si="7">E3-B3</f>
        <v>9.8424776398344689E-3</v>
      </c>
      <c r="F17" s="7">
        <f t="shared" ref="F17:F26" si="8">F3-B3</f>
        <v>1.0116300202813656E-2</v>
      </c>
      <c r="G17" s="7">
        <f t="shared" ref="G17:G26" si="9">G3-B3</f>
        <v>4.3236179144737867E-3</v>
      </c>
      <c r="H17" s="7">
        <f t="shared" ref="H17:H26" si="10">H3-B3</f>
        <v>-2.0544701776909671E-3</v>
      </c>
      <c r="J17" s="3" t="s">
        <v>54</v>
      </c>
      <c r="K17" s="5">
        <f>($J3-$J2) * ((K3+K2))</f>
        <v>3.9674588978915468E-4</v>
      </c>
      <c r="L17" s="5">
        <f t="shared" ref="L17:P17" si="11">($J3-$J2) * ((L3+L2))</f>
        <v>9.9113808364909711E-4</v>
      </c>
      <c r="M17" s="5">
        <f t="shared" si="11"/>
        <v>3.7650375255501416E-4</v>
      </c>
      <c r="N17" s="5">
        <f t="shared" si="11"/>
        <v>6.9151693240358683E-4</v>
      </c>
      <c r="O17" s="5">
        <f t="shared" si="11"/>
        <v>4.6809007009813942E-4</v>
      </c>
      <c r="P17" s="5">
        <f t="shared" si="11"/>
        <v>1.0698566318089531E-3</v>
      </c>
    </row>
    <row r="18" spans="2:16" x14ac:dyDescent="0.3">
      <c r="B18" s="3" t="s">
        <v>55</v>
      </c>
      <c r="C18" s="7">
        <f t="shared" si="5"/>
        <v>1.0138790204158969E-2</v>
      </c>
      <c r="D18" s="7">
        <f t="shared" si="6"/>
        <v>-2.2681576866598902E-3</v>
      </c>
      <c r="E18" s="7">
        <f t="shared" si="7"/>
        <v>-9.7606651791673823E-3</v>
      </c>
      <c r="F18" s="7">
        <f t="shared" si="8"/>
        <v>-2.0153983977560224E-3</v>
      </c>
      <c r="G18" s="7">
        <f t="shared" si="9"/>
        <v>4.7783331074408471E-3</v>
      </c>
      <c r="H18" s="7">
        <f t="shared" si="10"/>
        <v>5.4064781468207077E-3</v>
      </c>
      <c r="J18" s="3" t="s">
        <v>55</v>
      </c>
      <c r="K18" s="5">
        <f t="shared" ref="K18:P26" si="12">($J4-$J3) * ((K4+K3))</f>
        <v>1.1916548147121611E-3</v>
      </c>
      <c r="L18" s="5">
        <f t="shared" si="12"/>
        <v>1.9323141149332583E-3</v>
      </c>
      <c r="M18" s="5">
        <f t="shared" si="12"/>
        <v>9.4991912372769435E-4</v>
      </c>
      <c r="N18" s="5">
        <f t="shared" si="12"/>
        <v>1.4776519702430801E-3</v>
      </c>
      <c r="O18" s="5">
        <f t="shared" si="12"/>
        <v>1.2120701629718574E-3</v>
      </c>
      <c r="P18" s="5">
        <f t="shared" si="12"/>
        <v>1.8777382437745998E-3</v>
      </c>
    </row>
    <row r="19" spans="2:16" x14ac:dyDescent="0.3">
      <c r="B19" s="3" t="s">
        <v>56</v>
      </c>
      <c r="C19" s="7">
        <f t="shared" si="5"/>
        <v>-8.8096253138174405E-3</v>
      </c>
      <c r="D19" s="7">
        <f t="shared" si="6"/>
        <v>-1.2080547939578776E-2</v>
      </c>
      <c r="E19" s="7">
        <f t="shared" si="7"/>
        <v>6.9004710414402072E-3</v>
      </c>
      <c r="F19" s="7">
        <f t="shared" si="8"/>
        <v>1.1594572121083453E-2</v>
      </c>
      <c r="G19" s="7">
        <f t="shared" si="9"/>
        <v>3.8709957366302936E-3</v>
      </c>
      <c r="H19" s="7">
        <f t="shared" si="10"/>
        <v>-8.2432300228384766E-3</v>
      </c>
      <c r="J19" s="3" t="s">
        <v>56</v>
      </c>
      <c r="K19" s="5">
        <f t="shared" si="12"/>
        <v>2.0975317007975547E-3</v>
      </c>
      <c r="L19" s="5">
        <f t="shared" si="12"/>
        <v>2.6676300605015051E-3</v>
      </c>
      <c r="M19" s="5">
        <f t="shared" si="12"/>
        <v>1.7339595393259786E-3</v>
      </c>
      <c r="N19" s="5">
        <f t="shared" si="12"/>
        <v>2.5904937695954379E-3</v>
      </c>
      <c r="O19" s="5">
        <f t="shared" si="12"/>
        <v>2.2611097625627485E-3</v>
      </c>
      <c r="P19" s="5">
        <f t="shared" si="12"/>
        <v>2.8231615604188314E-3</v>
      </c>
    </row>
    <row r="20" spans="2:16" x14ac:dyDescent="0.3">
      <c r="B20" s="3" t="s">
        <v>57</v>
      </c>
      <c r="C20" s="7">
        <f t="shared" si="5"/>
        <v>-1.2610487423618017E-2</v>
      </c>
      <c r="D20" s="7">
        <f t="shared" si="6"/>
        <v>-1.531745787252395E-2</v>
      </c>
      <c r="E20" s="7">
        <f t="shared" si="7"/>
        <v>3.4138108587447799E-3</v>
      </c>
      <c r="F20" s="7">
        <f t="shared" si="8"/>
        <v>-1.4854065842866861E-2</v>
      </c>
      <c r="G20" s="7">
        <f t="shared" si="9"/>
        <v>-1.0510601249223733E-2</v>
      </c>
      <c r="H20" s="7">
        <f t="shared" si="10"/>
        <v>3.0738980639583406E-3</v>
      </c>
      <c r="J20" s="3" t="s">
        <v>57</v>
      </c>
      <c r="K20" s="5">
        <f t="shared" si="12"/>
        <v>3.4434517902421323E-3</v>
      </c>
      <c r="L20" s="5">
        <f t="shared" si="12"/>
        <v>4.0605369800403848E-3</v>
      </c>
      <c r="M20" s="5">
        <f t="shared" si="12"/>
        <v>3.7704986243232148E-3</v>
      </c>
      <c r="N20" s="5">
        <f t="shared" si="12"/>
        <v>4.5791115823106028E-3</v>
      </c>
      <c r="O20" s="5">
        <f t="shared" si="12"/>
        <v>4.0462168368772932E-3</v>
      </c>
      <c r="P20" s="5">
        <f t="shared" si="12"/>
        <v>4.8446294398043002E-3</v>
      </c>
    </row>
    <row r="21" spans="2:16" x14ac:dyDescent="0.3">
      <c r="B21" s="3" t="s">
        <v>58</v>
      </c>
      <c r="C21" s="7">
        <f t="shared" si="5"/>
        <v>-1.4215768599739043E-2</v>
      </c>
      <c r="D21" s="7">
        <f t="shared" si="6"/>
        <v>1.1838821970980559E-2</v>
      </c>
      <c r="E21" s="7">
        <f t="shared" si="7"/>
        <v>-1.4634704502545913E-2</v>
      </c>
      <c r="F21" s="7">
        <f t="shared" si="8"/>
        <v>1.1965201615432491E-2</v>
      </c>
      <c r="G21" s="7">
        <f t="shared" si="9"/>
        <v>2.4400829752873623E-2</v>
      </c>
      <c r="H21" s="7">
        <f t="shared" si="10"/>
        <v>2.712569162417279E-3</v>
      </c>
      <c r="J21" s="3" t="s">
        <v>58</v>
      </c>
      <c r="K21" s="5">
        <f t="shared" si="12"/>
        <v>7.026143982749972E-3</v>
      </c>
      <c r="L21" s="5">
        <f t="shared" si="12"/>
        <v>8.945279790293803E-3</v>
      </c>
      <c r="M21" s="5">
        <f t="shared" si="12"/>
        <v>8.1744847063229108E-3</v>
      </c>
      <c r="N21" s="5">
        <f t="shared" si="12"/>
        <v>9.7852362594149089E-3</v>
      </c>
      <c r="O21" s="5">
        <f t="shared" si="12"/>
        <v>9.6280737649998335E-3</v>
      </c>
      <c r="P21" s="5">
        <f t="shared" si="12"/>
        <v>1.0555337885607131E-2</v>
      </c>
    </row>
    <row r="22" spans="2:16" x14ac:dyDescent="0.3">
      <c r="B22" s="3" t="s">
        <v>59</v>
      </c>
      <c r="C22" s="7">
        <f t="shared" si="5"/>
        <v>1.9611490778181084E-3</v>
      </c>
      <c r="D22" s="7">
        <f t="shared" si="6"/>
        <v>-3.0748077179795243E-2</v>
      </c>
      <c r="E22" s="7">
        <f t="shared" si="7"/>
        <v>-2.6002822434540499E-2</v>
      </c>
      <c r="F22" s="7">
        <f t="shared" si="8"/>
        <v>-2.236489409781698E-2</v>
      </c>
      <c r="G22" s="7">
        <f t="shared" si="9"/>
        <v>1.1698004463227128E-2</v>
      </c>
      <c r="H22" s="7">
        <f t="shared" si="10"/>
        <v>2.5381311966658424E-3</v>
      </c>
      <c r="J22" s="3" t="s">
        <v>59</v>
      </c>
      <c r="K22" s="5">
        <f t="shared" si="12"/>
        <v>1.4170279017127495E-2</v>
      </c>
      <c r="L22" s="5">
        <f t="shared" si="12"/>
        <v>1.6412608883574042E-2</v>
      </c>
      <c r="M22" s="5">
        <f t="shared" si="12"/>
        <v>1.4164495229773569E-2</v>
      </c>
      <c r="N22" s="5">
        <f t="shared" si="12"/>
        <v>1.8024790025504136E-2</v>
      </c>
      <c r="O22" s="5">
        <f t="shared" si="12"/>
        <v>2.0378881681599823E-2</v>
      </c>
      <c r="P22" s="5">
        <f t="shared" si="12"/>
        <v>1.9936318287119035E-2</v>
      </c>
    </row>
    <row r="23" spans="2:16" x14ac:dyDescent="0.3">
      <c r="B23" s="3" t="s">
        <v>60</v>
      </c>
      <c r="C23" s="7">
        <f t="shared" si="5"/>
        <v>9.4598679705969746E-3</v>
      </c>
      <c r="D23" s="7">
        <f t="shared" si="6"/>
        <v>-2.3474939157758543E-2</v>
      </c>
      <c r="E23" s="7">
        <f t="shared" si="7"/>
        <v>5.3448137765318371E-2</v>
      </c>
      <c r="F23" s="7">
        <f t="shared" si="8"/>
        <v>-8.4357614679784476E-3</v>
      </c>
      <c r="G23" s="7">
        <f t="shared" si="9"/>
        <v>-2.5554121925277833E-2</v>
      </c>
      <c r="H23" s="7">
        <f t="shared" si="10"/>
        <v>3.7271006796603529E-3</v>
      </c>
      <c r="J23" s="3" t="s">
        <v>60</v>
      </c>
      <c r="K23" s="5">
        <f t="shared" si="12"/>
        <v>3.3676822744478134E-2</v>
      </c>
      <c r="L23" s="5">
        <f t="shared" si="12"/>
        <v>3.1600662053205116E-2</v>
      </c>
      <c r="M23" s="5">
        <f t="shared" si="12"/>
        <v>3.4996801356432933E-2</v>
      </c>
      <c r="N23" s="5">
        <f t="shared" si="12"/>
        <v>3.5963348789631908E-2</v>
      </c>
      <c r="O23" s="5">
        <f t="shared" si="12"/>
        <v>4.0902865465327051E-2</v>
      </c>
      <c r="P23" s="5">
        <f t="shared" si="12"/>
        <v>4.1906750194095753E-2</v>
      </c>
    </row>
    <row r="24" spans="2:16" x14ac:dyDescent="0.3">
      <c r="B24" s="3" t="s">
        <v>61</v>
      </c>
      <c r="C24" s="7">
        <f t="shared" si="5"/>
        <v>-2.1949694472076162E-2</v>
      </c>
      <c r="D24" s="7">
        <f t="shared" si="6"/>
        <v>-1.0670650934968107E-2</v>
      </c>
      <c r="E24" s="7">
        <f t="shared" si="7"/>
        <v>-2.2159162423479595E-2</v>
      </c>
      <c r="F24" s="7">
        <f t="shared" si="8"/>
        <v>-1.5430950875990945E-2</v>
      </c>
      <c r="G24" s="7">
        <f t="shared" si="9"/>
        <v>-1.7722835279964932E-3</v>
      </c>
      <c r="H24" s="7">
        <f t="shared" si="10"/>
        <v>2.9852429413490533E-4</v>
      </c>
      <c r="J24" s="3" t="s">
        <v>61</v>
      </c>
      <c r="K24" s="5">
        <f t="shared" si="12"/>
        <v>7.5965856975584792E-2</v>
      </c>
      <c r="L24" s="5">
        <f t="shared" si="12"/>
        <v>7.0079676030817398E-2</v>
      </c>
      <c r="M24" s="5">
        <f t="shared" si="12"/>
        <v>8.3491150419464422E-2</v>
      </c>
      <c r="N24" s="5">
        <f t="shared" si="12"/>
        <v>7.8007913987475003E-2</v>
      </c>
      <c r="O24" s="5">
        <f t="shared" si="12"/>
        <v>8.5081279179374733E-2</v>
      </c>
      <c r="P24" s="5">
        <f t="shared" si="12"/>
        <v>9.0559559558112346E-2</v>
      </c>
    </row>
    <row r="25" spans="2:16" x14ac:dyDescent="0.3">
      <c r="B25" s="3" t="s">
        <v>62</v>
      </c>
      <c r="C25" s="7">
        <f t="shared" si="5"/>
        <v>3.6067452986594667E-2</v>
      </c>
      <c r="D25" s="7">
        <f t="shared" si="6"/>
        <v>1.779160633786192E-3</v>
      </c>
      <c r="E25" s="7">
        <f t="shared" si="7"/>
        <v>5.3976962831588371E-2</v>
      </c>
      <c r="F25" s="7">
        <f t="shared" si="8"/>
        <v>-4.8393558213631477E-2</v>
      </c>
      <c r="G25" s="7">
        <f t="shared" si="9"/>
        <v>1.2750025333140375E-2</v>
      </c>
      <c r="H25" s="7">
        <f t="shared" si="10"/>
        <v>-5.0188727074173739E-2</v>
      </c>
      <c r="J25" s="3" t="s">
        <v>62</v>
      </c>
      <c r="K25" s="5">
        <f t="shared" si="12"/>
        <v>0.16230521787435251</v>
      </c>
      <c r="L25" s="5">
        <f t="shared" si="12"/>
        <v>0.14999941188167062</v>
      </c>
      <c r="M25" s="5">
        <f t="shared" si="12"/>
        <v>0.17596932769539908</v>
      </c>
      <c r="N25" s="5">
        <f t="shared" si="12"/>
        <v>0.15140502886048146</v>
      </c>
      <c r="O25" s="5">
        <f t="shared" si="12"/>
        <v>0.17451717331671179</v>
      </c>
      <c r="P25" s="5">
        <f t="shared" si="12"/>
        <v>0.17144381681603973</v>
      </c>
    </row>
    <row r="26" spans="2:16" x14ac:dyDescent="0.3">
      <c r="B26" s="3" t="s">
        <v>63</v>
      </c>
      <c r="C26" s="7">
        <f t="shared" si="5"/>
        <v>1.0446944936073899E-3</v>
      </c>
      <c r="D26" s="7">
        <f t="shared" si="6"/>
        <v>5.3041085199675486E-2</v>
      </c>
      <c r="E26" s="7">
        <f t="shared" si="7"/>
        <v>-4.6609264450674148E-2</v>
      </c>
      <c r="F26" s="7">
        <f t="shared" si="8"/>
        <v>7.4146485823148423E-2</v>
      </c>
      <c r="G26" s="7">
        <f t="shared" si="9"/>
        <v>-2.1883034657522726E-2</v>
      </c>
      <c r="H26" s="7">
        <f t="shared" si="10"/>
        <v>1.8290637091826656E-2</v>
      </c>
      <c r="J26" s="3" t="s">
        <v>63</v>
      </c>
      <c r="K26" s="5">
        <f t="shared" si="12"/>
        <v>0.67802794438370007</v>
      </c>
      <c r="L26" s="5">
        <f t="shared" si="12"/>
        <v>0.65551491626781955</v>
      </c>
      <c r="M26" s="5">
        <f t="shared" si="12"/>
        <v>0.69866081722309181</v>
      </c>
      <c r="N26" s="5">
        <f t="shared" si="12"/>
        <v>0.64637684973702625</v>
      </c>
      <c r="O26" s="5">
        <f t="shared" si="12"/>
        <v>0.68795502978334977</v>
      </c>
      <c r="P26" s="5">
        <f t="shared" si="12"/>
        <v>0.67056091858967204</v>
      </c>
    </row>
    <row r="27" spans="2:16" x14ac:dyDescent="0.3">
      <c r="J27" s="19" t="s">
        <v>34</v>
      </c>
      <c r="K27" s="18">
        <f>SUM(K16:K26)</f>
        <v>0.9783871476661532</v>
      </c>
      <c r="L27" s="18">
        <f t="shared" ref="L27:P27" si="13">SUM(L16:L26)</f>
        <v>0.94248960757571076</v>
      </c>
      <c r="M27" s="18">
        <f t="shared" si="13"/>
        <v>1.0223258212885766</v>
      </c>
      <c r="N27" s="18">
        <f t="shared" si="13"/>
        <v>0.94908076767696237</v>
      </c>
      <c r="O27" s="18">
        <f t="shared" si="13"/>
        <v>1.0265622813660649</v>
      </c>
      <c r="P27" s="18">
        <f t="shared" si="13"/>
        <v>1.0159990978343687</v>
      </c>
    </row>
    <row r="28" spans="2:16" x14ac:dyDescent="0.3">
      <c r="J28" s="22" t="s">
        <v>35</v>
      </c>
      <c r="K28" s="24">
        <f>1-K27</f>
        <v>2.1612852333846799E-2</v>
      </c>
      <c r="L28" s="24">
        <f t="shared" ref="L28:P28" si="14">1-L27</f>
        <v>5.7510392424289236E-2</v>
      </c>
      <c r="M28" s="24">
        <f t="shared" si="14"/>
        <v>-2.2325821288576631E-2</v>
      </c>
      <c r="N28" s="24">
        <f t="shared" si="14"/>
        <v>5.0919232323037633E-2</v>
      </c>
      <c r="O28" s="24">
        <f t="shared" si="14"/>
        <v>-2.6562281366064866E-2</v>
      </c>
      <c r="P28" s="24">
        <f t="shared" si="14"/>
        <v>-1.5999097834368703E-2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BDC3-4301-417E-8345-D50748FE6A75}">
  <dimension ref="A1:P23"/>
  <sheetViews>
    <sheetView zoomScale="98" workbookViewId="0">
      <selection activeCell="I1" sqref="I1"/>
    </sheetView>
  </sheetViews>
  <sheetFormatPr defaultRowHeight="14.4" x14ac:dyDescent="0.3"/>
  <cols>
    <col min="1" max="4" width="12.77734375" customWidth="1"/>
    <col min="7" max="7" width="10.77734375" customWidth="1"/>
  </cols>
  <sheetData>
    <row r="1" spans="1:16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13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64</v>
      </c>
      <c r="B2" s="8">
        <v>2.8466856445709638E-2</v>
      </c>
      <c r="C2" s="8">
        <v>1.858736059479554E-2</v>
      </c>
      <c r="D2" s="8">
        <v>2.1276595744680851E-2</v>
      </c>
      <c r="E2" s="8">
        <v>1.3422818791946308E-2</v>
      </c>
      <c r="F2" s="8">
        <v>4.3243243243243246E-2</v>
      </c>
      <c r="G2" s="8">
        <v>3.3210332103321034E-2</v>
      </c>
      <c r="H2" s="8">
        <v>3.5714285714285712E-2</v>
      </c>
      <c r="I2" s="7">
        <v>2.8466856445709638E-2</v>
      </c>
      <c r="J2" s="8">
        <v>2.8466856445709638E-2</v>
      </c>
      <c r="K2" s="8">
        <v>1.858736059479554E-2</v>
      </c>
      <c r="L2" s="8">
        <v>2.1276595744680851E-2</v>
      </c>
      <c r="M2" s="8">
        <v>1.3422818791946308E-2</v>
      </c>
      <c r="N2" s="8">
        <v>4.3243243243243246E-2</v>
      </c>
      <c r="O2" s="8">
        <v>3.3210332103321034E-2</v>
      </c>
      <c r="P2" s="8">
        <v>3.5714285714285712E-2</v>
      </c>
    </row>
    <row r="3" spans="1:16" x14ac:dyDescent="0.3">
      <c r="A3" s="3" t="s">
        <v>65</v>
      </c>
      <c r="B3" s="8">
        <v>3.7627619271847774E-2</v>
      </c>
      <c r="C3" s="8">
        <v>4.4609665427509292E-2</v>
      </c>
      <c r="D3" s="8">
        <v>2.1276595744680851E-2</v>
      </c>
      <c r="E3" s="8">
        <v>2.6845637583892617E-2</v>
      </c>
      <c r="F3" s="8">
        <v>4.8648648648648651E-2</v>
      </c>
      <c r="G3" s="8">
        <v>2.2140221402214021E-2</v>
      </c>
      <c r="H3" s="8">
        <v>7.1428571428571426E-3</v>
      </c>
      <c r="I3" s="7">
        <v>6.6094475717557416E-2</v>
      </c>
      <c r="J3" s="7">
        <f t="shared" ref="J3:P3" si="0">J2+B3</f>
        <v>6.6094475717557416E-2</v>
      </c>
      <c r="K3" s="7">
        <f t="shared" si="0"/>
        <v>6.3197026022304828E-2</v>
      </c>
      <c r="L3" s="7">
        <f t="shared" si="0"/>
        <v>4.2553191489361701E-2</v>
      </c>
      <c r="M3" s="7">
        <f t="shared" si="0"/>
        <v>4.0268456375838924E-2</v>
      </c>
      <c r="N3" s="7">
        <f t="shared" si="0"/>
        <v>9.1891891891891897E-2</v>
      </c>
      <c r="O3" s="7">
        <f t="shared" si="0"/>
        <v>5.5350553505535055E-2</v>
      </c>
      <c r="P3" s="7">
        <f t="shared" si="0"/>
        <v>4.2857142857142858E-2</v>
      </c>
    </row>
    <row r="4" spans="1:16" x14ac:dyDescent="0.3">
      <c r="A4" s="3" t="s">
        <v>66</v>
      </c>
      <c r="B4" s="8">
        <v>4.7248560604439119E-2</v>
      </c>
      <c r="C4" s="8">
        <v>3.717472118959108E-2</v>
      </c>
      <c r="D4" s="8">
        <v>7.0921985815602835E-3</v>
      </c>
      <c r="E4" s="8">
        <v>4.0268456375838924E-2</v>
      </c>
      <c r="F4" s="8">
        <v>5.675675675675676E-2</v>
      </c>
      <c r="G4" s="8">
        <v>4.4280442804428041E-2</v>
      </c>
      <c r="H4" s="8">
        <v>5.7142857142857141E-2</v>
      </c>
      <c r="I4" s="7">
        <v>0.11334303632199653</v>
      </c>
      <c r="J4" s="7">
        <f t="shared" ref="J4:J10" si="1">J3+B4</f>
        <v>0.11334303632199653</v>
      </c>
      <c r="K4" s="7">
        <f t="shared" ref="K4:K10" si="2">K3+C4</f>
        <v>0.1003717472118959</v>
      </c>
      <c r="L4" s="7">
        <f t="shared" ref="L4:L10" si="3">L3+D4</f>
        <v>4.9645390070921988E-2</v>
      </c>
      <c r="M4" s="7">
        <f t="shared" ref="M4:M10" si="4">M3+E4</f>
        <v>8.0536912751677847E-2</v>
      </c>
      <c r="N4" s="7">
        <f t="shared" ref="N4:N10" si="5">N3+F4</f>
        <v>0.14864864864864866</v>
      </c>
      <c r="O4" s="7">
        <f t="shared" ref="O4:O10" si="6">O3+G4</f>
        <v>9.9630996309963096E-2</v>
      </c>
      <c r="P4" s="7">
        <f t="shared" ref="P4:P10" si="7">P3+H4</f>
        <v>0.1</v>
      </c>
    </row>
    <row r="5" spans="1:16" x14ac:dyDescent="0.3">
      <c r="A5" s="3" t="s">
        <v>67</v>
      </c>
      <c r="B5" s="8">
        <v>4.7473298944799985E-2</v>
      </c>
      <c r="C5" s="8">
        <v>4.4609665427509292E-2</v>
      </c>
      <c r="D5" s="8">
        <v>2.8368794326241134E-2</v>
      </c>
      <c r="E5" s="8">
        <v>3.3557046979865772E-2</v>
      </c>
      <c r="F5" s="8">
        <v>2.1621621621621623E-2</v>
      </c>
      <c r="G5" s="8">
        <v>4.797047970479705E-2</v>
      </c>
      <c r="H5" s="8">
        <v>4.2857142857142858E-2</v>
      </c>
      <c r="I5" s="7">
        <v>0.16081633526679651</v>
      </c>
      <c r="J5" s="7">
        <f t="shared" si="1"/>
        <v>0.16081633526679651</v>
      </c>
      <c r="K5" s="7">
        <f t="shared" si="2"/>
        <v>0.1449814126394052</v>
      </c>
      <c r="L5" s="7">
        <f t="shared" si="3"/>
        <v>7.8014184397163122E-2</v>
      </c>
      <c r="M5" s="7">
        <f t="shared" si="4"/>
        <v>0.11409395973154363</v>
      </c>
      <c r="N5" s="7">
        <f t="shared" si="5"/>
        <v>0.17027027027027028</v>
      </c>
      <c r="O5" s="7">
        <f t="shared" si="6"/>
        <v>0.14760147601476015</v>
      </c>
      <c r="P5" s="7">
        <f t="shared" si="7"/>
        <v>0.14285714285714285</v>
      </c>
    </row>
    <row r="6" spans="1:16" x14ac:dyDescent="0.3">
      <c r="A6" s="3" t="s">
        <v>68</v>
      </c>
      <c r="B6" s="8">
        <v>5.4996682434023246E-2</v>
      </c>
      <c r="C6" s="8">
        <v>6.3197026022304828E-2</v>
      </c>
      <c r="D6" s="8">
        <v>2.8368794326241134E-2</v>
      </c>
      <c r="E6" s="8">
        <v>0</v>
      </c>
      <c r="F6" s="8">
        <v>8.3783783783783788E-2</v>
      </c>
      <c r="G6" s="8">
        <v>4.4280442804428041E-2</v>
      </c>
      <c r="H6" s="8">
        <v>1.4285714285714285E-2</v>
      </c>
      <c r="I6" s="7">
        <v>0.21581301770081976</v>
      </c>
      <c r="J6" s="7">
        <f t="shared" si="1"/>
        <v>0.21581301770081976</v>
      </c>
      <c r="K6" s="7">
        <f t="shared" si="2"/>
        <v>0.20817843866171004</v>
      </c>
      <c r="L6" s="7">
        <f t="shared" si="3"/>
        <v>0.10638297872340426</v>
      </c>
      <c r="M6" s="7">
        <f t="shared" si="4"/>
        <v>0.11409395973154363</v>
      </c>
      <c r="N6" s="7">
        <f t="shared" si="5"/>
        <v>0.25405405405405407</v>
      </c>
      <c r="O6" s="7">
        <f t="shared" si="6"/>
        <v>0.1918819188191882</v>
      </c>
      <c r="P6" s="7">
        <f t="shared" si="7"/>
        <v>0.15714285714285714</v>
      </c>
    </row>
    <row r="7" spans="1:16" x14ac:dyDescent="0.3">
      <c r="A7" s="3" t="s">
        <v>69</v>
      </c>
      <c r="B7" s="8">
        <v>0.11193039532544252</v>
      </c>
      <c r="C7" s="8">
        <v>0.1449814126394052</v>
      </c>
      <c r="D7" s="8">
        <v>9.2198581560283682E-2</v>
      </c>
      <c r="E7" s="8">
        <v>0.10067114093959731</v>
      </c>
      <c r="F7" s="8">
        <v>6.4864864864864868E-2</v>
      </c>
      <c r="G7" s="8">
        <v>0.11439114391143912</v>
      </c>
      <c r="H7" s="8">
        <v>0.2</v>
      </c>
      <c r="I7" s="7">
        <v>0.32774341302626231</v>
      </c>
      <c r="J7" s="7">
        <f t="shared" si="1"/>
        <v>0.32774341302626231</v>
      </c>
      <c r="K7" s="7">
        <f t="shared" si="2"/>
        <v>0.35315985130111527</v>
      </c>
      <c r="L7" s="7">
        <f t="shared" si="3"/>
        <v>0.19858156028368795</v>
      </c>
      <c r="M7" s="7">
        <f t="shared" si="4"/>
        <v>0.21476510067114093</v>
      </c>
      <c r="N7" s="7">
        <f t="shared" si="5"/>
        <v>0.31891891891891894</v>
      </c>
      <c r="O7" s="7">
        <f t="shared" si="6"/>
        <v>0.30627306273062732</v>
      </c>
      <c r="P7" s="7">
        <f t="shared" si="7"/>
        <v>0.35714285714285715</v>
      </c>
    </row>
    <row r="8" spans="1:16" x14ac:dyDescent="0.3">
      <c r="A8" s="3" t="s">
        <v>70</v>
      </c>
      <c r="B8" s="8">
        <v>0.13521756811712077</v>
      </c>
      <c r="C8" s="8">
        <v>0.12267657992565056</v>
      </c>
      <c r="D8" s="8">
        <v>0.14184397163120568</v>
      </c>
      <c r="E8" s="8">
        <v>0.12080536912751678</v>
      </c>
      <c r="F8" s="8">
        <v>0.15405405405405406</v>
      </c>
      <c r="G8" s="8">
        <v>0.12177121771217712</v>
      </c>
      <c r="H8" s="8">
        <v>0.15714285714285714</v>
      </c>
      <c r="I8" s="7">
        <v>0.46296098114338308</v>
      </c>
      <c r="J8" s="7">
        <f t="shared" si="1"/>
        <v>0.46296098114338308</v>
      </c>
      <c r="K8" s="7">
        <f t="shared" si="2"/>
        <v>0.47583643122676583</v>
      </c>
      <c r="L8" s="7">
        <f t="shared" si="3"/>
        <v>0.34042553191489366</v>
      </c>
      <c r="M8" s="7">
        <f t="shared" si="4"/>
        <v>0.33557046979865773</v>
      </c>
      <c r="N8" s="7">
        <f t="shared" si="5"/>
        <v>0.47297297297297303</v>
      </c>
      <c r="O8" s="7">
        <f t="shared" si="6"/>
        <v>0.42804428044280446</v>
      </c>
      <c r="P8" s="7">
        <f t="shared" si="7"/>
        <v>0.51428571428571423</v>
      </c>
    </row>
    <row r="9" spans="1:16" x14ac:dyDescent="0.3">
      <c r="A9" s="3" t="s">
        <v>71</v>
      </c>
      <c r="B9" s="8">
        <v>0.16442285053830183</v>
      </c>
      <c r="C9" s="8">
        <v>0.1895910780669145</v>
      </c>
      <c r="D9" s="8">
        <v>0.23404255319148937</v>
      </c>
      <c r="E9" s="8">
        <v>0.14093959731543623</v>
      </c>
      <c r="F9" s="8">
        <v>0.15945945945945947</v>
      </c>
      <c r="G9" s="8">
        <v>0.15129151291512916</v>
      </c>
      <c r="H9" s="8">
        <v>0.17857142857142858</v>
      </c>
      <c r="I9" s="7">
        <v>0.62738383168168488</v>
      </c>
      <c r="J9" s="7">
        <f t="shared" si="1"/>
        <v>0.62738383168168488</v>
      </c>
      <c r="K9" s="7">
        <f t="shared" si="2"/>
        <v>0.66542750929368033</v>
      </c>
      <c r="L9" s="7">
        <f t="shared" si="3"/>
        <v>0.57446808510638303</v>
      </c>
      <c r="M9" s="7">
        <f t="shared" si="4"/>
        <v>0.47651006711409394</v>
      </c>
      <c r="N9" s="7">
        <f t="shared" si="5"/>
        <v>0.63243243243243252</v>
      </c>
      <c r="O9" s="7">
        <f t="shared" si="6"/>
        <v>0.57933579335793361</v>
      </c>
      <c r="P9" s="7">
        <f t="shared" si="7"/>
        <v>0.69285714285714284</v>
      </c>
    </row>
    <row r="10" spans="1:16" x14ac:dyDescent="0.3">
      <c r="A10" s="3" t="s">
        <v>72</v>
      </c>
      <c r="B10" s="8">
        <v>0.37261616831831512</v>
      </c>
      <c r="C10" s="8">
        <v>0.33457249070631973</v>
      </c>
      <c r="D10" s="8">
        <v>0.42553191489361702</v>
      </c>
      <c r="E10" s="8">
        <v>0.52348993288590606</v>
      </c>
      <c r="F10" s="8">
        <v>0.36756756756756759</v>
      </c>
      <c r="G10" s="8">
        <v>0.42066420664206644</v>
      </c>
      <c r="H10" s="8">
        <v>0.30714285714285716</v>
      </c>
      <c r="I10" s="7">
        <v>1</v>
      </c>
      <c r="J10" s="7">
        <f t="shared" si="1"/>
        <v>1</v>
      </c>
      <c r="K10" s="7">
        <f t="shared" si="2"/>
        <v>1</v>
      </c>
      <c r="L10" s="7">
        <f t="shared" si="3"/>
        <v>1</v>
      </c>
      <c r="M10" s="7">
        <f t="shared" si="4"/>
        <v>1</v>
      </c>
      <c r="N10" s="7">
        <f t="shared" si="5"/>
        <v>1</v>
      </c>
      <c r="O10" s="7">
        <f t="shared" si="6"/>
        <v>1</v>
      </c>
      <c r="P10" s="7">
        <f t="shared" si="7"/>
        <v>1</v>
      </c>
    </row>
    <row r="12" spans="1:16" ht="18.600000000000001" customHeight="1" x14ac:dyDescent="0.3">
      <c r="B12" s="1" t="s">
        <v>0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J12" s="5"/>
      <c r="K12" s="18" t="s">
        <v>28</v>
      </c>
      <c r="L12" s="18" t="s">
        <v>29</v>
      </c>
      <c r="M12" s="18" t="s">
        <v>30</v>
      </c>
      <c r="N12" s="18" t="s">
        <v>31</v>
      </c>
      <c r="O12" s="18" t="s">
        <v>32</v>
      </c>
      <c r="P12" s="18" t="s">
        <v>33</v>
      </c>
    </row>
    <row r="13" spans="1:16" x14ac:dyDescent="0.3">
      <c r="B13" s="3" t="s">
        <v>64</v>
      </c>
      <c r="C13" s="7">
        <f>C2-B2</f>
        <v>-9.8794958509140982E-3</v>
      </c>
      <c r="D13" s="7">
        <f>D2-B2</f>
        <v>-7.1902607010287875E-3</v>
      </c>
      <c r="E13" s="7">
        <f>E2-B2</f>
        <v>-1.504403765376333E-2</v>
      </c>
      <c r="F13" s="7">
        <f>F2-B2</f>
        <v>1.4776386797533608E-2</v>
      </c>
      <c r="G13" s="7">
        <f>G2-B2</f>
        <v>4.7434756576113964E-3</v>
      </c>
      <c r="H13" s="7">
        <f>H2-B2</f>
        <v>7.2474292685760743E-3</v>
      </c>
      <c r="J13" s="3" t="s">
        <v>64</v>
      </c>
      <c r="K13" s="5">
        <f>($J2-0) * ((K2+0))</f>
        <v>5.2912372575668473E-4</v>
      </c>
      <c r="L13" s="5">
        <f t="shared" ref="L13:P13" si="8">($J2-0) * ((L2+0))</f>
        <v>6.0567779671722637E-4</v>
      </c>
      <c r="M13" s="5">
        <f t="shared" si="8"/>
        <v>3.8210545564710922E-4</v>
      </c>
      <c r="N13" s="5">
        <f t="shared" si="8"/>
        <v>1.2309991976523088E-3</v>
      </c>
      <c r="O13" s="5">
        <f t="shared" si="8"/>
        <v>9.4539375649958215E-4</v>
      </c>
      <c r="P13" s="5">
        <f t="shared" si="8"/>
        <v>1.0166734444896298E-3</v>
      </c>
    </row>
    <row r="14" spans="1:16" x14ac:dyDescent="0.3">
      <c r="B14" s="3" t="s">
        <v>65</v>
      </c>
      <c r="C14" s="7">
        <f t="shared" ref="C14:C21" si="9">C3-B3</f>
        <v>6.9820461556615171E-3</v>
      </c>
      <c r="D14" s="7">
        <f t="shared" ref="D14:D21" si="10">D3-B3</f>
        <v>-1.6351023527166924E-2</v>
      </c>
      <c r="E14" s="7">
        <f t="shared" ref="E14:E21" si="11">E3-B3</f>
        <v>-1.0781981687955158E-2</v>
      </c>
      <c r="F14" s="7">
        <f t="shared" ref="F14:F21" si="12">F3-B3</f>
        <v>1.1021029376800877E-2</v>
      </c>
      <c r="G14" s="7">
        <f t="shared" ref="G14:G21" si="13">G3-B3</f>
        <v>-1.5487397869633754E-2</v>
      </c>
      <c r="H14" s="7">
        <f t="shared" ref="H14:H21" si="14">H3-B3</f>
        <v>-3.0484762128990633E-2</v>
      </c>
      <c r="J14" s="3" t="s">
        <v>65</v>
      </c>
      <c r="K14" s="5">
        <f>($J3-$J2) * ((K3+K2))</f>
        <v>3.0773517620098557E-3</v>
      </c>
      <c r="L14" s="5">
        <f t="shared" ref="L14:P14" si="15">($J3-$J2) * ((L3+L2))</f>
        <v>2.4017629322456028E-3</v>
      </c>
      <c r="M14" s="5">
        <f t="shared" si="15"/>
        <v>2.0202748602334377E-3</v>
      </c>
      <c r="N14" s="5">
        <f t="shared" si="15"/>
        <v>5.0848134151145656E-3</v>
      </c>
      <c r="O14" s="5">
        <f t="shared" si="15"/>
        <v>3.3323352860677E-3</v>
      </c>
      <c r="P14" s="5">
        <f t="shared" si="15"/>
        <v>2.9564557999308969E-3</v>
      </c>
    </row>
    <row r="15" spans="1:16" x14ac:dyDescent="0.3">
      <c r="B15" s="3" t="s">
        <v>66</v>
      </c>
      <c r="C15" s="7">
        <f t="shared" si="9"/>
        <v>-1.0073839414848039E-2</v>
      </c>
      <c r="D15" s="7">
        <f t="shared" si="10"/>
        <v>-4.0156362022878839E-2</v>
      </c>
      <c r="E15" s="7">
        <f t="shared" si="11"/>
        <v>-6.9801042286001952E-3</v>
      </c>
      <c r="F15" s="7">
        <f t="shared" si="12"/>
        <v>9.5081961523176411E-3</v>
      </c>
      <c r="G15" s="7">
        <f t="shared" si="13"/>
        <v>-2.9681178000110775E-3</v>
      </c>
      <c r="H15" s="7">
        <f t="shared" si="14"/>
        <v>9.8942965384180223E-3</v>
      </c>
      <c r="J15" s="3" t="s">
        <v>66</v>
      </c>
      <c r="K15" s="5">
        <f t="shared" ref="K15:P21" si="16">($J4-$J3) * ((K4+K3))</f>
        <v>7.7283890951498919E-3</v>
      </c>
      <c r="L15" s="5">
        <f t="shared" si="16"/>
        <v>4.3562502684943863E-3</v>
      </c>
      <c r="M15" s="5">
        <f t="shared" si="16"/>
        <v>5.7078798045631148E-3</v>
      </c>
      <c r="N15" s="5">
        <f t="shared" si="16"/>
        <v>1.1365194307554276E-2</v>
      </c>
      <c r="O15" s="5">
        <f t="shared" si="16"/>
        <v>7.3226551490274657E-3</v>
      </c>
      <c r="P15" s="5">
        <f t="shared" si="16"/>
        <v>6.7497943720627313E-3</v>
      </c>
    </row>
    <row r="16" spans="1:16" x14ac:dyDescent="0.3">
      <c r="B16" s="3" t="s">
        <v>67</v>
      </c>
      <c r="C16" s="7">
        <f t="shared" si="9"/>
        <v>-2.8636335172906938E-3</v>
      </c>
      <c r="D16" s="7">
        <f t="shared" si="10"/>
        <v>-1.9104504618558851E-2</v>
      </c>
      <c r="E16" s="7">
        <f t="shared" si="11"/>
        <v>-1.3916251964934213E-2</v>
      </c>
      <c r="F16" s="7">
        <f t="shared" si="12"/>
        <v>-2.5851677323178363E-2</v>
      </c>
      <c r="G16" s="7">
        <f t="shared" si="13"/>
        <v>4.9718075999706512E-4</v>
      </c>
      <c r="H16" s="7">
        <f t="shared" si="14"/>
        <v>-4.6161560876571278E-3</v>
      </c>
      <c r="J16" s="3" t="s">
        <v>67</v>
      </c>
      <c r="K16" s="5">
        <f t="shared" si="16"/>
        <v>1.1647723904672112E-2</v>
      </c>
      <c r="L16" s="5">
        <f t="shared" si="16"/>
        <v>6.0604211418893586E-3</v>
      </c>
      <c r="M16" s="5">
        <f t="shared" si="16"/>
        <v>9.2397695932832161E-3</v>
      </c>
      <c r="N16" s="5">
        <f t="shared" si="16"/>
        <v>1.5140133176990263E-2</v>
      </c>
      <c r="O16" s="5">
        <f t="shared" si="16"/>
        <v>1.1736941067533571E-2</v>
      </c>
      <c r="P16" s="5">
        <f t="shared" si="16"/>
        <v>1.1529229743737136E-2</v>
      </c>
    </row>
    <row r="17" spans="2:16" x14ac:dyDescent="0.3">
      <c r="B17" s="3" t="s">
        <v>68</v>
      </c>
      <c r="C17" s="7">
        <f t="shared" si="9"/>
        <v>8.200343588281582E-3</v>
      </c>
      <c r="D17" s="7">
        <f t="shared" si="10"/>
        <v>-2.6627888107782112E-2</v>
      </c>
      <c r="E17" s="7">
        <f t="shared" si="11"/>
        <v>-5.4996682434023246E-2</v>
      </c>
      <c r="F17" s="7">
        <f t="shared" si="12"/>
        <v>2.8787101349760542E-2</v>
      </c>
      <c r="G17" s="7">
        <f t="shared" si="13"/>
        <v>-1.0716239629595205E-2</v>
      </c>
      <c r="H17" s="7">
        <f t="shared" si="14"/>
        <v>-4.0710968148308962E-2</v>
      </c>
      <c r="J17" s="3" t="s">
        <v>68</v>
      </c>
      <c r="K17" s="5">
        <f t="shared" si="16"/>
        <v>1.942262019045431E-2</v>
      </c>
      <c r="L17" s="5">
        <f t="shared" si="16"/>
        <v>1.0141232221876628E-2</v>
      </c>
      <c r="M17" s="5">
        <f t="shared" si="16"/>
        <v>1.2549578541991884E-2</v>
      </c>
      <c r="N17" s="5">
        <f t="shared" si="16"/>
        <v>2.3336430113896352E-2</v>
      </c>
      <c r="O17" s="5">
        <f t="shared" si="16"/>
        <v>1.8670460457306786E-2</v>
      </c>
      <c r="P17" s="5">
        <f t="shared" si="16"/>
        <v>1.6499004730206976E-2</v>
      </c>
    </row>
    <row r="18" spans="2:16" x14ac:dyDescent="0.3">
      <c r="B18" s="3" t="s">
        <v>69</v>
      </c>
      <c r="C18" s="7">
        <f t="shared" si="9"/>
        <v>3.3051017313962677E-2</v>
      </c>
      <c r="D18" s="7">
        <f t="shared" si="10"/>
        <v>-1.973181376515884E-2</v>
      </c>
      <c r="E18" s="7">
        <f t="shared" si="11"/>
        <v>-1.1259254385845213E-2</v>
      </c>
      <c r="F18" s="7">
        <f t="shared" si="12"/>
        <v>-4.7065530460577654E-2</v>
      </c>
      <c r="G18" s="7">
        <f t="shared" si="13"/>
        <v>2.4607485859965972E-3</v>
      </c>
      <c r="H18" s="7">
        <f t="shared" si="14"/>
        <v>8.8069604674557489E-2</v>
      </c>
      <c r="J18" s="3" t="s">
        <v>69</v>
      </c>
      <c r="K18" s="5">
        <f t="shared" si="16"/>
        <v>6.283081670684694E-2</v>
      </c>
      <c r="L18" s="5">
        <f t="shared" si="16"/>
        <v>3.4134801411305177E-2</v>
      </c>
      <c r="M18" s="5">
        <f t="shared" si="16"/>
        <v>3.6809324637226068E-2</v>
      </c>
      <c r="N18" s="5">
        <f t="shared" si="16"/>
        <v>6.4133091375658979E-2</v>
      </c>
      <c r="O18" s="5">
        <f t="shared" si="16"/>
        <v>5.5758684018209388E-2</v>
      </c>
      <c r="P18" s="5">
        <f t="shared" si="16"/>
        <v>5.7564203310227588E-2</v>
      </c>
    </row>
    <row r="19" spans="2:16" x14ac:dyDescent="0.3">
      <c r="B19" s="3" t="s">
        <v>70</v>
      </c>
      <c r="C19" s="7">
        <f t="shared" si="9"/>
        <v>-1.2540988191470204E-2</v>
      </c>
      <c r="D19" s="7">
        <f t="shared" si="10"/>
        <v>6.6264035140849165E-3</v>
      </c>
      <c r="E19" s="7">
        <f t="shared" si="11"/>
        <v>-1.4412198989603983E-2</v>
      </c>
      <c r="F19" s="7">
        <f t="shared" si="12"/>
        <v>1.8836485936933295E-2</v>
      </c>
      <c r="G19" s="7">
        <f t="shared" si="13"/>
        <v>-1.3446350404943644E-2</v>
      </c>
      <c r="H19" s="7">
        <f t="shared" si="14"/>
        <v>2.1925289025736372E-2</v>
      </c>
      <c r="J19" s="3" t="s">
        <v>70</v>
      </c>
      <c r="K19" s="5">
        <f t="shared" si="16"/>
        <v>0.11209486130155366</v>
      </c>
      <c r="L19" s="5">
        <f t="shared" si="16"/>
        <v>7.2883228204972908E-2</v>
      </c>
      <c r="M19" s="5">
        <f t="shared" si="16"/>
        <v>7.4415037487274516E-2</v>
      </c>
      <c r="N19" s="5">
        <f t="shared" si="16"/>
        <v>0.10707769583328755</v>
      </c>
      <c r="O19" s="5">
        <f t="shared" si="16"/>
        <v>9.9292605370136663E-2</v>
      </c>
      <c r="P19" s="5">
        <f t="shared" si="16"/>
        <v>0.1178324522163481</v>
      </c>
    </row>
    <row r="20" spans="2:16" x14ac:dyDescent="0.3">
      <c r="B20" s="3" t="s">
        <v>71</v>
      </c>
      <c r="C20" s="7">
        <f t="shared" si="9"/>
        <v>2.5168227528612669E-2</v>
      </c>
      <c r="D20" s="7">
        <f t="shared" si="10"/>
        <v>6.9619702653187537E-2</v>
      </c>
      <c r="E20" s="7">
        <f t="shared" si="11"/>
        <v>-2.3483253222865597E-2</v>
      </c>
      <c r="F20" s="7">
        <f t="shared" si="12"/>
        <v>-4.9633910788423607E-3</v>
      </c>
      <c r="G20" s="7">
        <f t="shared" si="13"/>
        <v>-1.3131337623172673E-2</v>
      </c>
      <c r="H20" s="7">
        <f t="shared" si="14"/>
        <v>1.4148578033126746E-2</v>
      </c>
      <c r="J20" s="3" t="s">
        <v>71</v>
      </c>
      <c r="K20" s="5">
        <f t="shared" si="16"/>
        <v>0.18764987031694666</v>
      </c>
      <c r="L20" s="5">
        <f t="shared" si="16"/>
        <v>0.15042941644993571</v>
      </c>
      <c r="M20" s="5">
        <f t="shared" si="16"/>
        <v>0.13352459674586925</v>
      </c>
      <c r="N20" s="5">
        <f t="shared" si="16"/>
        <v>0.18175390775720388</v>
      </c>
      <c r="O20" s="5">
        <f t="shared" si="16"/>
        <v>0.1656363033098022</v>
      </c>
      <c r="P20" s="5">
        <f t="shared" si="16"/>
        <v>0.1984818695783786</v>
      </c>
    </row>
    <row r="21" spans="2:16" x14ac:dyDescent="0.3">
      <c r="B21" s="3" t="s">
        <v>72</v>
      </c>
      <c r="C21" s="7">
        <f t="shared" si="9"/>
        <v>-3.8043677611995397E-2</v>
      </c>
      <c r="D21" s="7">
        <f t="shared" si="10"/>
        <v>5.2915746575301903E-2</v>
      </c>
      <c r="E21" s="7">
        <f t="shared" si="11"/>
        <v>0.15087376456759094</v>
      </c>
      <c r="F21" s="7">
        <f t="shared" si="12"/>
        <v>-5.0486007507475339E-3</v>
      </c>
      <c r="G21" s="7">
        <f t="shared" si="13"/>
        <v>4.8048038323751319E-2</v>
      </c>
      <c r="H21" s="7">
        <f t="shared" si="14"/>
        <v>-6.547331117545796E-2</v>
      </c>
      <c r="J21" s="3" t="s">
        <v>72</v>
      </c>
      <c r="K21" s="5">
        <f t="shared" si="16"/>
        <v>0.62056521712492629</v>
      </c>
      <c r="L21" s="5">
        <f t="shared" si="16"/>
        <v>0.58667226501181535</v>
      </c>
      <c r="M21" s="5">
        <f t="shared" si="16"/>
        <v>0.55017152369147204</v>
      </c>
      <c r="N21" s="5">
        <f t="shared" si="16"/>
        <v>0.60827071801151988</v>
      </c>
      <c r="O21" s="5">
        <f t="shared" si="16"/>
        <v>0.58848605180899949</v>
      </c>
      <c r="P21" s="5">
        <f t="shared" si="16"/>
        <v>0.63078594208171912</v>
      </c>
    </row>
    <row r="22" spans="2:16" x14ac:dyDescent="0.3">
      <c r="J22" s="19" t="s">
        <v>34</v>
      </c>
      <c r="K22" s="18">
        <f>SUM(K13:K21)</f>
        <v>1.0255459741283164</v>
      </c>
      <c r="L22" s="18">
        <f t="shared" ref="L22:P22" si="17">SUM(L13:L21)</f>
        <v>0.86768505543925234</v>
      </c>
      <c r="M22" s="18">
        <f t="shared" si="17"/>
        <v>0.82482009081756069</v>
      </c>
      <c r="N22" s="18">
        <f t="shared" si="17"/>
        <v>1.0173929831888779</v>
      </c>
      <c r="O22" s="18">
        <f t="shared" si="17"/>
        <v>0.95118143022358281</v>
      </c>
      <c r="P22" s="18">
        <f t="shared" si="17"/>
        <v>1.0434156252771007</v>
      </c>
    </row>
    <row r="23" spans="2:16" x14ac:dyDescent="0.3">
      <c r="J23" s="22" t="s">
        <v>35</v>
      </c>
      <c r="K23" s="24">
        <f>1-K22</f>
        <v>-2.5545974128316384E-2</v>
      </c>
      <c r="L23" s="24">
        <f t="shared" ref="L23:P23" si="18">1-L22</f>
        <v>0.13231494456074766</v>
      </c>
      <c r="M23" s="24">
        <f t="shared" si="18"/>
        <v>0.17517990918243931</v>
      </c>
      <c r="N23" s="24">
        <f t="shared" si="18"/>
        <v>-1.7392983188877942E-2</v>
      </c>
      <c r="O23" s="24">
        <f t="shared" si="18"/>
        <v>4.8818569776417187E-2</v>
      </c>
      <c r="P23" s="24">
        <f t="shared" si="18"/>
        <v>-4.3415625277100744E-2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5A1A-5615-45EE-8DF2-280FEF8596B9}">
  <dimension ref="A1:Q31"/>
  <sheetViews>
    <sheetView zoomScale="92" zoomScaleNormal="100" workbookViewId="0">
      <selection activeCell="I1" sqref="I1"/>
    </sheetView>
  </sheetViews>
  <sheetFormatPr defaultRowHeight="14.4" x14ac:dyDescent="0.3"/>
  <cols>
    <col min="1" max="1" width="17.77734375" customWidth="1"/>
    <col min="2" max="4" width="9.88671875" customWidth="1"/>
    <col min="5" max="10" width="9" bestFit="1" customWidth="1"/>
    <col min="11" max="11" width="12" bestFit="1" customWidth="1"/>
    <col min="12" max="13" width="13" bestFit="1" customWidth="1"/>
    <col min="14" max="14" width="9.44140625" bestFit="1" customWidth="1"/>
    <col min="15" max="16" width="10.109375" bestFit="1" customWidth="1"/>
    <col min="17" max="17" width="9" bestFit="1" customWidth="1"/>
  </cols>
  <sheetData>
    <row r="1" spans="1:17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30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  <c r="Q1" s="13" t="s">
        <v>8</v>
      </c>
    </row>
    <row r="2" spans="1:17" x14ac:dyDescent="0.3">
      <c r="A2" s="3" t="s">
        <v>73</v>
      </c>
      <c r="B2" s="8">
        <v>6.1573840699558815E-3</v>
      </c>
      <c r="C2" s="8">
        <v>9.7879282218597055E-3</v>
      </c>
      <c r="D2" s="8">
        <v>3.5971223021582736E-3</v>
      </c>
      <c r="E2" s="8">
        <v>6.6225165562913907E-3</v>
      </c>
      <c r="F2" s="8">
        <v>2.6097271648873072E-2</v>
      </c>
      <c r="G2" s="8">
        <v>2.1413276231263382E-2</v>
      </c>
      <c r="H2" s="8">
        <v>4.4776119402985072E-2</v>
      </c>
      <c r="I2" s="7">
        <v>7.6923076923076927E-2</v>
      </c>
      <c r="J2" s="8">
        <v>6.1573840699558815E-3</v>
      </c>
      <c r="K2" s="8">
        <v>9.7879282218597055E-3</v>
      </c>
      <c r="L2" s="8">
        <v>3.5971223021582736E-3</v>
      </c>
      <c r="M2" s="8">
        <v>6.6225165562913907E-3</v>
      </c>
      <c r="N2" s="8">
        <v>2.6097271648873072E-2</v>
      </c>
      <c r="O2" s="8">
        <v>2.1413276231263382E-2</v>
      </c>
      <c r="P2" s="8">
        <v>4.4776119402985072E-2</v>
      </c>
      <c r="Q2" s="7">
        <v>7.6923076923076927E-2</v>
      </c>
    </row>
    <row r="3" spans="1:17" x14ac:dyDescent="0.3">
      <c r="A3" s="3" t="s">
        <v>74</v>
      </c>
      <c r="B3" s="8">
        <v>6.7447935110003876E-3</v>
      </c>
      <c r="C3" s="8">
        <v>8.1566068515497546E-3</v>
      </c>
      <c r="D3" s="8">
        <v>3.5971223021582736E-3</v>
      </c>
      <c r="E3" s="8">
        <v>1.3245033112582781E-2</v>
      </c>
      <c r="F3" s="8">
        <v>2.2538552787663108E-2</v>
      </c>
      <c r="G3" s="8">
        <v>1.284796573875803E-2</v>
      </c>
      <c r="H3" s="8">
        <v>9.9502487562189053E-3</v>
      </c>
      <c r="I3" s="7">
        <v>7.6923076923076927E-2</v>
      </c>
      <c r="J3" s="7">
        <f>J2+B3</f>
        <v>1.290217758095627E-2</v>
      </c>
      <c r="K3" s="7">
        <f t="shared" ref="K3:Q3" si="0">K2+C3</f>
        <v>1.794453507340946E-2</v>
      </c>
      <c r="L3" s="7">
        <f t="shared" si="0"/>
        <v>7.1942446043165471E-3</v>
      </c>
      <c r="M3" s="7">
        <f t="shared" si="0"/>
        <v>1.9867549668874173E-2</v>
      </c>
      <c r="N3" s="7">
        <f t="shared" si="0"/>
        <v>4.8635824436536176E-2</v>
      </c>
      <c r="O3" s="7">
        <f t="shared" si="0"/>
        <v>3.4261241970021408E-2</v>
      </c>
      <c r="P3" s="7">
        <f t="shared" si="0"/>
        <v>5.4726368159203981E-2</v>
      </c>
      <c r="Q3" s="7">
        <f t="shared" si="0"/>
        <v>0.15384615384615385</v>
      </c>
    </row>
    <row r="4" spans="1:17" x14ac:dyDescent="0.3">
      <c r="A4" s="3" t="s">
        <v>75</v>
      </c>
      <c r="B4" s="8">
        <v>7.3155388544266092E-3</v>
      </c>
      <c r="C4" s="8">
        <v>1.1419249592169658E-2</v>
      </c>
      <c r="D4" s="8">
        <v>0</v>
      </c>
      <c r="E4" s="8">
        <v>6.6225165562913907E-3</v>
      </c>
      <c r="F4" s="8">
        <v>1.0676156583629894E-2</v>
      </c>
      <c r="G4" s="8">
        <v>2.569593147751606E-2</v>
      </c>
      <c r="H4" s="8">
        <v>1.9900497512437811E-2</v>
      </c>
      <c r="I4" s="7">
        <v>7.6923076923076927E-2</v>
      </c>
      <c r="J4" s="7">
        <f t="shared" ref="J4:J14" si="1">J3+B4</f>
        <v>2.0217716435382879E-2</v>
      </c>
      <c r="K4" s="7">
        <f t="shared" ref="K4:K14" si="2">K3+C4</f>
        <v>2.9363784665579117E-2</v>
      </c>
      <c r="L4" s="7">
        <f t="shared" ref="L4:L14" si="3">L3+D4</f>
        <v>7.1942446043165471E-3</v>
      </c>
      <c r="M4" s="7">
        <f t="shared" ref="M4:M14" si="4">M3+E4</f>
        <v>2.6490066225165563E-2</v>
      </c>
      <c r="N4" s="7">
        <f t="shared" ref="N4:N14" si="5">N3+F4</f>
        <v>5.931198102016607E-2</v>
      </c>
      <c r="O4" s="7">
        <f t="shared" ref="O4:O14" si="6">O3+G4</f>
        <v>5.9957173447537468E-2</v>
      </c>
      <c r="P4" s="7">
        <f t="shared" ref="P4:P14" si="7">P3+H4</f>
        <v>7.4626865671641784E-2</v>
      </c>
      <c r="Q4" s="7">
        <f t="shared" ref="Q4:Q14" si="8">Q3+I4</f>
        <v>0.23076923076923078</v>
      </c>
    </row>
    <row r="5" spans="1:17" x14ac:dyDescent="0.3">
      <c r="A5" s="3" t="s">
        <v>76</v>
      </c>
      <c r="B5" s="8">
        <v>8.4653615900881947E-3</v>
      </c>
      <c r="C5" s="8">
        <v>9.7879282218597055E-3</v>
      </c>
      <c r="D5" s="8">
        <v>7.1942446043165471E-3</v>
      </c>
      <c r="E5" s="8">
        <v>6.6225165562913907E-3</v>
      </c>
      <c r="F5" s="8">
        <v>5.9311981020166073E-3</v>
      </c>
      <c r="G5" s="8">
        <v>1.7130620985010708E-2</v>
      </c>
      <c r="H5" s="8">
        <v>1.9900497512437811E-2</v>
      </c>
      <c r="I5" s="7">
        <v>7.6923076923076927E-2</v>
      </c>
      <c r="J5" s="7">
        <f t="shared" si="1"/>
        <v>2.8683078025471074E-2</v>
      </c>
      <c r="K5" s="7">
        <f t="shared" si="2"/>
        <v>3.9151712887438822E-2</v>
      </c>
      <c r="L5" s="7">
        <f t="shared" si="3"/>
        <v>1.4388489208633094E-2</v>
      </c>
      <c r="M5" s="7">
        <f t="shared" si="4"/>
        <v>3.3112582781456956E-2</v>
      </c>
      <c r="N5" s="7">
        <f t="shared" si="5"/>
        <v>6.5243179122182679E-2</v>
      </c>
      <c r="O5" s="7">
        <f t="shared" si="6"/>
        <v>7.7087794432548179E-2</v>
      </c>
      <c r="P5" s="7">
        <f t="shared" si="7"/>
        <v>9.4527363184079588E-2</v>
      </c>
      <c r="Q5" s="7">
        <f t="shared" si="8"/>
        <v>0.30769230769230771</v>
      </c>
    </row>
    <row r="6" spans="1:17" x14ac:dyDescent="0.3">
      <c r="A6" s="3" t="s">
        <v>77</v>
      </c>
      <c r="B6" s="8">
        <v>1.3022992288688827E-2</v>
      </c>
      <c r="C6" s="8">
        <v>8.1566068515497546E-3</v>
      </c>
      <c r="D6" s="8">
        <v>7.1942446043165471E-3</v>
      </c>
      <c r="E6" s="8">
        <v>1.3245033112582781E-2</v>
      </c>
      <c r="F6" s="8">
        <v>1.4234875444839857E-2</v>
      </c>
      <c r="G6" s="8">
        <v>1.9271948608137045E-2</v>
      </c>
      <c r="H6" s="8">
        <v>2.9850746268656716E-2</v>
      </c>
      <c r="I6" s="7">
        <v>7.6923076923076927E-2</v>
      </c>
      <c r="J6" s="7">
        <f t="shared" si="1"/>
        <v>4.1706070314159904E-2</v>
      </c>
      <c r="K6" s="7">
        <f t="shared" si="2"/>
        <v>4.730831973898858E-2</v>
      </c>
      <c r="L6" s="7">
        <f t="shared" si="3"/>
        <v>2.1582733812949641E-2</v>
      </c>
      <c r="M6" s="7">
        <f t="shared" si="4"/>
        <v>4.6357615894039736E-2</v>
      </c>
      <c r="N6" s="7">
        <f t="shared" si="5"/>
        <v>7.9478054567022532E-2</v>
      </c>
      <c r="O6" s="7">
        <f t="shared" si="6"/>
        <v>9.6359743040685231E-2</v>
      </c>
      <c r="P6" s="7">
        <f t="shared" si="7"/>
        <v>0.12437810945273631</v>
      </c>
      <c r="Q6" s="7">
        <f t="shared" si="8"/>
        <v>0.38461538461538464</v>
      </c>
    </row>
    <row r="7" spans="1:17" x14ac:dyDescent="0.3">
      <c r="A7" s="3" t="s">
        <v>78</v>
      </c>
      <c r="B7" s="8">
        <v>2.2767323370980308E-2</v>
      </c>
      <c r="C7" s="8">
        <v>4.8939641109298528E-3</v>
      </c>
      <c r="D7" s="8">
        <v>7.1942446043165471E-3</v>
      </c>
      <c r="E7" s="8">
        <v>0</v>
      </c>
      <c r="F7" s="8">
        <v>2.3724792408066431E-3</v>
      </c>
      <c r="G7" s="8">
        <v>6.4239828693790149E-3</v>
      </c>
      <c r="H7" s="8">
        <v>0</v>
      </c>
      <c r="I7" s="7">
        <v>7.6923076923076927E-2</v>
      </c>
      <c r="J7" s="7">
        <f t="shared" si="1"/>
        <v>6.4473393685140212E-2</v>
      </c>
      <c r="K7" s="7">
        <f t="shared" si="2"/>
        <v>5.2202283849918429E-2</v>
      </c>
      <c r="L7" s="7">
        <f t="shared" si="3"/>
        <v>2.8776978417266189E-2</v>
      </c>
      <c r="M7" s="7">
        <f t="shared" si="4"/>
        <v>4.6357615894039736E-2</v>
      </c>
      <c r="N7" s="7">
        <f t="shared" si="5"/>
        <v>8.1850533807829182E-2</v>
      </c>
      <c r="O7" s="7">
        <f t="shared" si="6"/>
        <v>0.10278372591006424</v>
      </c>
      <c r="P7" s="7">
        <f t="shared" si="7"/>
        <v>0.12437810945273631</v>
      </c>
      <c r="Q7" s="7">
        <f t="shared" si="8"/>
        <v>0.46153846153846156</v>
      </c>
    </row>
    <row r="8" spans="1:17" x14ac:dyDescent="0.3">
      <c r="A8" s="3" t="s">
        <v>79</v>
      </c>
      <c r="B8" s="8">
        <v>2.5754362869057686E-2</v>
      </c>
      <c r="C8" s="8">
        <v>2.1207177814029365E-2</v>
      </c>
      <c r="D8" s="8">
        <v>0</v>
      </c>
      <c r="E8" s="8">
        <v>1.9867549668874173E-2</v>
      </c>
      <c r="F8" s="8">
        <v>2.2538552787663108E-2</v>
      </c>
      <c r="G8" s="8">
        <v>2.1413276231263382E-2</v>
      </c>
      <c r="H8" s="8">
        <v>2.4875621890547265E-2</v>
      </c>
      <c r="I8" s="7">
        <v>7.6923076923076927E-2</v>
      </c>
      <c r="J8" s="7">
        <f t="shared" si="1"/>
        <v>9.0227756554197902E-2</v>
      </c>
      <c r="K8" s="7">
        <f t="shared" si="2"/>
        <v>7.3409461663947795E-2</v>
      </c>
      <c r="L8" s="7">
        <f t="shared" si="3"/>
        <v>2.8776978417266189E-2</v>
      </c>
      <c r="M8" s="7">
        <f t="shared" si="4"/>
        <v>6.6225165562913912E-2</v>
      </c>
      <c r="N8" s="7">
        <f t="shared" si="5"/>
        <v>0.10438908659549229</v>
      </c>
      <c r="O8" s="7">
        <f t="shared" si="6"/>
        <v>0.12419700214132762</v>
      </c>
      <c r="P8" s="7">
        <f t="shared" si="7"/>
        <v>0.14925373134328357</v>
      </c>
      <c r="Q8" s="7">
        <f t="shared" si="8"/>
        <v>0.53846153846153855</v>
      </c>
    </row>
    <row r="9" spans="1:17" x14ac:dyDescent="0.3">
      <c r="A9" s="3" t="s">
        <v>80</v>
      </c>
      <c r="B9" s="8">
        <v>3.989384969817153E-2</v>
      </c>
      <c r="C9" s="8">
        <v>3.4257748776508973E-2</v>
      </c>
      <c r="D9" s="8">
        <v>2.8776978417266189E-2</v>
      </c>
      <c r="E9" s="8">
        <v>2.6490066225165563E-2</v>
      </c>
      <c r="F9" s="8">
        <v>3.6773428232502965E-2</v>
      </c>
      <c r="G9" s="8">
        <v>5.353319057815846E-2</v>
      </c>
      <c r="H9" s="8">
        <v>4.975124378109453E-2</v>
      </c>
      <c r="I9" s="7">
        <v>7.6923076923076927E-2</v>
      </c>
      <c r="J9" s="7">
        <f t="shared" si="1"/>
        <v>0.13012160625236943</v>
      </c>
      <c r="K9" s="7">
        <f t="shared" si="2"/>
        <v>0.10766721044045677</v>
      </c>
      <c r="L9" s="7">
        <f t="shared" si="3"/>
        <v>5.7553956834532377E-2</v>
      </c>
      <c r="M9" s="7">
        <f t="shared" si="4"/>
        <v>9.2715231788079472E-2</v>
      </c>
      <c r="N9" s="7">
        <f t="shared" si="5"/>
        <v>0.14116251482799524</v>
      </c>
      <c r="O9" s="7">
        <f t="shared" si="6"/>
        <v>0.17773019271948609</v>
      </c>
      <c r="P9" s="7">
        <f t="shared" si="7"/>
        <v>0.19900497512437809</v>
      </c>
      <c r="Q9" s="7">
        <f t="shared" si="8"/>
        <v>0.61538461538461542</v>
      </c>
    </row>
    <row r="10" spans="1:17" x14ac:dyDescent="0.3">
      <c r="A10" s="3" t="s">
        <v>81</v>
      </c>
      <c r="B10" s="8">
        <v>4.5272187204472646E-2</v>
      </c>
      <c r="C10" s="8">
        <v>5.0570962479608482E-2</v>
      </c>
      <c r="D10" s="8">
        <v>1.0791366906474821E-2</v>
      </c>
      <c r="E10" s="8">
        <v>1.9867549668874173E-2</v>
      </c>
      <c r="F10" s="8">
        <v>2.2538552787663108E-2</v>
      </c>
      <c r="G10" s="8">
        <v>4.068522483940043E-2</v>
      </c>
      <c r="H10" s="8">
        <v>4.4776119402985072E-2</v>
      </c>
      <c r="I10" s="7">
        <v>7.6923076923076927E-2</v>
      </c>
      <c r="J10" s="7">
        <f t="shared" si="1"/>
        <v>0.17539379345684208</v>
      </c>
      <c r="K10" s="7">
        <f t="shared" si="2"/>
        <v>0.15823817292006526</v>
      </c>
      <c r="L10" s="7">
        <f t="shared" si="3"/>
        <v>6.83453237410072E-2</v>
      </c>
      <c r="M10" s="7">
        <f t="shared" si="4"/>
        <v>0.11258278145695365</v>
      </c>
      <c r="N10" s="7">
        <f t="shared" si="5"/>
        <v>0.16370106761565836</v>
      </c>
      <c r="O10" s="7">
        <f t="shared" si="6"/>
        <v>0.21841541755888652</v>
      </c>
      <c r="P10" s="7">
        <f t="shared" si="7"/>
        <v>0.24378109452736316</v>
      </c>
      <c r="Q10" s="7">
        <f t="shared" si="8"/>
        <v>0.69230769230769229</v>
      </c>
    </row>
    <row r="11" spans="1:17" x14ac:dyDescent="0.3">
      <c r="A11" s="3" t="s">
        <v>82</v>
      </c>
      <c r="B11" s="8">
        <v>4.6301195232401671E-2</v>
      </c>
      <c r="C11" s="8">
        <v>2.6101141924959218E-2</v>
      </c>
      <c r="D11" s="8">
        <v>1.7985611510791366E-2</v>
      </c>
      <c r="E11" s="8">
        <v>5.2980132450331126E-2</v>
      </c>
      <c r="F11" s="8">
        <v>4.6263345195729534E-2</v>
      </c>
      <c r="G11" s="8">
        <v>4.7109207708779445E-2</v>
      </c>
      <c r="H11" s="8">
        <v>2.9850746268656716E-2</v>
      </c>
      <c r="I11" s="7">
        <v>7.6923076923076927E-2</v>
      </c>
      <c r="J11" s="7">
        <f t="shared" si="1"/>
        <v>0.22169498868924375</v>
      </c>
      <c r="K11" s="7">
        <f t="shared" si="2"/>
        <v>0.18433931484502447</v>
      </c>
      <c r="L11" s="7">
        <f t="shared" si="3"/>
        <v>8.6330935251798566E-2</v>
      </c>
      <c r="M11" s="7">
        <f t="shared" si="4"/>
        <v>0.16556291390728478</v>
      </c>
      <c r="N11" s="7">
        <f t="shared" si="5"/>
        <v>0.20996441281138789</v>
      </c>
      <c r="O11" s="7">
        <f t="shared" si="6"/>
        <v>0.26552462526766596</v>
      </c>
      <c r="P11" s="7">
        <f t="shared" si="7"/>
        <v>0.27363184079601988</v>
      </c>
      <c r="Q11" s="7">
        <f t="shared" si="8"/>
        <v>0.76923076923076916</v>
      </c>
    </row>
    <row r="12" spans="1:17" x14ac:dyDescent="0.3">
      <c r="A12" s="3" t="s">
        <v>83</v>
      </c>
      <c r="B12" s="8">
        <v>0.13278369584689026</v>
      </c>
      <c r="C12" s="8">
        <v>0.17455138662316477</v>
      </c>
      <c r="D12" s="8">
        <v>8.9928057553956831E-2</v>
      </c>
      <c r="E12" s="8">
        <v>0.10596026490066225</v>
      </c>
      <c r="F12" s="8">
        <v>0.17200474495848161</v>
      </c>
      <c r="G12" s="8">
        <v>0.12205567451820129</v>
      </c>
      <c r="H12" s="8">
        <v>0.20398009950248755</v>
      </c>
      <c r="I12" s="7">
        <v>7.6923076923076927E-2</v>
      </c>
      <c r="J12" s="7">
        <f t="shared" si="1"/>
        <v>0.35447868453613401</v>
      </c>
      <c r="K12" s="7">
        <f t="shared" si="2"/>
        <v>0.35889070146818924</v>
      </c>
      <c r="L12" s="7">
        <f t="shared" si="3"/>
        <v>0.17625899280575541</v>
      </c>
      <c r="M12" s="7">
        <f t="shared" si="4"/>
        <v>0.27152317880794702</v>
      </c>
      <c r="N12" s="7">
        <f t="shared" si="5"/>
        <v>0.38196915776986951</v>
      </c>
      <c r="O12" s="7">
        <f t="shared" si="6"/>
        <v>0.38758029978586728</v>
      </c>
      <c r="P12" s="7">
        <f t="shared" si="7"/>
        <v>0.4776119402985074</v>
      </c>
      <c r="Q12" s="7">
        <f t="shared" si="8"/>
        <v>0.84615384615384603</v>
      </c>
    </row>
    <row r="13" spans="1:17" x14ac:dyDescent="0.3">
      <c r="A13" s="3" t="s">
        <v>84</v>
      </c>
      <c r="B13" s="8">
        <v>0.13844532301270221</v>
      </c>
      <c r="C13" s="8">
        <v>4.4045676998368678E-2</v>
      </c>
      <c r="D13" s="8">
        <v>0.13309352517985612</v>
      </c>
      <c r="E13" s="8">
        <v>0.16556291390728478</v>
      </c>
      <c r="F13" s="8">
        <v>5.9311981020166077E-2</v>
      </c>
      <c r="G13" s="8">
        <v>7.4946466809421838E-2</v>
      </c>
      <c r="H13" s="8">
        <v>5.4726368159203981E-2</v>
      </c>
      <c r="I13" s="7">
        <v>7.6923076923076927E-2</v>
      </c>
      <c r="J13" s="7">
        <f t="shared" si="1"/>
        <v>0.49292400754883625</v>
      </c>
      <c r="K13" s="7">
        <f t="shared" si="2"/>
        <v>0.40293637846655794</v>
      </c>
      <c r="L13" s="7">
        <f t="shared" si="3"/>
        <v>0.30935251798561153</v>
      </c>
      <c r="M13" s="7">
        <f t="shared" si="4"/>
        <v>0.4370860927152318</v>
      </c>
      <c r="N13" s="7">
        <f t="shared" si="5"/>
        <v>0.44128113879003561</v>
      </c>
      <c r="O13" s="7">
        <f t="shared" si="6"/>
        <v>0.46252676659528913</v>
      </c>
      <c r="P13" s="7">
        <f t="shared" si="7"/>
        <v>0.53233830845771135</v>
      </c>
      <c r="Q13" s="7">
        <f t="shared" si="8"/>
        <v>0.92307692307692291</v>
      </c>
    </row>
    <row r="14" spans="1:17" x14ac:dyDescent="0.3">
      <c r="A14" s="3" t="s">
        <v>85</v>
      </c>
      <c r="B14" s="8">
        <v>0.50707599245116375</v>
      </c>
      <c r="C14" s="8">
        <v>0.59706362153344206</v>
      </c>
      <c r="D14" s="8">
        <v>0.69064748201438853</v>
      </c>
      <c r="E14" s="8">
        <v>0.5629139072847682</v>
      </c>
      <c r="F14" s="8">
        <v>0.55871886120996439</v>
      </c>
      <c r="G14" s="8">
        <v>0.53747323340471087</v>
      </c>
      <c r="H14" s="8">
        <v>0.46766169154228854</v>
      </c>
      <c r="I14" s="7">
        <v>7.6923076923076927E-2</v>
      </c>
      <c r="J14" s="7">
        <f t="shared" si="1"/>
        <v>1</v>
      </c>
      <c r="K14" s="7">
        <f t="shared" si="2"/>
        <v>1</v>
      </c>
      <c r="L14" s="7">
        <f t="shared" si="3"/>
        <v>1</v>
      </c>
      <c r="M14" s="7">
        <f t="shared" si="4"/>
        <v>1</v>
      </c>
      <c r="N14" s="7">
        <f t="shared" si="5"/>
        <v>1</v>
      </c>
      <c r="O14" s="7">
        <f t="shared" si="6"/>
        <v>1</v>
      </c>
      <c r="P14" s="7">
        <f t="shared" si="7"/>
        <v>0.99999999999999989</v>
      </c>
      <c r="Q14" s="7">
        <f t="shared" si="8"/>
        <v>0.99999999999999978</v>
      </c>
    </row>
    <row r="16" spans="1:17" ht="28.8" x14ac:dyDescent="0.3">
      <c r="B16" s="1" t="s">
        <v>0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J16" s="5"/>
      <c r="K16" s="18" t="s">
        <v>28</v>
      </c>
      <c r="L16" s="18" t="s">
        <v>29</v>
      </c>
      <c r="M16" s="18" t="s">
        <v>30</v>
      </c>
      <c r="N16" s="18" t="s">
        <v>31</v>
      </c>
      <c r="O16" s="18" t="s">
        <v>32</v>
      </c>
      <c r="P16" s="18" t="s">
        <v>33</v>
      </c>
    </row>
    <row r="17" spans="2:16" x14ac:dyDescent="0.3">
      <c r="B17" s="3" t="s">
        <v>73</v>
      </c>
      <c r="C17" s="7">
        <f>C2-B2</f>
        <v>3.630544151903824E-3</v>
      </c>
      <c r="D17" s="7">
        <f>D2-B2</f>
        <v>-2.5602617677976079E-3</v>
      </c>
      <c r="E17" s="7">
        <f>E2-B2</f>
        <v>4.6513248633550924E-4</v>
      </c>
      <c r="F17" s="7">
        <f>F2-B2</f>
        <v>1.9939887578917188E-2</v>
      </c>
      <c r="G17" s="7">
        <f>G2-B2</f>
        <v>1.52558921613075E-2</v>
      </c>
      <c r="H17" s="7">
        <f>H2-B2</f>
        <v>3.8618735333029189E-2</v>
      </c>
      <c r="J17" s="3" t="s">
        <v>73</v>
      </c>
      <c r="K17" s="5">
        <f>($J2-0) * ((K2+0))</f>
        <v>6.026803331115055E-5</v>
      </c>
      <c r="L17" s="5">
        <f t="shared" ref="L17:P17" si="9">($J2-0) * ((L2+0))</f>
        <v>2.214886356099238E-5</v>
      </c>
      <c r="M17" s="5">
        <f t="shared" si="9"/>
        <v>4.0777377946727692E-5</v>
      </c>
      <c r="N17" s="5">
        <f t="shared" si="9"/>
        <v>1.6069092472008231E-4</v>
      </c>
      <c r="O17" s="5">
        <f t="shared" si="9"/>
        <v>1.3184976595194607E-4</v>
      </c>
      <c r="P17" s="5">
        <f t="shared" si="9"/>
        <v>2.7570376432638276E-4</v>
      </c>
    </row>
    <row r="18" spans="2:16" x14ac:dyDescent="0.3">
      <c r="B18" s="3" t="s">
        <v>74</v>
      </c>
      <c r="C18" s="7">
        <f t="shared" ref="C18:C29" si="10">C3-B3</f>
        <v>1.411813340549367E-3</v>
      </c>
      <c r="D18" s="7">
        <f t="shared" ref="D18:D29" si="11">D3-B3</f>
        <v>-3.1476712088421141E-3</v>
      </c>
      <c r="E18" s="7">
        <f t="shared" ref="E18:E29" si="12">E3-B3</f>
        <v>6.5002396015823938E-3</v>
      </c>
      <c r="F18" s="7">
        <f t="shared" ref="F18:F29" si="13">F3-B3</f>
        <v>1.5793759276662721E-2</v>
      </c>
      <c r="G18" s="7">
        <f t="shared" ref="G18:G29" si="14">G3-B3</f>
        <v>6.1031722277576422E-3</v>
      </c>
      <c r="H18" s="7">
        <f t="shared" ref="H18:H29" si="15">H3-B3</f>
        <v>3.2054552452185177E-3</v>
      </c>
      <c r="J18" s="3" t="s">
        <v>74</v>
      </c>
      <c r="K18" s="5">
        <f>($J3-$J2) * ((K3+K2))</f>
        <v>1.8704973847798791E-4</v>
      </c>
      <c r="L18" s="5">
        <f t="shared" ref="L18:P18" si="16">($J3-$J2) * ((L3+L2))</f>
        <v>7.2785541485615707E-5</v>
      </c>
      <c r="M18" s="5">
        <f t="shared" si="16"/>
        <v>1.7867002678146726E-4</v>
      </c>
      <c r="N18" s="5">
        <f t="shared" si="16"/>
        <v>5.0405930153383681E-4</v>
      </c>
      <c r="O18" s="5">
        <f t="shared" si="16"/>
        <v>3.7551312909209867E-4</v>
      </c>
      <c r="P18" s="5">
        <f t="shared" si="16"/>
        <v>6.7112373243784955E-4</v>
      </c>
    </row>
    <row r="19" spans="2:16" x14ac:dyDescent="0.3">
      <c r="B19" s="3" t="s">
        <v>75</v>
      </c>
      <c r="C19" s="7">
        <f t="shared" si="10"/>
        <v>4.1037107377430489E-3</v>
      </c>
      <c r="D19" s="7">
        <f t="shared" si="11"/>
        <v>-7.3155388544266092E-3</v>
      </c>
      <c r="E19" s="7">
        <f t="shared" si="12"/>
        <v>-6.930222981352185E-4</v>
      </c>
      <c r="F19" s="7">
        <f t="shared" si="13"/>
        <v>3.3606177292032843E-3</v>
      </c>
      <c r="G19" s="7">
        <f t="shared" si="14"/>
        <v>1.838039262308945E-2</v>
      </c>
      <c r="H19" s="7">
        <f t="shared" si="15"/>
        <v>1.2584958658011201E-2</v>
      </c>
      <c r="J19" s="3" t="s">
        <v>75</v>
      </c>
      <c r="K19" s="5">
        <f t="shared" ref="K19:P29" si="17">($J4-$J3) * ((K4+K3))</f>
        <v>3.4608585118820829E-4</v>
      </c>
      <c r="L19" s="5">
        <f t="shared" si="17"/>
        <v>1.0525955186225338E-4</v>
      </c>
      <c r="M19" s="5">
        <f t="shared" si="17"/>
        <v>3.3913094027143221E-4</v>
      </c>
      <c r="N19" s="5">
        <f t="shared" si="17"/>
        <v>7.8969636506858994E-4</v>
      </c>
      <c r="O19" s="5">
        <f t="shared" si="17"/>
        <v>6.8925847878965906E-4</v>
      </c>
      <c r="P19" s="5">
        <f t="shared" si="17"/>
        <v>9.462886080352827E-4</v>
      </c>
    </row>
    <row r="20" spans="2:16" x14ac:dyDescent="0.3">
      <c r="B20" s="3" t="s">
        <v>76</v>
      </c>
      <c r="C20" s="7">
        <f t="shared" si="10"/>
        <v>1.3225666317715108E-3</v>
      </c>
      <c r="D20" s="7">
        <f t="shared" si="11"/>
        <v>-1.2711169857716476E-3</v>
      </c>
      <c r="E20" s="7">
        <f t="shared" si="12"/>
        <v>-1.842845033796804E-3</v>
      </c>
      <c r="F20" s="7">
        <f t="shared" si="13"/>
        <v>-2.5341634880715874E-3</v>
      </c>
      <c r="G20" s="7">
        <f t="shared" si="14"/>
        <v>8.6652593949225129E-3</v>
      </c>
      <c r="H20" s="7">
        <f t="shared" si="15"/>
        <v>1.1435135922349616E-2</v>
      </c>
      <c r="J20" s="3" t="s">
        <v>76</v>
      </c>
      <c r="K20" s="5">
        <f t="shared" si="17"/>
        <v>5.800084613110998E-4</v>
      </c>
      <c r="L20" s="5">
        <f t="shared" si="17"/>
        <v>1.8270564582924161E-4</v>
      </c>
      <c r="M20" s="5">
        <f t="shared" si="17"/>
        <v>5.0455797556817051E-4</v>
      </c>
      <c r="N20" s="5">
        <f t="shared" si="17"/>
        <v>1.0544044685163231E-3</v>
      </c>
      <c r="O20" s="5">
        <f t="shared" si="17"/>
        <v>1.1601352072069472E-3</v>
      </c>
      <c r="P20" s="5">
        <f t="shared" si="17"/>
        <v>1.4319517117562118E-3</v>
      </c>
    </row>
    <row r="21" spans="2:16" x14ac:dyDescent="0.3">
      <c r="B21" s="3" t="s">
        <v>77</v>
      </c>
      <c r="C21" s="7">
        <f t="shared" si="10"/>
        <v>-4.8663854371390723E-3</v>
      </c>
      <c r="D21" s="7">
        <f t="shared" si="11"/>
        <v>-5.8287476843722798E-3</v>
      </c>
      <c r="E21" s="7">
        <f t="shared" si="12"/>
        <v>2.2204082389395453E-4</v>
      </c>
      <c r="F21" s="7">
        <f t="shared" si="13"/>
        <v>1.21188315615103E-3</v>
      </c>
      <c r="G21" s="7">
        <f t="shared" si="14"/>
        <v>6.2489563194482178E-3</v>
      </c>
      <c r="H21" s="7">
        <f t="shared" si="15"/>
        <v>1.6827753979967889E-2</v>
      </c>
      <c r="J21" s="3" t="s">
        <v>77</v>
      </c>
      <c r="K21" s="5">
        <f t="shared" si="17"/>
        <v>1.1259683381737487E-3</v>
      </c>
      <c r="L21" s="5">
        <f t="shared" si="17"/>
        <v>4.6845296002477805E-4</v>
      </c>
      <c r="M21" s="5">
        <f t="shared" si="17"/>
        <v>1.0349397845315627E-3</v>
      </c>
      <c r="N21" s="5">
        <f t="shared" si="17"/>
        <v>1.8847035103440534E-3</v>
      </c>
      <c r="O21" s="5">
        <f t="shared" si="17"/>
        <v>2.2588059430059858E-3</v>
      </c>
      <c r="P21" s="5">
        <f t="shared" si="17"/>
        <v>2.8508042821010372E-3</v>
      </c>
    </row>
    <row r="22" spans="2:16" x14ac:dyDescent="0.3">
      <c r="B22" s="3" t="s">
        <v>78</v>
      </c>
      <c r="C22" s="7">
        <f t="shared" si="10"/>
        <v>-1.7873359260050455E-2</v>
      </c>
      <c r="D22" s="7">
        <f t="shared" si="11"/>
        <v>-1.5573078766663761E-2</v>
      </c>
      <c r="E22" s="7">
        <f t="shared" si="12"/>
        <v>-2.2767323370980308E-2</v>
      </c>
      <c r="F22" s="7">
        <f t="shared" si="13"/>
        <v>-2.0394844130173666E-2</v>
      </c>
      <c r="G22" s="7">
        <f t="shared" si="14"/>
        <v>-1.6343340501601293E-2</v>
      </c>
      <c r="H22" s="7">
        <f t="shared" si="15"/>
        <v>-2.2767323370980308E-2</v>
      </c>
      <c r="J22" s="3" t="s">
        <v>78</v>
      </c>
      <c r="K22" s="5">
        <f t="shared" si="17"/>
        <v>2.2655900907500794E-3</v>
      </c>
      <c r="L22" s="5">
        <f t="shared" si="17"/>
        <v>1.1465558532148359E-3</v>
      </c>
      <c r="M22" s="5">
        <f t="shared" si="17"/>
        <v>2.1108776635345981E-3</v>
      </c>
      <c r="N22" s="5">
        <f t="shared" si="17"/>
        <v>3.6730201405140231E-3</v>
      </c>
      <c r="O22" s="5">
        <f t="shared" si="17"/>
        <v>4.5339637548204893E-3</v>
      </c>
      <c r="P22" s="5">
        <f t="shared" si="17"/>
        <v>5.6635132763632598E-3</v>
      </c>
    </row>
    <row r="23" spans="2:16" x14ac:dyDescent="0.3">
      <c r="B23" s="3" t="s">
        <v>79</v>
      </c>
      <c r="C23" s="7">
        <f t="shared" si="10"/>
        <v>-4.5471850550283209E-3</v>
      </c>
      <c r="D23" s="7">
        <f t="shared" si="11"/>
        <v>-2.5754362869057686E-2</v>
      </c>
      <c r="E23" s="7">
        <f t="shared" si="12"/>
        <v>-5.8868132001835133E-3</v>
      </c>
      <c r="F23" s="7">
        <f t="shared" si="13"/>
        <v>-3.2158100813945781E-3</v>
      </c>
      <c r="G23" s="7">
        <f t="shared" si="14"/>
        <v>-4.3410866377943044E-3</v>
      </c>
      <c r="H23" s="7">
        <f t="shared" si="15"/>
        <v>-8.7874097851042138E-4</v>
      </c>
      <c r="J23" s="3" t="s">
        <v>79</v>
      </c>
      <c r="K23" s="5">
        <f t="shared" si="17"/>
        <v>3.23505047457984E-3</v>
      </c>
      <c r="L23" s="5">
        <f t="shared" si="17"/>
        <v>1.4822654888666297E-3</v>
      </c>
      <c r="M23" s="5">
        <f t="shared" si="17"/>
        <v>2.8994978064502035E-3</v>
      </c>
      <c r="N23" s="5">
        <f t="shared" si="17"/>
        <v>4.7964827644627018E-3</v>
      </c>
      <c r="O23" s="5">
        <f t="shared" si="17"/>
        <v>5.8457440345184479E-3</v>
      </c>
      <c r="P23" s="5">
        <f t="shared" si="17"/>
        <v>7.0472137203889196E-3</v>
      </c>
    </row>
    <row r="24" spans="2:16" x14ac:dyDescent="0.3">
      <c r="B24" s="3" t="s">
        <v>80</v>
      </c>
      <c r="C24" s="7">
        <f t="shared" si="10"/>
        <v>-5.6361009216625568E-3</v>
      </c>
      <c r="D24" s="7">
        <f t="shared" si="11"/>
        <v>-1.1116871280905341E-2</v>
      </c>
      <c r="E24" s="7">
        <f t="shared" si="12"/>
        <v>-1.3403783473005967E-2</v>
      </c>
      <c r="F24" s="7">
        <f t="shared" si="13"/>
        <v>-3.1204214656685644E-3</v>
      </c>
      <c r="G24" s="7">
        <f t="shared" si="14"/>
        <v>1.363934087998693E-2</v>
      </c>
      <c r="H24" s="7">
        <f t="shared" si="15"/>
        <v>9.8573940829230003E-3</v>
      </c>
      <c r="J24" s="3" t="s">
        <v>80</v>
      </c>
      <c r="K24" s="5">
        <f t="shared" si="17"/>
        <v>7.2238455407782048E-3</v>
      </c>
      <c r="L24" s="5">
        <f t="shared" si="17"/>
        <v>3.4440733552378302E-3</v>
      </c>
      <c r="M24" s="5">
        <f t="shared" si="17"/>
        <v>6.3407443228881907E-3</v>
      </c>
      <c r="N24" s="5">
        <f t="shared" si="17"/>
        <v>9.7959986803339335E-3</v>
      </c>
      <c r="O24" s="5">
        <f t="shared" si="17"/>
        <v>1.204503813156785E-2</v>
      </c>
      <c r="P24" s="5">
        <f t="shared" si="17"/>
        <v>1.3893380491900531E-2</v>
      </c>
    </row>
    <row r="25" spans="2:16" x14ac:dyDescent="0.3">
      <c r="B25" s="3" t="s">
        <v>81</v>
      </c>
      <c r="C25" s="7">
        <f t="shared" si="10"/>
        <v>5.2987752751358363E-3</v>
      </c>
      <c r="D25" s="7">
        <f t="shared" si="11"/>
        <v>-3.4480820297997823E-2</v>
      </c>
      <c r="E25" s="7">
        <f t="shared" si="12"/>
        <v>-2.5404637535598473E-2</v>
      </c>
      <c r="F25" s="7">
        <f t="shared" si="13"/>
        <v>-2.2733634416809537E-2</v>
      </c>
      <c r="G25" s="7">
        <f t="shared" si="14"/>
        <v>-4.5869623650722155E-3</v>
      </c>
      <c r="H25" s="7">
        <f t="shared" si="15"/>
        <v>-4.9606780148757357E-4</v>
      </c>
      <c r="J25" s="3" t="s">
        <v>81</v>
      </c>
      <c r="K25" s="5">
        <f t="shared" si="17"/>
        <v>1.2038118294174623E-2</v>
      </c>
      <c r="L25" s="5">
        <f t="shared" si="17"/>
        <v>5.6997357991242547E-3</v>
      </c>
      <c r="M25" s="5">
        <f t="shared" si="17"/>
        <v>9.2942900883354451E-3</v>
      </c>
      <c r="N25" s="5">
        <f t="shared" si="17"/>
        <v>1.380184117621527E-2</v>
      </c>
      <c r="O25" s="5">
        <f t="shared" si="17"/>
        <v>1.7934378228752549E-2</v>
      </c>
      <c r="P25" s="5">
        <f t="shared" si="17"/>
        <v>2.0045893836806297E-2</v>
      </c>
    </row>
    <row r="26" spans="2:16" x14ac:dyDescent="0.3">
      <c r="B26" s="3" t="s">
        <v>82</v>
      </c>
      <c r="C26" s="7">
        <f t="shared" si="10"/>
        <v>-2.0200053307442453E-2</v>
      </c>
      <c r="D26" s="7">
        <f t="shared" si="11"/>
        <v>-2.8315583721610305E-2</v>
      </c>
      <c r="E26" s="7">
        <f t="shared" si="12"/>
        <v>6.6789372179294551E-3</v>
      </c>
      <c r="F26" s="7">
        <f t="shared" si="13"/>
        <v>-3.7850036672136544E-5</v>
      </c>
      <c r="G26" s="7">
        <f t="shared" si="14"/>
        <v>8.0801247637777435E-4</v>
      </c>
      <c r="H26" s="7">
        <f t="shared" si="15"/>
        <v>-1.6450448963744955E-2</v>
      </c>
      <c r="J26" s="3" t="s">
        <v>82</v>
      </c>
      <c r="K26" s="5">
        <f t="shared" si="17"/>
        <v>1.5861747143237116E-2</v>
      </c>
      <c r="L26" s="5">
        <f t="shared" si="17"/>
        <v>7.1616956654434244E-3</v>
      </c>
      <c r="M26" s="5">
        <f t="shared" si="17"/>
        <v>1.2878478144111725E-2</v>
      </c>
      <c r="N26" s="5">
        <f t="shared" si="17"/>
        <v>1.7301158360861834E-2</v>
      </c>
      <c r="O26" s="5">
        <f t="shared" si="17"/>
        <v>2.2407002403689032E-2</v>
      </c>
      <c r="P26" s="5">
        <f t="shared" si="17"/>
        <v>2.3956837334177979E-2</v>
      </c>
    </row>
    <row r="27" spans="2:16" x14ac:dyDescent="0.3">
      <c r="B27" s="3" t="s">
        <v>83</v>
      </c>
      <c r="C27" s="7">
        <f t="shared" si="10"/>
        <v>4.1767690776274513E-2</v>
      </c>
      <c r="D27" s="7">
        <f t="shared" si="11"/>
        <v>-4.2855638292933429E-2</v>
      </c>
      <c r="E27" s="7">
        <f t="shared" si="12"/>
        <v>-2.6823430946228008E-2</v>
      </c>
      <c r="F27" s="7">
        <f t="shared" si="13"/>
        <v>3.9221049111591355E-2</v>
      </c>
      <c r="G27" s="7">
        <f t="shared" si="14"/>
        <v>-1.0728021328688969E-2</v>
      </c>
      <c r="H27" s="7">
        <f t="shared" si="15"/>
        <v>7.119640365559729E-2</v>
      </c>
      <c r="J27" s="3" t="s">
        <v>83</v>
      </c>
      <c r="K27" s="5">
        <f t="shared" si="17"/>
        <v>7.213208926103501E-2</v>
      </c>
      <c r="L27" s="5">
        <f t="shared" si="17"/>
        <v>3.4867661139651042E-2</v>
      </c>
      <c r="M27" s="5">
        <f t="shared" si="17"/>
        <v>5.8037906794005015E-2</v>
      </c>
      <c r="N27" s="5">
        <f t="shared" si="17"/>
        <v>7.8599127197625435E-2</v>
      </c>
      <c r="O27" s="5">
        <f t="shared" si="17"/>
        <v>8.672168572441441E-2</v>
      </c>
      <c r="P27" s="5">
        <f t="shared" si="17"/>
        <v>9.9752925735723516E-2</v>
      </c>
    </row>
    <row r="28" spans="2:16" x14ac:dyDescent="0.3">
      <c r="B28" s="3" t="s">
        <v>84</v>
      </c>
      <c r="C28" s="7">
        <f t="shared" si="10"/>
        <v>-9.4399646014333538E-2</v>
      </c>
      <c r="D28" s="7">
        <f t="shared" si="11"/>
        <v>-5.3517978328460891E-3</v>
      </c>
      <c r="E28" s="7">
        <f t="shared" si="12"/>
        <v>2.7117590894582572E-2</v>
      </c>
      <c r="F28" s="7">
        <f t="shared" si="13"/>
        <v>-7.9133341992536133E-2</v>
      </c>
      <c r="G28" s="7">
        <f t="shared" si="14"/>
        <v>-6.3498856203280371E-2</v>
      </c>
      <c r="H28" s="7">
        <f t="shared" si="15"/>
        <v>-8.3718954853498229E-2</v>
      </c>
      <c r="J28" s="3" t="s">
        <v>84</v>
      </c>
      <c r="K28" s="5">
        <f t="shared" si="17"/>
        <v>0.1054713961613898</v>
      </c>
      <c r="L28" s="5">
        <f t="shared" si="17"/>
        <v>6.7230642470197138E-2</v>
      </c>
      <c r="M28" s="5">
        <f t="shared" si="17"/>
        <v>9.8103639485822125E-2</v>
      </c>
      <c r="N28" s="5">
        <f t="shared" si="17"/>
        <v>0.11397515322753897</v>
      </c>
      <c r="O28" s="5">
        <f t="shared" si="17"/>
        <v>0.1176933474005199</v>
      </c>
      <c r="P28" s="5">
        <f t="shared" si="17"/>
        <v>0.13982288841581367</v>
      </c>
    </row>
    <row r="29" spans="2:16" x14ac:dyDescent="0.3">
      <c r="B29" s="3" t="s">
        <v>85</v>
      </c>
      <c r="C29" s="7">
        <f t="shared" si="10"/>
        <v>8.9987629082278309E-2</v>
      </c>
      <c r="D29" s="7">
        <f t="shared" si="11"/>
        <v>0.18357148956322478</v>
      </c>
      <c r="E29" s="7">
        <f t="shared" si="12"/>
        <v>5.5837914833604452E-2</v>
      </c>
      <c r="F29" s="7">
        <f t="shared" si="13"/>
        <v>5.1642868758800642E-2</v>
      </c>
      <c r="G29" s="7">
        <f t="shared" si="14"/>
        <v>3.0397240953547122E-2</v>
      </c>
      <c r="H29" s="7">
        <f t="shared" si="15"/>
        <v>-3.9414300908875211E-2</v>
      </c>
      <c r="J29" s="3" t="s">
        <v>85</v>
      </c>
      <c r="K29" s="5">
        <f t="shared" si="17"/>
        <v>0.71139535645677143</v>
      </c>
      <c r="L29" s="5">
        <f t="shared" si="17"/>
        <v>0.66394122752598428</v>
      </c>
      <c r="M29" s="5">
        <f t="shared" si="17"/>
        <v>0.72871185670134131</v>
      </c>
      <c r="N29" s="5">
        <f t="shared" si="17"/>
        <v>0.73083906385310071</v>
      </c>
      <c r="O29" s="5">
        <f t="shared" si="17"/>
        <v>0.74161221165769775</v>
      </c>
      <c r="P29" s="5">
        <f t="shared" si="17"/>
        <v>0.77701196853213139</v>
      </c>
    </row>
    <row r="30" spans="2:16" x14ac:dyDescent="0.3">
      <c r="J30" s="19" t="s">
        <v>34</v>
      </c>
      <c r="K30" s="18">
        <f>SUM(K17:K29)</f>
        <v>0.93192257384517829</v>
      </c>
      <c r="L30" s="18">
        <f t="shared" ref="L30:P30" si="18">SUM(L17:L29)</f>
        <v>0.78582520986048232</v>
      </c>
      <c r="M30" s="18">
        <f t="shared" si="18"/>
        <v>0.92047536711158795</v>
      </c>
      <c r="N30" s="18">
        <f t="shared" si="18"/>
        <v>0.9771753999708358</v>
      </c>
      <c r="O30" s="18">
        <f t="shared" si="18"/>
        <v>1.0134089338600272</v>
      </c>
      <c r="P30" s="18">
        <f t="shared" si="18"/>
        <v>1.0933704934419624</v>
      </c>
    </row>
    <row r="31" spans="2:16" x14ac:dyDescent="0.3">
      <c r="J31" s="22" t="s">
        <v>35</v>
      </c>
      <c r="K31" s="24">
        <f>1-K30</f>
        <v>6.8077426154821707E-2</v>
      </c>
      <c r="L31" s="24">
        <f t="shared" ref="L31:P31" si="19">1-L30</f>
        <v>0.21417479013951768</v>
      </c>
      <c r="M31" s="24">
        <f t="shared" si="19"/>
        <v>7.952463288841205E-2</v>
      </c>
      <c r="N31" s="24">
        <f t="shared" si="19"/>
        <v>2.2824600029164199E-2</v>
      </c>
      <c r="O31" s="24">
        <f t="shared" si="19"/>
        <v>-1.3408933860027172E-2</v>
      </c>
      <c r="P31" s="24">
        <f t="shared" si="19"/>
        <v>-9.3370493441962354E-2</v>
      </c>
    </row>
  </sheetData>
  <sortState xmlns:xlrd2="http://schemas.microsoft.com/office/spreadsheetml/2017/richdata2" ref="A2:Q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72EA-D5DA-4BC4-8AAF-CFCD3951F470}">
  <dimension ref="A1:P13"/>
  <sheetViews>
    <sheetView zoomScale="79" workbookViewId="0">
      <selection activeCell="I1" sqref="I1:I5"/>
    </sheetView>
  </sheetViews>
  <sheetFormatPr defaultRowHeight="14.4" x14ac:dyDescent="0.3"/>
  <cols>
    <col min="1" max="1" width="14.33203125" customWidth="1"/>
    <col min="2" max="6" width="10.21875" customWidth="1"/>
    <col min="7" max="7" width="12.77734375" customWidth="1"/>
    <col min="8" max="16" width="10.21875" customWidth="1"/>
  </cols>
  <sheetData>
    <row r="1" spans="1:16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13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86</v>
      </c>
      <c r="B2" s="8">
        <v>8.3473553295778768E-2</v>
      </c>
      <c r="C2" s="8">
        <v>7.476635514018691E-2</v>
      </c>
      <c r="D2" s="8">
        <v>5.627705627705628E-2</v>
      </c>
      <c r="E2" s="8">
        <v>0.10919540229885058</v>
      </c>
      <c r="F2" s="8">
        <v>0.10377358490566038</v>
      </c>
      <c r="G2" s="8">
        <v>5.4794520547945202E-2</v>
      </c>
      <c r="H2" s="8">
        <v>7.0707070707070704E-2</v>
      </c>
      <c r="I2" s="7">
        <v>8.3473553295778768E-2</v>
      </c>
      <c r="J2" s="8">
        <v>8.3473553295778768E-2</v>
      </c>
      <c r="K2" s="8">
        <v>7.476635514018691E-2</v>
      </c>
      <c r="L2" s="8">
        <v>5.627705627705628E-2</v>
      </c>
      <c r="M2" s="8">
        <v>0.10919540229885058</v>
      </c>
      <c r="N2" s="8">
        <v>0.10377358490566038</v>
      </c>
      <c r="O2" s="8">
        <v>5.4794520547945202E-2</v>
      </c>
      <c r="P2" s="8">
        <v>7.0707070707070704E-2</v>
      </c>
    </row>
    <row r="3" spans="1:16" x14ac:dyDescent="0.3">
      <c r="A3" s="3" t="s">
        <v>87</v>
      </c>
      <c r="B3" s="8">
        <v>0.11644353403077523</v>
      </c>
      <c r="C3" s="8">
        <v>0.1059190031152648</v>
      </c>
      <c r="D3" s="8">
        <v>8.6580086580086577E-2</v>
      </c>
      <c r="E3" s="8">
        <v>0.10344827586206896</v>
      </c>
      <c r="F3" s="8">
        <v>5.9748427672955975E-2</v>
      </c>
      <c r="G3" s="8">
        <v>5.9360730593607303E-2</v>
      </c>
      <c r="H3" s="8">
        <v>8.0808080808080815E-2</v>
      </c>
      <c r="I3" s="7">
        <v>0.199917087326554</v>
      </c>
      <c r="J3" s="7">
        <f>J2+B3</f>
        <v>0.199917087326554</v>
      </c>
      <c r="K3" s="7">
        <f t="shared" ref="K3:P5" si="0">K2+C3</f>
        <v>0.18068535825545171</v>
      </c>
      <c r="L3" s="7">
        <f t="shared" si="0"/>
        <v>0.14285714285714285</v>
      </c>
      <c r="M3" s="7">
        <f t="shared" si="0"/>
        <v>0.21264367816091956</v>
      </c>
      <c r="N3" s="7">
        <f t="shared" si="0"/>
        <v>0.16352201257861637</v>
      </c>
      <c r="O3" s="7">
        <f t="shared" si="0"/>
        <v>0.11415525114155251</v>
      </c>
      <c r="P3" s="7">
        <f t="shared" si="0"/>
        <v>0.15151515151515152</v>
      </c>
    </row>
    <row r="4" spans="1:16" x14ac:dyDescent="0.3">
      <c r="A4" s="3" t="s">
        <v>88</v>
      </c>
      <c r="B4" s="8">
        <v>0.14244722445761293</v>
      </c>
      <c r="C4" s="8">
        <v>0.13707165109034267</v>
      </c>
      <c r="D4" s="8">
        <v>0.14285714285714285</v>
      </c>
      <c r="E4" s="8">
        <v>9.1954022988505746E-2</v>
      </c>
      <c r="F4" s="8">
        <v>0.18553459119496854</v>
      </c>
      <c r="G4" s="8">
        <v>0.17808219178082191</v>
      </c>
      <c r="H4" s="8">
        <v>0.17171717171717171</v>
      </c>
      <c r="I4" s="7">
        <v>0.34236431178416693</v>
      </c>
      <c r="J4" s="7">
        <f t="shared" ref="J4:J5" si="1">J3+B4</f>
        <v>0.34236431178416693</v>
      </c>
      <c r="K4" s="7">
        <f t="shared" si="0"/>
        <v>0.31775700934579437</v>
      </c>
      <c r="L4" s="7">
        <f t="shared" si="0"/>
        <v>0.2857142857142857</v>
      </c>
      <c r="M4" s="7">
        <f t="shared" si="0"/>
        <v>0.3045977011494253</v>
      </c>
      <c r="N4" s="7">
        <f t="shared" si="0"/>
        <v>0.34905660377358494</v>
      </c>
      <c r="O4" s="7">
        <f t="shared" si="0"/>
        <v>0.29223744292237441</v>
      </c>
      <c r="P4" s="7">
        <f t="shared" si="0"/>
        <v>0.3232323232323232</v>
      </c>
    </row>
    <row r="5" spans="1:16" x14ac:dyDescent="0.3">
      <c r="A5" s="3" t="s">
        <v>89</v>
      </c>
      <c r="B5" s="8">
        <v>0.65763568821583307</v>
      </c>
      <c r="C5" s="8">
        <v>0.68224299065420557</v>
      </c>
      <c r="D5" s="8">
        <v>0.7142857142857143</v>
      </c>
      <c r="E5" s="8">
        <v>0.6954022988505747</v>
      </c>
      <c r="F5" s="8">
        <v>0.65094339622641506</v>
      </c>
      <c r="G5" s="8">
        <v>0.70776255707762559</v>
      </c>
      <c r="H5" s="8">
        <v>0.6767676767676768</v>
      </c>
      <c r="I5" s="7">
        <v>1</v>
      </c>
      <c r="J5" s="7">
        <f t="shared" si="1"/>
        <v>1</v>
      </c>
      <c r="K5" s="7">
        <f t="shared" si="0"/>
        <v>1</v>
      </c>
      <c r="L5" s="7">
        <f t="shared" si="0"/>
        <v>1</v>
      </c>
      <c r="M5" s="7">
        <f t="shared" si="0"/>
        <v>1</v>
      </c>
      <c r="N5" s="7">
        <f t="shared" si="0"/>
        <v>1</v>
      </c>
      <c r="O5" s="7">
        <f t="shared" si="0"/>
        <v>1</v>
      </c>
      <c r="P5" s="7">
        <f t="shared" si="0"/>
        <v>1</v>
      </c>
    </row>
    <row r="7" spans="1:16" ht="17.399999999999999" customHeight="1" x14ac:dyDescent="0.3">
      <c r="B7" s="1" t="s">
        <v>0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J7" s="5"/>
      <c r="K7" s="18" t="s">
        <v>28</v>
      </c>
      <c r="L7" s="18" t="s">
        <v>29</v>
      </c>
      <c r="M7" s="18" t="s">
        <v>30</v>
      </c>
      <c r="N7" s="18" t="s">
        <v>31</v>
      </c>
      <c r="O7" s="18" t="s">
        <v>32</v>
      </c>
      <c r="P7" s="18" t="s">
        <v>33</v>
      </c>
    </row>
    <row r="8" spans="1:16" x14ac:dyDescent="0.3">
      <c r="B8" s="3" t="s">
        <v>86</v>
      </c>
      <c r="C8" s="7">
        <f>C2-B2</f>
        <v>-8.7071981555918582E-3</v>
      </c>
      <c r="D8" s="7">
        <f>D2-B2</f>
        <v>-2.7196497018722489E-2</v>
      </c>
      <c r="E8" s="7">
        <f>E2-B2</f>
        <v>2.5721849003071812E-2</v>
      </c>
      <c r="F8" s="7">
        <f>F2-B2</f>
        <v>2.0300031609881614E-2</v>
      </c>
      <c r="G8" s="7">
        <f>G2-B2</f>
        <v>-2.8679032747833566E-2</v>
      </c>
      <c r="H8" s="7">
        <f>H2-B2</f>
        <v>-1.2766482588708064E-2</v>
      </c>
      <c r="J8" s="3" t="s">
        <v>86</v>
      </c>
      <c r="K8" s="5">
        <f>($J2-0) * ((K2+0))</f>
        <v>6.2410133305255151E-3</v>
      </c>
      <c r="L8" s="5">
        <f t="shared" ref="L8:P8" si="2">($J2-0) * ((L2+0))</f>
        <v>4.6976458564723985E-3</v>
      </c>
      <c r="M8" s="5">
        <f t="shared" si="2"/>
        <v>9.1149282334471067E-3</v>
      </c>
      <c r="N8" s="5">
        <f t="shared" si="2"/>
        <v>8.6623498703166657E-3</v>
      </c>
      <c r="O8" s="5">
        <f t="shared" si="2"/>
        <v>4.5738933312755485E-3</v>
      </c>
      <c r="P8" s="5">
        <f t="shared" si="2"/>
        <v>5.902170435055064E-3</v>
      </c>
    </row>
    <row r="9" spans="1:16" x14ac:dyDescent="0.3">
      <c r="B9" s="3" t="s">
        <v>87</v>
      </c>
      <c r="C9" s="7">
        <f t="shared" ref="C9:C11" si="3">C3-B3</f>
        <v>-1.0524530915510436E-2</v>
      </c>
      <c r="D9" s="7">
        <f t="shared" ref="D9:D11" si="4">D3-B3</f>
        <v>-2.9863447450688654E-2</v>
      </c>
      <c r="E9" s="7">
        <f t="shared" ref="E9:E11" si="5">E3-B3</f>
        <v>-1.2995258168706267E-2</v>
      </c>
      <c r="F9" s="7">
        <f t="shared" ref="F9:F11" si="6">F3-B3</f>
        <v>-5.6695106357819255E-2</v>
      </c>
      <c r="G9" s="7">
        <f t="shared" ref="G9:G11" si="7">G3-B3</f>
        <v>-5.7082803437167928E-2</v>
      </c>
      <c r="H9" s="7">
        <f t="shared" ref="H9:H11" si="8">H3-B3</f>
        <v>-3.5635453222694416E-2</v>
      </c>
      <c r="J9" s="3" t="s">
        <v>87</v>
      </c>
      <c r="K9" s="5">
        <f>($J3-$J2) * ((K3+K2))</f>
        <v>2.9745700282004885E-2</v>
      </c>
      <c r="L9" s="5">
        <f t="shared" ref="L9:P9" si="9">($J3-$J2) * ((L3+L2))</f>
        <v>2.3187889893574287E-2</v>
      </c>
      <c r="M9" s="5">
        <f t="shared" si="9"/>
        <v>3.7476079917950655E-2</v>
      </c>
      <c r="N9" s="5">
        <f t="shared" si="9"/>
        <v>3.1124844001936783E-2</v>
      </c>
      <c r="O9" s="5">
        <f t="shared" si="9"/>
        <v>1.967310848921773E-2</v>
      </c>
      <c r="P9" s="5">
        <f t="shared" si="9"/>
        <v>2.5876340895727826E-2</v>
      </c>
    </row>
    <row r="10" spans="1:16" x14ac:dyDescent="0.3">
      <c r="B10" s="3" t="s">
        <v>88</v>
      </c>
      <c r="C10" s="7">
        <f t="shared" si="3"/>
        <v>-5.3755733672702644E-3</v>
      </c>
      <c r="D10" s="7">
        <f t="shared" si="4"/>
        <v>4.0991839952991826E-4</v>
      </c>
      <c r="E10" s="7">
        <f t="shared" si="5"/>
        <v>-5.0493201469107185E-2</v>
      </c>
      <c r="F10" s="7">
        <f t="shared" si="6"/>
        <v>4.3087366737355609E-2</v>
      </c>
      <c r="G10" s="7">
        <f t="shared" si="7"/>
        <v>3.5634967323208977E-2</v>
      </c>
      <c r="H10" s="7">
        <f t="shared" si="8"/>
        <v>2.9269947259558782E-2</v>
      </c>
      <c r="J10" s="3" t="s">
        <v>88</v>
      </c>
      <c r="K10" s="5">
        <f t="shared" ref="K10:P11" si="10">($J4-$J3) * ((K4+K3))</f>
        <v>7.1001731816878716E-2</v>
      </c>
      <c r="L10" s="5">
        <f t="shared" si="10"/>
        <v>6.1048810481834109E-2</v>
      </c>
      <c r="M10" s="5">
        <f t="shared" si="10"/>
        <v>7.3679598857386008E-2</v>
      </c>
      <c r="N10" s="5">
        <f t="shared" si="10"/>
        <v>7.3015401215694678E-2</v>
      </c>
      <c r="O10" s="5">
        <f t="shared" si="10"/>
        <v>5.7889511309258221E-2</v>
      </c>
      <c r="P10" s="5">
        <f t="shared" si="10"/>
        <v>6.7626460096038454E-2</v>
      </c>
    </row>
    <row r="11" spans="1:16" x14ac:dyDescent="0.3">
      <c r="B11" s="3" t="s">
        <v>89</v>
      </c>
      <c r="C11" s="7">
        <f t="shared" si="3"/>
        <v>2.4607302438372503E-2</v>
      </c>
      <c r="D11" s="7">
        <f t="shared" si="4"/>
        <v>5.6650026069881232E-2</v>
      </c>
      <c r="E11" s="7">
        <f t="shared" si="5"/>
        <v>3.7766610634741626E-2</v>
      </c>
      <c r="F11" s="7">
        <f t="shared" si="6"/>
        <v>-6.6922919894180088E-3</v>
      </c>
      <c r="G11" s="7">
        <f t="shared" si="7"/>
        <v>5.0126868861792517E-2</v>
      </c>
      <c r="H11" s="7">
        <f t="shared" si="8"/>
        <v>1.9131988551843726E-2</v>
      </c>
      <c r="J11" s="3" t="s">
        <v>89</v>
      </c>
      <c r="K11" s="5">
        <f t="shared" si="10"/>
        <v>0.8666040377423595</v>
      </c>
      <c r="L11" s="5">
        <f t="shared" si="10"/>
        <v>0.84553159913464249</v>
      </c>
      <c r="M11" s="5">
        <f t="shared" si="10"/>
        <v>0.85795000704019608</v>
      </c>
      <c r="N11" s="5">
        <f t="shared" si="10"/>
        <v>0.88718776806475597</v>
      </c>
      <c r="O11" s="5">
        <f t="shared" si="10"/>
        <v>0.84982146011452397</v>
      </c>
      <c r="P11" s="5">
        <f t="shared" si="10"/>
        <v>0.87020479955832453</v>
      </c>
    </row>
    <row r="12" spans="1:16" x14ac:dyDescent="0.3">
      <c r="J12" s="19" t="s">
        <v>34</v>
      </c>
      <c r="K12" s="18">
        <f>SUM(K8:K11)</f>
        <v>0.97359248317176861</v>
      </c>
      <c r="L12" s="18">
        <f t="shared" ref="L12:P12" si="11">SUM(L8:L11)</f>
        <v>0.93446594536652328</v>
      </c>
      <c r="M12" s="18">
        <f t="shared" si="11"/>
        <v>0.97822061404897986</v>
      </c>
      <c r="N12" s="18">
        <f t="shared" si="11"/>
        <v>0.99999036315270406</v>
      </c>
      <c r="O12" s="18">
        <f t="shared" si="11"/>
        <v>0.93195797324427543</v>
      </c>
      <c r="P12" s="18">
        <f t="shared" si="11"/>
        <v>0.96960977098514589</v>
      </c>
    </row>
    <row r="13" spans="1:16" x14ac:dyDescent="0.3">
      <c r="J13" s="22" t="s">
        <v>35</v>
      </c>
      <c r="K13" s="24">
        <f>1-K12</f>
        <v>2.6407516828231392E-2</v>
      </c>
      <c r="L13" s="24">
        <f t="shared" ref="L13:P13" si="12">1-L12</f>
        <v>6.5534054633476724E-2</v>
      </c>
      <c r="M13" s="24">
        <f t="shared" si="12"/>
        <v>2.1779385951020136E-2</v>
      </c>
      <c r="N13" s="24">
        <f t="shared" si="12"/>
        <v>9.6368472959351692E-6</v>
      </c>
      <c r="O13" s="24">
        <f t="shared" si="12"/>
        <v>6.8042026755724572E-2</v>
      </c>
      <c r="P13" s="24">
        <f t="shared" si="12"/>
        <v>3.0390229014854109E-2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4673-CCF7-46A8-9DB3-4D12816973DF}">
  <dimension ref="A1:P12"/>
  <sheetViews>
    <sheetView workbookViewId="0">
      <selection activeCell="I1" sqref="I1:I4"/>
    </sheetView>
  </sheetViews>
  <sheetFormatPr defaultRowHeight="14.4" x14ac:dyDescent="0.3"/>
  <cols>
    <col min="1" max="1" width="16.21875" customWidth="1"/>
    <col min="2" max="16" width="10.77734375" customWidth="1"/>
  </cols>
  <sheetData>
    <row r="1" spans="1:16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13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90</v>
      </c>
      <c r="B2" s="8">
        <v>0.27944107566569998</v>
      </c>
      <c r="C2" s="8">
        <v>0.32625994694960214</v>
      </c>
      <c r="D2" s="8">
        <v>0.37378640776699029</v>
      </c>
      <c r="E2" s="8">
        <v>9.0909090909090912E-2</v>
      </c>
      <c r="F2" s="8">
        <v>0.20362903225806453</v>
      </c>
      <c r="G2" s="8">
        <v>0.35483870967741937</v>
      </c>
      <c r="H2" s="8">
        <v>0.29319371727748689</v>
      </c>
      <c r="I2" s="7">
        <v>0.27944107566569998</v>
      </c>
      <c r="J2" s="7">
        <f t="shared" ref="J2:P2" si="0">B2</f>
        <v>0.27944107566569998</v>
      </c>
      <c r="K2" s="7">
        <f t="shared" si="0"/>
        <v>0.32625994694960214</v>
      </c>
      <c r="L2" s="7">
        <f t="shared" si="0"/>
        <v>0.37378640776699029</v>
      </c>
      <c r="M2" s="7">
        <f t="shared" si="0"/>
        <v>9.0909090909090912E-2</v>
      </c>
      <c r="N2" s="7">
        <f t="shared" si="0"/>
        <v>0.20362903225806453</v>
      </c>
      <c r="O2" s="7">
        <f t="shared" si="0"/>
        <v>0.35483870967741937</v>
      </c>
      <c r="P2" s="7">
        <f t="shared" si="0"/>
        <v>0.29319371727748689</v>
      </c>
    </row>
    <row r="3" spans="1:16" x14ac:dyDescent="0.3">
      <c r="A3" s="3" t="s">
        <v>91</v>
      </c>
      <c r="B3" s="8">
        <v>0.32602161877142105</v>
      </c>
      <c r="C3" s="8">
        <v>0.16180371352785147</v>
      </c>
      <c r="D3" s="8">
        <v>9.7087378640776698E-2</v>
      </c>
      <c r="E3" s="8">
        <v>6.2937062937062943E-2</v>
      </c>
      <c r="F3" s="8">
        <v>0.30846774193548387</v>
      </c>
      <c r="G3" s="8">
        <v>0.23908918406072105</v>
      </c>
      <c r="H3" s="8">
        <v>0.34031413612565448</v>
      </c>
      <c r="I3" s="7">
        <v>0.60546269443712109</v>
      </c>
      <c r="J3" s="7">
        <f t="shared" ref="J3:P4" si="1">J2+B3</f>
        <v>0.60546269443712109</v>
      </c>
      <c r="K3" s="7">
        <f t="shared" si="1"/>
        <v>0.48806366047745364</v>
      </c>
      <c r="L3" s="7">
        <f t="shared" si="1"/>
        <v>0.470873786407767</v>
      </c>
      <c r="M3" s="7">
        <f t="shared" si="1"/>
        <v>0.15384615384615385</v>
      </c>
      <c r="N3" s="7">
        <f t="shared" si="1"/>
        <v>0.51209677419354838</v>
      </c>
      <c r="O3" s="7">
        <f t="shared" si="1"/>
        <v>0.59392789373814048</v>
      </c>
      <c r="P3" s="7">
        <f t="shared" si="1"/>
        <v>0.63350785340314131</v>
      </c>
    </row>
    <row r="4" spans="1:16" x14ac:dyDescent="0.3">
      <c r="A4" s="3" t="s">
        <v>92</v>
      </c>
      <c r="B4" s="8">
        <v>0.39453730556287897</v>
      </c>
      <c r="C4" s="8">
        <v>0.51193633952254647</v>
      </c>
      <c r="D4" s="8">
        <v>0.529126213592233</v>
      </c>
      <c r="E4" s="8">
        <v>0.84615384615384615</v>
      </c>
      <c r="F4" s="8">
        <v>0.48790322580645162</v>
      </c>
      <c r="G4" s="8">
        <v>0.40607210626185958</v>
      </c>
      <c r="H4" s="8">
        <v>0.36649214659685864</v>
      </c>
      <c r="I4" s="7">
        <v>1</v>
      </c>
      <c r="J4" s="7">
        <f t="shared" si="1"/>
        <v>1</v>
      </c>
      <c r="K4" s="7">
        <f t="shared" si="1"/>
        <v>1</v>
      </c>
      <c r="L4" s="7">
        <f t="shared" si="1"/>
        <v>1</v>
      </c>
      <c r="M4" s="7">
        <f t="shared" si="1"/>
        <v>1</v>
      </c>
      <c r="N4" s="7">
        <f t="shared" si="1"/>
        <v>1</v>
      </c>
      <c r="O4" s="7">
        <f t="shared" si="1"/>
        <v>1</v>
      </c>
      <c r="P4" s="7">
        <f t="shared" si="1"/>
        <v>1</v>
      </c>
    </row>
    <row r="7" spans="1:16" x14ac:dyDescent="0.3">
      <c r="B7" s="1" t="s">
        <v>0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J7" s="5"/>
      <c r="K7" s="18" t="s">
        <v>28</v>
      </c>
      <c r="L7" s="18" t="s">
        <v>29</v>
      </c>
      <c r="M7" s="18" t="s">
        <v>30</v>
      </c>
      <c r="N7" s="18" t="s">
        <v>31</v>
      </c>
      <c r="O7" s="18" t="s">
        <v>32</v>
      </c>
      <c r="P7" s="18" t="s">
        <v>33</v>
      </c>
    </row>
    <row r="8" spans="1:16" x14ac:dyDescent="0.3">
      <c r="B8" s="3" t="s">
        <v>90</v>
      </c>
      <c r="C8" s="7">
        <f>C2-B2</f>
        <v>4.6818871283902164E-2</v>
      </c>
      <c r="D8" s="7">
        <f>D2-B2</f>
        <v>9.4345332101290313E-2</v>
      </c>
      <c r="E8" s="7">
        <f>E2-B2</f>
        <v>-0.18853198475660907</v>
      </c>
      <c r="F8" s="7">
        <f>F2-B2</f>
        <v>-7.5812043407635449E-2</v>
      </c>
      <c r="G8" s="7">
        <f>G2-B2</f>
        <v>7.5397634011719394E-2</v>
      </c>
      <c r="H8" s="7">
        <f>H2-B2</f>
        <v>1.3752641611786909E-2</v>
      </c>
      <c r="J8" s="3" t="s">
        <v>90</v>
      </c>
      <c r="K8" s="5">
        <f>($J2-0) * ((K2+0))</f>
        <v>9.1170430522231033E-2</v>
      </c>
      <c r="L8" s="5">
        <f t="shared" ref="L8:P8" si="2">($J2-0) * ((L2+0))</f>
        <v>0.10445127585562572</v>
      </c>
      <c r="M8" s="5">
        <f t="shared" si="2"/>
        <v>2.5403734151427271E-2</v>
      </c>
      <c r="N8" s="5">
        <f t="shared" si="2"/>
        <v>5.6902315810959073E-2</v>
      </c>
      <c r="O8" s="5">
        <f t="shared" si="2"/>
        <v>9.915651072008709E-2</v>
      </c>
      <c r="P8" s="5">
        <f t="shared" si="2"/>
        <v>8.1930367734446063E-2</v>
      </c>
    </row>
    <row r="9" spans="1:16" x14ac:dyDescent="0.3">
      <c r="B9" s="3" t="s">
        <v>91</v>
      </c>
      <c r="C9" s="7">
        <f t="shared" ref="C9:C10" si="3">C3-B3</f>
        <v>-0.16421790524356958</v>
      </c>
      <c r="D9" s="7">
        <f t="shared" ref="D9:D10" si="4">D3-B3</f>
        <v>-0.22893424013064434</v>
      </c>
      <c r="E9" s="7">
        <f t="shared" ref="E9:E10" si="5">E3-B3</f>
        <v>-0.26308455583435808</v>
      </c>
      <c r="F9" s="7">
        <f t="shared" ref="F9:F10" si="6">F3-B3</f>
        <v>-1.7553876835937177E-2</v>
      </c>
      <c r="G9" s="7">
        <f t="shared" ref="G9:G10" si="7">G3-B3</f>
        <v>-8.6932434710700002E-2</v>
      </c>
      <c r="H9" s="7">
        <f t="shared" ref="H9:H10" si="8">H3-B3</f>
        <v>1.4292517354233425E-2</v>
      </c>
      <c r="J9" s="3" t="s">
        <v>91</v>
      </c>
      <c r="K9" s="5">
        <f>($J3-$J2) * ((K3+K2))</f>
        <v>0.26548710069715198</v>
      </c>
      <c r="L9" s="5">
        <f t="shared" ref="L9:P9" si="9">($J3-$J2) * ((L3+L2))</f>
        <v>0.27537748381663729</v>
      </c>
      <c r="M9" s="5">
        <f t="shared" si="9"/>
        <v>7.9795501097900276E-2</v>
      </c>
      <c r="N9" s="5">
        <f t="shared" si="9"/>
        <v>0.23334208601583567</v>
      </c>
      <c r="O9" s="5">
        <f t="shared" si="9"/>
        <v>0.30931842388180375</v>
      </c>
      <c r="P9" s="5">
        <f t="shared" si="9"/>
        <v>0.30212474619131691</v>
      </c>
    </row>
    <row r="10" spans="1:16" x14ac:dyDescent="0.3">
      <c r="B10" s="3" t="s">
        <v>92</v>
      </c>
      <c r="C10" s="7">
        <f t="shared" si="3"/>
        <v>0.1173990339596675</v>
      </c>
      <c r="D10" s="7">
        <f t="shared" si="4"/>
        <v>0.13458890802935403</v>
      </c>
      <c r="E10" s="7">
        <f t="shared" si="5"/>
        <v>0.45161654059096717</v>
      </c>
      <c r="F10" s="7">
        <f t="shared" si="6"/>
        <v>9.3365920243572653E-2</v>
      </c>
      <c r="G10" s="7">
        <f t="shared" si="7"/>
        <v>1.1534800698980607E-2</v>
      </c>
      <c r="H10" s="7">
        <f t="shared" si="8"/>
        <v>-2.8045158966020334E-2</v>
      </c>
      <c r="J10" s="3" t="s">
        <v>92</v>
      </c>
      <c r="K10" s="5">
        <f>($J4-$J3) * ((K4+K3))</f>
        <v>0.58709662711080923</v>
      </c>
      <c r="L10" s="5">
        <f t="shared" ref="L10:P10" si="10">($J4-$J3) * ((L4+L3))</f>
        <v>0.58031458051238982</v>
      </c>
      <c r="M10" s="5">
        <f t="shared" si="10"/>
        <v>0.45523535257255254</v>
      </c>
      <c r="N10" s="5">
        <f t="shared" si="10"/>
        <v>0.59657858704064359</v>
      </c>
      <c r="O10" s="5">
        <f t="shared" si="10"/>
        <v>0.62886401645696077</v>
      </c>
      <c r="P10" s="5">
        <f t="shared" si="10"/>
        <v>0.64447978709747755</v>
      </c>
    </row>
    <row r="11" spans="1:16" x14ac:dyDescent="0.3">
      <c r="J11" s="19" t="s">
        <v>34</v>
      </c>
      <c r="K11" s="18">
        <f>SUM(K8:K10)</f>
        <v>0.94375415833019227</v>
      </c>
      <c r="L11" s="18">
        <f t="shared" ref="L11:P11" si="11">SUM(L8:L10)</f>
        <v>0.96014334018465286</v>
      </c>
      <c r="M11" s="18">
        <f t="shared" si="11"/>
        <v>0.56043458782188005</v>
      </c>
      <c r="N11" s="18">
        <f t="shared" si="11"/>
        <v>0.88682298886743838</v>
      </c>
      <c r="O11" s="18">
        <f t="shared" si="11"/>
        <v>1.0373389510588515</v>
      </c>
      <c r="P11" s="18">
        <f t="shared" si="11"/>
        <v>1.0285349010232405</v>
      </c>
    </row>
    <row r="12" spans="1:16" x14ac:dyDescent="0.3">
      <c r="J12" s="22" t="s">
        <v>35</v>
      </c>
      <c r="K12" s="24">
        <f>1-K11</f>
        <v>5.6245841669807728E-2</v>
      </c>
      <c r="L12" s="24">
        <f t="shared" ref="L12:P12" si="12">1-L11</f>
        <v>3.985665981534714E-2</v>
      </c>
      <c r="M12" s="24">
        <f t="shared" si="12"/>
        <v>0.43956541217811995</v>
      </c>
      <c r="N12" s="24">
        <f t="shared" si="12"/>
        <v>0.11317701113256162</v>
      </c>
      <c r="O12" s="24">
        <f t="shared" si="12"/>
        <v>-3.7338951058851544E-2</v>
      </c>
      <c r="P12" s="24">
        <f t="shared" si="12"/>
        <v>-2.8534901023240522E-2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F3C8-2862-4FB7-A702-020E3530044C}">
  <dimension ref="A1:P53"/>
  <sheetViews>
    <sheetView zoomScale="63" workbookViewId="0">
      <selection activeCell="J3" sqref="J3"/>
    </sheetView>
  </sheetViews>
  <sheetFormatPr defaultRowHeight="14.4" x14ac:dyDescent="0.3"/>
  <cols>
    <col min="1" max="4" width="14.109375" customWidth="1"/>
    <col min="5" max="9" width="9" bestFit="1" customWidth="1"/>
    <col min="10" max="10" width="9.44140625" customWidth="1"/>
    <col min="11" max="16" width="13.44140625" bestFit="1" customWidth="1"/>
  </cols>
  <sheetData>
    <row r="1" spans="1:16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13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93</v>
      </c>
      <c r="B2" s="8">
        <v>2.5259791463947689E-3</v>
      </c>
      <c r="C2" s="8">
        <v>9.3545369504209543E-4</v>
      </c>
      <c r="D2" s="8">
        <v>0</v>
      </c>
      <c r="E2" s="8">
        <v>0</v>
      </c>
      <c r="F2" s="8">
        <v>0</v>
      </c>
      <c r="G2" s="8">
        <v>1.0787486515641855E-3</v>
      </c>
      <c r="H2" s="8">
        <v>0</v>
      </c>
      <c r="I2" s="6">
        <v>2.5259791463947689E-3</v>
      </c>
      <c r="J2" s="8">
        <v>2.5259791463947689E-3</v>
      </c>
      <c r="K2" s="8">
        <v>9.3545369504209543E-4</v>
      </c>
      <c r="L2" s="8">
        <v>0</v>
      </c>
      <c r="M2" s="8">
        <v>0</v>
      </c>
      <c r="N2" s="8">
        <v>0</v>
      </c>
      <c r="O2" s="8">
        <v>1.0787486515641855E-3</v>
      </c>
      <c r="P2" s="8">
        <v>0</v>
      </c>
    </row>
    <row r="3" spans="1:16" x14ac:dyDescent="0.3">
      <c r="A3" s="3" t="s">
        <v>94</v>
      </c>
      <c r="B3" s="8">
        <v>5.1837485091231778E-3</v>
      </c>
      <c r="C3" s="8">
        <v>1.028999064546305E-2</v>
      </c>
      <c r="D3" s="8">
        <v>0</v>
      </c>
      <c r="E3" s="8">
        <v>3.5046728971962616E-3</v>
      </c>
      <c r="F3" s="8">
        <v>1.1764705882352941E-2</v>
      </c>
      <c r="G3" s="8">
        <v>8.6299892125134836E-3</v>
      </c>
      <c r="H3" s="8">
        <v>1.2474012474012475E-2</v>
      </c>
      <c r="I3" s="6">
        <v>7.7097276555179468E-3</v>
      </c>
      <c r="J3" s="7">
        <f>J2+B3</f>
        <v>7.7097276555179468E-3</v>
      </c>
      <c r="K3" s="7">
        <f>K2+C3</f>
        <v>1.1225444340505146E-2</v>
      </c>
      <c r="L3" s="7">
        <f>L2+D3</f>
        <v>0</v>
      </c>
      <c r="M3" s="7">
        <f>M2+E3</f>
        <v>3.5046728971962616E-3</v>
      </c>
      <c r="N3" s="7">
        <f>N2+F3</f>
        <v>1.1764705882352941E-2</v>
      </c>
      <c r="O3" s="7">
        <f>O2+G3</f>
        <v>9.7087378640776691E-3</v>
      </c>
      <c r="P3" s="7">
        <f>P2+H3</f>
        <v>1.2474012474012475E-2</v>
      </c>
    </row>
    <row r="4" spans="1:16" x14ac:dyDescent="0.3">
      <c r="A4" s="3" t="s">
        <v>95</v>
      </c>
      <c r="B4" s="8">
        <v>5.4517219490015792E-3</v>
      </c>
      <c r="C4" s="8">
        <v>7.4836295603367634E-3</v>
      </c>
      <c r="D4" s="8">
        <v>1.557632398753894E-3</v>
      </c>
      <c r="E4" s="8">
        <v>1.0514018691588784E-2</v>
      </c>
      <c r="F4" s="8">
        <v>1.176470588235294E-3</v>
      </c>
      <c r="G4" s="8">
        <v>1.2944983818770227E-2</v>
      </c>
      <c r="H4" s="8">
        <v>0</v>
      </c>
      <c r="I4" s="6">
        <v>1.3161449604519527E-2</v>
      </c>
      <c r="J4" s="7">
        <f>J3+B4</f>
        <v>1.3161449604519527E-2</v>
      </c>
      <c r="K4" s="7">
        <f>K3+C4</f>
        <v>1.8709073900841908E-2</v>
      </c>
      <c r="L4" s="7">
        <f>L3+D4</f>
        <v>1.557632398753894E-3</v>
      </c>
      <c r="M4" s="7">
        <f>M3+E4</f>
        <v>1.4018691588785047E-2</v>
      </c>
      <c r="N4" s="7">
        <f>N3+F4</f>
        <v>1.2941176470588235E-2</v>
      </c>
      <c r="O4" s="7">
        <f>O3+G4</f>
        <v>2.2653721682847898E-2</v>
      </c>
      <c r="P4" s="7">
        <f>P3+H4</f>
        <v>1.2474012474012475E-2</v>
      </c>
    </row>
    <row r="5" spans="1:16" x14ac:dyDescent="0.3">
      <c r="A5" s="3" t="s">
        <v>96</v>
      </c>
      <c r="B5" s="8">
        <v>6.5587597662041565E-3</v>
      </c>
      <c r="C5" s="8">
        <v>6.5481758652946682E-3</v>
      </c>
      <c r="D5" s="8">
        <v>4.6728971962616819E-3</v>
      </c>
      <c r="E5" s="8">
        <v>4.6728971962616819E-3</v>
      </c>
      <c r="F5" s="8">
        <v>5.8823529411764705E-3</v>
      </c>
      <c r="G5" s="8">
        <v>1.8338727076591153E-2</v>
      </c>
      <c r="H5" s="8">
        <v>1.0395010395010396E-2</v>
      </c>
      <c r="I5" s="6">
        <v>1.9720209370723683E-2</v>
      </c>
      <c r="J5" s="7">
        <f>J4+B5</f>
        <v>1.9720209370723683E-2</v>
      </c>
      <c r="K5" s="7">
        <f>K4+C5</f>
        <v>2.5257249766136577E-2</v>
      </c>
      <c r="L5" s="7">
        <f>L4+D5</f>
        <v>6.2305295950155761E-3</v>
      </c>
      <c r="M5" s="7">
        <f>M4+E5</f>
        <v>1.8691588785046728E-2</v>
      </c>
      <c r="N5" s="7">
        <f>N4+F5</f>
        <v>1.8823529411764704E-2</v>
      </c>
      <c r="O5" s="7">
        <f>O4+G5</f>
        <v>4.0992448759439054E-2</v>
      </c>
      <c r="P5" s="7">
        <f>P4+H5</f>
        <v>2.286902286902287E-2</v>
      </c>
    </row>
    <row r="6" spans="1:16" x14ac:dyDescent="0.3">
      <c r="A6" s="3" t="s">
        <v>97</v>
      </c>
      <c r="B6" s="8">
        <v>7.8634829079071936E-3</v>
      </c>
      <c r="C6" s="8">
        <v>4.6772684752104769E-3</v>
      </c>
      <c r="D6" s="8">
        <v>1.8691588785046728E-2</v>
      </c>
      <c r="E6" s="8">
        <v>1.1682242990654205E-2</v>
      </c>
      <c r="F6" s="8">
        <v>4.1176470588235297E-3</v>
      </c>
      <c r="G6" s="8">
        <v>1.9417475728155338E-2</v>
      </c>
      <c r="H6" s="8">
        <v>1.2474012474012475E-2</v>
      </c>
      <c r="I6" s="6">
        <v>2.7583692278630875E-2</v>
      </c>
      <c r="J6" s="7">
        <f>J5+B6</f>
        <v>2.7583692278630875E-2</v>
      </c>
      <c r="K6" s="7">
        <f>K5+C6</f>
        <v>2.9934518241347054E-2</v>
      </c>
      <c r="L6" s="7">
        <f>L5+D6</f>
        <v>2.4922118380062305E-2</v>
      </c>
      <c r="M6" s="7">
        <f>M5+E6</f>
        <v>3.0373831775700931E-2</v>
      </c>
      <c r="N6" s="7">
        <f>N5+F6</f>
        <v>2.2941176470588236E-2</v>
      </c>
      <c r="O6" s="7">
        <f>O5+G6</f>
        <v>6.0409924487594392E-2</v>
      </c>
      <c r="P6" s="7">
        <f>P5+H6</f>
        <v>3.5343035343035345E-2</v>
      </c>
    </row>
    <row r="7" spans="1:16" x14ac:dyDescent="0.3">
      <c r="A7" s="3" t="s">
        <v>98</v>
      </c>
      <c r="B7" s="8">
        <v>7.9140024908350894E-3</v>
      </c>
      <c r="C7" s="8">
        <v>3.7418147801683817E-3</v>
      </c>
      <c r="D7" s="8">
        <v>0</v>
      </c>
      <c r="E7" s="8">
        <v>0</v>
      </c>
      <c r="F7" s="8">
        <v>8.8235294117647058E-3</v>
      </c>
      <c r="G7" s="8">
        <v>1.6181229773462782E-2</v>
      </c>
      <c r="H7" s="8">
        <v>8.3160083160083165E-3</v>
      </c>
      <c r="I7" s="6">
        <v>3.5497694769465966E-2</v>
      </c>
      <c r="J7" s="7">
        <f>J6+B7</f>
        <v>3.5497694769465966E-2</v>
      </c>
      <c r="K7" s="7">
        <f>K6+C7</f>
        <v>3.3676333021515438E-2</v>
      </c>
      <c r="L7" s="7">
        <f>L6+D7</f>
        <v>2.4922118380062305E-2</v>
      </c>
      <c r="M7" s="7">
        <f>M6+E7</f>
        <v>3.0373831775700931E-2</v>
      </c>
      <c r="N7" s="7">
        <f>N6+F7</f>
        <v>3.1764705882352945E-2</v>
      </c>
      <c r="O7" s="7">
        <f>O6+G7</f>
        <v>7.6591154261057171E-2</v>
      </c>
      <c r="P7" s="7">
        <f>P6+H7</f>
        <v>4.3659043659043661E-2</v>
      </c>
    </row>
    <row r="8" spans="1:16" x14ac:dyDescent="0.3">
      <c r="A8" s="3" t="s">
        <v>99</v>
      </c>
      <c r="B8" s="8">
        <v>9.7392969870560044E-3</v>
      </c>
      <c r="C8" s="8">
        <v>1.9644527595884004E-2</v>
      </c>
      <c r="D8" s="8">
        <v>7.7881619937694704E-3</v>
      </c>
      <c r="E8" s="8">
        <v>5.8411214953271026E-3</v>
      </c>
      <c r="F8" s="8">
        <v>8.2352941176470594E-3</v>
      </c>
      <c r="G8" s="8">
        <v>6.4724919093851136E-3</v>
      </c>
      <c r="H8" s="8">
        <v>8.3160083160083165E-3</v>
      </c>
      <c r="I8" s="6">
        <v>4.5236991756521974E-2</v>
      </c>
      <c r="J8" s="7">
        <f>J7+B8</f>
        <v>4.5236991756521974E-2</v>
      </c>
      <c r="K8" s="7">
        <f>K7+C8</f>
        <v>5.3320860617399442E-2</v>
      </c>
      <c r="L8" s="7">
        <f>L7+D8</f>
        <v>3.2710280373831772E-2</v>
      </c>
      <c r="M8" s="7">
        <f>M7+E8</f>
        <v>3.6214953271028034E-2</v>
      </c>
      <c r="N8" s="7">
        <f>N7+F8</f>
        <v>4.0000000000000008E-2</v>
      </c>
      <c r="O8" s="7">
        <f>O7+G8</f>
        <v>8.306364617044229E-2</v>
      </c>
      <c r="P8" s="7">
        <f>P7+H8</f>
        <v>5.1975051975051978E-2</v>
      </c>
    </row>
    <row r="9" spans="1:16" x14ac:dyDescent="0.3">
      <c r="A9" s="3" t="s">
        <v>100</v>
      </c>
      <c r="B9" s="8">
        <v>9.7524760086893682E-3</v>
      </c>
      <c r="C9" s="8">
        <v>2.8063610851262861E-3</v>
      </c>
      <c r="D9" s="8">
        <v>3.1152647975077881E-3</v>
      </c>
      <c r="E9" s="8">
        <v>0</v>
      </c>
      <c r="F9" s="8">
        <v>1.1764705882352941E-2</v>
      </c>
      <c r="G9" s="8">
        <v>2.2653721682847898E-2</v>
      </c>
      <c r="H9" s="8">
        <v>3.5343035343035345E-2</v>
      </c>
      <c r="I9" s="6">
        <v>5.4989467765211339E-2</v>
      </c>
      <c r="J9" s="7">
        <f>J8+B9</f>
        <v>5.4989467765211339E-2</v>
      </c>
      <c r="K9" s="7">
        <f>K8+C9</f>
        <v>5.612722170252573E-2</v>
      </c>
      <c r="L9" s="7">
        <f>L8+D9</f>
        <v>3.5825545171339561E-2</v>
      </c>
      <c r="M9" s="7">
        <f>M8+E9</f>
        <v>3.6214953271028034E-2</v>
      </c>
      <c r="N9" s="7">
        <f>N8+F9</f>
        <v>5.1764705882352949E-2</v>
      </c>
      <c r="O9" s="7">
        <f>O8+G9</f>
        <v>0.1057173678532902</v>
      </c>
      <c r="P9" s="7">
        <f>P8+H9</f>
        <v>8.7318087318087323E-2</v>
      </c>
    </row>
    <row r="10" spans="1:16" x14ac:dyDescent="0.3">
      <c r="A10" s="3" t="s">
        <v>101</v>
      </c>
      <c r="B10" s="8">
        <v>9.7898165699839002E-3</v>
      </c>
      <c r="C10" s="8">
        <v>6.5481758652946682E-3</v>
      </c>
      <c r="D10" s="8">
        <v>6.2305295950155761E-3</v>
      </c>
      <c r="E10" s="8">
        <v>2.3364485981308409E-3</v>
      </c>
      <c r="F10" s="8">
        <v>4.7058823529411761E-3</v>
      </c>
      <c r="G10" s="8">
        <v>9.7087378640776691E-3</v>
      </c>
      <c r="H10" s="8">
        <v>0</v>
      </c>
      <c r="I10" s="6">
        <v>6.4779284335195239E-2</v>
      </c>
      <c r="J10" s="7">
        <f>J9+B10</f>
        <v>6.4779284335195239E-2</v>
      </c>
      <c r="K10" s="7">
        <f>K9+C10</f>
        <v>6.2675397567820396E-2</v>
      </c>
      <c r="L10" s="7">
        <f>L9+D10</f>
        <v>4.2056074766355138E-2</v>
      </c>
      <c r="M10" s="7">
        <f>M9+E10</f>
        <v>3.8551401869158876E-2</v>
      </c>
      <c r="N10" s="7">
        <f>N9+F10</f>
        <v>5.6470588235294127E-2</v>
      </c>
      <c r="O10" s="7">
        <f>O9+G10</f>
        <v>0.11542610571736786</v>
      </c>
      <c r="P10" s="7">
        <f>P9+H10</f>
        <v>8.7318087318087323E-2</v>
      </c>
    </row>
    <row r="11" spans="1:16" x14ac:dyDescent="0.3">
      <c r="A11" s="3" t="s">
        <v>102</v>
      </c>
      <c r="B11" s="8">
        <v>1.1428408259732159E-2</v>
      </c>
      <c r="C11" s="8">
        <v>1.3096351730589336E-2</v>
      </c>
      <c r="D11" s="8">
        <v>3.1152647975077881E-3</v>
      </c>
      <c r="E11" s="8">
        <v>1.5186915887850467E-2</v>
      </c>
      <c r="F11" s="8">
        <v>1.0588235294117647E-2</v>
      </c>
      <c r="G11" s="8">
        <v>1.4023732470334413E-2</v>
      </c>
      <c r="H11" s="8">
        <v>3.5343035343035345E-2</v>
      </c>
      <c r="I11" s="6">
        <v>7.6207692594927393E-2</v>
      </c>
      <c r="J11" s="7">
        <f>J10+B11</f>
        <v>7.6207692594927393E-2</v>
      </c>
      <c r="K11" s="7">
        <f>K10+C11</f>
        <v>7.5771749298409727E-2</v>
      </c>
      <c r="L11" s="7">
        <f>L10+D11</f>
        <v>4.5171339563862926E-2</v>
      </c>
      <c r="M11" s="7">
        <f>M10+E11</f>
        <v>5.3738317757009345E-2</v>
      </c>
      <c r="N11" s="7">
        <f>N10+F11</f>
        <v>6.7058823529411768E-2</v>
      </c>
      <c r="O11" s="7">
        <f>O10+G11</f>
        <v>0.12944983818770228</v>
      </c>
      <c r="P11" s="7">
        <f>P10+H11</f>
        <v>0.12266112266112267</v>
      </c>
    </row>
    <row r="12" spans="1:16" x14ac:dyDescent="0.3">
      <c r="A12" s="3" t="s">
        <v>103</v>
      </c>
      <c r="B12" s="8">
        <v>1.3952190902521366E-2</v>
      </c>
      <c r="C12" s="8">
        <v>1.7773620205799812E-2</v>
      </c>
      <c r="D12" s="8">
        <v>1.2461059190031152E-2</v>
      </c>
      <c r="E12" s="8">
        <v>1.0514018691588784E-2</v>
      </c>
      <c r="F12" s="8">
        <v>1.6470588235294119E-2</v>
      </c>
      <c r="G12" s="8">
        <v>2.9126213592233011E-2</v>
      </c>
      <c r="H12" s="8">
        <v>1.0395010395010396E-2</v>
      </c>
      <c r="I12" s="6">
        <v>9.0159883497448759E-2</v>
      </c>
      <c r="J12" s="7">
        <f>J11+B12</f>
        <v>9.0159883497448759E-2</v>
      </c>
      <c r="K12" s="7">
        <f>K11+C12</f>
        <v>9.3545369504209538E-2</v>
      </c>
      <c r="L12" s="7">
        <f>L11+D12</f>
        <v>5.763239875389408E-2</v>
      </c>
      <c r="M12" s="7">
        <f>M11+E12</f>
        <v>6.4252336448598124E-2</v>
      </c>
      <c r="N12" s="7">
        <f>N11+F12</f>
        <v>8.352941176470588E-2</v>
      </c>
      <c r="O12" s="7">
        <f>O11+G12</f>
        <v>0.15857605177993528</v>
      </c>
      <c r="P12" s="7">
        <f>P11+H12</f>
        <v>0.13305613305613306</v>
      </c>
    </row>
    <row r="13" spans="1:16" x14ac:dyDescent="0.3">
      <c r="A13" s="3" t="s">
        <v>104</v>
      </c>
      <c r="B13" s="8">
        <v>1.6557244178716318E-2</v>
      </c>
      <c r="C13" s="8">
        <v>1.9644527595884004E-2</v>
      </c>
      <c r="D13" s="8">
        <v>7.7881619937694704E-3</v>
      </c>
      <c r="E13" s="8">
        <v>2.219626168224299E-2</v>
      </c>
      <c r="F13" s="8">
        <v>2.1764705882352939E-2</v>
      </c>
      <c r="G13" s="8">
        <v>2.0496224379719527E-2</v>
      </c>
      <c r="H13" s="8">
        <v>2.286902286902287E-2</v>
      </c>
      <c r="I13" s="6">
        <v>0.10671712767616508</v>
      </c>
      <c r="J13" s="7">
        <f>J12+B13</f>
        <v>0.10671712767616508</v>
      </c>
      <c r="K13" s="7">
        <f>K12+C13</f>
        <v>0.11318989710009354</v>
      </c>
      <c r="L13" s="7">
        <f>L12+D13</f>
        <v>6.5420560747663545E-2</v>
      </c>
      <c r="M13" s="7">
        <f>M12+E13</f>
        <v>8.6448598130841117E-2</v>
      </c>
      <c r="N13" s="7">
        <f>N12+F13</f>
        <v>0.10529411764705882</v>
      </c>
      <c r="O13" s="7">
        <f>O12+G13</f>
        <v>0.17907227615965482</v>
      </c>
      <c r="P13" s="7">
        <f>P12+H13</f>
        <v>0.15592515592515593</v>
      </c>
    </row>
    <row r="14" spans="1:16" x14ac:dyDescent="0.3">
      <c r="A14" s="3" t="s">
        <v>105</v>
      </c>
      <c r="B14" s="8">
        <v>1.7088798051262E-2</v>
      </c>
      <c r="C14" s="8">
        <v>1.216089803554724E-2</v>
      </c>
      <c r="D14" s="8">
        <v>1.4018691588785047E-2</v>
      </c>
      <c r="E14" s="8">
        <v>1.7523364485981307E-2</v>
      </c>
      <c r="F14" s="8">
        <v>1.3529411764705882E-2</v>
      </c>
      <c r="G14" s="8">
        <v>2.5889967637540454E-2</v>
      </c>
      <c r="H14" s="8">
        <v>3.7422037422037424E-2</v>
      </c>
      <c r="I14" s="6">
        <v>0.12380592572742707</v>
      </c>
      <c r="J14" s="7">
        <f>J13+B14</f>
        <v>0.12380592572742707</v>
      </c>
      <c r="K14" s="7">
        <f>K13+C14</f>
        <v>0.12535079513564079</v>
      </c>
      <c r="L14" s="7">
        <f>L13+D14</f>
        <v>7.9439252336448593E-2</v>
      </c>
      <c r="M14" s="7">
        <f>M13+E14</f>
        <v>0.10397196261682243</v>
      </c>
      <c r="N14" s="7">
        <f>N13+F14</f>
        <v>0.1188235294117647</v>
      </c>
      <c r="O14" s="7">
        <f>O13+G14</f>
        <v>0.20496224379719527</v>
      </c>
      <c r="P14" s="7">
        <f>P13+H14</f>
        <v>0.19334719334719336</v>
      </c>
    </row>
    <row r="15" spans="1:16" x14ac:dyDescent="0.3">
      <c r="A15" s="3" t="s">
        <v>106</v>
      </c>
      <c r="B15" s="8">
        <v>1.7820233751913703E-2</v>
      </c>
      <c r="C15" s="8">
        <v>2.2450888681010289E-2</v>
      </c>
      <c r="D15" s="8">
        <v>1.2461059190031152E-2</v>
      </c>
      <c r="E15" s="8">
        <v>2.1028037383177569E-2</v>
      </c>
      <c r="F15" s="8">
        <v>2.7647058823529413E-2</v>
      </c>
      <c r="G15" s="8">
        <v>3.0204962243797196E-2</v>
      </c>
      <c r="H15" s="8">
        <v>1.0395010395010396E-2</v>
      </c>
      <c r="I15" s="6">
        <v>0.14162615947934076</v>
      </c>
      <c r="J15" s="7">
        <f>J14+B15</f>
        <v>0.14162615947934076</v>
      </c>
      <c r="K15" s="7">
        <f>K14+C15</f>
        <v>0.14780168381665107</v>
      </c>
      <c r="L15" s="7">
        <f>L14+D15</f>
        <v>9.1900311526479747E-2</v>
      </c>
      <c r="M15" s="7">
        <f>M14+E15</f>
        <v>0.125</v>
      </c>
      <c r="N15" s="7">
        <f>N14+F15</f>
        <v>0.14647058823529413</v>
      </c>
      <c r="O15" s="7">
        <f>O14+G15</f>
        <v>0.23516720604099248</v>
      </c>
      <c r="P15" s="7">
        <f>P14+H15</f>
        <v>0.20374220374220375</v>
      </c>
    </row>
    <row r="16" spans="1:16" x14ac:dyDescent="0.3">
      <c r="A16" s="3" t="s">
        <v>107</v>
      </c>
      <c r="B16" s="8">
        <v>1.9555471600306632E-2</v>
      </c>
      <c r="C16" s="8">
        <v>1.3096351730589336E-2</v>
      </c>
      <c r="D16" s="8">
        <v>7.7881619937694704E-3</v>
      </c>
      <c r="E16" s="8">
        <v>1.1682242990654205E-2</v>
      </c>
      <c r="F16" s="8">
        <v>1.7647058823529412E-2</v>
      </c>
      <c r="G16" s="8">
        <v>1.2944983818770227E-2</v>
      </c>
      <c r="H16" s="8">
        <v>1.4553014553014554E-2</v>
      </c>
      <c r="I16" s="6">
        <v>0.16118163107964739</v>
      </c>
      <c r="J16" s="7">
        <f>J15+B16</f>
        <v>0.16118163107964739</v>
      </c>
      <c r="K16" s="7">
        <f>K15+C16</f>
        <v>0.16089803554724041</v>
      </c>
      <c r="L16" s="7">
        <f>L15+D16</f>
        <v>9.9688473520249218E-2</v>
      </c>
      <c r="M16" s="7">
        <f>M15+E16</f>
        <v>0.13668224299065421</v>
      </c>
      <c r="N16" s="7">
        <f>N15+F16</f>
        <v>0.16411764705882353</v>
      </c>
      <c r="O16" s="7">
        <f>O15+G16</f>
        <v>0.24811218985976272</v>
      </c>
      <c r="P16" s="7">
        <f>P15+H16</f>
        <v>0.21829521829521831</v>
      </c>
    </row>
    <row r="17" spans="1:16" x14ac:dyDescent="0.3">
      <c r="A17" s="3" t="s">
        <v>108</v>
      </c>
      <c r="B17" s="8">
        <v>1.9669689787795788E-2</v>
      </c>
      <c r="C17" s="8">
        <v>9.3545369504209538E-3</v>
      </c>
      <c r="D17" s="8">
        <v>6.2305295950155761E-3</v>
      </c>
      <c r="E17" s="8">
        <v>2.336448598130841E-2</v>
      </c>
      <c r="F17" s="8">
        <v>1.5294117647058824E-2</v>
      </c>
      <c r="G17" s="8">
        <v>1.9417475728155338E-2</v>
      </c>
      <c r="H17" s="8">
        <v>4.5738045738045741E-2</v>
      </c>
      <c r="I17" s="6">
        <v>0.18085132086744318</v>
      </c>
      <c r="J17" s="7">
        <f>J16+B17</f>
        <v>0.18085132086744318</v>
      </c>
      <c r="K17" s="7">
        <f>K16+C17</f>
        <v>0.17025257249766138</v>
      </c>
      <c r="L17" s="7">
        <f>L16+D17</f>
        <v>0.1059190031152648</v>
      </c>
      <c r="M17" s="7">
        <f>M16+E17</f>
        <v>0.16004672897196262</v>
      </c>
      <c r="N17" s="7">
        <f>N16+F17</f>
        <v>0.17941176470588235</v>
      </c>
      <c r="O17" s="7">
        <f>O16+G17</f>
        <v>0.26752966558791808</v>
      </c>
      <c r="P17" s="7">
        <f>P16+H17</f>
        <v>0.26403326403326405</v>
      </c>
    </row>
    <row r="18" spans="1:16" x14ac:dyDescent="0.3">
      <c r="A18" s="3" t="s">
        <v>109</v>
      </c>
      <c r="B18" s="8">
        <v>2.1736599680628375E-2</v>
      </c>
      <c r="C18" s="8">
        <v>2.05799812909261E-2</v>
      </c>
      <c r="D18" s="8">
        <v>1.0903426791277258E-2</v>
      </c>
      <c r="E18" s="8">
        <v>1.7523364485981307E-2</v>
      </c>
      <c r="F18" s="8">
        <v>1.6470588235294119E-2</v>
      </c>
      <c r="G18" s="8">
        <v>1.2944983818770227E-2</v>
      </c>
      <c r="H18" s="8">
        <v>2.4948024948024949E-2</v>
      </c>
      <c r="I18" s="6">
        <v>0.20258792054807157</v>
      </c>
      <c r="J18" s="7">
        <f>J17+B18</f>
        <v>0.20258792054807157</v>
      </c>
      <c r="K18" s="7">
        <f>K17+C18</f>
        <v>0.19083255378858749</v>
      </c>
      <c r="L18" s="7">
        <f>L17+D18</f>
        <v>0.11682242990654206</v>
      </c>
      <c r="M18" s="7">
        <f>M17+E18</f>
        <v>0.17757009345794392</v>
      </c>
      <c r="N18" s="7">
        <f>N17+F18</f>
        <v>0.19588235294117648</v>
      </c>
      <c r="O18" s="7">
        <f>O17+G18</f>
        <v>0.28047464940668831</v>
      </c>
      <c r="P18" s="7">
        <f>P17+H18</f>
        <v>0.288981288981289</v>
      </c>
    </row>
    <row r="19" spans="1:16" x14ac:dyDescent="0.3">
      <c r="A19" s="3" t="s">
        <v>110</v>
      </c>
      <c r="B19" s="8">
        <v>2.4009980912383669E-2</v>
      </c>
      <c r="C19" s="8">
        <v>2.05799812909261E-2</v>
      </c>
      <c r="D19" s="8">
        <v>1.5576323987538941E-2</v>
      </c>
      <c r="E19" s="8">
        <v>4.6728971962616819E-3</v>
      </c>
      <c r="F19" s="8">
        <v>8.8235294117647058E-3</v>
      </c>
      <c r="G19" s="8">
        <v>1.9417475728155338E-2</v>
      </c>
      <c r="H19" s="8">
        <v>2.0790020790020791E-3</v>
      </c>
      <c r="I19" s="6">
        <v>0.22659790146045522</v>
      </c>
      <c r="J19" s="7">
        <f>J18+B19</f>
        <v>0.22659790146045522</v>
      </c>
      <c r="K19" s="7">
        <f>K18+C19</f>
        <v>0.21141253507951357</v>
      </c>
      <c r="L19" s="7">
        <f>L18+D19</f>
        <v>0.13239875389408098</v>
      </c>
      <c r="M19" s="7">
        <f>M18+E19</f>
        <v>0.1822429906542056</v>
      </c>
      <c r="N19" s="7">
        <f>N18+F19</f>
        <v>0.20470588235294118</v>
      </c>
      <c r="O19" s="7">
        <f>O18+G19</f>
        <v>0.29989212513484365</v>
      </c>
      <c r="P19" s="7">
        <f>P18+H19</f>
        <v>0.29106029106029108</v>
      </c>
    </row>
    <row r="20" spans="1:16" x14ac:dyDescent="0.3">
      <c r="A20" s="3" t="s">
        <v>111</v>
      </c>
      <c r="B20" s="8">
        <v>2.6070301294399575E-2</v>
      </c>
      <c r="C20" s="8">
        <v>3.086997193638915E-2</v>
      </c>
      <c r="D20" s="8">
        <v>2.4922118380062305E-2</v>
      </c>
      <c r="E20" s="8">
        <v>3.1542056074766352E-2</v>
      </c>
      <c r="F20" s="8">
        <v>0.02</v>
      </c>
      <c r="G20" s="8">
        <v>3.5598705501618123E-2</v>
      </c>
      <c r="H20" s="8">
        <v>3.1185031185031187E-2</v>
      </c>
      <c r="I20" s="6">
        <v>0.2526682027548548</v>
      </c>
      <c r="J20" s="7">
        <f>J19+B20</f>
        <v>0.2526682027548548</v>
      </c>
      <c r="K20" s="7">
        <f>K19+C20</f>
        <v>0.24228250701590273</v>
      </c>
      <c r="L20" s="7">
        <f>L19+D20</f>
        <v>0.15732087227414329</v>
      </c>
      <c r="M20" s="7">
        <f>M19+E20</f>
        <v>0.21378504672897194</v>
      </c>
      <c r="N20" s="7">
        <f>N19+F20</f>
        <v>0.22470588235294117</v>
      </c>
      <c r="O20" s="7">
        <f>O19+G20</f>
        <v>0.33549083063646179</v>
      </c>
      <c r="P20" s="7">
        <f>P19+H20</f>
        <v>0.32224532224532226</v>
      </c>
    </row>
    <row r="21" spans="1:16" x14ac:dyDescent="0.3">
      <c r="A21" s="3" t="s">
        <v>112</v>
      </c>
      <c r="B21" s="8">
        <v>3.4972730407736963E-2</v>
      </c>
      <c r="C21" s="8">
        <v>2.1515434985968196E-2</v>
      </c>
      <c r="D21" s="8">
        <v>7.7881619937694704E-3</v>
      </c>
      <c r="E21" s="8">
        <v>1.5186915887850467E-2</v>
      </c>
      <c r="F21" s="8">
        <v>1.8235294117647058E-2</v>
      </c>
      <c r="G21" s="8">
        <v>4.5307443365695796E-2</v>
      </c>
      <c r="H21" s="8">
        <v>4.1580041580041582E-2</v>
      </c>
      <c r="I21" s="6">
        <v>0.28764093316259176</v>
      </c>
      <c r="J21" s="7">
        <f>J20+B21</f>
        <v>0.28764093316259176</v>
      </c>
      <c r="K21" s="7">
        <f>K20+C21</f>
        <v>0.2637979420018709</v>
      </c>
      <c r="L21" s="7">
        <f>L20+D21</f>
        <v>0.16510903426791276</v>
      </c>
      <c r="M21" s="7">
        <f>M20+E21</f>
        <v>0.2289719626168224</v>
      </c>
      <c r="N21" s="7">
        <f>N20+F21</f>
        <v>0.24294117647058822</v>
      </c>
      <c r="O21" s="7">
        <f>O20+G21</f>
        <v>0.3807982740021576</v>
      </c>
      <c r="P21" s="7">
        <f>P20+H21</f>
        <v>0.36382536382536385</v>
      </c>
    </row>
    <row r="22" spans="1:16" x14ac:dyDescent="0.3">
      <c r="A22" s="3" t="s">
        <v>113</v>
      </c>
      <c r="B22" s="8">
        <v>5.1097263376157831E-2</v>
      </c>
      <c r="C22" s="8">
        <v>4.11599625818522E-2</v>
      </c>
      <c r="D22" s="8">
        <v>5.6074766355140186E-2</v>
      </c>
      <c r="E22" s="8">
        <v>9.8130841121495324E-2</v>
      </c>
      <c r="F22" s="8">
        <v>7.1764705882352939E-2</v>
      </c>
      <c r="G22" s="8">
        <v>7.982740021574973E-2</v>
      </c>
      <c r="H22" s="8">
        <v>7.2765072765072769E-2</v>
      </c>
      <c r="I22" s="6">
        <v>0.33873819653874959</v>
      </c>
      <c r="J22" s="7">
        <f>J21+B22</f>
        <v>0.33873819653874959</v>
      </c>
      <c r="K22" s="7">
        <f>K21+C22</f>
        <v>0.30495790458372307</v>
      </c>
      <c r="L22" s="7">
        <f>L21+D22</f>
        <v>0.22118380062305296</v>
      </c>
      <c r="M22" s="7">
        <f>M21+E22</f>
        <v>0.32710280373831774</v>
      </c>
      <c r="N22" s="7">
        <f>N21+F22</f>
        <v>0.31470588235294117</v>
      </c>
      <c r="O22" s="7">
        <f>O21+G22</f>
        <v>0.46062567421790734</v>
      </c>
      <c r="P22" s="7">
        <f>P21+H22</f>
        <v>0.43659043659043661</v>
      </c>
    </row>
    <row r="23" spans="1:16" x14ac:dyDescent="0.3">
      <c r="A23" s="3" t="s">
        <v>114</v>
      </c>
      <c r="B23" s="8">
        <v>5.4591900612604854E-2</v>
      </c>
      <c r="C23" s="8">
        <v>2.8999064546304958E-2</v>
      </c>
      <c r="D23" s="8">
        <v>1.7133956386292833E-2</v>
      </c>
      <c r="E23" s="8">
        <v>2.1028037383177569E-2</v>
      </c>
      <c r="F23" s="8">
        <v>3.8823529411764708E-2</v>
      </c>
      <c r="G23" s="8">
        <v>1.7259978425026967E-2</v>
      </c>
      <c r="H23" s="8">
        <v>1.0395010395010396E-2</v>
      </c>
      <c r="I23" s="6">
        <v>0.39333009715135447</v>
      </c>
      <c r="J23" s="7">
        <f>J22+B23</f>
        <v>0.39333009715135447</v>
      </c>
      <c r="K23" s="7">
        <f>K22+C23</f>
        <v>0.33395696913002804</v>
      </c>
      <c r="L23" s="7">
        <f>L22+D23</f>
        <v>0.23831775700934579</v>
      </c>
      <c r="M23" s="7">
        <f>M22+E23</f>
        <v>0.34813084112149528</v>
      </c>
      <c r="N23" s="7">
        <f>N22+F23</f>
        <v>0.35352941176470587</v>
      </c>
      <c r="O23" s="7">
        <f>O22+G23</f>
        <v>0.47788565264293431</v>
      </c>
      <c r="P23" s="7">
        <f>P22+H23</f>
        <v>0.44698544698544701</v>
      </c>
    </row>
    <row r="24" spans="1:16" x14ac:dyDescent="0.3">
      <c r="A24" s="3" t="s">
        <v>115</v>
      </c>
      <c r="B24" s="8">
        <v>7.0832848272120441E-2</v>
      </c>
      <c r="C24" s="8">
        <v>6.2675397567820396E-2</v>
      </c>
      <c r="D24" s="8">
        <v>3.8940809968847349E-2</v>
      </c>
      <c r="E24" s="8">
        <v>2.8037383177570093E-2</v>
      </c>
      <c r="F24" s="8">
        <v>3.7647058823529408E-2</v>
      </c>
      <c r="G24" s="8">
        <v>3.0204962243797196E-2</v>
      </c>
      <c r="H24" s="8">
        <v>4.9896049896049899E-2</v>
      </c>
      <c r="I24" s="6">
        <v>0.46416294542347492</v>
      </c>
      <c r="J24" s="6">
        <f>J23+B24</f>
        <v>0.46416294542347492</v>
      </c>
      <c r="K24" s="6">
        <f>K23+C24</f>
        <v>0.3966323666978484</v>
      </c>
      <c r="L24" s="6">
        <f>L23+D24</f>
        <v>0.27725856697819312</v>
      </c>
      <c r="M24" s="6">
        <f>M23+E24</f>
        <v>0.37616822429906538</v>
      </c>
      <c r="N24" s="6">
        <f>N23+F24</f>
        <v>0.39117647058823529</v>
      </c>
      <c r="O24" s="6">
        <f>O23+G24</f>
        <v>0.50809061488673146</v>
      </c>
      <c r="P24" s="6">
        <f>P23+H24</f>
        <v>0.49688149688149691</v>
      </c>
    </row>
    <row r="25" spans="1:16" x14ac:dyDescent="0.3">
      <c r="A25" s="3" t="s">
        <v>116</v>
      </c>
      <c r="B25" s="8">
        <v>0.53583705457652508</v>
      </c>
      <c r="C25" s="8">
        <v>0.6033676333021516</v>
      </c>
      <c r="D25" s="8">
        <v>0.72274143302180682</v>
      </c>
      <c r="E25" s="8">
        <v>0.62383177570093462</v>
      </c>
      <c r="F25" s="8">
        <v>0.60882352941176465</v>
      </c>
      <c r="G25" s="8">
        <v>0.49190938511326859</v>
      </c>
      <c r="H25" s="8">
        <v>0.50311850311850315</v>
      </c>
      <c r="I25" s="6">
        <v>1</v>
      </c>
      <c r="J25" s="6">
        <f>J24+B25</f>
        <v>1</v>
      </c>
      <c r="K25" s="6">
        <f>K24+C25</f>
        <v>1</v>
      </c>
      <c r="L25" s="6">
        <f>L24+D25</f>
        <v>1</v>
      </c>
      <c r="M25" s="6">
        <f>M24+E25</f>
        <v>1</v>
      </c>
      <c r="N25" s="6">
        <f>N24+F25</f>
        <v>1</v>
      </c>
      <c r="O25" s="6">
        <f>O24+G25</f>
        <v>1</v>
      </c>
      <c r="P25" s="6">
        <f>P24+H25</f>
        <v>1</v>
      </c>
    </row>
    <row r="27" spans="1:16" ht="28.8" x14ac:dyDescent="0.3">
      <c r="B27" s="1" t="s">
        <v>0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J27" s="5"/>
      <c r="K27" s="18" t="s">
        <v>28</v>
      </c>
      <c r="L27" s="18" t="s">
        <v>29</v>
      </c>
      <c r="M27" s="18" t="s">
        <v>30</v>
      </c>
      <c r="N27" s="18" t="s">
        <v>31</v>
      </c>
      <c r="O27" s="18" t="s">
        <v>32</v>
      </c>
      <c r="P27" s="18" t="s">
        <v>33</v>
      </c>
    </row>
    <row r="28" spans="1:16" x14ac:dyDescent="0.3">
      <c r="B28" s="3" t="s">
        <v>93</v>
      </c>
      <c r="C28" s="7">
        <f>C2-B2</f>
        <v>-1.5905254513526735E-3</v>
      </c>
      <c r="D28" s="7">
        <f>D2-B2</f>
        <v>-2.5259791463947689E-3</v>
      </c>
      <c r="E28" s="7">
        <f>E2-B2</f>
        <v>-2.5259791463947689E-3</v>
      </c>
      <c r="F28" s="7">
        <f>F2-B2</f>
        <v>-2.5259791463947689E-3</v>
      </c>
      <c r="G28" s="7">
        <f>G2-B2</f>
        <v>-1.4472304948305835E-3</v>
      </c>
      <c r="H28" s="7">
        <f>H2-B2</f>
        <v>-2.5259791463947689E-3</v>
      </c>
      <c r="J28" s="3" t="s">
        <v>93</v>
      </c>
      <c r="K28" s="5">
        <f>(J2-0) * ((K2+0))</f>
        <v>2.3629365260942646E-6</v>
      </c>
      <c r="L28" s="5">
        <f>(J2-0) * ((L2+0))</f>
        <v>0</v>
      </c>
      <c r="M28" s="5">
        <f>(J2-0) * ((M2+0))</f>
        <v>0</v>
      </c>
      <c r="N28" s="5">
        <f>(J2-0) * ((N2+0))</f>
        <v>0</v>
      </c>
      <c r="O28" s="5">
        <f>(J2-0) * ((O2+0))</f>
        <v>2.7248965980526093E-6</v>
      </c>
      <c r="P28" s="5">
        <f>(J2-0) * ((P2+0))</f>
        <v>0</v>
      </c>
    </row>
    <row r="29" spans="1:16" x14ac:dyDescent="0.3">
      <c r="B29" s="3" t="s">
        <v>94</v>
      </c>
      <c r="C29" s="7">
        <f t="shared" ref="C29:C51" si="0">C3-B3</f>
        <v>5.1062421363398721E-3</v>
      </c>
      <c r="D29" s="7">
        <f t="shared" ref="D29:D51" si="1">D3-B3</f>
        <v>-5.1837485091231778E-3</v>
      </c>
      <c r="E29" s="7">
        <f t="shared" ref="E29:E51" si="2">E3-B3</f>
        <v>-1.6790756119269162E-3</v>
      </c>
      <c r="F29" s="7">
        <f t="shared" ref="F29:F51" si="3">F3-B3</f>
        <v>6.5809573732297632E-3</v>
      </c>
      <c r="G29" s="7">
        <f t="shared" ref="G29:G51" si="4">G3-B3</f>
        <v>3.4462407033903058E-3</v>
      </c>
      <c r="H29" s="7">
        <f t="shared" ref="H29:H51" si="5">H3-B3</f>
        <v>7.2902639648892969E-3</v>
      </c>
      <c r="J29" s="3" t="s">
        <v>94</v>
      </c>
      <c r="K29" s="5">
        <f>(J3-J2) * ((K3+K2))</f>
        <v>6.3039037061367E-5</v>
      </c>
      <c r="L29" s="5">
        <f>(J3-J2) * ((L3+L2))</f>
        <v>0</v>
      </c>
      <c r="M29" s="5">
        <f>(J3-J2) * ((M3+M2))</f>
        <v>1.8167342905805531E-5</v>
      </c>
      <c r="N29" s="5">
        <f>(J3-J2) * ((N3+N2))</f>
        <v>6.0985276577919739E-5</v>
      </c>
      <c r="O29" s="5">
        <f>(J3-J2) * ((O3+O2))</f>
        <v>5.5919617142644847E-5</v>
      </c>
      <c r="P29" s="5">
        <f>(J3-J2) * ((P3+P2))</f>
        <v>6.466214356494609E-5</v>
      </c>
    </row>
    <row r="30" spans="1:16" x14ac:dyDescent="0.3">
      <c r="B30" s="3" t="s">
        <v>95</v>
      </c>
      <c r="C30" s="7">
        <f t="shared" si="0"/>
        <v>2.0319076113351842E-3</v>
      </c>
      <c r="D30" s="7">
        <f t="shared" si="1"/>
        <v>-3.894089550247685E-3</v>
      </c>
      <c r="E30" s="7">
        <f t="shared" si="2"/>
        <v>5.0622967425872053E-3</v>
      </c>
      <c r="F30" s="7">
        <f t="shared" si="3"/>
        <v>-4.2752513607662856E-3</v>
      </c>
      <c r="G30" s="7">
        <f t="shared" si="4"/>
        <v>7.4932618697686479E-3</v>
      </c>
      <c r="H30" s="7">
        <f t="shared" si="5"/>
        <v>-5.4517219490015792E-3</v>
      </c>
      <c r="J30" s="3" t="s">
        <v>95</v>
      </c>
      <c r="K30" s="5">
        <f t="shared" ref="K30:K51" si="6">(J4-J3) * ((K4+K3))</f>
        <v>1.6319467012913992E-4</v>
      </c>
      <c r="L30" s="5">
        <f t="shared" ref="L30:L51" si="7">(J4-J3) * ((L4+L3))</f>
        <v>8.4917787367625851E-6</v>
      </c>
      <c r="M30" s="5">
        <f t="shared" ref="M30:M51" si="8">(J4-J3) * ((M4+M3))</f>
        <v>9.5532510788579083E-5</v>
      </c>
      <c r="N30" s="5">
        <f t="shared" ref="N30:N51" si="9">(J4-J3) * ((N4+N3))</f>
        <v>1.346896010929802E-4</v>
      </c>
      <c r="O30" s="5">
        <f t="shared" ref="O30:O51" si="10">(J4-J3) * ((O4+O3))</f>
        <v>1.7643113103564987E-4</v>
      </c>
      <c r="P30" s="5">
        <f t="shared" ref="P30:P51" si="11">(J4-J3) * ((P4+P3))</f>
        <v>1.3600969519338661E-4</v>
      </c>
    </row>
    <row r="31" spans="1:16" x14ac:dyDescent="0.3">
      <c r="B31" s="3" t="s">
        <v>96</v>
      </c>
      <c r="C31" s="7">
        <f t="shared" si="0"/>
        <v>-1.0583900909488277E-5</v>
      </c>
      <c r="D31" s="7">
        <f t="shared" si="1"/>
        <v>-1.8858625699424746E-3</v>
      </c>
      <c r="E31" s="7">
        <f t="shared" si="2"/>
        <v>-1.8858625699424746E-3</v>
      </c>
      <c r="F31" s="7">
        <f t="shared" si="3"/>
        <v>-6.7640682502768598E-4</v>
      </c>
      <c r="G31" s="7">
        <f t="shared" si="4"/>
        <v>1.1779967310386996E-2</v>
      </c>
      <c r="H31" s="7">
        <f t="shared" si="5"/>
        <v>3.8362506288062391E-3</v>
      </c>
      <c r="J31" s="3" t="s">
        <v>96</v>
      </c>
      <c r="K31" s="5">
        <f t="shared" si="6"/>
        <v>2.8836455473488812E-4</v>
      </c>
      <c r="L31" s="5">
        <f t="shared" si="7"/>
        <v>5.1080683537415551E-5</v>
      </c>
      <c r="M31" s="5">
        <f t="shared" si="8"/>
        <v>2.1453887085714528E-4</v>
      </c>
      <c r="N31" s="5">
        <f t="shared" si="9"/>
        <v>2.0833707492648495E-4</v>
      </c>
      <c r="O31" s="5">
        <f t="shared" si="10"/>
        <v>4.1743994196984389E-4</v>
      </c>
      <c r="P31" s="5">
        <f t="shared" si="11"/>
        <v>2.3180647822343173E-4</v>
      </c>
    </row>
    <row r="32" spans="1:16" x14ac:dyDescent="0.3">
      <c r="B32" s="3" t="s">
        <v>97</v>
      </c>
      <c r="C32" s="7">
        <f t="shared" si="0"/>
        <v>-3.1862144326967167E-3</v>
      </c>
      <c r="D32" s="7">
        <f t="shared" si="1"/>
        <v>1.0828105877139534E-2</v>
      </c>
      <c r="E32" s="7">
        <f t="shared" si="2"/>
        <v>3.8187600827470115E-3</v>
      </c>
      <c r="F32" s="7">
        <f t="shared" si="3"/>
        <v>-3.7458358490836639E-3</v>
      </c>
      <c r="G32" s="7">
        <f t="shared" si="4"/>
        <v>1.1553992820248144E-2</v>
      </c>
      <c r="H32" s="7">
        <f t="shared" si="5"/>
        <v>4.6105295661052811E-3</v>
      </c>
      <c r="J32" s="3" t="s">
        <v>97</v>
      </c>
      <c r="K32" s="5">
        <f t="shared" si="6"/>
        <v>4.3399952438402645E-4</v>
      </c>
      <c r="L32" s="5">
        <f t="shared" si="7"/>
        <v>2.4496831488807452E-4</v>
      </c>
      <c r="M32" s="5">
        <f t="shared" si="8"/>
        <v>3.858250959487173E-4</v>
      </c>
      <c r="N32" s="5">
        <f t="shared" si="9"/>
        <v>3.2841605085965329E-4</v>
      </c>
      <c r="O32" s="5">
        <f t="shared" si="10"/>
        <v>7.9737582884927298E-4</v>
      </c>
      <c r="P32" s="5">
        <f t="shared" si="11"/>
        <v>4.5774952478461824E-4</v>
      </c>
    </row>
    <row r="33" spans="2:16" x14ac:dyDescent="0.3">
      <c r="B33" s="3" t="s">
        <v>98</v>
      </c>
      <c r="C33" s="7">
        <f t="shared" si="0"/>
        <v>-4.1721877106667077E-3</v>
      </c>
      <c r="D33" s="7">
        <f t="shared" si="1"/>
        <v>-7.9140024908350894E-3</v>
      </c>
      <c r="E33" s="7">
        <f t="shared" si="2"/>
        <v>-7.9140024908350894E-3</v>
      </c>
      <c r="F33" s="7">
        <f t="shared" si="3"/>
        <v>9.0952692092961633E-4</v>
      </c>
      <c r="G33" s="7">
        <f t="shared" si="4"/>
        <v>8.2672272826276923E-3</v>
      </c>
      <c r="H33" s="7">
        <f t="shared" si="5"/>
        <v>4.0200582517322704E-4</v>
      </c>
      <c r="J33" s="3" t="s">
        <v>98</v>
      </c>
      <c r="K33" s="5">
        <f t="shared" si="6"/>
        <v>5.0341643533843427E-4</v>
      </c>
      <c r="L33" s="5">
        <f t="shared" si="7"/>
        <v>3.9446741387340019E-4</v>
      </c>
      <c r="M33" s="5">
        <f t="shared" si="8"/>
        <v>4.8075716065820642E-4</v>
      </c>
      <c r="N33" s="5">
        <f t="shared" si="9"/>
        <v>4.3294248920450797E-4</v>
      </c>
      <c r="O33" s="5">
        <f t="shared" si="10"/>
        <v>1.0842268784639229E-3</v>
      </c>
      <c r="P33" s="5">
        <f t="shared" si="11"/>
        <v>6.2522265000360393E-4</v>
      </c>
    </row>
    <row r="34" spans="2:16" x14ac:dyDescent="0.3">
      <c r="B34" s="3" t="s">
        <v>99</v>
      </c>
      <c r="C34" s="7">
        <f t="shared" si="0"/>
        <v>9.9052306088279994E-3</v>
      </c>
      <c r="D34" s="7">
        <f t="shared" si="1"/>
        <v>-1.951134993286534E-3</v>
      </c>
      <c r="E34" s="7">
        <f t="shared" si="2"/>
        <v>-3.8981754917289018E-3</v>
      </c>
      <c r="F34" s="7">
        <f t="shared" si="3"/>
        <v>-1.504002869408945E-3</v>
      </c>
      <c r="G34" s="7">
        <f t="shared" si="4"/>
        <v>-3.2668050776708908E-3</v>
      </c>
      <c r="H34" s="7">
        <f t="shared" si="5"/>
        <v>-1.4232886710476879E-3</v>
      </c>
      <c r="J34" s="3" t="s">
        <v>99</v>
      </c>
      <c r="K34" s="5">
        <f t="shared" si="6"/>
        <v>8.4729150588981183E-4</v>
      </c>
      <c r="L34" s="5">
        <f t="shared" si="7"/>
        <v>5.6129904754061101E-4</v>
      </c>
      <c r="M34" s="5">
        <f t="shared" si="8"/>
        <v>6.4852795357732754E-4</v>
      </c>
      <c r="N34" s="5">
        <f t="shared" si="9"/>
        <v>6.9893778377696071E-4</v>
      </c>
      <c r="O34" s="5">
        <f t="shared" si="10"/>
        <v>1.5549255168115308E-3</v>
      </c>
      <c r="P34" s="5">
        <f t="shared" si="11"/>
        <v>9.3140885946897374E-4</v>
      </c>
    </row>
    <row r="35" spans="2:16" x14ac:dyDescent="0.3">
      <c r="B35" s="3" t="s">
        <v>100</v>
      </c>
      <c r="C35" s="7">
        <f t="shared" si="0"/>
        <v>-6.9461149235630817E-3</v>
      </c>
      <c r="D35" s="7">
        <f t="shared" si="1"/>
        <v>-6.6372112111815797E-3</v>
      </c>
      <c r="E35" s="7">
        <f t="shared" si="2"/>
        <v>-9.7524760086893682E-3</v>
      </c>
      <c r="F35" s="7">
        <f t="shared" si="3"/>
        <v>2.0122298736635728E-3</v>
      </c>
      <c r="G35" s="7">
        <f t="shared" si="4"/>
        <v>1.290124567415853E-2</v>
      </c>
      <c r="H35" s="7">
        <f t="shared" si="5"/>
        <v>2.5590559334345977E-2</v>
      </c>
      <c r="J35" s="3" t="s">
        <v>100</v>
      </c>
      <c r="K35" s="5">
        <f t="shared" si="6"/>
        <v>1.0673897970221288E-3</v>
      </c>
      <c r="L35" s="5">
        <f t="shared" si="7"/>
        <v>6.6839399436500308E-4</v>
      </c>
      <c r="M35" s="5">
        <f t="shared" si="8"/>
        <v>7.0637092586301473E-4</v>
      </c>
      <c r="N35" s="5">
        <f t="shared" si="9"/>
        <v>8.9493309256208299E-4</v>
      </c>
      <c r="O35" s="5">
        <f t="shared" si="10"/>
        <v>1.8410823101625015E-3</v>
      </c>
      <c r="P35" s="5">
        <f t="shared" si="11"/>
        <v>1.3584529991313668E-3</v>
      </c>
    </row>
    <row r="36" spans="2:16" x14ac:dyDescent="0.3">
      <c r="B36" s="3" t="s">
        <v>101</v>
      </c>
      <c r="C36" s="7">
        <f t="shared" si="0"/>
        <v>-3.2416407046892319E-3</v>
      </c>
      <c r="D36" s="7">
        <f t="shared" si="1"/>
        <v>-3.559286974968324E-3</v>
      </c>
      <c r="E36" s="7">
        <f t="shared" si="2"/>
        <v>-7.4533679718530588E-3</v>
      </c>
      <c r="F36" s="7">
        <f t="shared" si="3"/>
        <v>-5.0839342170427241E-3</v>
      </c>
      <c r="G36" s="7">
        <f t="shared" si="4"/>
        <v>-8.1078705906231091E-5</v>
      </c>
      <c r="H36" s="7">
        <f t="shared" si="5"/>
        <v>-9.7898165699839002E-3</v>
      </c>
      <c r="J36" s="3" t="s">
        <v>101</v>
      </c>
      <c r="K36" s="5">
        <f t="shared" si="6"/>
        <v>1.1630558506903232E-3</v>
      </c>
      <c r="L36" s="5">
        <f t="shared" si="7"/>
        <v>7.6244677336323203E-4</v>
      </c>
      <c r="M36" s="5">
        <f t="shared" si="8"/>
        <v>7.3194890242870279E-4</v>
      </c>
      <c r="N36" s="5">
        <f t="shared" si="9"/>
        <v>1.0596036758100222E-3</v>
      </c>
      <c r="O36" s="5">
        <f t="shared" si="10"/>
        <v>2.1649540419058249E-3</v>
      </c>
      <c r="P36" s="5">
        <f t="shared" si="11"/>
        <v>1.7096561161718247E-3</v>
      </c>
    </row>
    <row r="37" spans="2:16" x14ac:dyDescent="0.3">
      <c r="B37" s="3" t="s">
        <v>102</v>
      </c>
      <c r="C37" s="7">
        <f t="shared" si="0"/>
        <v>1.6679434708571778E-3</v>
      </c>
      <c r="D37" s="7">
        <f t="shared" si="1"/>
        <v>-8.3131434622243702E-3</v>
      </c>
      <c r="E37" s="7">
        <f t="shared" si="2"/>
        <v>3.7585076281183086E-3</v>
      </c>
      <c r="F37" s="7">
        <f t="shared" si="3"/>
        <v>-8.401729656145121E-4</v>
      </c>
      <c r="G37" s="7">
        <f t="shared" si="4"/>
        <v>2.5953242106022539E-3</v>
      </c>
      <c r="H37" s="7">
        <f t="shared" si="5"/>
        <v>2.3914627083303185E-2</v>
      </c>
      <c r="J37" s="3" t="s">
        <v>102</v>
      </c>
      <c r="K37" s="5">
        <f t="shared" si="6"/>
        <v>1.5822305167823747E-3</v>
      </c>
      <c r="L37" s="5">
        <f t="shared" si="7"/>
        <v>9.9687050240654298E-4</v>
      </c>
      <c r="M37" s="5">
        <f t="shared" si="8"/>
        <v>1.0547245940640655E-3</v>
      </c>
      <c r="N37" s="5">
        <f t="shared" si="9"/>
        <v>1.4117445497316191E-3</v>
      </c>
      <c r="O37" s="5">
        <f t="shared" si="10"/>
        <v>2.798542259934411E-3</v>
      </c>
      <c r="P37" s="5">
        <f t="shared" si="11"/>
        <v>2.3997281376984358E-3</v>
      </c>
    </row>
    <row r="38" spans="2:16" x14ac:dyDescent="0.3">
      <c r="B38" s="3" t="s">
        <v>103</v>
      </c>
      <c r="C38" s="7">
        <f t="shared" si="0"/>
        <v>3.8214293032784452E-3</v>
      </c>
      <c r="D38" s="7">
        <f t="shared" si="1"/>
        <v>-1.4911317124902141E-3</v>
      </c>
      <c r="E38" s="7">
        <f t="shared" si="2"/>
        <v>-3.4381722109325819E-3</v>
      </c>
      <c r="F38" s="7">
        <f t="shared" si="3"/>
        <v>2.5183973327727524E-3</v>
      </c>
      <c r="G38" s="7">
        <f t="shared" si="4"/>
        <v>1.5174022689711644E-2</v>
      </c>
      <c r="H38" s="7">
        <f t="shared" si="5"/>
        <v>-3.5571805075109708E-3</v>
      </c>
      <c r="J38" s="3" t="s">
        <v>103</v>
      </c>
      <c r="K38" s="5">
        <f t="shared" si="6"/>
        <v>2.362344764599034E-3</v>
      </c>
      <c r="L38" s="5">
        <f t="shared" si="7"/>
        <v>1.4343373825021965E-3</v>
      </c>
      <c r="M38" s="5">
        <f t="shared" si="8"/>
        <v>1.6462281321900211E-3</v>
      </c>
      <c r="N38" s="5">
        <f t="shared" si="9"/>
        <v>2.1010358064973349E-3</v>
      </c>
      <c r="O38" s="5">
        <f t="shared" si="10"/>
        <v>4.0185922016970927E-3</v>
      </c>
      <c r="P38" s="5">
        <f t="shared" si="11"/>
        <v>3.5678159688360251E-3</v>
      </c>
    </row>
    <row r="39" spans="2:16" x14ac:dyDescent="0.3">
      <c r="B39" s="3" t="s">
        <v>104</v>
      </c>
      <c r="C39" s="7">
        <f t="shared" si="0"/>
        <v>3.0872834171676855E-3</v>
      </c>
      <c r="D39" s="7">
        <f t="shared" si="1"/>
        <v>-8.769082184946847E-3</v>
      </c>
      <c r="E39" s="7">
        <f t="shared" si="2"/>
        <v>5.6390175035266714E-3</v>
      </c>
      <c r="F39" s="7">
        <f t="shared" si="3"/>
        <v>5.2074617036366212E-3</v>
      </c>
      <c r="G39" s="7">
        <f t="shared" si="4"/>
        <v>3.9389802010032088E-3</v>
      </c>
      <c r="H39" s="7">
        <f t="shared" si="5"/>
        <v>6.311778690306552E-3</v>
      </c>
      <c r="J39" s="3" t="s">
        <v>104</v>
      </c>
      <c r="K39" s="5">
        <f t="shared" si="6"/>
        <v>3.4229662895194635E-3</v>
      </c>
      <c r="L39" s="5">
        <f t="shared" si="7"/>
        <v>2.0374178973809796E-3</v>
      </c>
      <c r="M39" s="5">
        <f t="shared" si="8"/>
        <v>2.4951921717925288E-3</v>
      </c>
      <c r="N39" s="5">
        <f t="shared" si="9"/>
        <v>3.1263972831576106E-3</v>
      </c>
      <c r="O39" s="5">
        <f t="shared" si="10"/>
        <v>5.5905258122310765E-3</v>
      </c>
      <c r="P39" s="5">
        <f t="shared" si="11"/>
        <v>4.7847337647433852E-3</v>
      </c>
    </row>
    <row r="40" spans="2:16" x14ac:dyDescent="0.3">
      <c r="B40" s="3" t="s">
        <v>105</v>
      </c>
      <c r="C40" s="7">
        <f t="shared" si="0"/>
        <v>-4.92790001571476E-3</v>
      </c>
      <c r="D40" s="7">
        <f t="shared" si="1"/>
        <v>-3.0701064624769538E-3</v>
      </c>
      <c r="E40" s="7">
        <f t="shared" si="2"/>
        <v>4.345664347193065E-4</v>
      </c>
      <c r="F40" s="7">
        <f t="shared" si="3"/>
        <v>-3.5593862865561186E-3</v>
      </c>
      <c r="G40" s="7">
        <f t="shared" si="4"/>
        <v>8.8011695862784539E-3</v>
      </c>
      <c r="H40" s="7">
        <f t="shared" si="5"/>
        <v>2.0333239370775424E-2</v>
      </c>
      <c r="J40" s="3" t="s">
        <v>105</v>
      </c>
      <c r="K40" s="5">
        <f t="shared" si="6"/>
        <v>4.0763737166247043E-3</v>
      </c>
      <c r="L40" s="5">
        <f t="shared" si="7"/>
        <v>2.4754800915379525E-3</v>
      </c>
      <c r="M40" s="5">
        <f t="shared" si="8"/>
        <v>3.2540585074248896E-3</v>
      </c>
      <c r="N40" s="5">
        <f t="shared" si="9"/>
        <v>3.8299012103122478E-3</v>
      </c>
      <c r="O40" s="5">
        <f t="shared" si="10"/>
        <v>6.5626883562559567E-3</v>
      </c>
      <c r="P40" s="5">
        <f t="shared" si="11"/>
        <v>5.9686446416050221E-3</v>
      </c>
    </row>
    <row r="41" spans="2:16" x14ac:dyDescent="0.3">
      <c r="B41" s="3" t="s">
        <v>106</v>
      </c>
      <c r="C41" s="7">
        <f t="shared" si="0"/>
        <v>4.6306549290965858E-3</v>
      </c>
      <c r="D41" s="7">
        <f>D15-B15</f>
        <v>-5.3591745618825504E-3</v>
      </c>
      <c r="E41" s="7">
        <f>E15-B15</f>
        <v>3.2078036312638662E-3</v>
      </c>
      <c r="F41" s="7">
        <f t="shared" si="3"/>
        <v>9.8268250716157107E-3</v>
      </c>
      <c r="G41" s="7">
        <f t="shared" si="4"/>
        <v>1.2384728491883493E-2</v>
      </c>
      <c r="H41" s="7">
        <f t="shared" si="5"/>
        <v>-7.4252233569033071E-3</v>
      </c>
      <c r="J41" s="3" t="s">
        <v>106</v>
      </c>
      <c r="K41" s="5">
        <f t="shared" si="6"/>
        <v>4.8676410248445256E-3</v>
      </c>
      <c r="L41" s="5">
        <f t="shared" si="7"/>
        <v>3.0533110789883267E-3</v>
      </c>
      <c r="M41" s="5">
        <f t="shared" si="8"/>
        <v>4.0803338964662183E-3</v>
      </c>
      <c r="N41" s="5">
        <f t="shared" si="9"/>
        <v>4.7276031894782789E-3</v>
      </c>
      <c r="O41" s="5">
        <f t="shared" si="10"/>
        <v>7.8432096772176763E-3</v>
      </c>
      <c r="P41" s="5">
        <f t="shared" si="11"/>
        <v>7.0762258765395322E-3</v>
      </c>
    </row>
    <row r="42" spans="2:16" x14ac:dyDescent="0.3">
      <c r="B42" s="3" t="s">
        <v>107</v>
      </c>
      <c r="C42" s="7">
        <f t="shared" si="0"/>
        <v>-6.4591198697172957E-3</v>
      </c>
      <c r="D42" s="7">
        <f t="shared" si="1"/>
        <v>-1.1767309606537161E-2</v>
      </c>
      <c r="E42" s="7">
        <f t="shared" si="2"/>
        <v>-7.873228609652427E-3</v>
      </c>
      <c r="F42" s="7">
        <f t="shared" si="3"/>
        <v>-1.9084127767772206E-3</v>
      </c>
      <c r="G42" s="7">
        <f t="shared" si="4"/>
        <v>-6.610487781536405E-3</v>
      </c>
      <c r="H42" s="7">
        <f t="shared" si="5"/>
        <v>-5.0024570472920783E-3</v>
      </c>
      <c r="J42" s="3" t="s">
        <v>107</v>
      </c>
      <c r="K42" s="5">
        <f t="shared" si="6"/>
        <v>6.0367685950432071E-3</v>
      </c>
      <c r="L42" s="5">
        <f t="shared" si="7"/>
        <v>3.7466090449185595E-3</v>
      </c>
      <c r="M42" s="5">
        <f t="shared" si="8"/>
        <v>5.117319671108277E-3</v>
      </c>
      <c r="N42" s="5">
        <f t="shared" si="9"/>
        <v>6.0736994146834708E-3</v>
      </c>
      <c r="O42" s="5">
        <f t="shared" si="10"/>
        <v>9.4507565015505626E-3</v>
      </c>
      <c r="P42" s="5">
        <f t="shared" si="11"/>
        <v>8.2531408209194305E-3</v>
      </c>
    </row>
    <row r="43" spans="2:16" x14ac:dyDescent="0.3">
      <c r="B43" s="3" t="s">
        <v>108</v>
      </c>
      <c r="C43" s="7">
        <f t="shared" si="0"/>
        <v>-1.0315152837374834E-2</v>
      </c>
      <c r="D43" s="7">
        <f t="shared" si="1"/>
        <v>-1.3439160192780211E-2</v>
      </c>
      <c r="E43" s="7">
        <f t="shared" si="2"/>
        <v>3.6947961935126228E-3</v>
      </c>
      <c r="F43" s="7">
        <f t="shared" si="3"/>
        <v>-4.3755721407369632E-3</v>
      </c>
      <c r="G43" s="7">
        <f t="shared" si="4"/>
        <v>-2.5221405964044943E-4</v>
      </c>
      <c r="H43" s="7">
        <f t="shared" si="5"/>
        <v>2.6068355950249953E-2</v>
      </c>
      <c r="J43" s="3" t="s">
        <v>108</v>
      </c>
      <c r="K43" s="5">
        <f t="shared" si="6"/>
        <v>6.513629733283172E-3</v>
      </c>
      <c r="L43" s="5">
        <f t="shared" si="7"/>
        <v>4.0442352834720316E-3</v>
      </c>
      <c r="M43" s="5">
        <f t="shared" si="8"/>
        <v>5.836566829556228E-3</v>
      </c>
      <c r="N43" s="5">
        <f t="shared" si="9"/>
        <v>6.7571169623957305E-3</v>
      </c>
      <c r="O43" s="5">
        <f t="shared" si="10"/>
        <v>1.0142515338259321E-2</v>
      </c>
      <c r="P43" s="5">
        <f t="shared" si="11"/>
        <v>9.4872516232195926E-3</v>
      </c>
    </row>
    <row r="44" spans="2:16" x14ac:dyDescent="0.3">
      <c r="B44" s="3" t="s">
        <v>109</v>
      </c>
      <c r="C44" s="7">
        <f t="shared" si="0"/>
        <v>-1.1566183897022755E-3</v>
      </c>
      <c r="D44" s="7">
        <f t="shared" si="1"/>
        <v>-1.0833172889351117E-2</v>
      </c>
      <c r="E44" s="7">
        <f t="shared" si="2"/>
        <v>-4.2132351946470685E-3</v>
      </c>
      <c r="F44" s="7">
        <f t="shared" si="3"/>
        <v>-5.2660114453342566E-3</v>
      </c>
      <c r="G44" s="7">
        <f t="shared" si="4"/>
        <v>-8.7916158618581482E-3</v>
      </c>
      <c r="H44" s="7">
        <f t="shared" si="5"/>
        <v>3.211425267396574E-3</v>
      </c>
      <c r="J44" s="3" t="s">
        <v>109</v>
      </c>
      <c r="K44" s="5">
        <f t="shared" si="6"/>
        <v>7.8487628407133362E-3</v>
      </c>
      <c r="L44" s="5">
        <f t="shared" si="7"/>
        <v>4.8416413618845152E-3</v>
      </c>
      <c r="M44" s="5">
        <f t="shared" si="8"/>
        <v>7.3386417146046757E-3</v>
      </c>
      <c r="N44" s="5">
        <f t="shared" si="9"/>
        <v>8.157617997788769E-3</v>
      </c>
      <c r="O44" s="5">
        <f t="shared" si="10"/>
        <v>1.1911750418294736E-2</v>
      </c>
      <c r="P44" s="5">
        <f t="shared" si="11"/>
        <v>1.2020655956438982E-2</v>
      </c>
    </row>
    <row r="45" spans="2:16" x14ac:dyDescent="0.3">
      <c r="B45" s="3" t="s">
        <v>110</v>
      </c>
      <c r="C45" s="7">
        <f t="shared" si="0"/>
        <v>-3.429999621457569E-3</v>
      </c>
      <c r="D45" s="7">
        <f t="shared" si="1"/>
        <v>-8.433656924844728E-3</v>
      </c>
      <c r="E45" s="7">
        <f t="shared" si="2"/>
        <v>-1.9337083716121986E-2</v>
      </c>
      <c r="F45" s="7">
        <f t="shared" si="3"/>
        <v>-1.5186451500618963E-2</v>
      </c>
      <c r="G45" s="7">
        <f t="shared" si="4"/>
        <v>-4.5925051842283307E-3</v>
      </c>
      <c r="H45" s="7">
        <f t="shared" si="5"/>
        <v>-2.193097883338159E-2</v>
      </c>
      <c r="J45" s="3" t="s">
        <v>110</v>
      </c>
      <c r="K45" s="5">
        <f t="shared" si="6"/>
        <v>9.6578969058231743E-3</v>
      </c>
      <c r="L45" s="5">
        <f t="shared" si="7"/>
        <v>5.9837958660146177E-3</v>
      </c>
      <c r="M45" s="5">
        <f t="shared" si="8"/>
        <v>8.6391052815586039E-3</v>
      </c>
      <c r="N45" s="5">
        <f t="shared" si="9"/>
        <v>9.6181158831372179E-3</v>
      </c>
      <c r="O45" s="5">
        <f t="shared" si="10"/>
        <v>1.3934595178923851E-2</v>
      </c>
      <c r="P45" s="5">
        <f t="shared" si="11"/>
        <v>1.3926787265187195E-2</v>
      </c>
    </row>
    <row r="46" spans="2:16" x14ac:dyDescent="0.3">
      <c r="B46" s="3" t="s">
        <v>111</v>
      </c>
      <c r="C46" s="7">
        <f t="shared" si="0"/>
        <v>4.799670641989575E-3</v>
      </c>
      <c r="D46" s="7">
        <f t="shared" si="1"/>
        <v>-1.1481829143372702E-3</v>
      </c>
      <c r="E46" s="7">
        <f t="shared" si="2"/>
        <v>5.471754780366777E-3</v>
      </c>
      <c r="F46" s="7">
        <f t="shared" si="3"/>
        <v>-6.0703012943995743E-3</v>
      </c>
      <c r="G46" s="7">
        <f t="shared" si="4"/>
        <v>9.5284042072185486E-3</v>
      </c>
      <c r="H46" s="7">
        <f t="shared" si="5"/>
        <v>5.114729890631612E-3</v>
      </c>
      <c r="J46" s="3" t="s">
        <v>111</v>
      </c>
      <c r="K46" s="5">
        <f t="shared" si="6"/>
        <v>1.1827966443202803E-2</v>
      </c>
      <c r="L46" s="5">
        <f t="shared" si="7"/>
        <v>7.5530779451064194E-3</v>
      </c>
      <c r="M46" s="5">
        <f t="shared" si="8"/>
        <v>1.0324570255609178E-2</v>
      </c>
      <c r="N46" s="5">
        <f t="shared" si="9"/>
        <v>1.1194894085242173E-2</v>
      </c>
      <c r="O46" s="5">
        <f t="shared" si="10"/>
        <v>1.6564625094284094E-2</v>
      </c>
      <c r="P46" s="5">
        <f t="shared" si="11"/>
        <v>1.5989062124423858E-2</v>
      </c>
    </row>
    <row r="47" spans="2:16" x14ac:dyDescent="0.3">
      <c r="B47" s="3" t="s">
        <v>112</v>
      </c>
      <c r="C47" s="7">
        <f t="shared" si="0"/>
        <v>-1.3457295421768767E-2</v>
      </c>
      <c r="D47" s="7">
        <f t="shared" si="1"/>
        <v>-2.7184568413967491E-2</v>
      </c>
      <c r="E47" s="7">
        <f t="shared" si="2"/>
        <v>-1.9785814519886494E-2</v>
      </c>
      <c r="F47" s="7">
        <f t="shared" si="3"/>
        <v>-1.6737436290089905E-2</v>
      </c>
      <c r="G47" s="7">
        <f t="shared" si="4"/>
        <v>1.0334712957958833E-2</v>
      </c>
      <c r="H47" s="7">
        <f t="shared" si="5"/>
        <v>6.6073111723046196E-3</v>
      </c>
      <c r="J47" s="3" t="s">
        <v>112</v>
      </c>
      <c r="K47" s="5">
        <f t="shared" si="6"/>
        <v>1.7699015108125066E-2</v>
      </c>
      <c r="L47" s="5">
        <f t="shared" si="7"/>
        <v>1.127625419688715E-2</v>
      </c>
      <c r="M47" s="5">
        <f t="shared" si="8"/>
        <v>1.5484421523986339E-2</v>
      </c>
      <c r="N47" s="5">
        <f t="shared" si="9"/>
        <v>1.6354894514206405E-2</v>
      </c>
      <c r="O47" s="5">
        <f t="shared" si="10"/>
        <v>2.5050585750525729E-2</v>
      </c>
      <c r="P47" s="5">
        <f t="shared" si="11"/>
        <v>2.3993765144601244E-2</v>
      </c>
    </row>
    <row r="48" spans="2:16" x14ac:dyDescent="0.3">
      <c r="B48" s="3" t="s">
        <v>113</v>
      </c>
      <c r="C48" s="7">
        <f t="shared" si="0"/>
        <v>-9.9373007943056313E-3</v>
      </c>
      <c r="D48" s="7">
        <f t="shared" si="1"/>
        <v>4.9775029789823552E-3</v>
      </c>
      <c r="E48" s="7">
        <f t="shared" si="2"/>
        <v>4.7033577745337493E-2</v>
      </c>
      <c r="F48" s="7">
        <f t="shared" si="3"/>
        <v>2.0667442506195108E-2</v>
      </c>
      <c r="G48" s="7">
        <f t="shared" si="4"/>
        <v>2.8730136839591899E-2</v>
      </c>
      <c r="H48" s="7">
        <f t="shared" si="5"/>
        <v>2.1667809388914938E-2</v>
      </c>
      <c r="J48" s="3" t="s">
        <v>113</v>
      </c>
      <c r="K48" s="5">
        <f t="shared" si="6"/>
        <v>2.9061867289713713E-2</v>
      </c>
      <c r="L48" s="5">
        <f t="shared" si="7"/>
        <v>1.9738506724746325E-2</v>
      </c>
      <c r="M48" s="5">
        <f t="shared" si="8"/>
        <v>2.8413898793284029E-2</v>
      </c>
      <c r="N48" s="5">
        <f t="shared" si="9"/>
        <v>2.8494238635645659E-2</v>
      </c>
      <c r="O48" s="5">
        <f t="shared" si="10"/>
        <v>4.2994461093207245E-2</v>
      </c>
      <c r="P48" s="5">
        <f t="shared" si="11"/>
        <v>4.0899056964284336E-2</v>
      </c>
    </row>
    <row r="49" spans="2:16" x14ac:dyDescent="0.3">
      <c r="B49" s="3" t="s">
        <v>114</v>
      </c>
      <c r="C49" s="7">
        <f t="shared" si="0"/>
        <v>-2.5592836066299897E-2</v>
      </c>
      <c r="D49" s="7">
        <f t="shared" si="1"/>
        <v>-3.7457944226312018E-2</v>
      </c>
      <c r="E49" s="7">
        <f t="shared" si="2"/>
        <v>-3.3563863229427282E-2</v>
      </c>
      <c r="F49" s="7">
        <f t="shared" si="3"/>
        <v>-1.5768371200840146E-2</v>
      </c>
      <c r="G49" s="7">
        <f t="shared" si="4"/>
        <v>-3.7331922187577887E-2</v>
      </c>
      <c r="H49" s="7">
        <f t="shared" si="5"/>
        <v>-4.4196890217594459E-2</v>
      </c>
      <c r="J49" s="3" t="s">
        <v>114</v>
      </c>
      <c r="K49" s="5">
        <f t="shared" si="6"/>
        <v>3.4879577285696101E-2</v>
      </c>
      <c r="L49" s="5">
        <f t="shared" si="7"/>
        <v>2.5085063365605047E-2</v>
      </c>
      <c r="M49" s="5">
        <f t="shared" si="8"/>
        <v>3.686228803047386E-2</v>
      </c>
      <c r="N49" s="5">
        <f t="shared" si="9"/>
        <v>3.6480234762305379E-2</v>
      </c>
      <c r="O49" s="5">
        <f t="shared" si="10"/>
        <v>5.1235117079790997E-2</v>
      </c>
      <c r="P49" s="5">
        <f t="shared" si="11"/>
        <v>4.8236086819869177E-2</v>
      </c>
    </row>
    <row r="50" spans="2:16" x14ac:dyDescent="0.3">
      <c r="B50" s="3" t="s">
        <v>115</v>
      </c>
      <c r="C50" s="7">
        <f t="shared" si="0"/>
        <v>-8.1574507043000455E-3</v>
      </c>
      <c r="D50" s="7">
        <f t="shared" si="1"/>
        <v>-3.1892038303273092E-2</v>
      </c>
      <c r="E50" s="7">
        <f t="shared" si="2"/>
        <v>-4.2795465094550345E-2</v>
      </c>
      <c r="F50" s="7">
        <f t="shared" si="3"/>
        <v>-3.3185789448591033E-2</v>
      </c>
      <c r="G50" s="7">
        <f t="shared" si="4"/>
        <v>-4.0627886028323248E-2</v>
      </c>
      <c r="H50" s="7">
        <f t="shared" si="5"/>
        <v>-2.0936798376070542E-2</v>
      </c>
      <c r="J50" s="3" t="s">
        <v>115</v>
      </c>
      <c r="K50" s="5">
        <f t="shared" si="6"/>
        <v>5.1749723573925217E-2</v>
      </c>
      <c r="L50" s="5">
        <f t="shared" si="7"/>
        <v>3.6519739529706954E-2</v>
      </c>
      <c r="M50" s="5">
        <f t="shared" si="8"/>
        <v>5.1304165804573212E-2</v>
      </c>
      <c r="N50" s="5">
        <f t="shared" si="9"/>
        <v>5.2749638772061451E-2</v>
      </c>
      <c r="O50" s="5">
        <f t="shared" si="10"/>
        <v>6.9839507357840447E-2</v>
      </c>
      <c r="P50" s="5">
        <f t="shared" si="11"/>
        <v>6.6856784023997265E-2</v>
      </c>
    </row>
    <row r="51" spans="2:16" x14ac:dyDescent="0.3">
      <c r="B51" s="3" t="s">
        <v>116</v>
      </c>
      <c r="C51" s="7">
        <f t="shared" si="0"/>
        <v>6.7530578725626511E-2</v>
      </c>
      <c r="D51" s="7">
        <f t="shared" si="1"/>
        <v>0.18690437844528174</v>
      </c>
      <c r="E51" s="7">
        <f t="shared" si="2"/>
        <v>8.7994721124409536E-2</v>
      </c>
      <c r="F51" s="7">
        <f t="shared" si="3"/>
        <v>7.2986474835239568E-2</v>
      </c>
      <c r="G51" s="7">
        <f t="shared" si="4"/>
        <v>-4.3927669463256491E-2</v>
      </c>
      <c r="H51" s="7">
        <f t="shared" si="5"/>
        <v>-3.2718551458021938E-2</v>
      </c>
      <c r="J51" s="3" t="s">
        <v>116</v>
      </c>
      <c r="K51" s="5">
        <f t="shared" si="6"/>
        <v>0.74836737369761641</v>
      </c>
      <c r="L51" s="5">
        <f t="shared" si="7"/>
        <v>0.6844024684622283</v>
      </c>
      <c r="M51" s="5">
        <f t="shared" si="8"/>
        <v>0.73740192791021786</v>
      </c>
      <c r="N51" s="5">
        <f t="shared" si="9"/>
        <v>0.74544390239616576</v>
      </c>
      <c r="O51" s="5">
        <f t="shared" si="10"/>
        <v>0.80809083311540675</v>
      </c>
      <c r="P51" s="5">
        <f t="shared" si="11"/>
        <v>0.80208457233908126</v>
      </c>
    </row>
    <row r="52" spans="2:16" x14ac:dyDescent="0.3">
      <c r="J52" s="19" t="s">
        <v>34</v>
      </c>
      <c r="K52" s="18">
        <f>SUM(K28:K51)</f>
        <v>0.94448625209728854</v>
      </c>
      <c r="L52" s="18">
        <f t="shared" ref="L52:P52" si="12">SUM(L28:L51)</f>
        <v>0.81587995673969038</v>
      </c>
      <c r="M52" s="18">
        <f t="shared" si="12"/>
        <v>0.92253511187993742</v>
      </c>
      <c r="N52" s="18">
        <f t="shared" si="12"/>
        <v>0.94033988050761974</v>
      </c>
      <c r="O52" s="18">
        <f t="shared" si="12"/>
        <v>1.0941233853983592</v>
      </c>
      <c r="P52" s="18">
        <f t="shared" si="12"/>
        <v>1.071059279937987</v>
      </c>
    </row>
    <row r="53" spans="2:16" x14ac:dyDescent="0.3">
      <c r="J53" s="22" t="s">
        <v>35</v>
      </c>
      <c r="K53" s="23">
        <f>1-K52</f>
        <v>5.5513747902711463E-2</v>
      </c>
      <c r="L53" s="23">
        <f t="shared" ref="L53:P53" si="13">1-L52</f>
        <v>0.18412004326030962</v>
      </c>
      <c r="M53" s="23">
        <f t="shared" si="13"/>
        <v>7.7464888120062581E-2</v>
      </c>
      <c r="N53" s="23">
        <f t="shared" si="13"/>
        <v>5.9660119492380259E-2</v>
      </c>
      <c r="O53" s="23">
        <f t="shared" si="13"/>
        <v>-9.4123385398359183E-2</v>
      </c>
      <c r="P53" s="23">
        <f t="shared" si="13"/>
        <v>-7.1059279937986997E-2</v>
      </c>
    </row>
  </sheetData>
  <sortState xmlns:xlrd2="http://schemas.microsoft.com/office/spreadsheetml/2017/richdata2" ref="A2:P25">
    <sortCondition ref="B1:B25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E2F3-6A43-4C81-AEBD-D77CA671AEA2}">
  <dimension ref="A1:P19"/>
  <sheetViews>
    <sheetView zoomScale="109" zoomScaleNormal="109" workbookViewId="0">
      <selection activeCell="L23" sqref="L23"/>
    </sheetView>
  </sheetViews>
  <sheetFormatPr defaultRowHeight="14.4" x14ac:dyDescent="0.3"/>
  <cols>
    <col min="1" max="1" width="16.77734375" customWidth="1"/>
    <col min="2" max="15" width="10.21875" customWidth="1"/>
    <col min="16" max="16" width="11.6640625" customWidth="1"/>
  </cols>
  <sheetData>
    <row r="1" spans="1:16" ht="25.95" customHeight="1" x14ac:dyDescent="0.3">
      <c r="A1" s="1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13" t="s">
        <v>1</v>
      </c>
      <c r="J1" s="16" t="s">
        <v>1</v>
      </c>
      <c r="K1" s="17" t="s">
        <v>2</v>
      </c>
      <c r="L1" s="17" t="s">
        <v>3</v>
      </c>
      <c r="M1" s="17" t="s">
        <v>4</v>
      </c>
      <c r="N1" s="16" t="s">
        <v>5</v>
      </c>
      <c r="O1" s="17" t="s">
        <v>6</v>
      </c>
      <c r="P1" s="17" t="s">
        <v>7</v>
      </c>
    </row>
    <row r="2" spans="1:16" x14ac:dyDescent="0.3">
      <c r="A2" s="3" t="s">
        <v>117</v>
      </c>
      <c r="B2" s="8">
        <v>1.2826204047327332E-2</v>
      </c>
      <c r="C2" s="8">
        <v>6.4864864864864862E-3</v>
      </c>
      <c r="D2" s="8">
        <v>3.0441400304414001E-3</v>
      </c>
      <c r="E2" s="8">
        <v>6.2305295950155761E-3</v>
      </c>
      <c r="F2" s="8">
        <v>1.3035381750465549E-2</v>
      </c>
      <c r="G2" s="8">
        <v>1.9698725376593278E-2</v>
      </c>
      <c r="H2" s="8">
        <v>2.5522041763341066E-2</v>
      </c>
      <c r="I2" s="7">
        <v>1.2826204047327332E-2</v>
      </c>
      <c r="J2" s="8">
        <v>1.2826204047327332E-2</v>
      </c>
      <c r="K2" s="8">
        <v>6.4864864864864862E-3</v>
      </c>
      <c r="L2" s="8">
        <v>3.0441400304414001E-3</v>
      </c>
      <c r="M2" s="8">
        <v>6.2305295950155761E-3</v>
      </c>
      <c r="N2" s="8">
        <v>1.3035381750465549E-2</v>
      </c>
      <c r="O2" s="8">
        <v>1.9698725376593278E-2</v>
      </c>
      <c r="P2" s="8">
        <v>2.5522041763341066E-2</v>
      </c>
    </row>
    <row r="3" spans="1:16" x14ac:dyDescent="0.3">
      <c r="A3" s="3" t="s">
        <v>118</v>
      </c>
      <c r="B3" s="8">
        <v>2.0322460358328746E-2</v>
      </c>
      <c r="C3" s="8">
        <v>3.5675675675675679E-2</v>
      </c>
      <c r="D3" s="8">
        <v>1.3698630136986301E-2</v>
      </c>
      <c r="E3" s="8">
        <v>9.3457943925233638E-3</v>
      </c>
      <c r="F3" s="8">
        <v>3.7243947858472998E-3</v>
      </c>
      <c r="G3" s="8">
        <v>3.7079953650057937E-2</v>
      </c>
      <c r="H3" s="8">
        <v>3.248259860788863E-2</v>
      </c>
      <c r="I3" s="7">
        <v>3.3148664405656079E-2</v>
      </c>
      <c r="J3" s="7">
        <f>J2+B3</f>
        <v>3.3148664405656079E-2</v>
      </c>
      <c r="K3" s="7">
        <f t="shared" ref="K3:P8" si="0">K2+C3</f>
        <v>4.2162162162162162E-2</v>
      </c>
      <c r="L3" s="7">
        <f t="shared" si="0"/>
        <v>1.6742770167427701E-2</v>
      </c>
      <c r="M3" s="7">
        <f t="shared" si="0"/>
        <v>1.5576323987538939E-2</v>
      </c>
      <c r="N3" s="7">
        <f t="shared" si="0"/>
        <v>1.6759776536312849E-2</v>
      </c>
      <c r="O3" s="7">
        <f t="shared" si="0"/>
        <v>5.6778679026651215E-2</v>
      </c>
      <c r="P3" s="7">
        <f t="shared" si="0"/>
        <v>5.8004640371229696E-2</v>
      </c>
    </row>
    <row r="4" spans="1:16" x14ac:dyDescent="0.3">
      <c r="A4" s="3" t="s">
        <v>119</v>
      </c>
      <c r="B4" s="8">
        <v>7.2476635237435708E-2</v>
      </c>
      <c r="C4" s="8">
        <v>6.2702702702702701E-2</v>
      </c>
      <c r="D4" s="8">
        <v>5.3272450532724502E-2</v>
      </c>
      <c r="E4" s="8">
        <v>3.5825545171339561E-2</v>
      </c>
      <c r="F4" s="8">
        <v>0.10148975791433892</v>
      </c>
      <c r="G4" s="8">
        <v>8.3429895712630361E-2</v>
      </c>
      <c r="H4" s="8">
        <v>6.0324825986078884E-2</v>
      </c>
      <c r="I4" s="7">
        <v>0.10562529964309178</v>
      </c>
      <c r="J4" s="7">
        <f t="shared" ref="J4:J8" si="1">J3+B4</f>
        <v>0.10562529964309178</v>
      </c>
      <c r="K4" s="7">
        <f t="shared" si="0"/>
        <v>0.10486486486486486</v>
      </c>
      <c r="L4" s="7">
        <f t="shared" si="0"/>
        <v>7.0015220700152203E-2</v>
      </c>
      <c r="M4" s="7">
        <f t="shared" si="0"/>
        <v>5.1401869158878497E-2</v>
      </c>
      <c r="N4" s="7">
        <f t="shared" si="0"/>
        <v>0.11824953445065177</v>
      </c>
      <c r="O4" s="7">
        <f t="shared" si="0"/>
        <v>0.14020857473928158</v>
      </c>
      <c r="P4" s="7">
        <f t="shared" si="0"/>
        <v>0.11832946635730858</v>
      </c>
    </row>
    <row r="5" spans="1:16" x14ac:dyDescent="0.3">
      <c r="A5" s="3" t="s">
        <v>120</v>
      </c>
      <c r="B5" s="8">
        <v>0.11384661825026191</v>
      </c>
      <c r="C5" s="8">
        <v>0.11459459459459459</v>
      </c>
      <c r="D5" s="8">
        <v>0.13546423135464231</v>
      </c>
      <c r="E5" s="8">
        <v>0.14953271028037382</v>
      </c>
      <c r="F5" s="8">
        <v>8.752327746741155E-2</v>
      </c>
      <c r="G5" s="8">
        <v>6.9524913093858637E-2</v>
      </c>
      <c r="H5" s="8">
        <v>9.9767981438515077E-2</v>
      </c>
      <c r="I5" s="7">
        <v>0.21947191789335369</v>
      </c>
      <c r="J5" s="7">
        <f t="shared" si="1"/>
        <v>0.21947191789335369</v>
      </c>
      <c r="K5" s="7">
        <f t="shared" si="0"/>
        <v>0.21945945945945944</v>
      </c>
      <c r="L5" s="7">
        <f t="shared" si="0"/>
        <v>0.20547945205479451</v>
      </c>
      <c r="M5" s="7">
        <f t="shared" si="0"/>
        <v>0.2009345794392523</v>
      </c>
      <c r="N5" s="7">
        <f t="shared" si="0"/>
        <v>0.20577281191806332</v>
      </c>
      <c r="O5" s="7">
        <f t="shared" si="0"/>
        <v>0.20973348783314022</v>
      </c>
      <c r="P5" s="7">
        <f t="shared" si="0"/>
        <v>0.21809744779582366</v>
      </c>
    </row>
    <row r="6" spans="1:16" x14ac:dyDescent="0.3">
      <c r="A6" s="3" t="s">
        <v>121</v>
      </c>
      <c r="B6" s="8">
        <v>0.19280442258406283</v>
      </c>
      <c r="C6" s="8">
        <v>0.19675675675675675</v>
      </c>
      <c r="D6" s="8">
        <v>0.15829528158295281</v>
      </c>
      <c r="E6" s="8">
        <v>0.23208722741433022</v>
      </c>
      <c r="F6" s="8">
        <v>0.18994413407821228</v>
      </c>
      <c r="G6" s="8">
        <v>0.19235225955967555</v>
      </c>
      <c r="H6" s="8">
        <v>0.24593967517401391</v>
      </c>
      <c r="I6" s="7">
        <v>0.41227634047741651</v>
      </c>
      <c r="J6" s="7">
        <f t="shared" si="1"/>
        <v>0.41227634047741651</v>
      </c>
      <c r="K6" s="7">
        <f t="shared" si="0"/>
        <v>0.41621621621621618</v>
      </c>
      <c r="L6" s="7">
        <f t="shared" si="0"/>
        <v>0.36377473363774732</v>
      </c>
      <c r="M6" s="7">
        <f t="shared" si="0"/>
        <v>0.43302180685358249</v>
      </c>
      <c r="N6" s="7">
        <f t="shared" si="0"/>
        <v>0.3957169459962756</v>
      </c>
      <c r="O6" s="7">
        <f t="shared" si="0"/>
        <v>0.40208574739281577</v>
      </c>
      <c r="P6" s="7">
        <f t="shared" si="0"/>
        <v>0.46403712296983757</v>
      </c>
    </row>
    <row r="7" spans="1:16" x14ac:dyDescent="0.3">
      <c r="A7" s="3" t="s">
        <v>122</v>
      </c>
      <c r="B7" s="8">
        <v>0.19752472610401833</v>
      </c>
      <c r="C7" s="8">
        <v>0.16972972972972972</v>
      </c>
      <c r="D7" s="8">
        <v>0.30136986301369861</v>
      </c>
      <c r="E7" s="8">
        <v>0.3364485981308411</v>
      </c>
      <c r="F7" s="8">
        <v>0.18901303538175046</v>
      </c>
      <c r="G7" s="8">
        <v>0.21436848203939746</v>
      </c>
      <c r="H7" s="8">
        <v>0.26914153132250579</v>
      </c>
      <c r="I7" s="7">
        <v>0.60980106658143485</v>
      </c>
      <c r="J7" s="7">
        <f t="shared" si="1"/>
        <v>0.60980106658143485</v>
      </c>
      <c r="K7" s="7">
        <f t="shared" si="0"/>
        <v>0.58594594594594596</v>
      </c>
      <c r="L7" s="7">
        <f t="shared" si="0"/>
        <v>0.66514459665144599</v>
      </c>
      <c r="M7" s="7">
        <f t="shared" si="0"/>
        <v>0.76947040498442365</v>
      </c>
      <c r="N7" s="7">
        <f t="shared" si="0"/>
        <v>0.58472998137802601</v>
      </c>
      <c r="O7" s="7">
        <f t="shared" si="0"/>
        <v>0.61645422943221329</v>
      </c>
      <c r="P7" s="7">
        <f t="shared" si="0"/>
        <v>0.7331786542923433</v>
      </c>
    </row>
    <row r="8" spans="1:16" x14ac:dyDescent="0.3">
      <c r="A8" s="3" t="s">
        <v>123</v>
      </c>
      <c r="B8" s="8">
        <v>0.39019893341856515</v>
      </c>
      <c r="C8" s="8">
        <v>0.41405405405405404</v>
      </c>
      <c r="D8" s="8">
        <v>0.33485540334855401</v>
      </c>
      <c r="E8" s="8">
        <v>0.23052959501557632</v>
      </c>
      <c r="F8" s="8">
        <v>0.41527001862197394</v>
      </c>
      <c r="G8" s="8">
        <v>0.38354577056778677</v>
      </c>
      <c r="H8" s="8">
        <v>0.26682134570765659</v>
      </c>
      <c r="I8" s="7">
        <v>1</v>
      </c>
      <c r="J8" s="7">
        <f t="shared" si="1"/>
        <v>1</v>
      </c>
      <c r="K8" s="7">
        <f t="shared" si="0"/>
        <v>1</v>
      </c>
      <c r="L8" s="7">
        <f t="shared" si="0"/>
        <v>1</v>
      </c>
      <c r="M8" s="7">
        <f t="shared" si="0"/>
        <v>1</v>
      </c>
      <c r="N8" s="7">
        <f t="shared" si="0"/>
        <v>1</v>
      </c>
      <c r="O8" s="7">
        <f t="shared" si="0"/>
        <v>1</v>
      </c>
      <c r="P8" s="7">
        <f t="shared" si="0"/>
        <v>0.99999999999999989</v>
      </c>
    </row>
    <row r="10" spans="1:16" ht="28.8" x14ac:dyDescent="0.3">
      <c r="B10" s="1" t="s">
        <v>0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J10" s="5"/>
      <c r="K10" s="18" t="s">
        <v>28</v>
      </c>
      <c r="L10" s="18" t="s">
        <v>29</v>
      </c>
      <c r="M10" s="18" t="s">
        <v>30</v>
      </c>
      <c r="N10" s="18" t="s">
        <v>31</v>
      </c>
      <c r="O10" s="18" t="s">
        <v>32</v>
      </c>
      <c r="P10" s="18" t="s">
        <v>33</v>
      </c>
    </row>
    <row r="11" spans="1:16" x14ac:dyDescent="0.3">
      <c r="B11" s="3" t="s">
        <v>117</v>
      </c>
      <c r="C11" s="7">
        <f>C2-B2</f>
        <v>-6.3397175608408459E-3</v>
      </c>
      <c r="D11" s="7">
        <f>D2-B2</f>
        <v>-9.7820640168859319E-3</v>
      </c>
      <c r="E11" s="7">
        <f>E2-B2</f>
        <v>-6.5956744523117559E-3</v>
      </c>
      <c r="F11" s="7">
        <f>F2-B2</f>
        <v>2.0917770313821742E-4</v>
      </c>
      <c r="G11" s="7">
        <f>G2-B2</f>
        <v>6.8725213292659456E-3</v>
      </c>
      <c r="H11" s="7">
        <f>H2-B2</f>
        <v>1.2695837716013734E-2</v>
      </c>
      <c r="J11" s="3" t="s">
        <v>117</v>
      </c>
      <c r="K11" s="5">
        <f>(J2-0) * ((K2+0))</f>
        <v>8.3196999225907008E-5</v>
      </c>
      <c r="L11" s="5">
        <f>(J2-0) * ((L2+0))</f>
        <v>3.9044761179078631E-5</v>
      </c>
      <c r="M11" s="5">
        <f>(J2-0) * ((M2+0))</f>
        <v>7.9914043908581504E-5</v>
      </c>
      <c r="N11" s="5">
        <f>(J2-0) * ((N2+0))</f>
        <v>1.6719446616627806E-4</v>
      </c>
      <c r="O11" s="5">
        <f>(J2-0) * ((O2+0))</f>
        <v>2.5265987115245033E-4</v>
      </c>
      <c r="P11" s="5">
        <f>(J2-0) * ((P2+0))</f>
        <v>3.273509153610224E-4</v>
      </c>
    </row>
    <row r="12" spans="1:16" x14ac:dyDescent="0.3">
      <c r="B12" s="3" t="s">
        <v>118</v>
      </c>
      <c r="C12" s="7">
        <f t="shared" ref="C12:C17" si="2">C3-B3</f>
        <v>1.5353215317346933E-2</v>
      </c>
      <c r="D12" s="7">
        <f t="shared" ref="D12:D17" si="3">D3-B3</f>
        <v>-6.6238302213424451E-3</v>
      </c>
      <c r="E12" s="7">
        <f t="shared" ref="E12:E17" si="4">E3-B3</f>
        <v>-1.0976665965805382E-2</v>
      </c>
      <c r="F12" s="7">
        <f t="shared" ref="F12:F17" si="5">F3-B3</f>
        <v>-1.6598065572481446E-2</v>
      </c>
      <c r="G12" s="7">
        <f t="shared" ref="G12:G17" si="6">G3-B3</f>
        <v>1.6757493291729191E-2</v>
      </c>
      <c r="H12" s="7">
        <f t="shared" ref="H12:H17" si="7">H3-B3</f>
        <v>1.2160138249559884E-2</v>
      </c>
      <c r="J12" s="3" t="s">
        <v>118</v>
      </c>
      <c r="K12" s="5">
        <f>(J3-J2) * ((K3+K2))</f>
        <v>9.8866023364842562E-4</v>
      </c>
      <c r="L12" s="5">
        <f>(J3-J2) * ((L3+L2))</f>
        <v>4.0211869811000565E-4</v>
      </c>
      <c r="M12" s="5">
        <f>(J3-J2) * ((M3+M2))</f>
        <v>4.4316891747134344E-4</v>
      </c>
      <c r="N12" s="5">
        <f>(J3-J2) * ((N3+N2))</f>
        <v>6.0551092315318429E-4</v>
      </c>
      <c r="O12" s="5">
        <f>(J3-J2) * ((O3+O2))</f>
        <v>1.5542090192928128E-3</v>
      </c>
      <c r="P12" s="5">
        <f>(J3-J2) * ((P3+P2))</f>
        <v>1.6974676865425405E-3</v>
      </c>
    </row>
    <row r="13" spans="1:16" x14ac:dyDescent="0.3">
      <c r="B13" s="3" t="s">
        <v>119</v>
      </c>
      <c r="C13" s="7">
        <f t="shared" si="2"/>
        <v>-9.7739325347330069E-3</v>
      </c>
      <c r="D13" s="7">
        <f t="shared" si="3"/>
        <v>-1.9204184704711205E-2</v>
      </c>
      <c r="E13" s="7">
        <f t="shared" si="4"/>
        <v>-3.6651090066096147E-2</v>
      </c>
      <c r="F13" s="7">
        <f t="shared" si="5"/>
        <v>2.9013122676903216E-2</v>
      </c>
      <c r="G13" s="7">
        <f t="shared" si="6"/>
        <v>1.0953260475194654E-2</v>
      </c>
      <c r="H13" s="7">
        <f t="shared" si="7"/>
        <v>-1.2151809251356824E-2</v>
      </c>
      <c r="J13" s="3" t="s">
        <v>119</v>
      </c>
      <c r="K13" s="5">
        <f t="shared" ref="K13:K17" si="8">(J4-J3) * ((K4+K3))</f>
        <v>1.0656024207882437E-2</v>
      </c>
      <c r="L13" s="5">
        <f t="shared" ref="L13:L17" si="9">(J4-J3) * ((L4+L3))</f>
        <v>6.2879272580423657E-3</v>
      </c>
      <c r="M13" s="5">
        <f t="shared" ref="M13:M17" si="10">(J4-J3) * ((M4+M3))</f>
        <v>4.8543540735354121E-3</v>
      </c>
      <c r="N13" s="5">
        <f t="shared" ref="N13:N17" si="11">(J4-J3) * ((N4+N3))</f>
        <v>9.785020586059753E-3</v>
      </c>
      <c r="O13" s="5">
        <f t="shared" ref="O13:O17" si="12">(J4-J3) * ((O4+O3))</f>
        <v>1.4276973337617691E-2</v>
      </c>
      <c r="P13" s="5">
        <f t="shared" ref="P13:P17" si="13">(J4-J3) * ((P4+P3))</f>
        <v>1.2780102733283324E-2</v>
      </c>
    </row>
    <row r="14" spans="1:16" x14ac:dyDescent="0.3">
      <c r="B14" s="3" t="s">
        <v>120</v>
      </c>
      <c r="C14" s="7">
        <f t="shared" si="2"/>
        <v>7.4797634433268478E-4</v>
      </c>
      <c r="D14" s="7">
        <f t="shared" si="3"/>
        <v>2.1617613104380401E-2</v>
      </c>
      <c r="E14" s="7">
        <f t="shared" si="4"/>
        <v>3.5686092030111916E-2</v>
      </c>
      <c r="F14" s="7">
        <f t="shared" si="5"/>
        <v>-2.6323340782850355E-2</v>
      </c>
      <c r="G14" s="7">
        <f t="shared" si="6"/>
        <v>-4.4321705156403268E-2</v>
      </c>
      <c r="H14" s="7">
        <f t="shared" si="7"/>
        <v>-1.4078636811746828E-2</v>
      </c>
      <c r="J14" s="3" t="s">
        <v>120</v>
      </c>
      <c r="K14" s="5">
        <f t="shared" si="8"/>
        <v>3.6923227540625478E-2</v>
      </c>
      <c r="L14" s="5">
        <f t="shared" si="9"/>
        <v>3.1364136839113245E-2</v>
      </c>
      <c r="M14" s="5">
        <f t="shared" si="10"/>
        <v>2.8727651334178234E-2</v>
      </c>
      <c r="N14" s="5">
        <f t="shared" si="11"/>
        <v>3.6888848371593244E-2</v>
      </c>
      <c r="O14" s="5">
        <f t="shared" si="12"/>
        <v>3.9839720407391768E-2</v>
      </c>
      <c r="P14" s="5">
        <f t="shared" si="13"/>
        <v>3.8301066464705283E-2</v>
      </c>
    </row>
    <row r="15" spans="1:16" x14ac:dyDescent="0.3">
      <c r="B15" s="3" t="s">
        <v>121</v>
      </c>
      <c r="C15" s="7">
        <f t="shared" si="2"/>
        <v>3.9523341726939165E-3</v>
      </c>
      <c r="D15" s="7">
        <f t="shared" si="3"/>
        <v>-3.4509141001110022E-2</v>
      </c>
      <c r="E15" s="7">
        <f t="shared" si="4"/>
        <v>3.9282804830267387E-2</v>
      </c>
      <c r="F15" s="7">
        <f t="shared" si="5"/>
        <v>-2.8602885058505445E-3</v>
      </c>
      <c r="G15" s="7">
        <f t="shared" si="6"/>
        <v>-4.521630243872754E-4</v>
      </c>
      <c r="H15" s="7">
        <f t="shared" si="7"/>
        <v>5.3135252589951082E-2</v>
      </c>
      <c r="J15" s="3" t="s">
        <v>121</v>
      </c>
      <c r="K15" s="5">
        <f t="shared" si="8"/>
        <v>0.12256108159938263</v>
      </c>
      <c r="L15" s="5">
        <f t="shared" si="9"/>
        <v>0.1097547245760114</v>
      </c>
      <c r="M15" s="5">
        <f t="shared" si="10"/>
        <v>0.1222295950026691</v>
      </c>
      <c r="N15" s="5">
        <f t="shared" si="11"/>
        <v>0.11596988546490185</v>
      </c>
      <c r="O15" s="5">
        <f t="shared" si="12"/>
        <v>0.11796145437356335</v>
      </c>
      <c r="P15" s="5">
        <f t="shared" si="13"/>
        <v>0.13151856204110085</v>
      </c>
    </row>
    <row r="16" spans="1:16" x14ac:dyDescent="0.3">
      <c r="B16" s="3" t="s">
        <v>122</v>
      </c>
      <c r="C16" s="7">
        <f t="shared" si="2"/>
        <v>-2.7794996374288616E-2</v>
      </c>
      <c r="D16" s="7">
        <f t="shared" si="3"/>
        <v>0.10384513690968028</v>
      </c>
      <c r="E16" s="7">
        <f t="shared" si="4"/>
        <v>0.13892387202682277</v>
      </c>
      <c r="F16" s="7">
        <f t="shared" si="5"/>
        <v>-8.5116907222678728E-3</v>
      </c>
      <c r="G16" s="7">
        <f t="shared" si="6"/>
        <v>1.6843755935379123E-2</v>
      </c>
      <c r="H16" s="7">
        <f t="shared" si="7"/>
        <v>7.1616805218487456E-2</v>
      </c>
      <c r="J16" s="3" t="s">
        <v>122</v>
      </c>
      <c r="K16" s="5">
        <f t="shared" si="8"/>
        <v>0.19795180659289188</v>
      </c>
      <c r="L16" s="5">
        <f t="shared" si="9"/>
        <v>0.20323700889850288</v>
      </c>
      <c r="M16" s="5">
        <f t="shared" si="10"/>
        <v>0.23752194478551736</v>
      </c>
      <c r="N16" s="5">
        <f t="shared" si="11"/>
        <v>0.19366251078913527</v>
      </c>
      <c r="O16" s="5">
        <f t="shared" si="12"/>
        <v>0.20118682994835702</v>
      </c>
      <c r="P16" s="5">
        <f t="shared" si="13"/>
        <v>0.23647971849112168</v>
      </c>
    </row>
    <row r="17" spans="2:16" x14ac:dyDescent="0.3">
      <c r="B17" s="3" t="s">
        <v>123</v>
      </c>
      <c r="C17" s="7">
        <f t="shared" si="2"/>
        <v>2.3855120635488891E-2</v>
      </c>
      <c r="D17" s="7">
        <f t="shared" si="3"/>
        <v>-5.5343530070011138E-2</v>
      </c>
      <c r="E17" s="7">
        <f t="shared" si="4"/>
        <v>-0.15966933840298883</v>
      </c>
      <c r="F17" s="7">
        <f t="shared" si="5"/>
        <v>2.5071085203408783E-2</v>
      </c>
      <c r="G17" s="7">
        <f t="shared" si="6"/>
        <v>-6.6531628507783824E-3</v>
      </c>
      <c r="H17" s="7">
        <f t="shared" si="7"/>
        <v>-0.12337758771090857</v>
      </c>
      <c r="J17" s="3" t="s">
        <v>123</v>
      </c>
      <c r="K17" s="5">
        <f t="shared" si="8"/>
        <v>0.61883441656760552</v>
      </c>
      <c r="L17" s="5">
        <f t="shared" si="9"/>
        <v>0.64973764560108105</v>
      </c>
      <c r="M17" s="5">
        <f t="shared" si="10"/>
        <v>0.69044546474063861</v>
      </c>
      <c r="N17" s="5">
        <f t="shared" si="11"/>
        <v>0.61835994849012832</v>
      </c>
      <c r="O17" s="5">
        <f t="shared" si="12"/>
        <v>0.63073871624437827</v>
      </c>
      <c r="P17" s="5">
        <f t="shared" si="13"/>
        <v>0.67628446232869632</v>
      </c>
    </row>
    <row r="18" spans="2:16" x14ac:dyDescent="0.3">
      <c r="J18" s="19" t="s">
        <v>34</v>
      </c>
      <c r="K18" s="18">
        <f>SUM(K11:K17)</f>
        <v>0.98799841374126229</v>
      </c>
      <c r="L18" s="18">
        <f t="shared" ref="L18:P18" si="14">SUM(L11:L17)</f>
        <v>1.00082260663204</v>
      </c>
      <c r="M18" s="18">
        <f t="shared" si="14"/>
        <v>1.0843020928979186</v>
      </c>
      <c r="N18" s="18">
        <f t="shared" si="14"/>
        <v>0.97543891909113789</v>
      </c>
      <c r="O18" s="18">
        <f t="shared" si="14"/>
        <v>1.0058105632017533</v>
      </c>
      <c r="P18" s="18">
        <f t="shared" si="14"/>
        <v>1.097388730660811</v>
      </c>
    </row>
    <row r="19" spans="2:16" x14ac:dyDescent="0.3">
      <c r="J19" s="22" t="s">
        <v>35</v>
      </c>
      <c r="K19" s="23">
        <f>1-K18</f>
        <v>1.2001586258737706E-2</v>
      </c>
      <c r="L19" s="23">
        <f t="shared" ref="L19" si="15">1-L18</f>
        <v>-8.2260663204003492E-4</v>
      </c>
      <c r="M19" s="23">
        <f t="shared" ref="M19" si="16">1-M18</f>
        <v>-8.4302092897918568E-2</v>
      </c>
      <c r="N19" s="23">
        <f t="shared" ref="N19" si="17">1-N18</f>
        <v>2.456108090886211E-2</v>
      </c>
      <c r="O19" s="23">
        <f t="shared" ref="O19" si="18">1-O18</f>
        <v>-5.8105632017533271E-3</v>
      </c>
      <c r="P19" s="23">
        <f t="shared" ref="P19" si="19">1-P18</f>
        <v>-9.7388730660810996E-2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5E74-133C-492A-8A64-4977154EE22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Belo Horizonte</vt:lpstr>
      <vt:lpstr>Betim</vt:lpstr>
      <vt:lpstr>Contagem</vt:lpstr>
      <vt:lpstr>Curvelo</vt:lpstr>
      <vt:lpstr>Guanhães</vt:lpstr>
      <vt:lpstr>Itabira</vt:lpstr>
      <vt:lpstr>J Monlevade</vt:lpstr>
      <vt:lpstr>Ouro Preto</vt:lpstr>
      <vt:lpstr>Sete Lagoas</vt:lpstr>
      <vt:lpstr>Vespasiano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 Belotti</dc:creator>
  <cp:keywords/>
  <dc:description/>
  <cp:lastModifiedBy>Marina Belotti</cp:lastModifiedBy>
  <cp:revision/>
  <dcterms:created xsi:type="dcterms:W3CDTF">2025-04-18T13:47:19Z</dcterms:created>
  <dcterms:modified xsi:type="dcterms:W3CDTF">2025-11-25T23:28:35Z</dcterms:modified>
  <cp:category/>
  <cp:contentStatus/>
</cp:coreProperties>
</file>