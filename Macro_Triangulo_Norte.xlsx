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Cirurgia Geral/analises_finais_cirurgia_geral/"/>
    </mc:Choice>
  </mc:AlternateContent>
  <xr:revisionPtr revIDLastSave="0" documentId="8_{376DAD72-1DA9-4B69-B94F-D73BC6230708}" xr6:coauthVersionLast="47" xr6:coauthVersionMax="47" xr10:uidLastSave="{00000000-0000-0000-0000-000000000000}"/>
  <bookViews>
    <workbookView xWindow="-108" yWindow="-108" windowWidth="23256" windowHeight="12456" activeTab="2" xr2:uid="{1A751624-106C-4D62-BEB7-397CEF418ABD}"/>
  </bookViews>
  <sheets>
    <sheet name="ITUIUTABA" sheetId="1" r:id="rId1"/>
    <sheet name="PATROCÍNIO-MONTE CARMELO" sheetId="2" r:id="rId2"/>
    <sheet name="UBERLÂNDIA-ARAGUA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O20" i="3"/>
  <c r="O19" i="3"/>
  <c r="M19" i="3"/>
  <c r="M18" i="3"/>
  <c r="K18" i="3"/>
  <c r="K17" i="3"/>
  <c r="O16" i="3"/>
  <c r="O15" i="3"/>
  <c r="M15" i="3"/>
  <c r="M14" i="3"/>
  <c r="K14" i="3"/>
  <c r="P13" i="3"/>
  <c r="O13" i="3"/>
  <c r="N13" i="3"/>
  <c r="M13" i="3"/>
  <c r="L13" i="3"/>
  <c r="K13" i="3"/>
  <c r="O21" i="2"/>
  <c r="N20" i="2"/>
  <c r="M20" i="2"/>
  <c r="N19" i="2"/>
  <c r="L19" i="2"/>
  <c r="K19" i="2"/>
  <c r="L18" i="2"/>
  <c r="O17" i="2"/>
  <c r="N16" i="2"/>
  <c r="M16" i="2"/>
  <c r="N15" i="2"/>
  <c r="L15" i="2"/>
  <c r="K15" i="2"/>
  <c r="L14" i="2"/>
  <c r="P13" i="2"/>
  <c r="O13" i="2"/>
  <c r="N13" i="2"/>
  <c r="M13" i="2"/>
  <c r="L13" i="2"/>
  <c r="K13" i="2"/>
  <c r="O20" i="1"/>
  <c r="N19" i="1"/>
  <c r="M19" i="1"/>
  <c r="L18" i="1"/>
  <c r="K18" i="1"/>
  <c r="O16" i="1"/>
  <c r="N15" i="1"/>
  <c r="M15" i="1"/>
  <c r="L14" i="1"/>
  <c r="K14" i="1"/>
  <c r="P13" i="1"/>
  <c r="O13" i="1"/>
  <c r="N13" i="1"/>
  <c r="M13" i="1"/>
  <c r="L13" i="1"/>
  <c r="K13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P3" i="1"/>
  <c r="P4" i="1" s="1"/>
  <c r="P5" i="1" s="1"/>
  <c r="P6" i="1" s="1"/>
  <c r="P7" i="1" s="1"/>
  <c r="P8" i="1" s="1"/>
  <c r="P9" i="1" s="1"/>
  <c r="P10" i="1" s="1"/>
  <c r="O3" i="1"/>
  <c r="O4" i="1" s="1"/>
  <c r="O5" i="1" s="1"/>
  <c r="O6" i="1" s="1"/>
  <c r="O7" i="1" s="1"/>
  <c r="O8" i="1" s="1"/>
  <c r="O9" i="1" s="1"/>
  <c r="O10" i="1" s="1"/>
  <c r="N3" i="1"/>
  <c r="N4" i="1" s="1"/>
  <c r="N5" i="1" s="1"/>
  <c r="N6" i="1" s="1"/>
  <c r="N7" i="1" s="1"/>
  <c r="N8" i="1" s="1"/>
  <c r="N9" i="1" s="1"/>
  <c r="N10" i="1" s="1"/>
  <c r="M3" i="1"/>
  <c r="M4" i="1" s="1"/>
  <c r="M5" i="1" s="1"/>
  <c r="M6" i="1" s="1"/>
  <c r="M7" i="1" s="1"/>
  <c r="M8" i="1" s="1"/>
  <c r="M9" i="1" s="1"/>
  <c r="M10" i="1" s="1"/>
  <c r="L3" i="1"/>
  <c r="L4" i="1" s="1"/>
  <c r="L5" i="1" s="1"/>
  <c r="L6" i="1" s="1"/>
  <c r="L7" i="1" s="1"/>
  <c r="L8" i="1" s="1"/>
  <c r="L9" i="1" s="1"/>
  <c r="L10" i="1" s="1"/>
  <c r="K3" i="1"/>
  <c r="K4" i="1" s="1"/>
  <c r="K5" i="1" s="1"/>
  <c r="K6" i="1" s="1"/>
  <c r="K7" i="1" s="1"/>
  <c r="K8" i="1" s="1"/>
  <c r="K9" i="1" s="1"/>
  <c r="K10" i="1" s="1"/>
  <c r="J3" i="1"/>
  <c r="J4" i="1" s="1"/>
  <c r="J5" i="1" s="1"/>
  <c r="J6" i="1" s="1"/>
  <c r="J7" i="1" s="1"/>
  <c r="J8" i="1" s="1"/>
  <c r="J9" i="1" s="1"/>
  <c r="J10" i="1" s="1"/>
  <c r="P21" i="1" s="1"/>
  <c r="P3" i="2"/>
  <c r="P4" i="2" s="1"/>
  <c r="P5" i="2" s="1"/>
  <c r="P6" i="2" s="1"/>
  <c r="P7" i="2" s="1"/>
  <c r="P8" i="2" s="1"/>
  <c r="P9" i="2" s="1"/>
  <c r="P10" i="2" s="1"/>
  <c r="P21" i="2" s="1"/>
  <c r="O3" i="2"/>
  <c r="O4" i="2" s="1"/>
  <c r="O5" i="2" s="1"/>
  <c r="O6" i="2" s="1"/>
  <c r="O7" i="2" s="1"/>
  <c r="O8" i="2" s="1"/>
  <c r="O9" i="2" s="1"/>
  <c r="O10" i="2" s="1"/>
  <c r="N3" i="2"/>
  <c r="N4" i="2" s="1"/>
  <c r="N5" i="2" s="1"/>
  <c r="N6" i="2" s="1"/>
  <c r="N7" i="2" s="1"/>
  <c r="N8" i="2" s="1"/>
  <c r="N9" i="2" s="1"/>
  <c r="N10" i="2" s="1"/>
  <c r="M3" i="2"/>
  <c r="M4" i="2" s="1"/>
  <c r="M5" i="2" s="1"/>
  <c r="M6" i="2" s="1"/>
  <c r="M7" i="2" s="1"/>
  <c r="M8" i="2" s="1"/>
  <c r="M9" i="2" s="1"/>
  <c r="M10" i="2" s="1"/>
  <c r="L3" i="2"/>
  <c r="L4" i="2" s="1"/>
  <c r="L5" i="2" s="1"/>
  <c r="L6" i="2" s="1"/>
  <c r="L7" i="2" s="1"/>
  <c r="L8" i="2" s="1"/>
  <c r="L9" i="2" s="1"/>
  <c r="L10" i="2" s="1"/>
  <c r="K3" i="2"/>
  <c r="K4" i="2" s="1"/>
  <c r="K5" i="2" s="1"/>
  <c r="K6" i="2" s="1"/>
  <c r="K7" i="2" s="1"/>
  <c r="K8" i="2" s="1"/>
  <c r="K9" i="2" s="1"/>
  <c r="K10" i="2" s="1"/>
  <c r="J3" i="2"/>
  <c r="J4" i="2" s="1"/>
  <c r="J5" i="2" s="1"/>
  <c r="J6" i="2" s="1"/>
  <c r="J7" i="2" s="1"/>
  <c r="J8" i="2" s="1"/>
  <c r="J9" i="2" s="1"/>
  <c r="J10" i="2" s="1"/>
  <c r="N21" i="2" s="1"/>
  <c r="P3" i="3"/>
  <c r="P4" i="3" s="1"/>
  <c r="P5" i="3" s="1"/>
  <c r="P6" i="3" s="1"/>
  <c r="P7" i="3" s="1"/>
  <c r="P8" i="3" s="1"/>
  <c r="P9" i="3" s="1"/>
  <c r="P10" i="3" s="1"/>
  <c r="O3" i="3"/>
  <c r="O4" i="3" s="1"/>
  <c r="O5" i="3" s="1"/>
  <c r="O6" i="3" s="1"/>
  <c r="O7" i="3" s="1"/>
  <c r="O8" i="3" s="1"/>
  <c r="O9" i="3" s="1"/>
  <c r="O10" i="3" s="1"/>
  <c r="N3" i="3"/>
  <c r="N4" i="3" s="1"/>
  <c r="N5" i="3" s="1"/>
  <c r="N6" i="3" s="1"/>
  <c r="N7" i="3" s="1"/>
  <c r="N8" i="3" s="1"/>
  <c r="N9" i="3" s="1"/>
  <c r="N10" i="3" s="1"/>
  <c r="M3" i="3"/>
  <c r="M4" i="3" s="1"/>
  <c r="M5" i="3" s="1"/>
  <c r="M6" i="3" s="1"/>
  <c r="M7" i="3" s="1"/>
  <c r="M8" i="3" s="1"/>
  <c r="M9" i="3" s="1"/>
  <c r="M10" i="3" s="1"/>
  <c r="L3" i="3"/>
  <c r="L4" i="3" s="1"/>
  <c r="L5" i="3" s="1"/>
  <c r="L6" i="3" s="1"/>
  <c r="L7" i="3" s="1"/>
  <c r="L8" i="3" s="1"/>
  <c r="L9" i="3" s="1"/>
  <c r="L10" i="3" s="1"/>
  <c r="K3" i="3"/>
  <c r="K4" i="3" s="1"/>
  <c r="K5" i="3" s="1"/>
  <c r="K6" i="3" s="1"/>
  <c r="K7" i="3" s="1"/>
  <c r="K8" i="3" s="1"/>
  <c r="K9" i="3" s="1"/>
  <c r="K10" i="3" s="1"/>
  <c r="J3" i="3"/>
  <c r="J4" i="3" s="1"/>
  <c r="J5" i="3" s="1"/>
  <c r="J6" i="3" s="1"/>
  <c r="J7" i="3" s="1"/>
  <c r="J8" i="3" s="1"/>
  <c r="J9" i="3" s="1"/>
  <c r="J10" i="3" s="1"/>
  <c r="P21" i="3" s="1"/>
  <c r="L14" i="3" l="1"/>
  <c r="N15" i="3"/>
  <c r="P16" i="3"/>
  <c r="L18" i="3"/>
  <c r="N19" i="3"/>
  <c r="P20" i="3"/>
  <c r="N14" i="3"/>
  <c r="P15" i="3"/>
  <c r="L17" i="3"/>
  <c r="N18" i="3"/>
  <c r="P19" i="3"/>
  <c r="L21" i="3"/>
  <c r="O14" i="3"/>
  <c r="O22" i="3" s="1"/>
  <c r="O23" i="3" s="1"/>
  <c r="K16" i="3"/>
  <c r="K22" i="3" s="1"/>
  <c r="K23" i="3" s="1"/>
  <c r="M17" i="3"/>
  <c r="O18" i="3"/>
  <c r="K20" i="3"/>
  <c r="M21" i="3"/>
  <c r="P14" i="3"/>
  <c r="L16" i="3"/>
  <c r="N17" i="3"/>
  <c r="P18" i="3"/>
  <c r="L20" i="3"/>
  <c r="N21" i="3"/>
  <c r="K15" i="3"/>
  <c r="M16" i="3"/>
  <c r="M22" i="3" s="1"/>
  <c r="M23" i="3" s="1"/>
  <c r="O17" i="3"/>
  <c r="K19" i="3"/>
  <c r="M20" i="3"/>
  <c r="O21" i="3"/>
  <c r="L15" i="3"/>
  <c r="N16" i="3"/>
  <c r="P17" i="3"/>
  <c r="L19" i="3"/>
  <c r="N20" i="3"/>
  <c r="P17" i="2"/>
  <c r="K14" i="2"/>
  <c r="M15" i="2"/>
  <c r="O16" i="2"/>
  <c r="K18" i="2"/>
  <c r="M19" i="2"/>
  <c r="O20" i="2"/>
  <c r="K22" i="2"/>
  <c r="K23" i="2" s="1"/>
  <c r="M14" i="2"/>
  <c r="O15" i="2"/>
  <c r="K17" i="2"/>
  <c r="M18" i="2"/>
  <c r="O19" i="2"/>
  <c r="K21" i="2"/>
  <c r="P20" i="2"/>
  <c r="L22" i="2"/>
  <c r="L23" i="2" s="1"/>
  <c r="N14" i="2"/>
  <c r="P15" i="2"/>
  <c r="L17" i="2"/>
  <c r="N18" i="2"/>
  <c r="P19" i="2"/>
  <c r="L21" i="2"/>
  <c r="P16" i="2"/>
  <c r="P22" i="2" s="1"/>
  <c r="P23" i="2" s="1"/>
  <c r="O14" i="2"/>
  <c r="K16" i="2"/>
  <c r="M17" i="2"/>
  <c r="O18" i="2"/>
  <c r="K20" i="2"/>
  <c r="M21" i="2"/>
  <c r="P14" i="2"/>
  <c r="L16" i="2"/>
  <c r="N17" i="2"/>
  <c r="P18" i="2"/>
  <c r="L20" i="2"/>
  <c r="K21" i="1"/>
  <c r="N14" i="1"/>
  <c r="P15" i="1"/>
  <c r="L17" i="1"/>
  <c r="N18" i="1"/>
  <c r="P19" i="1"/>
  <c r="L21" i="1"/>
  <c r="P16" i="1"/>
  <c r="P22" i="1" s="1"/>
  <c r="P23" i="1" s="1"/>
  <c r="M14" i="1"/>
  <c r="O19" i="1"/>
  <c r="O14" i="1"/>
  <c r="K16" i="1"/>
  <c r="M17" i="1"/>
  <c r="O18" i="1"/>
  <c r="K20" i="1"/>
  <c r="M21" i="1"/>
  <c r="P20" i="1"/>
  <c r="O15" i="1"/>
  <c r="O22" i="1" s="1"/>
  <c r="O23" i="1" s="1"/>
  <c r="P14" i="1"/>
  <c r="L16" i="1"/>
  <c r="N17" i="1"/>
  <c r="P18" i="1"/>
  <c r="L20" i="1"/>
  <c r="N21" i="1"/>
  <c r="M18" i="1"/>
  <c r="K15" i="1"/>
  <c r="M16" i="1"/>
  <c r="O17" i="1"/>
  <c r="K19" i="1"/>
  <c r="M20" i="1"/>
  <c r="O21" i="1"/>
  <c r="K17" i="1"/>
  <c r="L15" i="1"/>
  <c r="N16" i="1"/>
  <c r="P17" i="1"/>
  <c r="L19" i="1"/>
  <c r="N20" i="1"/>
  <c r="P22" i="3" l="1"/>
  <c r="P23" i="3" s="1"/>
  <c r="N22" i="3"/>
  <c r="N23" i="3" s="1"/>
  <c r="L22" i="3"/>
  <c r="L23" i="3" s="1"/>
  <c r="O22" i="2"/>
  <c r="O23" i="2" s="1"/>
  <c r="M22" i="2"/>
  <c r="M23" i="2" s="1"/>
  <c r="N22" i="2"/>
  <c r="N23" i="2" s="1"/>
  <c r="N22" i="1"/>
  <c r="N23" i="1" s="1"/>
  <c r="M22" i="1"/>
  <c r="M23" i="1" s="1"/>
  <c r="L22" i="1"/>
  <c r="L23" i="1" s="1"/>
  <c r="K22" i="1"/>
  <c r="K23" i="1" s="1"/>
</calcChain>
</file>

<file path=xl/sharedStrings.xml><?xml version="1.0" encoding="utf-8"?>
<sst xmlns="http://schemas.openxmlformats.org/spreadsheetml/2006/main" count="174" uniqueCount="49">
  <si>
    <t>ITUIUTABA</t>
  </si>
  <si>
    <t>CACHOEIRA DOURADA</t>
  </si>
  <si>
    <t>CAMPINA VERDE</t>
  </si>
  <si>
    <t>CANÁPOLIS</t>
  </si>
  <si>
    <t>CAPINÓPOLIS</t>
  </si>
  <si>
    <t>CENTRALINA</t>
  </si>
  <si>
    <t>GURINHATÃ</t>
  </si>
  <si>
    <t>IPIAÇU</t>
  </si>
  <si>
    <t>SANTA VITÓRIA</t>
  </si>
  <si>
    <t>ABADIA DOS DOURADOS</t>
  </si>
  <si>
    <t>COROMANDEL</t>
  </si>
  <si>
    <t>DOURADOQUARA</t>
  </si>
  <si>
    <t>ESTRELA DO SUL</t>
  </si>
  <si>
    <t>GRUPIARA</t>
  </si>
  <si>
    <t>IRAÍ DE MINAS</t>
  </si>
  <si>
    <t>MONTE CARMELO</t>
  </si>
  <si>
    <t>PATROCÍNIO</t>
  </si>
  <si>
    <t>ROMARIA</t>
  </si>
  <si>
    <t>ARAGUARI</t>
  </si>
  <si>
    <t>ARAPORÃ</t>
  </si>
  <si>
    <t>CASCALHO RICO</t>
  </si>
  <si>
    <t>INDIANÓPOLIS</t>
  </si>
  <si>
    <t>MONTE ALEGRE DE MINAS</t>
  </si>
  <si>
    <t>NOVA PONTE</t>
  </si>
  <si>
    <t>PRATA</t>
  </si>
  <si>
    <t>TUPACIGUARA</t>
  </si>
  <si>
    <t>UBERLÂNDIA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</si>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</sst>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ITUIUTABA!$J$1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ITUIUTABA!$J$2:$J$10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A-4DB8-A6C8-3011EF60C675}"/>
            </c:ext>
          </c:extLst>
        </c:ser>
        <c:ser>
          <c:idx val="1"/>
          <c:order val="1"/>
          <c:tx>
            <c:strRef>
              <c:f>ITUIUTABA!$K$1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ITUIUTABA!$K$2:$K$10</c:f>
              <c:numCache>
                <c:formatCode>0.00</c:formatCode>
                <c:ptCount val="9"/>
                <c:pt idx="0">
                  <c:v>1.6129032258064516E-2</c:v>
                </c:pt>
                <c:pt idx="1">
                  <c:v>4.1474654377880185E-2</c:v>
                </c:pt>
                <c:pt idx="2">
                  <c:v>6.4516129032258063E-2</c:v>
                </c:pt>
                <c:pt idx="3">
                  <c:v>0.12442396313364054</c:v>
                </c:pt>
                <c:pt idx="4">
                  <c:v>0.26728110599078336</c:v>
                </c:pt>
                <c:pt idx="5">
                  <c:v>0.38709677419354832</c:v>
                </c:pt>
                <c:pt idx="6">
                  <c:v>0.49308755760368655</c:v>
                </c:pt>
                <c:pt idx="7">
                  <c:v>0.71658986175115202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A-4DB8-A6C8-3011EF60C675}"/>
            </c:ext>
          </c:extLst>
        </c:ser>
        <c:ser>
          <c:idx val="2"/>
          <c:order val="2"/>
          <c:tx>
            <c:strRef>
              <c:f>ITUIUTABA!$L$1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ITUIUTABA!$L$2:$L$10</c:f>
              <c:numCache>
                <c:formatCode>0.00</c:formatCode>
                <c:ptCount val="9"/>
                <c:pt idx="0">
                  <c:v>9.6774193548387101E-3</c:v>
                </c:pt>
                <c:pt idx="1">
                  <c:v>7.4193548387096769E-2</c:v>
                </c:pt>
                <c:pt idx="2">
                  <c:v>9.9999999999999992E-2</c:v>
                </c:pt>
                <c:pt idx="3">
                  <c:v>0.1064516129032258</c:v>
                </c:pt>
                <c:pt idx="4">
                  <c:v>0.23225806451612901</c:v>
                </c:pt>
                <c:pt idx="5">
                  <c:v>0.31612903225806449</c:v>
                </c:pt>
                <c:pt idx="6">
                  <c:v>0.41612903225806452</c:v>
                </c:pt>
                <c:pt idx="7">
                  <c:v>0.74516129032258061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A-4DB8-A6C8-3011EF60C675}"/>
            </c:ext>
          </c:extLst>
        </c:ser>
        <c:ser>
          <c:idx val="3"/>
          <c:order val="3"/>
          <c:tx>
            <c:strRef>
              <c:f>ITUIUTABA!$M$1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ITUIUTABA!$M$2:$M$10</c:f>
              <c:numCache>
                <c:formatCode>0.00</c:formatCode>
                <c:ptCount val="9"/>
                <c:pt idx="0">
                  <c:v>0</c:v>
                </c:pt>
                <c:pt idx="1">
                  <c:v>2.4390243902439025E-2</c:v>
                </c:pt>
                <c:pt idx="2">
                  <c:v>4.878048780487805E-2</c:v>
                </c:pt>
                <c:pt idx="3">
                  <c:v>0.18780487804878049</c:v>
                </c:pt>
                <c:pt idx="4">
                  <c:v>0.22682926829268293</c:v>
                </c:pt>
                <c:pt idx="5">
                  <c:v>0.29024390243902443</c:v>
                </c:pt>
                <c:pt idx="6">
                  <c:v>0.30975609756097566</c:v>
                </c:pt>
                <c:pt idx="7">
                  <c:v>0.52439024390243905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A-4DB8-A6C8-3011EF60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757248"/>
        <c:axId val="2021774048"/>
      </c:scatterChart>
      <c:valAx>
        <c:axId val="2021757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74048"/>
        <c:crosses val="autoZero"/>
        <c:crossBetween val="midCat"/>
      </c:valAx>
      <c:valAx>
        <c:axId val="20217740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ITUIUTABA!$J$1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ITUIUTABA!$J$2:$J$10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1-4258-BCE5-0B18E1CEF8D3}"/>
            </c:ext>
          </c:extLst>
        </c:ser>
        <c:ser>
          <c:idx val="1"/>
          <c:order val="1"/>
          <c:tx>
            <c:strRef>
              <c:f>ITUIUTABA!$N$1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ITUIUTABA!$N$2:$N$10</c:f>
              <c:numCache>
                <c:formatCode>0.00</c:formatCode>
                <c:ptCount val="9"/>
                <c:pt idx="0">
                  <c:v>4.2918454935622317E-3</c:v>
                </c:pt>
                <c:pt idx="1">
                  <c:v>1.7167381974248927E-2</c:v>
                </c:pt>
                <c:pt idx="2">
                  <c:v>4.1845493562231759E-2</c:v>
                </c:pt>
                <c:pt idx="3">
                  <c:v>0.13412017167381973</c:v>
                </c:pt>
                <c:pt idx="4">
                  <c:v>0.30150214592274677</c:v>
                </c:pt>
                <c:pt idx="5">
                  <c:v>0.3594420600858369</c:v>
                </c:pt>
                <c:pt idx="6">
                  <c:v>0.40021459227467809</c:v>
                </c:pt>
                <c:pt idx="7">
                  <c:v>0.5311158798283262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81-4258-BCE5-0B18E1CEF8D3}"/>
            </c:ext>
          </c:extLst>
        </c:ser>
        <c:ser>
          <c:idx val="2"/>
          <c:order val="2"/>
          <c:tx>
            <c:strRef>
              <c:f>ITUIUTABA!$O$1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ITUIUTABA!$O$2:$O$10</c:f>
              <c:numCache>
                <c:formatCode>0.00</c:formatCode>
                <c:ptCount val="9"/>
                <c:pt idx="0">
                  <c:v>0</c:v>
                </c:pt>
                <c:pt idx="1">
                  <c:v>2.1413276231263384E-3</c:v>
                </c:pt>
                <c:pt idx="2">
                  <c:v>1.284796573875803E-2</c:v>
                </c:pt>
                <c:pt idx="3">
                  <c:v>4.7109207708779445E-2</c:v>
                </c:pt>
                <c:pt idx="4">
                  <c:v>0.21413276231263384</c:v>
                </c:pt>
                <c:pt idx="5">
                  <c:v>0.26552462526766596</c:v>
                </c:pt>
                <c:pt idx="6">
                  <c:v>0.3340471092077088</c:v>
                </c:pt>
                <c:pt idx="7">
                  <c:v>0.54603854389721629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81-4258-BCE5-0B18E1CEF8D3}"/>
            </c:ext>
          </c:extLst>
        </c:ser>
        <c:ser>
          <c:idx val="3"/>
          <c:order val="3"/>
          <c:tx>
            <c:strRef>
              <c:f>ITUIUTABA!$P$1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ITUIUTABA!$P$2:$P$10</c:f>
              <c:numCache>
                <c:formatCode>0.00</c:formatCode>
                <c:ptCount val="9"/>
                <c:pt idx="0">
                  <c:v>1.4150943396226415E-2</c:v>
                </c:pt>
                <c:pt idx="1">
                  <c:v>3.3018867924528301E-2</c:v>
                </c:pt>
                <c:pt idx="2">
                  <c:v>3.7735849056603772E-2</c:v>
                </c:pt>
                <c:pt idx="3">
                  <c:v>0.12735849056603774</c:v>
                </c:pt>
                <c:pt idx="4">
                  <c:v>0.26886792452830188</c:v>
                </c:pt>
                <c:pt idx="5">
                  <c:v>0.29716981132075471</c:v>
                </c:pt>
                <c:pt idx="6">
                  <c:v>0.46698113207547165</c:v>
                </c:pt>
                <c:pt idx="7">
                  <c:v>0.67924528301886788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81-4258-BCE5-0B18E1CE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04752"/>
        <c:axId val="653198032"/>
      </c:scatterChart>
      <c:valAx>
        <c:axId val="65320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98032"/>
        <c:crosses val="autoZero"/>
        <c:crossBetween val="midCat"/>
      </c:valAx>
      <c:valAx>
        <c:axId val="653198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20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'PATROCÍNIO-MONTE CARMELO'!$J$1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CARMELO'!$J$2:$J$10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03-46DC-8A8D-14E6F82CC631}"/>
            </c:ext>
          </c:extLst>
        </c:ser>
        <c:ser>
          <c:idx val="1"/>
          <c:order val="1"/>
          <c:tx>
            <c:strRef>
              <c:f>'PATROCÍNIO-MONTE CARMELO'!$K$1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CARMELO'!$K$2:$K$10</c:f>
              <c:numCache>
                <c:formatCode>0.00</c:formatCode>
                <c:ptCount val="9"/>
                <c:pt idx="0">
                  <c:v>2.8530670470756064E-3</c:v>
                </c:pt>
                <c:pt idx="1">
                  <c:v>1.4265335235378032E-2</c:v>
                </c:pt>
                <c:pt idx="2">
                  <c:v>3.8516405135520689E-2</c:v>
                </c:pt>
                <c:pt idx="3">
                  <c:v>5.563480741797433E-2</c:v>
                </c:pt>
                <c:pt idx="4">
                  <c:v>8.7018544935805991E-2</c:v>
                </c:pt>
                <c:pt idx="5">
                  <c:v>0.11982881597717546</c:v>
                </c:pt>
                <c:pt idx="6">
                  <c:v>0.30242510699001424</c:v>
                </c:pt>
                <c:pt idx="7">
                  <c:v>0.51069900142653346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03-46DC-8A8D-14E6F82CC631}"/>
            </c:ext>
          </c:extLst>
        </c:ser>
        <c:ser>
          <c:idx val="2"/>
          <c:order val="2"/>
          <c:tx>
            <c:strRef>
              <c:f>'PATROCÍNIO-MONTE CARMELO'!$L$1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CARMELO'!$L$2:$L$10</c:f>
              <c:numCache>
                <c:formatCode>0.00</c:formatCode>
                <c:ptCount val="9"/>
                <c:pt idx="0">
                  <c:v>1.488095238095238E-3</c:v>
                </c:pt>
                <c:pt idx="1">
                  <c:v>4.464285714285714E-3</c:v>
                </c:pt>
                <c:pt idx="2">
                  <c:v>1.3392857142857142E-2</c:v>
                </c:pt>
                <c:pt idx="3">
                  <c:v>3.5714285714285712E-2</c:v>
                </c:pt>
                <c:pt idx="4">
                  <c:v>6.5476190476190466E-2</c:v>
                </c:pt>
                <c:pt idx="5">
                  <c:v>8.6309523809523794E-2</c:v>
                </c:pt>
                <c:pt idx="6">
                  <c:v>0.15178571428571427</c:v>
                </c:pt>
                <c:pt idx="7">
                  <c:v>0.33779761904761907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03-46DC-8A8D-14E6F82CC631}"/>
            </c:ext>
          </c:extLst>
        </c:ser>
        <c:ser>
          <c:idx val="3"/>
          <c:order val="3"/>
          <c:tx>
            <c:strRef>
              <c:f>'PATROCÍNIO-MONTE CARMELO'!$M$1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CARMELO'!$M$2:$M$10</c:f>
              <c:numCache>
                <c:formatCode>0.00</c:formatCode>
                <c:ptCount val="9"/>
                <c:pt idx="0">
                  <c:v>8.9285714285714281E-3</c:v>
                </c:pt>
                <c:pt idx="1">
                  <c:v>1.4285714285714285E-2</c:v>
                </c:pt>
                <c:pt idx="2">
                  <c:v>2.3214285714285715E-2</c:v>
                </c:pt>
                <c:pt idx="3">
                  <c:v>6.4285714285714279E-2</c:v>
                </c:pt>
                <c:pt idx="4">
                  <c:v>9.1071428571428567E-2</c:v>
                </c:pt>
                <c:pt idx="5">
                  <c:v>9.9999999999999992E-2</c:v>
                </c:pt>
                <c:pt idx="6">
                  <c:v>0.21428571428571427</c:v>
                </c:pt>
                <c:pt idx="7">
                  <c:v>0.41607142857142854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03-46DC-8A8D-14E6F82CC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37072"/>
        <c:axId val="525148112"/>
      </c:scatterChart>
      <c:valAx>
        <c:axId val="5251370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8112"/>
        <c:crosses val="autoZero"/>
        <c:crossBetween val="midCat"/>
      </c:valAx>
      <c:valAx>
        <c:axId val="525148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3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'PATROCÍNIO-MONTE CARMELO'!$J$1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CARMELO'!$J$2:$J$10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4-43A4-A5E5-2C1FD63E0727}"/>
            </c:ext>
          </c:extLst>
        </c:ser>
        <c:ser>
          <c:idx val="1"/>
          <c:order val="1"/>
          <c:tx>
            <c:strRef>
              <c:f>'PATROCÍNIO-MONTE CARMELO'!$N$1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CARMELO'!$N$2:$N$10</c:f>
              <c:numCache>
                <c:formatCode>0.00</c:formatCode>
                <c:ptCount val="9"/>
                <c:pt idx="0">
                  <c:v>7.9185520361990946E-3</c:v>
                </c:pt>
                <c:pt idx="1">
                  <c:v>1.8099547511312215E-2</c:v>
                </c:pt>
                <c:pt idx="2">
                  <c:v>3.0542986425339362E-2</c:v>
                </c:pt>
                <c:pt idx="3">
                  <c:v>5.090497737556561E-2</c:v>
                </c:pt>
                <c:pt idx="4">
                  <c:v>7.1266968325791852E-2</c:v>
                </c:pt>
                <c:pt idx="5">
                  <c:v>8.5972850678733032E-2</c:v>
                </c:pt>
                <c:pt idx="6">
                  <c:v>0.26583710407239819</c:v>
                </c:pt>
                <c:pt idx="7">
                  <c:v>0.61990950226244346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D4-43A4-A5E5-2C1FD63E0727}"/>
            </c:ext>
          </c:extLst>
        </c:ser>
        <c:ser>
          <c:idx val="2"/>
          <c:order val="2"/>
          <c:tx>
            <c:strRef>
              <c:f>'PATROCÍNIO-MONTE CARMELO'!$O$1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CARMELO'!$O$2:$O$10</c:f>
              <c:numCache>
                <c:formatCode>0.00</c:formatCode>
                <c:ptCount val="9"/>
                <c:pt idx="0">
                  <c:v>2.7816411682892906E-3</c:v>
                </c:pt>
                <c:pt idx="1">
                  <c:v>8.3449235048678721E-3</c:v>
                </c:pt>
                <c:pt idx="2">
                  <c:v>1.8080667593880391E-2</c:v>
                </c:pt>
                <c:pt idx="3">
                  <c:v>2.9207232267037551E-2</c:v>
                </c:pt>
                <c:pt idx="4">
                  <c:v>3.8942976356050069E-2</c:v>
                </c:pt>
                <c:pt idx="5">
                  <c:v>5.2851182197496523E-2</c:v>
                </c:pt>
                <c:pt idx="6">
                  <c:v>0.18358831710709317</c:v>
                </c:pt>
                <c:pt idx="7">
                  <c:v>0.6717663421418637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D4-43A4-A5E5-2C1FD63E0727}"/>
            </c:ext>
          </c:extLst>
        </c:ser>
        <c:ser>
          <c:idx val="3"/>
          <c:order val="3"/>
          <c:tx>
            <c:strRef>
              <c:f>'PATROCÍNIO-MONTE CARMELO'!$P$1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CARMELO'!$P$2:$P$10</c:f>
              <c:numCache>
                <c:formatCode>0.00</c:formatCode>
                <c:ptCount val="9"/>
                <c:pt idx="0">
                  <c:v>1.3888888888888888E-2</c:v>
                </c:pt>
                <c:pt idx="1">
                  <c:v>2.0833333333333332E-2</c:v>
                </c:pt>
                <c:pt idx="2">
                  <c:v>2.4305555555555552E-2</c:v>
                </c:pt>
                <c:pt idx="3">
                  <c:v>3.1249999999999997E-2</c:v>
                </c:pt>
                <c:pt idx="4">
                  <c:v>4.8611111111111105E-2</c:v>
                </c:pt>
                <c:pt idx="5">
                  <c:v>6.9444444444444434E-2</c:v>
                </c:pt>
                <c:pt idx="6">
                  <c:v>0.21527777777777779</c:v>
                </c:pt>
                <c:pt idx="7">
                  <c:v>0.65277777777777779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D4-43A4-A5E5-2C1FD63E0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0496"/>
        <c:axId val="650506736"/>
      </c:scatterChart>
      <c:valAx>
        <c:axId val="650500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6736"/>
        <c:crosses val="autoZero"/>
        <c:crossBetween val="midCat"/>
      </c:valAx>
      <c:valAx>
        <c:axId val="65050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'UBERLÂNDIA-ARAGUARI'!$J$1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'UBERLÂNDIA-ARAGUARI'!$J$2:$J$10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80-442C-B0D3-45630A033163}"/>
            </c:ext>
          </c:extLst>
        </c:ser>
        <c:ser>
          <c:idx val="1"/>
          <c:order val="1"/>
          <c:tx>
            <c:strRef>
              <c:f>'UBERLÂNDIA-ARAGUARI'!$K$1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'UBERLÂNDIA-ARAGUARI'!$K$2:$K$10</c:f>
              <c:numCache>
                <c:formatCode>0.00</c:formatCode>
                <c:ptCount val="9"/>
                <c:pt idx="0">
                  <c:v>4.5558086560364467E-4</c:v>
                </c:pt>
                <c:pt idx="1">
                  <c:v>3.6446469248291574E-3</c:v>
                </c:pt>
                <c:pt idx="2">
                  <c:v>1.5489749430523917E-2</c:v>
                </c:pt>
                <c:pt idx="3">
                  <c:v>2.7790432801822321E-2</c:v>
                </c:pt>
                <c:pt idx="4">
                  <c:v>6.3781321184510242E-2</c:v>
                </c:pt>
                <c:pt idx="5">
                  <c:v>8.3826879271070603E-2</c:v>
                </c:pt>
                <c:pt idx="6">
                  <c:v>0.12892938496583142</c:v>
                </c:pt>
                <c:pt idx="7">
                  <c:v>0.27608200455580867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80-442C-B0D3-45630A033163}"/>
            </c:ext>
          </c:extLst>
        </c:ser>
        <c:ser>
          <c:idx val="2"/>
          <c:order val="2"/>
          <c:tx>
            <c:strRef>
              <c:f>'UBERLÂNDIA-ARAGUARI'!$L$1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'UBERLÂNDIA-ARAGUARI'!$L$2:$L$10</c:f>
              <c:numCache>
                <c:formatCode>0.00</c:formatCode>
                <c:ptCount val="9"/>
                <c:pt idx="0">
                  <c:v>1.2476606363069245E-3</c:v>
                </c:pt>
                <c:pt idx="1">
                  <c:v>1.6219588271990017E-2</c:v>
                </c:pt>
                <c:pt idx="2">
                  <c:v>1.8091079226450403E-2</c:v>
                </c:pt>
                <c:pt idx="3">
                  <c:v>2.8696194635059263E-2</c:v>
                </c:pt>
                <c:pt idx="4">
                  <c:v>6.4878353087960083E-2</c:v>
                </c:pt>
                <c:pt idx="5">
                  <c:v>8.6712414223331258E-2</c:v>
                </c:pt>
                <c:pt idx="6">
                  <c:v>0.13412351840299438</c:v>
                </c:pt>
                <c:pt idx="7">
                  <c:v>0.28696194635059263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80-442C-B0D3-45630A033163}"/>
            </c:ext>
          </c:extLst>
        </c:ser>
        <c:ser>
          <c:idx val="3"/>
          <c:order val="3"/>
          <c:tx>
            <c:strRef>
              <c:f>'UBERLÂNDIA-ARAGUARI'!$M$1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'UBERLÂNDIA-ARAGUARI'!$M$2:$M$10</c:f>
              <c:numCache>
                <c:formatCode>0.00</c:formatCode>
                <c:ptCount val="9"/>
                <c:pt idx="0">
                  <c:v>1.4545454545454545E-3</c:v>
                </c:pt>
                <c:pt idx="1">
                  <c:v>1.6727272727272726E-2</c:v>
                </c:pt>
                <c:pt idx="2">
                  <c:v>2.3272727272727271E-2</c:v>
                </c:pt>
                <c:pt idx="3">
                  <c:v>3.0545454545454542E-2</c:v>
                </c:pt>
                <c:pt idx="4">
                  <c:v>8.727272727272728E-2</c:v>
                </c:pt>
                <c:pt idx="5">
                  <c:v>0.11054545454545456</c:v>
                </c:pt>
                <c:pt idx="6">
                  <c:v>0.1621818181818182</c:v>
                </c:pt>
                <c:pt idx="7">
                  <c:v>0.32727272727272727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80-442C-B0D3-45630A033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69904"/>
        <c:axId val="2055277104"/>
      </c:scatterChart>
      <c:valAx>
        <c:axId val="2055269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77104"/>
        <c:crosses val="autoZero"/>
        <c:crossBetween val="midCat"/>
      </c:valAx>
      <c:valAx>
        <c:axId val="2055277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6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'UBERLÂNDIA-ARAGUARI'!$J$1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'UBERLÂNDIA-ARAGUARI'!$J$2:$J$10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A-4FD5-A4B1-96BA8FC028F1}"/>
            </c:ext>
          </c:extLst>
        </c:ser>
        <c:ser>
          <c:idx val="1"/>
          <c:order val="1"/>
          <c:tx>
            <c:strRef>
              <c:f>'UBERLÂNDIA-ARAGUARI'!$N$1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'UBERLÂNDIA-ARAGUARI'!$N$2:$N$10</c:f>
              <c:numCache>
                <c:formatCode>0.00</c:formatCode>
                <c:ptCount val="9"/>
                <c:pt idx="0">
                  <c:v>1.4763779527559055E-3</c:v>
                </c:pt>
                <c:pt idx="1">
                  <c:v>1.0334645669291338E-2</c:v>
                </c:pt>
                <c:pt idx="2">
                  <c:v>1.7224409448818895E-2</c:v>
                </c:pt>
                <c:pt idx="3">
                  <c:v>2.4606299212598423E-2</c:v>
                </c:pt>
                <c:pt idx="4">
                  <c:v>7.1358267716535431E-2</c:v>
                </c:pt>
                <c:pt idx="5">
                  <c:v>9.9901574803149609E-2</c:v>
                </c:pt>
                <c:pt idx="6">
                  <c:v>0.15403543307086615</c:v>
                </c:pt>
                <c:pt idx="7">
                  <c:v>0.35039370078740162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A-4FD5-A4B1-96BA8FC028F1}"/>
            </c:ext>
          </c:extLst>
        </c:ser>
        <c:ser>
          <c:idx val="2"/>
          <c:order val="2"/>
          <c:tx>
            <c:strRef>
              <c:f>'UBERLÂNDIA-ARAGUARI'!$O$1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'UBERLÂNDIA-ARAGUARI'!$O$2:$O$10</c:f>
              <c:numCache>
                <c:formatCode>0.00</c:formatCode>
                <c:ptCount val="9"/>
                <c:pt idx="0">
                  <c:v>3.5855145213338117E-4</c:v>
                </c:pt>
                <c:pt idx="1">
                  <c:v>7.8881319469343847E-3</c:v>
                </c:pt>
                <c:pt idx="2">
                  <c:v>9.3223377554679087E-3</c:v>
                </c:pt>
                <c:pt idx="3">
                  <c:v>1.0756543564001433E-2</c:v>
                </c:pt>
                <c:pt idx="4">
                  <c:v>3.1552527787737539E-2</c:v>
                </c:pt>
                <c:pt idx="5">
                  <c:v>5.019720329867336E-2</c:v>
                </c:pt>
                <c:pt idx="6">
                  <c:v>7.9956973825743988E-2</c:v>
                </c:pt>
                <c:pt idx="7">
                  <c:v>0.20473287916816063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A-4FD5-A4B1-96BA8FC028F1}"/>
            </c:ext>
          </c:extLst>
        </c:ser>
        <c:ser>
          <c:idx val="3"/>
          <c:order val="3"/>
          <c:tx>
            <c:strRef>
              <c:f>'UBERLÂNDIA-ARAGUARI'!$P$1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'UBERLÂNDIA-ARAGUARI'!$P$2:$P$10</c:f>
              <c:numCache>
                <c:formatCode>0.00</c:formatCode>
                <c:ptCount val="9"/>
                <c:pt idx="0">
                  <c:v>4.2955326460481103E-3</c:v>
                </c:pt>
                <c:pt idx="1">
                  <c:v>9.450171821305843E-3</c:v>
                </c:pt>
                <c:pt idx="2">
                  <c:v>1.9759450171821305E-2</c:v>
                </c:pt>
                <c:pt idx="3">
                  <c:v>2.2336769759450172E-2</c:v>
                </c:pt>
                <c:pt idx="4">
                  <c:v>4.8109965635738827E-2</c:v>
                </c:pt>
                <c:pt idx="5">
                  <c:v>6.615120274914088E-2</c:v>
                </c:pt>
                <c:pt idx="6">
                  <c:v>9.7079037800687273E-2</c:v>
                </c:pt>
                <c:pt idx="7">
                  <c:v>0.34020618556701032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3A-4FD5-A4B1-96BA8FC02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86480"/>
        <c:axId val="893277360"/>
      </c:scatterChart>
      <c:valAx>
        <c:axId val="8932864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77360"/>
        <c:crosses val="autoZero"/>
        <c:crossBetween val="midCat"/>
      </c:valAx>
      <c:valAx>
        <c:axId val="893277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8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64770</xdr:rowOff>
    </xdr:from>
    <xdr:to>
      <xdr:col>23</xdr:col>
      <xdr:colOff>396240</xdr:colOff>
      <xdr:row>12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6CCCC07-F8DE-1970-0445-6DCD9EA34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13</xdr:row>
      <xdr:rowOff>11430</xdr:rowOff>
    </xdr:from>
    <xdr:to>
      <xdr:col>23</xdr:col>
      <xdr:colOff>403860</xdr:colOff>
      <xdr:row>28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9AE32B0-E462-55A5-AA81-D14A24C38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213360</xdr:colOff>
      <xdr:row>0</xdr:row>
      <xdr:rowOff>80010</xdr:rowOff>
    </xdr:from>
    <xdr:to>
      <xdr:col>23</xdr:col>
      <xdr:colOff>518160</xdr:colOff>
      <xdr:row>12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C4CD9B0-1686-B3F2-0273-E959C3C7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220980</xdr:colOff>
      <xdr:row>13</xdr:row>
      <xdr:rowOff>64770</xdr:rowOff>
    </xdr:from>
    <xdr:to>
      <xdr:col>23</xdr:col>
      <xdr:colOff>525780</xdr:colOff>
      <xdr:row>28</xdr:row>
      <xdr:rowOff>64770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6DD1E9-F8ED-DDC8-0F64-8CF2198B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72390</xdr:rowOff>
    </xdr:from>
    <xdr:to>
      <xdr:col>23</xdr:col>
      <xdr:colOff>426720</xdr:colOff>
      <xdr:row>12</xdr:row>
      <xdr:rowOff>156210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12C98D5-FAF3-7E35-8E7A-B4C3B5CC9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26670</xdr:rowOff>
    </xdr:from>
    <xdr:to>
      <xdr:col>23</xdr:col>
      <xdr:colOff>396240</xdr:colOff>
      <xdr:row>28</xdr:row>
      <xdr:rowOff>26670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3D5A607-B05F-AA5A-3435-558ED049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DA75-511A-471B-BCCB-3E3154806241}">
  <dimension ref="A1:P23"/>
  <sheetViews>
    <sheetView workbookViewId="0">
      <selection activeCell="H22" sqref="H2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1</v>
      </c>
      <c r="B2" s="10">
        <v>1.3812224834583374E-2</v>
      </c>
      <c r="C2" s="10">
        <v>1.6129032258064516E-2</v>
      </c>
      <c r="D2" s="10">
        <v>9.6774193548387101E-3</v>
      </c>
      <c r="E2" s="10">
        <v>0</v>
      </c>
      <c r="F2" s="10">
        <v>4.2918454935622317E-3</v>
      </c>
      <c r="G2" s="10">
        <v>0</v>
      </c>
      <c r="H2" s="10">
        <v>1.4150943396226415E-2</v>
      </c>
      <c r="I2" s="9">
        <v>1.3812224834583374E-2</v>
      </c>
      <c r="J2" s="10">
        <v>1.3812224834583374E-2</v>
      </c>
      <c r="K2" s="10">
        <v>1.6129032258064516E-2</v>
      </c>
      <c r="L2" s="10">
        <v>9.6774193548387101E-3</v>
      </c>
      <c r="M2" s="10">
        <v>0</v>
      </c>
      <c r="N2" s="10">
        <v>4.2918454935622317E-3</v>
      </c>
      <c r="O2" s="10">
        <v>0</v>
      </c>
      <c r="P2" s="10">
        <v>1.4150943396226415E-2</v>
      </c>
    </row>
    <row r="3" spans="1:16" x14ac:dyDescent="0.3">
      <c r="A3" s="9" t="s">
        <v>7</v>
      </c>
      <c r="B3" s="10">
        <v>2.1474962803475401E-2</v>
      </c>
      <c r="C3" s="10">
        <v>2.5345622119815669E-2</v>
      </c>
      <c r="D3" s="10">
        <v>6.4516129032258063E-2</v>
      </c>
      <c r="E3" s="10">
        <v>2.4390243902439025E-2</v>
      </c>
      <c r="F3" s="10">
        <v>1.2875536480686695E-2</v>
      </c>
      <c r="G3" s="10">
        <v>2.1413276231263384E-3</v>
      </c>
      <c r="H3" s="10">
        <v>1.8867924528301886E-2</v>
      </c>
      <c r="I3" s="9">
        <v>3.5287187638058777E-2</v>
      </c>
      <c r="J3" s="9">
        <f t="shared" ref="J3:P10" si="0">J2+B3</f>
        <v>3.5287187638058777E-2</v>
      </c>
      <c r="K3" s="9">
        <f t="shared" si="0"/>
        <v>4.1474654377880185E-2</v>
      </c>
      <c r="L3" s="9">
        <f t="shared" si="0"/>
        <v>7.4193548387096769E-2</v>
      </c>
      <c r="M3" s="9">
        <f t="shared" si="0"/>
        <v>2.4390243902439025E-2</v>
      </c>
      <c r="N3" s="9">
        <f t="shared" si="0"/>
        <v>1.7167381974248927E-2</v>
      </c>
      <c r="O3" s="9">
        <f t="shared" si="0"/>
        <v>2.1413276231263384E-3</v>
      </c>
      <c r="P3" s="9">
        <f t="shared" si="0"/>
        <v>3.3018867924528301E-2</v>
      </c>
    </row>
    <row r="4" spans="1:16" x14ac:dyDescent="0.3">
      <c r="A4" s="9" t="s">
        <v>6</v>
      </c>
      <c r="B4" s="10">
        <v>2.8010379480721284E-2</v>
      </c>
      <c r="C4" s="10">
        <v>2.3041474654377881E-2</v>
      </c>
      <c r="D4" s="10">
        <v>2.5806451612903226E-2</v>
      </c>
      <c r="E4" s="10">
        <v>2.4390243902439025E-2</v>
      </c>
      <c r="F4" s="10">
        <v>2.4678111587982832E-2</v>
      </c>
      <c r="G4" s="10">
        <v>1.0706638115631691E-2</v>
      </c>
      <c r="H4" s="10">
        <v>4.7169811320754715E-3</v>
      </c>
      <c r="I4" s="9">
        <v>6.3297567118780068E-2</v>
      </c>
      <c r="J4" s="9">
        <f t="shared" si="0"/>
        <v>6.3297567118780068E-2</v>
      </c>
      <c r="K4" s="9">
        <f t="shared" si="0"/>
        <v>6.4516129032258063E-2</v>
      </c>
      <c r="L4" s="9">
        <f t="shared" si="0"/>
        <v>9.9999999999999992E-2</v>
      </c>
      <c r="M4" s="9">
        <f t="shared" si="0"/>
        <v>4.878048780487805E-2</v>
      </c>
      <c r="N4" s="9">
        <f t="shared" si="0"/>
        <v>4.1845493562231759E-2</v>
      </c>
      <c r="O4" s="9">
        <f t="shared" si="0"/>
        <v>1.284796573875803E-2</v>
      </c>
      <c r="P4" s="9">
        <f t="shared" si="0"/>
        <v>3.7735849056603772E-2</v>
      </c>
    </row>
    <row r="5" spans="1:16" x14ac:dyDescent="0.3">
      <c r="A5" s="9" t="s">
        <v>5</v>
      </c>
      <c r="B5" s="10">
        <v>5.2522000538270525E-2</v>
      </c>
      <c r="C5" s="10">
        <v>5.9907834101382486E-2</v>
      </c>
      <c r="D5" s="10">
        <v>6.4516129032258064E-3</v>
      </c>
      <c r="E5" s="10">
        <v>0.13902439024390245</v>
      </c>
      <c r="F5" s="10">
        <v>9.2274678111587988E-2</v>
      </c>
      <c r="G5" s="10">
        <v>3.4261241970021415E-2</v>
      </c>
      <c r="H5" s="10">
        <v>8.9622641509433956E-2</v>
      </c>
      <c r="I5" s="9">
        <v>0.11581956765705059</v>
      </c>
      <c r="J5" s="9">
        <f t="shared" si="0"/>
        <v>0.11581956765705059</v>
      </c>
      <c r="K5" s="9">
        <f t="shared" si="0"/>
        <v>0.12442396313364054</v>
      </c>
      <c r="L5" s="9">
        <f t="shared" si="0"/>
        <v>0.1064516129032258</v>
      </c>
      <c r="M5" s="9">
        <f t="shared" si="0"/>
        <v>0.18780487804878049</v>
      </c>
      <c r="N5" s="9">
        <f t="shared" si="0"/>
        <v>0.13412017167381973</v>
      </c>
      <c r="O5" s="9">
        <f t="shared" si="0"/>
        <v>4.7109207708779445E-2</v>
      </c>
      <c r="P5" s="9">
        <f t="shared" si="0"/>
        <v>0.12735849056603774</v>
      </c>
    </row>
    <row r="6" spans="1:16" x14ac:dyDescent="0.3">
      <c r="A6" s="9" t="s">
        <v>3</v>
      </c>
      <c r="B6" s="10">
        <v>6.2210870017823862E-2</v>
      </c>
      <c r="C6" s="10">
        <v>0.14285714285714285</v>
      </c>
      <c r="D6" s="10">
        <v>0.12580645161290321</v>
      </c>
      <c r="E6" s="10">
        <v>3.9024390243902439E-2</v>
      </c>
      <c r="F6" s="10">
        <v>0.16738197424892703</v>
      </c>
      <c r="G6" s="10">
        <v>0.1670235546038544</v>
      </c>
      <c r="H6" s="10">
        <v>0.14150943396226415</v>
      </c>
      <c r="I6" s="9">
        <v>0.17803043767487445</v>
      </c>
      <c r="J6" s="9">
        <f t="shared" si="0"/>
        <v>0.17803043767487445</v>
      </c>
      <c r="K6" s="9">
        <f t="shared" si="0"/>
        <v>0.26728110599078336</v>
      </c>
      <c r="L6" s="9">
        <f t="shared" si="0"/>
        <v>0.23225806451612901</v>
      </c>
      <c r="M6" s="9">
        <f t="shared" si="0"/>
        <v>0.22682926829268293</v>
      </c>
      <c r="N6" s="9">
        <f t="shared" si="0"/>
        <v>0.30150214592274677</v>
      </c>
      <c r="O6" s="9">
        <f t="shared" si="0"/>
        <v>0.21413276231263384</v>
      </c>
      <c r="P6" s="9">
        <f t="shared" si="0"/>
        <v>0.26886792452830188</v>
      </c>
    </row>
    <row r="7" spans="1:16" x14ac:dyDescent="0.3">
      <c r="A7" s="9" t="s">
        <v>4</v>
      </c>
      <c r="B7" s="10">
        <v>8.2741320387757902E-2</v>
      </c>
      <c r="C7" s="10">
        <v>0.11981566820276497</v>
      </c>
      <c r="D7" s="10">
        <v>8.387096774193549E-2</v>
      </c>
      <c r="E7" s="10">
        <v>6.3414634146341464E-2</v>
      </c>
      <c r="F7" s="10">
        <v>5.7939914163090127E-2</v>
      </c>
      <c r="G7" s="10">
        <v>5.1391862955032119E-2</v>
      </c>
      <c r="H7" s="10">
        <v>2.8301886792452831E-2</v>
      </c>
      <c r="I7" s="9">
        <v>0.26077175806263236</v>
      </c>
      <c r="J7" s="9">
        <f t="shared" si="0"/>
        <v>0.26077175806263236</v>
      </c>
      <c r="K7" s="9">
        <f t="shared" si="0"/>
        <v>0.38709677419354832</v>
      </c>
      <c r="L7" s="9">
        <f t="shared" si="0"/>
        <v>0.31612903225806449</v>
      </c>
      <c r="M7" s="9">
        <f t="shared" si="0"/>
        <v>0.29024390243902443</v>
      </c>
      <c r="N7" s="9">
        <f t="shared" si="0"/>
        <v>0.3594420600858369</v>
      </c>
      <c r="O7" s="9">
        <f t="shared" si="0"/>
        <v>0.26552462526766596</v>
      </c>
      <c r="P7" s="9">
        <f t="shared" si="0"/>
        <v>0.29716981132075471</v>
      </c>
    </row>
    <row r="8" spans="1:16" x14ac:dyDescent="0.3">
      <c r="A8" s="9" t="s">
        <v>2</v>
      </c>
      <c r="B8" s="10">
        <v>0.10033667298034298</v>
      </c>
      <c r="C8" s="10">
        <v>0.10599078341013825</v>
      </c>
      <c r="D8" s="10">
        <v>0.1</v>
      </c>
      <c r="E8" s="10">
        <v>1.9512195121951219E-2</v>
      </c>
      <c r="F8" s="10">
        <v>4.07725321888412E-2</v>
      </c>
      <c r="G8" s="10">
        <v>6.852248394004283E-2</v>
      </c>
      <c r="H8" s="10">
        <v>0.16981132075471697</v>
      </c>
      <c r="I8" s="9">
        <v>0.36110843104297535</v>
      </c>
      <c r="J8" s="9">
        <f t="shared" si="0"/>
        <v>0.36110843104297535</v>
      </c>
      <c r="K8" s="9">
        <f t="shared" si="0"/>
        <v>0.49308755760368655</v>
      </c>
      <c r="L8" s="9">
        <f t="shared" si="0"/>
        <v>0.41612903225806452</v>
      </c>
      <c r="M8" s="9">
        <f t="shared" si="0"/>
        <v>0.30975609756097566</v>
      </c>
      <c r="N8" s="9">
        <f t="shared" si="0"/>
        <v>0.40021459227467809</v>
      </c>
      <c r="O8" s="9">
        <f t="shared" si="0"/>
        <v>0.3340471092077088</v>
      </c>
      <c r="P8" s="9">
        <f t="shared" si="0"/>
        <v>0.46698113207547165</v>
      </c>
    </row>
    <row r="9" spans="1:16" x14ac:dyDescent="0.3">
      <c r="A9" s="9" t="s">
        <v>8</v>
      </c>
      <c r="B9" s="10">
        <v>0.10154524265336902</v>
      </c>
      <c r="C9" s="10">
        <v>0.22350230414746544</v>
      </c>
      <c r="D9" s="10">
        <v>0.32903225806451614</v>
      </c>
      <c r="E9" s="10">
        <v>0.21463414634146341</v>
      </c>
      <c r="F9" s="10">
        <v>0.13090128755364808</v>
      </c>
      <c r="G9" s="10">
        <v>0.21199143468950749</v>
      </c>
      <c r="H9" s="10">
        <v>0.21226415094339623</v>
      </c>
      <c r="I9" s="9">
        <v>0.46265367369634436</v>
      </c>
      <c r="J9" s="9">
        <f t="shared" si="0"/>
        <v>0.46265367369634436</v>
      </c>
      <c r="K9" s="9">
        <f t="shared" si="0"/>
        <v>0.71658986175115202</v>
      </c>
      <c r="L9" s="9">
        <f t="shared" si="0"/>
        <v>0.74516129032258061</v>
      </c>
      <c r="M9" s="9">
        <f t="shared" si="0"/>
        <v>0.52439024390243905</v>
      </c>
      <c r="N9" s="9">
        <f t="shared" si="0"/>
        <v>0.5311158798283262</v>
      </c>
      <c r="O9" s="9">
        <f t="shared" si="0"/>
        <v>0.54603854389721629</v>
      </c>
      <c r="P9" s="9">
        <f t="shared" si="0"/>
        <v>0.67924528301886788</v>
      </c>
    </row>
    <row r="10" spans="1:16" x14ac:dyDescent="0.3">
      <c r="A10" s="9" t="s">
        <v>0</v>
      </c>
      <c r="B10" s="10">
        <v>0.53734632630365564</v>
      </c>
      <c r="C10" s="10">
        <v>0.28341013824884792</v>
      </c>
      <c r="D10" s="10">
        <v>0.25483870967741934</v>
      </c>
      <c r="E10" s="10">
        <v>0.47560975609756095</v>
      </c>
      <c r="F10" s="10">
        <v>0.4688841201716738</v>
      </c>
      <c r="G10" s="10">
        <v>0.45396145610278371</v>
      </c>
      <c r="H10" s="10">
        <v>0.32075471698113206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1" t="s">
        <v>27</v>
      </c>
      <c r="C12" s="12" t="s">
        <v>35</v>
      </c>
      <c r="D12" s="12" t="s">
        <v>36</v>
      </c>
      <c r="E12" s="12" t="s">
        <v>37</v>
      </c>
      <c r="F12" s="12" t="s">
        <v>38</v>
      </c>
      <c r="G12" s="12" t="s">
        <v>39</v>
      </c>
      <c r="H12" s="12" t="s">
        <v>40</v>
      </c>
      <c r="J12" s="8"/>
      <c r="K12" s="13" t="s">
        <v>41</v>
      </c>
      <c r="L12" s="13" t="s">
        <v>42</v>
      </c>
      <c r="M12" s="13" t="s">
        <v>43</v>
      </c>
      <c r="N12" s="13" t="s">
        <v>44</v>
      </c>
      <c r="O12" s="13" t="s">
        <v>45</v>
      </c>
      <c r="P12" s="13" t="s">
        <v>46</v>
      </c>
    </row>
    <row r="13" spans="1:16" x14ac:dyDescent="0.3">
      <c r="B13" s="9" t="s">
        <v>1</v>
      </c>
      <c r="C13" s="9">
        <f>C2-B2</f>
        <v>2.3168074234811414E-3</v>
      </c>
      <c r="D13" s="9">
        <f>D2-B2</f>
        <v>-4.1348054797446642E-3</v>
      </c>
      <c r="E13" s="9">
        <f>E2-B2</f>
        <v>-1.3812224834583374E-2</v>
      </c>
      <c r="F13" s="9">
        <f>F2-B2</f>
        <v>-9.5203793410211426E-3</v>
      </c>
      <c r="G13" s="9">
        <f>G2-B2</f>
        <v>-1.3812224834583374E-2</v>
      </c>
      <c r="H13" s="9">
        <f>H2-B2</f>
        <v>3.3871856164304111E-4</v>
      </c>
      <c r="J13" s="9" t="s">
        <v>1</v>
      </c>
      <c r="K13" s="8">
        <f>($J2-0) * ((K2+0))</f>
        <v>2.2277781991263506E-4</v>
      </c>
      <c r="L13" s="8">
        <f t="shared" ref="L13:P13" si="1">($J2-0) * ((L2+0))</f>
        <v>1.3366669194758105E-4</v>
      </c>
      <c r="M13" s="8">
        <f t="shared" si="1"/>
        <v>0</v>
      </c>
      <c r="N13" s="8">
        <f t="shared" si="1"/>
        <v>5.9279934912374994E-5</v>
      </c>
      <c r="O13" s="8">
        <f t="shared" si="1"/>
        <v>0</v>
      </c>
      <c r="P13" s="8">
        <f t="shared" si="1"/>
        <v>1.954560118101421E-4</v>
      </c>
    </row>
    <row r="14" spans="1:16" x14ac:dyDescent="0.3">
      <c r="B14" s="9" t="s">
        <v>7</v>
      </c>
      <c r="C14" s="9">
        <f t="shared" ref="C14:C21" si="2">C3-B3</f>
        <v>3.8706593163402685E-3</v>
      </c>
      <c r="D14" s="9">
        <f t="shared" ref="D14:D21" si="3">D3-B3</f>
        <v>4.3041166228782665E-2</v>
      </c>
      <c r="E14" s="9">
        <f t="shared" ref="E14:E21" si="4">E3-B3</f>
        <v>2.9152810989636242E-3</v>
      </c>
      <c r="F14" s="9">
        <f t="shared" ref="F14:F21" si="5">F3-B3</f>
        <v>-8.5994263227887058E-3</v>
      </c>
      <c r="G14" s="9">
        <f t="shared" ref="G14:G21" si="6">G3-B3</f>
        <v>-1.9333635180349064E-2</v>
      </c>
      <c r="H14" s="9">
        <f t="shared" ref="H14:H21" si="7">H3-B3</f>
        <v>-2.6070382751735149E-3</v>
      </c>
      <c r="J14" s="9" t="s">
        <v>7</v>
      </c>
      <c r="K14" s="8">
        <f>($J3-$J2) * ((K3+K2))</f>
        <v>1.2370370278499657E-3</v>
      </c>
      <c r="L14" s="8">
        <f t="shared" ref="L14:P14" si="8">($J3-$J2) * ((L3+L2))</f>
        <v>1.8011259125495498E-3</v>
      </c>
      <c r="M14" s="8">
        <f t="shared" si="8"/>
        <v>5.2377958057257085E-4</v>
      </c>
      <c r="N14" s="8">
        <f t="shared" si="8"/>
        <v>4.6083611166256234E-4</v>
      </c>
      <c r="O14" s="8">
        <f t="shared" si="8"/>
        <v>4.5984931056692517E-5</v>
      </c>
      <c r="P14" s="8">
        <f t="shared" si="8"/>
        <v>1.0129699435601606E-3</v>
      </c>
    </row>
    <row r="15" spans="1:16" x14ac:dyDescent="0.3">
      <c r="B15" s="9" t="s">
        <v>6</v>
      </c>
      <c r="C15" s="9">
        <f t="shared" si="2"/>
        <v>-4.9689048263434031E-3</v>
      </c>
      <c r="D15" s="9">
        <f t="shared" si="3"/>
        <v>-2.2039278678180584E-3</v>
      </c>
      <c r="E15" s="9">
        <f t="shared" si="4"/>
        <v>-3.6201355782822589E-3</v>
      </c>
      <c r="F15" s="9">
        <f t="shared" si="5"/>
        <v>-3.3322678927384525E-3</v>
      </c>
      <c r="G15" s="9">
        <f t="shared" si="6"/>
        <v>-1.7303741365089595E-2</v>
      </c>
      <c r="H15" s="9">
        <f t="shared" si="7"/>
        <v>-2.3293398348645813E-2</v>
      </c>
      <c r="J15" s="9" t="s">
        <v>6</v>
      </c>
      <c r="K15" s="8">
        <f t="shared" ref="K15:P21" si="9">($J4-$J3) * ((K4+K3))</f>
        <v>2.968842064776911E-3</v>
      </c>
      <c r="L15" s="8">
        <f t="shared" si="9"/>
        <v>4.8792273934159672E-3</v>
      </c>
      <c r="M15" s="8">
        <f t="shared" si="9"/>
        <v>2.0495399620039973E-3</v>
      </c>
      <c r="N15" s="8">
        <f t="shared" si="9"/>
        <v>1.652973038025398E-3</v>
      </c>
      <c r="O15" s="8">
        <f t="shared" si="9"/>
        <v>4.1985579521423779E-4</v>
      </c>
      <c r="P15" s="8">
        <f t="shared" si="9"/>
        <v>1.9818664726925441E-3</v>
      </c>
    </row>
    <row r="16" spans="1:16" x14ac:dyDescent="0.3">
      <c r="B16" s="9" t="s">
        <v>5</v>
      </c>
      <c r="C16" s="9">
        <f t="shared" si="2"/>
        <v>7.3858335631119612E-3</v>
      </c>
      <c r="D16" s="9">
        <f t="shared" si="3"/>
        <v>-4.6070387635044716E-2</v>
      </c>
      <c r="E16" s="9">
        <f t="shared" si="4"/>
        <v>8.6502389705631927E-2</v>
      </c>
      <c r="F16" s="9">
        <f t="shared" si="5"/>
        <v>3.9752677573317463E-2</v>
      </c>
      <c r="G16" s="9">
        <f t="shared" si="6"/>
        <v>-1.8260758568249109E-2</v>
      </c>
      <c r="H16" s="9">
        <f t="shared" si="7"/>
        <v>3.7100640971163432E-2</v>
      </c>
      <c r="J16" s="9" t="s">
        <v>5</v>
      </c>
      <c r="K16" s="8">
        <f t="shared" si="9"/>
        <v>9.9235116224382098E-3</v>
      </c>
      <c r="L16" s="8">
        <f t="shared" si="9"/>
        <v>1.0843251724030042E-2</v>
      </c>
      <c r="M16" s="8">
        <f t="shared" si="9"/>
        <v>1.2425936712712781E-2</v>
      </c>
      <c r="N16" s="8">
        <f t="shared" si="9"/>
        <v>9.2420687642450275E-3</v>
      </c>
      <c r="O16" s="8">
        <f t="shared" si="9"/>
        <v>3.1490706960847423E-3</v>
      </c>
      <c r="P16" s="8">
        <f t="shared" si="9"/>
        <v>8.6710849945257941E-3</v>
      </c>
    </row>
    <row r="17" spans="2:16" x14ac:dyDescent="0.3">
      <c r="B17" s="9" t="s">
        <v>3</v>
      </c>
      <c r="C17" s="9">
        <f t="shared" si="2"/>
        <v>8.0646272839318994E-2</v>
      </c>
      <c r="D17" s="9">
        <f t="shared" si="3"/>
        <v>6.3595581595079359E-2</v>
      </c>
      <c r="E17" s="9">
        <f t="shared" si="4"/>
        <v>-2.3186479773921423E-2</v>
      </c>
      <c r="F17" s="9">
        <f t="shared" si="5"/>
        <v>0.10517110423110318</v>
      </c>
      <c r="G17" s="9">
        <f t="shared" si="6"/>
        <v>0.10481268458603055</v>
      </c>
      <c r="H17" s="9">
        <f t="shared" si="7"/>
        <v>7.9298563944440292E-2</v>
      </c>
      <c r="J17" s="9" t="s">
        <v>3</v>
      </c>
      <c r="K17" s="8">
        <f t="shared" si="9"/>
        <v>2.4368313140622246E-2</v>
      </c>
      <c r="L17" s="8">
        <f t="shared" si="9"/>
        <v>2.1071423715714532E-2</v>
      </c>
      <c r="M17" s="8">
        <f t="shared" si="9"/>
        <v>2.5794750983000138E-2</v>
      </c>
      <c r="N17" s="8">
        <f t="shared" si="9"/>
        <v>2.7100443376863181E-2</v>
      </c>
      <c r="O17" s="8">
        <f t="shared" si="9"/>
        <v>1.6252090240202379E-2</v>
      </c>
      <c r="P17" s="8">
        <f t="shared" si="9"/>
        <v>2.4649590007062284E-2</v>
      </c>
    </row>
    <row r="18" spans="2:16" x14ac:dyDescent="0.3">
      <c r="B18" s="9" t="s">
        <v>4</v>
      </c>
      <c r="C18" s="9">
        <f t="shared" si="2"/>
        <v>3.7074347815007069E-2</v>
      </c>
      <c r="D18" s="9">
        <f t="shared" si="3"/>
        <v>1.1296473541775875E-3</v>
      </c>
      <c r="E18" s="9">
        <f t="shared" si="4"/>
        <v>-1.9326686241416438E-2</v>
      </c>
      <c r="F18" s="9">
        <f t="shared" si="5"/>
        <v>-2.4801406224667776E-2</v>
      </c>
      <c r="G18" s="9">
        <f t="shared" si="6"/>
        <v>-3.1349457432725783E-2</v>
      </c>
      <c r="H18" s="9">
        <f t="shared" si="7"/>
        <v>-5.4439433595305071E-2</v>
      </c>
      <c r="J18" s="9" t="s">
        <v>4</v>
      </c>
      <c r="K18" s="8">
        <f t="shared" si="9"/>
        <v>5.4144089838993645E-2</v>
      </c>
      <c r="L18" s="8">
        <f t="shared" si="9"/>
        <v>4.5374272470705954E-2</v>
      </c>
      <c r="M18" s="8">
        <f t="shared" si="9"/>
        <v>4.2783316883426042E-2</v>
      </c>
      <c r="N18" s="8">
        <f t="shared" si="9"/>
        <v>5.4687396307788495E-2</v>
      </c>
      <c r="O18" s="8">
        <f t="shared" si="9"/>
        <v>3.9687485582136563E-2</v>
      </c>
      <c r="P18" s="8">
        <f t="shared" si="9"/>
        <v>4.6834709653447874E-2</v>
      </c>
    </row>
    <row r="19" spans="2:16" x14ac:dyDescent="0.3">
      <c r="B19" s="9" t="s">
        <v>2</v>
      </c>
      <c r="C19" s="9">
        <f t="shared" si="2"/>
        <v>5.6541104297952727E-3</v>
      </c>
      <c r="D19" s="9">
        <f t="shared" si="3"/>
        <v>-3.3667298034296966E-4</v>
      </c>
      <c r="E19" s="9">
        <f t="shared" si="4"/>
        <v>-8.0824477858391752E-2</v>
      </c>
      <c r="F19" s="9">
        <f t="shared" si="5"/>
        <v>-5.9564140791501775E-2</v>
      </c>
      <c r="G19" s="9">
        <f t="shared" si="6"/>
        <v>-3.1814189040300145E-2</v>
      </c>
      <c r="H19" s="9">
        <f t="shared" si="7"/>
        <v>6.9474647774373996E-2</v>
      </c>
      <c r="J19" s="9" t="s">
        <v>2</v>
      </c>
      <c r="K19" s="8">
        <f t="shared" si="9"/>
        <v>8.8314767461960861E-2</v>
      </c>
      <c r="L19" s="8">
        <f t="shared" si="9"/>
        <v>7.3472337956573736E-2</v>
      </c>
      <c r="M19" s="8">
        <f t="shared" si="9"/>
        <v>6.0202003788205803E-2</v>
      </c>
      <c r="N19" s="8">
        <f t="shared" si="9"/>
        <v>7.6221421105239093E-2</v>
      </c>
      <c r="O19" s="8">
        <f t="shared" si="9"/>
        <v>6.015903305031272E-2</v>
      </c>
      <c r="P19" s="8">
        <f t="shared" si="9"/>
        <v>7.6672363315167746E-2</v>
      </c>
    </row>
    <row r="20" spans="2:16" x14ac:dyDescent="0.3">
      <c r="B20" s="9" t="s">
        <v>8</v>
      </c>
      <c r="C20" s="9">
        <f t="shared" si="2"/>
        <v>0.12195706149409642</v>
      </c>
      <c r="D20" s="9">
        <f t="shared" si="3"/>
        <v>0.22748701541114713</v>
      </c>
      <c r="E20" s="9">
        <f t="shared" si="4"/>
        <v>0.11308890368809439</v>
      </c>
      <c r="F20" s="9">
        <f t="shared" si="5"/>
        <v>2.9356044900279057E-2</v>
      </c>
      <c r="G20" s="9">
        <f t="shared" si="6"/>
        <v>0.11044619203613847</v>
      </c>
      <c r="H20" s="9">
        <f t="shared" si="7"/>
        <v>0.11071890829002722</v>
      </c>
      <c r="J20" s="9" t="s">
        <v>8</v>
      </c>
      <c r="K20" s="8">
        <f t="shared" si="9"/>
        <v>0.1228369870806883</v>
      </c>
      <c r="L20" s="8">
        <f t="shared" si="9"/>
        <v>0.11792350759746077</v>
      </c>
      <c r="M20" s="8">
        <f t="shared" si="9"/>
        <v>8.470359265232244E-2</v>
      </c>
      <c r="N20" s="8">
        <f t="shared" si="9"/>
        <v>9.4572178780176278E-2</v>
      </c>
      <c r="O20" s="8">
        <f t="shared" si="9"/>
        <v>8.9368511200288353E-2</v>
      </c>
      <c r="P20" s="8">
        <f t="shared" si="9"/>
        <v>0.11639383945645597</v>
      </c>
    </row>
    <row r="21" spans="2:16" x14ac:dyDescent="0.3">
      <c r="B21" s="9" t="s">
        <v>0</v>
      </c>
      <c r="C21" s="9">
        <f t="shared" si="2"/>
        <v>-0.25393618805480772</v>
      </c>
      <c r="D21" s="9">
        <f t="shared" si="3"/>
        <v>-0.2825076166262363</v>
      </c>
      <c r="E21" s="9">
        <f t="shared" si="4"/>
        <v>-6.1736570206094687E-2</v>
      </c>
      <c r="F21" s="9">
        <f t="shared" si="5"/>
        <v>-6.846220613198184E-2</v>
      </c>
      <c r="G21" s="9">
        <f t="shared" si="6"/>
        <v>-8.338487020087193E-2</v>
      </c>
      <c r="H21" s="9">
        <f t="shared" si="7"/>
        <v>-0.21659160932252358</v>
      </c>
      <c r="J21" s="9" t="s">
        <v>0</v>
      </c>
      <c r="K21" s="8">
        <f t="shared" si="9"/>
        <v>0.92240325598208173</v>
      </c>
      <c r="L21" s="8">
        <f t="shared" si="9"/>
        <v>0.93775600816218607</v>
      </c>
      <c r="M21" s="8">
        <f t="shared" si="9"/>
        <v>0.81912549741410923</v>
      </c>
      <c r="N21" s="8">
        <f t="shared" si="9"/>
        <v>0.82273949317094053</v>
      </c>
      <c r="O21" s="8">
        <f t="shared" si="9"/>
        <v>0.8307581318870223</v>
      </c>
      <c r="P21" s="8">
        <f t="shared" si="9"/>
        <v>0.90233628379293107</v>
      </c>
    </row>
    <row r="22" spans="2:16" x14ac:dyDescent="0.3">
      <c r="J22" s="14" t="s">
        <v>47</v>
      </c>
      <c r="K22" s="13">
        <f>SUM(K13:K21)</f>
        <v>1.2264195820393244</v>
      </c>
      <c r="L22" s="13">
        <f t="shared" ref="L22:P22" si="10">SUM(L13:L21)</f>
        <v>1.2132548216245842</v>
      </c>
      <c r="M22" s="13">
        <f t="shared" si="10"/>
        <v>1.047608417976353</v>
      </c>
      <c r="N22" s="13">
        <f t="shared" si="10"/>
        <v>1.0867360905898529</v>
      </c>
      <c r="O22" s="13">
        <f t="shared" si="10"/>
        <v>1.039840163382318</v>
      </c>
      <c r="P22" s="13">
        <f t="shared" si="10"/>
        <v>1.1787481636476536</v>
      </c>
    </row>
    <row r="23" spans="2:16" x14ac:dyDescent="0.3">
      <c r="J23" s="15" t="s">
        <v>48</v>
      </c>
      <c r="K23" s="16">
        <f>1-K22</f>
        <v>-0.22641958203932444</v>
      </c>
      <c r="L23" s="16">
        <f t="shared" ref="L23:P23" si="11">1-L22</f>
        <v>-0.2132548216245842</v>
      </c>
      <c r="M23" s="16">
        <f t="shared" si="11"/>
        <v>-4.7608417976352957E-2</v>
      </c>
      <c r="N23" s="16">
        <f t="shared" si="11"/>
        <v>-8.6736090589852877E-2</v>
      </c>
      <c r="O23" s="16">
        <f t="shared" si="11"/>
        <v>-3.9840163382317995E-2</v>
      </c>
      <c r="P23" s="16">
        <f t="shared" si="11"/>
        <v>-0.17874816364765356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8B9E-713D-48FA-98B7-17B158F22FF0}">
  <dimension ref="A1:P23"/>
  <sheetViews>
    <sheetView workbookViewId="0">
      <selection activeCell="N1" activeCellId="1" sqref="I1:J10 N1:P10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13</v>
      </c>
      <c r="B2" s="10">
        <v>7.032784140209157E-3</v>
      </c>
      <c r="C2" s="10">
        <v>2.8530670470756064E-3</v>
      </c>
      <c r="D2" s="10">
        <v>1.488095238095238E-3</v>
      </c>
      <c r="E2" s="10">
        <v>8.9285714285714281E-3</v>
      </c>
      <c r="F2" s="10">
        <v>7.9185520361990946E-3</v>
      </c>
      <c r="G2" s="10">
        <v>2.7816411682892906E-3</v>
      </c>
      <c r="H2" s="10">
        <v>1.3888888888888888E-2</v>
      </c>
      <c r="I2" s="9">
        <v>7.032784140209157E-3</v>
      </c>
      <c r="J2" s="10">
        <v>7.032784140209157E-3</v>
      </c>
      <c r="K2" s="10">
        <v>2.8530670470756064E-3</v>
      </c>
      <c r="L2" s="10">
        <v>1.488095238095238E-3</v>
      </c>
      <c r="M2" s="10">
        <v>8.9285714285714281E-3</v>
      </c>
      <c r="N2" s="10">
        <v>7.9185520361990946E-3</v>
      </c>
      <c r="O2" s="10">
        <v>2.7816411682892906E-3</v>
      </c>
      <c r="P2" s="10">
        <v>1.3888888888888888E-2</v>
      </c>
    </row>
    <row r="3" spans="1:16" x14ac:dyDescent="0.3">
      <c r="A3" s="9" t="s">
        <v>11</v>
      </c>
      <c r="B3" s="10">
        <v>9.7170141619772974E-3</v>
      </c>
      <c r="C3" s="10">
        <v>1.1412268188302425E-2</v>
      </c>
      <c r="D3" s="10">
        <v>2.976190476190476E-3</v>
      </c>
      <c r="E3" s="10">
        <v>5.3571428571428572E-3</v>
      </c>
      <c r="F3" s="10">
        <v>1.0180995475113122E-2</v>
      </c>
      <c r="G3" s="10">
        <v>5.5632823365785811E-3</v>
      </c>
      <c r="H3" s="10">
        <v>6.9444444444444441E-3</v>
      </c>
      <c r="I3" s="9">
        <v>1.6749798302186453E-2</v>
      </c>
      <c r="J3" s="9">
        <f t="shared" ref="J3:P10" si="0">J2+B3</f>
        <v>1.6749798302186453E-2</v>
      </c>
      <c r="K3" s="9">
        <f t="shared" si="0"/>
        <v>1.4265335235378032E-2</v>
      </c>
      <c r="L3" s="9">
        <f t="shared" si="0"/>
        <v>4.464285714285714E-3</v>
      </c>
      <c r="M3" s="9">
        <f t="shared" si="0"/>
        <v>1.4285714285714285E-2</v>
      </c>
      <c r="N3" s="9">
        <f t="shared" si="0"/>
        <v>1.8099547511312215E-2</v>
      </c>
      <c r="O3" s="9">
        <f t="shared" si="0"/>
        <v>8.3449235048678721E-3</v>
      </c>
      <c r="P3" s="9">
        <f t="shared" si="0"/>
        <v>2.0833333333333332E-2</v>
      </c>
    </row>
    <row r="4" spans="1:16" x14ac:dyDescent="0.3">
      <c r="A4" s="9" t="s">
        <v>17</v>
      </c>
      <c r="B4" s="10">
        <v>1.779507502143832E-2</v>
      </c>
      <c r="C4" s="10">
        <v>2.4251069900142655E-2</v>
      </c>
      <c r="D4" s="10">
        <v>8.9285714285714281E-3</v>
      </c>
      <c r="E4" s="10">
        <v>8.9285714285714281E-3</v>
      </c>
      <c r="F4" s="10">
        <v>1.2443438914027148E-2</v>
      </c>
      <c r="G4" s="10">
        <v>9.7357440890125171E-3</v>
      </c>
      <c r="H4" s="10">
        <v>3.472222222222222E-3</v>
      </c>
      <c r="I4" s="9">
        <v>3.454487332362477E-2</v>
      </c>
      <c r="J4" s="9">
        <f t="shared" si="0"/>
        <v>3.454487332362477E-2</v>
      </c>
      <c r="K4" s="9">
        <f t="shared" si="0"/>
        <v>3.8516405135520689E-2</v>
      </c>
      <c r="L4" s="9">
        <f t="shared" si="0"/>
        <v>1.3392857142857142E-2</v>
      </c>
      <c r="M4" s="9">
        <f t="shared" si="0"/>
        <v>2.3214285714285715E-2</v>
      </c>
      <c r="N4" s="9">
        <f t="shared" si="0"/>
        <v>3.0542986425339362E-2</v>
      </c>
      <c r="O4" s="9">
        <f t="shared" si="0"/>
        <v>1.8080667593880391E-2</v>
      </c>
      <c r="P4" s="9">
        <f t="shared" si="0"/>
        <v>2.4305555555555552E-2</v>
      </c>
    </row>
    <row r="5" spans="1:16" x14ac:dyDescent="0.3">
      <c r="A5" s="9" t="s">
        <v>9</v>
      </c>
      <c r="B5" s="10">
        <v>3.5630743313527197E-2</v>
      </c>
      <c r="C5" s="10">
        <v>1.7118402282453638E-2</v>
      </c>
      <c r="D5" s="10">
        <v>2.2321428571428572E-2</v>
      </c>
      <c r="E5" s="10">
        <v>4.1071428571428571E-2</v>
      </c>
      <c r="F5" s="10">
        <v>2.0361990950226245E-2</v>
      </c>
      <c r="G5" s="10">
        <v>1.1126564673157162E-2</v>
      </c>
      <c r="H5" s="10">
        <v>6.9444444444444441E-3</v>
      </c>
      <c r="I5" s="9">
        <v>7.0175616637151966E-2</v>
      </c>
      <c r="J5" s="9">
        <f t="shared" si="0"/>
        <v>7.0175616637151966E-2</v>
      </c>
      <c r="K5" s="9">
        <f t="shared" si="0"/>
        <v>5.563480741797433E-2</v>
      </c>
      <c r="L5" s="9">
        <f t="shared" si="0"/>
        <v>3.5714285714285712E-2</v>
      </c>
      <c r="M5" s="9">
        <f t="shared" si="0"/>
        <v>6.4285714285714279E-2</v>
      </c>
      <c r="N5" s="9">
        <f t="shared" si="0"/>
        <v>5.090497737556561E-2</v>
      </c>
      <c r="O5" s="9">
        <f t="shared" si="0"/>
        <v>2.9207232267037551E-2</v>
      </c>
      <c r="P5" s="9">
        <f t="shared" si="0"/>
        <v>3.1249999999999997E-2</v>
      </c>
    </row>
    <row r="6" spans="1:16" x14ac:dyDescent="0.3">
      <c r="A6" s="9" t="s">
        <v>14</v>
      </c>
      <c r="B6" s="10">
        <v>3.5859080460936589E-2</v>
      </c>
      <c r="C6" s="10">
        <v>3.1383737517831668E-2</v>
      </c>
      <c r="D6" s="10">
        <v>2.976190476190476E-2</v>
      </c>
      <c r="E6" s="10">
        <v>2.6785714285714284E-2</v>
      </c>
      <c r="F6" s="10">
        <v>2.0361990950226245E-2</v>
      </c>
      <c r="G6" s="10">
        <v>9.7357440890125171E-3</v>
      </c>
      <c r="H6" s="10">
        <v>1.7361111111111112E-2</v>
      </c>
      <c r="I6" s="9">
        <v>0.10603469709808855</v>
      </c>
      <c r="J6" s="9">
        <f t="shared" si="0"/>
        <v>0.10603469709808855</v>
      </c>
      <c r="K6" s="9">
        <f t="shared" si="0"/>
        <v>8.7018544935805991E-2</v>
      </c>
      <c r="L6" s="9">
        <f t="shared" si="0"/>
        <v>6.5476190476190466E-2</v>
      </c>
      <c r="M6" s="9">
        <f t="shared" si="0"/>
        <v>9.1071428571428567E-2</v>
      </c>
      <c r="N6" s="9">
        <f t="shared" si="0"/>
        <v>7.1266968325791852E-2</v>
      </c>
      <c r="O6" s="9">
        <f t="shared" si="0"/>
        <v>3.8942976356050069E-2</v>
      </c>
      <c r="P6" s="9">
        <f t="shared" si="0"/>
        <v>4.8611111111111105E-2</v>
      </c>
    </row>
    <row r="7" spans="1:16" x14ac:dyDescent="0.3">
      <c r="A7" s="9" t="s">
        <v>12</v>
      </c>
      <c r="B7" s="10">
        <v>4.088249770394313E-2</v>
      </c>
      <c r="C7" s="10">
        <v>3.2810271041369472E-2</v>
      </c>
      <c r="D7" s="10">
        <v>2.0833333333333332E-2</v>
      </c>
      <c r="E7" s="10">
        <v>8.9285714285714281E-3</v>
      </c>
      <c r="F7" s="10">
        <v>1.4705882352941176E-2</v>
      </c>
      <c r="G7" s="10">
        <v>1.3908205841446454E-2</v>
      </c>
      <c r="H7" s="10">
        <v>2.0833333333333332E-2</v>
      </c>
      <c r="I7" s="9">
        <v>0.14691719480203169</v>
      </c>
      <c r="J7" s="9">
        <f t="shared" si="0"/>
        <v>0.14691719480203169</v>
      </c>
      <c r="K7" s="9">
        <f t="shared" si="0"/>
        <v>0.11982881597717546</v>
      </c>
      <c r="L7" s="9">
        <f t="shared" si="0"/>
        <v>8.6309523809523794E-2</v>
      </c>
      <c r="M7" s="9">
        <f t="shared" si="0"/>
        <v>9.9999999999999992E-2</v>
      </c>
      <c r="N7" s="9">
        <f t="shared" si="0"/>
        <v>8.5972850678733032E-2</v>
      </c>
      <c r="O7" s="9">
        <f t="shared" si="0"/>
        <v>5.2851182197496523E-2</v>
      </c>
      <c r="P7" s="9">
        <f t="shared" si="0"/>
        <v>6.9444444444444434E-2</v>
      </c>
    </row>
    <row r="8" spans="1:16" x14ac:dyDescent="0.3">
      <c r="A8" s="9" t="s">
        <v>10</v>
      </c>
      <c r="B8" s="10">
        <v>0.14186333260603723</v>
      </c>
      <c r="C8" s="10">
        <v>0.18259629101283881</v>
      </c>
      <c r="D8" s="10">
        <v>6.5476190476190479E-2</v>
      </c>
      <c r="E8" s="10">
        <v>0.11428571428571428</v>
      </c>
      <c r="F8" s="10">
        <v>0.17986425339366516</v>
      </c>
      <c r="G8" s="10">
        <v>0.13073713490959665</v>
      </c>
      <c r="H8" s="10">
        <v>0.14583333333333334</v>
      </c>
      <c r="I8" s="9">
        <v>0.28878052740806892</v>
      </c>
      <c r="J8" s="9">
        <f t="shared" si="0"/>
        <v>0.28878052740806892</v>
      </c>
      <c r="K8" s="9">
        <f t="shared" si="0"/>
        <v>0.30242510699001424</v>
      </c>
      <c r="L8" s="9">
        <f t="shared" si="0"/>
        <v>0.15178571428571427</v>
      </c>
      <c r="M8" s="9">
        <f t="shared" si="0"/>
        <v>0.21428571428571427</v>
      </c>
      <c r="N8" s="9">
        <f t="shared" si="0"/>
        <v>0.26583710407239819</v>
      </c>
      <c r="O8" s="9">
        <f t="shared" si="0"/>
        <v>0.18358831710709317</v>
      </c>
      <c r="P8" s="9">
        <f t="shared" si="0"/>
        <v>0.21527777777777779</v>
      </c>
    </row>
    <row r="9" spans="1:16" x14ac:dyDescent="0.3">
      <c r="A9" s="9" t="s">
        <v>15</v>
      </c>
      <c r="B9" s="10">
        <v>0.24380825768608208</v>
      </c>
      <c r="C9" s="10">
        <v>0.20827389443651925</v>
      </c>
      <c r="D9" s="10">
        <v>0.18601190476190477</v>
      </c>
      <c r="E9" s="10">
        <v>0.20178571428571429</v>
      </c>
      <c r="F9" s="10">
        <v>0.35407239819004527</v>
      </c>
      <c r="G9" s="10">
        <v>0.48817802503477054</v>
      </c>
      <c r="H9" s="10">
        <v>0.4375</v>
      </c>
      <c r="I9" s="9">
        <v>0.53258878509415097</v>
      </c>
      <c r="J9" s="9">
        <f t="shared" si="0"/>
        <v>0.53258878509415097</v>
      </c>
      <c r="K9" s="9">
        <f t="shared" si="0"/>
        <v>0.51069900142653346</v>
      </c>
      <c r="L9" s="9">
        <f t="shared" si="0"/>
        <v>0.33779761904761907</v>
      </c>
      <c r="M9" s="9">
        <f t="shared" si="0"/>
        <v>0.41607142857142854</v>
      </c>
      <c r="N9" s="9">
        <f t="shared" si="0"/>
        <v>0.61990950226244346</v>
      </c>
      <c r="O9" s="9">
        <f t="shared" si="0"/>
        <v>0.6717663421418637</v>
      </c>
      <c r="P9" s="9">
        <f t="shared" si="0"/>
        <v>0.65277777777777779</v>
      </c>
    </row>
    <row r="10" spans="1:16" x14ac:dyDescent="0.3">
      <c r="A10" s="9" t="s">
        <v>16</v>
      </c>
      <c r="B10" s="10">
        <v>0.46741121490584897</v>
      </c>
      <c r="C10" s="10">
        <v>0.48930099857346648</v>
      </c>
      <c r="D10" s="10">
        <v>0.66220238095238093</v>
      </c>
      <c r="E10" s="10">
        <v>0.58392857142857146</v>
      </c>
      <c r="F10" s="10">
        <v>0.38009049773755654</v>
      </c>
      <c r="G10" s="10">
        <v>0.3282336578581363</v>
      </c>
      <c r="H10" s="10">
        <v>0.34722222222222221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1" t="s">
        <v>27</v>
      </c>
      <c r="C12" s="12" t="s">
        <v>35</v>
      </c>
      <c r="D12" s="12" t="s">
        <v>36</v>
      </c>
      <c r="E12" s="12" t="s">
        <v>37</v>
      </c>
      <c r="F12" s="12" t="s">
        <v>38</v>
      </c>
      <c r="G12" s="12" t="s">
        <v>39</v>
      </c>
      <c r="H12" s="12" t="s">
        <v>40</v>
      </c>
      <c r="J12" s="8"/>
      <c r="K12" s="13" t="s">
        <v>41</v>
      </c>
      <c r="L12" s="13" t="s">
        <v>42</v>
      </c>
      <c r="M12" s="13" t="s">
        <v>43</v>
      </c>
      <c r="N12" s="13" t="s">
        <v>44</v>
      </c>
      <c r="O12" s="13" t="s">
        <v>45</v>
      </c>
      <c r="P12" s="13" t="s">
        <v>46</v>
      </c>
    </row>
    <row r="13" spans="1:16" x14ac:dyDescent="0.3">
      <c r="B13" s="9" t="s">
        <v>13</v>
      </c>
      <c r="C13" s="9">
        <f>C2-B2</f>
        <v>-4.1797170931335507E-3</v>
      </c>
      <c r="D13" s="9">
        <f>D2-B2</f>
        <v>-5.544688902113919E-3</v>
      </c>
      <c r="E13" s="9">
        <f>E2-B2</f>
        <v>1.895787288362271E-3</v>
      </c>
      <c r="F13" s="9">
        <f>F2-B2</f>
        <v>8.857678959899376E-4</v>
      </c>
      <c r="G13" s="9">
        <f>G2-B2</f>
        <v>-4.2511429719198669E-3</v>
      </c>
      <c r="H13" s="9">
        <f>H2-B2</f>
        <v>6.8561047486797311E-3</v>
      </c>
      <c r="J13" s="9" t="s">
        <v>13</v>
      </c>
      <c r="K13" s="8">
        <f>($J2-0) * ((K2+0))</f>
        <v>2.0065004679626697E-5</v>
      </c>
      <c r="L13" s="8">
        <f t="shared" ref="L13:P13" si="1">($J2-0) * ((L2+0))</f>
        <v>1.046545258959696E-5</v>
      </c>
      <c r="M13" s="8">
        <f t="shared" si="1"/>
        <v>6.2792715537581759E-5</v>
      </c>
      <c r="N13" s="8">
        <f t="shared" si="1"/>
        <v>5.5689467173601922E-5</v>
      </c>
      <c r="O13" s="8">
        <f t="shared" si="1"/>
        <v>1.9562681892097793E-5</v>
      </c>
      <c r="P13" s="8">
        <f t="shared" si="1"/>
        <v>9.7677557502904959E-5</v>
      </c>
    </row>
    <row r="14" spans="1:16" x14ac:dyDescent="0.3">
      <c r="B14" s="9" t="s">
        <v>11</v>
      </c>
      <c r="C14" s="9">
        <f t="shared" ref="C14:C21" si="2">C3-B3</f>
        <v>1.695254026325128E-3</v>
      </c>
      <c r="D14" s="9">
        <f t="shared" ref="D14:D21" si="3">D3-B3</f>
        <v>-6.7408236857868214E-3</v>
      </c>
      <c r="E14" s="9">
        <f t="shared" ref="E14:E21" si="4">E3-B3</f>
        <v>-4.3598713048344402E-3</v>
      </c>
      <c r="F14" s="9">
        <f t="shared" ref="F14:F21" si="5">F3-B3</f>
        <v>4.6398131313582502E-4</v>
      </c>
      <c r="G14" s="9">
        <f t="shared" ref="G14:G21" si="6">G3-B3</f>
        <v>-4.1537318253987163E-3</v>
      </c>
      <c r="H14" s="9">
        <f t="shared" ref="H14:H21" si="7">H3-B3</f>
        <v>-2.7725697175328533E-3</v>
      </c>
      <c r="J14" s="9" t="s">
        <v>11</v>
      </c>
      <c r="K14" s="8">
        <f>($J3-$J2) * ((K3+K2))</f>
        <v>1.6633975740902647E-4</v>
      </c>
      <c r="L14" s="8">
        <f t="shared" ref="L14:P14" si="8">($J3-$J2) * ((L3+L2))</f>
        <v>5.7839370011769616E-5</v>
      </c>
      <c r="M14" s="8">
        <f t="shared" si="8"/>
        <v>2.255735430459015E-4</v>
      </c>
      <c r="N14" s="8">
        <f t="shared" si="8"/>
        <v>2.5281824177090248E-4</v>
      </c>
      <c r="O14" s="8">
        <f t="shared" si="8"/>
        <v>1.0811698650322443E-4</v>
      </c>
      <c r="P14" s="8">
        <f t="shared" si="8"/>
        <v>3.3739632506865614E-4</v>
      </c>
    </row>
    <row r="15" spans="1:16" x14ac:dyDescent="0.3">
      <c r="B15" s="9" t="s">
        <v>17</v>
      </c>
      <c r="C15" s="9">
        <f t="shared" si="2"/>
        <v>6.4559948787043346E-3</v>
      </c>
      <c r="D15" s="9">
        <f t="shared" si="3"/>
        <v>-8.8665035928668923E-3</v>
      </c>
      <c r="E15" s="9">
        <f t="shared" si="4"/>
        <v>-8.8665035928668923E-3</v>
      </c>
      <c r="F15" s="9">
        <f t="shared" si="5"/>
        <v>-5.3516361074111719E-3</v>
      </c>
      <c r="G15" s="9">
        <f t="shared" si="6"/>
        <v>-8.0593309324258032E-3</v>
      </c>
      <c r="H15" s="9">
        <f t="shared" si="7"/>
        <v>-1.4322852799216098E-2</v>
      </c>
      <c r="J15" s="9" t="s">
        <v>17</v>
      </c>
      <c r="K15" s="8">
        <f t="shared" ref="K15:P21" si="9">($J4-$J3) * ((K4+K3))</f>
        <v>9.3925502966222228E-4</v>
      </c>
      <c r="L15" s="8">
        <f t="shared" si="9"/>
        <v>3.1776919681139848E-4</v>
      </c>
      <c r="M15" s="8">
        <f t="shared" si="9"/>
        <v>6.6731531330393686E-4</v>
      </c>
      <c r="N15" s="8">
        <f t="shared" si="9"/>
        <v>8.6559754063557414E-4</v>
      </c>
      <c r="O15" s="8">
        <f t="shared" si="9"/>
        <v>4.7024537608807799E-4</v>
      </c>
      <c r="P15" s="8">
        <f t="shared" si="9"/>
        <v>8.0324991416214607E-4</v>
      </c>
    </row>
    <row r="16" spans="1:16" x14ac:dyDescent="0.3">
      <c r="B16" s="9" t="s">
        <v>9</v>
      </c>
      <c r="C16" s="9">
        <f t="shared" si="2"/>
        <v>-1.8512341031073559E-2</v>
      </c>
      <c r="D16" s="9">
        <f t="shared" si="3"/>
        <v>-1.3309314742098625E-2</v>
      </c>
      <c r="E16" s="9">
        <f t="shared" si="4"/>
        <v>5.4406852579013745E-3</v>
      </c>
      <c r="F16" s="9">
        <f t="shared" si="5"/>
        <v>-1.5268752363300952E-2</v>
      </c>
      <c r="G16" s="9">
        <f t="shared" si="6"/>
        <v>-2.4504178640370036E-2</v>
      </c>
      <c r="H16" s="9">
        <f t="shared" si="7"/>
        <v>-2.8686298869082753E-2</v>
      </c>
      <c r="J16" s="9" t="s">
        <v>9</v>
      </c>
      <c r="K16" s="8">
        <f t="shared" si="9"/>
        <v>3.3546776871509203E-3</v>
      </c>
      <c r="L16" s="8">
        <f t="shared" si="9"/>
        <v>1.7497240020035677E-3</v>
      </c>
      <c r="M16" s="8">
        <f t="shared" si="9"/>
        <v>3.1176900399336295E-3</v>
      </c>
      <c r="N16" s="8">
        <f t="shared" si="9"/>
        <v>2.9020514915994999E-3</v>
      </c>
      <c r="O16" s="8">
        <f t="shared" si="9"/>
        <v>1.6849030217801456E-3</v>
      </c>
      <c r="P16" s="8">
        <f t="shared" si="9"/>
        <v>1.9794857396403997E-3</v>
      </c>
    </row>
    <row r="17" spans="2:16" x14ac:dyDescent="0.3">
      <c r="B17" s="9" t="s">
        <v>14</v>
      </c>
      <c r="C17" s="9">
        <f t="shared" si="2"/>
        <v>-4.4753429431049208E-3</v>
      </c>
      <c r="D17" s="9">
        <f t="shared" si="3"/>
        <v>-6.0971756990318288E-3</v>
      </c>
      <c r="E17" s="9">
        <f t="shared" si="4"/>
        <v>-9.0733661752223048E-3</v>
      </c>
      <c r="F17" s="9">
        <f t="shared" si="5"/>
        <v>-1.5497089510710344E-2</v>
      </c>
      <c r="G17" s="9">
        <f t="shared" si="6"/>
        <v>-2.6123336371924072E-2</v>
      </c>
      <c r="H17" s="9">
        <f t="shared" si="7"/>
        <v>-1.8497969349825477E-2</v>
      </c>
      <c r="J17" s="9" t="s">
        <v>14</v>
      </c>
      <c r="K17" s="8">
        <f t="shared" si="9"/>
        <v>5.1154180400765454E-3</v>
      </c>
      <c r="L17" s="8">
        <f t="shared" si="9"/>
        <v>3.6285974275947729E-3</v>
      </c>
      <c r="M17" s="8">
        <f t="shared" si="9"/>
        <v>5.5709642858955046E-3</v>
      </c>
      <c r="N17" s="8">
        <f t="shared" si="9"/>
        <v>4.3809736309741521E-3</v>
      </c>
      <c r="O17" s="8">
        <f t="shared" si="9"/>
        <v>2.4438038144449135E-3</v>
      </c>
      <c r="P17" s="8">
        <f t="shared" si="9"/>
        <v>2.8637460090331296E-3</v>
      </c>
    </row>
    <row r="18" spans="2:16" x14ac:dyDescent="0.3">
      <c r="B18" s="9" t="s">
        <v>12</v>
      </c>
      <c r="C18" s="9">
        <f t="shared" si="2"/>
        <v>-8.0722266625736575E-3</v>
      </c>
      <c r="D18" s="9">
        <f t="shared" si="3"/>
        <v>-2.0049164370609798E-2</v>
      </c>
      <c r="E18" s="9">
        <f t="shared" si="4"/>
        <v>-3.1953926275371705E-2</v>
      </c>
      <c r="F18" s="9">
        <f t="shared" si="5"/>
        <v>-2.6176615351001953E-2</v>
      </c>
      <c r="G18" s="9">
        <f t="shared" si="6"/>
        <v>-2.6974291862496676E-2</v>
      </c>
      <c r="H18" s="9">
        <f t="shared" si="7"/>
        <v>-2.0049164370609798E-2</v>
      </c>
      <c r="J18" s="9" t="s">
        <v>12</v>
      </c>
      <c r="K18" s="8">
        <f t="shared" si="9"/>
        <v>8.4564367575916625E-3</v>
      </c>
      <c r="L18" s="8">
        <f t="shared" si="9"/>
        <v>6.2053791157770828E-3</v>
      </c>
      <c r="M18" s="8">
        <f t="shared" si="9"/>
        <v>7.8114772398605644E-3</v>
      </c>
      <c r="N18" s="8">
        <f t="shared" si="9"/>
        <v>6.4283565394209242E-3</v>
      </c>
      <c r="O18" s="8">
        <f t="shared" si="9"/>
        <v>3.7527744763007609E-3</v>
      </c>
      <c r="P18" s="8">
        <f t="shared" si="9"/>
        <v>4.8264059789377318E-3</v>
      </c>
    </row>
    <row r="19" spans="2:16" x14ac:dyDescent="0.3">
      <c r="B19" s="9" t="s">
        <v>10</v>
      </c>
      <c r="C19" s="9">
        <f t="shared" si="2"/>
        <v>4.0732958406801578E-2</v>
      </c>
      <c r="D19" s="9">
        <f t="shared" si="3"/>
        <v>-7.638714212984675E-2</v>
      </c>
      <c r="E19" s="9">
        <f t="shared" si="4"/>
        <v>-2.7577618320322947E-2</v>
      </c>
      <c r="F19" s="9">
        <f t="shared" si="5"/>
        <v>3.8000920787627929E-2</v>
      </c>
      <c r="G19" s="9">
        <f t="shared" si="6"/>
        <v>-1.1126197696440576E-2</v>
      </c>
      <c r="H19" s="9">
        <f t="shared" si="7"/>
        <v>3.9700007272961135E-3</v>
      </c>
      <c r="J19" s="9" t="s">
        <v>10</v>
      </c>
      <c r="K19" s="8">
        <f t="shared" si="9"/>
        <v>5.990234871809845E-2</v>
      </c>
      <c r="L19" s="8">
        <f t="shared" si="9"/>
        <v>3.3776983953818389E-2</v>
      </c>
      <c r="M19" s="8">
        <f t="shared" si="9"/>
        <v>4.4585618819040274E-2</v>
      </c>
      <c r="N19" s="8">
        <f t="shared" si="9"/>
        <v>4.9908932624974631E-2</v>
      </c>
      <c r="O19" s="8">
        <f t="shared" si="9"/>
        <v>3.3542095331051916E-2</v>
      </c>
      <c r="P19" s="8">
        <f t="shared" si="9"/>
        <v>4.0391643311441155E-2</v>
      </c>
    </row>
    <row r="20" spans="2:16" x14ac:dyDescent="0.3">
      <c r="B20" s="9" t="s">
        <v>15</v>
      </c>
      <c r="C20" s="9">
        <f t="shared" si="2"/>
        <v>-3.5534363249562828E-2</v>
      </c>
      <c r="D20" s="9">
        <f t="shared" si="3"/>
        <v>-5.7796352924177313E-2</v>
      </c>
      <c r="E20" s="9">
        <f t="shared" si="4"/>
        <v>-4.202254340036779E-2</v>
      </c>
      <c r="F20" s="9">
        <f t="shared" si="5"/>
        <v>0.11026414050396319</v>
      </c>
      <c r="G20" s="9">
        <f t="shared" si="6"/>
        <v>0.24436976734868845</v>
      </c>
      <c r="H20" s="9">
        <f t="shared" si="7"/>
        <v>0.19369174231391792</v>
      </c>
      <c r="J20" s="9" t="s">
        <v>15</v>
      </c>
      <c r="K20" s="8">
        <f t="shared" si="9"/>
        <v>0.19824637215558738</v>
      </c>
      <c r="L20" s="8">
        <f t="shared" si="9"/>
        <v>0.11936445949214435</v>
      </c>
      <c r="M20" s="8">
        <f t="shared" si="9"/>
        <v>0.15368627671997673</v>
      </c>
      <c r="N20" s="8">
        <f t="shared" si="9"/>
        <v>0.21595233684185774</v>
      </c>
      <c r="O20" s="8">
        <f t="shared" si="9"/>
        <v>0.20854252917516058</v>
      </c>
      <c r="P20" s="8">
        <f t="shared" si="9"/>
        <v>0.21163911257472401</v>
      </c>
    </row>
    <row r="21" spans="2:16" x14ac:dyDescent="0.3">
      <c r="B21" s="9" t="s">
        <v>16</v>
      </c>
      <c r="C21" s="9">
        <f t="shared" si="2"/>
        <v>2.1889783667617513E-2</v>
      </c>
      <c r="D21" s="9">
        <f t="shared" si="3"/>
        <v>0.19479116604653196</v>
      </c>
      <c r="E21" s="9">
        <f t="shared" si="4"/>
        <v>0.11651735652272249</v>
      </c>
      <c r="F21" s="9">
        <f t="shared" si="5"/>
        <v>-8.7320717168292428E-2</v>
      </c>
      <c r="G21" s="9">
        <f t="shared" si="6"/>
        <v>-0.13917755704771267</v>
      </c>
      <c r="H21" s="9">
        <f t="shared" si="7"/>
        <v>-0.12018899268362676</v>
      </c>
      <c r="J21" s="9" t="s">
        <v>16</v>
      </c>
      <c r="K21" s="8">
        <f t="shared" si="9"/>
        <v>0.70611765561382889</v>
      </c>
      <c r="L21" s="8">
        <f t="shared" si="9"/>
        <v>0.62530161041719978</v>
      </c>
      <c r="M21" s="8">
        <f t="shared" si="9"/>
        <v>0.66188766682203271</v>
      </c>
      <c r="N21" s="8">
        <f t="shared" si="9"/>
        <v>0.75716386849001793</v>
      </c>
      <c r="O21" s="8">
        <f t="shared" si="9"/>
        <v>0.78140233701923578</v>
      </c>
      <c r="P21" s="8">
        <f t="shared" si="9"/>
        <v>0.77252686908050039</v>
      </c>
    </row>
    <row r="22" spans="2:16" x14ac:dyDescent="0.3">
      <c r="J22" s="14" t="s">
        <v>47</v>
      </c>
      <c r="K22" s="13">
        <f>SUM(K13:K21)</f>
        <v>0.98231856876408474</v>
      </c>
      <c r="L22" s="13">
        <f t="shared" ref="L22:P22" si="10">SUM(L13:L21)</f>
        <v>0.79041282842795069</v>
      </c>
      <c r="M22" s="13">
        <f t="shared" si="10"/>
        <v>0.87761537549862689</v>
      </c>
      <c r="N22" s="13">
        <f t="shared" si="10"/>
        <v>1.0379106248684249</v>
      </c>
      <c r="O22" s="13">
        <f t="shared" si="10"/>
        <v>1.0319663678824575</v>
      </c>
      <c r="P22" s="13">
        <f t="shared" si="10"/>
        <v>1.0354655864910105</v>
      </c>
    </row>
    <row r="23" spans="2:16" x14ac:dyDescent="0.3">
      <c r="J23" s="15" t="s">
        <v>48</v>
      </c>
      <c r="K23" s="16">
        <f>1-K22</f>
        <v>1.7681431235915257E-2</v>
      </c>
      <c r="L23" s="16">
        <f t="shared" ref="L23:P23" si="11">1-L22</f>
        <v>0.20958717157204931</v>
      </c>
      <c r="M23" s="16">
        <f t="shared" si="11"/>
        <v>0.12238462450137311</v>
      </c>
      <c r="N23" s="16">
        <f t="shared" si="11"/>
        <v>-3.7910624868424891E-2</v>
      </c>
      <c r="O23" s="16">
        <f t="shared" si="11"/>
        <v>-3.1966367882457547E-2</v>
      </c>
      <c r="P23" s="16">
        <f t="shared" si="11"/>
        <v>-3.5465586491010503E-2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9E19-CC8E-4485-AE27-62FCD7DAE61B}">
  <dimension ref="A1:P23"/>
  <sheetViews>
    <sheetView tabSelected="1" workbookViewId="0">
      <selection activeCell="N1" activeCellId="1" sqref="I1:J10 N1:P10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20</v>
      </c>
      <c r="B2" s="10">
        <v>3.3308291385391294E-3</v>
      </c>
      <c r="C2" s="10">
        <v>4.5558086560364467E-4</v>
      </c>
      <c r="D2" s="10">
        <v>1.2476606363069245E-3</v>
      </c>
      <c r="E2" s="10">
        <v>1.4545454545454545E-3</v>
      </c>
      <c r="F2" s="10">
        <v>1.4763779527559055E-3</v>
      </c>
      <c r="G2" s="10">
        <v>3.5855145213338117E-4</v>
      </c>
      <c r="H2" s="10">
        <v>4.2955326460481103E-3</v>
      </c>
      <c r="I2" s="9">
        <v>3.3308291385391294E-3</v>
      </c>
      <c r="J2" s="10">
        <v>3.3308291385391294E-3</v>
      </c>
      <c r="K2" s="10">
        <v>4.5558086560364467E-4</v>
      </c>
      <c r="L2" s="10">
        <v>1.2476606363069245E-3</v>
      </c>
      <c r="M2" s="10">
        <v>1.4545454545454545E-3</v>
      </c>
      <c r="N2" s="10">
        <v>1.4763779527559055E-3</v>
      </c>
      <c r="O2" s="10">
        <v>3.5855145213338117E-4</v>
      </c>
      <c r="P2" s="10">
        <v>4.2955326460481103E-3</v>
      </c>
    </row>
    <row r="3" spans="1:16" x14ac:dyDescent="0.3">
      <c r="A3" s="9" t="s">
        <v>19</v>
      </c>
      <c r="B3" s="10">
        <v>7.4932938663660204E-3</v>
      </c>
      <c r="C3" s="10">
        <v>3.1890660592255125E-3</v>
      </c>
      <c r="D3" s="10">
        <v>1.4971927635683094E-2</v>
      </c>
      <c r="E3" s="10">
        <v>1.5272727272727273E-2</v>
      </c>
      <c r="F3" s="10">
        <v>8.8582677165354329E-3</v>
      </c>
      <c r="G3" s="10">
        <v>7.5295804948010041E-3</v>
      </c>
      <c r="H3" s="10">
        <v>5.1546391752577319E-3</v>
      </c>
      <c r="I3" s="9">
        <v>1.0824123004905151E-2</v>
      </c>
      <c r="J3" s="9">
        <f t="shared" ref="J3:P10" si="0">J2+B3</f>
        <v>1.0824123004905151E-2</v>
      </c>
      <c r="K3" s="9">
        <f t="shared" si="0"/>
        <v>3.6446469248291574E-3</v>
      </c>
      <c r="L3" s="9">
        <f t="shared" si="0"/>
        <v>1.6219588271990017E-2</v>
      </c>
      <c r="M3" s="9">
        <f t="shared" si="0"/>
        <v>1.6727272727272726E-2</v>
      </c>
      <c r="N3" s="9">
        <f t="shared" si="0"/>
        <v>1.0334645669291338E-2</v>
      </c>
      <c r="O3" s="9">
        <f t="shared" si="0"/>
        <v>7.8881319469343847E-3</v>
      </c>
      <c r="P3" s="9">
        <f t="shared" si="0"/>
        <v>9.450171821305843E-3</v>
      </c>
    </row>
    <row r="4" spans="1:16" x14ac:dyDescent="0.3">
      <c r="A4" s="9" t="s">
        <v>21</v>
      </c>
      <c r="B4" s="10">
        <v>7.5115126872653658E-3</v>
      </c>
      <c r="C4" s="10">
        <v>1.184510250569476E-2</v>
      </c>
      <c r="D4" s="10">
        <v>1.8714909544603868E-3</v>
      </c>
      <c r="E4" s="10">
        <v>6.5454545454545453E-3</v>
      </c>
      <c r="F4" s="10">
        <v>6.889763779527559E-3</v>
      </c>
      <c r="G4" s="10">
        <v>1.4342058085335247E-3</v>
      </c>
      <c r="H4" s="10">
        <v>1.0309278350515464E-2</v>
      </c>
      <c r="I4" s="9">
        <v>1.8335635692170518E-2</v>
      </c>
      <c r="J4" s="9">
        <f t="shared" si="0"/>
        <v>1.8335635692170518E-2</v>
      </c>
      <c r="K4" s="9">
        <f t="shared" si="0"/>
        <v>1.5489749430523917E-2</v>
      </c>
      <c r="L4" s="9">
        <f t="shared" si="0"/>
        <v>1.8091079226450403E-2</v>
      </c>
      <c r="M4" s="9">
        <f t="shared" si="0"/>
        <v>2.3272727272727271E-2</v>
      </c>
      <c r="N4" s="9">
        <f t="shared" si="0"/>
        <v>1.7224409448818895E-2</v>
      </c>
      <c r="O4" s="9">
        <f t="shared" si="0"/>
        <v>9.3223377554679087E-3</v>
      </c>
      <c r="P4" s="9">
        <f t="shared" si="0"/>
        <v>1.9759450171821305E-2</v>
      </c>
    </row>
    <row r="5" spans="1:16" x14ac:dyDescent="0.3">
      <c r="A5" s="9" t="s">
        <v>23</v>
      </c>
      <c r="B5" s="10">
        <v>1.7196423538287924E-2</v>
      </c>
      <c r="C5" s="10">
        <v>1.2300683371298405E-2</v>
      </c>
      <c r="D5" s="10">
        <v>1.0605115408608859E-2</v>
      </c>
      <c r="E5" s="10">
        <v>7.2727272727272727E-3</v>
      </c>
      <c r="F5" s="10">
        <v>7.3818897637795275E-3</v>
      </c>
      <c r="G5" s="10">
        <v>1.4342058085335247E-3</v>
      </c>
      <c r="H5" s="10">
        <v>2.5773195876288659E-3</v>
      </c>
      <c r="I5" s="9">
        <v>3.5532059230458442E-2</v>
      </c>
      <c r="J5" s="9">
        <f t="shared" si="0"/>
        <v>3.5532059230458442E-2</v>
      </c>
      <c r="K5" s="9">
        <f t="shared" si="0"/>
        <v>2.7790432801822321E-2</v>
      </c>
      <c r="L5" s="9">
        <f t="shared" si="0"/>
        <v>2.8696194635059263E-2</v>
      </c>
      <c r="M5" s="9">
        <f t="shared" si="0"/>
        <v>3.0545454545454542E-2</v>
      </c>
      <c r="N5" s="9">
        <f t="shared" si="0"/>
        <v>2.4606299212598423E-2</v>
      </c>
      <c r="O5" s="9">
        <f t="shared" si="0"/>
        <v>1.0756543564001433E-2</v>
      </c>
      <c r="P5" s="9">
        <f t="shared" si="0"/>
        <v>2.2336769759450172E-2</v>
      </c>
    </row>
    <row r="6" spans="1:16" x14ac:dyDescent="0.3">
      <c r="A6" s="9" t="s">
        <v>22</v>
      </c>
      <c r="B6" s="10">
        <v>2.2879623963536638E-2</v>
      </c>
      <c r="C6" s="10">
        <v>3.5990888382687929E-2</v>
      </c>
      <c r="D6" s="10">
        <v>3.6182158452900813E-2</v>
      </c>
      <c r="E6" s="10">
        <v>5.672727272727273E-2</v>
      </c>
      <c r="F6" s="10">
        <v>4.6751968503937008E-2</v>
      </c>
      <c r="G6" s="10">
        <v>2.0795984223736106E-2</v>
      </c>
      <c r="H6" s="10">
        <v>2.5773195876288658E-2</v>
      </c>
      <c r="I6" s="9">
        <v>5.8411683193995076E-2</v>
      </c>
      <c r="J6" s="9">
        <f t="shared" si="0"/>
        <v>5.8411683193995076E-2</v>
      </c>
      <c r="K6" s="9">
        <f t="shared" si="0"/>
        <v>6.3781321184510242E-2</v>
      </c>
      <c r="L6" s="9">
        <f t="shared" si="0"/>
        <v>6.4878353087960083E-2</v>
      </c>
      <c r="M6" s="9">
        <f t="shared" si="0"/>
        <v>8.727272727272728E-2</v>
      </c>
      <c r="N6" s="9">
        <f t="shared" si="0"/>
        <v>7.1358267716535431E-2</v>
      </c>
      <c r="O6" s="9">
        <f t="shared" si="0"/>
        <v>3.1552527787737539E-2</v>
      </c>
      <c r="P6" s="9">
        <f t="shared" si="0"/>
        <v>4.8109965635738827E-2</v>
      </c>
    </row>
    <row r="7" spans="1:16" x14ac:dyDescent="0.3">
      <c r="A7" s="9" t="s">
        <v>25</v>
      </c>
      <c r="B7" s="10">
        <v>2.7291793707219261E-2</v>
      </c>
      <c r="C7" s="10">
        <v>2.0045558086560365E-2</v>
      </c>
      <c r="D7" s="10">
        <v>2.1834061135371178E-2</v>
      </c>
      <c r="E7" s="10">
        <v>2.3272727272727271E-2</v>
      </c>
      <c r="F7" s="10">
        <v>2.8543307086614175E-2</v>
      </c>
      <c r="G7" s="10">
        <v>1.8644675510935821E-2</v>
      </c>
      <c r="H7" s="10">
        <v>1.804123711340206E-2</v>
      </c>
      <c r="I7" s="9">
        <v>8.570347690121434E-2</v>
      </c>
      <c r="J7" s="9">
        <f t="shared" si="0"/>
        <v>8.570347690121434E-2</v>
      </c>
      <c r="K7" s="9">
        <f t="shared" si="0"/>
        <v>8.3826879271070603E-2</v>
      </c>
      <c r="L7" s="9">
        <f t="shared" si="0"/>
        <v>8.6712414223331258E-2</v>
      </c>
      <c r="M7" s="9">
        <f t="shared" si="0"/>
        <v>0.11054545454545456</v>
      </c>
      <c r="N7" s="9">
        <f t="shared" si="0"/>
        <v>9.9901574803149609E-2</v>
      </c>
      <c r="O7" s="9">
        <f t="shared" si="0"/>
        <v>5.019720329867336E-2</v>
      </c>
      <c r="P7" s="9">
        <f t="shared" si="0"/>
        <v>6.615120274914088E-2</v>
      </c>
    </row>
    <row r="8" spans="1:16" x14ac:dyDescent="0.3">
      <c r="A8" s="9" t="s">
        <v>24</v>
      </c>
      <c r="B8" s="10">
        <v>3.0192873011603245E-2</v>
      </c>
      <c r="C8" s="10">
        <v>4.5102505694760819E-2</v>
      </c>
      <c r="D8" s="10">
        <v>4.7411104179663134E-2</v>
      </c>
      <c r="E8" s="10">
        <v>5.1636363636363633E-2</v>
      </c>
      <c r="F8" s="10">
        <v>5.4133858267716536E-2</v>
      </c>
      <c r="G8" s="10">
        <v>2.9759770527070635E-2</v>
      </c>
      <c r="H8" s="10">
        <v>3.0927835051546393E-2</v>
      </c>
      <c r="I8" s="9">
        <v>0.11589634991281758</v>
      </c>
      <c r="J8" s="9">
        <f t="shared" si="0"/>
        <v>0.11589634991281758</v>
      </c>
      <c r="K8" s="9">
        <f t="shared" si="0"/>
        <v>0.12892938496583142</v>
      </c>
      <c r="L8" s="9">
        <f t="shared" si="0"/>
        <v>0.13412351840299438</v>
      </c>
      <c r="M8" s="9">
        <f t="shared" si="0"/>
        <v>0.1621818181818182</v>
      </c>
      <c r="N8" s="9">
        <f t="shared" si="0"/>
        <v>0.15403543307086615</v>
      </c>
      <c r="O8" s="9">
        <f t="shared" si="0"/>
        <v>7.9956973825743988E-2</v>
      </c>
      <c r="P8" s="9">
        <f t="shared" si="0"/>
        <v>9.7079037800687273E-2</v>
      </c>
    </row>
    <row r="9" spans="1:16" x14ac:dyDescent="0.3">
      <c r="A9" s="9" t="s">
        <v>18</v>
      </c>
      <c r="B9" s="10">
        <v>0.12684693296867114</v>
      </c>
      <c r="C9" s="10">
        <v>0.14715261958997722</v>
      </c>
      <c r="D9" s="10">
        <v>0.15283842794759825</v>
      </c>
      <c r="E9" s="10">
        <v>0.16509090909090909</v>
      </c>
      <c r="F9" s="10">
        <v>0.19635826771653545</v>
      </c>
      <c r="G9" s="10">
        <v>0.12477590534241664</v>
      </c>
      <c r="H9" s="10">
        <v>0.24312714776632302</v>
      </c>
      <c r="I9" s="9">
        <v>0.24274328288148872</v>
      </c>
      <c r="J9" s="9">
        <f t="shared" si="0"/>
        <v>0.24274328288148872</v>
      </c>
      <c r="K9" s="9">
        <f t="shared" si="0"/>
        <v>0.27608200455580867</v>
      </c>
      <c r="L9" s="9">
        <f t="shared" si="0"/>
        <v>0.28696194635059263</v>
      </c>
      <c r="M9" s="9">
        <f t="shared" si="0"/>
        <v>0.32727272727272727</v>
      </c>
      <c r="N9" s="9">
        <f t="shared" si="0"/>
        <v>0.35039370078740162</v>
      </c>
      <c r="O9" s="9">
        <f t="shared" si="0"/>
        <v>0.20473287916816063</v>
      </c>
      <c r="P9" s="9">
        <f t="shared" si="0"/>
        <v>0.34020618556701032</v>
      </c>
    </row>
    <row r="10" spans="1:16" x14ac:dyDescent="0.3">
      <c r="A10" s="9" t="s">
        <v>26</v>
      </c>
      <c r="B10" s="10">
        <v>0.75725671711851128</v>
      </c>
      <c r="C10" s="10">
        <v>0.72391799544419133</v>
      </c>
      <c r="D10" s="10">
        <v>0.71303805364940731</v>
      </c>
      <c r="E10" s="10">
        <v>0.67272727272727273</v>
      </c>
      <c r="F10" s="10">
        <v>0.64960629921259838</v>
      </c>
      <c r="G10" s="10">
        <v>0.79526712083183937</v>
      </c>
      <c r="H10" s="10">
        <v>0.65979381443298968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1" t="s">
        <v>27</v>
      </c>
      <c r="C12" s="12" t="s">
        <v>35</v>
      </c>
      <c r="D12" s="12" t="s">
        <v>36</v>
      </c>
      <c r="E12" s="12" t="s">
        <v>37</v>
      </c>
      <c r="F12" s="12" t="s">
        <v>38</v>
      </c>
      <c r="G12" s="12" t="s">
        <v>39</v>
      </c>
      <c r="H12" s="12" t="s">
        <v>40</v>
      </c>
      <c r="J12" s="8"/>
      <c r="K12" s="13" t="s">
        <v>41</v>
      </c>
      <c r="L12" s="13" t="s">
        <v>42</v>
      </c>
      <c r="M12" s="13" t="s">
        <v>43</v>
      </c>
      <c r="N12" s="13" t="s">
        <v>44</v>
      </c>
      <c r="O12" s="13" t="s">
        <v>45</v>
      </c>
      <c r="P12" s="13" t="s">
        <v>46</v>
      </c>
    </row>
    <row r="13" spans="1:16" x14ac:dyDescent="0.3">
      <c r="B13" s="9" t="s">
        <v>20</v>
      </c>
      <c r="C13" s="9">
        <f>C2-B2</f>
        <v>-2.8752482729354845E-3</v>
      </c>
      <c r="D13" s="9">
        <f>D2-B2</f>
        <v>-2.0831685022322049E-3</v>
      </c>
      <c r="E13" s="9">
        <f>E2-B2</f>
        <v>-1.8762836839936749E-3</v>
      </c>
      <c r="F13" s="9">
        <f>F2-B2</f>
        <v>-1.8544511857832239E-3</v>
      </c>
      <c r="G13" s="9">
        <f>G2-B2</f>
        <v>-2.9722776864057484E-3</v>
      </c>
      <c r="H13" s="9">
        <f>H2-B2</f>
        <v>9.6470350750898094E-4</v>
      </c>
      <c r="J13" s="9" t="s">
        <v>20</v>
      </c>
      <c r="K13" s="8">
        <f>($J2-0) * ((K2+0))</f>
        <v>1.5174620221134986E-6</v>
      </c>
      <c r="L13" s="8">
        <f t="shared" ref="L13:P13" si="1">($J2-0) * ((L2+0))</f>
        <v>4.1557444024193751E-6</v>
      </c>
      <c r="M13" s="8">
        <f t="shared" si="1"/>
        <v>4.8448423833296422E-6</v>
      </c>
      <c r="N13" s="8">
        <f t="shared" si="1"/>
        <v>4.9175627045361163E-6</v>
      </c>
      <c r="O13" s="8">
        <f t="shared" si="1"/>
        <v>1.1942736244313839E-6</v>
      </c>
      <c r="P13" s="8">
        <f t="shared" si="1"/>
        <v>1.4307685303003134E-5</v>
      </c>
    </row>
    <row r="14" spans="1:16" x14ac:dyDescent="0.3">
      <c r="B14" s="9" t="s">
        <v>19</v>
      </c>
      <c r="C14" s="9">
        <f t="shared" ref="C14:C21" si="2">C3-B3</f>
        <v>-4.304227807140508E-3</v>
      </c>
      <c r="D14" s="9">
        <f t="shared" ref="D14:D21" si="3">D3-B3</f>
        <v>7.4786337693170737E-3</v>
      </c>
      <c r="E14" s="9">
        <f t="shared" ref="E14:E21" si="4">E3-B3</f>
        <v>7.7794334063612525E-3</v>
      </c>
      <c r="F14" s="9">
        <f t="shared" ref="F14:F21" si="5">F3-B3</f>
        <v>1.3649738501694125E-3</v>
      </c>
      <c r="G14" s="9">
        <f t="shared" ref="G14:G21" si="6">G3-B3</f>
        <v>3.6286628434983696E-5</v>
      </c>
      <c r="H14" s="9">
        <f t="shared" ref="H14:H21" si="7">H3-B3</f>
        <v>-2.3386546911082886E-3</v>
      </c>
      <c r="J14" s="9" t="s">
        <v>19</v>
      </c>
      <c r="K14" s="8">
        <f>($J3-$J2) * ((K3+K2))</f>
        <v>3.0724211752753623E-5</v>
      </c>
      <c r="L14" s="8">
        <f t="shared" ref="L14:P14" si="8">($J3-$J2) * ((L3+L2))</f>
        <v>1.3088722910683005E-4</v>
      </c>
      <c r="M14" s="8">
        <f t="shared" si="8"/>
        <v>1.3624170666120039E-4</v>
      </c>
      <c r="N14" s="8">
        <f t="shared" si="8"/>
        <v>8.8503470862590796E-5</v>
      </c>
      <c r="O14" s="8">
        <f t="shared" si="8"/>
        <v>6.1794822132096977E-5</v>
      </c>
      <c r="P14" s="8">
        <f t="shared" si="8"/>
        <v>1.030006029741034E-4</v>
      </c>
    </row>
    <row r="15" spans="1:16" x14ac:dyDescent="0.3">
      <c r="B15" s="9" t="s">
        <v>21</v>
      </c>
      <c r="C15" s="9">
        <f t="shared" si="2"/>
        <v>4.3335898184293942E-3</v>
      </c>
      <c r="D15" s="9">
        <f t="shared" si="3"/>
        <v>-5.6400217328049793E-3</v>
      </c>
      <c r="E15" s="9">
        <f t="shared" si="4"/>
        <v>-9.6605814181082057E-4</v>
      </c>
      <c r="F15" s="9">
        <f t="shared" si="5"/>
        <v>-6.2174890773780689E-4</v>
      </c>
      <c r="G15" s="9">
        <f t="shared" si="6"/>
        <v>-6.077306878731841E-3</v>
      </c>
      <c r="H15" s="9">
        <f t="shared" si="7"/>
        <v>2.7977656632500979E-3</v>
      </c>
      <c r="J15" s="9" t="s">
        <v>21</v>
      </c>
      <c r="K15" s="8">
        <f t="shared" ref="K15:P21" si="9">($J4-$J3) * ((K4+K3))</f>
        <v>1.4372826098639884E-4</v>
      </c>
      <c r="L15" s="8">
        <f t="shared" si="9"/>
        <v>2.577250142230787E-4</v>
      </c>
      <c r="M15" s="8">
        <f t="shared" si="9"/>
        <v>3.0046050749061464E-4</v>
      </c>
      <c r="N15" s="8">
        <f t="shared" si="9"/>
        <v>2.0701019216873057E-4</v>
      </c>
      <c r="O15" s="8">
        <f t="shared" si="9"/>
        <v>1.2927666152339105E-4</v>
      </c>
      <c r="P15" s="8">
        <f t="shared" si="9"/>
        <v>2.1940844619160009E-4</v>
      </c>
    </row>
    <row r="16" spans="1:16" x14ac:dyDescent="0.3">
      <c r="B16" s="9" t="s">
        <v>23</v>
      </c>
      <c r="C16" s="9">
        <f t="shared" si="2"/>
        <v>-4.8957401669895186E-3</v>
      </c>
      <c r="D16" s="9">
        <f t="shared" si="3"/>
        <v>-6.5913081296790649E-3</v>
      </c>
      <c r="E16" s="9">
        <f t="shared" si="4"/>
        <v>-9.9236962655606508E-3</v>
      </c>
      <c r="F16" s="9">
        <f t="shared" si="5"/>
        <v>-9.8145337745083952E-3</v>
      </c>
      <c r="G16" s="9">
        <f t="shared" si="6"/>
        <v>-1.5762217729754398E-2</v>
      </c>
      <c r="H16" s="9">
        <f t="shared" si="7"/>
        <v>-1.4619103950659058E-2</v>
      </c>
      <c r="J16" s="9" t="s">
        <v>23</v>
      </c>
      <c r="K16" s="8">
        <f t="shared" si="9"/>
        <v>7.4426434448170967E-4</v>
      </c>
      <c r="L16" s="8">
        <f t="shared" si="9"/>
        <v>8.0457377752438813E-4</v>
      </c>
      <c r="M16" s="8">
        <f t="shared" si="9"/>
        <v>9.2548024860604093E-4</v>
      </c>
      <c r="N16" s="8">
        <f t="shared" si="9"/>
        <v>7.1933858304846132E-4</v>
      </c>
      <c r="O16" s="8">
        <f t="shared" si="9"/>
        <v>3.4528494734461222E-4</v>
      </c>
      <c r="P16" s="8">
        <f t="shared" si="9"/>
        <v>7.2390442729906217E-4</v>
      </c>
    </row>
    <row r="17" spans="2:16" x14ac:dyDescent="0.3">
      <c r="B17" s="9" t="s">
        <v>22</v>
      </c>
      <c r="C17" s="9">
        <f t="shared" si="2"/>
        <v>1.3111264419151291E-2</v>
      </c>
      <c r="D17" s="9">
        <f t="shared" si="3"/>
        <v>1.3302534489364175E-2</v>
      </c>
      <c r="E17" s="9">
        <f t="shared" si="4"/>
        <v>3.3847648763736096E-2</v>
      </c>
      <c r="F17" s="9">
        <f t="shared" si="5"/>
        <v>2.387234454040037E-2</v>
      </c>
      <c r="G17" s="9">
        <f t="shared" si="6"/>
        <v>-2.0836397398005316E-3</v>
      </c>
      <c r="H17" s="9">
        <f t="shared" si="7"/>
        <v>2.8935719127520208E-3</v>
      </c>
      <c r="J17" s="9" t="s">
        <v>22</v>
      </c>
      <c r="K17" s="8">
        <f t="shared" si="9"/>
        <v>2.0951272968887757E-3</v>
      </c>
      <c r="L17" s="8">
        <f t="shared" si="9"/>
        <v>2.140950464460696E-3</v>
      </c>
      <c r="M17" s="8">
        <f t="shared" si="9"/>
        <v>2.695635696067589E-3</v>
      </c>
      <c r="N17" s="8">
        <f t="shared" si="9"/>
        <v>2.195633205162226E-3</v>
      </c>
      <c r="O17" s="8">
        <f t="shared" si="9"/>
        <v>9.680156427742284E-4</v>
      </c>
      <c r="P17" s="8">
        <f t="shared" si="9"/>
        <v>1.6117948153006906E-3</v>
      </c>
    </row>
    <row r="18" spans="2:16" x14ac:dyDescent="0.3">
      <c r="B18" s="9" t="s">
        <v>25</v>
      </c>
      <c r="C18" s="9">
        <f t="shared" si="2"/>
        <v>-7.246235620658896E-3</v>
      </c>
      <c r="D18" s="9">
        <f t="shared" si="3"/>
        <v>-5.4577325718480826E-3</v>
      </c>
      <c r="E18" s="9">
        <f t="shared" si="4"/>
        <v>-4.0190664344919892E-3</v>
      </c>
      <c r="F18" s="9">
        <f t="shared" si="5"/>
        <v>1.251513379394914E-3</v>
      </c>
      <c r="G18" s="9">
        <f t="shared" si="6"/>
        <v>-8.6471181962834397E-3</v>
      </c>
      <c r="H18" s="9">
        <f t="shared" si="7"/>
        <v>-9.2505565938172003E-3</v>
      </c>
      <c r="J18" s="9" t="s">
        <v>25</v>
      </c>
      <c r="K18" s="8">
        <f t="shared" si="9"/>
        <v>4.0284925563275811E-3</v>
      </c>
      <c r="L18" s="8">
        <f t="shared" si="9"/>
        <v>4.1371839493788403E-3</v>
      </c>
      <c r="M18" s="8">
        <f t="shared" si="9"/>
        <v>5.3988130097190109E-3</v>
      </c>
      <c r="N18" s="8">
        <f t="shared" si="9"/>
        <v>4.6739882923781022E-3</v>
      </c>
      <c r="O18" s="8">
        <f t="shared" si="9"/>
        <v>2.231096796430976E-3</v>
      </c>
      <c r="P18" s="8">
        <f t="shared" si="9"/>
        <v>3.1183922363059806E-3</v>
      </c>
    </row>
    <row r="19" spans="2:16" x14ac:dyDescent="0.3">
      <c r="B19" s="9" t="s">
        <v>24</v>
      </c>
      <c r="C19" s="9">
        <f t="shared" si="2"/>
        <v>1.4909632683157575E-2</v>
      </c>
      <c r="D19" s="9">
        <f t="shared" si="3"/>
        <v>1.7218231168059889E-2</v>
      </c>
      <c r="E19" s="9">
        <f t="shared" si="4"/>
        <v>2.1443490624760388E-2</v>
      </c>
      <c r="F19" s="9">
        <f t="shared" si="5"/>
        <v>2.3940985256113292E-2</v>
      </c>
      <c r="G19" s="9">
        <f t="shared" si="6"/>
        <v>-4.3310248453260966E-4</v>
      </c>
      <c r="H19" s="9">
        <f t="shared" si="7"/>
        <v>7.3496203994314821E-4</v>
      </c>
      <c r="J19" s="9" t="s">
        <v>24</v>
      </c>
      <c r="K19" s="8">
        <f t="shared" si="9"/>
        <v>6.4237228685278874E-3</v>
      </c>
      <c r="L19" s="8">
        <f t="shared" si="9"/>
        <v>6.6676712701856196E-3</v>
      </c>
      <c r="M19" s="8">
        <f t="shared" si="9"/>
        <v>8.2344199122554307E-3</v>
      </c>
      <c r="N19" s="8">
        <f t="shared" si="9"/>
        <v>7.6670878316866496E-3</v>
      </c>
      <c r="O19" s="8">
        <f t="shared" si="9"/>
        <v>3.9297285418472489E-3</v>
      </c>
      <c r="P19" s="8">
        <f t="shared" si="9"/>
        <v>4.9283899245744119E-3</v>
      </c>
    </row>
    <row r="20" spans="2:16" x14ac:dyDescent="0.3">
      <c r="B20" s="9" t="s">
        <v>18</v>
      </c>
      <c r="C20" s="9">
        <f t="shared" si="2"/>
        <v>2.0305686621306079E-2</v>
      </c>
      <c r="D20" s="9">
        <f t="shared" si="3"/>
        <v>2.599149497892711E-2</v>
      </c>
      <c r="E20" s="9">
        <f t="shared" si="4"/>
        <v>3.8243976122237955E-2</v>
      </c>
      <c r="F20" s="9">
        <f t="shared" si="5"/>
        <v>6.9511334747864306E-2</v>
      </c>
      <c r="G20" s="9">
        <f t="shared" si="6"/>
        <v>-2.0710276262544958E-3</v>
      </c>
      <c r="H20" s="9">
        <f t="shared" si="7"/>
        <v>0.11628021479765188</v>
      </c>
      <c r="J20" s="9" t="s">
        <v>18</v>
      </c>
      <c r="K20" s="8">
        <f t="shared" si="9"/>
        <v>5.1374452578199836E-2</v>
      </c>
      <c r="L20" s="8">
        <f t="shared" si="9"/>
        <v>5.341339972167998E-2</v>
      </c>
      <c r="M20" s="8">
        <f t="shared" si="9"/>
        <v>6.2085807918484129E-2</v>
      </c>
      <c r="N20" s="8">
        <f t="shared" si="9"/>
        <v>6.3985288529964546E-2</v>
      </c>
      <c r="O20" s="8">
        <f t="shared" si="9"/>
        <v>3.6112034699578653E-2</v>
      </c>
      <c r="P20" s="8">
        <f t="shared" si="9"/>
        <v>5.5468289416712724E-2</v>
      </c>
    </row>
    <row r="21" spans="2:16" x14ac:dyDescent="0.3">
      <c r="B21" s="9" t="s">
        <v>26</v>
      </c>
      <c r="C21" s="9">
        <f t="shared" si="2"/>
        <v>-3.3338721674319949E-2</v>
      </c>
      <c r="D21" s="9">
        <f t="shared" si="3"/>
        <v>-4.4218663469103969E-2</v>
      </c>
      <c r="E21" s="9">
        <f t="shared" si="4"/>
        <v>-8.4529444391238551E-2</v>
      </c>
      <c r="F21" s="9">
        <f t="shared" si="5"/>
        <v>-0.1076504179059129</v>
      </c>
      <c r="G21" s="9">
        <f t="shared" si="6"/>
        <v>3.8010403713328089E-2</v>
      </c>
      <c r="H21" s="9">
        <f t="shared" si="7"/>
        <v>-9.7462902685521602E-2</v>
      </c>
      <c r="J21" s="9" t="s">
        <v>26</v>
      </c>
      <c r="K21" s="8">
        <f t="shared" si="9"/>
        <v>0.96632166954394094</v>
      </c>
      <c r="L21" s="8">
        <f t="shared" si="9"/>
        <v>0.97456057854989941</v>
      </c>
      <c r="M21" s="8">
        <f t="shared" si="9"/>
        <v>1.0050861881754785</v>
      </c>
      <c r="N21" s="8">
        <f t="shared" si="9"/>
        <v>1.022594700675785</v>
      </c>
      <c r="O21" s="8">
        <f t="shared" si="9"/>
        <v>0.91229206508361349</v>
      </c>
      <c r="P21" s="8">
        <f t="shared" si="9"/>
        <v>1.0148801363443967</v>
      </c>
    </row>
    <row r="22" spans="2:16" x14ac:dyDescent="0.3">
      <c r="J22" s="14" t="s">
        <v>47</v>
      </c>
      <c r="K22" s="13">
        <f>SUM(K13:K21)</f>
        <v>1.0311636991231281</v>
      </c>
      <c r="L22" s="13">
        <f t="shared" ref="L22:P22" si="10">SUM(L13:L21)</f>
        <v>1.0421171257208612</v>
      </c>
      <c r="M22" s="13">
        <f t="shared" si="10"/>
        <v>1.0848678920171457</v>
      </c>
      <c r="N22" s="13">
        <f t="shared" si="10"/>
        <v>1.1021364683437609</v>
      </c>
      <c r="O22" s="13">
        <f t="shared" si="10"/>
        <v>0.95607049146886913</v>
      </c>
      <c r="P22" s="13">
        <f t="shared" si="10"/>
        <v>1.0810676238990582</v>
      </c>
    </row>
    <row r="23" spans="2:16" x14ac:dyDescent="0.3">
      <c r="J23" s="15" t="s">
        <v>48</v>
      </c>
      <c r="K23" s="16">
        <f>1-K22</f>
        <v>-3.1163699123128108E-2</v>
      </c>
      <c r="L23" s="16">
        <f t="shared" ref="L23:P23" si="11">1-L22</f>
        <v>-4.2117125720861237E-2</v>
      </c>
      <c r="M23" s="16">
        <f t="shared" si="11"/>
        <v>-8.486789201714573E-2</v>
      </c>
      <c r="N23" s="16">
        <f t="shared" si="11"/>
        <v>-0.10213646834376089</v>
      </c>
      <c r="O23" s="16">
        <f t="shared" si="11"/>
        <v>4.3929508531130868E-2</v>
      </c>
      <c r="P23" s="16">
        <f t="shared" si="11"/>
        <v>-8.1067623899058194E-2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ITUIUTABA</vt:lpstr>
      <vt:lpstr>PATROCÍNIO-MONTE CARMELO</vt:lpstr>
      <vt:lpstr>UBERLÂNDIA-ARAGUARI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2025-04-25T00:57:24Z</dcterms:created>
  <dcterms:modified xsi:type="dcterms:W3CDTF">2025-05-03T23:45:33Z</dcterms:modified>
</cp:coreProperties>
</file>