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gineco/"/>
    </mc:Choice>
  </mc:AlternateContent>
  <xr:revisionPtr revIDLastSave="92" documentId="8_{DCBCD7F7-56AA-4F53-AEB2-C476F72D480A}" xr6:coauthVersionLast="47" xr6:coauthVersionMax="47" xr10:uidLastSave="{7FA6331F-57E0-437D-ACC7-81D919868AE3}"/>
  <bookViews>
    <workbookView xWindow="-108" yWindow="-108" windowWidth="23256" windowHeight="12456" xr2:uid="{BEDDCC82-91A3-4128-9439-6FAA85F8CDBD}"/>
  </bookViews>
  <sheets>
    <sheet name="BOCAIUVA" sheetId="1" r:id="rId1"/>
    <sheet name="BRASÍLIA DE MINAS" sheetId="2" r:id="rId2"/>
    <sheet name="CORAÇÃO DE JESUS" sheetId="3" r:id="rId3"/>
    <sheet name="FRANCISCO SÁ" sheetId="4" r:id="rId4"/>
    <sheet name="JANAÚBA - MONTE AZUL" sheetId="5" r:id="rId5"/>
    <sheet name="JANUÁRIA" sheetId="6" r:id="rId6"/>
    <sheet name="MANGA" sheetId="7" r:id="rId7"/>
    <sheet name="MONTES CLAROS" sheetId="8" r:id="rId8"/>
    <sheet name="PIRAPORA" sheetId="9" r:id="rId9"/>
    <sheet name="SALINAS" sheetId="10" r:id="rId10"/>
    <sheet name="TAIOBEIRA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8" l="1"/>
  <c r="J4" i="8" s="1"/>
  <c r="J5" i="8" s="1"/>
  <c r="J6" i="8" s="1"/>
  <c r="J7" i="8" s="1"/>
  <c r="P14" i="11"/>
  <c r="O14" i="11"/>
  <c r="N14" i="11"/>
  <c r="M14" i="11"/>
  <c r="L14" i="11"/>
  <c r="K14" i="11"/>
  <c r="P10" i="10"/>
  <c r="O10" i="10"/>
  <c r="N10" i="10"/>
  <c r="M10" i="10"/>
  <c r="L10" i="10"/>
  <c r="K10" i="10"/>
  <c r="P11" i="9"/>
  <c r="O11" i="9"/>
  <c r="N11" i="9"/>
  <c r="M11" i="9"/>
  <c r="L11" i="9"/>
  <c r="K11" i="9"/>
  <c r="P10" i="8"/>
  <c r="O10" i="8"/>
  <c r="N10" i="8"/>
  <c r="M10" i="8"/>
  <c r="L10" i="8"/>
  <c r="K10" i="8"/>
  <c r="P9" i="7"/>
  <c r="O9" i="7"/>
  <c r="N9" i="7"/>
  <c r="M9" i="7"/>
  <c r="L9" i="7"/>
  <c r="K9" i="7"/>
  <c r="P9" i="6"/>
  <c r="O9" i="6"/>
  <c r="N9" i="6"/>
  <c r="M9" i="6"/>
  <c r="L9" i="6"/>
  <c r="K9" i="6"/>
  <c r="P19" i="5"/>
  <c r="O19" i="5"/>
  <c r="N19" i="5"/>
  <c r="M19" i="5"/>
  <c r="L19" i="5"/>
  <c r="K19" i="5"/>
  <c r="P10" i="4"/>
  <c r="O10" i="4"/>
  <c r="N10" i="4"/>
  <c r="M10" i="4"/>
  <c r="L10" i="4"/>
  <c r="K10" i="4"/>
  <c r="P9" i="3"/>
  <c r="O9" i="3"/>
  <c r="N9" i="3"/>
  <c r="M9" i="3"/>
  <c r="L9" i="3"/>
  <c r="K9" i="3"/>
  <c r="K29" i="2"/>
  <c r="P24" i="2"/>
  <c r="P19" i="2"/>
  <c r="O19" i="2"/>
  <c r="N19" i="2"/>
  <c r="M19" i="2"/>
  <c r="L19" i="2"/>
  <c r="K19" i="2"/>
  <c r="P13" i="1"/>
  <c r="P10" i="1"/>
  <c r="O10" i="1"/>
  <c r="N10" i="1"/>
  <c r="M10" i="1"/>
  <c r="L10" i="1"/>
  <c r="K10" i="1"/>
  <c r="H15" i="11"/>
  <c r="H16" i="11"/>
  <c r="H17" i="11"/>
  <c r="H18" i="11"/>
  <c r="H19" i="11"/>
  <c r="H20" i="11"/>
  <c r="H21" i="11"/>
  <c r="H22" i="11"/>
  <c r="H23" i="11"/>
  <c r="H14" i="11"/>
  <c r="G15" i="11"/>
  <c r="G16" i="11"/>
  <c r="G17" i="11"/>
  <c r="G18" i="11"/>
  <c r="G19" i="11"/>
  <c r="G20" i="11"/>
  <c r="G21" i="11"/>
  <c r="G22" i="11"/>
  <c r="G23" i="11"/>
  <c r="G14" i="11"/>
  <c r="F15" i="11"/>
  <c r="F16" i="11"/>
  <c r="F17" i="11"/>
  <c r="F18" i="11"/>
  <c r="F19" i="11"/>
  <c r="F20" i="11"/>
  <c r="F21" i="11"/>
  <c r="F22" i="11"/>
  <c r="F23" i="11"/>
  <c r="F14" i="11"/>
  <c r="E15" i="11"/>
  <c r="E16" i="11"/>
  <c r="E17" i="11"/>
  <c r="E18" i="11"/>
  <c r="E19" i="11"/>
  <c r="E20" i="11"/>
  <c r="E21" i="11"/>
  <c r="E22" i="11"/>
  <c r="E23" i="11"/>
  <c r="E14" i="11"/>
  <c r="D15" i="11"/>
  <c r="D16" i="11"/>
  <c r="D17" i="11"/>
  <c r="D18" i="11"/>
  <c r="D19" i="11"/>
  <c r="D20" i="11"/>
  <c r="D21" i="11"/>
  <c r="D22" i="11"/>
  <c r="D23" i="11"/>
  <c r="D14" i="11"/>
  <c r="C20" i="11"/>
  <c r="C21" i="11"/>
  <c r="C22" i="11"/>
  <c r="C23" i="11"/>
  <c r="C15" i="11"/>
  <c r="C16" i="11"/>
  <c r="C17" i="11"/>
  <c r="C18" i="11"/>
  <c r="C19" i="11"/>
  <c r="C14" i="11"/>
  <c r="P3" i="11"/>
  <c r="P4" i="11" s="1"/>
  <c r="P5" i="11" s="1"/>
  <c r="P6" i="11" s="1"/>
  <c r="P7" i="11" s="1"/>
  <c r="P8" i="11" s="1"/>
  <c r="P9" i="11" s="1"/>
  <c r="P10" i="11" s="1"/>
  <c r="P11" i="11" s="1"/>
  <c r="O3" i="11"/>
  <c r="O4" i="11" s="1"/>
  <c r="O5" i="11" s="1"/>
  <c r="O6" i="11" s="1"/>
  <c r="O7" i="11" s="1"/>
  <c r="O8" i="11" s="1"/>
  <c r="O9" i="11" s="1"/>
  <c r="O10" i="11" s="1"/>
  <c r="O11" i="11" s="1"/>
  <c r="N3" i="11"/>
  <c r="N4" i="11" s="1"/>
  <c r="N5" i="11" s="1"/>
  <c r="N6" i="11" s="1"/>
  <c r="N7" i="11" s="1"/>
  <c r="N8" i="11" s="1"/>
  <c r="N9" i="11" s="1"/>
  <c r="N10" i="11" s="1"/>
  <c r="N11" i="11" s="1"/>
  <c r="M3" i="11"/>
  <c r="M4" i="11" s="1"/>
  <c r="M5" i="11" s="1"/>
  <c r="M6" i="11" s="1"/>
  <c r="M7" i="11" s="1"/>
  <c r="M8" i="11" s="1"/>
  <c r="M9" i="11" s="1"/>
  <c r="M10" i="11" s="1"/>
  <c r="M11" i="11" s="1"/>
  <c r="L3" i="11"/>
  <c r="L4" i="11" s="1"/>
  <c r="L5" i="11" s="1"/>
  <c r="L6" i="11" s="1"/>
  <c r="L7" i="11" s="1"/>
  <c r="L8" i="11" s="1"/>
  <c r="L9" i="11" s="1"/>
  <c r="L10" i="11" s="1"/>
  <c r="L11" i="11" s="1"/>
  <c r="K3" i="11"/>
  <c r="K4" i="11" s="1"/>
  <c r="K5" i="11" s="1"/>
  <c r="K6" i="11" s="1"/>
  <c r="K7" i="11" s="1"/>
  <c r="K8" i="11" s="1"/>
  <c r="K9" i="11" s="1"/>
  <c r="K10" i="11" s="1"/>
  <c r="K11" i="11" s="1"/>
  <c r="J3" i="11"/>
  <c r="J4" i="11" s="1"/>
  <c r="J5" i="11" s="1"/>
  <c r="J6" i="11" s="1"/>
  <c r="J7" i="11" s="1"/>
  <c r="J8" i="11" s="1"/>
  <c r="J9" i="11" s="1"/>
  <c r="J10" i="11" s="1"/>
  <c r="J11" i="11" s="1"/>
  <c r="K23" i="11" s="1"/>
  <c r="H15" i="10"/>
  <c r="G15" i="10"/>
  <c r="F15" i="10"/>
  <c r="E15" i="10"/>
  <c r="D15" i="10"/>
  <c r="C15" i="10"/>
  <c r="H14" i="10"/>
  <c r="G14" i="10"/>
  <c r="F14" i="10"/>
  <c r="E14" i="10"/>
  <c r="D14" i="10"/>
  <c r="C14" i="10"/>
  <c r="H13" i="10"/>
  <c r="G13" i="10"/>
  <c r="F13" i="10"/>
  <c r="E13" i="10"/>
  <c r="D13" i="10"/>
  <c r="C13" i="10"/>
  <c r="H12" i="10"/>
  <c r="G12" i="10"/>
  <c r="F12" i="10"/>
  <c r="E12" i="10"/>
  <c r="D12" i="10"/>
  <c r="C12" i="10"/>
  <c r="H11" i="10"/>
  <c r="G11" i="10"/>
  <c r="F11" i="10"/>
  <c r="E11" i="10"/>
  <c r="D11" i="10"/>
  <c r="C11" i="10"/>
  <c r="H10" i="10"/>
  <c r="G10" i="10"/>
  <c r="F10" i="10"/>
  <c r="E10" i="10"/>
  <c r="D10" i="10"/>
  <c r="C10" i="10"/>
  <c r="P3" i="10"/>
  <c r="P4" i="10" s="1"/>
  <c r="P5" i="10" s="1"/>
  <c r="P6" i="10" s="1"/>
  <c r="P7" i="10" s="1"/>
  <c r="O3" i="10"/>
  <c r="O4" i="10" s="1"/>
  <c r="O5" i="10" s="1"/>
  <c r="O6" i="10" s="1"/>
  <c r="O7" i="10" s="1"/>
  <c r="N3" i="10"/>
  <c r="N4" i="10" s="1"/>
  <c r="N5" i="10" s="1"/>
  <c r="N6" i="10" s="1"/>
  <c r="N7" i="10" s="1"/>
  <c r="N15" i="10" s="1"/>
  <c r="M3" i="10"/>
  <c r="M4" i="10" s="1"/>
  <c r="M5" i="10" s="1"/>
  <c r="M6" i="10" s="1"/>
  <c r="M7" i="10" s="1"/>
  <c r="L3" i="10"/>
  <c r="L4" i="10" s="1"/>
  <c r="L5" i="10" s="1"/>
  <c r="L6" i="10" s="1"/>
  <c r="L7" i="10" s="1"/>
  <c r="K3" i="10"/>
  <c r="K4" i="10" s="1"/>
  <c r="K5" i="10" s="1"/>
  <c r="K6" i="10" s="1"/>
  <c r="K7" i="10" s="1"/>
  <c r="J3" i="10"/>
  <c r="J4" i="10" s="1"/>
  <c r="J5" i="10" s="1"/>
  <c r="J6" i="10" s="1"/>
  <c r="J7" i="10" s="1"/>
  <c r="H17" i="9"/>
  <c r="G17" i="9"/>
  <c r="F17" i="9"/>
  <c r="E17" i="9"/>
  <c r="D17" i="9"/>
  <c r="C17" i="9"/>
  <c r="H16" i="9"/>
  <c r="G16" i="9"/>
  <c r="F16" i="9"/>
  <c r="E16" i="9"/>
  <c r="D16" i="9"/>
  <c r="C16" i="9"/>
  <c r="H15" i="9"/>
  <c r="G15" i="9"/>
  <c r="F15" i="9"/>
  <c r="E15" i="9"/>
  <c r="D15" i="9"/>
  <c r="C15" i="9"/>
  <c r="H14" i="9"/>
  <c r="G14" i="9"/>
  <c r="F14" i="9"/>
  <c r="E14" i="9"/>
  <c r="D14" i="9"/>
  <c r="C14" i="9"/>
  <c r="H13" i="9"/>
  <c r="G13" i="9"/>
  <c r="F13" i="9"/>
  <c r="E13" i="9"/>
  <c r="D13" i="9"/>
  <c r="C13" i="9"/>
  <c r="H12" i="9"/>
  <c r="G12" i="9"/>
  <c r="F12" i="9"/>
  <c r="E12" i="9"/>
  <c r="D12" i="9"/>
  <c r="C12" i="9"/>
  <c r="H11" i="9"/>
  <c r="G11" i="9"/>
  <c r="F11" i="9"/>
  <c r="E11" i="9"/>
  <c r="D11" i="9"/>
  <c r="C11" i="9"/>
  <c r="P3" i="9"/>
  <c r="P4" i="9" s="1"/>
  <c r="P5" i="9" s="1"/>
  <c r="P6" i="9" s="1"/>
  <c r="P7" i="9" s="1"/>
  <c r="P8" i="9" s="1"/>
  <c r="O3" i="9"/>
  <c r="O4" i="9" s="1"/>
  <c r="O5" i="9" s="1"/>
  <c r="O6" i="9" s="1"/>
  <c r="O7" i="9" s="1"/>
  <c r="O8" i="9" s="1"/>
  <c r="N3" i="9"/>
  <c r="N4" i="9" s="1"/>
  <c r="N5" i="9" s="1"/>
  <c r="N6" i="9" s="1"/>
  <c r="N7" i="9" s="1"/>
  <c r="N8" i="9" s="1"/>
  <c r="M3" i="9"/>
  <c r="M4" i="9" s="1"/>
  <c r="M5" i="9" s="1"/>
  <c r="M6" i="9" s="1"/>
  <c r="M7" i="9" s="1"/>
  <c r="M8" i="9" s="1"/>
  <c r="L3" i="9"/>
  <c r="L4" i="9" s="1"/>
  <c r="L5" i="9" s="1"/>
  <c r="L6" i="9" s="1"/>
  <c r="L7" i="9" s="1"/>
  <c r="L8" i="9" s="1"/>
  <c r="K3" i="9"/>
  <c r="K4" i="9" s="1"/>
  <c r="K5" i="9" s="1"/>
  <c r="K6" i="9" s="1"/>
  <c r="K7" i="9" s="1"/>
  <c r="K8" i="9" s="1"/>
  <c r="J3" i="9"/>
  <c r="J4" i="9" s="1"/>
  <c r="J5" i="9" s="1"/>
  <c r="J6" i="9" s="1"/>
  <c r="J7" i="9" s="1"/>
  <c r="J8" i="9" s="1"/>
  <c r="H15" i="8"/>
  <c r="G15" i="8"/>
  <c r="F15" i="8"/>
  <c r="E15" i="8"/>
  <c r="D15" i="8"/>
  <c r="C15" i="8"/>
  <c r="H14" i="8"/>
  <c r="G14" i="8"/>
  <c r="F14" i="8"/>
  <c r="E14" i="8"/>
  <c r="D14" i="8"/>
  <c r="C14" i="8"/>
  <c r="H13" i="8"/>
  <c r="G13" i="8"/>
  <c r="F13" i="8"/>
  <c r="E13" i="8"/>
  <c r="D13" i="8"/>
  <c r="C13" i="8"/>
  <c r="H12" i="8"/>
  <c r="G12" i="8"/>
  <c r="F12" i="8"/>
  <c r="E12" i="8"/>
  <c r="D12" i="8"/>
  <c r="C12" i="8"/>
  <c r="H11" i="8"/>
  <c r="G11" i="8"/>
  <c r="F11" i="8"/>
  <c r="E11" i="8"/>
  <c r="D11" i="8"/>
  <c r="C11" i="8"/>
  <c r="H10" i="8"/>
  <c r="G10" i="8"/>
  <c r="F10" i="8"/>
  <c r="E10" i="8"/>
  <c r="D10" i="8"/>
  <c r="C10" i="8"/>
  <c r="P3" i="8"/>
  <c r="P4" i="8" s="1"/>
  <c r="P5" i="8" s="1"/>
  <c r="P6" i="8" s="1"/>
  <c r="P7" i="8" s="1"/>
  <c r="O3" i="8"/>
  <c r="O4" i="8" s="1"/>
  <c r="O5" i="8" s="1"/>
  <c r="O6" i="8" s="1"/>
  <c r="O7" i="8" s="1"/>
  <c r="N3" i="8"/>
  <c r="N4" i="8" s="1"/>
  <c r="N5" i="8" s="1"/>
  <c r="N6" i="8" s="1"/>
  <c r="N7" i="8" s="1"/>
  <c r="M3" i="8"/>
  <c r="M4" i="8" s="1"/>
  <c r="M5" i="8" s="1"/>
  <c r="M6" i="8" s="1"/>
  <c r="M7" i="8" s="1"/>
  <c r="L3" i="8"/>
  <c r="L4" i="8" s="1"/>
  <c r="L5" i="8" s="1"/>
  <c r="L6" i="8" s="1"/>
  <c r="L7" i="8" s="1"/>
  <c r="K3" i="8"/>
  <c r="K4" i="8" s="1"/>
  <c r="K5" i="8" s="1"/>
  <c r="K6" i="8" s="1"/>
  <c r="K7" i="8" s="1"/>
  <c r="H13" i="7"/>
  <c r="G13" i="7"/>
  <c r="F13" i="7"/>
  <c r="E13" i="7"/>
  <c r="D13" i="7"/>
  <c r="C13" i="7"/>
  <c r="H12" i="7"/>
  <c r="G12" i="7"/>
  <c r="F12" i="7"/>
  <c r="E12" i="7"/>
  <c r="D12" i="7"/>
  <c r="C12" i="7"/>
  <c r="H11" i="7"/>
  <c r="G11" i="7"/>
  <c r="F11" i="7"/>
  <c r="E11" i="7"/>
  <c r="D11" i="7"/>
  <c r="C11" i="7"/>
  <c r="H10" i="7"/>
  <c r="G10" i="7"/>
  <c r="F10" i="7"/>
  <c r="E10" i="7"/>
  <c r="D10" i="7"/>
  <c r="C10" i="7"/>
  <c r="H9" i="7"/>
  <c r="G9" i="7"/>
  <c r="F9" i="7"/>
  <c r="E9" i="7"/>
  <c r="D9" i="7"/>
  <c r="C9" i="7"/>
  <c r="P3" i="7"/>
  <c r="P4" i="7" s="1"/>
  <c r="P5" i="7" s="1"/>
  <c r="P6" i="7" s="1"/>
  <c r="O3" i="7"/>
  <c r="O4" i="7" s="1"/>
  <c r="O5" i="7" s="1"/>
  <c r="O6" i="7" s="1"/>
  <c r="N3" i="7"/>
  <c r="N4" i="7" s="1"/>
  <c r="N5" i="7" s="1"/>
  <c r="N6" i="7" s="1"/>
  <c r="M3" i="7"/>
  <c r="M4" i="7" s="1"/>
  <c r="M5" i="7" s="1"/>
  <c r="M6" i="7" s="1"/>
  <c r="L3" i="7"/>
  <c r="L4" i="7" s="1"/>
  <c r="L5" i="7" s="1"/>
  <c r="L6" i="7" s="1"/>
  <c r="K3" i="7"/>
  <c r="K4" i="7" s="1"/>
  <c r="K5" i="7" s="1"/>
  <c r="K6" i="7" s="1"/>
  <c r="J3" i="7"/>
  <c r="J4" i="7" s="1"/>
  <c r="J5" i="7" s="1"/>
  <c r="J6" i="7" s="1"/>
  <c r="P13" i="7" s="1"/>
  <c r="H13" i="6"/>
  <c r="G13" i="6"/>
  <c r="F13" i="6"/>
  <c r="E13" i="6"/>
  <c r="D13" i="6"/>
  <c r="C13" i="6"/>
  <c r="H12" i="6"/>
  <c r="G12" i="6"/>
  <c r="F12" i="6"/>
  <c r="E12" i="6"/>
  <c r="D12" i="6"/>
  <c r="C12" i="6"/>
  <c r="H11" i="6"/>
  <c r="G11" i="6"/>
  <c r="F11" i="6"/>
  <c r="E11" i="6"/>
  <c r="D11" i="6"/>
  <c r="C11" i="6"/>
  <c r="H10" i="6"/>
  <c r="G10" i="6"/>
  <c r="F10" i="6"/>
  <c r="E10" i="6"/>
  <c r="D10" i="6"/>
  <c r="C10" i="6"/>
  <c r="H9" i="6"/>
  <c r="G9" i="6"/>
  <c r="F9" i="6"/>
  <c r="E9" i="6"/>
  <c r="D9" i="6"/>
  <c r="C9" i="6"/>
  <c r="P3" i="6"/>
  <c r="P4" i="6" s="1"/>
  <c r="P5" i="6" s="1"/>
  <c r="P6" i="6" s="1"/>
  <c r="O3" i="6"/>
  <c r="O4" i="6" s="1"/>
  <c r="O5" i="6" s="1"/>
  <c r="O6" i="6" s="1"/>
  <c r="N3" i="6"/>
  <c r="N4" i="6" s="1"/>
  <c r="N5" i="6" s="1"/>
  <c r="N6" i="6" s="1"/>
  <c r="M3" i="6"/>
  <c r="M4" i="6" s="1"/>
  <c r="M5" i="6" s="1"/>
  <c r="M6" i="6" s="1"/>
  <c r="L3" i="6"/>
  <c r="L4" i="6" s="1"/>
  <c r="L5" i="6" s="1"/>
  <c r="L6" i="6" s="1"/>
  <c r="K3" i="6"/>
  <c r="K4" i="6" s="1"/>
  <c r="K5" i="6" s="1"/>
  <c r="K6" i="6" s="1"/>
  <c r="J3" i="6"/>
  <c r="J4" i="6" s="1"/>
  <c r="J5" i="6" s="1"/>
  <c r="J6" i="6" s="1"/>
  <c r="H33" i="5"/>
  <c r="G33" i="5"/>
  <c r="F33" i="5"/>
  <c r="E33" i="5"/>
  <c r="D33" i="5"/>
  <c r="C33" i="5"/>
  <c r="H32" i="5"/>
  <c r="G32" i="5"/>
  <c r="F32" i="5"/>
  <c r="E32" i="5"/>
  <c r="D32" i="5"/>
  <c r="C32" i="5"/>
  <c r="H31" i="5"/>
  <c r="G31" i="5"/>
  <c r="F31" i="5"/>
  <c r="E31" i="5"/>
  <c r="D31" i="5"/>
  <c r="C31" i="5"/>
  <c r="H30" i="5"/>
  <c r="G30" i="5"/>
  <c r="F30" i="5"/>
  <c r="E30" i="5"/>
  <c r="D30" i="5"/>
  <c r="C30" i="5"/>
  <c r="H29" i="5"/>
  <c r="G29" i="5"/>
  <c r="F29" i="5"/>
  <c r="E29" i="5"/>
  <c r="D29" i="5"/>
  <c r="C29" i="5"/>
  <c r="H28" i="5"/>
  <c r="G28" i="5"/>
  <c r="F28" i="5"/>
  <c r="E28" i="5"/>
  <c r="D28" i="5"/>
  <c r="C28" i="5"/>
  <c r="H27" i="5"/>
  <c r="G27" i="5"/>
  <c r="F27" i="5"/>
  <c r="E27" i="5"/>
  <c r="D27" i="5"/>
  <c r="C27" i="5"/>
  <c r="H26" i="5"/>
  <c r="G26" i="5"/>
  <c r="F26" i="5"/>
  <c r="E26" i="5"/>
  <c r="D26" i="5"/>
  <c r="C26" i="5"/>
  <c r="H25" i="5"/>
  <c r="G25" i="5"/>
  <c r="F25" i="5"/>
  <c r="E25" i="5"/>
  <c r="D25" i="5"/>
  <c r="C25" i="5"/>
  <c r="H24" i="5"/>
  <c r="G24" i="5"/>
  <c r="F24" i="5"/>
  <c r="E24" i="5"/>
  <c r="D24" i="5"/>
  <c r="C24" i="5"/>
  <c r="H23" i="5"/>
  <c r="G23" i="5"/>
  <c r="F23" i="5"/>
  <c r="E23" i="5"/>
  <c r="D23" i="5"/>
  <c r="C23" i="5"/>
  <c r="H22" i="5"/>
  <c r="G22" i="5"/>
  <c r="F22" i="5"/>
  <c r="E22" i="5"/>
  <c r="D22" i="5"/>
  <c r="C22" i="5"/>
  <c r="H21" i="5"/>
  <c r="G21" i="5"/>
  <c r="F21" i="5"/>
  <c r="E21" i="5"/>
  <c r="D21" i="5"/>
  <c r="C21" i="5"/>
  <c r="H20" i="5"/>
  <c r="G20" i="5"/>
  <c r="F20" i="5"/>
  <c r="E20" i="5"/>
  <c r="D20" i="5"/>
  <c r="C20" i="5"/>
  <c r="H19" i="5"/>
  <c r="G19" i="5"/>
  <c r="F19" i="5"/>
  <c r="E19" i="5"/>
  <c r="D19" i="5"/>
  <c r="C19" i="5"/>
  <c r="P3" i="5"/>
  <c r="P4" i="5" s="1"/>
  <c r="P5" i="5" s="1"/>
  <c r="O3" i="5"/>
  <c r="O4" i="5" s="1"/>
  <c r="O5" i="5" s="1"/>
  <c r="O6" i="5" s="1"/>
  <c r="O7" i="5" s="1"/>
  <c r="O8" i="5" s="1"/>
  <c r="O9" i="5" s="1"/>
  <c r="O10" i="5" s="1"/>
  <c r="O11" i="5" s="1"/>
  <c r="O12" i="5" s="1"/>
  <c r="O13" i="5" s="1"/>
  <c r="O14" i="5" s="1"/>
  <c r="O15" i="5" s="1"/>
  <c r="O16" i="5" s="1"/>
  <c r="N3" i="5"/>
  <c r="N4" i="5" s="1"/>
  <c r="N5" i="5" s="1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M3" i="5"/>
  <c r="M4" i="5" s="1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L3" i="5"/>
  <c r="L4" i="5" s="1"/>
  <c r="L5" i="5" s="1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K3" i="5"/>
  <c r="K4" i="5" s="1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H15" i="4"/>
  <c r="G15" i="4"/>
  <c r="F15" i="4"/>
  <c r="E15" i="4"/>
  <c r="D15" i="4"/>
  <c r="C15" i="4"/>
  <c r="H14" i="4"/>
  <c r="G14" i="4"/>
  <c r="F14" i="4"/>
  <c r="E14" i="4"/>
  <c r="D14" i="4"/>
  <c r="C14" i="4"/>
  <c r="H13" i="4"/>
  <c r="G13" i="4"/>
  <c r="F13" i="4"/>
  <c r="E13" i="4"/>
  <c r="D13" i="4"/>
  <c r="C13" i="4"/>
  <c r="H12" i="4"/>
  <c r="G12" i="4"/>
  <c r="F12" i="4"/>
  <c r="E12" i="4"/>
  <c r="D12" i="4"/>
  <c r="C12" i="4"/>
  <c r="H11" i="4"/>
  <c r="G11" i="4"/>
  <c r="F11" i="4"/>
  <c r="E11" i="4"/>
  <c r="D11" i="4"/>
  <c r="C11" i="4"/>
  <c r="H10" i="4"/>
  <c r="G10" i="4"/>
  <c r="F10" i="4"/>
  <c r="E10" i="4"/>
  <c r="D10" i="4"/>
  <c r="C10" i="4"/>
  <c r="P3" i="4"/>
  <c r="P4" i="4" s="1"/>
  <c r="P5" i="4" s="1"/>
  <c r="P6" i="4" s="1"/>
  <c r="P7" i="4" s="1"/>
  <c r="O3" i="4"/>
  <c r="O4" i="4" s="1"/>
  <c r="O5" i="4" s="1"/>
  <c r="O6" i="4" s="1"/>
  <c r="O7" i="4" s="1"/>
  <c r="N3" i="4"/>
  <c r="N4" i="4" s="1"/>
  <c r="N5" i="4" s="1"/>
  <c r="N6" i="4" s="1"/>
  <c r="N7" i="4" s="1"/>
  <c r="M3" i="4"/>
  <c r="M4" i="4" s="1"/>
  <c r="M5" i="4" s="1"/>
  <c r="M6" i="4" s="1"/>
  <c r="M7" i="4" s="1"/>
  <c r="L3" i="4"/>
  <c r="L4" i="4" s="1"/>
  <c r="L5" i="4" s="1"/>
  <c r="L6" i="4" s="1"/>
  <c r="L7" i="4" s="1"/>
  <c r="K3" i="4"/>
  <c r="K4" i="4" s="1"/>
  <c r="K5" i="4" s="1"/>
  <c r="K6" i="4" s="1"/>
  <c r="K7" i="4" s="1"/>
  <c r="J3" i="4"/>
  <c r="J4" i="4" s="1"/>
  <c r="J5" i="4" s="1"/>
  <c r="J6" i="4" s="1"/>
  <c r="J7" i="4" s="1"/>
  <c r="H13" i="3"/>
  <c r="G13" i="3"/>
  <c r="F13" i="3"/>
  <c r="E13" i="3"/>
  <c r="D13" i="3"/>
  <c r="C13" i="3"/>
  <c r="H12" i="3"/>
  <c r="G12" i="3"/>
  <c r="F12" i="3"/>
  <c r="E12" i="3"/>
  <c r="D12" i="3"/>
  <c r="C12" i="3"/>
  <c r="H11" i="3"/>
  <c r="G11" i="3"/>
  <c r="F11" i="3"/>
  <c r="E11" i="3"/>
  <c r="D11" i="3"/>
  <c r="C11" i="3"/>
  <c r="H10" i="3"/>
  <c r="G10" i="3"/>
  <c r="F10" i="3"/>
  <c r="E10" i="3"/>
  <c r="D10" i="3"/>
  <c r="C10" i="3"/>
  <c r="H9" i="3"/>
  <c r="G9" i="3"/>
  <c r="F9" i="3"/>
  <c r="E9" i="3"/>
  <c r="D9" i="3"/>
  <c r="C9" i="3"/>
  <c r="P3" i="3"/>
  <c r="P4" i="3" s="1"/>
  <c r="P5" i="3" s="1"/>
  <c r="P6" i="3" s="1"/>
  <c r="O3" i="3"/>
  <c r="O4" i="3" s="1"/>
  <c r="O5" i="3" s="1"/>
  <c r="O6" i="3" s="1"/>
  <c r="N3" i="3"/>
  <c r="N4" i="3" s="1"/>
  <c r="N5" i="3" s="1"/>
  <c r="N6" i="3" s="1"/>
  <c r="M3" i="3"/>
  <c r="M4" i="3" s="1"/>
  <c r="M5" i="3" s="1"/>
  <c r="M6" i="3" s="1"/>
  <c r="L3" i="3"/>
  <c r="L4" i="3" s="1"/>
  <c r="L5" i="3" s="1"/>
  <c r="L6" i="3" s="1"/>
  <c r="K3" i="3"/>
  <c r="K4" i="3" s="1"/>
  <c r="K5" i="3" s="1"/>
  <c r="K6" i="3" s="1"/>
  <c r="J3" i="3"/>
  <c r="J4" i="3" s="1"/>
  <c r="J5" i="3" s="1"/>
  <c r="J6" i="3" s="1"/>
  <c r="P13" i="3" s="1"/>
  <c r="H33" i="2"/>
  <c r="G33" i="2"/>
  <c r="F33" i="2"/>
  <c r="E33" i="2"/>
  <c r="D33" i="2"/>
  <c r="C33" i="2"/>
  <c r="H32" i="2"/>
  <c r="G32" i="2"/>
  <c r="F32" i="2"/>
  <c r="E32" i="2"/>
  <c r="D32" i="2"/>
  <c r="C32" i="2"/>
  <c r="H31" i="2"/>
  <c r="G31" i="2"/>
  <c r="F31" i="2"/>
  <c r="E31" i="2"/>
  <c r="D31" i="2"/>
  <c r="C31" i="2"/>
  <c r="H30" i="2"/>
  <c r="G30" i="2"/>
  <c r="F30" i="2"/>
  <c r="E30" i="2"/>
  <c r="D30" i="2"/>
  <c r="C30" i="2"/>
  <c r="H29" i="2"/>
  <c r="G29" i="2"/>
  <c r="F29" i="2"/>
  <c r="E29" i="2"/>
  <c r="D29" i="2"/>
  <c r="C29" i="2"/>
  <c r="H28" i="2"/>
  <c r="G28" i="2"/>
  <c r="F28" i="2"/>
  <c r="E28" i="2"/>
  <c r="D28" i="2"/>
  <c r="C28" i="2"/>
  <c r="H27" i="2"/>
  <c r="G27" i="2"/>
  <c r="F27" i="2"/>
  <c r="E27" i="2"/>
  <c r="D27" i="2"/>
  <c r="C27" i="2"/>
  <c r="H26" i="2"/>
  <c r="G26" i="2"/>
  <c r="F26" i="2"/>
  <c r="E26" i="2"/>
  <c r="D26" i="2"/>
  <c r="C26" i="2"/>
  <c r="H25" i="2"/>
  <c r="G25" i="2"/>
  <c r="F25" i="2"/>
  <c r="E25" i="2"/>
  <c r="D25" i="2"/>
  <c r="C25" i="2"/>
  <c r="H24" i="2"/>
  <c r="G24" i="2"/>
  <c r="F24" i="2"/>
  <c r="E24" i="2"/>
  <c r="D24" i="2"/>
  <c r="C24" i="2"/>
  <c r="H23" i="2"/>
  <c r="G23" i="2"/>
  <c r="F23" i="2"/>
  <c r="E23" i="2"/>
  <c r="D23" i="2"/>
  <c r="C23" i="2"/>
  <c r="H22" i="2"/>
  <c r="G22" i="2"/>
  <c r="F22" i="2"/>
  <c r="E22" i="2"/>
  <c r="D22" i="2"/>
  <c r="C22" i="2"/>
  <c r="H21" i="2"/>
  <c r="G21" i="2"/>
  <c r="F21" i="2"/>
  <c r="E21" i="2"/>
  <c r="D21" i="2"/>
  <c r="C21" i="2"/>
  <c r="H20" i="2"/>
  <c r="G20" i="2"/>
  <c r="F20" i="2"/>
  <c r="E20" i="2"/>
  <c r="D20" i="2"/>
  <c r="C20" i="2"/>
  <c r="H19" i="2"/>
  <c r="G19" i="2"/>
  <c r="F19" i="2"/>
  <c r="E19" i="2"/>
  <c r="D19" i="2"/>
  <c r="C19" i="2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N3" i="2"/>
  <c r="N4" i="2" s="1"/>
  <c r="N5" i="2" s="1"/>
  <c r="N6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12" i="1"/>
  <c r="G12" i="1"/>
  <c r="F12" i="1"/>
  <c r="E12" i="1"/>
  <c r="D12" i="1"/>
  <c r="C12" i="1"/>
  <c r="H11" i="1"/>
  <c r="G11" i="1"/>
  <c r="F11" i="1"/>
  <c r="E11" i="1"/>
  <c r="D11" i="1"/>
  <c r="C11" i="1"/>
  <c r="H10" i="1"/>
  <c r="G10" i="1"/>
  <c r="F10" i="1"/>
  <c r="E10" i="1"/>
  <c r="D10" i="1"/>
  <c r="C10" i="1"/>
  <c r="P3" i="1"/>
  <c r="P4" i="1" s="1"/>
  <c r="P5" i="1" s="1"/>
  <c r="P6" i="1" s="1"/>
  <c r="P7" i="1" s="1"/>
  <c r="O3" i="1"/>
  <c r="O4" i="1" s="1"/>
  <c r="O5" i="1" s="1"/>
  <c r="O6" i="1" s="1"/>
  <c r="O7" i="1" s="1"/>
  <c r="N3" i="1"/>
  <c r="N4" i="1" s="1"/>
  <c r="N5" i="1" s="1"/>
  <c r="N6" i="1" s="1"/>
  <c r="N7" i="1" s="1"/>
  <c r="M3" i="1"/>
  <c r="M4" i="1" s="1"/>
  <c r="M5" i="1" s="1"/>
  <c r="M6" i="1" s="1"/>
  <c r="M7" i="1" s="1"/>
  <c r="L3" i="1"/>
  <c r="L4" i="1" s="1"/>
  <c r="L5" i="1" s="1"/>
  <c r="L6" i="1" s="1"/>
  <c r="L7" i="1" s="1"/>
  <c r="K3" i="1"/>
  <c r="K4" i="1" s="1"/>
  <c r="K5" i="1" s="1"/>
  <c r="K6" i="1" s="1"/>
  <c r="K7" i="1" s="1"/>
  <c r="J3" i="1"/>
  <c r="J4" i="1" s="1"/>
  <c r="J5" i="1" s="1"/>
  <c r="J6" i="1" s="1"/>
  <c r="J7" i="1" s="1"/>
  <c r="O15" i="11" l="1"/>
  <c r="P22" i="11"/>
  <c r="L20" i="11"/>
  <c r="P18" i="11"/>
  <c r="L16" i="11"/>
  <c r="P15" i="11"/>
  <c r="O22" i="11"/>
  <c r="M21" i="11"/>
  <c r="K20" i="11"/>
  <c r="O18" i="11"/>
  <c r="M17" i="11"/>
  <c r="K16" i="11"/>
  <c r="P23" i="11"/>
  <c r="N22" i="11"/>
  <c r="L21" i="11"/>
  <c r="P19" i="11"/>
  <c r="N18" i="11"/>
  <c r="L17" i="11"/>
  <c r="O23" i="11"/>
  <c r="M22" i="11"/>
  <c r="K21" i="11"/>
  <c r="O19" i="11"/>
  <c r="M18" i="11"/>
  <c r="K17" i="11"/>
  <c r="N21" i="11"/>
  <c r="K15" i="11"/>
  <c r="N23" i="11"/>
  <c r="L22" i="11"/>
  <c r="P20" i="11"/>
  <c r="N19" i="11"/>
  <c r="L18" i="11"/>
  <c r="P16" i="11"/>
  <c r="N17" i="11"/>
  <c r="L15" i="11"/>
  <c r="M23" i="11"/>
  <c r="K22" i="11"/>
  <c r="O20" i="11"/>
  <c r="M19" i="11"/>
  <c r="K18" i="11"/>
  <c r="O16" i="11"/>
  <c r="O24" i="11" s="1"/>
  <c r="M15" i="11"/>
  <c r="L23" i="11"/>
  <c r="P21" i="11"/>
  <c r="N20" i="11"/>
  <c r="L19" i="11"/>
  <c r="P17" i="11"/>
  <c r="N16" i="11"/>
  <c r="N15" i="11"/>
  <c r="O21" i="11"/>
  <c r="M20" i="11"/>
  <c r="K19" i="11"/>
  <c r="O17" i="11"/>
  <c r="M16" i="11"/>
  <c r="P11" i="10"/>
  <c r="M13" i="10"/>
  <c r="K12" i="10"/>
  <c r="P12" i="10"/>
  <c r="O15" i="10"/>
  <c r="L13" i="10"/>
  <c r="P15" i="10"/>
  <c r="P17" i="9"/>
  <c r="O16" i="9"/>
  <c r="N15" i="9"/>
  <c r="O12" i="9"/>
  <c r="K14" i="9"/>
  <c r="L14" i="9"/>
  <c r="M15" i="9"/>
  <c r="P15" i="8"/>
  <c r="O11" i="7"/>
  <c r="K13" i="7"/>
  <c r="K10" i="6"/>
  <c r="P13" i="6"/>
  <c r="P12" i="6"/>
  <c r="L10" i="6"/>
  <c r="O12" i="6"/>
  <c r="N33" i="5"/>
  <c r="P6" i="5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22" i="5"/>
  <c r="L24" i="5"/>
  <c r="L28" i="5"/>
  <c r="P30" i="5"/>
  <c r="L32" i="5"/>
  <c r="M32" i="5"/>
  <c r="P33" i="5"/>
  <c r="L20" i="5"/>
  <c r="O15" i="4"/>
  <c r="L15" i="4"/>
  <c r="K11" i="4"/>
  <c r="P15" i="4"/>
  <c r="K12" i="4"/>
  <c r="M12" i="4"/>
  <c r="N12" i="4"/>
  <c r="N14" i="4"/>
  <c r="K15" i="4"/>
  <c r="M11" i="3"/>
  <c r="N11" i="3"/>
  <c r="P12" i="3"/>
  <c r="O12" i="3"/>
  <c r="K10" i="3"/>
  <c r="P33" i="2"/>
  <c r="M23" i="2"/>
  <c r="O28" i="2"/>
  <c r="K33" i="2"/>
  <c r="O24" i="2"/>
  <c r="P28" i="2"/>
  <c r="P20" i="2"/>
  <c r="K25" i="2"/>
  <c r="K30" i="2"/>
  <c r="K21" i="2"/>
  <c r="K26" i="2"/>
  <c r="L30" i="2"/>
  <c r="K22" i="2"/>
  <c r="L26" i="2"/>
  <c r="M30" i="2"/>
  <c r="O20" i="2"/>
  <c r="L22" i="2"/>
  <c r="M26" i="2"/>
  <c r="M31" i="2"/>
  <c r="M22" i="2"/>
  <c r="M27" i="2"/>
  <c r="O32" i="2"/>
  <c r="P11" i="1"/>
  <c r="O15" i="1"/>
  <c r="K15" i="1"/>
  <c r="K11" i="1"/>
  <c r="L15" i="1"/>
  <c r="L11" i="1"/>
  <c r="P15" i="1"/>
  <c r="M12" i="1"/>
  <c r="L13" i="1"/>
  <c r="O13" i="1"/>
  <c r="L12" i="8"/>
  <c r="N12" i="8"/>
  <c r="K14" i="8"/>
  <c r="P14" i="8"/>
  <c r="M12" i="8"/>
  <c r="L14" i="8"/>
  <c r="O12" i="8"/>
  <c r="K15" i="8"/>
  <c r="K11" i="8"/>
  <c r="P12" i="8"/>
  <c r="L15" i="8"/>
  <c r="L11" i="8"/>
  <c r="N13" i="8"/>
  <c r="M15" i="8"/>
  <c r="M11" i="8"/>
  <c r="O13" i="8"/>
  <c r="N15" i="8"/>
  <c r="N11" i="8"/>
  <c r="P13" i="8"/>
  <c r="O11" i="8"/>
  <c r="K13" i="8"/>
  <c r="M14" i="8"/>
  <c r="O15" i="8"/>
  <c r="P11" i="8"/>
  <c r="L13" i="8"/>
  <c r="N14" i="8"/>
  <c r="K12" i="8"/>
  <c r="M13" i="8"/>
  <c r="O14" i="8"/>
  <c r="O14" i="10"/>
  <c r="L12" i="10"/>
  <c r="N13" i="10"/>
  <c r="P14" i="10"/>
  <c r="K11" i="10"/>
  <c r="M12" i="10"/>
  <c r="O13" i="10"/>
  <c r="K15" i="10"/>
  <c r="N14" i="10"/>
  <c r="L11" i="10"/>
  <c r="N12" i="10"/>
  <c r="P13" i="10"/>
  <c r="L15" i="10"/>
  <c r="M11" i="10"/>
  <c r="O12" i="10"/>
  <c r="K14" i="10"/>
  <c r="M15" i="10"/>
  <c r="N11" i="10"/>
  <c r="L14" i="10"/>
  <c r="O11" i="10"/>
  <c r="K13" i="10"/>
  <c r="M14" i="10"/>
  <c r="P12" i="9"/>
  <c r="P16" i="9"/>
  <c r="K13" i="9"/>
  <c r="M14" i="9"/>
  <c r="O15" i="9"/>
  <c r="K17" i="9"/>
  <c r="L13" i="9"/>
  <c r="N14" i="9"/>
  <c r="P15" i="9"/>
  <c r="L17" i="9"/>
  <c r="K12" i="9"/>
  <c r="M13" i="9"/>
  <c r="O14" i="9"/>
  <c r="K16" i="9"/>
  <c r="M17" i="9"/>
  <c r="L12" i="9"/>
  <c r="N13" i="9"/>
  <c r="P14" i="9"/>
  <c r="L16" i="9"/>
  <c r="N17" i="9"/>
  <c r="M12" i="9"/>
  <c r="O13" i="9"/>
  <c r="K15" i="9"/>
  <c r="M16" i="9"/>
  <c r="O17" i="9"/>
  <c r="N12" i="9"/>
  <c r="P13" i="9"/>
  <c r="L15" i="9"/>
  <c r="N16" i="9"/>
  <c r="M10" i="7"/>
  <c r="K10" i="7"/>
  <c r="M11" i="7"/>
  <c r="O12" i="7"/>
  <c r="L10" i="7"/>
  <c r="N11" i="7"/>
  <c r="P12" i="7"/>
  <c r="N10" i="7"/>
  <c r="P11" i="7"/>
  <c r="L13" i="7"/>
  <c r="O10" i="7"/>
  <c r="K12" i="7"/>
  <c r="M13" i="7"/>
  <c r="P10" i="7"/>
  <c r="L12" i="7"/>
  <c r="N13" i="7"/>
  <c r="K11" i="7"/>
  <c r="M12" i="7"/>
  <c r="O13" i="7"/>
  <c r="L11" i="7"/>
  <c r="N12" i="7"/>
  <c r="M10" i="6"/>
  <c r="O11" i="6"/>
  <c r="K13" i="6"/>
  <c r="N10" i="6"/>
  <c r="P11" i="6"/>
  <c r="L13" i="6"/>
  <c r="N11" i="6"/>
  <c r="O10" i="6"/>
  <c r="K12" i="6"/>
  <c r="M13" i="6"/>
  <c r="P10" i="6"/>
  <c r="L12" i="6"/>
  <c r="N13" i="6"/>
  <c r="M11" i="6"/>
  <c r="K11" i="6"/>
  <c r="M12" i="6"/>
  <c r="O13" i="6"/>
  <c r="L11" i="6"/>
  <c r="N12" i="6"/>
  <c r="O20" i="5"/>
  <c r="K26" i="5"/>
  <c r="O32" i="5"/>
  <c r="P20" i="5"/>
  <c r="L22" i="5"/>
  <c r="N23" i="5"/>
  <c r="P24" i="5"/>
  <c r="L26" i="5"/>
  <c r="N27" i="5"/>
  <c r="P28" i="5"/>
  <c r="L30" i="5"/>
  <c r="N31" i="5"/>
  <c r="K22" i="5"/>
  <c r="O24" i="5"/>
  <c r="M27" i="5"/>
  <c r="O28" i="5"/>
  <c r="K21" i="5"/>
  <c r="M22" i="5"/>
  <c r="O23" i="5"/>
  <c r="K25" i="5"/>
  <c r="M26" i="5"/>
  <c r="O27" i="5"/>
  <c r="K29" i="5"/>
  <c r="M30" i="5"/>
  <c r="O31" i="5"/>
  <c r="K33" i="5"/>
  <c r="N21" i="5"/>
  <c r="N25" i="5"/>
  <c r="M23" i="5"/>
  <c r="M31" i="5"/>
  <c r="L21" i="5"/>
  <c r="N22" i="5"/>
  <c r="P23" i="5"/>
  <c r="L25" i="5"/>
  <c r="N26" i="5"/>
  <c r="P27" i="5"/>
  <c r="L29" i="5"/>
  <c r="N30" i="5"/>
  <c r="P31" i="5"/>
  <c r="L33" i="5"/>
  <c r="N29" i="5"/>
  <c r="K30" i="5"/>
  <c r="K20" i="5"/>
  <c r="M21" i="5"/>
  <c r="O22" i="5"/>
  <c r="K24" i="5"/>
  <c r="M25" i="5"/>
  <c r="O26" i="5"/>
  <c r="K28" i="5"/>
  <c r="M29" i="5"/>
  <c r="O30" i="5"/>
  <c r="K32" i="5"/>
  <c r="M33" i="5"/>
  <c r="M20" i="5"/>
  <c r="O21" i="5"/>
  <c r="K23" i="5"/>
  <c r="M24" i="5"/>
  <c r="O25" i="5"/>
  <c r="K27" i="5"/>
  <c r="M28" i="5"/>
  <c r="O29" i="5"/>
  <c r="K31" i="5"/>
  <c r="O33" i="5"/>
  <c r="N20" i="5"/>
  <c r="P21" i="5"/>
  <c r="L23" i="5"/>
  <c r="N24" i="5"/>
  <c r="P25" i="5"/>
  <c r="L27" i="5"/>
  <c r="N28" i="5"/>
  <c r="P29" i="5"/>
  <c r="L31" i="5"/>
  <c r="N32" i="5"/>
  <c r="M13" i="4"/>
  <c r="O14" i="4"/>
  <c r="L12" i="4"/>
  <c r="N13" i="4"/>
  <c r="P14" i="4"/>
  <c r="L11" i="4"/>
  <c r="P13" i="4"/>
  <c r="O13" i="4"/>
  <c r="M11" i="4"/>
  <c r="O12" i="4"/>
  <c r="K14" i="4"/>
  <c r="M15" i="4"/>
  <c r="N11" i="4"/>
  <c r="P12" i="4"/>
  <c r="L14" i="4"/>
  <c r="N15" i="4"/>
  <c r="O11" i="4"/>
  <c r="K13" i="4"/>
  <c r="M14" i="4"/>
  <c r="P11" i="4"/>
  <c r="L13" i="4"/>
  <c r="M10" i="3"/>
  <c r="O11" i="3"/>
  <c r="K13" i="3"/>
  <c r="N10" i="3"/>
  <c r="P11" i="3"/>
  <c r="L13" i="3"/>
  <c r="O10" i="3"/>
  <c r="K12" i="3"/>
  <c r="M13" i="3"/>
  <c r="L10" i="3"/>
  <c r="P10" i="3"/>
  <c r="L12" i="3"/>
  <c r="N13" i="3"/>
  <c r="K11" i="3"/>
  <c r="K14" i="3" s="1"/>
  <c r="K15" i="3" s="1"/>
  <c r="M12" i="3"/>
  <c r="O13" i="3"/>
  <c r="L11" i="3"/>
  <c r="N12" i="3"/>
  <c r="N7" i="2"/>
  <c r="N8" i="2" s="1"/>
  <c r="N9" i="2" s="1"/>
  <c r="N10" i="2" s="1"/>
  <c r="N23" i="2"/>
  <c r="P32" i="2"/>
  <c r="L21" i="2"/>
  <c r="N22" i="2"/>
  <c r="P23" i="2"/>
  <c r="L25" i="2"/>
  <c r="P27" i="2"/>
  <c r="L29" i="2"/>
  <c r="P31" i="2"/>
  <c r="L33" i="2"/>
  <c r="K20" i="2"/>
  <c r="M21" i="2"/>
  <c r="O22" i="2"/>
  <c r="K24" i="2"/>
  <c r="M25" i="2"/>
  <c r="O26" i="2"/>
  <c r="K28" i="2"/>
  <c r="M29" i="2"/>
  <c r="O30" i="2"/>
  <c r="K32" i="2"/>
  <c r="M33" i="2"/>
  <c r="O23" i="2"/>
  <c r="O31" i="2"/>
  <c r="L20" i="2"/>
  <c r="L34" i="2" s="1"/>
  <c r="L35" i="2" s="1"/>
  <c r="N21" i="2"/>
  <c r="P22" i="2"/>
  <c r="L24" i="2"/>
  <c r="P26" i="2"/>
  <c r="L28" i="2"/>
  <c r="P30" i="2"/>
  <c r="L32" i="2"/>
  <c r="M20" i="2"/>
  <c r="O21" i="2"/>
  <c r="K23" i="2"/>
  <c r="M24" i="2"/>
  <c r="O25" i="2"/>
  <c r="K27" i="2"/>
  <c r="M28" i="2"/>
  <c r="O29" i="2"/>
  <c r="K31" i="2"/>
  <c r="M32" i="2"/>
  <c r="O33" i="2"/>
  <c r="O27" i="2"/>
  <c r="N20" i="2"/>
  <c r="P21" i="2"/>
  <c r="L23" i="2"/>
  <c r="N24" i="2"/>
  <c r="P25" i="2"/>
  <c r="L27" i="2"/>
  <c r="P29" i="2"/>
  <c r="L31" i="2"/>
  <c r="K12" i="1"/>
  <c r="M13" i="1"/>
  <c r="O14" i="1"/>
  <c r="N14" i="1"/>
  <c r="L12" i="1"/>
  <c r="N13" i="1"/>
  <c r="P14" i="1"/>
  <c r="P16" i="1" s="1"/>
  <c r="P17" i="1" s="1"/>
  <c r="N12" i="1"/>
  <c r="M11" i="1"/>
  <c r="O12" i="1"/>
  <c r="K14" i="1"/>
  <c r="M15" i="1"/>
  <c r="N11" i="1"/>
  <c r="P12" i="1"/>
  <c r="L14" i="1"/>
  <c r="N15" i="1"/>
  <c r="O11" i="1"/>
  <c r="K13" i="1"/>
  <c r="M14" i="1"/>
  <c r="N18" i="9" l="1"/>
  <c r="N19" i="9" s="1"/>
  <c r="K24" i="11"/>
  <c r="K25" i="11" s="1"/>
  <c r="L24" i="11"/>
  <c r="L25" i="11" s="1"/>
  <c r="M24" i="11"/>
  <c r="M25" i="11" s="1"/>
  <c r="N24" i="11"/>
  <c r="N25" i="11" s="1"/>
  <c r="P24" i="11"/>
  <c r="P25" i="11" s="1"/>
  <c r="O16" i="10"/>
  <c r="O17" i="10" s="1"/>
  <c r="P16" i="10"/>
  <c r="P17" i="10" s="1"/>
  <c r="N16" i="10"/>
  <c r="N17" i="10" s="1"/>
  <c r="O18" i="9"/>
  <c r="O19" i="9" s="1"/>
  <c r="K14" i="7"/>
  <c r="K15" i="7" s="1"/>
  <c r="N14" i="7"/>
  <c r="N15" i="7" s="1"/>
  <c r="K14" i="6"/>
  <c r="K15" i="6" s="1"/>
  <c r="L14" i="6"/>
  <c r="L15" i="6" s="1"/>
  <c r="O14" i="6"/>
  <c r="O15" i="6" s="1"/>
  <c r="N14" i="6"/>
  <c r="N15" i="6" s="1"/>
  <c r="P14" i="6"/>
  <c r="P15" i="6" s="1"/>
  <c r="P34" i="5"/>
  <c r="P35" i="5" s="1"/>
  <c r="P26" i="5"/>
  <c r="M34" i="5"/>
  <c r="M35" i="5" s="1"/>
  <c r="P32" i="5"/>
  <c r="L34" i="5"/>
  <c r="L35" i="5" s="1"/>
  <c r="O16" i="4"/>
  <c r="O17" i="4" s="1"/>
  <c r="K16" i="4"/>
  <c r="K17" i="4" s="1"/>
  <c r="M16" i="4"/>
  <c r="M17" i="4" s="1"/>
  <c r="O14" i="3"/>
  <c r="O15" i="3" s="1"/>
  <c r="P14" i="3"/>
  <c r="P15" i="3" s="1"/>
  <c r="N26" i="2"/>
  <c r="N25" i="2"/>
  <c r="O34" i="2"/>
  <c r="O35" i="2" s="1"/>
  <c r="M34" i="2"/>
  <c r="M35" i="2" s="1"/>
  <c r="K16" i="1"/>
  <c r="K17" i="1" s="1"/>
  <c r="N16" i="8"/>
  <c r="N17" i="8" s="1"/>
  <c r="K16" i="8"/>
  <c r="K17" i="8" s="1"/>
  <c r="L16" i="8"/>
  <c r="L17" i="8" s="1"/>
  <c r="P16" i="8"/>
  <c r="P17" i="8" s="1"/>
  <c r="O16" i="8"/>
  <c r="O17" i="8" s="1"/>
  <c r="M16" i="8"/>
  <c r="M17" i="8" s="1"/>
  <c r="O25" i="11"/>
  <c r="M16" i="10"/>
  <c r="M17" i="10" s="1"/>
  <c r="K16" i="10"/>
  <c r="K17" i="10" s="1"/>
  <c r="L16" i="10"/>
  <c r="L17" i="10" s="1"/>
  <c r="K18" i="9"/>
  <c r="K19" i="9" s="1"/>
  <c r="M18" i="9"/>
  <c r="M19" i="9" s="1"/>
  <c r="L18" i="9"/>
  <c r="L19" i="9" s="1"/>
  <c r="P18" i="9"/>
  <c r="P19" i="9" s="1"/>
  <c r="P14" i="7"/>
  <c r="P15" i="7" s="1"/>
  <c r="L14" i="7"/>
  <c r="L15" i="7" s="1"/>
  <c r="O14" i="7"/>
  <c r="O15" i="7" s="1"/>
  <c r="M14" i="7"/>
  <c r="M15" i="7" s="1"/>
  <c r="M14" i="6"/>
  <c r="M15" i="6" s="1"/>
  <c r="K34" i="5"/>
  <c r="K35" i="5" s="1"/>
  <c r="N34" i="5"/>
  <c r="N35" i="5" s="1"/>
  <c r="O34" i="5"/>
  <c r="O35" i="5" s="1"/>
  <c r="L16" i="4"/>
  <c r="L17" i="4" s="1"/>
  <c r="P16" i="4"/>
  <c r="P17" i="4" s="1"/>
  <c r="N16" i="4"/>
  <c r="N17" i="4" s="1"/>
  <c r="N14" i="3"/>
  <c r="N15" i="3" s="1"/>
  <c r="L14" i="3"/>
  <c r="L15" i="3" s="1"/>
  <c r="M14" i="3"/>
  <c r="M15" i="3" s="1"/>
  <c r="K34" i="2"/>
  <c r="K35" i="2" s="1"/>
  <c r="P34" i="2"/>
  <c r="P35" i="2" s="1"/>
  <c r="N11" i="2"/>
  <c r="N27" i="2"/>
  <c r="N16" i="1"/>
  <c r="N17" i="1" s="1"/>
  <c r="L16" i="1"/>
  <c r="L17" i="1" s="1"/>
  <c r="O16" i="1"/>
  <c r="O17" i="1" s="1"/>
  <c r="M16" i="1"/>
  <c r="M17" i="1" s="1"/>
  <c r="N12" i="2" l="1"/>
  <c r="N28" i="2"/>
  <c r="N13" i="2" l="1"/>
  <c r="N29" i="2"/>
  <c r="N14" i="2" l="1"/>
  <c r="N30" i="2"/>
  <c r="N15" i="2" l="1"/>
  <c r="N31" i="2"/>
  <c r="N16" i="2" l="1"/>
  <c r="N33" i="2" s="1"/>
  <c r="N34" i="2" s="1"/>
  <c r="N35" i="2" s="1"/>
  <c r="N32" i="2"/>
</calcChain>
</file>

<file path=xl/sharedStrings.xml><?xml version="1.0" encoding="utf-8"?>
<sst xmlns="http://schemas.openxmlformats.org/spreadsheetml/2006/main" count="604" uniqueCount="109">
  <si>
    <t>BOCAIÚVA</t>
  </si>
  <si>
    <t>ENGENHEIRO NAVARRO</t>
  </si>
  <si>
    <t>FRANCISCO DUMONT</t>
  </si>
  <si>
    <t>GUARACIAMA</t>
  </si>
  <si>
    <t>JOAQUIM FELÍCIO</t>
  </si>
  <si>
    <t>OLHOS-D'ÁGUA</t>
  </si>
  <si>
    <t>BRASÍLIA DE MINAS</t>
  </si>
  <si>
    <t>CAMPO AZUL</t>
  </si>
  <si>
    <t>IBIRACATU</t>
  </si>
  <si>
    <t>ICARAÍ DE MINAS</t>
  </si>
  <si>
    <t>JAPONVAR</t>
  </si>
  <si>
    <t>LONTRA</t>
  </si>
  <si>
    <t>LUISLÂNDIA</t>
  </si>
  <si>
    <t>PATIS</t>
  </si>
  <si>
    <t>PINTÓPOLIS</t>
  </si>
  <si>
    <t>SÃO FRANCISCO</t>
  </si>
  <si>
    <t>SÃO JOÃO DA PONTE</t>
  </si>
  <si>
    <t>SÃO ROMÃO</t>
  </si>
  <si>
    <t>UBAÍ</t>
  </si>
  <si>
    <t>URUCUIA</t>
  </si>
  <si>
    <t>VARZELÂNDIA</t>
  </si>
  <si>
    <t>CORAÇÃO DE JESUS</t>
  </si>
  <si>
    <t>JEQUITAÍ</t>
  </si>
  <si>
    <t>LAGOA DOS PATOS</t>
  </si>
  <si>
    <t>SÃO JOÃO DA LAGOA</t>
  </si>
  <si>
    <t>SÃO JOÃO DO PACUÍ</t>
  </si>
  <si>
    <t>FRANCISCO SÁ</t>
  </si>
  <si>
    <t>BOTUMIRIM</t>
  </si>
  <si>
    <t>CAPITÃO ENÉAS</t>
  </si>
  <si>
    <t>CRISTÁLIA</t>
  </si>
  <si>
    <t>GRÃO MOGOL</t>
  </si>
  <si>
    <t>JOSENÓPOLIS</t>
  </si>
  <si>
    <t>CATUTI</t>
  </si>
  <si>
    <t>ESPINOSA</t>
  </si>
  <si>
    <t>GAMELEIRAS</t>
  </si>
  <si>
    <t>JAÍBA</t>
  </si>
  <si>
    <t>JANAÚBA</t>
  </si>
  <si>
    <t>MAMONAS</t>
  </si>
  <si>
    <t>MATIAS CARDOSO</t>
  </si>
  <si>
    <t>MATO VERDE</t>
  </si>
  <si>
    <t>MONTE AZUL</t>
  </si>
  <si>
    <t>NOVA PORTEIRINHA</t>
  </si>
  <si>
    <t>PAI PEDRO</t>
  </si>
  <si>
    <t>PORTEIRINHA</t>
  </si>
  <si>
    <t>RIACHO DOS MACHADOS</t>
  </si>
  <si>
    <t>SERRANÓPOLIS DE MINAS</t>
  </si>
  <si>
    <t>VERDELÂNDIA</t>
  </si>
  <si>
    <t>JANUÁRIA</t>
  </si>
  <si>
    <t>BONITO DE MINAS</t>
  </si>
  <si>
    <t>CÔNEGO MARINHO</t>
  </si>
  <si>
    <t>ITACARAMBI</t>
  </si>
  <si>
    <t>PEDRAS DE MARIA DA CRUZ</t>
  </si>
  <si>
    <t>MANGA</t>
  </si>
  <si>
    <t>JUVENÍLIA</t>
  </si>
  <si>
    <t>MIRAVÂNIA</t>
  </si>
  <si>
    <t>MONTALVÂNIA</t>
  </si>
  <si>
    <t>SÃO JOÃO DAS MISSÕES</t>
  </si>
  <si>
    <t>MONTES CLAROS</t>
  </si>
  <si>
    <t>CLARO DOS POÇÕES</t>
  </si>
  <si>
    <t>GLAUCILÂNDIA</t>
  </si>
  <si>
    <t>ITACAMBIRA</t>
  </si>
  <si>
    <t>JURAMENTO</t>
  </si>
  <si>
    <t>MIRABELA</t>
  </si>
  <si>
    <t>PIRAPORA</t>
  </si>
  <si>
    <t>BURITIZEIRO</t>
  </si>
  <si>
    <t>IBIAÍ</t>
  </si>
  <si>
    <t>LASSANCE</t>
  </si>
  <si>
    <t>PONTO CHIQUE</t>
  </si>
  <si>
    <t>SANTA FÉ DE MINAS</t>
  </si>
  <si>
    <t>VÁRZEA DA PALMA</t>
  </si>
  <si>
    <t>SALINAS</t>
  </si>
  <si>
    <t>FRUTA DE LEITE</t>
  </si>
  <si>
    <t>NOVORIZONTE</t>
  </si>
  <si>
    <t>PADRE CARVALHO</t>
  </si>
  <si>
    <t>RUBELITA</t>
  </si>
  <si>
    <t>SANTA CRUZ DE SALINAS</t>
  </si>
  <si>
    <t>TAIOBEIRAS</t>
  </si>
  <si>
    <t>BERIZAL</t>
  </si>
  <si>
    <t>CURRAL DE DENTRO</t>
  </si>
  <si>
    <t>INDAIABIRA</t>
  </si>
  <si>
    <t>MONTEZUMA</t>
  </si>
  <si>
    <t>NINHEIRA</t>
  </si>
  <si>
    <t>RIO PARDO DE MINAS</t>
  </si>
  <si>
    <t>SANTO ANTÔNIO DO RETIRO</t>
  </si>
  <si>
    <t>SÃO JOÃO DO PARAÍSO</t>
  </si>
  <si>
    <t>VARGEM GRANDE DO RIO PARDO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</si>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</sst>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2" fontId="1" fillId="3" borderId="1" xfId="0" applyNumberFormat="1" applyFont="1" applyFill="1" applyBorder="1" applyAlignment="1">
      <alignment vertical="center"/>
    </xf>
    <xf numFmtId="2" fontId="1" fillId="4" borderId="1" xfId="0" applyNumberFormat="1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vertical="center"/>
    </xf>
    <xf numFmtId="2" fontId="1" fillId="6" borderId="1" xfId="0" applyNumberFormat="1" applyFont="1" applyFill="1" applyBorder="1" applyAlignment="1">
      <alignment horizontal="left" vertical="center" wrapText="1"/>
    </xf>
    <xf numFmtId="2" fontId="1" fillId="7" borderId="1" xfId="0" applyNumberFormat="1" applyFont="1" applyFill="1" applyBorder="1" applyAlignment="1">
      <alignment vertical="center" wrapText="1"/>
    </xf>
    <xf numFmtId="2" fontId="1" fillId="6" borderId="1" xfId="0" applyNumberFormat="1" applyFont="1" applyFill="1" applyBorder="1" applyAlignment="1">
      <alignment vertical="center" wrapText="1"/>
    </xf>
    <xf numFmtId="2" fontId="0" fillId="0" borderId="1" xfId="0" applyNumberFormat="1" applyBorder="1"/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2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BOCAIUVA!$J$1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BOCAIUVA!$J$2:$J$7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63-48D8-AD54-9C97B62622BD}"/>
            </c:ext>
          </c:extLst>
        </c:ser>
        <c:ser>
          <c:idx val="1"/>
          <c:order val="1"/>
          <c:tx>
            <c:strRef>
              <c:f>BOCAIUVA!$K$1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BOCAIUVA!$K$2:$K$7</c:f>
              <c:numCache>
                <c:formatCode>0.00</c:formatCode>
                <c:ptCount val="6"/>
                <c:pt idx="0">
                  <c:v>5.1724137931034482E-2</c:v>
                </c:pt>
                <c:pt idx="1">
                  <c:v>0.13218390804597702</c:v>
                </c:pt>
                <c:pt idx="2">
                  <c:v>0.17816091954022989</c:v>
                </c:pt>
                <c:pt idx="3">
                  <c:v>0.25862068965517243</c:v>
                </c:pt>
                <c:pt idx="4">
                  <c:v>0.31609195402298851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63-48D8-AD54-9C97B62622BD}"/>
            </c:ext>
          </c:extLst>
        </c:ser>
        <c:ser>
          <c:idx val="2"/>
          <c:order val="2"/>
          <c:tx>
            <c:strRef>
              <c:f>BOCAIUVA!$L$1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BOCAIUVA!$L$2:$L$7</c:f>
              <c:numCache>
                <c:formatCode>0.00</c:formatCode>
                <c:ptCount val="6"/>
                <c:pt idx="0">
                  <c:v>0.17948717948717949</c:v>
                </c:pt>
                <c:pt idx="1">
                  <c:v>0.20512820512820512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0.35897435897435898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63-48D8-AD54-9C97B62622BD}"/>
            </c:ext>
          </c:extLst>
        </c:ser>
        <c:ser>
          <c:idx val="3"/>
          <c:order val="3"/>
          <c:tx>
            <c:strRef>
              <c:f>BOCAIUVA!$M$1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BOCAIUVA!$M$2:$M$7</c:f>
              <c:numCache>
                <c:formatCode>0.00</c:formatCode>
                <c:ptCount val="6"/>
                <c:pt idx="0">
                  <c:v>0</c:v>
                </c:pt>
                <c:pt idx="1">
                  <c:v>7.0707070707070704E-2</c:v>
                </c:pt>
                <c:pt idx="2">
                  <c:v>0.10101010101010101</c:v>
                </c:pt>
                <c:pt idx="3">
                  <c:v>0.18181818181818182</c:v>
                </c:pt>
                <c:pt idx="4">
                  <c:v>0.20202020202020202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A63-48D8-AD54-9C97B6262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019696"/>
        <c:axId val="388076944"/>
      </c:scatterChart>
      <c:valAx>
        <c:axId val="4150196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076944"/>
        <c:crosses val="autoZero"/>
        <c:crossBetween val="midCat"/>
      </c:valAx>
      <c:valAx>
        <c:axId val="3880769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019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BOCAIUVA!$J$1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BOCAIUVA!$J$2:$J$7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2A-47AB-82D9-F0E2DC1CDF08}"/>
            </c:ext>
          </c:extLst>
        </c:ser>
        <c:ser>
          <c:idx val="1"/>
          <c:order val="1"/>
          <c:tx>
            <c:strRef>
              <c:f>BOCAIUVA!$N$1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BOCAIUVA!$N$2:$N$7</c:f>
              <c:numCache>
                <c:formatCode>0.00</c:formatCode>
                <c:ptCount val="6"/>
                <c:pt idx="0">
                  <c:v>0.11320754716981132</c:v>
                </c:pt>
                <c:pt idx="1">
                  <c:v>0.17358490566037738</c:v>
                </c:pt>
                <c:pt idx="2">
                  <c:v>0.19245283018867926</c:v>
                </c:pt>
                <c:pt idx="3">
                  <c:v>0.2905660377358491</c:v>
                </c:pt>
                <c:pt idx="4">
                  <c:v>0.4037735849056604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2A-47AB-82D9-F0E2DC1CDF08}"/>
            </c:ext>
          </c:extLst>
        </c:ser>
        <c:ser>
          <c:idx val="2"/>
          <c:order val="2"/>
          <c:tx>
            <c:strRef>
              <c:f>BOCAIUVA!$O$1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BOCAIUVA!$O$2:$O$7</c:f>
              <c:numCache>
                <c:formatCode>0.00</c:formatCode>
                <c:ptCount val="6"/>
                <c:pt idx="0">
                  <c:v>9.7297297297297303E-2</c:v>
                </c:pt>
                <c:pt idx="1">
                  <c:v>0.16216216216216217</c:v>
                </c:pt>
                <c:pt idx="2">
                  <c:v>0.17837837837837839</c:v>
                </c:pt>
                <c:pt idx="3">
                  <c:v>0.2810810810810811</c:v>
                </c:pt>
                <c:pt idx="4">
                  <c:v>0.4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2A-47AB-82D9-F0E2DC1CDF08}"/>
            </c:ext>
          </c:extLst>
        </c:ser>
        <c:ser>
          <c:idx val="3"/>
          <c:order val="3"/>
          <c:tx>
            <c:strRef>
              <c:f>BOCAIUVA!$P$1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BOCAIUVA!$P$2:$P$7</c:f>
              <c:numCache>
                <c:formatCode>0.00</c:formatCode>
                <c:ptCount val="6"/>
                <c:pt idx="0">
                  <c:v>0.13392857142857142</c:v>
                </c:pt>
                <c:pt idx="1">
                  <c:v>0.16964285714285715</c:v>
                </c:pt>
                <c:pt idx="2">
                  <c:v>0.1875</c:v>
                </c:pt>
                <c:pt idx="3">
                  <c:v>0.33035714285714285</c:v>
                </c:pt>
                <c:pt idx="4">
                  <c:v>0.3839285714285714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D2A-47AB-82D9-F0E2DC1CD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871616"/>
        <c:axId val="544870176"/>
      </c:scatterChart>
      <c:valAx>
        <c:axId val="5448716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870176"/>
        <c:crosses val="autoZero"/>
        <c:crossBetween val="midCat"/>
      </c:valAx>
      <c:valAx>
        <c:axId val="5448701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871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'BRASÍLIA DE MINAS'!$J$1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MINAS'!$J$2:$J$16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49-4B28-8D39-D249243E6BC2}"/>
            </c:ext>
          </c:extLst>
        </c:ser>
        <c:ser>
          <c:idx val="1"/>
          <c:order val="1"/>
          <c:tx>
            <c:strRef>
              <c:f>'BRASÍLIA DE MINAS'!$K$1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MINAS'!$K$2:$K$16</c:f>
              <c:numCache>
                <c:formatCode>0.00</c:formatCode>
                <c:ptCount val="15"/>
                <c:pt idx="0">
                  <c:v>1.834862385321101E-2</c:v>
                </c:pt>
                <c:pt idx="1">
                  <c:v>3.0581039755351681E-2</c:v>
                </c:pt>
                <c:pt idx="2">
                  <c:v>6.4220183486238536E-2</c:v>
                </c:pt>
                <c:pt idx="3">
                  <c:v>9.1743119266055051E-2</c:v>
                </c:pt>
                <c:pt idx="4">
                  <c:v>0.13149847094801223</c:v>
                </c:pt>
                <c:pt idx="5">
                  <c:v>0.17125382262996941</c:v>
                </c:pt>
                <c:pt idx="6">
                  <c:v>0.20183486238532108</c:v>
                </c:pt>
                <c:pt idx="7">
                  <c:v>0.29663608562691129</c:v>
                </c:pt>
                <c:pt idx="8">
                  <c:v>0.3363914373088685</c:v>
                </c:pt>
                <c:pt idx="9">
                  <c:v>0.37308868501529052</c:v>
                </c:pt>
                <c:pt idx="10">
                  <c:v>0.40061162079510704</c:v>
                </c:pt>
                <c:pt idx="11">
                  <c:v>0.48318042813455658</c:v>
                </c:pt>
                <c:pt idx="12">
                  <c:v>0.59021406727828751</c:v>
                </c:pt>
                <c:pt idx="13">
                  <c:v>0.84097859327217128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49-4B28-8D39-D249243E6BC2}"/>
            </c:ext>
          </c:extLst>
        </c:ser>
        <c:ser>
          <c:idx val="2"/>
          <c:order val="2"/>
          <c:tx>
            <c:strRef>
              <c:f>'BRASÍLIA DE MINAS'!$L$1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MINAS'!$L$2:$L$16</c:f>
              <c:numCache>
                <c:formatCode>0.00</c:formatCode>
                <c:ptCount val="15"/>
                <c:pt idx="0">
                  <c:v>4.9261083743842365E-3</c:v>
                </c:pt>
                <c:pt idx="1">
                  <c:v>9.852216748768473E-3</c:v>
                </c:pt>
                <c:pt idx="2">
                  <c:v>1.4778325123152709E-2</c:v>
                </c:pt>
                <c:pt idx="3">
                  <c:v>4.4334975369458129E-2</c:v>
                </c:pt>
                <c:pt idx="4">
                  <c:v>5.9113300492610835E-2</c:v>
                </c:pt>
                <c:pt idx="5">
                  <c:v>8.3743842364532015E-2</c:v>
                </c:pt>
                <c:pt idx="6">
                  <c:v>0.10344827586206896</c:v>
                </c:pt>
                <c:pt idx="7">
                  <c:v>0.13300492610837439</c:v>
                </c:pt>
                <c:pt idx="8">
                  <c:v>0.18719211822660098</c:v>
                </c:pt>
                <c:pt idx="9">
                  <c:v>0.19704433497536944</c:v>
                </c:pt>
                <c:pt idx="10">
                  <c:v>0.22167487684729062</c:v>
                </c:pt>
                <c:pt idx="11">
                  <c:v>0.23152709359605908</c:v>
                </c:pt>
                <c:pt idx="12">
                  <c:v>0.37931034482758619</c:v>
                </c:pt>
                <c:pt idx="13">
                  <c:v>0.72413793103448276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49-4B28-8D39-D249243E6BC2}"/>
            </c:ext>
          </c:extLst>
        </c:ser>
        <c:ser>
          <c:idx val="3"/>
          <c:order val="3"/>
          <c:tx>
            <c:strRef>
              <c:f>'BRASÍLIA DE MINAS'!$M$1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MINAS'!$M$2:$M$16</c:f>
              <c:numCache>
                <c:formatCode>0.00</c:formatCode>
                <c:ptCount val="15"/>
                <c:pt idx="0">
                  <c:v>4.7846889952153108E-3</c:v>
                </c:pt>
                <c:pt idx="1">
                  <c:v>9.5693779904306216E-3</c:v>
                </c:pt>
                <c:pt idx="2">
                  <c:v>3.3492822966507178E-2</c:v>
                </c:pt>
                <c:pt idx="3">
                  <c:v>5.2631578947368418E-2</c:v>
                </c:pt>
                <c:pt idx="4">
                  <c:v>5.2631578947368418E-2</c:v>
                </c:pt>
                <c:pt idx="5">
                  <c:v>6.2200956937799042E-2</c:v>
                </c:pt>
                <c:pt idx="6">
                  <c:v>6.6985645933014357E-2</c:v>
                </c:pt>
                <c:pt idx="7">
                  <c:v>7.6555023923444973E-2</c:v>
                </c:pt>
                <c:pt idx="8">
                  <c:v>8.1339712918660281E-2</c:v>
                </c:pt>
                <c:pt idx="9">
                  <c:v>8.612440191387559E-2</c:v>
                </c:pt>
                <c:pt idx="10">
                  <c:v>0.19617224880382775</c:v>
                </c:pt>
                <c:pt idx="11">
                  <c:v>0.21531100478468898</c:v>
                </c:pt>
                <c:pt idx="12">
                  <c:v>0.51674641148325362</c:v>
                </c:pt>
                <c:pt idx="13">
                  <c:v>0.66028708133971292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49-4B28-8D39-D249243E6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540256"/>
        <c:axId val="562540736"/>
      </c:scatterChart>
      <c:valAx>
        <c:axId val="5625402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540736"/>
        <c:crosses val="autoZero"/>
        <c:crossBetween val="midCat"/>
      </c:valAx>
      <c:valAx>
        <c:axId val="5625407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54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'BRASÍLIA DE MINAS'!$J$1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MINAS'!$J$2:$J$16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6C-4D64-AAAC-18ABF9FB6616}"/>
            </c:ext>
          </c:extLst>
        </c:ser>
        <c:ser>
          <c:idx val="1"/>
          <c:order val="1"/>
          <c:tx>
            <c:strRef>
              <c:f>'BRASÍLIA DE MINAS'!$N$1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MINAS'!$N$2:$N$16</c:f>
              <c:numCache>
                <c:formatCode>0.00</c:formatCode>
                <c:ptCount val="15"/>
                <c:pt idx="0">
                  <c:v>1.1267605633802818E-2</c:v>
                </c:pt>
                <c:pt idx="1">
                  <c:v>1.4084507042253521E-2</c:v>
                </c:pt>
                <c:pt idx="2">
                  <c:v>5.0704225352112678E-2</c:v>
                </c:pt>
                <c:pt idx="3">
                  <c:v>6.7605633802816895E-2</c:v>
                </c:pt>
                <c:pt idx="4">
                  <c:v>9.5774647887323941E-2</c:v>
                </c:pt>
                <c:pt idx="5">
                  <c:v>0.12676056338028169</c:v>
                </c:pt>
                <c:pt idx="6">
                  <c:v>0.14084507042253522</c:v>
                </c:pt>
                <c:pt idx="7">
                  <c:v>0.15492957746478875</c:v>
                </c:pt>
                <c:pt idx="8">
                  <c:v>0.19718309859154931</c:v>
                </c:pt>
                <c:pt idx="9">
                  <c:v>0.20845070422535214</c:v>
                </c:pt>
                <c:pt idx="10">
                  <c:v>0.323943661971831</c:v>
                </c:pt>
                <c:pt idx="11">
                  <c:v>0.3436619718309859</c:v>
                </c:pt>
                <c:pt idx="12">
                  <c:v>0.56056338028169006</c:v>
                </c:pt>
                <c:pt idx="13">
                  <c:v>0.72394366197183091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6C-4D64-AAAC-18ABF9FB6616}"/>
            </c:ext>
          </c:extLst>
        </c:ser>
        <c:ser>
          <c:idx val="2"/>
          <c:order val="2"/>
          <c:tx>
            <c:strRef>
              <c:f>'BRASÍLIA DE MINAS'!$O$1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MINAS'!$O$2:$O$16</c:f>
              <c:numCache>
                <c:formatCode>0.00</c:formatCode>
                <c:ptCount val="15"/>
                <c:pt idx="0">
                  <c:v>5.2219321148825066E-3</c:v>
                </c:pt>
                <c:pt idx="1">
                  <c:v>2.3498694516971279E-2</c:v>
                </c:pt>
                <c:pt idx="2">
                  <c:v>3.91644908616188E-2</c:v>
                </c:pt>
                <c:pt idx="3">
                  <c:v>8.6161879895561358E-2</c:v>
                </c:pt>
                <c:pt idx="4">
                  <c:v>0.12010443864229765</c:v>
                </c:pt>
                <c:pt idx="5">
                  <c:v>0.16187989556135771</c:v>
                </c:pt>
                <c:pt idx="6">
                  <c:v>0.25326370757180156</c:v>
                </c:pt>
                <c:pt idx="7">
                  <c:v>0.28720626631853785</c:v>
                </c:pt>
                <c:pt idx="8">
                  <c:v>0.33159268929503916</c:v>
                </c:pt>
                <c:pt idx="9">
                  <c:v>0.33681462140992169</c:v>
                </c:pt>
                <c:pt idx="10">
                  <c:v>0.43603133159268931</c:v>
                </c:pt>
                <c:pt idx="11">
                  <c:v>0.48302872062663188</c:v>
                </c:pt>
                <c:pt idx="12">
                  <c:v>0.66579634464751958</c:v>
                </c:pt>
                <c:pt idx="13">
                  <c:v>0.76240208877284599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6C-4D64-AAAC-18ABF9FB6616}"/>
            </c:ext>
          </c:extLst>
        </c:ser>
        <c:ser>
          <c:idx val="3"/>
          <c:order val="3"/>
          <c:tx>
            <c:strRef>
              <c:f>'BRASÍLIA DE MINAS'!$P$1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MINAS'!$P$2:$P$16</c:f>
              <c:numCache>
                <c:formatCode>0.00</c:formatCode>
                <c:ptCount val="15"/>
                <c:pt idx="0">
                  <c:v>0</c:v>
                </c:pt>
                <c:pt idx="1">
                  <c:v>3.0701754385964911E-2</c:v>
                </c:pt>
                <c:pt idx="2">
                  <c:v>3.0701754385964911E-2</c:v>
                </c:pt>
                <c:pt idx="3">
                  <c:v>0.10087719298245613</c:v>
                </c:pt>
                <c:pt idx="4">
                  <c:v>0.15350877192982454</c:v>
                </c:pt>
                <c:pt idx="5">
                  <c:v>0.20175438596491224</c:v>
                </c:pt>
                <c:pt idx="6">
                  <c:v>0.21929824561403505</c:v>
                </c:pt>
                <c:pt idx="7">
                  <c:v>0.25877192982456138</c:v>
                </c:pt>
                <c:pt idx="8">
                  <c:v>0.28947368421052627</c:v>
                </c:pt>
                <c:pt idx="9">
                  <c:v>0.31140350877192979</c:v>
                </c:pt>
                <c:pt idx="10">
                  <c:v>0.32017543859649122</c:v>
                </c:pt>
                <c:pt idx="11">
                  <c:v>0.42982456140350878</c:v>
                </c:pt>
                <c:pt idx="12">
                  <c:v>0.60526315789473684</c:v>
                </c:pt>
                <c:pt idx="13">
                  <c:v>0.82456140350877194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06C-4D64-AAAC-18ABF9FB6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544096"/>
        <c:axId val="562546496"/>
      </c:scatterChart>
      <c:valAx>
        <c:axId val="5625440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546496"/>
        <c:crosses val="autoZero"/>
        <c:crossBetween val="midCat"/>
      </c:valAx>
      <c:valAx>
        <c:axId val="5625464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544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'CORAÇÃO DE JESUS'!$J$1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JESUS'!$J$2:$J$6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F5-4731-80FC-2E21F3527C5C}"/>
            </c:ext>
          </c:extLst>
        </c:ser>
        <c:ser>
          <c:idx val="1"/>
          <c:order val="1"/>
          <c:tx>
            <c:strRef>
              <c:f>'CORAÇÃO DE JESUS'!$K$1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JESUS'!$K$2:$K$6</c:f>
              <c:numCache>
                <c:formatCode>0.00</c:formatCode>
                <c:ptCount val="5"/>
                <c:pt idx="0">
                  <c:v>4.0540540540540543E-2</c:v>
                </c:pt>
                <c:pt idx="1">
                  <c:v>8.1081081081081086E-2</c:v>
                </c:pt>
                <c:pt idx="2">
                  <c:v>0.1891891891891892</c:v>
                </c:pt>
                <c:pt idx="3">
                  <c:v>0.35135135135135137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F5-4731-80FC-2E21F3527C5C}"/>
            </c:ext>
          </c:extLst>
        </c:ser>
        <c:ser>
          <c:idx val="2"/>
          <c:order val="2"/>
          <c:tx>
            <c:strRef>
              <c:f>'CORAÇÃO DE JESUS'!$L$1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JESUS'!$L$2:$L$6</c:f>
              <c:numCache>
                <c:formatCode>0.00</c:formatCode>
                <c:ptCount val="5"/>
                <c:pt idx="0">
                  <c:v>7.4626865671641784E-2</c:v>
                </c:pt>
                <c:pt idx="1">
                  <c:v>0.14925373134328357</c:v>
                </c:pt>
                <c:pt idx="2">
                  <c:v>0.26865671641791045</c:v>
                </c:pt>
                <c:pt idx="3">
                  <c:v>0.34328358208955223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F5-4731-80FC-2E21F3527C5C}"/>
            </c:ext>
          </c:extLst>
        </c:ser>
        <c:ser>
          <c:idx val="3"/>
          <c:order val="3"/>
          <c:tx>
            <c:strRef>
              <c:f>'CORAÇÃO DE JESUS'!$M$1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JESUS'!$M$2:$M$6</c:f>
              <c:numCache>
                <c:formatCode>0.00</c:formatCode>
                <c:ptCount val="5"/>
                <c:pt idx="0">
                  <c:v>2.1505376344086023E-2</c:v>
                </c:pt>
                <c:pt idx="1">
                  <c:v>7.5268817204301078E-2</c:v>
                </c:pt>
                <c:pt idx="2">
                  <c:v>0.20430107526881719</c:v>
                </c:pt>
                <c:pt idx="3">
                  <c:v>0.29032258064516125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F5-4731-80FC-2E21F3527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032992"/>
        <c:axId val="424030112"/>
      </c:scatterChart>
      <c:valAx>
        <c:axId val="4240329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30112"/>
        <c:crosses val="autoZero"/>
        <c:crossBetween val="midCat"/>
      </c:valAx>
      <c:valAx>
        <c:axId val="4240301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32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'CORAÇÃO DE JESUS'!$J$1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JESUS'!$J$2:$J$6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20-4B88-989F-683C9BC4C792}"/>
            </c:ext>
          </c:extLst>
        </c:ser>
        <c:ser>
          <c:idx val="1"/>
          <c:order val="1"/>
          <c:tx>
            <c:strRef>
              <c:f>'CORAÇÃO DE JESUS'!$N$1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JESUS'!$N$2:$N$6</c:f>
              <c:numCache>
                <c:formatCode>0.00</c:formatCode>
                <c:ptCount val="5"/>
                <c:pt idx="0">
                  <c:v>9.5238095238095233E-2</c:v>
                </c:pt>
                <c:pt idx="1">
                  <c:v>0.1693121693121693</c:v>
                </c:pt>
                <c:pt idx="2">
                  <c:v>0.26455026455026454</c:v>
                </c:pt>
                <c:pt idx="3">
                  <c:v>0.49206349206349204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20-4B88-989F-683C9BC4C792}"/>
            </c:ext>
          </c:extLst>
        </c:ser>
        <c:ser>
          <c:idx val="2"/>
          <c:order val="2"/>
          <c:tx>
            <c:strRef>
              <c:f>'CORAÇÃO DE JESUS'!$O$1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JESUS'!$O$2:$O$6</c:f>
              <c:numCache>
                <c:formatCode>0.00</c:formatCode>
                <c:ptCount val="5"/>
                <c:pt idx="0">
                  <c:v>0.12413793103448276</c:v>
                </c:pt>
                <c:pt idx="1">
                  <c:v>0.21379310344827585</c:v>
                </c:pt>
                <c:pt idx="2">
                  <c:v>0.29655172413793102</c:v>
                </c:pt>
                <c:pt idx="3">
                  <c:v>0.51034482758620692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20-4B88-989F-683C9BC4C792}"/>
            </c:ext>
          </c:extLst>
        </c:ser>
        <c:ser>
          <c:idx val="3"/>
          <c:order val="3"/>
          <c:tx>
            <c:strRef>
              <c:f>'CORAÇÃO DE JESUS'!$P$1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JESUS'!$P$2:$P$6</c:f>
              <c:numCache>
                <c:formatCode>0.00</c:formatCode>
                <c:ptCount val="5"/>
                <c:pt idx="0">
                  <c:v>0.1276595744680851</c:v>
                </c:pt>
                <c:pt idx="1">
                  <c:v>0.25531914893617019</c:v>
                </c:pt>
                <c:pt idx="2">
                  <c:v>0.38297872340425532</c:v>
                </c:pt>
                <c:pt idx="3">
                  <c:v>0.44680851063829785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20-4B88-989F-683C9BC4C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521264"/>
        <c:axId val="655523184"/>
      </c:scatterChart>
      <c:valAx>
        <c:axId val="6555212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23184"/>
        <c:crosses val="autoZero"/>
        <c:crossBetween val="midCat"/>
      </c:valAx>
      <c:valAx>
        <c:axId val="6555231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2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'FRANCISCO SÁ'!$J$1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SÁ'!$J$2:$J$7</c:f>
              <c:numCache>
                <c:formatCode>0.00</c:formatCode>
                <c:ptCount val="6"/>
                <c:pt idx="0">
                  <c:v>6.5521934037784196E-2</c:v>
                </c:pt>
                <c:pt idx="1">
                  <c:v>0.14546643184971716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F6-49CC-B6B0-E014528B047C}"/>
            </c:ext>
          </c:extLst>
        </c:ser>
        <c:ser>
          <c:idx val="1"/>
          <c:order val="1"/>
          <c:tx>
            <c:strRef>
              <c:f>'FRANCISCO SÁ'!$K$1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SÁ'!$K$2:$K$7</c:f>
              <c:numCache>
                <c:formatCode>0.00</c:formatCode>
                <c:ptCount val="6"/>
                <c:pt idx="0">
                  <c:v>0</c:v>
                </c:pt>
                <c:pt idx="1">
                  <c:v>4.0404040404040407E-2</c:v>
                </c:pt>
                <c:pt idx="2">
                  <c:v>5.0505050505050511E-2</c:v>
                </c:pt>
                <c:pt idx="3">
                  <c:v>0.1616161616161616</c:v>
                </c:pt>
                <c:pt idx="4">
                  <c:v>0.2626262626262626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F6-49CC-B6B0-E014528B047C}"/>
            </c:ext>
          </c:extLst>
        </c:ser>
        <c:ser>
          <c:idx val="2"/>
          <c:order val="2"/>
          <c:tx>
            <c:strRef>
              <c:f>'FRANCISCO SÁ'!$L$1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SÁ'!$L$2:$L$7</c:f>
              <c:numCache>
                <c:formatCode>0.00</c:formatCode>
                <c:ptCount val="6"/>
                <c:pt idx="0">
                  <c:v>3.7735849056603772E-2</c:v>
                </c:pt>
                <c:pt idx="1">
                  <c:v>9.4339622641509441E-2</c:v>
                </c:pt>
                <c:pt idx="2">
                  <c:v>9.4339622641509441E-2</c:v>
                </c:pt>
                <c:pt idx="3">
                  <c:v>0.15094339622641512</c:v>
                </c:pt>
                <c:pt idx="4">
                  <c:v>0.45283018867924529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F6-49CC-B6B0-E014528B047C}"/>
            </c:ext>
          </c:extLst>
        </c:ser>
        <c:ser>
          <c:idx val="3"/>
          <c:order val="3"/>
          <c:tx>
            <c:strRef>
              <c:f>'FRANCISCO SÁ'!$M$1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SÁ'!$M$2:$M$7</c:f>
              <c:numCache>
                <c:formatCode>0.00</c:formatCode>
                <c:ptCount val="6"/>
                <c:pt idx="0">
                  <c:v>0</c:v>
                </c:pt>
                <c:pt idx="1">
                  <c:v>4.4444444444444446E-2</c:v>
                </c:pt>
                <c:pt idx="2">
                  <c:v>4.4444444444444446E-2</c:v>
                </c:pt>
                <c:pt idx="3">
                  <c:v>6.6666666666666666E-2</c:v>
                </c:pt>
                <c:pt idx="4">
                  <c:v>0.26666666666666666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4F6-49CC-B6B0-E014528B0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858656"/>
        <c:axId val="544866336"/>
      </c:scatterChart>
      <c:valAx>
        <c:axId val="54485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866336"/>
        <c:crosses val="autoZero"/>
        <c:crossBetween val="midCat"/>
      </c:valAx>
      <c:valAx>
        <c:axId val="5448663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858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'FRANCISCO SÁ'!$J$1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SÁ'!$J$2:$J$7</c:f>
              <c:numCache>
                <c:formatCode>0.00</c:formatCode>
                <c:ptCount val="6"/>
                <c:pt idx="0">
                  <c:v>6.5521934037784196E-2</c:v>
                </c:pt>
                <c:pt idx="1">
                  <c:v>0.14546643184971716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2D-413C-BADE-646DA47797C7}"/>
            </c:ext>
          </c:extLst>
        </c:ser>
        <c:ser>
          <c:idx val="1"/>
          <c:order val="1"/>
          <c:tx>
            <c:strRef>
              <c:f>'FRANCISCO SÁ'!$N$1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SÁ'!$N$2:$N$7</c:f>
              <c:numCache>
                <c:formatCode>0.00</c:formatCode>
                <c:ptCount val="6"/>
                <c:pt idx="0">
                  <c:v>5.8064516129032261E-2</c:v>
                </c:pt>
                <c:pt idx="1">
                  <c:v>0.21290322580645163</c:v>
                </c:pt>
                <c:pt idx="2">
                  <c:v>0.22580645161290325</c:v>
                </c:pt>
                <c:pt idx="3">
                  <c:v>0.29677419354838713</c:v>
                </c:pt>
                <c:pt idx="4">
                  <c:v>0.5161290322580645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2D-413C-BADE-646DA47797C7}"/>
            </c:ext>
          </c:extLst>
        </c:ser>
        <c:ser>
          <c:idx val="2"/>
          <c:order val="2"/>
          <c:tx>
            <c:strRef>
              <c:f>'FRANCISCO SÁ'!$O$1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SÁ'!$O$2:$O$7</c:f>
              <c:numCache>
                <c:formatCode>0.00</c:formatCode>
                <c:ptCount val="6"/>
                <c:pt idx="0">
                  <c:v>1.9108280254777069E-2</c:v>
                </c:pt>
                <c:pt idx="1">
                  <c:v>7.0063694267515922E-2</c:v>
                </c:pt>
                <c:pt idx="2">
                  <c:v>9.5541401273885357E-2</c:v>
                </c:pt>
                <c:pt idx="3">
                  <c:v>0.2866242038216561</c:v>
                </c:pt>
                <c:pt idx="4">
                  <c:v>0.54777070063694278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2D-413C-BADE-646DA47797C7}"/>
            </c:ext>
          </c:extLst>
        </c:ser>
        <c:ser>
          <c:idx val="3"/>
          <c:order val="3"/>
          <c:tx>
            <c:strRef>
              <c:f>'FRANCISCO SÁ'!$P$1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SÁ'!$P$2:$P$7</c:f>
              <c:numCache>
                <c:formatCode>0.00</c:formatCode>
                <c:ptCount val="6"/>
                <c:pt idx="0">
                  <c:v>0.01</c:v>
                </c:pt>
                <c:pt idx="1">
                  <c:v>0.14000000000000001</c:v>
                </c:pt>
                <c:pt idx="2">
                  <c:v>0.19</c:v>
                </c:pt>
                <c:pt idx="3">
                  <c:v>0.41000000000000003</c:v>
                </c:pt>
                <c:pt idx="4">
                  <c:v>0.60000000000000009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2D-413C-BADE-646DA4779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527504"/>
        <c:axId val="655530384"/>
      </c:scatterChart>
      <c:valAx>
        <c:axId val="6555275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30384"/>
        <c:crosses val="autoZero"/>
        <c:crossBetween val="midCat"/>
      </c:valAx>
      <c:valAx>
        <c:axId val="6555303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2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'JANAÚBA - MONTE AZUL'!$J$1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AZUL'!$J$2:$J$16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15-4451-8921-D4862A458DEA}"/>
            </c:ext>
          </c:extLst>
        </c:ser>
        <c:ser>
          <c:idx val="1"/>
          <c:order val="1"/>
          <c:tx>
            <c:strRef>
              <c:f>'JANAÚBA - MONTE AZUL'!$K$1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AZUL'!$K$2:$K$16</c:f>
              <c:numCache>
                <c:formatCode>0.00</c:formatCode>
                <c:ptCount val="15"/>
                <c:pt idx="0">
                  <c:v>0</c:v>
                </c:pt>
                <c:pt idx="1">
                  <c:v>3.2894736842105261E-3</c:v>
                </c:pt>
                <c:pt idx="2">
                  <c:v>1.3157894736842105E-2</c:v>
                </c:pt>
                <c:pt idx="3">
                  <c:v>2.9605263157894735E-2</c:v>
                </c:pt>
                <c:pt idx="4">
                  <c:v>5.5921052631578941E-2</c:v>
                </c:pt>
                <c:pt idx="5">
                  <c:v>6.9078947368421045E-2</c:v>
                </c:pt>
                <c:pt idx="6">
                  <c:v>9.5394736842105254E-2</c:v>
                </c:pt>
                <c:pt idx="7">
                  <c:v>0.12499999999999999</c:v>
                </c:pt>
                <c:pt idx="8">
                  <c:v>0.15789473684210525</c:v>
                </c:pt>
                <c:pt idx="9">
                  <c:v>0.26973684210526316</c:v>
                </c:pt>
                <c:pt idx="10">
                  <c:v>0.36513157894736842</c:v>
                </c:pt>
                <c:pt idx="11">
                  <c:v>0.51973684210526316</c:v>
                </c:pt>
                <c:pt idx="12">
                  <c:v>0.68421052631578949</c:v>
                </c:pt>
                <c:pt idx="13">
                  <c:v>0.75986842105263164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15-4451-8921-D4862A458DEA}"/>
            </c:ext>
          </c:extLst>
        </c:ser>
        <c:ser>
          <c:idx val="2"/>
          <c:order val="2"/>
          <c:tx>
            <c:strRef>
              <c:f>'JANAÚBA - MONTE AZUL'!$L$1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AZUL'!$L$2:$L$16</c:f>
              <c:numCache>
                <c:formatCode>0.00</c:formatCode>
                <c:ptCount val="15"/>
                <c:pt idx="0">
                  <c:v>0</c:v>
                </c:pt>
                <c:pt idx="1">
                  <c:v>2.7272727272727271E-2</c:v>
                </c:pt>
                <c:pt idx="2">
                  <c:v>3.6363636363636362E-2</c:v>
                </c:pt>
                <c:pt idx="3">
                  <c:v>4.5454545454545456E-2</c:v>
                </c:pt>
                <c:pt idx="4">
                  <c:v>9.0909090909090912E-2</c:v>
                </c:pt>
                <c:pt idx="5">
                  <c:v>0.1</c:v>
                </c:pt>
                <c:pt idx="6">
                  <c:v>0.1090909090909091</c:v>
                </c:pt>
                <c:pt idx="7">
                  <c:v>0.11818181818181819</c:v>
                </c:pt>
                <c:pt idx="8">
                  <c:v>0.12727272727272729</c:v>
                </c:pt>
                <c:pt idx="9">
                  <c:v>0.17272727272727273</c:v>
                </c:pt>
                <c:pt idx="10">
                  <c:v>0.29090909090909089</c:v>
                </c:pt>
                <c:pt idx="11">
                  <c:v>0.39090909090909087</c:v>
                </c:pt>
                <c:pt idx="12">
                  <c:v>0.74545454545454537</c:v>
                </c:pt>
                <c:pt idx="13">
                  <c:v>0.7727272727272726</c:v>
                </c:pt>
                <c:pt idx="14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15-4451-8921-D4862A458DEA}"/>
            </c:ext>
          </c:extLst>
        </c:ser>
        <c:ser>
          <c:idx val="3"/>
          <c:order val="3"/>
          <c:tx>
            <c:strRef>
              <c:f>'JANAÚBA - MONTE AZUL'!$M$1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AZUL'!$M$2:$M$16</c:f>
              <c:numCache>
                <c:formatCode>0.00</c:formatCode>
                <c:ptCount val="15"/>
                <c:pt idx="0">
                  <c:v>0</c:v>
                </c:pt>
                <c:pt idx="1">
                  <c:v>9.0909090909090905E-3</c:v>
                </c:pt>
                <c:pt idx="2">
                  <c:v>9.0909090909090905E-3</c:v>
                </c:pt>
                <c:pt idx="3">
                  <c:v>9.0909090909090905E-3</c:v>
                </c:pt>
                <c:pt idx="4">
                  <c:v>9.0909090909090905E-3</c:v>
                </c:pt>
                <c:pt idx="5">
                  <c:v>9.0909090909090905E-3</c:v>
                </c:pt>
                <c:pt idx="6">
                  <c:v>2.7272727272727271E-2</c:v>
                </c:pt>
                <c:pt idx="7">
                  <c:v>7.2727272727272724E-2</c:v>
                </c:pt>
                <c:pt idx="8">
                  <c:v>9.9999999999999992E-2</c:v>
                </c:pt>
                <c:pt idx="9">
                  <c:v>0.13636363636363635</c:v>
                </c:pt>
                <c:pt idx="10">
                  <c:v>0.31818181818181818</c:v>
                </c:pt>
                <c:pt idx="11">
                  <c:v>0.50909090909090904</c:v>
                </c:pt>
                <c:pt idx="12">
                  <c:v>0.80909090909090908</c:v>
                </c:pt>
                <c:pt idx="13">
                  <c:v>0.84545454545454546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15-4451-8921-D4862A458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88976"/>
        <c:axId val="415000016"/>
      </c:scatterChart>
      <c:valAx>
        <c:axId val="4149889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000016"/>
        <c:crosses val="autoZero"/>
        <c:crossBetween val="midCat"/>
      </c:valAx>
      <c:valAx>
        <c:axId val="4150000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4988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'JANAÚBA - MONTE AZUL'!$J$1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AZUL'!$J$2:$J$16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C0-4DFE-AA0E-C7138BF90DB4}"/>
            </c:ext>
          </c:extLst>
        </c:ser>
        <c:ser>
          <c:idx val="1"/>
          <c:order val="1"/>
          <c:tx>
            <c:strRef>
              <c:f>'JANAÚBA - MONTE AZUL'!$N$1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AZUL'!$N$2:$N$16</c:f>
              <c:numCache>
                <c:formatCode>0.00</c:formatCode>
                <c:ptCount val="15"/>
                <c:pt idx="0">
                  <c:v>5.5555555555555558E-3</c:v>
                </c:pt>
                <c:pt idx="1">
                  <c:v>1.3888888888888888E-2</c:v>
                </c:pt>
                <c:pt idx="2">
                  <c:v>4.1666666666666664E-2</c:v>
                </c:pt>
                <c:pt idx="3">
                  <c:v>5.2777777777777778E-2</c:v>
                </c:pt>
                <c:pt idx="4">
                  <c:v>8.0555555555555547E-2</c:v>
                </c:pt>
                <c:pt idx="5">
                  <c:v>8.6111111111111097E-2</c:v>
                </c:pt>
                <c:pt idx="6">
                  <c:v>9.722222222222221E-2</c:v>
                </c:pt>
                <c:pt idx="7">
                  <c:v>9.9999999999999992E-2</c:v>
                </c:pt>
                <c:pt idx="8">
                  <c:v>0.17222222222222222</c:v>
                </c:pt>
                <c:pt idx="9">
                  <c:v>0.2</c:v>
                </c:pt>
                <c:pt idx="10">
                  <c:v>0.29722222222222222</c:v>
                </c:pt>
                <c:pt idx="11">
                  <c:v>0.36944444444444446</c:v>
                </c:pt>
                <c:pt idx="12">
                  <c:v>0.66388888888888897</c:v>
                </c:pt>
                <c:pt idx="13">
                  <c:v>0.68611111111111123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C0-4DFE-AA0E-C7138BF90DB4}"/>
            </c:ext>
          </c:extLst>
        </c:ser>
        <c:ser>
          <c:idx val="2"/>
          <c:order val="2"/>
          <c:tx>
            <c:strRef>
              <c:f>'JANAÚBA - MONTE AZUL'!$O$1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AZUL'!$O$2:$O$16</c:f>
              <c:numCache>
                <c:formatCode>0.00</c:formatCode>
                <c:ptCount val="15"/>
                <c:pt idx="0">
                  <c:v>1.2939001848428836E-2</c:v>
                </c:pt>
                <c:pt idx="1">
                  <c:v>2.4029574861367836E-2</c:v>
                </c:pt>
                <c:pt idx="2">
                  <c:v>4.4362292051756007E-2</c:v>
                </c:pt>
                <c:pt idx="3">
                  <c:v>5.9149722735674676E-2</c:v>
                </c:pt>
                <c:pt idx="4">
                  <c:v>9.0573012939001857E-2</c:v>
                </c:pt>
                <c:pt idx="5">
                  <c:v>0.10166358595194086</c:v>
                </c:pt>
                <c:pt idx="6">
                  <c:v>0.12014787430683919</c:v>
                </c:pt>
                <c:pt idx="7">
                  <c:v>0.14232902033271719</c:v>
                </c:pt>
                <c:pt idx="8">
                  <c:v>0.1977818853974122</c:v>
                </c:pt>
                <c:pt idx="9">
                  <c:v>0.19963031423290203</c:v>
                </c:pt>
                <c:pt idx="10">
                  <c:v>0.24399260628465805</c:v>
                </c:pt>
                <c:pt idx="11">
                  <c:v>0.26432532347504623</c:v>
                </c:pt>
                <c:pt idx="12">
                  <c:v>0.39741219963031427</c:v>
                </c:pt>
                <c:pt idx="13">
                  <c:v>0.42883548983364145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C0-4DFE-AA0E-C7138BF90DB4}"/>
            </c:ext>
          </c:extLst>
        </c:ser>
        <c:ser>
          <c:idx val="3"/>
          <c:order val="3"/>
          <c:tx>
            <c:strRef>
              <c:f>'JANAÚBA - MONTE AZUL'!$P$1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AZUL'!$P$2:$P$16</c:f>
              <c:numCache>
                <c:formatCode>0.00</c:formatCode>
                <c:ptCount val="15"/>
                <c:pt idx="0">
                  <c:v>1.9189765458422176E-2</c:v>
                </c:pt>
                <c:pt idx="1">
                  <c:v>2.3454157782515993E-2</c:v>
                </c:pt>
                <c:pt idx="2">
                  <c:v>3.6247334754797439E-2</c:v>
                </c:pt>
                <c:pt idx="3">
                  <c:v>6.6098081023454158E-2</c:v>
                </c:pt>
                <c:pt idx="4">
                  <c:v>8.1023454157782518E-2</c:v>
                </c:pt>
                <c:pt idx="5">
                  <c:v>9.5948827292110878E-2</c:v>
                </c:pt>
                <c:pt idx="6">
                  <c:v>0.10021321961620469</c:v>
                </c:pt>
                <c:pt idx="7">
                  <c:v>0.1023454157782516</c:v>
                </c:pt>
                <c:pt idx="8">
                  <c:v>0.13432835820895522</c:v>
                </c:pt>
                <c:pt idx="9">
                  <c:v>0.15351812366737741</c:v>
                </c:pt>
                <c:pt idx="10">
                  <c:v>0.18550106609808104</c:v>
                </c:pt>
                <c:pt idx="11">
                  <c:v>0.20469083155650322</c:v>
                </c:pt>
                <c:pt idx="12">
                  <c:v>0.35181236673773986</c:v>
                </c:pt>
                <c:pt idx="13">
                  <c:v>0.41577825159914711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C0-4DFE-AA0E-C7138BF90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542864"/>
        <c:axId val="655548144"/>
      </c:scatterChart>
      <c:valAx>
        <c:axId val="6555428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48144"/>
        <c:crosses val="autoZero"/>
        <c:crossBetween val="midCat"/>
      </c:valAx>
      <c:valAx>
        <c:axId val="655548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42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JANUÁRIA!$J$1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JANUÁRIA!$J$2:$J$6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FE-475A-B3AE-EF0A96C26A12}"/>
            </c:ext>
          </c:extLst>
        </c:ser>
        <c:ser>
          <c:idx val="1"/>
          <c:order val="1"/>
          <c:tx>
            <c:strRef>
              <c:f>JANUÁRIA!$K$1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JANUÁRIA!$K$2:$K$6</c:f>
              <c:numCache>
                <c:formatCode>0.00</c:formatCode>
                <c:ptCount val="5"/>
                <c:pt idx="0">
                  <c:v>0.19540229885057472</c:v>
                </c:pt>
                <c:pt idx="1">
                  <c:v>0.37931034482758619</c:v>
                </c:pt>
                <c:pt idx="2">
                  <c:v>0.54022988505747127</c:v>
                </c:pt>
                <c:pt idx="3">
                  <c:v>0.71264367816091956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FE-475A-B3AE-EF0A96C26A12}"/>
            </c:ext>
          </c:extLst>
        </c:ser>
        <c:ser>
          <c:idx val="2"/>
          <c:order val="2"/>
          <c:tx>
            <c:strRef>
              <c:f>JANUÁRIA!$L$1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JANUÁRIA!$L$2:$L$6</c:f>
              <c:numCache>
                <c:formatCode>0.00</c:formatCode>
                <c:ptCount val="5"/>
                <c:pt idx="0">
                  <c:v>0.12</c:v>
                </c:pt>
                <c:pt idx="1">
                  <c:v>0.16</c:v>
                </c:pt>
                <c:pt idx="2">
                  <c:v>0.44000000000000006</c:v>
                </c:pt>
                <c:pt idx="3">
                  <c:v>0.72000000000000008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FE-475A-B3AE-EF0A96C26A12}"/>
            </c:ext>
          </c:extLst>
        </c:ser>
        <c:ser>
          <c:idx val="3"/>
          <c:order val="3"/>
          <c:tx>
            <c:strRef>
              <c:f>JANUÁRIA!$M$1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JANUÁRIA!$M$2:$M$6</c:f>
              <c:numCache>
                <c:formatCode>0.00</c:formatCode>
                <c:ptCount val="5"/>
                <c:pt idx="0">
                  <c:v>0.1044776119402985</c:v>
                </c:pt>
                <c:pt idx="1">
                  <c:v>0.1044776119402985</c:v>
                </c:pt>
                <c:pt idx="2">
                  <c:v>0.19402985074626866</c:v>
                </c:pt>
                <c:pt idx="3">
                  <c:v>0.56716417910447769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FE-475A-B3AE-EF0A96C26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243552"/>
        <c:axId val="217241152"/>
      </c:scatterChart>
      <c:valAx>
        <c:axId val="2172435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7241152"/>
        <c:crosses val="autoZero"/>
        <c:crossBetween val="midCat"/>
      </c:valAx>
      <c:valAx>
        <c:axId val="2172411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724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JANUÁRIA!$J$1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JANUÁRIA!$J$2:$J$6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D3-4AEB-B4F8-1E828A7CA42D}"/>
            </c:ext>
          </c:extLst>
        </c:ser>
        <c:ser>
          <c:idx val="1"/>
          <c:order val="1"/>
          <c:tx>
            <c:strRef>
              <c:f>JANUÁRIA!$N$1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JANUÁRIA!$N$2:$N$6</c:f>
              <c:numCache>
                <c:formatCode>0.00</c:formatCode>
                <c:ptCount val="5"/>
                <c:pt idx="0">
                  <c:v>6.0052219321148827E-2</c:v>
                </c:pt>
                <c:pt idx="1">
                  <c:v>0.13577023498694518</c:v>
                </c:pt>
                <c:pt idx="2">
                  <c:v>0.19843342036553524</c:v>
                </c:pt>
                <c:pt idx="3">
                  <c:v>0.31592689295039167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D3-4AEB-B4F8-1E828A7CA42D}"/>
            </c:ext>
          </c:extLst>
        </c:ser>
        <c:ser>
          <c:idx val="2"/>
          <c:order val="2"/>
          <c:tx>
            <c:strRef>
              <c:f>JANUÁRIA!$O$1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JANUÁRIA!$O$2:$O$6</c:f>
              <c:numCache>
                <c:formatCode>0.00</c:formatCode>
                <c:ptCount val="5"/>
                <c:pt idx="0">
                  <c:v>1.9543973941368076E-2</c:v>
                </c:pt>
                <c:pt idx="1">
                  <c:v>0.10097719869706839</c:v>
                </c:pt>
                <c:pt idx="2">
                  <c:v>0.2052117263843648</c:v>
                </c:pt>
                <c:pt idx="3">
                  <c:v>0.33224755700325731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D3-4AEB-B4F8-1E828A7CA42D}"/>
            </c:ext>
          </c:extLst>
        </c:ser>
        <c:ser>
          <c:idx val="3"/>
          <c:order val="3"/>
          <c:tx>
            <c:strRef>
              <c:f>JANUÁRIA!$P$1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JANUÁRIA!$P$2:$P$6</c:f>
              <c:numCache>
                <c:formatCode>0.00</c:formatCode>
                <c:ptCount val="5"/>
                <c:pt idx="0">
                  <c:v>6.6666666666666666E-2</c:v>
                </c:pt>
                <c:pt idx="1">
                  <c:v>0.16666666666666669</c:v>
                </c:pt>
                <c:pt idx="2">
                  <c:v>0.24444444444444446</c:v>
                </c:pt>
                <c:pt idx="3">
                  <c:v>0.41111111111111109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D3-4AEB-B4F8-1E828A7CA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528464"/>
        <c:axId val="655530864"/>
      </c:scatterChart>
      <c:valAx>
        <c:axId val="6555284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30864"/>
        <c:crosses val="autoZero"/>
        <c:crossBetween val="midCat"/>
      </c:valAx>
      <c:valAx>
        <c:axId val="6555308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2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MANGA!$J$1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MANGA!$J$2:$J$6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0B-4988-926B-1495E99C8922}"/>
            </c:ext>
          </c:extLst>
        </c:ser>
        <c:ser>
          <c:idx val="1"/>
          <c:order val="1"/>
          <c:tx>
            <c:strRef>
              <c:f>MANGA!$K$1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MANGA!$K$2:$K$6</c:f>
              <c:numCache>
                <c:formatCode>0.00</c:formatCode>
                <c:ptCount val="5"/>
                <c:pt idx="0">
                  <c:v>3.0769230769230771E-2</c:v>
                </c:pt>
                <c:pt idx="1">
                  <c:v>8.461538461538462E-2</c:v>
                </c:pt>
                <c:pt idx="2">
                  <c:v>0.2076923076923077</c:v>
                </c:pt>
                <c:pt idx="3">
                  <c:v>0.60769230769230775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0B-4988-926B-1495E99C8922}"/>
            </c:ext>
          </c:extLst>
        </c:ser>
        <c:ser>
          <c:idx val="2"/>
          <c:order val="2"/>
          <c:tx>
            <c:strRef>
              <c:f>MANGA!$L$1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MANGA!$L$2:$L$6</c:f>
              <c:numCache>
                <c:formatCode>0.00</c:formatCode>
                <c:ptCount val="5"/>
                <c:pt idx="0">
                  <c:v>5.2631578947368418E-2</c:v>
                </c:pt>
                <c:pt idx="1">
                  <c:v>0.15789473684210525</c:v>
                </c:pt>
                <c:pt idx="2">
                  <c:v>0.21052631578947367</c:v>
                </c:pt>
                <c:pt idx="3">
                  <c:v>0.44736842105263153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0B-4988-926B-1495E99C8922}"/>
            </c:ext>
          </c:extLst>
        </c:ser>
        <c:ser>
          <c:idx val="3"/>
          <c:order val="3"/>
          <c:tx>
            <c:strRef>
              <c:f>MANGA!$M$1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MANGA!$M$2:$M$6</c:f>
              <c:numCache>
                <c:formatCode>0.00</c:formatCode>
                <c:ptCount val="5"/>
                <c:pt idx="0">
                  <c:v>4.8543689320388349E-2</c:v>
                </c:pt>
                <c:pt idx="1">
                  <c:v>8.7378640776699018E-2</c:v>
                </c:pt>
                <c:pt idx="2">
                  <c:v>0.27184466019417475</c:v>
                </c:pt>
                <c:pt idx="3">
                  <c:v>0.36893203883495146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20B-4988-926B-1495E99C8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858656"/>
        <c:axId val="544875456"/>
      </c:scatterChart>
      <c:valAx>
        <c:axId val="544858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875456"/>
        <c:crosses val="autoZero"/>
        <c:crossBetween val="midCat"/>
      </c:valAx>
      <c:valAx>
        <c:axId val="544875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858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MANGA!$J$1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MANGA!$J$2:$J$6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2D-442A-9DBF-20000DC2CFAA}"/>
            </c:ext>
          </c:extLst>
        </c:ser>
        <c:ser>
          <c:idx val="1"/>
          <c:order val="1"/>
          <c:tx>
            <c:strRef>
              <c:f>MANGA!$N$1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MANGA!$N$2:$N$6</c:f>
              <c:numCache>
                <c:formatCode>0.00</c:formatCode>
                <c:ptCount val="5"/>
                <c:pt idx="0">
                  <c:v>9.6774193548387094E-2</c:v>
                </c:pt>
                <c:pt idx="1">
                  <c:v>0.18433179723502302</c:v>
                </c:pt>
                <c:pt idx="2">
                  <c:v>0.25806451612903225</c:v>
                </c:pt>
                <c:pt idx="3">
                  <c:v>0.44239631336405527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2D-442A-9DBF-20000DC2CFAA}"/>
            </c:ext>
          </c:extLst>
        </c:ser>
        <c:ser>
          <c:idx val="2"/>
          <c:order val="2"/>
          <c:tx>
            <c:strRef>
              <c:f>MANGA!$O$1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MANGA!$O$2:$O$6</c:f>
              <c:numCache>
                <c:formatCode>0.00</c:formatCode>
                <c:ptCount val="5"/>
                <c:pt idx="0">
                  <c:v>5.8201058201058198E-2</c:v>
                </c:pt>
                <c:pt idx="1">
                  <c:v>0.22222222222222221</c:v>
                </c:pt>
                <c:pt idx="2">
                  <c:v>0.35978835978835977</c:v>
                </c:pt>
                <c:pt idx="3">
                  <c:v>0.52380952380952372</c:v>
                </c:pt>
                <c:pt idx="4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2D-442A-9DBF-20000DC2CFAA}"/>
            </c:ext>
          </c:extLst>
        </c:ser>
        <c:ser>
          <c:idx val="3"/>
          <c:order val="3"/>
          <c:tx>
            <c:strRef>
              <c:f>MANGA!$P$1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MANGA!$P$2:$P$6</c:f>
              <c:numCache>
                <c:formatCode>0.00</c:formatCode>
                <c:ptCount val="5"/>
                <c:pt idx="0">
                  <c:v>6.7567567567567571E-2</c:v>
                </c:pt>
                <c:pt idx="1">
                  <c:v>9.45945945945946E-2</c:v>
                </c:pt>
                <c:pt idx="2">
                  <c:v>0.3783783783783784</c:v>
                </c:pt>
                <c:pt idx="3">
                  <c:v>0.7567567567567568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2D-442A-9DBF-20000DC2C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000976"/>
        <c:axId val="415001936"/>
      </c:scatterChart>
      <c:valAx>
        <c:axId val="4150009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001936"/>
        <c:crosses val="autoZero"/>
        <c:crossBetween val="midCat"/>
      </c:valAx>
      <c:valAx>
        <c:axId val="4150019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000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'MONTES CLAROS'!$J$1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CLAROS'!$J$2:$J$7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F9-4A64-A8D5-9D24CFBC4B51}"/>
            </c:ext>
          </c:extLst>
        </c:ser>
        <c:ser>
          <c:idx val="1"/>
          <c:order val="1"/>
          <c:tx>
            <c:strRef>
              <c:f>'MONTES CLAROS'!$K$1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CLAROS'!$K$2:$K$7</c:f>
              <c:numCache>
                <c:formatCode>0.00</c:formatCode>
                <c:ptCount val="6"/>
                <c:pt idx="0">
                  <c:v>1.1299435028248588E-2</c:v>
                </c:pt>
                <c:pt idx="1">
                  <c:v>1.8832391713747645E-2</c:v>
                </c:pt>
                <c:pt idx="2">
                  <c:v>2.8248587570621465E-2</c:v>
                </c:pt>
                <c:pt idx="3">
                  <c:v>6.9679849340866296E-2</c:v>
                </c:pt>
                <c:pt idx="4">
                  <c:v>0.13935969868173259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F9-4A64-A8D5-9D24CFBC4B51}"/>
            </c:ext>
          </c:extLst>
        </c:ser>
        <c:ser>
          <c:idx val="2"/>
          <c:order val="2"/>
          <c:tx>
            <c:strRef>
              <c:f>'MONTES CLAROS'!$L$1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CLAROS'!$L$2:$L$7</c:f>
              <c:numCache>
                <c:formatCode>0.00</c:formatCode>
                <c:ptCount val="6"/>
                <c:pt idx="0">
                  <c:v>1.2738853503184714E-2</c:v>
                </c:pt>
                <c:pt idx="1">
                  <c:v>1.9108280254777073E-2</c:v>
                </c:pt>
                <c:pt idx="2">
                  <c:v>3.184713375796179E-2</c:v>
                </c:pt>
                <c:pt idx="3">
                  <c:v>7.6433121019108291E-2</c:v>
                </c:pt>
                <c:pt idx="4">
                  <c:v>0.10828025477707007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F9-4A64-A8D5-9D24CFBC4B51}"/>
            </c:ext>
          </c:extLst>
        </c:ser>
        <c:ser>
          <c:idx val="3"/>
          <c:order val="3"/>
          <c:tx>
            <c:strRef>
              <c:f>'MONTES CLAROS'!$M$1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CLAROS'!$M$2:$M$7</c:f>
              <c:numCache>
                <c:formatCode>0.00</c:formatCode>
                <c:ptCount val="6"/>
                <c:pt idx="0">
                  <c:v>1.1834319526627219E-2</c:v>
                </c:pt>
                <c:pt idx="1">
                  <c:v>1.7751479289940829E-2</c:v>
                </c:pt>
                <c:pt idx="2">
                  <c:v>2.3668639053254437E-2</c:v>
                </c:pt>
                <c:pt idx="3">
                  <c:v>8.8757396449704137E-2</c:v>
                </c:pt>
                <c:pt idx="4">
                  <c:v>0.16568047337278108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F9-4A64-A8D5-9D24CFBC4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487664"/>
        <c:axId val="655492944"/>
      </c:scatterChart>
      <c:valAx>
        <c:axId val="65548766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492944"/>
        <c:crosses val="autoZero"/>
        <c:crossBetween val="midCat"/>
      </c:valAx>
      <c:valAx>
        <c:axId val="65549294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48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'MONTES CLAROS'!$J$1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CLAROS'!$J$2:$J$7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3A-4694-A75A-72D1B9A4AA59}"/>
            </c:ext>
          </c:extLst>
        </c:ser>
        <c:ser>
          <c:idx val="1"/>
          <c:order val="1"/>
          <c:tx>
            <c:strRef>
              <c:f>'MONTES CLAROS'!$N$1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CLAROS'!$N$2:$N$7</c:f>
              <c:numCache>
                <c:formatCode>0.00</c:formatCode>
                <c:ptCount val="6"/>
                <c:pt idx="0">
                  <c:v>1.483679525222552E-2</c:v>
                </c:pt>
                <c:pt idx="1">
                  <c:v>3.857566765578635E-2</c:v>
                </c:pt>
                <c:pt idx="2">
                  <c:v>4.4510385756676554E-2</c:v>
                </c:pt>
                <c:pt idx="3">
                  <c:v>0.12759643916913946</c:v>
                </c:pt>
                <c:pt idx="4">
                  <c:v>0.18397626112759644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3A-4694-A75A-72D1B9A4AA59}"/>
            </c:ext>
          </c:extLst>
        </c:ser>
        <c:ser>
          <c:idx val="2"/>
          <c:order val="2"/>
          <c:tx>
            <c:strRef>
              <c:f>'MONTES CLAROS'!$O$1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CLAROS'!$O$2:$O$7</c:f>
              <c:numCache>
                <c:formatCode>0.00</c:formatCode>
                <c:ptCount val="6"/>
                <c:pt idx="0">
                  <c:v>2.3094688221709007E-3</c:v>
                </c:pt>
                <c:pt idx="1">
                  <c:v>1.3856812933025405E-2</c:v>
                </c:pt>
                <c:pt idx="2">
                  <c:v>1.7321016166281757E-2</c:v>
                </c:pt>
                <c:pt idx="3">
                  <c:v>3.6951501154734417E-2</c:v>
                </c:pt>
                <c:pt idx="4">
                  <c:v>6.0046189376443425E-2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3A-4694-A75A-72D1B9A4AA59}"/>
            </c:ext>
          </c:extLst>
        </c:ser>
        <c:ser>
          <c:idx val="3"/>
          <c:order val="3"/>
          <c:tx>
            <c:strRef>
              <c:f>'MONTES CLAROS'!$P$1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CLAROS'!$P$2:$P$7</c:f>
              <c:numCache>
                <c:formatCode>0.00</c:formatCode>
                <c:ptCount val="6"/>
                <c:pt idx="0">
                  <c:v>1.8115942028985508E-2</c:v>
                </c:pt>
                <c:pt idx="1">
                  <c:v>2.1739130434782608E-2</c:v>
                </c:pt>
                <c:pt idx="2">
                  <c:v>3.140096618357488E-2</c:v>
                </c:pt>
                <c:pt idx="3">
                  <c:v>4.4685990338164255E-2</c:v>
                </c:pt>
                <c:pt idx="4">
                  <c:v>7.9710144927536239E-2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B3A-4694-A75A-72D1B9A4A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28176"/>
        <c:axId val="309843056"/>
      </c:scatterChart>
      <c:valAx>
        <c:axId val="309828176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43056"/>
        <c:crosses val="autoZero"/>
        <c:crossBetween val="midCat"/>
      </c:valAx>
      <c:valAx>
        <c:axId val="3098430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2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PIRAPORA!$J$1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PIRAPORA!$J$2:$J$8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C3-413F-812B-344D308D00EA}"/>
            </c:ext>
          </c:extLst>
        </c:ser>
        <c:ser>
          <c:idx val="1"/>
          <c:order val="1"/>
          <c:tx>
            <c:strRef>
              <c:f>PIRAPORA!$K$1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PIRAPORA!$K$2:$K$8</c:f>
              <c:numCache>
                <c:formatCode>0.00</c:formatCode>
                <c:ptCount val="7"/>
                <c:pt idx="0">
                  <c:v>3.5211267605633804E-2</c:v>
                </c:pt>
                <c:pt idx="1">
                  <c:v>7.7464788732394374E-2</c:v>
                </c:pt>
                <c:pt idx="2">
                  <c:v>0.10563380281690142</c:v>
                </c:pt>
                <c:pt idx="3">
                  <c:v>0.14319248826291081</c:v>
                </c:pt>
                <c:pt idx="4">
                  <c:v>0.215962441314554</c:v>
                </c:pt>
                <c:pt idx="5">
                  <c:v>0.55868544600938974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C3-413F-812B-344D308D00EA}"/>
            </c:ext>
          </c:extLst>
        </c:ser>
        <c:ser>
          <c:idx val="2"/>
          <c:order val="2"/>
          <c:tx>
            <c:strRef>
              <c:f>PIRAPORA!$L$1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PIRAPORA!$L$2:$L$8</c:f>
              <c:numCache>
                <c:formatCode>0.00</c:formatCode>
                <c:ptCount val="7"/>
                <c:pt idx="0">
                  <c:v>0</c:v>
                </c:pt>
                <c:pt idx="1">
                  <c:v>1.932367149758454E-2</c:v>
                </c:pt>
                <c:pt idx="2">
                  <c:v>6.7632850241545889E-2</c:v>
                </c:pt>
                <c:pt idx="3">
                  <c:v>0.14492753623188404</c:v>
                </c:pt>
                <c:pt idx="4">
                  <c:v>0.30917874396135264</c:v>
                </c:pt>
                <c:pt idx="5">
                  <c:v>0.52657004830917875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EC3-413F-812B-344D308D00EA}"/>
            </c:ext>
          </c:extLst>
        </c:ser>
        <c:ser>
          <c:idx val="3"/>
          <c:order val="3"/>
          <c:tx>
            <c:strRef>
              <c:f>PIRAPORA!$M$1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PIRAPORA!$M$2:$M$8</c:f>
              <c:numCache>
                <c:formatCode>0.00</c:formatCode>
                <c:ptCount val="7"/>
                <c:pt idx="0">
                  <c:v>2.6315789473684209E-2</c:v>
                </c:pt>
                <c:pt idx="1">
                  <c:v>4.7368421052631574E-2</c:v>
                </c:pt>
                <c:pt idx="2">
                  <c:v>6.8421052631578938E-2</c:v>
                </c:pt>
                <c:pt idx="3">
                  <c:v>0.10526315789473684</c:v>
                </c:pt>
                <c:pt idx="4">
                  <c:v>0.15789473684210525</c:v>
                </c:pt>
                <c:pt idx="5">
                  <c:v>0.53157894736842104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EC3-413F-812B-344D308D0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896608"/>
        <c:axId val="265898048"/>
      </c:scatterChart>
      <c:valAx>
        <c:axId val="2658966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5898048"/>
        <c:crosses val="autoZero"/>
        <c:crossBetween val="midCat"/>
      </c:valAx>
      <c:valAx>
        <c:axId val="2658980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5896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PIRAPORA!$J$1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PIRAPORA!$J$2:$J$8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06-4B4E-BA6E-63C3C979196E}"/>
            </c:ext>
          </c:extLst>
        </c:ser>
        <c:ser>
          <c:idx val="1"/>
          <c:order val="1"/>
          <c:tx>
            <c:strRef>
              <c:f>PIRAPORA!$N$1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PIRAPORA!$N$2:$N$8</c:f>
              <c:numCache>
                <c:formatCode>0.00</c:formatCode>
                <c:ptCount val="7"/>
                <c:pt idx="0">
                  <c:v>4.4280442804428041E-2</c:v>
                </c:pt>
                <c:pt idx="1">
                  <c:v>8.6715867158671578E-2</c:v>
                </c:pt>
                <c:pt idx="2">
                  <c:v>0.13099630996309963</c:v>
                </c:pt>
                <c:pt idx="3">
                  <c:v>0.21771217712177121</c:v>
                </c:pt>
                <c:pt idx="4">
                  <c:v>0.35239852398523985</c:v>
                </c:pt>
                <c:pt idx="5">
                  <c:v>0.6254612546125462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06-4B4E-BA6E-63C3C979196E}"/>
            </c:ext>
          </c:extLst>
        </c:ser>
        <c:ser>
          <c:idx val="2"/>
          <c:order val="2"/>
          <c:tx>
            <c:strRef>
              <c:f>PIRAPORA!$O$1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PIRAPORA!$O$2:$O$8</c:f>
              <c:numCache>
                <c:formatCode>0.00</c:formatCode>
                <c:ptCount val="7"/>
                <c:pt idx="0">
                  <c:v>2.1276595744680851E-2</c:v>
                </c:pt>
                <c:pt idx="1">
                  <c:v>4.6808510638297871E-2</c:v>
                </c:pt>
                <c:pt idx="2">
                  <c:v>9.3617021276595741E-2</c:v>
                </c:pt>
                <c:pt idx="3">
                  <c:v>0.1574468085106383</c:v>
                </c:pt>
                <c:pt idx="4">
                  <c:v>0.30000000000000004</c:v>
                </c:pt>
                <c:pt idx="5">
                  <c:v>0.64042553191489371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806-4B4E-BA6E-63C3C979196E}"/>
            </c:ext>
          </c:extLst>
        </c:ser>
        <c:ser>
          <c:idx val="3"/>
          <c:order val="3"/>
          <c:tx>
            <c:strRef>
              <c:f>PIRAPORA!$P$1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PIRAPORA!$P$2:$P$8</c:f>
              <c:numCache>
                <c:formatCode>0.00</c:formatCode>
                <c:ptCount val="7"/>
                <c:pt idx="0">
                  <c:v>3.4883720930232558E-2</c:v>
                </c:pt>
                <c:pt idx="1">
                  <c:v>5.8139534883720929E-2</c:v>
                </c:pt>
                <c:pt idx="2">
                  <c:v>9.3023255813953487E-2</c:v>
                </c:pt>
                <c:pt idx="3">
                  <c:v>0.1744186046511628</c:v>
                </c:pt>
                <c:pt idx="4">
                  <c:v>0.29651162790697672</c:v>
                </c:pt>
                <c:pt idx="5">
                  <c:v>0.58720930232558133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806-4B4E-BA6E-63C3C9791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38256"/>
        <c:axId val="309846416"/>
      </c:scatterChart>
      <c:valAx>
        <c:axId val="3098382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46416"/>
        <c:crosses val="autoZero"/>
        <c:crossBetween val="midCat"/>
      </c:valAx>
      <c:valAx>
        <c:axId val="3098464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38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SALINAS!$J$1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SALINAS!$J$2:$J$7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10-4DD5-B06A-4A7A13A55B46}"/>
            </c:ext>
          </c:extLst>
        </c:ser>
        <c:ser>
          <c:idx val="1"/>
          <c:order val="1"/>
          <c:tx>
            <c:strRef>
              <c:f>SALINAS!$K$1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SALINAS!$K$2:$K$7</c:f>
              <c:numCache>
                <c:formatCode>0.00</c:formatCode>
                <c:ptCount val="6"/>
                <c:pt idx="0">
                  <c:v>2.1428571428571429E-2</c:v>
                </c:pt>
                <c:pt idx="1">
                  <c:v>0.1</c:v>
                </c:pt>
                <c:pt idx="2">
                  <c:v>0.19285714285714287</c:v>
                </c:pt>
                <c:pt idx="3">
                  <c:v>0.25</c:v>
                </c:pt>
                <c:pt idx="4">
                  <c:v>0.3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10-4DD5-B06A-4A7A13A55B46}"/>
            </c:ext>
          </c:extLst>
        </c:ser>
        <c:ser>
          <c:idx val="2"/>
          <c:order val="2"/>
          <c:tx>
            <c:strRef>
              <c:f>SALINAS!$L$1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SALINAS!$L$2:$L$7</c:f>
              <c:numCache>
                <c:formatCode>0.00</c:formatCode>
                <c:ptCount val="6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0.13461538461538464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10-4DD5-B06A-4A7A13A55B46}"/>
            </c:ext>
          </c:extLst>
        </c:ser>
        <c:ser>
          <c:idx val="3"/>
          <c:order val="3"/>
          <c:tx>
            <c:strRef>
              <c:f>SALINAS!$M$1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SALINAS!$M$2:$M$7</c:f>
              <c:numCache>
                <c:formatCode>0.00</c:formatCode>
                <c:ptCount val="6"/>
                <c:pt idx="0">
                  <c:v>1.0416666666666666E-2</c:v>
                </c:pt>
                <c:pt idx="1">
                  <c:v>7.2916666666666671E-2</c:v>
                </c:pt>
                <c:pt idx="2">
                  <c:v>8.3333333333333343E-2</c:v>
                </c:pt>
                <c:pt idx="3">
                  <c:v>0.11458333333333334</c:v>
                </c:pt>
                <c:pt idx="4">
                  <c:v>0.16666666666666669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10-4DD5-B06A-4A7A13A55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721488"/>
        <c:axId val="296720528"/>
      </c:scatterChart>
      <c:valAx>
        <c:axId val="2967214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6720528"/>
        <c:crosses val="autoZero"/>
        <c:crossBetween val="midCat"/>
      </c:valAx>
      <c:valAx>
        <c:axId val="2967205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6721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SALINAS!$J$1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SALINAS!$J$2:$J$7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E2-4370-9378-294451C0EF69}"/>
            </c:ext>
          </c:extLst>
        </c:ser>
        <c:ser>
          <c:idx val="1"/>
          <c:order val="1"/>
          <c:tx>
            <c:strRef>
              <c:f>SALINAS!$N$1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SALINAS!$N$2:$N$7</c:f>
              <c:numCache>
                <c:formatCode>0.00</c:formatCode>
                <c:ptCount val="6"/>
                <c:pt idx="0">
                  <c:v>7.4534161490683232E-2</c:v>
                </c:pt>
                <c:pt idx="1">
                  <c:v>0.13043478260869565</c:v>
                </c:pt>
                <c:pt idx="2">
                  <c:v>0.16770186335403725</c:v>
                </c:pt>
                <c:pt idx="3">
                  <c:v>0.22360248447204967</c:v>
                </c:pt>
                <c:pt idx="4">
                  <c:v>0.29192546583850931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E2-4370-9378-294451C0EF69}"/>
            </c:ext>
          </c:extLst>
        </c:ser>
        <c:ser>
          <c:idx val="2"/>
          <c:order val="2"/>
          <c:tx>
            <c:strRef>
              <c:f>SALINAS!$O$1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SALINAS!$O$2:$O$7</c:f>
              <c:numCache>
                <c:formatCode>0.00</c:formatCode>
                <c:ptCount val="6"/>
                <c:pt idx="0">
                  <c:v>6.7669172932330823E-2</c:v>
                </c:pt>
                <c:pt idx="1">
                  <c:v>9.7744360902255634E-2</c:v>
                </c:pt>
                <c:pt idx="2">
                  <c:v>0.18045112781954886</c:v>
                </c:pt>
                <c:pt idx="3">
                  <c:v>0.23308270676691728</c:v>
                </c:pt>
                <c:pt idx="4">
                  <c:v>0.30827067669172931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E2-4370-9378-294451C0EF69}"/>
            </c:ext>
          </c:extLst>
        </c:ser>
        <c:ser>
          <c:idx val="3"/>
          <c:order val="3"/>
          <c:tx>
            <c:strRef>
              <c:f>SALINAS!$P$1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SALINAS!$P$2:$P$7</c:f>
              <c:numCache>
                <c:formatCode>0.00</c:formatCode>
                <c:ptCount val="6"/>
                <c:pt idx="0">
                  <c:v>9.8039215686274508E-2</c:v>
                </c:pt>
                <c:pt idx="1">
                  <c:v>0.13725490196078433</c:v>
                </c:pt>
                <c:pt idx="2">
                  <c:v>0.15686274509803921</c:v>
                </c:pt>
                <c:pt idx="3">
                  <c:v>0.19607843137254902</c:v>
                </c:pt>
                <c:pt idx="4">
                  <c:v>0.25490196078431371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6E2-4370-9378-294451C0E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491984"/>
        <c:axId val="655496304"/>
      </c:scatterChart>
      <c:valAx>
        <c:axId val="6554919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496304"/>
        <c:crosses val="autoZero"/>
        <c:crossBetween val="midCat"/>
      </c:valAx>
      <c:valAx>
        <c:axId val="6554963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491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TAIOBEIRAS!$J$1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TAIOBEIRAS!$J$2:$J$11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82-4AF4-95F7-0DBD865AD9EA}"/>
            </c:ext>
          </c:extLst>
        </c:ser>
        <c:ser>
          <c:idx val="1"/>
          <c:order val="1"/>
          <c:tx>
            <c:strRef>
              <c:f>TAIOBEIRAS!$K$1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TAIOBEIRAS!$K$2:$K$11</c:f>
              <c:numCache>
                <c:formatCode>0.00</c:formatCode>
                <c:ptCount val="10"/>
                <c:pt idx="0">
                  <c:v>3.7914691943127965E-2</c:v>
                </c:pt>
                <c:pt idx="1">
                  <c:v>4.7393364928909956E-2</c:v>
                </c:pt>
                <c:pt idx="2">
                  <c:v>8.5308056872037921E-2</c:v>
                </c:pt>
                <c:pt idx="3">
                  <c:v>0.1042654028436019</c:v>
                </c:pt>
                <c:pt idx="4">
                  <c:v>0.18009478672985785</c:v>
                </c:pt>
                <c:pt idx="5">
                  <c:v>0.26540284360189575</c:v>
                </c:pt>
                <c:pt idx="6">
                  <c:v>0.29857819905213273</c:v>
                </c:pt>
                <c:pt idx="7">
                  <c:v>0.37914691943127965</c:v>
                </c:pt>
                <c:pt idx="8">
                  <c:v>0.61137440758293837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82-4AF4-95F7-0DBD865AD9EA}"/>
            </c:ext>
          </c:extLst>
        </c:ser>
        <c:ser>
          <c:idx val="2"/>
          <c:order val="2"/>
          <c:tx>
            <c:strRef>
              <c:f>TAIOBEIRAS!$L$1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TAIOBEIRAS!$L$2:$L$11</c:f>
              <c:numCache>
                <c:formatCode>0.00</c:formatCode>
                <c:ptCount val="10"/>
                <c:pt idx="0">
                  <c:v>3.3057851239669422E-2</c:v>
                </c:pt>
                <c:pt idx="1">
                  <c:v>3.3057851239669422E-2</c:v>
                </c:pt>
                <c:pt idx="2">
                  <c:v>7.43801652892562E-2</c:v>
                </c:pt>
                <c:pt idx="3">
                  <c:v>9.9173553719008267E-2</c:v>
                </c:pt>
                <c:pt idx="4">
                  <c:v>0.16528925619834711</c:v>
                </c:pt>
                <c:pt idx="5">
                  <c:v>0.20661157024793389</c:v>
                </c:pt>
                <c:pt idx="6">
                  <c:v>0.23140495867768596</c:v>
                </c:pt>
                <c:pt idx="7">
                  <c:v>0.26446280991735538</c:v>
                </c:pt>
                <c:pt idx="8">
                  <c:v>0.48760330578512401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82-4AF4-95F7-0DBD865AD9EA}"/>
            </c:ext>
          </c:extLst>
        </c:ser>
        <c:ser>
          <c:idx val="3"/>
          <c:order val="3"/>
          <c:tx>
            <c:strRef>
              <c:f>TAIOBEIRAS!$M$1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TAIOBEIRAS!$M$2:$M$11</c:f>
              <c:numCache>
                <c:formatCode>0.00</c:formatCode>
                <c:ptCount val="10"/>
                <c:pt idx="0">
                  <c:v>1.5748031496062992E-2</c:v>
                </c:pt>
                <c:pt idx="1">
                  <c:v>1.5748031496062992E-2</c:v>
                </c:pt>
                <c:pt idx="2">
                  <c:v>7.0866141732283464E-2</c:v>
                </c:pt>
                <c:pt idx="3">
                  <c:v>8.6614173228346455E-2</c:v>
                </c:pt>
                <c:pt idx="4">
                  <c:v>0.14960629921259844</c:v>
                </c:pt>
                <c:pt idx="5">
                  <c:v>0.16535433070866143</c:v>
                </c:pt>
                <c:pt idx="6">
                  <c:v>0.2125984251968504</c:v>
                </c:pt>
                <c:pt idx="7">
                  <c:v>0.26771653543307089</c:v>
                </c:pt>
                <c:pt idx="8">
                  <c:v>0.61417322834645671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82-4AF4-95F7-0DBD865AD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983632"/>
        <c:axId val="424984112"/>
      </c:scatterChart>
      <c:valAx>
        <c:axId val="4249836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984112"/>
        <c:crosses val="autoZero"/>
        <c:crossBetween val="midCat"/>
      </c:valAx>
      <c:valAx>
        <c:axId val="4249841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983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TAIOBEIRAS!$J$1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TAIOBEIRAS!$J$2:$J$11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FB-4758-8727-39899A5C62E4}"/>
            </c:ext>
          </c:extLst>
        </c:ser>
        <c:ser>
          <c:idx val="1"/>
          <c:order val="1"/>
          <c:tx>
            <c:strRef>
              <c:f>TAIOBEIRAS!$N$1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TAIOBEIRAS!$N$2:$N$11</c:f>
              <c:numCache>
                <c:formatCode>0.00</c:formatCode>
                <c:ptCount val="10"/>
                <c:pt idx="0">
                  <c:v>1.2875536480686695E-2</c:v>
                </c:pt>
                <c:pt idx="1">
                  <c:v>1.7167381974248927E-2</c:v>
                </c:pt>
                <c:pt idx="2">
                  <c:v>7.7253218884120178E-2</c:v>
                </c:pt>
                <c:pt idx="3">
                  <c:v>8.5836909871244649E-2</c:v>
                </c:pt>
                <c:pt idx="4">
                  <c:v>0.20171673819742492</c:v>
                </c:pt>
                <c:pt idx="5">
                  <c:v>0.25751072961373395</c:v>
                </c:pt>
                <c:pt idx="6">
                  <c:v>0.30042918454935624</c:v>
                </c:pt>
                <c:pt idx="7">
                  <c:v>0.43776824034334766</c:v>
                </c:pt>
                <c:pt idx="8">
                  <c:v>0.65236051502145931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FB-4758-8727-39899A5C62E4}"/>
            </c:ext>
          </c:extLst>
        </c:ser>
        <c:ser>
          <c:idx val="2"/>
          <c:order val="2"/>
          <c:tx>
            <c:strRef>
              <c:f>TAIOBEIRAS!$O$1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TAIOBEIRAS!$O$2:$O$11</c:f>
              <c:numCache>
                <c:formatCode>0.00</c:formatCode>
                <c:ptCount val="10"/>
                <c:pt idx="0">
                  <c:v>4.878048780487805E-2</c:v>
                </c:pt>
                <c:pt idx="1">
                  <c:v>6.097560975609756E-2</c:v>
                </c:pt>
                <c:pt idx="2">
                  <c:v>8.5365853658536578E-2</c:v>
                </c:pt>
                <c:pt idx="3">
                  <c:v>0.1097560975609756</c:v>
                </c:pt>
                <c:pt idx="4">
                  <c:v>0.12804878048780485</c:v>
                </c:pt>
                <c:pt idx="5">
                  <c:v>0.18292682926829265</c:v>
                </c:pt>
                <c:pt idx="6">
                  <c:v>0.20731707317073167</c:v>
                </c:pt>
                <c:pt idx="7">
                  <c:v>0.47560975609756095</c:v>
                </c:pt>
                <c:pt idx="8">
                  <c:v>0.73170731707317072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FB-4758-8727-39899A5C62E4}"/>
            </c:ext>
          </c:extLst>
        </c:ser>
        <c:ser>
          <c:idx val="3"/>
          <c:order val="3"/>
          <c:tx>
            <c:strRef>
              <c:f>TAIOBEIRAS!$P$1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TAIOBEIRAS!$P$2:$P$11</c:f>
              <c:numCache>
                <c:formatCode>0.00</c:formatCode>
                <c:ptCount val="10"/>
                <c:pt idx="0">
                  <c:v>1.1111111111111112E-2</c:v>
                </c:pt>
                <c:pt idx="1">
                  <c:v>4.4444444444444446E-2</c:v>
                </c:pt>
                <c:pt idx="2">
                  <c:v>7.7777777777777779E-2</c:v>
                </c:pt>
                <c:pt idx="3">
                  <c:v>0.1</c:v>
                </c:pt>
                <c:pt idx="4">
                  <c:v>0.18888888888888888</c:v>
                </c:pt>
                <c:pt idx="5">
                  <c:v>0.24444444444444444</c:v>
                </c:pt>
                <c:pt idx="6">
                  <c:v>0.3</c:v>
                </c:pt>
                <c:pt idx="7">
                  <c:v>0.51111111111111107</c:v>
                </c:pt>
                <c:pt idx="8">
                  <c:v>0.79999999999999993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3FB-4758-8727-39899A5C6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799376"/>
        <c:axId val="309810896"/>
      </c:scatterChart>
      <c:valAx>
        <c:axId val="3097993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10896"/>
        <c:crosses val="autoZero"/>
        <c:crossBetween val="midCat"/>
      </c:valAx>
      <c:valAx>
        <c:axId val="309810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79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99060</xdr:colOff>
      <xdr:row>0</xdr:row>
      <xdr:rowOff>26670</xdr:rowOff>
    </xdr:from>
    <xdr:to>
      <xdr:col>23</xdr:col>
      <xdr:colOff>403860</xdr:colOff>
      <xdr:row>12</xdr:row>
      <xdr:rowOff>110490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36310EC-2282-23C8-42FE-E0CCC6F8F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60960</xdr:colOff>
      <xdr:row>12</xdr:row>
      <xdr:rowOff>156210</xdr:rowOff>
    </xdr:from>
    <xdr:to>
      <xdr:col>23</xdr:col>
      <xdr:colOff>365760</xdr:colOff>
      <xdr:row>27</xdr:row>
      <xdr:rowOff>156210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4A2B8CD-E18F-426B-D3F3-2651FD34D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99060</xdr:colOff>
      <xdr:row>0</xdr:row>
      <xdr:rowOff>49530</xdr:rowOff>
    </xdr:from>
    <xdr:to>
      <xdr:col>23</xdr:col>
      <xdr:colOff>403860</xdr:colOff>
      <xdr:row>13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FFCA580-6B42-3CDD-D28C-95648DE0A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83820</xdr:colOff>
      <xdr:row>14</xdr:row>
      <xdr:rowOff>19050</xdr:rowOff>
    </xdr:from>
    <xdr:to>
      <xdr:col>23</xdr:col>
      <xdr:colOff>388620</xdr:colOff>
      <xdr:row>28</xdr:row>
      <xdr:rowOff>19050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ECDB167-8629-CC9A-AF8F-496F95681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220980</xdr:colOff>
      <xdr:row>0</xdr:row>
      <xdr:rowOff>57150</xdr:rowOff>
    </xdr:from>
    <xdr:to>
      <xdr:col>23</xdr:col>
      <xdr:colOff>525780</xdr:colOff>
      <xdr:row>12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00FB148-61C1-83E4-FD01-FF7E5B14D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259080</xdr:colOff>
      <xdr:row>12</xdr:row>
      <xdr:rowOff>156210</xdr:rowOff>
    </xdr:from>
    <xdr:to>
      <xdr:col>23</xdr:col>
      <xdr:colOff>563880</xdr:colOff>
      <xdr:row>27</xdr:row>
      <xdr:rowOff>156210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CDD74E9-46FC-9A4B-5C52-3E8A4281D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129540</xdr:colOff>
      <xdr:row>0</xdr:row>
      <xdr:rowOff>0</xdr:rowOff>
    </xdr:from>
    <xdr:to>
      <xdr:col>23</xdr:col>
      <xdr:colOff>434340</xdr:colOff>
      <xdr:row>12</xdr:row>
      <xdr:rowOff>83820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CEB9E5E-0B26-0F86-46FB-A6A92229B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266700</xdr:colOff>
      <xdr:row>12</xdr:row>
      <xdr:rowOff>140970</xdr:rowOff>
    </xdr:from>
    <xdr:to>
      <xdr:col>23</xdr:col>
      <xdr:colOff>571500</xdr:colOff>
      <xdr:row>27</xdr:row>
      <xdr:rowOff>140970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CD46141-44AE-9B73-843E-EB12694F0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175260</xdr:colOff>
      <xdr:row>0</xdr:row>
      <xdr:rowOff>57150</xdr:rowOff>
    </xdr:from>
    <xdr:to>
      <xdr:col>23</xdr:col>
      <xdr:colOff>480060</xdr:colOff>
      <xdr:row>13</xdr:row>
      <xdr:rowOff>140970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017CDB0-3897-EFE6-2589-F4FDB46B0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144780</xdr:colOff>
      <xdr:row>13</xdr:row>
      <xdr:rowOff>179070</xdr:rowOff>
    </xdr:from>
    <xdr:to>
      <xdr:col>23</xdr:col>
      <xdr:colOff>449580</xdr:colOff>
      <xdr:row>27</xdr:row>
      <xdr:rowOff>179070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7779612-B0E5-72DE-0C5F-AF75F765F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91440</xdr:colOff>
      <xdr:row>0</xdr:row>
      <xdr:rowOff>41910</xdr:rowOff>
    </xdr:from>
    <xdr:to>
      <xdr:col>23</xdr:col>
      <xdr:colOff>396240</xdr:colOff>
      <xdr:row>12</xdr:row>
      <xdr:rowOff>125730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12DC2E-2542-3134-16DA-5670673DF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83820</xdr:colOff>
      <xdr:row>13</xdr:row>
      <xdr:rowOff>11430</xdr:rowOff>
    </xdr:from>
    <xdr:to>
      <xdr:col>23</xdr:col>
      <xdr:colOff>388620</xdr:colOff>
      <xdr:row>28</xdr:row>
      <xdr:rowOff>11430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6836FF-F319-3E6A-76C1-A846522B8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194829</xdr:colOff>
      <xdr:row>0</xdr:row>
      <xdr:rowOff>39832</xdr:rowOff>
    </xdr:from>
    <xdr:to>
      <xdr:col>23</xdr:col>
      <xdr:colOff>523875</xdr:colOff>
      <xdr:row>12</xdr:row>
      <xdr:rowOff>133350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8A42926-AEB6-1F91-9C03-7EBF7F576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186170</xdr:colOff>
      <xdr:row>12</xdr:row>
      <xdr:rowOff>169718</xdr:rowOff>
    </xdr:from>
    <xdr:to>
      <xdr:col>23</xdr:col>
      <xdr:colOff>515216</xdr:colOff>
      <xdr:row>28</xdr:row>
      <xdr:rowOff>3464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8192AA17-B03E-E737-6FCD-9BDEC080B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68580</xdr:colOff>
      <xdr:row>0</xdr:row>
      <xdr:rowOff>45720</xdr:rowOff>
    </xdr:from>
    <xdr:to>
      <xdr:col>23</xdr:col>
      <xdr:colOff>373380</xdr:colOff>
      <xdr:row>12</xdr:row>
      <xdr:rowOff>129540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EA3500-78E6-C38E-48F4-2B781C455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67236</xdr:colOff>
      <xdr:row>13</xdr:row>
      <xdr:rowOff>35859</xdr:rowOff>
    </xdr:from>
    <xdr:to>
      <xdr:col>23</xdr:col>
      <xdr:colOff>372036</xdr:colOff>
      <xdr:row>28</xdr:row>
      <xdr:rowOff>89647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BC27FC3-9202-F0F1-19BF-A5762D474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155510</xdr:colOff>
      <xdr:row>0</xdr:row>
      <xdr:rowOff>62981</xdr:rowOff>
    </xdr:from>
    <xdr:to>
      <xdr:col>23</xdr:col>
      <xdr:colOff>482082</xdr:colOff>
      <xdr:row>12</xdr:row>
      <xdr:rowOff>108079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4909EBAA-417A-4672-7EC4-7E49B96D0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171062</xdr:colOff>
      <xdr:row>12</xdr:row>
      <xdr:rowOff>148512</xdr:rowOff>
    </xdr:from>
    <xdr:to>
      <xdr:col>23</xdr:col>
      <xdr:colOff>497634</xdr:colOff>
      <xdr:row>27</xdr:row>
      <xdr:rowOff>92528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2714E1C4-F0FF-5C2E-7AB6-FBD9962F6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198120</xdr:colOff>
      <xdr:row>0</xdr:row>
      <xdr:rowOff>57150</xdr:rowOff>
    </xdr:from>
    <xdr:to>
      <xdr:col>23</xdr:col>
      <xdr:colOff>502920</xdr:colOff>
      <xdr:row>12</xdr:row>
      <xdr:rowOff>140970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EDD41B0-8876-B840-0157-5BEF3B410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182880</xdr:colOff>
      <xdr:row>13</xdr:row>
      <xdr:rowOff>3810</xdr:rowOff>
    </xdr:from>
    <xdr:to>
      <xdr:col>23</xdr:col>
      <xdr:colOff>487680</xdr:colOff>
      <xdr:row>28</xdr:row>
      <xdr:rowOff>3810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9F6FDED-41C3-896F-B791-42D13BAB6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99060</xdr:colOff>
      <xdr:row>0</xdr:row>
      <xdr:rowOff>49530</xdr:rowOff>
    </xdr:from>
    <xdr:to>
      <xdr:col>23</xdr:col>
      <xdr:colOff>403860</xdr:colOff>
      <xdr:row>12</xdr:row>
      <xdr:rowOff>316230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32D0321-02A4-74BC-C95B-73AEE8548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13</xdr:row>
      <xdr:rowOff>3810</xdr:rowOff>
    </xdr:from>
    <xdr:to>
      <xdr:col>23</xdr:col>
      <xdr:colOff>396240</xdr:colOff>
      <xdr:row>28</xdr:row>
      <xdr:rowOff>3810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711742A-6FBA-A553-0BFF-C7A853BF5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36F3-19D5-43E9-BEA4-DE4E28F7D501}">
  <dimension ref="A1:P17"/>
  <sheetViews>
    <sheetView tabSelected="1" workbookViewId="0">
      <selection activeCell="A18" sqref="A18"/>
    </sheetView>
  </sheetViews>
  <sheetFormatPr defaultRowHeight="14.4" x14ac:dyDescent="0.3"/>
  <sheetData>
    <row r="1" spans="1:16" ht="36.6" customHeight="1" x14ac:dyDescent="0.3">
      <c r="A1" s="4" t="s">
        <v>108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4</v>
      </c>
      <c r="B2" s="16">
        <v>6.0189285623908698E-2</v>
      </c>
      <c r="C2" s="16">
        <v>5.1724137931034482E-2</v>
      </c>
      <c r="D2" s="16">
        <v>0.17948717948717949</v>
      </c>
      <c r="E2" s="16">
        <v>0</v>
      </c>
      <c r="F2" s="16">
        <v>0.11320754716981132</v>
      </c>
      <c r="G2" s="16">
        <v>9.7297297297297303E-2</v>
      </c>
      <c r="H2" s="16">
        <v>0.13392857142857142</v>
      </c>
      <c r="I2" s="11">
        <v>6.0189285623908698E-2</v>
      </c>
      <c r="J2" s="17">
        <v>6.0189285623908698E-2</v>
      </c>
      <c r="K2" s="17">
        <v>5.1724137931034482E-2</v>
      </c>
      <c r="L2" s="17">
        <v>0.17948717948717949</v>
      </c>
      <c r="M2" s="17">
        <v>0</v>
      </c>
      <c r="N2" s="17">
        <v>0.11320754716981132</v>
      </c>
      <c r="O2" s="17">
        <v>9.7297297297297303E-2</v>
      </c>
      <c r="P2" s="17">
        <v>0.13392857142857142</v>
      </c>
    </row>
    <row r="3" spans="1:16" x14ac:dyDescent="0.3">
      <c r="A3" s="11" t="s">
        <v>3</v>
      </c>
      <c r="B3" s="16">
        <v>6.3327175645924536E-2</v>
      </c>
      <c r="C3" s="16">
        <v>8.0459770114942528E-2</v>
      </c>
      <c r="D3" s="16">
        <v>2.564102564102564E-2</v>
      </c>
      <c r="E3" s="16">
        <v>7.0707070707070704E-2</v>
      </c>
      <c r="F3" s="16">
        <v>6.0377358490566038E-2</v>
      </c>
      <c r="G3" s="16">
        <v>6.4864864864864868E-2</v>
      </c>
      <c r="H3" s="16">
        <v>3.5714285714285712E-2</v>
      </c>
      <c r="I3" s="11">
        <v>0.12351646126983323</v>
      </c>
      <c r="J3" s="11">
        <f t="shared" ref="J3:P7" si="0">J2+B3</f>
        <v>0.12351646126983323</v>
      </c>
      <c r="K3" s="11">
        <f t="shared" si="0"/>
        <v>0.13218390804597702</v>
      </c>
      <c r="L3" s="11">
        <f t="shared" si="0"/>
        <v>0.20512820512820512</v>
      </c>
      <c r="M3" s="11">
        <f t="shared" si="0"/>
        <v>7.0707070707070704E-2</v>
      </c>
      <c r="N3" s="11">
        <f t="shared" si="0"/>
        <v>0.17358490566037738</v>
      </c>
      <c r="O3" s="11">
        <f t="shared" si="0"/>
        <v>0.16216216216216217</v>
      </c>
      <c r="P3" s="11">
        <f t="shared" si="0"/>
        <v>0.16964285714285715</v>
      </c>
    </row>
    <row r="4" spans="1:16" x14ac:dyDescent="0.3">
      <c r="A4" s="11" t="s">
        <v>2</v>
      </c>
      <c r="B4" s="16">
        <v>6.6654857403142947E-2</v>
      </c>
      <c r="C4" s="16">
        <v>4.5977011494252873E-2</v>
      </c>
      <c r="D4" s="16">
        <v>0.12820512820512819</v>
      </c>
      <c r="E4" s="16">
        <v>3.0303030303030304E-2</v>
      </c>
      <c r="F4" s="16">
        <v>1.8867924528301886E-2</v>
      </c>
      <c r="G4" s="16">
        <v>1.6216216216216217E-2</v>
      </c>
      <c r="H4" s="16">
        <v>1.7857142857142856E-2</v>
      </c>
      <c r="I4" s="11">
        <v>0.19017131867297618</v>
      </c>
      <c r="J4" s="11">
        <f t="shared" si="0"/>
        <v>0.19017131867297618</v>
      </c>
      <c r="K4" s="11">
        <f t="shared" si="0"/>
        <v>0.17816091954022989</v>
      </c>
      <c r="L4" s="11">
        <f t="shared" si="0"/>
        <v>0.33333333333333331</v>
      </c>
      <c r="M4" s="11">
        <f t="shared" si="0"/>
        <v>0.10101010101010101</v>
      </c>
      <c r="N4" s="11">
        <f t="shared" si="0"/>
        <v>0.19245283018867926</v>
      </c>
      <c r="O4" s="11">
        <f t="shared" si="0"/>
        <v>0.17837837837837839</v>
      </c>
      <c r="P4" s="11">
        <f t="shared" si="0"/>
        <v>0.1875</v>
      </c>
    </row>
    <row r="5" spans="1:16" x14ac:dyDescent="0.3">
      <c r="A5" s="11" t="s">
        <v>5</v>
      </c>
      <c r="B5" s="16">
        <v>7.8991320191310069E-2</v>
      </c>
      <c r="C5" s="16">
        <v>8.0459770114942528E-2</v>
      </c>
      <c r="D5" s="16">
        <v>0</v>
      </c>
      <c r="E5" s="16">
        <v>8.0808080808080815E-2</v>
      </c>
      <c r="F5" s="16">
        <v>9.8113207547169817E-2</v>
      </c>
      <c r="G5" s="16">
        <v>0.10270270270270271</v>
      </c>
      <c r="H5" s="16">
        <v>0.14285714285714285</v>
      </c>
      <c r="I5" s="11">
        <v>0.26916263886428626</v>
      </c>
      <c r="J5" s="11">
        <f t="shared" si="0"/>
        <v>0.26916263886428626</v>
      </c>
      <c r="K5" s="11">
        <f t="shared" si="0"/>
        <v>0.25862068965517243</v>
      </c>
      <c r="L5" s="11">
        <f t="shared" si="0"/>
        <v>0.33333333333333331</v>
      </c>
      <c r="M5" s="11">
        <f t="shared" si="0"/>
        <v>0.18181818181818182</v>
      </c>
      <c r="N5" s="11">
        <f t="shared" si="0"/>
        <v>0.2905660377358491</v>
      </c>
      <c r="O5" s="11">
        <f t="shared" si="0"/>
        <v>0.2810810810810811</v>
      </c>
      <c r="P5" s="11">
        <f t="shared" si="0"/>
        <v>0.33035714285714285</v>
      </c>
    </row>
    <row r="6" spans="1:16" x14ac:dyDescent="0.3">
      <c r="A6" s="11" t="s">
        <v>1</v>
      </c>
      <c r="B6" s="16">
        <v>9.160614419110763E-2</v>
      </c>
      <c r="C6" s="16">
        <v>5.7471264367816091E-2</v>
      </c>
      <c r="D6" s="16">
        <v>2.564102564102564E-2</v>
      </c>
      <c r="E6" s="16">
        <v>2.0202020202020204E-2</v>
      </c>
      <c r="F6" s="16">
        <v>0.11320754716981132</v>
      </c>
      <c r="G6" s="16">
        <v>0.11891891891891893</v>
      </c>
      <c r="H6" s="16">
        <v>5.3571428571428568E-2</v>
      </c>
      <c r="I6" s="11">
        <v>0.36076878305539389</v>
      </c>
      <c r="J6" s="11">
        <f t="shared" si="0"/>
        <v>0.36076878305539389</v>
      </c>
      <c r="K6" s="11">
        <f t="shared" si="0"/>
        <v>0.31609195402298851</v>
      </c>
      <c r="L6" s="11">
        <f t="shared" si="0"/>
        <v>0.35897435897435898</v>
      </c>
      <c r="M6" s="11">
        <f t="shared" si="0"/>
        <v>0.20202020202020202</v>
      </c>
      <c r="N6" s="11">
        <f t="shared" si="0"/>
        <v>0.4037735849056604</v>
      </c>
      <c r="O6" s="11">
        <f t="shared" si="0"/>
        <v>0.4</v>
      </c>
      <c r="P6" s="11">
        <f t="shared" si="0"/>
        <v>0.3839285714285714</v>
      </c>
    </row>
    <row r="7" spans="1:16" x14ac:dyDescent="0.3">
      <c r="A7" s="11" t="s">
        <v>0</v>
      </c>
      <c r="B7" s="16">
        <v>0.63923121694460616</v>
      </c>
      <c r="C7" s="16">
        <v>0.68390804597701149</v>
      </c>
      <c r="D7" s="16">
        <v>0.64102564102564108</v>
      </c>
      <c r="E7" s="16">
        <v>0.79797979797979801</v>
      </c>
      <c r="F7" s="16">
        <v>0.5962264150943396</v>
      </c>
      <c r="G7" s="16">
        <v>0.6</v>
      </c>
      <c r="H7" s="16">
        <v>0.6160714285714286</v>
      </c>
      <c r="I7" s="11">
        <v>1</v>
      </c>
      <c r="J7" s="11">
        <f t="shared" si="0"/>
        <v>1</v>
      </c>
      <c r="K7" s="11">
        <f t="shared" si="0"/>
        <v>1</v>
      </c>
      <c r="L7" s="11">
        <f t="shared" si="0"/>
        <v>1</v>
      </c>
      <c r="M7" s="11">
        <f t="shared" si="0"/>
        <v>1</v>
      </c>
      <c r="N7" s="11">
        <f t="shared" si="0"/>
        <v>1</v>
      </c>
      <c r="O7" s="11">
        <f t="shared" si="0"/>
        <v>1</v>
      </c>
      <c r="P7" s="11">
        <f t="shared" si="0"/>
        <v>1</v>
      </c>
    </row>
    <row r="9" spans="1:16" ht="28.8" x14ac:dyDescent="0.3">
      <c r="B9" s="1" t="s">
        <v>86</v>
      </c>
      <c r="C9" s="2" t="s">
        <v>94</v>
      </c>
      <c r="D9" s="2" t="s">
        <v>95</v>
      </c>
      <c r="E9" s="2" t="s">
        <v>96</v>
      </c>
      <c r="F9" s="2" t="s">
        <v>97</v>
      </c>
      <c r="G9" s="2" t="s">
        <v>98</v>
      </c>
      <c r="H9" s="2" t="s">
        <v>99</v>
      </c>
      <c r="J9" s="1" t="s">
        <v>86</v>
      </c>
      <c r="K9" s="12" t="s">
        <v>100</v>
      </c>
      <c r="L9" s="12" t="s">
        <v>101</v>
      </c>
      <c r="M9" s="12" t="s">
        <v>102</v>
      </c>
      <c r="N9" s="12" t="s">
        <v>103</v>
      </c>
      <c r="O9" s="12" t="s">
        <v>104</v>
      </c>
      <c r="P9" s="12" t="s">
        <v>105</v>
      </c>
    </row>
    <row r="10" spans="1:16" x14ac:dyDescent="0.3">
      <c r="B10" s="11" t="s">
        <v>4</v>
      </c>
      <c r="C10" s="11">
        <f>C2-B2</f>
        <v>-8.4651476928742156E-3</v>
      </c>
      <c r="D10" s="11">
        <f>D2-B2</f>
        <v>0.11929789386327079</v>
      </c>
      <c r="E10" s="11">
        <f>E2-B2</f>
        <v>-6.0189285623908698E-2</v>
      </c>
      <c r="F10" s="11">
        <f>F2-B2</f>
        <v>5.3018261545902626E-2</v>
      </c>
      <c r="G10" s="11">
        <f>G2-B2</f>
        <v>3.7108011673388605E-2</v>
      </c>
      <c r="H10" s="11">
        <f>H2-B2</f>
        <v>7.3739285804662727E-2</v>
      </c>
      <c r="J10" s="11" t="s">
        <v>4</v>
      </c>
      <c r="K10" s="3">
        <f>(J2-0) * ((K2+0))</f>
        <v>3.1132389115814843E-3</v>
      </c>
      <c r="L10" s="3">
        <f>(J2-0) * ((L2+0))</f>
        <v>1.0803205111983613E-2</v>
      </c>
      <c r="M10" s="3">
        <f>(J2-0) * ((M2+0))</f>
        <v>0</v>
      </c>
      <c r="N10" s="3">
        <f>(J2-0) * ((N2+0))</f>
        <v>6.8138813913858906E-3</v>
      </c>
      <c r="O10" s="3">
        <f>(J2-0) * ((O2+0))</f>
        <v>5.8562548174613867E-3</v>
      </c>
      <c r="P10" s="3">
        <f>(J2-0) * ((P2+0))</f>
        <v>8.0610650389163433E-3</v>
      </c>
    </row>
    <row r="11" spans="1:16" x14ac:dyDescent="0.3">
      <c r="B11" s="11" t="s">
        <v>3</v>
      </c>
      <c r="C11" s="11">
        <f t="shared" ref="C11:C15" si="1">C3-B3</f>
        <v>1.7132594469017992E-2</v>
      </c>
      <c r="D11" s="11">
        <f t="shared" ref="D11:D15" si="2">D3-B3</f>
        <v>-3.7686150004898895E-2</v>
      </c>
      <c r="E11" s="11">
        <f t="shared" ref="E11:E15" si="3">E3-B3</f>
        <v>7.3798950611461689E-3</v>
      </c>
      <c r="F11" s="11">
        <f t="shared" ref="F11:F15" si="4">F3-B3</f>
        <v>-2.9498171553584973E-3</v>
      </c>
      <c r="G11" s="11">
        <f t="shared" ref="G11:G15" si="5">G3-B3</f>
        <v>1.5376892189403329E-3</v>
      </c>
      <c r="H11" s="11">
        <f t="shared" ref="H11:H15" si="6">H3-B3</f>
        <v>-2.7612889931638823E-2</v>
      </c>
      <c r="J11" s="11" t="s">
        <v>3</v>
      </c>
      <c r="K11" s="3">
        <f>(J3-J2) * ((K3+K2))</f>
        <v>1.1646377130284971E-2</v>
      </c>
      <c r="L11" s="3">
        <f>(J3-J2) * ((L3+L2))</f>
        <v>2.435660601766328E-2</v>
      </c>
      <c r="M11" s="3">
        <f>(J3-J2) * ((M3+M2))</f>
        <v>4.4776790860754723E-3</v>
      </c>
      <c r="N11" s="3">
        <f>(J3-J2) * ((N3+N2))</f>
        <v>1.8161756034302888E-2</v>
      </c>
      <c r="O11" s="3">
        <f>(J3-J2) * ((O3+O2))</f>
        <v>1.6430834762185827E-2</v>
      </c>
      <c r="P11" s="3">
        <f>(J3-J2) * ((P3+P2))</f>
        <v>1.9224321178227092E-2</v>
      </c>
    </row>
    <row r="12" spans="1:16" x14ac:dyDescent="0.3">
      <c r="B12" s="11" t="s">
        <v>2</v>
      </c>
      <c r="C12" s="11">
        <f t="shared" si="1"/>
        <v>-2.0677845908890075E-2</v>
      </c>
      <c r="D12" s="11">
        <f t="shared" si="2"/>
        <v>6.1550270801985246E-2</v>
      </c>
      <c r="E12" s="11">
        <f t="shared" si="3"/>
        <v>-3.6351827100112644E-2</v>
      </c>
      <c r="F12" s="11">
        <f t="shared" si="4"/>
        <v>-4.7786932874841065E-2</v>
      </c>
      <c r="G12" s="11">
        <f t="shared" si="5"/>
        <v>-5.043864118692673E-2</v>
      </c>
      <c r="H12" s="11">
        <f t="shared" si="6"/>
        <v>-4.8797714546000091E-2</v>
      </c>
      <c r="J12" s="11" t="s">
        <v>2</v>
      </c>
      <c r="K12" s="3">
        <f t="shared" ref="K12:K15" si="7">(J4-J3) * ((K4+K3))</f>
        <v>2.0685990228561605E-2</v>
      </c>
      <c r="L12" s="3">
        <f t="shared" ref="L12:L15" si="8">(J4-J3) * ((L4+L3))</f>
        <v>3.5891077063230817E-2</v>
      </c>
      <c r="M12" s="3">
        <f t="shared" ref="M12:M15" si="9">(J4-J3) * ((M4+M3))</f>
        <v>1.1445783594479092E-2</v>
      </c>
      <c r="N12" s="3">
        <f t="shared" ref="N12:N15" si="10">(J4-J3) * ((N4+N3))</f>
        <v>2.4398193087188175E-2</v>
      </c>
      <c r="O12" s="3">
        <f t="shared" ref="O12:O15" si="11">(J4-J3) * ((O4+O3))</f>
        <v>2.2698681169718952E-2</v>
      </c>
      <c r="P12" s="3">
        <f t="shared" ref="P12:P15" si="12">(J4-J3) * ((P4+P3))</f>
        <v>2.3805306215408197E-2</v>
      </c>
    </row>
    <row r="13" spans="1:16" x14ac:dyDescent="0.3">
      <c r="B13" s="11" t="s">
        <v>5</v>
      </c>
      <c r="C13" s="11">
        <f t="shared" si="1"/>
        <v>1.4684499236324589E-3</v>
      </c>
      <c r="D13" s="11">
        <f t="shared" si="2"/>
        <v>-7.8991320191310069E-2</v>
      </c>
      <c r="E13" s="11">
        <f t="shared" si="3"/>
        <v>1.8167606167707462E-3</v>
      </c>
      <c r="F13" s="11">
        <f t="shared" si="4"/>
        <v>1.9121887355859749E-2</v>
      </c>
      <c r="G13" s="11">
        <f t="shared" si="5"/>
        <v>2.371138251139264E-2</v>
      </c>
      <c r="H13" s="11">
        <f t="shared" si="6"/>
        <v>6.386582266583278E-2</v>
      </c>
      <c r="J13" s="11" t="s">
        <v>5</v>
      </c>
      <c r="K13" s="3">
        <f t="shared" si="7"/>
        <v>3.4501955945629693E-2</v>
      </c>
      <c r="L13" s="3">
        <f t="shared" si="8"/>
        <v>5.2660880127540055E-2</v>
      </c>
      <c r="M13" s="3">
        <f t="shared" si="9"/>
        <v>2.2340979448047294E-2</v>
      </c>
      <c r="N13" s="3">
        <f t="shared" si="10"/>
        <v>3.8154298054670535E-2</v>
      </c>
      <c r="O13" s="3">
        <f t="shared" si="11"/>
        <v>3.6293309277088417E-2</v>
      </c>
      <c r="P13" s="3">
        <f t="shared" si="12"/>
        <v>4.0906219384785572E-2</v>
      </c>
    </row>
    <row r="14" spans="1:16" x14ac:dyDescent="0.3">
      <c r="B14" s="11" t="s">
        <v>1</v>
      </c>
      <c r="C14" s="11">
        <f t="shared" si="1"/>
        <v>-3.4134879823291539E-2</v>
      </c>
      <c r="D14" s="11">
        <f t="shared" si="2"/>
        <v>-6.5965118550081997E-2</v>
      </c>
      <c r="E14" s="11">
        <f t="shared" si="3"/>
        <v>-7.1404123989087423E-2</v>
      </c>
      <c r="F14" s="11">
        <f t="shared" si="4"/>
        <v>2.1601402978703693E-2</v>
      </c>
      <c r="G14" s="11">
        <f t="shared" si="5"/>
        <v>2.7312774727811295E-2</v>
      </c>
      <c r="H14" s="11">
        <f t="shared" si="6"/>
        <v>-3.8034715619679062E-2</v>
      </c>
      <c r="J14" s="11" t="s">
        <v>1</v>
      </c>
      <c r="K14" s="3">
        <f t="shared" si="7"/>
        <v>5.2647209305234269E-2</v>
      </c>
      <c r="L14" s="3">
        <f t="shared" si="8"/>
        <v>6.3419638286151436E-2</v>
      </c>
      <c r="M14" s="3">
        <f t="shared" si="9"/>
        <v>3.5161954335980711E-2</v>
      </c>
      <c r="N14" s="3">
        <f t="shared" si="10"/>
        <v>6.3605775589297378E-2</v>
      </c>
      <c r="O14" s="3">
        <f t="shared" si="11"/>
        <v>6.2391211719348985E-2</v>
      </c>
      <c r="P14" s="3">
        <f t="shared" si="12"/>
        <v>6.5432960136505444E-2</v>
      </c>
    </row>
    <row r="15" spans="1:16" x14ac:dyDescent="0.3">
      <c r="B15" s="11" t="s">
        <v>0</v>
      </c>
      <c r="C15" s="11">
        <f t="shared" si="1"/>
        <v>4.467682903240533E-2</v>
      </c>
      <c r="D15" s="11">
        <f t="shared" si="2"/>
        <v>1.7944240810349177E-3</v>
      </c>
      <c r="E15" s="11">
        <f t="shared" si="3"/>
        <v>0.15874858103519185</v>
      </c>
      <c r="F15" s="11">
        <f t="shared" si="4"/>
        <v>-4.3004801850266561E-2</v>
      </c>
      <c r="G15" s="11">
        <f t="shared" si="5"/>
        <v>-3.9231216944606184E-2</v>
      </c>
      <c r="H15" s="11">
        <f t="shared" si="6"/>
        <v>-2.3159788373177559E-2</v>
      </c>
      <c r="J15" s="11" t="s">
        <v>0</v>
      </c>
      <c r="K15" s="3">
        <f t="shared" si="7"/>
        <v>0.84128706138111964</v>
      </c>
      <c r="L15" s="3">
        <f t="shared" si="8"/>
        <v>0.86869883328369557</v>
      </c>
      <c r="M15" s="3">
        <f t="shared" si="9"/>
        <v>0.76836883652937504</v>
      </c>
      <c r="N15" s="3">
        <f t="shared" si="10"/>
        <v>0.89733589699393779</v>
      </c>
      <c r="O15" s="3">
        <f t="shared" si="11"/>
        <v>0.89492370372244856</v>
      </c>
      <c r="P15" s="3">
        <f t="shared" si="12"/>
        <v>0.88465034487869598</v>
      </c>
    </row>
    <row r="16" spans="1:16" x14ac:dyDescent="0.3">
      <c r="J16" s="13" t="s">
        <v>106</v>
      </c>
      <c r="K16" s="12">
        <f>SUM(K10:K15)</f>
        <v>0.96388183290241169</v>
      </c>
      <c r="L16" s="12">
        <f t="shared" ref="L16:P16" si="13">SUM(L10:L15)</f>
        <v>1.0558302398902648</v>
      </c>
      <c r="M16" s="12">
        <f t="shared" si="13"/>
        <v>0.84179523299395764</v>
      </c>
      <c r="N16" s="12">
        <f t="shared" si="13"/>
        <v>1.0484698011507827</v>
      </c>
      <c r="O16" s="12">
        <f t="shared" si="13"/>
        <v>1.0385939954682522</v>
      </c>
      <c r="P16" s="12">
        <f t="shared" si="13"/>
        <v>1.0420802168325387</v>
      </c>
    </row>
    <row r="17" spans="10:16" x14ac:dyDescent="0.3">
      <c r="J17" s="14" t="s">
        <v>107</v>
      </c>
      <c r="K17" s="15">
        <f>1-K16</f>
        <v>3.6118167097588305E-2</v>
      </c>
      <c r="L17" s="15">
        <f t="shared" ref="L17:P17" si="14">1-L16</f>
        <v>-5.583023989026481E-2</v>
      </c>
      <c r="M17" s="15">
        <f t="shared" si="14"/>
        <v>0.15820476700604236</v>
      </c>
      <c r="N17" s="15">
        <f t="shared" si="14"/>
        <v>-4.8469801150782699E-2</v>
      </c>
      <c r="O17" s="15">
        <f t="shared" si="14"/>
        <v>-3.8593995468252151E-2</v>
      </c>
      <c r="P17" s="15">
        <f t="shared" si="14"/>
        <v>-4.2080216832538708E-2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9D33-5F6C-46DA-ABC4-758B94943C43}">
  <dimension ref="A1:P35"/>
  <sheetViews>
    <sheetView workbookViewId="0">
      <selection activeCell="A18" sqref="A18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7</v>
      </c>
      <c r="B2" s="16">
        <v>1.6250503850478392E-2</v>
      </c>
      <c r="C2" s="16">
        <v>1.834862385321101E-2</v>
      </c>
      <c r="D2" s="16">
        <v>4.9261083743842365E-3</v>
      </c>
      <c r="E2" s="16">
        <v>4.7846889952153108E-3</v>
      </c>
      <c r="F2" s="16">
        <v>1.1267605633802818E-2</v>
      </c>
      <c r="G2" s="16">
        <v>5.2219321148825066E-3</v>
      </c>
      <c r="H2" s="16">
        <v>0</v>
      </c>
      <c r="I2" s="11">
        <v>1.6250503850478392E-2</v>
      </c>
      <c r="J2" s="17">
        <v>1.6250503850478392E-2</v>
      </c>
      <c r="K2" s="17">
        <v>1.834862385321101E-2</v>
      </c>
      <c r="L2" s="17">
        <v>4.9261083743842365E-3</v>
      </c>
      <c r="M2" s="17">
        <v>4.7846889952153108E-3</v>
      </c>
      <c r="N2" s="17">
        <v>1.1267605633802818E-2</v>
      </c>
      <c r="O2" s="17">
        <v>5.2219321148825066E-3</v>
      </c>
      <c r="P2" s="17">
        <v>0</v>
      </c>
    </row>
    <row r="3" spans="1:16" x14ac:dyDescent="0.3">
      <c r="A3" s="11" t="s">
        <v>8</v>
      </c>
      <c r="B3" s="16">
        <v>2.2657360459935931E-2</v>
      </c>
      <c r="C3" s="16">
        <v>1.2232415902140673E-2</v>
      </c>
      <c r="D3" s="16">
        <v>4.9261083743842365E-3</v>
      </c>
      <c r="E3" s="16">
        <v>4.7846889952153108E-3</v>
      </c>
      <c r="F3" s="16">
        <v>2.8169014084507044E-3</v>
      </c>
      <c r="G3" s="16">
        <v>1.8276762402088774E-2</v>
      </c>
      <c r="H3" s="16">
        <v>3.0701754385964911E-2</v>
      </c>
      <c r="I3" s="11">
        <v>3.890786431041432E-2</v>
      </c>
      <c r="J3" s="11">
        <f>J2+B3</f>
        <v>3.890786431041432E-2</v>
      </c>
      <c r="K3" s="11">
        <f t="shared" ref="K3:P16" si="0">K2+C3</f>
        <v>3.0581039755351681E-2</v>
      </c>
      <c r="L3" s="11">
        <f t="shared" si="0"/>
        <v>9.852216748768473E-3</v>
      </c>
      <c r="M3" s="11">
        <f t="shared" si="0"/>
        <v>9.5693779904306216E-3</v>
      </c>
      <c r="N3" s="11">
        <f t="shared" si="0"/>
        <v>1.4084507042253521E-2</v>
      </c>
      <c r="O3" s="11">
        <f t="shared" si="0"/>
        <v>2.3498694516971279E-2</v>
      </c>
      <c r="P3" s="11">
        <f t="shared" si="0"/>
        <v>3.0701754385964911E-2</v>
      </c>
    </row>
    <row r="4" spans="1:16" x14ac:dyDescent="0.3">
      <c r="A4" s="11" t="s">
        <v>13</v>
      </c>
      <c r="B4" s="16">
        <v>2.5589239875257228E-2</v>
      </c>
      <c r="C4" s="16">
        <v>3.3639143730886847E-2</v>
      </c>
      <c r="D4" s="16">
        <v>4.9261083743842365E-3</v>
      </c>
      <c r="E4" s="16">
        <v>2.3923444976076555E-2</v>
      </c>
      <c r="F4" s="16">
        <v>3.6619718309859155E-2</v>
      </c>
      <c r="G4" s="16">
        <v>1.5665796344647518E-2</v>
      </c>
      <c r="H4" s="16">
        <v>0</v>
      </c>
      <c r="I4" s="11">
        <v>6.4497104185671547E-2</v>
      </c>
      <c r="J4" s="11">
        <f t="shared" ref="J4:J16" si="1">J3+B4</f>
        <v>6.4497104185671547E-2</v>
      </c>
      <c r="K4" s="11">
        <f t="shared" si="0"/>
        <v>6.4220183486238536E-2</v>
      </c>
      <c r="L4" s="11">
        <f t="shared" si="0"/>
        <v>1.4778325123152709E-2</v>
      </c>
      <c r="M4" s="11">
        <f t="shared" si="0"/>
        <v>3.3492822966507178E-2</v>
      </c>
      <c r="N4" s="11">
        <f t="shared" si="0"/>
        <v>5.0704225352112678E-2</v>
      </c>
      <c r="O4" s="11">
        <f t="shared" si="0"/>
        <v>3.91644908616188E-2</v>
      </c>
      <c r="P4" s="11">
        <f t="shared" si="0"/>
        <v>3.0701754385964911E-2</v>
      </c>
    </row>
    <row r="5" spans="1:16" x14ac:dyDescent="0.3">
      <c r="A5" s="11" t="s">
        <v>12</v>
      </c>
      <c r="B5" s="16">
        <v>2.8576277658739418E-2</v>
      </c>
      <c r="C5" s="16">
        <v>2.7522935779816515E-2</v>
      </c>
      <c r="D5" s="16">
        <v>2.9556650246305417E-2</v>
      </c>
      <c r="E5" s="16">
        <v>1.9138755980861243E-2</v>
      </c>
      <c r="F5" s="16">
        <v>1.6901408450704224E-2</v>
      </c>
      <c r="G5" s="16">
        <v>4.6997389033942558E-2</v>
      </c>
      <c r="H5" s="16">
        <v>7.0175438596491224E-2</v>
      </c>
      <c r="I5" s="11">
        <v>9.3073381844410968E-2</v>
      </c>
      <c r="J5" s="11">
        <f t="shared" si="1"/>
        <v>9.3073381844410968E-2</v>
      </c>
      <c r="K5" s="11">
        <f t="shared" si="0"/>
        <v>9.1743119266055051E-2</v>
      </c>
      <c r="L5" s="11">
        <f t="shared" si="0"/>
        <v>4.4334975369458129E-2</v>
      </c>
      <c r="M5" s="11">
        <f t="shared" si="0"/>
        <v>5.2631578947368418E-2</v>
      </c>
      <c r="N5" s="11">
        <f t="shared" si="0"/>
        <v>6.7605633802816895E-2</v>
      </c>
      <c r="O5" s="11">
        <f t="shared" si="0"/>
        <v>8.6161879895561358E-2</v>
      </c>
      <c r="P5" s="11">
        <f t="shared" si="0"/>
        <v>0.10087719298245613</v>
      </c>
    </row>
    <row r="6" spans="1:16" x14ac:dyDescent="0.3">
      <c r="A6" s="11" t="s">
        <v>14</v>
      </c>
      <c r="B6" s="16">
        <v>3.1991853533317773E-2</v>
      </c>
      <c r="C6" s="16">
        <v>3.9755351681957186E-2</v>
      </c>
      <c r="D6" s="16">
        <v>1.4778325123152709E-2</v>
      </c>
      <c r="E6" s="16">
        <v>0</v>
      </c>
      <c r="F6" s="16">
        <v>2.8169014084507043E-2</v>
      </c>
      <c r="G6" s="16">
        <v>3.3942558746736295E-2</v>
      </c>
      <c r="H6" s="16">
        <v>5.2631578947368418E-2</v>
      </c>
      <c r="I6" s="11">
        <v>0.12506523537772873</v>
      </c>
      <c r="J6" s="11">
        <f t="shared" si="1"/>
        <v>0.12506523537772873</v>
      </c>
      <c r="K6" s="11">
        <f t="shared" si="0"/>
        <v>0.13149847094801223</v>
      </c>
      <c r="L6" s="11">
        <f t="shared" si="0"/>
        <v>5.9113300492610835E-2</v>
      </c>
      <c r="M6" s="11">
        <f t="shared" si="0"/>
        <v>5.2631578947368418E-2</v>
      </c>
      <c r="N6" s="11">
        <f t="shared" si="0"/>
        <v>9.5774647887323941E-2</v>
      </c>
      <c r="O6" s="11">
        <f t="shared" si="0"/>
        <v>0.12010443864229765</v>
      </c>
      <c r="P6" s="11">
        <f t="shared" si="0"/>
        <v>0.15350877192982454</v>
      </c>
    </row>
    <row r="7" spans="1:16" x14ac:dyDescent="0.3">
      <c r="A7" s="11" t="s">
        <v>10</v>
      </c>
      <c r="B7" s="16">
        <v>3.3905424613361053E-2</v>
      </c>
      <c r="C7" s="16">
        <v>3.9755351681957186E-2</v>
      </c>
      <c r="D7" s="16">
        <v>2.4630541871921183E-2</v>
      </c>
      <c r="E7" s="16">
        <v>9.5693779904306216E-3</v>
      </c>
      <c r="F7" s="16">
        <v>3.0985915492957747E-2</v>
      </c>
      <c r="G7" s="16">
        <v>4.1775456919060053E-2</v>
      </c>
      <c r="H7" s="16">
        <v>4.8245614035087717E-2</v>
      </c>
      <c r="I7" s="11">
        <v>0.15897065999108978</v>
      </c>
      <c r="J7" s="11">
        <f t="shared" si="1"/>
        <v>0.15897065999108978</v>
      </c>
      <c r="K7" s="11">
        <f t="shared" si="0"/>
        <v>0.17125382262996941</v>
      </c>
      <c r="L7" s="11">
        <f t="shared" si="0"/>
        <v>8.3743842364532015E-2</v>
      </c>
      <c r="M7" s="11">
        <f t="shared" si="0"/>
        <v>6.2200956937799042E-2</v>
      </c>
      <c r="N7" s="11">
        <f t="shared" si="0"/>
        <v>0.12676056338028169</v>
      </c>
      <c r="O7" s="11">
        <f t="shared" si="0"/>
        <v>0.16187989556135771</v>
      </c>
      <c r="P7" s="11">
        <f t="shared" si="0"/>
        <v>0.20175438596491224</v>
      </c>
    </row>
    <row r="8" spans="1:16" x14ac:dyDescent="0.3">
      <c r="A8" s="11" t="s">
        <v>11</v>
      </c>
      <c r="B8" s="16">
        <v>4.1436663343021408E-2</v>
      </c>
      <c r="C8" s="16">
        <v>3.0581039755351681E-2</v>
      </c>
      <c r="D8" s="16">
        <v>1.9704433497536946E-2</v>
      </c>
      <c r="E8" s="16">
        <v>4.7846889952153108E-3</v>
      </c>
      <c r="F8" s="16">
        <v>1.4084507042253521E-2</v>
      </c>
      <c r="G8" s="16">
        <v>9.1383812010443863E-2</v>
      </c>
      <c r="H8" s="16">
        <v>1.7543859649122806E-2</v>
      </c>
      <c r="I8" s="11">
        <v>0.20040732333411118</v>
      </c>
      <c r="J8" s="11">
        <f t="shared" si="1"/>
        <v>0.20040732333411118</v>
      </c>
      <c r="K8" s="11">
        <f t="shared" si="0"/>
        <v>0.20183486238532108</v>
      </c>
      <c r="L8" s="11">
        <f t="shared" si="0"/>
        <v>0.10344827586206896</v>
      </c>
      <c r="M8" s="11">
        <f t="shared" si="0"/>
        <v>6.6985645933014357E-2</v>
      </c>
      <c r="N8" s="11">
        <f t="shared" si="0"/>
        <v>0.14084507042253522</v>
      </c>
      <c r="O8" s="11">
        <f t="shared" si="0"/>
        <v>0.25326370757180156</v>
      </c>
      <c r="P8" s="11">
        <f t="shared" si="0"/>
        <v>0.21929824561403505</v>
      </c>
    </row>
    <row r="9" spans="1:16" x14ac:dyDescent="0.3">
      <c r="A9" s="11" t="s">
        <v>9</v>
      </c>
      <c r="B9" s="16">
        <v>5.1764007043299316E-2</v>
      </c>
      <c r="C9" s="16">
        <v>9.480122324159021E-2</v>
      </c>
      <c r="D9" s="16">
        <v>2.9556650246305417E-2</v>
      </c>
      <c r="E9" s="16">
        <v>9.5693779904306216E-3</v>
      </c>
      <c r="F9" s="16">
        <v>1.4084507042253521E-2</v>
      </c>
      <c r="G9" s="16">
        <v>3.3942558746736295E-2</v>
      </c>
      <c r="H9" s="16">
        <v>3.9473684210526314E-2</v>
      </c>
      <c r="I9" s="11">
        <v>0.25217133037741052</v>
      </c>
      <c r="J9" s="11">
        <f t="shared" si="1"/>
        <v>0.25217133037741052</v>
      </c>
      <c r="K9" s="11">
        <f t="shared" si="0"/>
        <v>0.29663608562691129</v>
      </c>
      <c r="L9" s="11">
        <f t="shared" si="0"/>
        <v>0.13300492610837439</v>
      </c>
      <c r="M9" s="11">
        <f t="shared" si="0"/>
        <v>7.6555023923444973E-2</v>
      </c>
      <c r="N9" s="11">
        <f t="shared" si="0"/>
        <v>0.15492957746478875</v>
      </c>
      <c r="O9" s="11">
        <f t="shared" si="0"/>
        <v>0.28720626631853785</v>
      </c>
      <c r="P9" s="11">
        <f t="shared" si="0"/>
        <v>0.25877192982456138</v>
      </c>
    </row>
    <row r="10" spans="1:16" x14ac:dyDescent="0.3">
      <c r="A10" s="11" t="s">
        <v>18</v>
      </c>
      <c r="B10" s="16">
        <v>5.3720007637312515E-2</v>
      </c>
      <c r="C10" s="16">
        <v>3.9755351681957186E-2</v>
      </c>
      <c r="D10" s="16">
        <v>5.4187192118226604E-2</v>
      </c>
      <c r="E10" s="16">
        <v>4.7846889952153108E-3</v>
      </c>
      <c r="F10" s="16">
        <v>4.2253521126760563E-2</v>
      </c>
      <c r="G10" s="16">
        <v>4.4386422976501305E-2</v>
      </c>
      <c r="H10" s="16">
        <v>3.0701754385964911E-2</v>
      </c>
      <c r="I10" s="11">
        <v>0.30589133801472301</v>
      </c>
      <c r="J10" s="11">
        <f t="shared" si="1"/>
        <v>0.30589133801472301</v>
      </c>
      <c r="K10" s="11">
        <f t="shared" si="0"/>
        <v>0.3363914373088685</v>
      </c>
      <c r="L10" s="11">
        <f t="shared" si="0"/>
        <v>0.18719211822660098</v>
      </c>
      <c r="M10" s="11">
        <f t="shared" si="0"/>
        <v>8.1339712918660281E-2</v>
      </c>
      <c r="N10" s="11">
        <f t="shared" si="0"/>
        <v>0.19718309859154931</v>
      </c>
      <c r="O10" s="11">
        <f t="shared" si="0"/>
        <v>0.33159268929503916</v>
      </c>
      <c r="P10" s="11">
        <f t="shared" si="0"/>
        <v>0.28947368421052627</v>
      </c>
    </row>
    <row r="11" spans="1:16" x14ac:dyDescent="0.3">
      <c r="A11" s="11" t="s">
        <v>17</v>
      </c>
      <c r="B11" s="16">
        <v>5.3940641109956083E-2</v>
      </c>
      <c r="C11" s="16">
        <v>3.669724770642202E-2</v>
      </c>
      <c r="D11" s="16">
        <v>9.852216748768473E-3</v>
      </c>
      <c r="E11" s="16">
        <v>4.7846889952153108E-3</v>
      </c>
      <c r="F11" s="16">
        <v>1.1267605633802818E-2</v>
      </c>
      <c r="G11" s="16">
        <v>5.2219321148825066E-3</v>
      </c>
      <c r="H11" s="16">
        <v>2.1929824561403508E-2</v>
      </c>
      <c r="I11" s="11">
        <v>0.35983197912467912</v>
      </c>
      <c r="J11" s="11">
        <f t="shared" si="1"/>
        <v>0.35983197912467912</v>
      </c>
      <c r="K11" s="11">
        <f t="shared" si="0"/>
        <v>0.37308868501529052</v>
      </c>
      <c r="L11" s="11">
        <f t="shared" si="0"/>
        <v>0.19704433497536944</v>
      </c>
      <c r="M11" s="11">
        <f t="shared" si="0"/>
        <v>8.612440191387559E-2</v>
      </c>
      <c r="N11" s="11">
        <f t="shared" si="0"/>
        <v>0.20845070422535214</v>
      </c>
      <c r="O11" s="11">
        <f t="shared" si="0"/>
        <v>0.33681462140992169</v>
      </c>
      <c r="P11" s="11">
        <f t="shared" si="0"/>
        <v>0.31140350877192979</v>
      </c>
    </row>
    <row r="12" spans="1:16" x14ac:dyDescent="0.3">
      <c r="A12" s="11" t="s">
        <v>19</v>
      </c>
      <c r="B12" s="16">
        <v>7.412436090544583E-2</v>
      </c>
      <c r="C12" s="16">
        <v>2.7522935779816515E-2</v>
      </c>
      <c r="D12" s="16">
        <v>2.4630541871921183E-2</v>
      </c>
      <c r="E12" s="16">
        <v>0.11004784688995216</v>
      </c>
      <c r="F12" s="16">
        <v>0.11549295774647887</v>
      </c>
      <c r="G12" s="16">
        <v>9.921671018276762E-2</v>
      </c>
      <c r="H12" s="16">
        <v>8.771929824561403E-3</v>
      </c>
      <c r="I12" s="11">
        <v>0.43395634003012495</v>
      </c>
      <c r="J12" s="11">
        <f t="shared" si="1"/>
        <v>0.43395634003012495</v>
      </c>
      <c r="K12" s="11">
        <f t="shared" si="0"/>
        <v>0.40061162079510704</v>
      </c>
      <c r="L12" s="11">
        <f t="shared" si="0"/>
        <v>0.22167487684729062</v>
      </c>
      <c r="M12" s="11">
        <f t="shared" si="0"/>
        <v>0.19617224880382775</v>
      </c>
      <c r="N12" s="11">
        <f t="shared" si="0"/>
        <v>0.323943661971831</v>
      </c>
      <c r="O12" s="11">
        <f t="shared" si="0"/>
        <v>0.43603133159268931</v>
      </c>
      <c r="P12" s="11">
        <f t="shared" si="0"/>
        <v>0.32017543859649122</v>
      </c>
    </row>
    <row r="13" spans="1:16" x14ac:dyDescent="0.3">
      <c r="A13" s="11" t="s">
        <v>20</v>
      </c>
      <c r="B13" s="16">
        <v>8.1846532447970813E-2</v>
      </c>
      <c r="C13" s="16">
        <v>8.2568807339449546E-2</v>
      </c>
      <c r="D13" s="16">
        <v>9.852216748768473E-3</v>
      </c>
      <c r="E13" s="16">
        <v>1.9138755980861243E-2</v>
      </c>
      <c r="F13" s="16">
        <v>1.9718309859154931E-2</v>
      </c>
      <c r="G13" s="16">
        <v>4.6997389033942558E-2</v>
      </c>
      <c r="H13" s="16">
        <v>0.10964912280701754</v>
      </c>
      <c r="I13" s="11">
        <v>0.51580287247809575</v>
      </c>
      <c r="J13" s="11">
        <f t="shared" si="1"/>
        <v>0.51580287247809575</v>
      </c>
      <c r="K13" s="11">
        <f t="shared" si="0"/>
        <v>0.48318042813455658</v>
      </c>
      <c r="L13" s="11">
        <f t="shared" si="0"/>
        <v>0.23152709359605908</v>
      </c>
      <c r="M13" s="11">
        <f t="shared" si="0"/>
        <v>0.21531100478468898</v>
      </c>
      <c r="N13" s="11">
        <f t="shared" si="0"/>
        <v>0.3436619718309859</v>
      </c>
      <c r="O13" s="11">
        <f t="shared" si="0"/>
        <v>0.48302872062663188</v>
      </c>
      <c r="P13" s="11">
        <f t="shared" si="0"/>
        <v>0.42982456140350878</v>
      </c>
    </row>
    <row r="14" spans="1:16" x14ac:dyDescent="0.3">
      <c r="A14" s="11" t="s">
        <v>16</v>
      </c>
      <c r="B14" s="16">
        <v>0.10621380232089442</v>
      </c>
      <c r="C14" s="16">
        <v>0.10703363914373089</v>
      </c>
      <c r="D14" s="16">
        <v>0.14778325123152711</v>
      </c>
      <c r="E14" s="16">
        <v>0.30143540669856461</v>
      </c>
      <c r="F14" s="16">
        <v>0.21690140845070421</v>
      </c>
      <c r="G14" s="16">
        <v>0.18276762402088773</v>
      </c>
      <c r="H14" s="16">
        <v>0.17543859649122806</v>
      </c>
      <c r="I14" s="11">
        <v>0.62201667479899014</v>
      </c>
      <c r="J14" s="11">
        <f t="shared" si="1"/>
        <v>0.62201667479899014</v>
      </c>
      <c r="K14" s="11">
        <f t="shared" si="0"/>
        <v>0.59021406727828751</v>
      </c>
      <c r="L14" s="11">
        <f t="shared" si="0"/>
        <v>0.37931034482758619</v>
      </c>
      <c r="M14" s="11">
        <f t="shared" si="0"/>
        <v>0.51674641148325362</v>
      </c>
      <c r="N14" s="11">
        <f t="shared" si="0"/>
        <v>0.56056338028169006</v>
      </c>
      <c r="O14" s="11">
        <f t="shared" si="0"/>
        <v>0.66579634464751958</v>
      </c>
      <c r="P14" s="11">
        <f t="shared" si="0"/>
        <v>0.60526315789473684</v>
      </c>
    </row>
    <row r="15" spans="1:16" x14ac:dyDescent="0.3">
      <c r="A15" s="11" t="s">
        <v>6</v>
      </c>
      <c r="B15" s="16">
        <v>0.13772620234635213</v>
      </c>
      <c r="C15" s="16">
        <v>0.25076452599388377</v>
      </c>
      <c r="D15" s="16">
        <v>0.34482758620689657</v>
      </c>
      <c r="E15" s="16">
        <v>0.14354066985645933</v>
      </c>
      <c r="F15" s="16">
        <v>0.16338028169014085</v>
      </c>
      <c r="G15" s="16">
        <v>9.6605744125326368E-2</v>
      </c>
      <c r="H15" s="16">
        <v>0.21929824561403508</v>
      </c>
      <c r="I15" s="11">
        <v>0.75974287714534228</v>
      </c>
      <c r="J15" s="11">
        <f t="shared" si="1"/>
        <v>0.75974287714534228</v>
      </c>
      <c r="K15" s="11">
        <f t="shared" si="0"/>
        <v>0.84097859327217128</v>
      </c>
      <c r="L15" s="11">
        <f t="shared" si="0"/>
        <v>0.72413793103448276</v>
      </c>
      <c r="M15" s="11">
        <f t="shared" si="0"/>
        <v>0.66028708133971292</v>
      </c>
      <c r="N15" s="11">
        <f t="shared" si="0"/>
        <v>0.72394366197183091</v>
      </c>
      <c r="O15" s="11">
        <f t="shared" si="0"/>
        <v>0.76240208877284599</v>
      </c>
      <c r="P15" s="11">
        <f t="shared" si="0"/>
        <v>0.82456140350877194</v>
      </c>
    </row>
    <row r="16" spans="1:16" x14ac:dyDescent="0.3">
      <c r="A16" s="11" t="s">
        <v>15</v>
      </c>
      <c r="B16" s="16">
        <v>0.2402571228546577</v>
      </c>
      <c r="C16" s="16">
        <v>0.15902140672782875</v>
      </c>
      <c r="D16" s="16">
        <v>0.27586206896551724</v>
      </c>
      <c r="E16" s="16">
        <v>0.33971291866028708</v>
      </c>
      <c r="F16" s="16">
        <v>0.27605633802816903</v>
      </c>
      <c r="G16" s="16">
        <v>0.23759791122715404</v>
      </c>
      <c r="H16" s="16">
        <v>0.17543859649122806</v>
      </c>
      <c r="I16" s="11">
        <v>1</v>
      </c>
      <c r="J16" s="11">
        <f t="shared" si="1"/>
        <v>1</v>
      </c>
      <c r="K16" s="11">
        <f t="shared" si="0"/>
        <v>1</v>
      </c>
      <c r="L16" s="11">
        <f t="shared" si="0"/>
        <v>1</v>
      </c>
      <c r="M16" s="11">
        <f t="shared" si="0"/>
        <v>1</v>
      </c>
      <c r="N16" s="11">
        <f t="shared" si="0"/>
        <v>1</v>
      </c>
      <c r="O16" s="11">
        <f t="shared" si="0"/>
        <v>1</v>
      </c>
      <c r="P16" s="11">
        <f t="shared" si="0"/>
        <v>1</v>
      </c>
    </row>
    <row r="18" spans="2:16" ht="28.8" x14ac:dyDescent="0.3">
      <c r="B18" s="1" t="s">
        <v>86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98</v>
      </c>
      <c r="H18" s="2" t="s">
        <v>99</v>
      </c>
      <c r="J18" s="3"/>
      <c r="K18" s="12" t="s">
        <v>100</v>
      </c>
      <c r="L18" s="12" t="s">
        <v>101</v>
      </c>
      <c r="M18" s="12" t="s">
        <v>102</v>
      </c>
      <c r="N18" s="12" t="s">
        <v>103</v>
      </c>
      <c r="O18" s="12" t="s">
        <v>104</v>
      </c>
      <c r="P18" s="12" t="s">
        <v>105</v>
      </c>
    </row>
    <row r="19" spans="2:16" x14ac:dyDescent="0.3">
      <c r="B19" s="11" t="s">
        <v>7</v>
      </c>
      <c r="C19" s="11">
        <f>C2-B2</f>
        <v>2.0981200027326181E-3</v>
      </c>
      <c r="D19" s="11">
        <f>D2-B2</f>
        <v>-1.1324395476094155E-2</v>
      </c>
      <c r="E19" s="11">
        <f>E2-B2</f>
        <v>-1.146581485526308E-2</v>
      </c>
      <c r="F19" s="11">
        <f>F2-B2</f>
        <v>-4.9828982166755745E-3</v>
      </c>
      <c r="G19" s="11">
        <f>G2-B2</f>
        <v>-1.1028571735595885E-2</v>
      </c>
      <c r="H19" s="11">
        <f>H2-B2</f>
        <v>-1.6250503850478392E-2</v>
      </c>
      <c r="J19" s="11" t="s">
        <v>7</v>
      </c>
      <c r="K19" s="3">
        <f>(J2-0) * ((K2+0))</f>
        <v>2.9817438257758518E-4</v>
      </c>
      <c r="L19" s="3">
        <f>(J2-0) * ((L2+0))</f>
        <v>8.0051743105804887E-5</v>
      </c>
      <c r="M19" s="3">
        <f>(J2-0) * ((M2+0))</f>
        <v>7.7753606940088004E-5</v>
      </c>
      <c r="N19" s="3">
        <f>(J2-0) * ((N2+0))</f>
        <v>1.831042687377847E-4</v>
      </c>
      <c r="O19" s="3">
        <f>(J2-0) * ((O2+0))</f>
        <v>8.4859027939834943E-5</v>
      </c>
      <c r="P19" s="3">
        <f>(J2-0) * ((P2+0))</f>
        <v>0</v>
      </c>
    </row>
    <row r="20" spans="2:16" x14ac:dyDescent="0.3">
      <c r="B20" s="11" t="s">
        <v>8</v>
      </c>
      <c r="C20" s="11">
        <f t="shared" ref="C20:C33" si="2">C3-B3</f>
        <v>-1.0424944557795258E-2</v>
      </c>
      <c r="D20" s="11">
        <f t="shared" ref="D20:D33" si="3">D3-B3</f>
        <v>-1.7731252085551694E-2</v>
      </c>
      <c r="E20" s="11">
        <f t="shared" ref="E20:E33" si="4">E3-B3</f>
        <v>-1.7872671464720619E-2</v>
      </c>
      <c r="F20" s="11">
        <f t="shared" ref="F20:F33" si="5">F3-B3</f>
        <v>-1.9840459051485227E-2</v>
      </c>
      <c r="G20" s="11">
        <f t="shared" ref="G20:G33" si="6">G3-B3</f>
        <v>-4.3805980578471571E-3</v>
      </c>
      <c r="H20" s="11">
        <f t="shared" ref="H20:H33" si="7">H3-B3</f>
        <v>8.0443939260289796E-3</v>
      </c>
      <c r="J20" s="11" t="s">
        <v>8</v>
      </c>
      <c r="K20" s="3">
        <f>(J3-J2) * ((K3+K2))</f>
        <v>1.1086170255626142E-3</v>
      </c>
      <c r="L20" s="3">
        <f>(J3-J2) * ((L3+L2))</f>
        <v>3.3483783930939791E-4</v>
      </c>
      <c r="M20" s="3">
        <f>(J3-J2) * ((M3+M2))</f>
        <v>3.2522526975984581E-4</v>
      </c>
      <c r="N20" s="3">
        <f>(J3-J2) * ((N3+N2))</f>
        <v>5.7441195532231934E-4</v>
      </c>
      <c r="O20" s="3">
        <f>(J3-J2) * ((O3+O2))</f>
        <v>6.5073359023314666E-4</v>
      </c>
      <c r="P20" s="3">
        <f>(J3-J2) * ((P3+P2))</f>
        <v>6.9562071587522584E-4</v>
      </c>
    </row>
    <row r="21" spans="2:16" x14ac:dyDescent="0.3">
      <c r="B21" s="11" t="s">
        <v>13</v>
      </c>
      <c r="C21" s="11">
        <f t="shared" si="2"/>
        <v>8.0499038556296199E-3</v>
      </c>
      <c r="D21" s="11">
        <f t="shared" si="3"/>
        <v>-2.066313150087299E-2</v>
      </c>
      <c r="E21" s="11">
        <f t="shared" si="4"/>
        <v>-1.6657948991806726E-3</v>
      </c>
      <c r="F21" s="11">
        <f t="shared" si="5"/>
        <v>1.1030478434601927E-2</v>
      </c>
      <c r="G21" s="11">
        <f t="shared" si="6"/>
        <v>-9.9234435306097095E-3</v>
      </c>
      <c r="H21" s="11">
        <f t="shared" si="7"/>
        <v>-2.5589239875257228E-2</v>
      </c>
      <c r="J21" s="11" t="s">
        <v>13</v>
      </c>
      <c r="K21" s="3">
        <f t="shared" ref="K21:K33" si="8">(J4-J3) * ((K4+K3))</f>
        <v>2.4258912419968626E-3</v>
      </c>
      <c r="L21" s="3">
        <f t="shared" ref="L21:L33" si="9">(J4-J3) * ((L4+L3))</f>
        <v>6.3027684421815831E-4</v>
      </c>
      <c r="M21" s="3">
        <f t="shared" ref="M21:M33" si="10">(J4-J3) * ((M4+M3))</f>
        <v>1.1019289898436127E-3</v>
      </c>
      <c r="N21" s="3">
        <f t="shared" ref="N21:N33" si="11">(J4-J3) * ((N4+N3))</f>
        <v>1.6578944144532851E-3</v>
      </c>
      <c r="O21" s="3">
        <f t="shared" ref="O21:O33" si="12">(J4-J3) * ((O4+O3))</f>
        <v>1.6035032820004532E-3</v>
      </c>
      <c r="P21" s="3">
        <f t="shared" ref="P21:P33" si="13">(J4-J3) * ((P4+P3))</f>
        <v>1.5712691151473735E-3</v>
      </c>
    </row>
    <row r="22" spans="2:16" x14ac:dyDescent="0.3">
      <c r="B22" s="11" t="s">
        <v>12</v>
      </c>
      <c r="C22" s="11">
        <f t="shared" si="2"/>
        <v>-1.0533418789229025E-3</v>
      </c>
      <c r="D22" s="11">
        <f t="shared" si="3"/>
        <v>9.8037258756599951E-4</v>
      </c>
      <c r="E22" s="11">
        <f t="shared" si="4"/>
        <v>-9.4375216778781745E-3</v>
      </c>
      <c r="F22" s="11">
        <f t="shared" si="5"/>
        <v>-1.1674869208035194E-2</v>
      </c>
      <c r="G22" s="11">
        <f t="shared" si="6"/>
        <v>1.842111137520314E-2</v>
      </c>
      <c r="H22" s="11">
        <f t="shared" si="7"/>
        <v>4.1599160937751803E-2</v>
      </c>
      <c r="J22" s="11" t="s">
        <v>12</v>
      </c>
      <c r="K22" s="3">
        <f t="shared" si="8"/>
        <v>4.4568506440235793E-3</v>
      </c>
      <c r="L22" s="3">
        <f t="shared" si="9"/>
        <v>1.6892380882013451E-3</v>
      </c>
      <c r="M22" s="3">
        <f t="shared" si="10"/>
        <v>2.4611148222837779E-3</v>
      </c>
      <c r="N22" s="3">
        <f t="shared" si="11"/>
        <v>3.3808553849776217E-3</v>
      </c>
      <c r="O22" s="3">
        <f t="shared" si="12"/>
        <v>3.5813611687193015E-3</v>
      </c>
      <c r="P22" s="3">
        <f t="shared" si="13"/>
        <v>3.7600365340446605E-3</v>
      </c>
    </row>
    <row r="23" spans="2:16" x14ac:dyDescent="0.3">
      <c r="B23" s="11" t="s">
        <v>14</v>
      </c>
      <c r="C23" s="11">
        <f t="shared" si="2"/>
        <v>7.7634981486394139E-3</v>
      </c>
      <c r="D23" s="11">
        <f t="shared" si="3"/>
        <v>-1.7213528410165064E-2</v>
      </c>
      <c r="E23" s="11">
        <f t="shared" si="4"/>
        <v>-3.1991853533317773E-2</v>
      </c>
      <c r="F23" s="11">
        <f t="shared" si="5"/>
        <v>-3.8228394488107297E-3</v>
      </c>
      <c r="G23" s="11">
        <f t="shared" si="6"/>
        <v>1.9507052134185229E-3</v>
      </c>
      <c r="H23" s="11">
        <f t="shared" si="7"/>
        <v>2.0639725414050646E-2</v>
      </c>
      <c r="J23" s="11" t="s">
        <v>14</v>
      </c>
      <c r="K23" s="3">
        <f t="shared" si="8"/>
        <v>7.1419122566733851E-3</v>
      </c>
      <c r="L23" s="3">
        <f t="shared" si="9"/>
        <v>3.3095020896535621E-3</v>
      </c>
      <c r="M23" s="3">
        <f t="shared" si="10"/>
        <v>3.3675635298229226E-3</v>
      </c>
      <c r="N23" s="3">
        <f t="shared" si="11"/>
        <v>5.2268380420631847E-3</v>
      </c>
      <c r="O23" s="3">
        <f t="shared" si="12"/>
        <v>6.5988418515198523E-3</v>
      </c>
      <c r="P23" s="3">
        <f t="shared" si="13"/>
        <v>8.1382785304053955E-3</v>
      </c>
    </row>
    <row r="24" spans="2:16" x14ac:dyDescent="0.3">
      <c r="B24" s="11" t="s">
        <v>10</v>
      </c>
      <c r="C24" s="11">
        <f t="shared" si="2"/>
        <v>5.8499270685961335E-3</v>
      </c>
      <c r="D24" s="11">
        <f t="shared" si="3"/>
        <v>-9.2748827414398695E-3</v>
      </c>
      <c r="E24" s="11">
        <f t="shared" si="4"/>
        <v>-2.433604662293043E-2</v>
      </c>
      <c r="F24" s="11">
        <f t="shared" si="5"/>
        <v>-2.9195091204033061E-3</v>
      </c>
      <c r="G24" s="11">
        <f t="shared" si="6"/>
        <v>7.8700323056989999E-3</v>
      </c>
      <c r="H24" s="11">
        <f t="shared" si="7"/>
        <v>1.4340189421726664E-2</v>
      </c>
      <c r="J24" s="11" t="s">
        <v>10</v>
      </c>
      <c r="K24" s="3">
        <f t="shared" si="8"/>
        <v>1.0264945066430407E-2</v>
      </c>
      <c r="L24" s="3">
        <f t="shared" si="9"/>
        <v>4.8436320876230066E-3</v>
      </c>
      <c r="M24" s="3">
        <f t="shared" si="10"/>
        <v>3.8934458886156222E-3</v>
      </c>
      <c r="N24" s="3">
        <f t="shared" si="11"/>
        <v>7.5451508294521758E-3</v>
      </c>
      <c r="O24" s="3">
        <f t="shared" si="12"/>
        <v>9.5607985854908439E-3</v>
      </c>
      <c r="P24" s="3">
        <f t="shared" si="13"/>
        <v>1.2045348217904581E-2</v>
      </c>
    </row>
    <row r="25" spans="2:16" x14ac:dyDescent="0.3">
      <c r="B25" s="11" t="s">
        <v>11</v>
      </c>
      <c r="C25" s="11">
        <f t="shared" si="2"/>
        <v>-1.0855623587669727E-2</v>
      </c>
      <c r="D25" s="11">
        <f t="shared" si="3"/>
        <v>-2.1732229845484462E-2</v>
      </c>
      <c r="E25" s="11">
        <f t="shared" si="4"/>
        <v>-3.66519743478061E-2</v>
      </c>
      <c r="F25" s="11">
        <f t="shared" si="5"/>
        <v>-2.7352156300767885E-2</v>
      </c>
      <c r="G25" s="11">
        <f t="shared" si="6"/>
        <v>4.9947148667422454E-2</v>
      </c>
      <c r="H25" s="11">
        <f t="shared" si="7"/>
        <v>-2.3892803693898602E-2</v>
      </c>
      <c r="J25" s="11" t="s">
        <v>11</v>
      </c>
      <c r="K25" s="3">
        <f t="shared" si="8"/>
        <v>1.5459550238069145E-2</v>
      </c>
      <c r="L25" s="3">
        <f t="shared" si="9"/>
        <v>7.7566167834227252E-3</v>
      </c>
      <c r="M25" s="3">
        <f t="shared" si="10"/>
        <v>5.3530617715864971E-3</v>
      </c>
      <c r="N25" s="3">
        <f t="shared" si="11"/>
        <v>1.1088684556583191E-2</v>
      </c>
      <c r="O25" s="3">
        <f t="shared" si="12"/>
        <v>1.7202165722037605E-2</v>
      </c>
      <c r="P25" s="3">
        <f t="shared" si="13"/>
        <v>1.7447016144430061E-2</v>
      </c>
    </row>
    <row r="26" spans="2:16" x14ac:dyDescent="0.3">
      <c r="B26" s="11" t="s">
        <v>9</v>
      </c>
      <c r="C26" s="11">
        <f t="shared" si="2"/>
        <v>4.3037216198290894E-2</v>
      </c>
      <c r="D26" s="11">
        <f t="shared" si="3"/>
        <v>-2.2207356796993899E-2</v>
      </c>
      <c r="E26" s="11">
        <f t="shared" si="4"/>
        <v>-4.2194629052868693E-2</v>
      </c>
      <c r="F26" s="11">
        <f t="shared" si="5"/>
        <v>-3.7679500001045793E-2</v>
      </c>
      <c r="G26" s="11">
        <f t="shared" si="6"/>
        <v>-1.7821448296563021E-2</v>
      </c>
      <c r="H26" s="11">
        <f t="shared" si="7"/>
        <v>-1.2290322832773003E-2</v>
      </c>
      <c r="J26" s="11" t="s">
        <v>9</v>
      </c>
      <c r="K26" s="3">
        <f t="shared" si="8"/>
        <v>2.5802853663785295E-2</v>
      </c>
      <c r="L26" s="3">
        <f t="shared" si="9"/>
        <v>1.223976521220871E-2</v>
      </c>
      <c r="M26" s="3">
        <f t="shared" si="10"/>
        <v>7.4302402454496652E-3</v>
      </c>
      <c r="N26" s="3">
        <f t="shared" si="11"/>
        <v>1.531048095646882E-2</v>
      </c>
      <c r="O26" s="3">
        <f t="shared" si="12"/>
        <v>2.7976891535151333E-2</v>
      </c>
      <c r="P26" s="3">
        <f t="shared" si="13"/>
        <v>2.4746827928594856E-2</v>
      </c>
    </row>
    <row r="27" spans="2:16" x14ac:dyDescent="0.3">
      <c r="B27" s="11" t="s">
        <v>18</v>
      </c>
      <c r="C27" s="11">
        <f t="shared" si="2"/>
        <v>-1.3964655955355329E-2</v>
      </c>
      <c r="D27" s="11">
        <f t="shared" si="3"/>
        <v>4.6718448091408876E-4</v>
      </c>
      <c r="E27" s="11">
        <f t="shared" si="4"/>
        <v>-4.8935318642097207E-2</v>
      </c>
      <c r="F27" s="11">
        <f t="shared" si="5"/>
        <v>-1.1466486510551953E-2</v>
      </c>
      <c r="G27" s="11">
        <f t="shared" si="6"/>
        <v>-9.3335846608112102E-3</v>
      </c>
      <c r="H27" s="11">
        <f t="shared" si="7"/>
        <v>-2.3018253251347605E-2</v>
      </c>
      <c r="J27" s="11" t="s">
        <v>18</v>
      </c>
      <c r="K27" s="3">
        <f t="shared" si="8"/>
        <v>3.4006243366739103E-2</v>
      </c>
      <c r="L27" s="3">
        <f t="shared" si="9"/>
        <v>1.7200987667119763E-2</v>
      </c>
      <c r="M27" s="3">
        <f t="shared" si="10"/>
        <v>8.4821064690493407E-3</v>
      </c>
      <c r="N27" s="3">
        <f t="shared" si="11"/>
        <v>1.8915495646941023E-2</v>
      </c>
      <c r="O27" s="3">
        <f t="shared" si="12"/>
        <v>3.3241884621522354E-2</v>
      </c>
      <c r="P27" s="3">
        <f t="shared" si="13"/>
        <v>2.9451758573087988E-2</v>
      </c>
    </row>
    <row r="28" spans="2:16" x14ac:dyDescent="0.3">
      <c r="B28" s="11" t="s">
        <v>17</v>
      </c>
      <c r="C28" s="11">
        <f t="shared" si="2"/>
        <v>-1.7243393403534063E-2</v>
      </c>
      <c r="D28" s="11">
        <f t="shared" si="3"/>
        <v>-4.4088424361187609E-2</v>
      </c>
      <c r="E28" s="11">
        <f t="shared" si="4"/>
        <v>-4.9155952114740775E-2</v>
      </c>
      <c r="F28" s="11">
        <f t="shared" si="5"/>
        <v>-4.2673035476153268E-2</v>
      </c>
      <c r="G28" s="11">
        <f t="shared" si="6"/>
        <v>-4.8718708995073579E-2</v>
      </c>
      <c r="H28" s="11">
        <f t="shared" si="7"/>
        <v>-3.2010816548552576E-2</v>
      </c>
      <c r="J28" s="11" t="s">
        <v>17</v>
      </c>
      <c r="K28" s="3">
        <f t="shared" si="8"/>
        <v>3.826981265293522E-2</v>
      </c>
      <c r="L28" s="3">
        <f t="shared" si="9"/>
        <v>2.0725960623529934E-2</v>
      </c>
      <c r="M28" s="3">
        <f t="shared" si="10"/>
        <v>9.033121716978296E-3</v>
      </c>
      <c r="N28" s="3">
        <f t="shared" si="11"/>
        <v>2.1880147379813183E-2</v>
      </c>
      <c r="O28" s="3">
        <f t="shared" si="12"/>
        <v>3.6054318862007217E-2</v>
      </c>
      <c r="P28" s="3">
        <f t="shared" si="13"/>
        <v>3.2411701017824507E-2</v>
      </c>
    </row>
    <row r="29" spans="2:16" x14ac:dyDescent="0.3">
      <c r="B29" s="11" t="s">
        <v>19</v>
      </c>
      <c r="C29" s="11">
        <f t="shared" si="2"/>
        <v>-4.6601425125629314E-2</v>
      </c>
      <c r="D29" s="11">
        <f t="shared" si="3"/>
        <v>-4.949381903352465E-2</v>
      </c>
      <c r="E29" s="11">
        <f t="shared" si="4"/>
        <v>3.5923485984506329E-2</v>
      </c>
      <c r="F29" s="11">
        <f t="shared" si="5"/>
        <v>4.1368596841033042E-2</v>
      </c>
      <c r="G29" s="11">
        <f t="shared" si="6"/>
        <v>2.509234927732179E-2</v>
      </c>
      <c r="H29" s="11">
        <f t="shared" si="7"/>
        <v>-6.5352431080884427E-2</v>
      </c>
      <c r="J29" s="11" t="s">
        <v>19</v>
      </c>
      <c r="K29" s="3">
        <f t="shared" si="8"/>
        <v>5.7350040700543711E-2</v>
      </c>
      <c r="L29" s="3">
        <f t="shared" si="9"/>
        <v>3.1037293975186672E-2</v>
      </c>
      <c r="M29" s="3">
        <f t="shared" si="10"/>
        <v>2.0925058820197625E-2</v>
      </c>
      <c r="N29" s="3">
        <f t="shared" si="11"/>
        <v>3.9463392144026097E-2</v>
      </c>
      <c r="O29" s="3">
        <f t="shared" si="12"/>
        <v>5.7286712344678768E-2</v>
      </c>
      <c r="P29" s="3">
        <f t="shared" si="13"/>
        <v>4.6815385835018417E-2</v>
      </c>
    </row>
    <row r="30" spans="2:16" x14ac:dyDescent="0.3">
      <c r="B30" s="11" t="s">
        <v>20</v>
      </c>
      <c r="C30" s="11">
        <f t="shared" si="2"/>
        <v>7.2227489147873303E-4</v>
      </c>
      <c r="D30" s="11">
        <f t="shared" si="3"/>
        <v>-7.1994315699202338E-2</v>
      </c>
      <c r="E30" s="11">
        <f t="shared" si="4"/>
        <v>-6.2707776467109566E-2</v>
      </c>
      <c r="F30" s="11">
        <f t="shared" si="5"/>
        <v>-6.2128222588815882E-2</v>
      </c>
      <c r="G30" s="11">
        <f t="shared" si="6"/>
        <v>-3.4849143414028255E-2</v>
      </c>
      <c r="H30" s="11">
        <f t="shared" si="7"/>
        <v>2.7802590359046725E-2</v>
      </c>
      <c r="J30" s="11" t="s">
        <v>20</v>
      </c>
      <c r="K30" s="3">
        <f t="shared" si="8"/>
        <v>7.23353146099803E-2</v>
      </c>
      <c r="L30" s="3">
        <f t="shared" si="9"/>
        <v>3.7093009779375921E-2</v>
      </c>
      <c r="M30" s="3">
        <f t="shared" si="10"/>
        <v>3.3678477466629129E-2</v>
      </c>
      <c r="N30" s="3">
        <f t="shared" si="11"/>
        <v>5.4641206169490364E-2</v>
      </c>
      <c r="O30" s="3">
        <f t="shared" si="12"/>
        <v>7.5221878385602403E-2</v>
      </c>
      <c r="P30" s="3">
        <f t="shared" si="13"/>
        <v>6.1384899335978099E-2</v>
      </c>
    </row>
    <row r="31" spans="2:16" x14ac:dyDescent="0.3">
      <c r="B31" s="11" t="s">
        <v>16</v>
      </c>
      <c r="C31" s="11">
        <f t="shared" si="2"/>
        <v>8.1983682283646997E-4</v>
      </c>
      <c r="D31" s="11">
        <f t="shared" si="3"/>
        <v>4.1569448910632689E-2</v>
      </c>
      <c r="E31" s="11">
        <f t="shared" si="4"/>
        <v>0.19522160437767019</v>
      </c>
      <c r="F31" s="11">
        <f t="shared" si="5"/>
        <v>0.1106876061298098</v>
      </c>
      <c r="G31" s="11">
        <f t="shared" si="6"/>
        <v>7.6553821699993307E-2</v>
      </c>
      <c r="H31" s="11">
        <f t="shared" si="7"/>
        <v>6.9224794170333642E-2</v>
      </c>
      <c r="J31" s="11" t="s">
        <v>16</v>
      </c>
      <c r="K31" s="3">
        <f t="shared" si="8"/>
        <v>0.114009310748116</v>
      </c>
      <c r="L31" s="3">
        <f t="shared" si="9"/>
        <v>6.4879366934930557E-2</v>
      </c>
      <c r="M31" s="3">
        <f t="shared" si="10"/>
        <v>7.7754601699027953E-2</v>
      </c>
      <c r="N31" s="3">
        <f t="shared" si="11"/>
        <v>9.6041212802836895E-2</v>
      </c>
      <c r="O31" s="3">
        <f t="shared" si="12"/>
        <v>0.12202107838431731</v>
      </c>
      <c r="P31" s="3">
        <f t="shared" si="13"/>
        <v>0.10994060240232929</v>
      </c>
    </row>
    <row r="32" spans="2:16" x14ac:dyDescent="0.3">
      <c r="B32" s="11" t="s">
        <v>6</v>
      </c>
      <c r="C32" s="11">
        <f t="shared" si="2"/>
        <v>0.11303832364753164</v>
      </c>
      <c r="D32" s="11">
        <f t="shared" si="3"/>
        <v>0.20710138386054444</v>
      </c>
      <c r="E32" s="11">
        <f t="shared" si="4"/>
        <v>5.8144675101071963E-3</v>
      </c>
      <c r="F32" s="11">
        <f t="shared" si="5"/>
        <v>2.5654079343788716E-2</v>
      </c>
      <c r="G32" s="11">
        <f t="shared" si="6"/>
        <v>-4.1120458221025766E-2</v>
      </c>
      <c r="H32" s="11">
        <f t="shared" si="7"/>
        <v>8.1572043267682942E-2</v>
      </c>
      <c r="J32" s="11" t="s">
        <v>6</v>
      </c>
      <c r="K32" s="3">
        <f t="shared" si="8"/>
        <v>0.19711272996358656</v>
      </c>
      <c r="L32" s="3">
        <f t="shared" si="9"/>
        <v>0.1519737405201127</v>
      </c>
      <c r="M32" s="3">
        <f t="shared" si="10"/>
        <v>0.16210835300096951</v>
      </c>
      <c r="N32" s="3">
        <f t="shared" si="11"/>
        <v>0.17691027681672272</v>
      </c>
      <c r="O32" s="3">
        <f t="shared" si="12"/>
        <v>0.19670034643199638</v>
      </c>
      <c r="P32" s="3">
        <f t="shared" si="13"/>
        <v>0.19692430686364384</v>
      </c>
    </row>
    <row r="33" spans="2:16" x14ac:dyDescent="0.3">
      <c r="B33" s="11" t="s">
        <v>15</v>
      </c>
      <c r="C33" s="11">
        <f t="shared" si="2"/>
        <v>-8.123571612682895E-2</v>
      </c>
      <c r="D33" s="11">
        <f t="shared" si="3"/>
        <v>3.5604946110859542E-2</v>
      </c>
      <c r="E33" s="11">
        <f t="shared" si="4"/>
        <v>9.9455795805629382E-2</v>
      </c>
      <c r="F33" s="11">
        <f t="shared" si="5"/>
        <v>3.579921517351134E-2</v>
      </c>
      <c r="G33" s="11">
        <f t="shared" si="6"/>
        <v>-2.6592116275036548E-3</v>
      </c>
      <c r="H33" s="11">
        <f t="shared" si="7"/>
        <v>-6.4818526363429635E-2</v>
      </c>
      <c r="J33" s="11" t="s">
        <v>15</v>
      </c>
      <c r="K33" s="3">
        <f t="shared" si="8"/>
        <v>0.44230822005658699</v>
      </c>
      <c r="L33" s="3">
        <f t="shared" si="9"/>
        <v>0.41423641871492706</v>
      </c>
      <c r="M33" s="3">
        <f t="shared" si="10"/>
        <v>0.39889579727543656</v>
      </c>
      <c r="N33" s="3">
        <f t="shared" si="11"/>
        <v>0.41418974418887472</v>
      </c>
      <c r="O33" s="3">
        <f t="shared" si="12"/>
        <v>0.42342965516160302</v>
      </c>
      <c r="P33" s="3">
        <f t="shared" si="13"/>
        <v>0.43836387327867371</v>
      </c>
    </row>
    <row r="34" spans="2:16" x14ac:dyDescent="0.3">
      <c r="J34" s="13" t="s">
        <v>106</v>
      </c>
      <c r="K34" s="12">
        <f>SUM(K19:K33)</f>
        <v>1.0223504666176066</v>
      </c>
      <c r="L34" s="12">
        <f t="shared" ref="L34:P34" si="14">SUM(L19:L33)</f>
        <v>0.7680306989029253</v>
      </c>
      <c r="M34" s="12">
        <f t="shared" si="14"/>
        <v>0.73488785057259043</v>
      </c>
      <c r="N34" s="12">
        <f t="shared" si="14"/>
        <v>0.86700889555676341</v>
      </c>
      <c r="O34" s="12">
        <f t="shared" si="14"/>
        <v>1.0112150289548199</v>
      </c>
      <c r="P34" s="12">
        <f t="shared" si="14"/>
        <v>0.98369692449295809</v>
      </c>
    </row>
    <row r="35" spans="2:16" x14ac:dyDescent="0.3">
      <c r="J35" s="14" t="s">
        <v>107</v>
      </c>
      <c r="K35" s="15">
        <f>1-K34</f>
        <v>-2.2350466617606646E-2</v>
      </c>
      <c r="L35" s="15">
        <f t="shared" ref="L35:P35" si="15">1-L34</f>
        <v>0.2319693010970747</v>
      </c>
      <c r="M35" s="15">
        <f t="shared" si="15"/>
        <v>0.26511214942740957</v>
      </c>
      <c r="N35" s="15">
        <f t="shared" si="15"/>
        <v>0.13299110444323659</v>
      </c>
      <c r="O35" s="15">
        <f t="shared" si="15"/>
        <v>-1.121502895481985E-2</v>
      </c>
      <c r="P35" s="15">
        <f t="shared" si="15"/>
        <v>1.6303075507041909E-2</v>
      </c>
    </row>
  </sheetData>
  <sortState xmlns:xlrd2="http://schemas.microsoft.com/office/spreadsheetml/2017/richdata2" ref="A2:P17">
    <sortCondition ref="B1:B17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40DF-E92D-486B-B565-616B738E210F}">
  <dimension ref="A1:P15"/>
  <sheetViews>
    <sheetView workbookViewId="0">
      <selection activeCell="A13" sqref="A13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23</v>
      </c>
      <c r="B2" s="16">
        <v>8.5490592246495772E-2</v>
      </c>
      <c r="C2" s="16">
        <v>4.0540540540540543E-2</v>
      </c>
      <c r="D2" s="16">
        <v>7.4626865671641784E-2</v>
      </c>
      <c r="E2" s="16">
        <v>2.1505376344086023E-2</v>
      </c>
      <c r="F2" s="16">
        <v>9.5238095238095233E-2</v>
      </c>
      <c r="G2" s="16">
        <v>0.12413793103448276</v>
      </c>
      <c r="H2" s="16">
        <v>0.1276595744680851</v>
      </c>
      <c r="I2" s="11">
        <v>8.5490592246495772E-2</v>
      </c>
      <c r="J2" s="17">
        <v>8.5490592246495772E-2</v>
      </c>
      <c r="K2" s="17">
        <v>4.0540540540540543E-2</v>
      </c>
      <c r="L2" s="17">
        <v>7.4626865671641784E-2</v>
      </c>
      <c r="M2" s="17">
        <v>2.1505376344086023E-2</v>
      </c>
      <c r="N2" s="17">
        <v>9.5238095238095233E-2</v>
      </c>
      <c r="O2" s="17">
        <v>0.12413793103448276</v>
      </c>
      <c r="P2" s="17">
        <v>0.1276595744680851</v>
      </c>
    </row>
    <row r="3" spans="1:16" x14ac:dyDescent="0.3">
      <c r="A3" s="11" t="s">
        <v>25</v>
      </c>
      <c r="B3" s="16">
        <v>9.4203813612829909E-2</v>
      </c>
      <c r="C3" s="16">
        <v>4.0540540540540543E-2</v>
      </c>
      <c r="D3" s="16">
        <v>7.4626865671641784E-2</v>
      </c>
      <c r="E3" s="16">
        <v>5.3763440860215055E-2</v>
      </c>
      <c r="F3" s="16">
        <v>7.407407407407407E-2</v>
      </c>
      <c r="G3" s="16">
        <v>8.9655172413793102E-2</v>
      </c>
      <c r="H3" s="16">
        <v>0.1276595744680851</v>
      </c>
      <c r="I3" s="11">
        <v>0.17969440585932567</v>
      </c>
      <c r="J3" s="11">
        <f t="shared" ref="J3:P6" si="0">J2+B3</f>
        <v>0.17969440585932567</v>
      </c>
      <c r="K3" s="11">
        <f t="shared" si="0"/>
        <v>8.1081081081081086E-2</v>
      </c>
      <c r="L3" s="11">
        <f t="shared" si="0"/>
        <v>0.14925373134328357</v>
      </c>
      <c r="M3" s="11">
        <f t="shared" si="0"/>
        <v>7.5268817204301078E-2</v>
      </c>
      <c r="N3" s="11">
        <f t="shared" si="0"/>
        <v>0.1693121693121693</v>
      </c>
      <c r="O3" s="11">
        <f t="shared" si="0"/>
        <v>0.21379310344827585</v>
      </c>
      <c r="P3" s="11">
        <f t="shared" si="0"/>
        <v>0.25531914893617019</v>
      </c>
    </row>
    <row r="4" spans="1:16" x14ac:dyDescent="0.3">
      <c r="A4" s="11" t="s">
        <v>24</v>
      </c>
      <c r="B4" s="16">
        <v>0.10415877425600875</v>
      </c>
      <c r="C4" s="16">
        <v>0.10810810810810811</v>
      </c>
      <c r="D4" s="16">
        <v>0.11940298507462686</v>
      </c>
      <c r="E4" s="16">
        <v>0.12903225806451613</v>
      </c>
      <c r="F4" s="16">
        <v>9.5238095238095233E-2</v>
      </c>
      <c r="G4" s="16">
        <v>8.2758620689655171E-2</v>
      </c>
      <c r="H4" s="16">
        <v>0.1276595744680851</v>
      </c>
      <c r="I4" s="11">
        <v>0.28385318011533445</v>
      </c>
      <c r="J4" s="11">
        <f t="shared" si="0"/>
        <v>0.28385318011533445</v>
      </c>
      <c r="K4" s="11">
        <f t="shared" si="0"/>
        <v>0.1891891891891892</v>
      </c>
      <c r="L4" s="11">
        <f t="shared" si="0"/>
        <v>0.26865671641791045</v>
      </c>
      <c r="M4" s="11">
        <f t="shared" si="0"/>
        <v>0.20430107526881719</v>
      </c>
      <c r="N4" s="11">
        <f t="shared" si="0"/>
        <v>0.26455026455026454</v>
      </c>
      <c r="O4" s="11">
        <f t="shared" si="0"/>
        <v>0.29655172413793102</v>
      </c>
      <c r="P4" s="11">
        <f t="shared" si="0"/>
        <v>0.38297872340425532</v>
      </c>
    </row>
    <row r="5" spans="1:16" x14ac:dyDescent="0.3">
      <c r="A5" s="11" t="s">
        <v>22</v>
      </c>
      <c r="B5" s="16">
        <v>0.15589089531506503</v>
      </c>
      <c r="C5" s="16">
        <v>0.16216216216216217</v>
      </c>
      <c r="D5" s="16">
        <v>7.4626865671641784E-2</v>
      </c>
      <c r="E5" s="16">
        <v>8.6021505376344093E-2</v>
      </c>
      <c r="F5" s="16">
        <v>0.2275132275132275</v>
      </c>
      <c r="G5" s="16">
        <v>0.21379310344827587</v>
      </c>
      <c r="H5" s="16">
        <v>6.3829787234042548E-2</v>
      </c>
      <c r="I5" s="11">
        <v>0.43974407543039951</v>
      </c>
      <c r="J5" s="11">
        <f t="shared" si="0"/>
        <v>0.43974407543039951</v>
      </c>
      <c r="K5" s="11">
        <f t="shared" si="0"/>
        <v>0.35135135135135137</v>
      </c>
      <c r="L5" s="11">
        <f t="shared" si="0"/>
        <v>0.34328358208955223</v>
      </c>
      <c r="M5" s="11">
        <f t="shared" si="0"/>
        <v>0.29032258064516125</v>
      </c>
      <c r="N5" s="11">
        <f t="shared" si="0"/>
        <v>0.49206349206349204</v>
      </c>
      <c r="O5" s="11">
        <f t="shared" si="0"/>
        <v>0.51034482758620692</v>
      </c>
      <c r="P5" s="11">
        <f t="shared" si="0"/>
        <v>0.44680851063829785</v>
      </c>
    </row>
    <row r="6" spans="1:16" x14ac:dyDescent="0.3">
      <c r="A6" s="11" t="s">
        <v>21</v>
      </c>
      <c r="B6" s="16">
        <v>0.56025592456960049</v>
      </c>
      <c r="C6" s="16">
        <v>0.64864864864864868</v>
      </c>
      <c r="D6" s="16">
        <v>0.65671641791044777</v>
      </c>
      <c r="E6" s="16">
        <v>0.70967741935483875</v>
      </c>
      <c r="F6" s="16">
        <v>0.50793650793650791</v>
      </c>
      <c r="G6" s="16">
        <v>0.48965517241379308</v>
      </c>
      <c r="H6" s="16">
        <v>0.55319148936170215</v>
      </c>
      <c r="I6" s="11">
        <v>1</v>
      </c>
      <c r="J6" s="11">
        <f t="shared" si="0"/>
        <v>1</v>
      </c>
      <c r="K6" s="11">
        <f t="shared" si="0"/>
        <v>1</v>
      </c>
      <c r="L6" s="11">
        <f t="shared" si="0"/>
        <v>1</v>
      </c>
      <c r="M6" s="11">
        <f t="shared" si="0"/>
        <v>1</v>
      </c>
      <c r="N6" s="11">
        <f t="shared" si="0"/>
        <v>1</v>
      </c>
      <c r="O6" s="11">
        <f t="shared" si="0"/>
        <v>1</v>
      </c>
      <c r="P6" s="11">
        <f t="shared" si="0"/>
        <v>1</v>
      </c>
    </row>
    <row r="8" spans="1:16" ht="28.8" x14ac:dyDescent="0.3">
      <c r="B8" s="1" t="s">
        <v>86</v>
      </c>
      <c r="C8" s="2" t="s">
        <v>94</v>
      </c>
      <c r="D8" s="2" t="s">
        <v>95</v>
      </c>
      <c r="E8" s="2" t="s">
        <v>96</v>
      </c>
      <c r="F8" s="2" t="s">
        <v>97</v>
      </c>
      <c r="G8" s="2" t="s">
        <v>98</v>
      </c>
      <c r="H8" s="2" t="s">
        <v>99</v>
      </c>
      <c r="J8" s="3"/>
      <c r="K8" s="12" t="s">
        <v>100</v>
      </c>
      <c r="L8" s="12" t="s">
        <v>101</v>
      </c>
      <c r="M8" s="12" t="s">
        <v>102</v>
      </c>
      <c r="N8" s="12" t="s">
        <v>103</v>
      </c>
      <c r="O8" s="12" t="s">
        <v>104</v>
      </c>
      <c r="P8" s="12" t="s">
        <v>105</v>
      </c>
    </row>
    <row r="9" spans="1:16" x14ac:dyDescent="0.3">
      <c r="B9" s="11" t="s">
        <v>23</v>
      </c>
      <c r="C9" s="11">
        <f>C2-B2</f>
        <v>-4.495005170595523E-2</v>
      </c>
      <c r="D9" s="11">
        <f>D2-B2</f>
        <v>-1.0863726574853988E-2</v>
      </c>
      <c r="E9" s="11">
        <f>E2-B2</f>
        <v>-6.3985215902409742E-2</v>
      </c>
      <c r="F9" s="11">
        <f>F2-B2</f>
        <v>9.7475029915994604E-3</v>
      </c>
      <c r="G9" s="11">
        <f>G2-B2</f>
        <v>3.8647338787986985E-2</v>
      </c>
      <c r="H9" s="11">
        <f>H2-B2</f>
        <v>4.2168982221589324E-2</v>
      </c>
      <c r="J9" s="11" t="s">
        <v>23</v>
      </c>
      <c r="K9" s="3">
        <f>(J2-0) * ((K2+0))</f>
        <v>3.4658348208038829E-3</v>
      </c>
      <c r="L9" s="3">
        <f>(J2-0) * ((L2+0))</f>
        <v>6.3798949437683409E-3</v>
      </c>
      <c r="M9" s="3">
        <f>(J2-0) * ((M2+0))</f>
        <v>1.8385073601396942E-3</v>
      </c>
      <c r="N9" s="3">
        <f>(J2-0) * ((N2+0))</f>
        <v>8.1419611663329297E-3</v>
      </c>
      <c r="O9" s="3">
        <f>(J2-0) * ((O2+0))</f>
        <v>1.0612625244392578E-2</v>
      </c>
      <c r="P9" s="3">
        <f>(J2-0) * ((P2+0))</f>
        <v>1.0913692627212226E-2</v>
      </c>
    </row>
    <row r="10" spans="1:16" x14ac:dyDescent="0.3">
      <c r="B10" s="11" t="s">
        <v>25</v>
      </c>
      <c r="C10" s="11">
        <f t="shared" ref="C10:C13" si="1">C3-B3</f>
        <v>-5.3663273072289366E-2</v>
      </c>
      <c r="D10" s="11">
        <f t="shared" ref="D10:D13" si="2">D3-B3</f>
        <v>-1.9576947941188125E-2</v>
      </c>
      <c r="E10" s="11">
        <f t="shared" ref="E10:E13" si="3">E3-B3</f>
        <v>-4.0440372752614855E-2</v>
      </c>
      <c r="F10" s="11">
        <f t="shared" ref="F10:F13" si="4">F3-B3</f>
        <v>-2.0129739538755839E-2</v>
      </c>
      <c r="G10" s="11">
        <f t="shared" ref="G10:G13" si="5">G3-B3</f>
        <v>-4.548641199036807E-3</v>
      </c>
      <c r="H10" s="11">
        <f t="shared" ref="H10:H13" si="6">H3-B3</f>
        <v>3.3455760855255187E-2</v>
      </c>
      <c r="J10" s="11" t="s">
        <v>25</v>
      </c>
      <c r="K10" s="3">
        <f>(J3-J2) * ((K3+K2))</f>
        <v>1.1457220574533366E-2</v>
      </c>
      <c r="L10" s="3">
        <f>(J3-J2) * ((L3+L2))</f>
        <v>2.1090406032723108E-2</v>
      </c>
      <c r="M10" s="3">
        <f>(J3-J2) * ((M3+M2))</f>
        <v>9.116498091564184E-3</v>
      </c>
      <c r="N10" s="3">
        <f>(J3-J2) * ((N3+N2))</f>
        <v>2.4921643812917959E-2</v>
      </c>
      <c r="O10" s="3">
        <f>(J3-J2) * ((O3+O2))</f>
        <v>3.1834392186404589E-2</v>
      </c>
      <c r="P10" s="3">
        <f>(J3-J2) * ((P3+P2))</f>
        <v>3.6078056277254002E-2</v>
      </c>
    </row>
    <row r="11" spans="1:16" x14ac:dyDescent="0.3">
      <c r="B11" s="11" t="s">
        <v>24</v>
      </c>
      <c r="C11" s="11">
        <f t="shared" si="1"/>
        <v>3.9493338520993626E-3</v>
      </c>
      <c r="D11" s="11">
        <f t="shared" si="2"/>
        <v>1.5244210818618112E-2</v>
      </c>
      <c r="E11" s="11">
        <f t="shared" si="3"/>
        <v>2.4873483808507374E-2</v>
      </c>
      <c r="F11" s="11">
        <f t="shared" si="4"/>
        <v>-8.9206790179135187E-3</v>
      </c>
      <c r="G11" s="11">
        <f t="shared" si="5"/>
        <v>-2.140015356635358E-2</v>
      </c>
      <c r="H11" s="11">
        <f t="shared" si="6"/>
        <v>2.3500800212076345E-2</v>
      </c>
      <c r="J11" s="11" t="s">
        <v>24</v>
      </c>
      <c r="K11" s="3">
        <f t="shared" ref="K11:K13" si="7">(J4-J3) * ((K4+K3))</f>
        <v>2.8151020069191564E-2</v>
      </c>
      <c r="L11" s="3">
        <f t="shared" ref="L11:L13" si="8">(J4-J3) * ((L4+L3))</f>
        <v>4.3529039987585755E-2</v>
      </c>
      <c r="M11" s="3">
        <f t="shared" ref="M11:M13" si="9">(J4-J3) * ((M4+M3))</f>
        <v>2.9119657318884173E-2</v>
      </c>
      <c r="N11" s="3">
        <f t="shared" ref="N11:N13" si="10">(J4-J3) * ((N4+N3))</f>
        <v>4.5190579306839784E-2</v>
      </c>
      <c r="O11" s="3">
        <f t="shared" ref="O11:O13" si="11">(J4-J3) * ((O4+O3))</f>
        <v>5.3156891689273435E-2</v>
      </c>
      <c r="P11" s="3">
        <f t="shared" ref="P11:P13" si="12">(J4-J3) * ((P4+P3))</f>
        <v>6.6484323993197092E-2</v>
      </c>
    </row>
    <row r="12" spans="1:16" x14ac:dyDescent="0.3">
      <c r="B12" s="11" t="s">
        <v>22</v>
      </c>
      <c r="C12" s="11">
        <f t="shared" si="1"/>
        <v>6.27126684709714E-3</v>
      </c>
      <c r="D12" s="11">
        <f t="shared" si="2"/>
        <v>-8.1264029643423247E-2</v>
      </c>
      <c r="E12" s="11">
        <f t="shared" si="3"/>
        <v>-6.9869389938720938E-2</v>
      </c>
      <c r="F12" s="11">
        <f t="shared" si="4"/>
        <v>7.1622332198162469E-2</v>
      </c>
      <c r="G12" s="11">
        <f t="shared" si="5"/>
        <v>5.7902208133210842E-2</v>
      </c>
      <c r="H12" s="11">
        <f t="shared" si="6"/>
        <v>-9.2061108081022483E-2</v>
      </c>
      <c r="J12" s="11" t="s">
        <v>22</v>
      </c>
      <c r="K12" s="3">
        <f t="shared" si="7"/>
        <v>8.4265348818954089E-2</v>
      </c>
      <c r="L12" s="3">
        <f t="shared" si="8"/>
        <v>9.5395921013696525E-2</v>
      </c>
      <c r="M12" s="3">
        <f t="shared" si="9"/>
        <v>7.7107324564440777E-2</v>
      </c>
      <c r="N12" s="3">
        <f t="shared" si="10"/>
        <v>0.11794919592621322</v>
      </c>
      <c r="O12" s="3">
        <f t="shared" si="11"/>
        <v>0.12578782587491458</v>
      </c>
      <c r="P12" s="3">
        <f t="shared" si="12"/>
        <v>0.12935627483590503</v>
      </c>
    </row>
    <row r="13" spans="1:16" x14ac:dyDescent="0.3">
      <c r="B13" s="11" t="s">
        <v>21</v>
      </c>
      <c r="C13" s="11">
        <f t="shared" si="1"/>
        <v>8.8392724079048191E-2</v>
      </c>
      <c r="D13" s="11">
        <f t="shared" si="2"/>
        <v>9.6460493340847275E-2</v>
      </c>
      <c r="E13" s="11">
        <f t="shared" si="3"/>
        <v>0.14942149478523825</v>
      </c>
      <c r="F13" s="11">
        <f t="shared" si="4"/>
        <v>-5.2319416633092586E-2</v>
      </c>
      <c r="G13" s="11">
        <f t="shared" si="5"/>
        <v>-7.0600752155807411E-2</v>
      </c>
      <c r="H13" s="11">
        <f t="shared" si="6"/>
        <v>-7.0644352078983452E-3</v>
      </c>
      <c r="J13" s="11" t="s">
        <v>21</v>
      </c>
      <c r="K13" s="3">
        <f t="shared" si="7"/>
        <v>0.75710260076973035</v>
      </c>
      <c r="L13" s="3">
        <f t="shared" si="8"/>
        <v>0.7525825852427469</v>
      </c>
      <c r="M13" s="3">
        <f t="shared" si="9"/>
        <v>0.72291087041238766</v>
      </c>
      <c r="N13" s="3">
        <f t="shared" si="10"/>
        <v>0.83593741126257848</v>
      </c>
      <c r="O13" s="3">
        <f t="shared" si="11"/>
        <v>0.84617963779822425</v>
      </c>
      <c r="P13" s="3">
        <f t="shared" si="12"/>
        <v>0.8105830398028262</v>
      </c>
    </row>
    <row r="14" spans="1:16" x14ac:dyDescent="0.3">
      <c r="J14" s="12" t="s">
        <v>106</v>
      </c>
      <c r="K14" s="12">
        <f>SUM(K9:K13)</f>
        <v>0.88444202505321323</v>
      </c>
      <c r="L14" s="12">
        <f t="shared" ref="L14:P14" si="13">SUM(L9:L13)</f>
        <v>0.91897784722052056</v>
      </c>
      <c r="M14" s="12">
        <f t="shared" si="13"/>
        <v>0.84009285774741649</v>
      </c>
      <c r="N14" s="12">
        <f t="shared" si="13"/>
        <v>1.0321407914748824</v>
      </c>
      <c r="O14" s="12">
        <f t="shared" si="13"/>
        <v>1.0675713727932095</v>
      </c>
      <c r="P14" s="12">
        <f t="shared" si="13"/>
        <v>1.0534153875363945</v>
      </c>
    </row>
    <row r="15" spans="1:16" x14ac:dyDescent="0.3">
      <c r="J15" s="15" t="s">
        <v>107</v>
      </c>
      <c r="K15" s="15">
        <f>1-K14</f>
        <v>0.11555797494678677</v>
      </c>
      <c r="L15" s="15">
        <f t="shared" ref="L15:P15" si="14">1-L14</f>
        <v>8.1022152779479439E-2</v>
      </c>
      <c r="M15" s="15">
        <f t="shared" si="14"/>
        <v>0.15990714225258351</v>
      </c>
      <c r="N15" s="15">
        <f t="shared" si="14"/>
        <v>-3.2140791474882358E-2</v>
      </c>
      <c r="O15" s="15">
        <f t="shared" si="14"/>
        <v>-6.7571372793209461E-2</v>
      </c>
      <c r="P15" s="15">
        <f t="shared" si="14"/>
        <v>-5.3415387536394521E-2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EFEE7-B7DA-4588-8F52-D828CB07228D}">
  <dimension ref="A1:P17"/>
  <sheetViews>
    <sheetView workbookViewId="0">
      <selection activeCell="J2" sqref="J2:P2"/>
    </sheetView>
  </sheetViews>
  <sheetFormatPr defaultRowHeight="14.4" x14ac:dyDescent="0.3"/>
  <cols>
    <col min="1" max="1" width="15.88671875" customWidth="1"/>
  </cols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31</v>
      </c>
      <c r="B2" s="16">
        <v>6.5521934037784196E-2</v>
      </c>
      <c r="C2" s="16">
        <v>0</v>
      </c>
      <c r="D2" s="16">
        <v>3.7735849056603772E-2</v>
      </c>
      <c r="E2" s="16">
        <v>0</v>
      </c>
      <c r="F2" s="16">
        <v>5.8064516129032261E-2</v>
      </c>
      <c r="G2" s="16">
        <v>1.9108280254777069E-2</v>
      </c>
      <c r="H2" s="16">
        <v>0.01</v>
      </c>
      <c r="I2" s="11">
        <v>6.5521934037784182E-2</v>
      </c>
      <c r="J2" s="17">
        <v>6.5521934037784196E-2</v>
      </c>
      <c r="K2" s="17">
        <v>0</v>
      </c>
      <c r="L2" s="17">
        <v>3.7735849056603772E-2</v>
      </c>
      <c r="M2" s="17">
        <v>0</v>
      </c>
      <c r="N2" s="17">
        <v>5.8064516129032261E-2</v>
      </c>
      <c r="O2" s="17">
        <v>1.9108280254777069E-2</v>
      </c>
      <c r="P2" s="17">
        <v>0.01</v>
      </c>
    </row>
    <row r="3" spans="1:16" x14ac:dyDescent="0.3">
      <c r="A3" s="11" t="s">
        <v>29</v>
      </c>
      <c r="B3" s="16">
        <v>7.9944497811932969E-2</v>
      </c>
      <c r="C3" s="16">
        <v>4.0404040404040407E-2</v>
      </c>
      <c r="D3" s="16">
        <v>5.6603773584905662E-2</v>
      </c>
      <c r="E3" s="16">
        <v>4.4444444444444446E-2</v>
      </c>
      <c r="F3" s="16">
        <v>0.15483870967741936</v>
      </c>
      <c r="G3" s="16">
        <v>5.0955414012738856E-2</v>
      </c>
      <c r="H3" s="16">
        <v>0.13</v>
      </c>
      <c r="I3" s="11">
        <v>0.14546643184971714</v>
      </c>
      <c r="J3" s="11">
        <f t="shared" ref="J3:P7" si="0">J2+B3</f>
        <v>0.14546643184971716</v>
      </c>
      <c r="K3" s="11">
        <f t="shared" si="0"/>
        <v>4.0404040404040407E-2</v>
      </c>
      <c r="L3" s="11">
        <f t="shared" si="0"/>
        <v>9.4339622641509441E-2</v>
      </c>
      <c r="M3" s="11">
        <f t="shared" si="0"/>
        <v>4.4444444444444446E-2</v>
      </c>
      <c r="N3" s="11">
        <f t="shared" si="0"/>
        <v>0.21290322580645163</v>
      </c>
      <c r="O3" s="11">
        <f t="shared" si="0"/>
        <v>7.0063694267515922E-2</v>
      </c>
      <c r="P3" s="11">
        <f t="shared" si="0"/>
        <v>0.14000000000000001</v>
      </c>
    </row>
    <row r="4" spans="1:16" x14ac:dyDescent="0.3">
      <c r="A4" s="11" t="s">
        <v>27</v>
      </c>
      <c r="B4" s="16">
        <v>8.3506777671042795E-2</v>
      </c>
      <c r="C4" s="16">
        <v>1.0101010101010102E-2</v>
      </c>
      <c r="D4" s="16">
        <v>0</v>
      </c>
      <c r="E4" s="16">
        <v>0</v>
      </c>
      <c r="F4" s="16">
        <v>1.2903225806451613E-2</v>
      </c>
      <c r="G4" s="16">
        <v>2.5477707006369428E-2</v>
      </c>
      <c r="H4" s="16">
        <v>0.05</v>
      </c>
      <c r="I4" s="11">
        <v>0.22897320952075995</v>
      </c>
      <c r="J4" s="11">
        <f t="shared" si="0"/>
        <v>0.22897320952075995</v>
      </c>
      <c r="K4" s="11">
        <f t="shared" si="0"/>
        <v>5.0505050505050511E-2</v>
      </c>
      <c r="L4" s="11">
        <f t="shared" si="0"/>
        <v>9.4339622641509441E-2</v>
      </c>
      <c r="M4" s="11">
        <f t="shared" si="0"/>
        <v>4.4444444444444446E-2</v>
      </c>
      <c r="N4" s="11">
        <f t="shared" si="0"/>
        <v>0.22580645161290325</v>
      </c>
      <c r="O4" s="11">
        <f t="shared" si="0"/>
        <v>9.5541401273885357E-2</v>
      </c>
      <c r="P4" s="11">
        <f t="shared" si="0"/>
        <v>0.19</v>
      </c>
    </row>
    <row r="5" spans="1:16" x14ac:dyDescent="0.3">
      <c r="A5" s="11" t="s">
        <v>28</v>
      </c>
      <c r="B5" s="16">
        <v>0.20530472835948341</v>
      </c>
      <c r="C5" s="16">
        <v>0.1111111111111111</v>
      </c>
      <c r="D5" s="16">
        <v>5.6603773584905662E-2</v>
      </c>
      <c r="E5" s="16">
        <v>2.2222222222222223E-2</v>
      </c>
      <c r="F5" s="16">
        <v>7.0967741935483872E-2</v>
      </c>
      <c r="G5" s="16">
        <v>0.19108280254777071</v>
      </c>
      <c r="H5" s="16">
        <v>0.22</v>
      </c>
      <c r="I5" s="11">
        <v>0.43427793788024338</v>
      </c>
      <c r="J5" s="11">
        <f t="shared" si="0"/>
        <v>0.43427793788024338</v>
      </c>
      <c r="K5" s="11">
        <f t="shared" si="0"/>
        <v>0.1616161616161616</v>
      </c>
      <c r="L5" s="11">
        <f t="shared" si="0"/>
        <v>0.15094339622641512</v>
      </c>
      <c r="M5" s="11">
        <f t="shared" si="0"/>
        <v>6.6666666666666666E-2</v>
      </c>
      <c r="N5" s="11">
        <f t="shared" si="0"/>
        <v>0.29677419354838713</v>
      </c>
      <c r="O5" s="11">
        <f t="shared" si="0"/>
        <v>0.2866242038216561</v>
      </c>
      <c r="P5" s="11">
        <f t="shared" si="0"/>
        <v>0.41000000000000003</v>
      </c>
    </row>
    <row r="6" spans="1:16" x14ac:dyDescent="0.3">
      <c r="A6" s="11" t="s">
        <v>30</v>
      </c>
      <c r="B6" s="16">
        <v>0.21270946739246452</v>
      </c>
      <c r="C6" s="16">
        <v>0.10101010101010101</v>
      </c>
      <c r="D6" s="16">
        <v>0.30188679245283018</v>
      </c>
      <c r="E6" s="16">
        <v>0.2</v>
      </c>
      <c r="F6" s="16">
        <v>0.21935483870967742</v>
      </c>
      <c r="G6" s="16">
        <v>0.26114649681528662</v>
      </c>
      <c r="H6" s="16">
        <v>0.19</v>
      </c>
      <c r="I6" s="11">
        <v>0.64698740527270793</v>
      </c>
      <c r="J6" s="11">
        <f t="shared" si="0"/>
        <v>0.64698740527270793</v>
      </c>
      <c r="K6" s="11">
        <f t="shared" si="0"/>
        <v>0.2626262626262626</v>
      </c>
      <c r="L6" s="11">
        <f t="shared" si="0"/>
        <v>0.45283018867924529</v>
      </c>
      <c r="M6" s="11">
        <f t="shared" si="0"/>
        <v>0.26666666666666666</v>
      </c>
      <c r="N6" s="11">
        <f t="shared" si="0"/>
        <v>0.5161290322580645</v>
      </c>
      <c r="O6" s="11">
        <f t="shared" si="0"/>
        <v>0.54777070063694278</v>
      </c>
      <c r="P6" s="11">
        <f t="shared" si="0"/>
        <v>0.60000000000000009</v>
      </c>
    </row>
    <row r="7" spans="1:16" x14ac:dyDescent="0.3">
      <c r="A7" s="11" t="s">
        <v>26</v>
      </c>
      <c r="B7" s="16">
        <v>0.35301259472729213</v>
      </c>
      <c r="C7" s="16">
        <v>0.73737373737373735</v>
      </c>
      <c r="D7" s="16">
        <v>0.54716981132075471</v>
      </c>
      <c r="E7" s="16">
        <v>0.73333333333333328</v>
      </c>
      <c r="F7" s="16">
        <v>0.4838709677419355</v>
      </c>
      <c r="G7" s="16">
        <v>0.45222929936305734</v>
      </c>
      <c r="H7" s="16">
        <v>0.4</v>
      </c>
      <c r="I7" s="11">
        <v>1</v>
      </c>
      <c r="J7" s="11">
        <f t="shared" si="0"/>
        <v>1</v>
      </c>
      <c r="K7" s="11">
        <f t="shared" si="0"/>
        <v>1</v>
      </c>
      <c r="L7" s="11">
        <f t="shared" si="0"/>
        <v>1</v>
      </c>
      <c r="M7" s="11">
        <f t="shared" si="0"/>
        <v>1</v>
      </c>
      <c r="N7" s="11">
        <f t="shared" si="0"/>
        <v>1</v>
      </c>
      <c r="O7" s="11">
        <f t="shared" si="0"/>
        <v>1</v>
      </c>
      <c r="P7" s="11">
        <f t="shared" si="0"/>
        <v>1</v>
      </c>
    </row>
    <row r="9" spans="1:16" ht="28.8" x14ac:dyDescent="0.3">
      <c r="B9" s="1" t="s">
        <v>86</v>
      </c>
      <c r="C9" s="2" t="s">
        <v>94</v>
      </c>
      <c r="D9" s="2" t="s">
        <v>95</v>
      </c>
      <c r="E9" s="2" t="s">
        <v>96</v>
      </c>
      <c r="F9" s="2" t="s">
        <v>97</v>
      </c>
      <c r="G9" s="2" t="s">
        <v>98</v>
      </c>
      <c r="H9" s="2" t="s">
        <v>99</v>
      </c>
      <c r="J9" s="1" t="s">
        <v>86</v>
      </c>
      <c r="K9" s="12" t="s">
        <v>100</v>
      </c>
      <c r="L9" s="12" t="s">
        <v>101</v>
      </c>
      <c r="M9" s="12" t="s">
        <v>102</v>
      </c>
      <c r="N9" s="12" t="s">
        <v>103</v>
      </c>
      <c r="O9" s="12" t="s">
        <v>104</v>
      </c>
      <c r="P9" s="12" t="s">
        <v>105</v>
      </c>
    </row>
    <row r="10" spans="1:16" x14ac:dyDescent="0.3">
      <c r="B10" s="11" t="s">
        <v>31</v>
      </c>
      <c r="C10" s="11">
        <f>C2-B2</f>
        <v>-6.5521934037784196E-2</v>
      </c>
      <c r="D10" s="11">
        <f>D2-B2</f>
        <v>-2.7786084981180424E-2</v>
      </c>
      <c r="E10" s="11">
        <f>E2-B2</f>
        <v>-6.5521934037784196E-2</v>
      </c>
      <c r="F10" s="11">
        <f>F2-B2</f>
        <v>-7.4574179087519357E-3</v>
      </c>
      <c r="G10" s="11">
        <f>G2-B2</f>
        <v>-4.6413653783007131E-2</v>
      </c>
      <c r="H10" s="11">
        <f>H2-B2</f>
        <v>-5.5521934037784194E-2</v>
      </c>
      <c r="J10" s="11" t="s">
        <v>31</v>
      </c>
      <c r="K10" s="3">
        <f>(J2-0) * ((K2+0))</f>
        <v>0</v>
      </c>
      <c r="L10" s="3">
        <f>(J2-0) * ((L2+0))</f>
        <v>2.4725258127465733E-3</v>
      </c>
      <c r="M10" s="3">
        <f>(J2-0) * ((M2+0))</f>
        <v>0</v>
      </c>
      <c r="N10" s="3">
        <f>(J2-0) * ((N2+0))</f>
        <v>3.8044993957423085E-3</v>
      </c>
      <c r="O10" s="3">
        <f>(J2-0) * ((O2+0))</f>
        <v>1.2520114784289973E-3</v>
      </c>
      <c r="P10" s="3">
        <f>(J2-0) * ((P2+0))</f>
        <v>6.5521934037784198E-4</v>
      </c>
    </row>
    <row r="11" spans="1:16" x14ac:dyDescent="0.3">
      <c r="B11" s="11" t="s">
        <v>29</v>
      </c>
      <c r="C11" s="11">
        <f t="shared" ref="C11:C15" si="1">C3-B3</f>
        <v>-3.9540457407892561E-2</v>
      </c>
      <c r="D11" s="11">
        <f t="shared" ref="D11:D15" si="2">D3-B3</f>
        <v>-2.3340724227027307E-2</v>
      </c>
      <c r="E11" s="11">
        <f t="shared" ref="E11:E15" si="3">E3-B3</f>
        <v>-3.5500053367488522E-2</v>
      </c>
      <c r="F11" s="11">
        <f t="shared" ref="F11:F15" si="4">F3-B3</f>
        <v>7.4894211865486393E-2</v>
      </c>
      <c r="G11" s="11">
        <f t="shared" ref="G11:G15" si="5">G3-B3</f>
        <v>-2.8989083799194112E-2</v>
      </c>
      <c r="H11" s="11">
        <f t="shared" ref="H11:H15" si="6">H3-B3</f>
        <v>5.0055502188067036E-2</v>
      </c>
      <c r="J11" s="11" t="s">
        <v>29</v>
      </c>
      <c r="K11" s="3">
        <f>(J3-J2) * ((K3+K2))</f>
        <v>3.2300807196740597E-3</v>
      </c>
      <c r="L11" s="3">
        <f>(J3-J2) * ((L3+L2))</f>
        <v>1.0558707258179825E-2</v>
      </c>
      <c r="M11" s="3">
        <f>(J3-J2) * ((M3+M2))</f>
        <v>3.5530887916414653E-3</v>
      </c>
      <c r="N11" s="3">
        <f>(J3-J2) * ((N3+N2))</f>
        <v>2.1662380052265711E-2</v>
      </c>
      <c r="O11" s="3">
        <f>(J3-J2) * ((O3+O2))</f>
        <v>7.128808722083194E-3</v>
      </c>
      <c r="P11" s="3">
        <f>(J3-J2) * ((P3+P2))</f>
        <v>1.1991674671789947E-2</v>
      </c>
    </row>
    <row r="12" spans="1:16" x14ac:dyDescent="0.3">
      <c r="B12" s="11" t="s">
        <v>27</v>
      </c>
      <c r="C12" s="11">
        <f t="shared" si="1"/>
        <v>-7.3405767570032698E-2</v>
      </c>
      <c r="D12" s="11">
        <f t="shared" si="2"/>
        <v>-8.3506777671042795E-2</v>
      </c>
      <c r="E12" s="11">
        <f t="shared" si="3"/>
        <v>-8.3506777671042795E-2</v>
      </c>
      <c r="F12" s="11">
        <f t="shared" si="4"/>
        <v>-7.0603551864591177E-2</v>
      </c>
      <c r="G12" s="11">
        <f t="shared" si="5"/>
        <v>-5.8029070664673367E-2</v>
      </c>
      <c r="H12" s="11">
        <f t="shared" si="6"/>
        <v>-3.3506777671042792E-2</v>
      </c>
      <c r="J12" s="11" t="s">
        <v>27</v>
      </c>
      <c r="K12" s="3">
        <f t="shared" ref="K12:K15" si="7">(J4-J3) * ((K4+K3))</f>
        <v>7.5915252428220715E-3</v>
      </c>
      <c r="L12" s="3">
        <f t="shared" ref="L12:L15" si="8">(J4-J3) * ((L4+L3))</f>
        <v>1.5755995786989205E-2</v>
      </c>
      <c r="M12" s="3">
        <f t="shared" ref="M12:M15" si="9">(J4-J3) * ((M4+M3))</f>
        <v>7.4228246818704696E-3</v>
      </c>
      <c r="N12" s="3">
        <f t="shared" ref="N12:N15" si="10">(J4-J3) * ((N4+N3))</f>
        <v>3.6635231494392961E-2</v>
      </c>
      <c r="O12" s="3">
        <f t="shared" ref="O12:O15" si="11">(J4-J3) * ((O4+O3))</f>
        <v>1.3829147894567595E-2</v>
      </c>
      <c r="P12" s="3">
        <f t="shared" ref="P12:P15" si="12">(J4-J3) * ((P4+P3))</f>
        <v>2.7557236631444118E-2</v>
      </c>
    </row>
    <row r="13" spans="1:16" x14ac:dyDescent="0.3">
      <c r="B13" s="11" t="s">
        <v>28</v>
      </c>
      <c r="C13" s="11">
        <f t="shared" si="1"/>
        <v>-9.4193617248372302E-2</v>
      </c>
      <c r="D13" s="11">
        <f t="shared" si="2"/>
        <v>-0.14870095477457773</v>
      </c>
      <c r="E13" s="11">
        <f t="shared" si="3"/>
        <v>-0.18308250613726118</v>
      </c>
      <c r="F13" s="11">
        <f t="shared" si="4"/>
        <v>-0.13433698642399955</v>
      </c>
      <c r="G13" s="11">
        <f t="shared" si="5"/>
        <v>-1.4221925811712693E-2</v>
      </c>
      <c r="H13" s="11">
        <f t="shared" si="6"/>
        <v>1.4695271640516594E-2</v>
      </c>
      <c r="J13" s="11" t="s">
        <v>28</v>
      </c>
      <c r="K13" s="3">
        <f t="shared" si="7"/>
        <v>4.3549487833829816E-2</v>
      </c>
      <c r="L13" s="3">
        <f t="shared" si="8"/>
        <v>5.03577635598733E-2</v>
      </c>
      <c r="M13" s="3">
        <f t="shared" si="9"/>
        <v>2.2811636484387048E-2</v>
      </c>
      <c r="N13" s="3">
        <f t="shared" si="10"/>
        <v>0.10728827740076233</v>
      </c>
      <c r="O13" s="3">
        <f t="shared" si="11"/>
        <v>7.8460405742477757E-2</v>
      </c>
      <c r="P13" s="3">
        <f t="shared" si="12"/>
        <v>0.12318283701569008</v>
      </c>
    </row>
    <row r="14" spans="1:16" x14ac:dyDescent="0.3">
      <c r="B14" s="11" t="s">
        <v>30</v>
      </c>
      <c r="C14" s="11">
        <f t="shared" si="1"/>
        <v>-0.11169936638236351</v>
      </c>
      <c r="D14" s="11">
        <f t="shared" si="2"/>
        <v>8.9177325060365659E-2</v>
      </c>
      <c r="E14" s="11">
        <f t="shared" si="3"/>
        <v>-1.2709467392464507E-2</v>
      </c>
      <c r="F14" s="11">
        <f t="shared" si="4"/>
        <v>6.6453713172129059E-3</v>
      </c>
      <c r="G14" s="11">
        <f t="shared" si="5"/>
        <v>4.8437029422822103E-2</v>
      </c>
      <c r="H14" s="11">
        <f t="shared" si="6"/>
        <v>-2.2709467392464516E-2</v>
      </c>
      <c r="J14" s="11" t="s">
        <v>30</v>
      </c>
      <c r="K14" s="3">
        <f t="shared" si="7"/>
        <v>9.0240380105894039E-2</v>
      </c>
      <c r="L14" s="3">
        <f t="shared" si="8"/>
        <v>0.12842835767092201</v>
      </c>
      <c r="M14" s="3">
        <f t="shared" si="9"/>
        <v>7.0903155797488182E-2</v>
      </c>
      <c r="N14" s="3">
        <f t="shared" si="10"/>
        <v>0.17291221220290667</v>
      </c>
      <c r="O14" s="3">
        <f t="shared" si="11"/>
        <v>0.17748369572237491</v>
      </c>
      <c r="P14" s="3">
        <f t="shared" si="12"/>
        <v>0.21483656206638924</v>
      </c>
    </row>
    <row r="15" spans="1:16" x14ac:dyDescent="0.3">
      <c r="B15" s="11" t="s">
        <v>26</v>
      </c>
      <c r="C15" s="11">
        <f t="shared" si="1"/>
        <v>0.38436114264644522</v>
      </c>
      <c r="D15" s="11">
        <f t="shared" si="2"/>
        <v>0.19415721659346258</v>
      </c>
      <c r="E15" s="11">
        <f t="shared" si="3"/>
        <v>0.38032073860604115</v>
      </c>
      <c r="F15" s="11">
        <f t="shared" si="4"/>
        <v>0.13085837301464337</v>
      </c>
      <c r="G15" s="11">
        <f t="shared" si="5"/>
        <v>9.9216704635765207E-2</v>
      </c>
      <c r="H15" s="11">
        <f t="shared" si="6"/>
        <v>4.6987405272707894E-2</v>
      </c>
      <c r="J15" s="11" t="s">
        <v>26</v>
      </c>
      <c r="K15" s="3">
        <f t="shared" si="7"/>
        <v>0.44572297314052028</v>
      </c>
      <c r="L15" s="3">
        <f t="shared" si="8"/>
        <v>0.51286735460380162</v>
      </c>
      <c r="M15" s="3">
        <f t="shared" si="9"/>
        <v>0.44714928665456993</v>
      </c>
      <c r="N15" s="3">
        <f t="shared" si="10"/>
        <v>0.53521264361879761</v>
      </c>
      <c r="O15" s="3">
        <f t="shared" si="11"/>
        <v>0.546382551074726</v>
      </c>
      <c r="P15" s="3">
        <f t="shared" si="12"/>
        <v>0.56482015156366738</v>
      </c>
    </row>
    <row r="16" spans="1:16" x14ac:dyDescent="0.3">
      <c r="J16" s="13" t="s">
        <v>106</v>
      </c>
      <c r="K16" s="12">
        <f>SUM(K10:K15)</f>
        <v>0.5903344470427403</v>
      </c>
      <c r="L16" s="12">
        <f t="shared" ref="L16:P16" si="13">SUM(L10:L15)</f>
        <v>0.72044070469251253</v>
      </c>
      <c r="M16" s="12">
        <f t="shared" si="13"/>
        <v>0.55183999240995707</v>
      </c>
      <c r="N16" s="12">
        <f t="shared" si="13"/>
        <v>0.87751524416486759</v>
      </c>
      <c r="O16" s="12">
        <f t="shared" si="13"/>
        <v>0.82453662063465849</v>
      </c>
      <c r="P16" s="12">
        <f t="shared" si="13"/>
        <v>0.94304368128935856</v>
      </c>
    </row>
    <row r="17" spans="10:16" x14ac:dyDescent="0.3">
      <c r="J17" s="14" t="s">
        <v>107</v>
      </c>
      <c r="K17" s="15">
        <f>1-K16</f>
        <v>0.4096655529572597</v>
      </c>
      <c r="L17" s="15">
        <f t="shared" ref="L17:P17" si="14">1-L16</f>
        <v>0.27955929530748747</v>
      </c>
      <c r="M17" s="15">
        <f t="shared" si="14"/>
        <v>0.44816000759004293</v>
      </c>
      <c r="N17" s="15">
        <f t="shared" si="14"/>
        <v>0.12248475583513241</v>
      </c>
      <c r="O17" s="15">
        <f t="shared" si="14"/>
        <v>0.17546337936534151</v>
      </c>
      <c r="P17" s="15">
        <f t="shared" si="14"/>
        <v>5.695631871064144E-2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AE63-F1BE-4A20-8F64-E9A495781992}">
  <dimension ref="A1:P35"/>
  <sheetViews>
    <sheetView workbookViewId="0">
      <selection activeCell="A18" sqref="A18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45</v>
      </c>
      <c r="B2" s="16">
        <v>1.7275192095420788E-2</v>
      </c>
      <c r="C2" s="16">
        <v>0</v>
      </c>
      <c r="D2" s="16">
        <v>0</v>
      </c>
      <c r="E2" s="16">
        <v>0</v>
      </c>
      <c r="F2" s="16">
        <v>5.5555555555555558E-3</v>
      </c>
      <c r="G2" s="16">
        <v>1.2939001848428836E-2</v>
      </c>
      <c r="H2" s="16">
        <v>1.9189765458422176E-2</v>
      </c>
      <c r="I2" s="11">
        <v>1.7275192095420788E-2</v>
      </c>
      <c r="J2" s="17">
        <v>1.7275192095420788E-2</v>
      </c>
      <c r="K2" s="17">
        <v>0</v>
      </c>
      <c r="L2" s="17">
        <v>0</v>
      </c>
      <c r="M2" s="17">
        <v>0</v>
      </c>
      <c r="N2" s="17">
        <v>5.5555555555555558E-3</v>
      </c>
      <c r="O2" s="17">
        <v>1.2939001848428836E-2</v>
      </c>
      <c r="P2" s="17">
        <v>1.9189765458422176E-2</v>
      </c>
    </row>
    <row r="3" spans="1:16" x14ac:dyDescent="0.3">
      <c r="A3" s="11" t="s">
        <v>32</v>
      </c>
      <c r="B3" s="16">
        <v>1.7660990430057977E-2</v>
      </c>
      <c r="C3" s="16">
        <v>3.2894736842105261E-3</v>
      </c>
      <c r="D3" s="16">
        <v>2.7272727272727271E-2</v>
      </c>
      <c r="E3" s="16">
        <v>9.0909090909090905E-3</v>
      </c>
      <c r="F3" s="16">
        <v>8.3333333333333332E-3</v>
      </c>
      <c r="G3" s="16">
        <v>1.1090573012939002E-2</v>
      </c>
      <c r="H3" s="16">
        <v>4.2643923240938165E-3</v>
      </c>
      <c r="I3" s="11">
        <v>3.4936182525478768E-2</v>
      </c>
      <c r="J3" s="11">
        <f>J2+B3</f>
        <v>3.4936182525478768E-2</v>
      </c>
      <c r="K3" s="11">
        <f t="shared" ref="K3:P16" si="0">K2+C3</f>
        <v>3.2894736842105261E-3</v>
      </c>
      <c r="L3" s="11">
        <f t="shared" si="0"/>
        <v>2.7272727272727271E-2</v>
      </c>
      <c r="M3" s="11">
        <f t="shared" si="0"/>
        <v>9.0909090909090905E-3</v>
      </c>
      <c r="N3" s="11">
        <f t="shared" si="0"/>
        <v>1.3888888888888888E-2</v>
      </c>
      <c r="O3" s="11">
        <f t="shared" si="0"/>
        <v>2.4029574861367836E-2</v>
      </c>
      <c r="P3" s="11">
        <f t="shared" si="0"/>
        <v>2.3454157782515993E-2</v>
      </c>
    </row>
    <row r="4" spans="1:16" x14ac:dyDescent="0.3">
      <c r="A4" s="11" t="s">
        <v>34</v>
      </c>
      <c r="B4" s="16">
        <v>1.8161099382365445E-2</v>
      </c>
      <c r="C4" s="16">
        <v>9.8684210526315784E-3</v>
      </c>
      <c r="D4" s="16">
        <v>9.0909090909090905E-3</v>
      </c>
      <c r="E4" s="16">
        <v>0</v>
      </c>
      <c r="F4" s="16">
        <v>2.7777777777777776E-2</v>
      </c>
      <c r="G4" s="16">
        <v>2.0332717190388171E-2</v>
      </c>
      <c r="H4" s="16">
        <v>1.279317697228145E-2</v>
      </c>
      <c r="I4" s="11">
        <v>5.3097281907844213E-2</v>
      </c>
      <c r="J4" s="11">
        <f t="shared" ref="J4:J16" si="1">J3+B4</f>
        <v>5.3097281907844213E-2</v>
      </c>
      <c r="K4" s="11">
        <f t="shared" si="0"/>
        <v>1.3157894736842105E-2</v>
      </c>
      <c r="L4" s="11">
        <f t="shared" si="0"/>
        <v>3.6363636363636362E-2</v>
      </c>
      <c r="M4" s="11">
        <f t="shared" si="0"/>
        <v>9.0909090909090905E-3</v>
      </c>
      <c r="N4" s="11">
        <f t="shared" si="0"/>
        <v>4.1666666666666664E-2</v>
      </c>
      <c r="O4" s="11">
        <f t="shared" si="0"/>
        <v>4.4362292051756007E-2</v>
      </c>
      <c r="P4" s="11">
        <f t="shared" si="0"/>
        <v>3.6247334754797439E-2</v>
      </c>
    </row>
    <row r="5" spans="1:16" x14ac:dyDescent="0.3">
      <c r="A5" s="11" t="s">
        <v>42</v>
      </c>
      <c r="B5" s="16">
        <v>2.1783317079792384E-2</v>
      </c>
      <c r="C5" s="16">
        <v>1.6447368421052631E-2</v>
      </c>
      <c r="D5" s="16">
        <v>9.0909090909090905E-3</v>
      </c>
      <c r="E5" s="16">
        <v>0</v>
      </c>
      <c r="F5" s="16">
        <v>1.1111111111111112E-2</v>
      </c>
      <c r="G5" s="16">
        <v>1.4787430683918669E-2</v>
      </c>
      <c r="H5" s="16">
        <v>2.9850746268656716E-2</v>
      </c>
      <c r="I5" s="11">
        <v>7.4880598987636604E-2</v>
      </c>
      <c r="J5" s="11">
        <f t="shared" si="1"/>
        <v>7.4880598987636604E-2</v>
      </c>
      <c r="K5" s="11">
        <f t="shared" si="0"/>
        <v>2.9605263157894735E-2</v>
      </c>
      <c r="L5" s="11">
        <f t="shared" si="0"/>
        <v>4.5454545454545456E-2</v>
      </c>
      <c r="M5" s="11">
        <f t="shared" si="0"/>
        <v>9.0909090909090905E-3</v>
      </c>
      <c r="N5" s="11">
        <f t="shared" si="0"/>
        <v>5.2777777777777778E-2</v>
      </c>
      <c r="O5" s="11">
        <f t="shared" si="0"/>
        <v>5.9149722735674676E-2</v>
      </c>
      <c r="P5" s="11">
        <f t="shared" si="0"/>
        <v>6.6098081023454158E-2</v>
      </c>
    </row>
    <row r="6" spans="1:16" x14ac:dyDescent="0.3">
      <c r="A6" s="11" t="s">
        <v>37</v>
      </c>
      <c r="B6" s="16">
        <v>2.3451537656418005E-2</v>
      </c>
      <c r="C6" s="16">
        <v>2.6315789473684209E-2</v>
      </c>
      <c r="D6" s="16">
        <v>4.5454545454545456E-2</v>
      </c>
      <c r="E6" s="16">
        <v>0</v>
      </c>
      <c r="F6" s="16">
        <v>2.7777777777777776E-2</v>
      </c>
      <c r="G6" s="16">
        <v>3.1423290203327174E-2</v>
      </c>
      <c r="H6" s="16">
        <v>1.4925373134328358E-2</v>
      </c>
      <c r="I6" s="11">
        <v>9.8332136644054602E-2</v>
      </c>
      <c r="J6" s="11">
        <f t="shared" si="1"/>
        <v>9.8332136644054602E-2</v>
      </c>
      <c r="K6" s="11">
        <f t="shared" si="0"/>
        <v>5.5921052631578941E-2</v>
      </c>
      <c r="L6" s="11">
        <f t="shared" si="0"/>
        <v>9.0909090909090912E-2</v>
      </c>
      <c r="M6" s="11">
        <f t="shared" si="0"/>
        <v>9.0909090909090905E-3</v>
      </c>
      <c r="N6" s="11">
        <f t="shared" si="0"/>
        <v>8.0555555555555547E-2</v>
      </c>
      <c r="O6" s="11">
        <f t="shared" si="0"/>
        <v>9.0573012939001857E-2</v>
      </c>
      <c r="P6" s="11">
        <f t="shared" si="0"/>
        <v>8.1023454157782518E-2</v>
      </c>
    </row>
    <row r="7" spans="1:16" x14ac:dyDescent="0.3">
      <c r="A7" s="11" t="s">
        <v>41</v>
      </c>
      <c r="B7" s="16">
        <v>2.6766545568856073E-2</v>
      </c>
      <c r="C7" s="16">
        <v>1.3157894736842105E-2</v>
      </c>
      <c r="D7" s="16">
        <v>9.0909090909090905E-3</v>
      </c>
      <c r="E7" s="16">
        <v>0</v>
      </c>
      <c r="F7" s="16">
        <v>5.5555555555555558E-3</v>
      </c>
      <c r="G7" s="16">
        <v>1.1090573012939002E-2</v>
      </c>
      <c r="H7" s="16">
        <v>1.4925373134328358E-2</v>
      </c>
      <c r="I7" s="11">
        <v>0.12509868221291068</v>
      </c>
      <c r="J7" s="11">
        <f t="shared" si="1"/>
        <v>0.12509868221291068</v>
      </c>
      <c r="K7" s="11">
        <f t="shared" si="0"/>
        <v>6.9078947368421045E-2</v>
      </c>
      <c r="L7" s="11">
        <f t="shared" si="0"/>
        <v>0.1</v>
      </c>
      <c r="M7" s="11">
        <f t="shared" si="0"/>
        <v>9.0909090909090905E-3</v>
      </c>
      <c r="N7" s="11">
        <f t="shared" si="0"/>
        <v>8.6111111111111097E-2</v>
      </c>
      <c r="O7" s="11">
        <f t="shared" si="0"/>
        <v>0.10166358595194086</v>
      </c>
      <c r="P7" s="11">
        <f t="shared" si="0"/>
        <v>9.5948827292110878E-2</v>
      </c>
    </row>
    <row r="8" spans="1:16" x14ac:dyDescent="0.3">
      <c r="A8" s="11" t="s">
        <v>44</v>
      </c>
      <c r="B8" s="16">
        <v>3.3832370623600144E-2</v>
      </c>
      <c r="C8" s="16">
        <v>2.6315789473684209E-2</v>
      </c>
      <c r="D8" s="16">
        <v>9.0909090909090905E-3</v>
      </c>
      <c r="E8" s="16">
        <v>1.8181818181818181E-2</v>
      </c>
      <c r="F8" s="16">
        <v>1.1111111111111112E-2</v>
      </c>
      <c r="G8" s="16">
        <v>1.8484288354898338E-2</v>
      </c>
      <c r="H8" s="16">
        <v>4.2643923240938165E-3</v>
      </c>
      <c r="I8" s="11">
        <v>0.15893105283651082</v>
      </c>
      <c r="J8" s="11">
        <f t="shared" si="1"/>
        <v>0.15893105283651082</v>
      </c>
      <c r="K8" s="11">
        <f t="shared" si="0"/>
        <v>9.5394736842105254E-2</v>
      </c>
      <c r="L8" s="11">
        <f t="shared" si="0"/>
        <v>0.1090909090909091</v>
      </c>
      <c r="M8" s="11">
        <f t="shared" si="0"/>
        <v>2.7272727272727271E-2</v>
      </c>
      <c r="N8" s="11">
        <f t="shared" si="0"/>
        <v>9.722222222222221E-2</v>
      </c>
      <c r="O8" s="11">
        <f t="shared" si="0"/>
        <v>0.12014787430683919</v>
      </c>
      <c r="P8" s="11">
        <f t="shared" si="0"/>
        <v>0.10021321961620469</v>
      </c>
    </row>
    <row r="9" spans="1:16" x14ac:dyDescent="0.3">
      <c r="A9" s="11" t="s">
        <v>46</v>
      </c>
      <c r="B9" s="16">
        <v>3.4032414204523131E-2</v>
      </c>
      <c r="C9" s="16">
        <v>2.9605263157894735E-2</v>
      </c>
      <c r="D9" s="16">
        <v>9.0909090909090905E-3</v>
      </c>
      <c r="E9" s="16">
        <v>4.5454545454545456E-2</v>
      </c>
      <c r="F9" s="16">
        <v>2.7777777777777779E-3</v>
      </c>
      <c r="G9" s="16">
        <v>2.2181146025878003E-2</v>
      </c>
      <c r="H9" s="16">
        <v>2.1321961620469083E-3</v>
      </c>
      <c r="I9" s="11">
        <v>0.19296346704103395</v>
      </c>
      <c r="J9" s="11">
        <f t="shared" si="1"/>
        <v>0.19296346704103395</v>
      </c>
      <c r="K9" s="11">
        <f t="shared" si="0"/>
        <v>0.12499999999999999</v>
      </c>
      <c r="L9" s="11">
        <f t="shared" si="0"/>
        <v>0.11818181818181819</v>
      </c>
      <c r="M9" s="11">
        <f t="shared" si="0"/>
        <v>7.2727272727272724E-2</v>
      </c>
      <c r="N9" s="11">
        <f t="shared" si="0"/>
        <v>9.9999999999999992E-2</v>
      </c>
      <c r="O9" s="11">
        <f t="shared" si="0"/>
        <v>0.14232902033271719</v>
      </c>
      <c r="P9" s="11">
        <f t="shared" si="0"/>
        <v>0.1023454157782516</v>
      </c>
    </row>
    <row r="10" spans="1:16" x14ac:dyDescent="0.3">
      <c r="A10" s="11" t="s">
        <v>38</v>
      </c>
      <c r="B10" s="16">
        <v>4.0580269272948749E-2</v>
      </c>
      <c r="C10" s="16">
        <v>3.2894736842105261E-2</v>
      </c>
      <c r="D10" s="16">
        <v>9.0909090909090905E-3</v>
      </c>
      <c r="E10" s="16">
        <v>2.7272727272727271E-2</v>
      </c>
      <c r="F10" s="16">
        <v>7.2222222222222215E-2</v>
      </c>
      <c r="G10" s="16">
        <v>5.545286506469501E-2</v>
      </c>
      <c r="H10" s="16">
        <v>3.1982942430703626E-2</v>
      </c>
      <c r="I10" s="11">
        <v>0.2335437363139827</v>
      </c>
      <c r="J10" s="11">
        <f t="shared" si="1"/>
        <v>0.2335437363139827</v>
      </c>
      <c r="K10" s="11">
        <f t="shared" si="0"/>
        <v>0.15789473684210525</v>
      </c>
      <c r="L10" s="11">
        <f t="shared" si="0"/>
        <v>0.12727272727272729</v>
      </c>
      <c r="M10" s="11">
        <f t="shared" si="0"/>
        <v>9.9999999999999992E-2</v>
      </c>
      <c r="N10" s="11">
        <f t="shared" si="0"/>
        <v>0.17222222222222222</v>
      </c>
      <c r="O10" s="11">
        <f t="shared" si="0"/>
        <v>0.1977818853974122</v>
      </c>
      <c r="P10" s="11">
        <f t="shared" si="0"/>
        <v>0.13432835820895522</v>
      </c>
    </row>
    <row r="11" spans="1:16" x14ac:dyDescent="0.3">
      <c r="A11" s="11" t="s">
        <v>39</v>
      </c>
      <c r="B11" s="16">
        <v>4.4177481522760319E-2</v>
      </c>
      <c r="C11" s="16">
        <v>0.1118421052631579</v>
      </c>
      <c r="D11" s="16">
        <v>4.5454545454545456E-2</v>
      </c>
      <c r="E11" s="16">
        <v>3.6363636363636362E-2</v>
      </c>
      <c r="F11" s="16">
        <v>2.7777777777777776E-2</v>
      </c>
      <c r="G11" s="16">
        <v>1.8484288354898336E-3</v>
      </c>
      <c r="H11" s="16">
        <v>1.9189765458422176E-2</v>
      </c>
      <c r="I11" s="11">
        <v>0.27772121783674303</v>
      </c>
      <c r="J11" s="11">
        <f t="shared" si="1"/>
        <v>0.27772121783674303</v>
      </c>
      <c r="K11" s="11">
        <f t="shared" si="0"/>
        <v>0.26973684210526316</v>
      </c>
      <c r="L11" s="11">
        <f t="shared" si="0"/>
        <v>0.17272727272727273</v>
      </c>
      <c r="M11" s="11">
        <f t="shared" si="0"/>
        <v>0.13636363636363635</v>
      </c>
      <c r="N11" s="11">
        <f t="shared" si="0"/>
        <v>0.2</v>
      </c>
      <c r="O11" s="11">
        <f t="shared" si="0"/>
        <v>0.19963031423290203</v>
      </c>
      <c r="P11" s="11">
        <f t="shared" si="0"/>
        <v>0.15351812366737741</v>
      </c>
    </row>
    <row r="12" spans="1:16" x14ac:dyDescent="0.3">
      <c r="A12" s="11" t="s">
        <v>40</v>
      </c>
      <c r="B12" s="16">
        <v>7.3387416544318587E-2</v>
      </c>
      <c r="C12" s="16">
        <v>9.5394736842105268E-2</v>
      </c>
      <c r="D12" s="16">
        <v>0.11818181818181818</v>
      </c>
      <c r="E12" s="16">
        <v>0.18181818181818182</v>
      </c>
      <c r="F12" s="16">
        <v>9.7222222222222224E-2</v>
      </c>
      <c r="G12" s="16">
        <v>4.4362292051756007E-2</v>
      </c>
      <c r="H12" s="16">
        <v>3.1982942430703626E-2</v>
      </c>
      <c r="I12" s="11">
        <v>0.3511086343810616</v>
      </c>
      <c r="J12" s="11">
        <f t="shared" si="1"/>
        <v>0.3511086343810616</v>
      </c>
      <c r="K12" s="11">
        <f t="shared" si="0"/>
        <v>0.36513157894736842</v>
      </c>
      <c r="L12" s="11">
        <f t="shared" si="0"/>
        <v>0.29090909090909089</v>
      </c>
      <c r="M12" s="11">
        <f t="shared" si="0"/>
        <v>0.31818181818181818</v>
      </c>
      <c r="N12" s="11">
        <f t="shared" si="0"/>
        <v>0.29722222222222222</v>
      </c>
      <c r="O12" s="11">
        <f t="shared" si="0"/>
        <v>0.24399260628465805</v>
      </c>
      <c r="P12" s="11">
        <f t="shared" si="0"/>
        <v>0.18550106609808104</v>
      </c>
    </row>
    <row r="13" spans="1:16" x14ac:dyDescent="0.3">
      <c r="A13" s="11" t="s">
        <v>33</v>
      </c>
      <c r="B13" s="16">
        <v>0.11289245156980628</v>
      </c>
      <c r="C13" s="16">
        <v>0.15460526315789475</v>
      </c>
      <c r="D13" s="16">
        <v>0.1</v>
      </c>
      <c r="E13" s="16">
        <v>0.19090909090909092</v>
      </c>
      <c r="F13" s="16">
        <v>7.2222222222222215E-2</v>
      </c>
      <c r="G13" s="16">
        <v>2.0332717190388171E-2</v>
      </c>
      <c r="H13" s="16">
        <v>1.9189765458422176E-2</v>
      </c>
      <c r="I13" s="11">
        <v>0.46400108595086786</v>
      </c>
      <c r="J13" s="11">
        <f t="shared" si="1"/>
        <v>0.46400108595086786</v>
      </c>
      <c r="K13" s="11">
        <f t="shared" si="0"/>
        <v>0.51973684210526316</v>
      </c>
      <c r="L13" s="11">
        <f t="shared" si="0"/>
        <v>0.39090909090909087</v>
      </c>
      <c r="M13" s="11">
        <f t="shared" si="0"/>
        <v>0.50909090909090904</v>
      </c>
      <c r="N13" s="11">
        <f t="shared" si="0"/>
        <v>0.36944444444444446</v>
      </c>
      <c r="O13" s="11">
        <f t="shared" si="0"/>
        <v>0.26432532347504623</v>
      </c>
      <c r="P13" s="11">
        <f t="shared" si="0"/>
        <v>0.20469083155650322</v>
      </c>
    </row>
    <row r="14" spans="1:16" x14ac:dyDescent="0.3">
      <c r="A14" s="11" t="s">
        <v>43</v>
      </c>
      <c r="B14" s="16">
        <v>0.13511157787946659</v>
      </c>
      <c r="C14" s="16">
        <v>0.16447368421052633</v>
      </c>
      <c r="D14" s="16">
        <v>0.35454545454545455</v>
      </c>
      <c r="E14" s="16">
        <v>0.3</v>
      </c>
      <c r="F14" s="16">
        <v>0.29444444444444445</v>
      </c>
      <c r="G14" s="16">
        <v>0.13308687615526801</v>
      </c>
      <c r="H14" s="16">
        <v>0.14712153518123666</v>
      </c>
      <c r="I14" s="11">
        <v>0.59911266383033446</v>
      </c>
      <c r="J14" s="11">
        <f t="shared" si="1"/>
        <v>0.59911266383033446</v>
      </c>
      <c r="K14" s="11">
        <f t="shared" si="0"/>
        <v>0.68421052631578949</v>
      </c>
      <c r="L14" s="11">
        <f t="shared" si="0"/>
        <v>0.74545454545454537</v>
      </c>
      <c r="M14" s="11">
        <f t="shared" si="0"/>
        <v>0.80909090909090908</v>
      </c>
      <c r="N14" s="11">
        <f t="shared" si="0"/>
        <v>0.66388888888888897</v>
      </c>
      <c r="O14" s="11">
        <f t="shared" si="0"/>
        <v>0.39741219963031427</v>
      </c>
      <c r="P14" s="11">
        <f t="shared" si="0"/>
        <v>0.35181236673773986</v>
      </c>
    </row>
    <row r="15" spans="1:16" x14ac:dyDescent="0.3">
      <c r="A15" s="11" t="s">
        <v>35</v>
      </c>
      <c r="B15" s="16">
        <v>0.14235244106751829</v>
      </c>
      <c r="C15" s="16">
        <v>7.5657894736842105E-2</v>
      </c>
      <c r="D15" s="16">
        <v>2.7272727272727271E-2</v>
      </c>
      <c r="E15" s="16">
        <v>3.6363636363636362E-2</v>
      </c>
      <c r="F15" s="16">
        <v>2.2222222222222223E-2</v>
      </c>
      <c r="G15" s="16">
        <v>3.1423290203327174E-2</v>
      </c>
      <c r="H15" s="16">
        <v>6.3965884861407252E-2</v>
      </c>
      <c r="I15" s="11">
        <v>0.74146510489785278</v>
      </c>
      <c r="J15" s="11">
        <f t="shared" si="1"/>
        <v>0.74146510489785278</v>
      </c>
      <c r="K15" s="11">
        <f t="shared" si="0"/>
        <v>0.75986842105263164</v>
      </c>
      <c r="L15" s="11">
        <f t="shared" si="0"/>
        <v>0.7727272727272726</v>
      </c>
      <c r="M15" s="11">
        <f t="shared" si="0"/>
        <v>0.84545454545454546</v>
      </c>
      <c r="N15" s="11">
        <f t="shared" si="0"/>
        <v>0.68611111111111123</v>
      </c>
      <c r="O15" s="11">
        <f t="shared" si="0"/>
        <v>0.42883548983364145</v>
      </c>
      <c r="P15" s="11">
        <f t="shared" si="0"/>
        <v>0.41577825159914711</v>
      </c>
    </row>
    <row r="16" spans="1:16" x14ac:dyDescent="0.3">
      <c r="A16" s="11" t="s">
        <v>36</v>
      </c>
      <c r="B16" s="16">
        <v>0.25853489510214728</v>
      </c>
      <c r="C16" s="16">
        <v>0.24013157894736842</v>
      </c>
      <c r="D16" s="16">
        <v>0.22727272727272727</v>
      </c>
      <c r="E16" s="16">
        <v>0.15454545454545454</v>
      </c>
      <c r="F16" s="16">
        <v>0.31388888888888888</v>
      </c>
      <c r="G16" s="16">
        <v>0.57116451016635861</v>
      </c>
      <c r="H16" s="16">
        <v>0.58422174840085284</v>
      </c>
      <c r="I16" s="11">
        <v>1</v>
      </c>
      <c r="J16" s="11">
        <f t="shared" si="1"/>
        <v>1</v>
      </c>
      <c r="K16" s="11">
        <f t="shared" si="0"/>
        <v>1</v>
      </c>
      <c r="L16" s="11">
        <f t="shared" si="0"/>
        <v>0.99999999999999989</v>
      </c>
      <c r="M16" s="11">
        <f t="shared" si="0"/>
        <v>1</v>
      </c>
      <c r="N16" s="11">
        <f t="shared" si="0"/>
        <v>1</v>
      </c>
      <c r="O16" s="11">
        <f t="shared" si="0"/>
        <v>1</v>
      </c>
      <c r="P16" s="11">
        <f t="shared" si="0"/>
        <v>1</v>
      </c>
    </row>
    <row r="18" spans="2:16" ht="28.8" x14ac:dyDescent="0.3">
      <c r="B18" s="1" t="s">
        <v>86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98</v>
      </c>
      <c r="H18" s="2" t="s">
        <v>99</v>
      </c>
      <c r="J18" s="3"/>
      <c r="K18" s="12" t="s">
        <v>100</v>
      </c>
      <c r="L18" s="12" t="s">
        <v>101</v>
      </c>
      <c r="M18" s="12" t="s">
        <v>102</v>
      </c>
      <c r="N18" s="12" t="s">
        <v>103</v>
      </c>
      <c r="O18" s="12" t="s">
        <v>104</v>
      </c>
      <c r="P18" s="12" t="s">
        <v>105</v>
      </c>
    </row>
    <row r="19" spans="2:16" x14ac:dyDescent="0.3">
      <c r="B19" s="11" t="s">
        <v>45</v>
      </c>
      <c r="C19" s="11">
        <f>C2-B2</f>
        <v>-1.7275192095420788E-2</v>
      </c>
      <c r="D19" s="11">
        <f>D2-B2</f>
        <v>-1.7275192095420788E-2</v>
      </c>
      <c r="E19" s="11">
        <f>E2-B2</f>
        <v>-1.7275192095420788E-2</v>
      </c>
      <c r="F19" s="11">
        <f>F2-B2</f>
        <v>-1.1719636539865231E-2</v>
      </c>
      <c r="G19" s="11">
        <f>G2-B2</f>
        <v>-4.3361902469919514E-3</v>
      </c>
      <c r="H19" s="11">
        <f>H2-B2</f>
        <v>1.9145733630013886E-3</v>
      </c>
      <c r="J19" s="11" t="s">
        <v>45</v>
      </c>
      <c r="K19" s="3">
        <f>(J2-0) * ((K2+0))</f>
        <v>0</v>
      </c>
      <c r="L19" s="3">
        <f>(J2-0) * ((L2+0))</f>
        <v>0</v>
      </c>
      <c r="M19" s="3">
        <f>(J2-0) * ((M2+0))</f>
        <v>0</v>
      </c>
      <c r="N19" s="3">
        <f>(J2-0) * ((N2+0))</f>
        <v>9.5973289419004385E-5</v>
      </c>
      <c r="O19" s="3">
        <f>(J2-0) * ((O2+0))</f>
        <v>2.2352374245461279E-4</v>
      </c>
      <c r="P19" s="3">
        <f>(J2-0) * ((P2+0))</f>
        <v>3.3150688456031363E-4</v>
      </c>
    </row>
    <row r="20" spans="2:16" x14ac:dyDescent="0.3">
      <c r="B20" s="11" t="s">
        <v>32</v>
      </c>
      <c r="C20" s="11">
        <f t="shared" ref="C20:C33" si="2">C3-B3</f>
        <v>-1.4371516745847451E-2</v>
      </c>
      <c r="D20" s="11">
        <f t="shared" ref="D20:D33" si="3">D3-B3</f>
        <v>9.6117368426692947E-3</v>
      </c>
      <c r="E20" s="11">
        <f t="shared" ref="E20:E33" si="4">E3-B3</f>
        <v>-8.5700813391488863E-3</v>
      </c>
      <c r="F20" s="11">
        <f t="shared" ref="F20:F33" si="5">F3-B3</f>
        <v>-9.3276570967246435E-3</v>
      </c>
      <c r="G20" s="11">
        <f t="shared" ref="G20:G33" si="6">G3-B3</f>
        <v>-6.570417417118975E-3</v>
      </c>
      <c r="H20" s="11">
        <f t="shared" ref="H20:H33" si="7">H3-B3</f>
        <v>-1.339659810596416E-2</v>
      </c>
      <c r="J20" s="11" t="s">
        <v>32</v>
      </c>
      <c r="K20" s="3">
        <f>(J3-J2) * ((K3+K2))</f>
        <v>5.8095363256769668E-5</v>
      </c>
      <c r="L20" s="3">
        <f>(J3-J2) * ((L3+L2))</f>
        <v>4.816633753652176E-4</v>
      </c>
      <c r="M20" s="3">
        <f>(J3-J2) * ((M3+M2))</f>
        <v>1.6055445845507255E-4</v>
      </c>
      <c r="N20" s="3">
        <f>(J3-J2) * ((N3+N2))</f>
        <v>3.4340814725112738E-4</v>
      </c>
      <c r="O20" s="3">
        <f>(J3-J2) * ((O3+O2))</f>
        <v>6.5290167948458329E-4</v>
      </c>
      <c r="P20" s="3">
        <f>(J3-J2) * ((P3+P2))</f>
        <v>7.5313392025833613E-4</v>
      </c>
    </row>
    <row r="21" spans="2:16" x14ac:dyDescent="0.3">
      <c r="B21" s="11" t="s">
        <v>34</v>
      </c>
      <c r="C21" s="11">
        <f t="shared" si="2"/>
        <v>-8.2926783297338665E-3</v>
      </c>
      <c r="D21" s="11">
        <f t="shared" si="3"/>
        <v>-9.0701902914563544E-3</v>
      </c>
      <c r="E21" s="11">
        <f t="shared" si="4"/>
        <v>-1.8161099382365445E-2</v>
      </c>
      <c r="F21" s="11">
        <f t="shared" si="5"/>
        <v>9.6166783954123314E-3</v>
      </c>
      <c r="G21" s="11">
        <f t="shared" si="6"/>
        <v>2.1716178080227258E-3</v>
      </c>
      <c r="H21" s="11">
        <f t="shared" si="7"/>
        <v>-5.3679224100839952E-3</v>
      </c>
      <c r="J21" s="11" t="s">
        <v>34</v>
      </c>
      <c r="K21" s="3">
        <f t="shared" ref="K21:K33" si="8">(J4-J3) * ((K4+K3))</f>
        <v>2.9870229247311585E-4</v>
      </c>
      <c r="L21" s="3">
        <f t="shared" ref="L21:L33" si="9">(J4-J3) * ((L4+L3))</f>
        <v>1.1557063243323464E-3</v>
      </c>
      <c r="M21" s="3">
        <f t="shared" ref="M21:M33" si="10">(J4-J3) * ((M4+M3))</f>
        <v>3.3020180695209896E-4</v>
      </c>
      <c r="N21" s="3">
        <f t="shared" ref="N21:N33" si="11">(J4-J3) * ((N4+N3))</f>
        <v>1.0089499656869691E-3</v>
      </c>
      <c r="O21" s="3">
        <f t="shared" ref="O21:O33" si="12">(J4-J3) * ((O4+O3))</f>
        <v>1.2420714919547532E-3</v>
      </c>
      <c r="P21" s="3">
        <f t="shared" ref="P21:P33" si="13">(J4-J3) * ((P4+P3))</f>
        <v>1.0842447392456981E-3</v>
      </c>
    </row>
    <row r="22" spans="2:16" x14ac:dyDescent="0.3">
      <c r="B22" s="11" t="s">
        <v>42</v>
      </c>
      <c r="C22" s="11">
        <f t="shared" si="2"/>
        <v>-5.3359486587397538E-3</v>
      </c>
      <c r="D22" s="11">
        <f t="shared" si="3"/>
        <v>-1.2692407988883294E-2</v>
      </c>
      <c r="E22" s="11">
        <f t="shared" si="4"/>
        <v>-2.1783317079792384E-2</v>
      </c>
      <c r="F22" s="11">
        <f t="shared" si="5"/>
        <v>-1.0672205968681273E-2</v>
      </c>
      <c r="G22" s="11">
        <f t="shared" si="6"/>
        <v>-6.9958863958737155E-3</v>
      </c>
      <c r="H22" s="11">
        <f t="shared" si="7"/>
        <v>8.0674291888643314E-3</v>
      </c>
      <c r="J22" s="11" t="s">
        <v>42</v>
      </c>
      <c r="K22" s="3">
        <f t="shared" si="8"/>
        <v>9.3152342775427977E-4</v>
      </c>
      <c r="L22" s="3">
        <f t="shared" si="9"/>
        <v>1.7822713974375592E-3</v>
      </c>
      <c r="M22" s="3">
        <f t="shared" si="10"/>
        <v>3.9606031054167983E-4</v>
      </c>
      <c r="N22" s="3">
        <f t="shared" si="11"/>
        <v>2.05731327975817E-3</v>
      </c>
      <c r="O22" s="3">
        <f t="shared" si="12"/>
        <v>2.2548350396827616E-3</v>
      </c>
      <c r="P22" s="3">
        <f t="shared" si="13"/>
        <v>2.2294226435608418E-3</v>
      </c>
    </row>
    <row r="23" spans="2:16" x14ac:dyDescent="0.3">
      <c r="B23" s="11" t="s">
        <v>37</v>
      </c>
      <c r="C23" s="11">
        <f t="shared" si="2"/>
        <v>2.8642518172662043E-3</v>
      </c>
      <c r="D23" s="11">
        <f t="shared" si="3"/>
        <v>2.2003007798127451E-2</v>
      </c>
      <c r="E23" s="11">
        <f t="shared" si="4"/>
        <v>-2.3451537656418005E-2</v>
      </c>
      <c r="F23" s="11">
        <f t="shared" si="5"/>
        <v>4.3262401213597715E-3</v>
      </c>
      <c r="G23" s="11">
        <f t="shared" si="6"/>
        <v>7.9717525469091693E-3</v>
      </c>
      <c r="H23" s="11">
        <f t="shared" si="7"/>
        <v>-8.5261645220896468E-3</v>
      </c>
      <c r="J23" s="11" t="s">
        <v>37</v>
      </c>
      <c r="K23" s="3">
        <f t="shared" si="8"/>
        <v>2.0057236153515389E-3</v>
      </c>
      <c r="L23" s="3">
        <f t="shared" si="9"/>
        <v>3.1979369531479084E-3</v>
      </c>
      <c r="M23" s="3">
        <f t="shared" si="10"/>
        <v>4.2639159375305446E-4</v>
      </c>
      <c r="N23" s="3">
        <f t="shared" si="11"/>
        <v>3.1268716875223995E-3</v>
      </c>
      <c r="O23" s="3">
        <f t="shared" si="12"/>
        <v>3.5112283736965949E-3</v>
      </c>
      <c r="P23" s="3">
        <f t="shared" si="13"/>
        <v>3.4502262223727966E-3</v>
      </c>
    </row>
    <row r="24" spans="2:16" x14ac:dyDescent="0.3">
      <c r="B24" s="11" t="s">
        <v>41</v>
      </c>
      <c r="C24" s="11">
        <f t="shared" si="2"/>
        <v>-1.3608650832013968E-2</v>
      </c>
      <c r="D24" s="11">
        <f t="shared" si="3"/>
        <v>-1.7675636477946982E-2</v>
      </c>
      <c r="E24" s="11">
        <f t="shared" si="4"/>
        <v>-2.6766545568856073E-2</v>
      </c>
      <c r="F24" s="11">
        <f t="shared" si="5"/>
        <v>-2.1210990013300516E-2</v>
      </c>
      <c r="G24" s="11">
        <f t="shared" si="6"/>
        <v>-1.5675972555917073E-2</v>
      </c>
      <c r="H24" s="11">
        <f t="shared" si="7"/>
        <v>-1.1841172434527715E-2</v>
      </c>
      <c r="J24" s="11" t="s">
        <v>41</v>
      </c>
      <c r="K24" s="3">
        <f t="shared" si="8"/>
        <v>3.3458181961070091E-3</v>
      </c>
      <c r="L24" s="3">
        <f t="shared" si="9"/>
        <v>5.1099768813270691E-3</v>
      </c>
      <c r="M24" s="3">
        <f t="shared" si="10"/>
        <v>4.8666446488829229E-4</v>
      </c>
      <c r="N24" s="3">
        <f t="shared" si="11"/>
        <v>4.4610909281426782E-3</v>
      </c>
      <c r="O24" s="3">
        <f t="shared" si="12"/>
        <v>5.1455096842163255E-3</v>
      </c>
      <c r="P24" s="3">
        <f t="shared" si="13"/>
        <v>4.736936635852995E-3</v>
      </c>
    </row>
    <row r="25" spans="2:16" x14ac:dyDescent="0.3">
      <c r="B25" s="11" t="s">
        <v>44</v>
      </c>
      <c r="C25" s="11">
        <f t="shared" si="2"/>
        <v>-7.5165811499159352E-3</v>
      </c>
      <c r="D25" s="11">
        <f t="shared" si="3"/>
        <v>-2.4741461532691054E-2</v>
      </c>
      <c r="E25" s="11">
        <f t="shared" si="4"/>
        <v>-1.5650552441781963E-2</v>
      </c>
      <c r="F25" s="11">
        <f t="shared" si="5"/>
        <v>-2.2721259512489031E-2</v>
      </c>
      <c r="G25" s="11">
        <f t="shared" si="6"/>
        <v>-1.5348082268701806E-2</v>
      </c>
      <c r="H25" s="11">
        <f t="shared" si="7"/>
        <v>-2.9567978299506328E-2</v>
      </c>
      <c r="J25" s="11" t="s">
        <v>44</v>
      </c>
      <c r="K25" s="3">
        <f t="shared" si="8"/>
        <v>5.5645346420394965E-3</v>
      </c>
      <c r="L25" s="3">
        <f t="shared" si="9"/>
        <v>7.0740411303891219E-3</v>
      </c>
      <c r="M25" s="3">
        <f t="shared" si="10"/>
        <v>1.2302680226763689E-3</v>
      </c>
      <c r="N25" s="3">
        <f t="shared" si="11"/>
        <v>6.2026012809933582E-3</v>
      </c>
      <c r="O25" s="3">
        <f t="shared" si="12"/>
        <v>7.5044075320370015E-3</v>
      </c>
      <c r="P25" s="3">
        <f t="shared" si="13"/>
        <v>6.6366270732861688E-3</v>
      </c>
    </row>
    <row r="26" spans="2:16" x14ac:dyDescent="0.3">
      <c r="B26" s="11" t="s">
        <v>46</v>
      </c>
      <c r="C26" s="11">
        <f t="shared" si="2"/>
        <v>-4.4271510466283963E-3</v>
      </c>
      <c r="D26" s="11">
        <f t="shared" si="3"/>
        <v>-2.4941505113614041E-2</v>
      </c>
      <c r="E26" s="11">
        <f t="shared" si="4"/>
        <v>1.1422131250022324E-2</v>
      </c>
      <c r="F26" s="11">
        <f t="shared" si="5"/>
        <v>-3.1254636426745357E-2</v>
      </c>
      <c r="G26" s="11">
        <f t="shared" si="6"/>
        <v>-1.1851268178645128E-2</v>
      </c>
      <c r="H26" s="11">
        <f t="shared" si="7"/>
        <v>-3.1900218042476225E-2</v>
      </c>
      <c r="J26" s="11" t="s">
        <v>46</v>
      </c>
      <c r="K26" s="3">
        <f t="shared" si="8"/>
        <v>7.5005649727074002E-3</v>
      </c>
      <c r="L26" s="3">
        <f t="shared" si="9"/>
        <v>7.7346395919370764E-3</v>
      </c>
      <c r="M26" s="3">
        <f t="shared" si="10"/>
        <v>3.4032414204523127E-3</v>
      </c>
      <c r="N26" s="3">
        <f t="shared" si="11"/>
        <v>6.7119483570031724E-3</v>
      </c>
      <c r="O26" s="3">
        <f t="shared" si="12"/>
        <v>8.9327223974903589E-3</v>
      </c>
      <c r="P26" s="3">
        <f t="shared" si="13"/>
        <v>6.8935593804471161E-3</v>
      </c>
    </row>
    <row r="27" spans="2:16" x14ac:dyDescent="0.3">
      <c r="B27" s="11" t="s">
        <v>38</v>
      </c>
      <c r="C27" s="11">
        <f t="shared" si="2"/>
        <v>-7.6855324308434878E-3</v>
      </c>
      <c r="D27" s="11">
        <f t="shared" si="3"/>
        <v>-3.1489360182039655E-2</v>
      </c>
      <c r="E27" s="11">
        <f t="shared" si="4"/>
        <v>-1.3307542000221478E-2</v>
      </c>
      <c r="F27" s="11">
        <f t="shared" si="5"/>
        <v>3.1641952949273466E-2</v>
      </c>
      <c r="G27" s="11">
        <f t="shared" si="6"/>
        <v>1.4872595791746261E-2</v>
      </c>
      <c r="H27" s="11">
        <f t="shared" si="7"/>
        <v>-8.5973268422451232E-3</v>
      </c>
      <c r="J27" s="11" t="s">
        <v>38</v>
      </c>
      <c r="K27" s="3">
        <f t="shared" si="8"/>
        <v>1.1479944596952606E-2</v>
      </c>
      <c r="L27" s="3">
        <f t="shared" si="9"/>
        <v>9.9606115488146945E-3</v>
      </c>
      <c r="M27" s="3">
        <f t="shared" si="10"/>
        <v>7.0093192380547842E-3</v>
      </c>
      <c r="N27" s="3">
        <f t="shared" si="11"/>
        <v>1.1046851079858269E-2</v>
      </c>
      <c r="O27" s="3">
        <f t="shared" si="12"/>
        <v>1.3801792137195137E-2</v>
      </c>
      <c r="P27" s="3">
        <f t="shared" si="13"/>
        <v>9.6042854782458654E-3</v>
      </c>
    </row>
    <row r="28" spans="2:16" x14ac:dyDescent="0.3">
      <c r="B28" s="11" t="s">
        <v>39</v>
      </c>
      <c r="C28" s="11">
        <f t="shared" si="2"/>
        <v>6.7664623740397584E-2</v>
      </c>
      <c r="D28" s="11">
        <f t="shared" si="3"/>
        <v>1.2770639317851371E-3</v>
      </c>
      <c r="E28" s="11">
        <f t="shared" si="4"/>
        <v>-7.8138451591239569E-3</v>
      </c>
      <c r="F28" s="11">
        <f t="shared" si="5"/>
        <v>-1.6399703744982543E-2</v>
      </c>
      <c r="G28" s="11">
        <f t="shared" si="6"/>
        <v>-4.2329052687270483E-2</v>
      </c>
      <c r="H28" s="11">
        <f t="shared" si="7"/>
        <v>-2.4987716064338143E-2</v>
      </c>
      <c r="J28" s="11" t="s">
        <v>39</v>
      </c>
      <c r="K28" s="3">
        <f t="shared" si="8"/>
        <v>1.8891686177496193E-2</v>
      </c>
      <c r="L28" s="3">
        <f t="shared" si="9"/>
        <v>1.32532444568281E-2</v>
      </c>
      <c r="M28" s="3">
        <f t="shared" si="10"/>
        <v>1.0441950178106984E-2</v>
      </c>
      <c r="N28" s="3">
        <f t="shared" si="11"/>
        <v>1.6443840344583009E-2</v>
      </c>
      <c r="O28" s="3">
        <f t="shared" si="12"/>
        <v>1.7556670106087746E-2</v>
      </c>
      <c r="P28" s="3">
        <f t="shared" si="13"/>
        <v>1.2716332634483251E-2</v>
      </c>
    </row>
    <row r="29" spans="2:16" x14ac:dyDescent="0.3">
      <c r="B29" s="11" t="s">
        <v>40</v>
      </c>
      <c r="C29" s="11">
        <f t="shared" si="2"/>
        <v>2.2007320297786681E-2</v>
      </c>
      <c r="D29" s="11">
        <f t="shared" si="3"/>
        <v>4.4794401637499592E-2</v>
      </c>
      <c r="E29" s="11">
        <f t="shared" si="4"/>
        <v>0.10843076527386324</v>
      </c>
      <c r="F29" s="11">
        <f t="shared" si="5"/>
        <v>2.3834805677903637E-2</v>
      </c>
      <c r="G29" s="11">
        <f t="shared" si="6"/>
        <v>-2.902512449256258E-2</v>
      </c>
      <c r="H29" s="11">
        <f t="shared" si="7"/>
        <v>-4.1404474113614961E-2</v>
      </c>
      <c r="J29" s="11" t="s">
        <v>40</v>
      </c>
      <c r="K29" s="3">
        <f t="shared" si="8"/>
        <v>4.6591353266623309E-2</v>
      </c>
      <c r="L29" s="3">
        <f t="shared" si="9"/>
        <v>3.4025074943274974E-2</v>
      </c>
      <c r="M29" s="3">
        <f t="shared" si="10"/>
        <v>3.3357916611053896E-2</v>
      </c>
      <c r="N29" s="3">
        <f t="shared" si="11"/>
        <v>3.6489854337313957E-2</v>
      </c>
      <c r="O29" s="3">
        <f t="shared" si="12"/>
        <v>3.2556340056629315E-2</v>
      </c>
      <c r="P29" s="3">
        <f t="shared" si="13"/>
        <v>2.4879742495835081E-2</v>
      </c>
    </row>
    <row r="30" spans="2:16" x14ac:dyDescent="0.3">
      <c r="B30" s="11" t="s">
        <v>33</v>
      </c>
      <c r="C30" s="11">
        <f t="shared" si="2"/>
        <v>4.1712811588088469E-2</v>
      </c>
      <c r="D30" s="11">
        <f t="shared" si="3"/>
        <v>-1.2892451569806271E-2</v>
      </c>
      <c r="E30" s="11">
        <f t="shared" si="4"/>
        <v>7.8016639339284641E-2</v>
      </c>
      <c r="F30" s="11">
        <f t="shared" si="5"/>
        <v>-4.0670229347584061E-2</v>
      </c>
      <c r="G30" s="11">
        <f t="shared" si="6"/>
        <v>-9.2559734379418113E-2</v>
      </c>
      <c r="H30" s="11">
        <f t="shared" si="7"/>
        <v>-9.3702686111384104E-2</v>
      </c>
      <c r="J30" s="11" t="s">
        <v>33</v>
      </c>
      <c r="K30" s="3">
        <f t="shared" si="8"/>
        <v>9.9894965369335148E-2</v>
      </c>
      <c r="L30" s="3">
        <f t="shared" si="9"/>
        <v>7.6972126070322444E-2</v>
      </c>
      <c r="M30" s="3">
        <f t="shared" si="10"/>
        <v>9.3392846298657892E-2</v>
      </c>
      <c r="N30" s="3">
        <f t="shared" si="11"/>
        <v>7.5261634379870851E-2</v>
      </c>
      <c r="O30" s="3">
        <f t="shared" si="12"/>
        <v>5.738525726746159E-2</v>
      </c>
      <c r="P30" s="3">
        <f t="shared" si="13"/>
        <v>4.4049719908900956E-2</v>
      </c>
    </row>
    <row r="31" spans="2:16" x14ac:dyDescent="0.3">
      <c r="B31" s="11" t="s">
        <v>43</v>
      </c>
      <c r="C31" s="11">
        <f t="shared" si="2"/>
        <v>2.9362106331059734E-2</v>
      </c>
      <c r="D31" s="11">
        <f t="shared" si="3"/>
        <v>0.21943387666598796</v>
      </c>
      <c r="E31" s="11">
        <f t="shared" si="4"/>
        <v>0.1648884221205334</v>
      </c>
      <c r="F31" s="11">
        <f t="shared" si="5"/>
        <v>0.15933286656497786</v>
      </c>
      <c r="G31" s="11">
        <f t="shared" si="6"/>
        <v>-2.0247017241985799E-3</v>
      </c>
      <c r="H31" s="11">
        <f t="shared" si="7"/>
        <v>1.2009957301770069E-2</v>
      </c>
      <c r="J31" s="11" t="s">
        <v>43</v>
      </c>
      <c r="K31" s="3">
        <f t="shared" si="8"/>
        <v>0.16266722863119992</v>
      </c>
      <c r="L31" s="3">
        <f t="shared" si="9"/>
        <v>0.1535358839539393</v>
      </c>
      <c r="M31" s="3">
        <f t="shared" si="10"/>
        <v>0.1781016253865696</v>
      </c>
      <c r="N31" s="3">
        <f t="shared" si="11"/>
        <v>0.13961529714211549</v>
      </c>
      <c r="O31" s="3">
        <f t="shared" si="12"/>
        <v>8.9408400888815243E-2</v>
      </c>
      <c r="P31" s="3">
        <f t="shared" si="13"/>
        <v>7.5190025216504863E-2</v>
      </c>
    </row>
    <row r="32" spans="2:16" x14ac:dyDescent="0.3">
      <c r="B32" s="11" t="s">
        <v>35</v>
      </c>
      <c r="C32" s="11">
        <f t="shared" si="2"/>
        <v>-6.6694546330676188E-2</v>
      </c>
      <c r="D32" s="11">
        <f t="shared" si="3"/>
        <v>-0.11507971379479102</v>
      </c>
      <c r="E32" s="11">
        <f t="shared" si="4"/>
        <v>-0.10598880470388193</v>
      </c>
      <c r="F32" s="11">
        <f t="shared" si="5"/>
        <v>-0.12013021884529607</v>
      </c>
      <c r="G32" s="11">
        <f t="shared" si="6"/>
        <v>-0.11092915086419111</v>
      </c>
      <c r="H32" s="11">
        <f t="shared" si="7"/>
        <v>-7.8386556206111041E-2</v>
      </c>
      <c r="J32" s="11" t="s">
        <v>35</v>
      </c>
      <c r="K32" s="3">
        <f t="shared" si="8"/>
        <v>0.20556816325210708</v>
      </c>
      <c r="L32" s="3">
        <f t="shared" si="9"/>
        <v>0.21611688780250507</v>
      </c>
      <c r="M32" s="3">
        <f t="shared" si="10"/>
        <v>0.23552858431171214</v>
      </c>
      <c r="N32" s="3">
        <f t="shared" si="11"/>
        <v>0.19217579544114974</v>
      </c>
      <c r="O32" s="3">
        <f t="shared" si="12"/>
        <v>0.11761837552159092</v>
      </c>
      <c r="P32" s="3">
        <f t="shared" si="13"/>
        <v>0.10926839826078166</v>
      </c>
    </row>
    <row r="33" spans="2:16" x14ac:dyDescent="0.3">
      <c r="B33" s="11" t="s">
        <v>36</v>
      </c>
      <c r="C33" s="11">
        <f t="shared" si="2"/>
        <v>-1.8403316154778859E-2</v>
      </c>
      <c r="D33" s="11">
        <f t="shared" si="3"/>
        <v>-3.1262167829420012E-2</v>
      </c>
      <c r="E33" s="11">
        <f t="shared" si="4"/>
        <v>-0.10398944055669274</v>
      </c>
      <c r="F33" s="11">
        <f t="shared" si="5"/>
        <v>5.5353993786741607E-2</v>
      </c>
      <c r="G33" s="11">
        <f t="shared" si="6"/>
        <v>0.31262961506421133</v>
      </c>
      <c r="H33" s="11">
        <f t="shared" si="7"/>
        <v>0.32568685329870556</v>
      </c>
      <c r="J33" s="11" t="s">
        <v>36</v>
      </c>
      <c r="K33" s="3">
        <f t="shared" si="8"/>
        <v>0.45498739763042356</v>
      </c>
      <c r="L33" s="3">
        <f t="shared" si="9"/>
        <v>0.4583118594992609</v>
      </c>
      <c r="M33" s="3">
        <f t="shared" si="10"/>
        <v>0.47711439732487171</v>
      </c>
      <c r="N33" s="3">
        <f t="shared" si="11"/>
        <v>0.43591855924167605</v>
      </c>
      <c r="O33" s="3">
        <f t="shared" si="12"/>
        <v>0.36940383348236566</v>
      </c>
      <c r="P33" s="3">
        <f t="shared" si="13"/>
        <v>0.36602808176508689</v>
      </c>
    </row>
    <row r="34" spans="2:16" x14ac:dyDescent="0.3">
      <c r="J34" s="13" t="s">
        <v>106</v>
      </c>
      <c r="K34" s="12">
        <f>SUM(K19:K33)</f>
        <v>1.0197857014338274</v>
      </c>
      <c r="L34" s="12">
        <f t="shared" ref="L34:P34" si="14">SUM(L19:L33)</f>
        <v>0.98871192392888174</v>
      </c>
      <c r="M34" s="12">
        <f t="shared" si="14"/>
        <v>1.0413800214267459</v>
      </c>
      <c r="N34" s="12">
        <f t="shared" si="14"/>
        <v>0.93095998890234433</v>
      </c>
      <c r="O34" s="12">
        <f t="shared" si="14"/>
        <v>0.7271978694011626</v>
      </c>
      <c r="P34" s="12">
        <f t="shared" si="14"/>
        <v>0.66785224325942283</v>
      </c>
    </row>
    <row r="35" spans="2:16" x14ac:dyDescent="0.3">
      <c r="J35" s="14" t="s">
        <v>107</v>
      </c>
      <c r="K35" s="15">
        <f>1-K34</f>
        <v>-1.9785701433827407E-2</v>
      </c>
      <c r="L35" s="15">
        <f t="shared" ref="L35:P35" si="15">1-L34</f>
        <v>1.1288076071118258E-2</v>
      </c>
      <c r="M35" s="15">
        <f t="shared" si="15"/>
        <v>-4.1380021426745905E-2</v>
      </c>
      <c r="N35" s="15">
        <f t="shared" si="15"/>
        <v>6.9040011097655674E-2</v>
      </c>
      <c r="O35" s="15">
        <f t="shared" si="15"/>
        <v>0.2728021305988374</v>
      </c>
      <c r="P35" s="15">
        <f t="shared" si="15"/>
        <v>0.33214775674057717</v>
      </c>
    </row>
  </sheetData>
  <sortState xmlns:xlrd2="http://schemas.microsoft.com/office/spreadsheetml/2017/richdata2" ref="A2:P17">
    <sortCondition ref="B1:B17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FCF9-85B0-4C19-8A0B-4D4113371121}">
  <dimension ref="A1:P15"/>
  <sheetViews>
    <sheetView workbookViewId="0">
      <selection activeCell="A8" sqref="A8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3" t="s">
        <v>49</v>
      </c>
      <c r="B2" s="16">
        <v>6.5687724128554184E-2</v>
      </c>
      <c r="C2" s="16">
        <v>0.19540229885057472</v>
      </c>
      <c r="D2" s="16">
        <v>0.12</v>
      </c>
      <c r="E2" s="16">
        <v>0.1044776119402985</v>
      </c>
      <c r="F2" s="16">
        <v>6.0052219321148827E-2</v>
      </c>
      <c r="G2" s="16">
        <v>1.9543973941368076E-2</v>
      </c>
      <c r="H2" s="16">
        <v>6.6666666666666666E-2</v>
      </c>
      <c r="I2" s="11">
        <v>6.5687724128554184E-2</v>
      </c>
      <c r="J2" s="17">
        <v>6.5687724128554184E-2</v>
      </c>
      <c r="K2" s="17">
        <v>0.19540229885057472</v>
      </c>
      <c r="L2" s="17">
        <v>0.12</v>
      </c>
      <c r="M2" s="17">
        <v>0.1044776119402985</v>
      </c>
      <c r="N2" s="17">
        <v>6.0052219321148827E-2</v>
      </c>
      <c r="O2" s="17">
        <v>1.9543973941368076E-2</v>
      </c>
      <c r="P2" s="17">
        <v>6.6666666666666666E-2</v>
      </c>
    </row>
    <row r="3" spans="1:16" x14ac:dyDescent="0.3">
      <c r="A3" s="3" t="s">
        <v>48</v>
      </c>
      <c r="B3" s="16">
        <v>9.7741294039667567E-2</v>
      </c>
      <c r="C3" s="16">
        <v>0.18390804597701149</v>
      </c>
      <c r="D3" s="16">
        <v>0.04</v>
      </c>
      <c r="E3" s="16">
        <v>0</v>
      </c>
      <c r="F3" s="16">
        <v>7.5718015665796348E-2</v>
      </c>
      <c r="G3" s="16">
        <v>8.143322475570032E-2</v>
      </c>
      <c r="H3" s="16">
        <v>0.1</v>
      </c>
      <c r="I3" s="11">
        <v>0.16342901816822175</v>
      </c>
      <c r="J3" s="11">
        <f t="shared" ref="J3:P6" si="0">J2+B3</f>
        <v>0.16342901816822175</v>
      </c>
      <c r="K3" s="11">
        <f t="shared" si="0"/>
        <v>0.37931034482758619</v>
      </c>
      <c r="L3" s="11">
        <f t="shared" si="0"/>
        <v>0.16</v>
      </c>
      <c r="M3" s="11">
        <f t="shared" si="0"/>
        <v>0.1044776119402985</v>
      </c>
      <c r="N3" s="11">
        <f t="shared" si="0"/>
        <v>0.13577023498694518</v>
      </c>
      <c r="O3" s="11">
        <f t="shared" si="0"/>
        <v>0.10097719869706839</v>
      </c>
      <c r="P3" s="11">
        <f t="shared" si="0"/>
        <v>0.16666666666666669</v>
      </c>
    </row>
    <row r="4" spans="1:16" x14ac:dyDescent="0.3">
      <c r="A4" s="3" t="s">
        <v>51</v>
      </c>
      <c r="B4" s="16">
        <v>0.1046329815258587</v>
      </c>
      <c r="C4" s="16">
        <v>0.16091954022988506</v>
      </c>
      <c r="D4" s="16">
        <v>0.28000000000000003</v>
      </c>
      <c r="E4" s="16">
        <v>8.9552238805970144E-2</v>
      </c>
      <c r="F4" s="16">
        <v>6.2663185378590072E-2</v>
      </c>
      <c r="G4" s="16">
        <v>0.10423452768729642</v>
      </c>
      <c r="H4" s="16">
        <v>7.7777777777777779E-2</v>
      </c>
      <c r="I4" s="11">
        <v>0.26806199969408046</v>
      </c>
      <c r="J4" s="11">
        <f t="shared" si="0"/>
        <v>0.26806199969408046</v>
      </c>
      <c r="K4" s="11">
        <f t="shared" si="0"/>
        <v>0.54022988505747127</v>
      </c>
      <c r="L4" s="11">
        <f t="shared" si="0"/>
        <v>0.44000000000000006</v>
      </c>
      <c r="M4" s="11">
        <f t="shared" si="0"/>
        <v>0.19402985074626866</v>
      </c>
      <c r="N4" s="11">
        <f t="shared" si="0"/>
        <v>0.19843342036553524</v>
      </c>
      <c r="O4" s="11">
        <f t="shared" si="0"/>
        <v>0.2052117263843648</v>
      </c>
      <c r="P4" s="11">
        <f t="shared" si="0"/>
        <v>0.24444444444444446</v>
      </c>
    </row>
    <row r="5" spans="1:16" x14ac:dyDescent="0.3">
      <c r="A5" s="3" t="s">
        <v>50</v>
      </c>
      <c r="B5" s="16">
        <v>0.15444688047043628</v>
      </c>
      <c r="C5" s="16">
        <v>0.17241379310344829</v>
      </c>
      <c r="D5" s="16">
        <v>0.28000000000000003</v>
      </c>
      <c r="E5" s="16">
        <v>0.37313432835820898</v>
      </c>
      <c r="F5" s="16">
        <v>0.1174934725848564</v>
      </c>
      <c r="G5" s="16">
        <v>0.12703583061889251</v>
      </c>
      <c r="H5" s="16">
        <v>0.16666666666666666</v>
      </c>
      <c r="I5" s="11">
        <v>0.42250888016451671</v>
      </c>
      <c r="J5" s="11">
        <f t="shared" si="0"/>
        <v>0.42250888016451671</v>
      </c>
      <c r="K5" s="11">
        <f t="shared" si="0"/>
        <v>0.71264367816091956</v>
      </c>
      <c r="L5" s="11">
        <f t="shared" si="0"/>
        <v>0.72000000000000008</v>
      </c>
      <c r="M5" s="11">
        <f t="shared" si="0"/>
        <v>0.56716417910447769</v>
      </c>
      <c r="N5" s="11">
        <f t="shared" si="0"/>
        <v>0.31592689295039167</v>
      </c>
      <c r="O5" s="11">
        <f t="shared" si="0"/>
        <v>0.33224755700325731</v>
      </c>
      <c r="P5" s="11">
        <f t="shared" si="0"/>
        <v>0.41111111111111109</v>
      </c>
    </row>
    <row r="6" spans="1:16" x14ac:dyDescent="0.3">
      <c r="A6" s="3" t="s">
        <v>47</v>
      </c>
      <c r="B6" s="16">
        <v>0.57749111983548329</v>
      </c>
      <c r="C6" s="16">
        <v>0.28735632183908044</v>
      </c>
      <c r="D6" s="16">
        <v>0.28000000000000003</v>
      </c>
      <c r="E6" s="16">
        <v>0.43283582089552236</v>
      </c>
      <c r="F6" s="16">
        <v>0.68407310704960833</v>
      </c>
      <c r="G6" s="16">
        <v>0.66775244299674263</v>
      </c>
      <c r="H6" s="16">
        <v>0.58888888888888891</v>
      </c>
      <c r="I6" s="11">
        <v>1</v>
      </c>
      <c r="J6" s="11">
        <f t="shared" si="0"/>
        <v>1</v>
      </c>
      <c r="K6" s="11">
        <f t="shared" si="0"/>
        <v>1</v>
      </c>
      <c r="L6" s="11">
        <f t="shared" si="0"/>
        <v>1</v>
      </c>
      <c r="M6" s="11">
        <f t="shared" si="0"/>
        <v>1</v>
      </c>
      <c r="N6" s="11">
        <f t="shared" si="0"/>
        <v>1</v>
      </c>
      <c r="O6" s="11">
        <f t="shared" si="0"/>
        <v>1</v>
      </c>
      <c r="P6" s="11">
        <f t="shared" si="0"/>
        <v>1</v>
      </c>
    </row>
    <row r="8" spans="1:16" ht="28.8" x14ac:dyDescent="0.3">
      <c r="B8" s="1" t="s">
        <v>86</v>
      </c>
      <c r="C8" s="2" t="s">
        <v>94</v>
      </c>
      <c r="D8" s="2" t="s">
        <v>95</v>
      </c>
      <c r="E8" s="2" t="s">
        <v>96</v>
      </c>
      <c r="F8" s="2" t="s">
        <v>97</v>
      </c>
      <c r="G8" s="2" t="s">
        <v>98</v>
      </c>
      <c r="H8" s="2" t="s">
        <v>99</v>
      </c>
      <c r="J8" s="3"/>
      <c r="K8" s="12" t="s">
        <v>100</v>
      </c>
      <c r="L8" s="12" t="s">
        <v>101</v>
      </c>
      <c r="M8" s="12" t="s">
        <v>102</v>
      </c>
      <c r="N8" s="12" t="s">
        <v>103</v>
      </c>
      <c r="O8" s="12" t="s">
        <v>104</v>
      </c>
      <c r="P8" s="12" t="s">
        <v>105</v>
      </c>
    </row>
    <row r="9" spans="1:16" x14ac:dyDescent="0.3">
      <c r="B9" s="3" t="s">
        <v>49</v>
      </c>
      <c r="C9" s="11">
        <f>C2-B2</f>
        <v>0.12971457472202053</v>
      </c>
      <c r="D9" s="11">
        <f>D2-B2</f>
        <v>5.4312275871445811E-2</v>
      </c>
      <c r="E9" s="11">
        <f>E2-B2</f>
        <v>3.878988781174432E-2</v>
      </c>
      <c r="F9" s="11">
        <f>F2-B2</f>
        <v>-5.6355048074053574E-3</v>
      </c>
      <c r="G9" s="11">
        <f>G2-B2</f>
        <v>-4.6143750187186111E-2</v>
      </c>
      <c r="H9" s="11">
        <f>H2-B2</f>
        <v>9.7894253811248166E-4</v>
      </c>
      <c r="J9" s="3" t="s">
        <v>49</v>
      </c>
      <c r="K9" s="3">
        <f>(J2-0) * ((K2+0))</f>
        <v>1.2835532300981852E-2</v>
      </c>
      <c r="L9" s="3">
        <f>(J2-0) * ((L2+0))</f>
        <v>7.8825268954265011E-3</v>
      </c>
      <c r="M9" s="3">
        <f>(J2-0) * ((M2+0))</f>
        <v>6.8628965507444668E-3</v>
      </c>
      <c r="N9" s="3">
        <f>(J2-0) * ((N2+0))</f>
        <v>3.9446936160750555E-3</v>
      </c>
      <c r="O9" s="3">
        <f>(J2-0) * ((O2+0))</f>
        <v>1.283799168636238E-3</v>
      </c>
      <c r="P9" s="3">
        <f>(J2-0) * ((P2+0))</f>
        <v>4.3791816085702786E-3</v>
      </c>
    </row>
    <row r="10" spans="1:16" x14ac:dyDescent="0.3">
      <c r="B10" s="3" t="s">
        <v>48</v>
      </c>
      <c r="C10" s="11">
        <f t="shared" ref="C10:C13" si="1">C3-B3</f>
        <v>8.6166751937343924E-2</v>
      </c>
      <c r="D10" s="11">
        <f t="shared" ref="D10:D13" si="2">D3-B3</f>
        <v>-5.7741294039667566E-2</v>
      </c>
      <c r="E10" s="11">
        <f t="shared" ref="E10:E13" si="3">E3-B3</f>
        <v>-9.7741294039667567E-2</v>
      </c>
      <c r="F10" s="11">
        <f t="shared" ref="F10:F13" si="4">F3-B3</f>
        <v>-2.2023278373871219E-2</v>
      </c>
      <c r="G10" s="11">
        <f t="shared" ref="G10:G13" si="5">G3-B3</f>
        <v>-1.6308069283967247E-2</v>
      </c>
      <c r="H10" s="11">
        <f t="shared" ref="H10:H13" si="6">H3-B3</f>
        <v>2.2587059603324383E-3</v>
      </c>
      <c r="J10" s="3" t="s">
        <v>48</v>
      </c>
      <c r="K10" s="3">
        <f>(J3-J2) * ((K3+K2))</f>
        <v>5.6173157494061814E-2</v>
      </c>
      <c r="L10" s="3">
        <f>(J3-J2) * ((L3+L2))</f>
        <v>2.7367562331106921E-2</v>
      </c>
      <c r="M10" s="3">
        <f>(J3-J2) * ((M3+M2))</f>
        <v>2.0423553978437998E-2</v>
      </c>
      <c r="N10" s="3">
        <f>(J3-J2) * ((N3+N2))</f>
        <v>1.9139940086096784E-2</v>
      </c>
      <c r="O10" s="3">
        <f>(J3-J2) * ((O3+O2))</f>
        <v>1.1779895372858956E-2</v>
      </c>
      <c r="P10" s="3">
        <f>(J3-J2) * ((P3+P2))</f>
        <v>2.2806301942589098E-2</v>
      </c>
    </row>
    <row r="11" spans="1:16" x14ac:dyDescent="0.3">
      <c r="B11" s="3" t="s">
        <v>51</v>
      </c>
      <c r="C11" s="11">
        <f t="shared" si="1"/>
        <v>5.6286558704026352E-2</v>
      </c>
      <c r="D11" s="11">
        <f t="shared" si="2"/>
        <v>0.17536701847414132</v>
      </c>
      <c r="E11" s="11">
        <f t="shared" si="3"/>
        <v>-1.508074271988856E-2</v>
      </c>
      <c r="F11" s="11">
        <f t="shared" si="4"/>
        <v>-4.1969796147268632E-2</v>
      </c>
      <c r="G11" s="11">
        <f t="shared" si="5"/>
        <v>-3.9845383856228211E-4</v>
      </c>
      <c r="H11" s="11">
        <f t="shared" si="6"/>
        <v>-2.6855203748080925E-2</v>
      </c>
      <c r="J11" s="3" t="s">
        <v>51</v>
      </c>
      <c r="K11" s="3">
        <f t="shared" ref="K11:K13" si="7">(J4-J3) * ((K4+K3))</f>
        <v>9.6214235885847085E-2</v>
      </c>
      <c r="L11" s="3">
        <f t="shared" ref="L11:L13" si="8">(J4-J3) * ((L4+L3))</f>
        <v>6.2779788915515236E-2</v>
      </c>
      <c r="M11" s="3">
        <f t="shared" ref="M11:M13" si="9">(J4-J3) * ((M4+M3))</f>
        <v>3.1233725828614535E-2</v>
      </c>
      <c r="N11" s="3">
        <f t="shared" ref="N11:N13" si="10">(J4-J3) * ((N4+N3))</f>
        <v>3.4968724896370533E-2</v>
      </c>
      <c r="O11" s="3">
        <f t="shared" ref="O11:O13" si="11">(J4-J3) * ((O4+O3))</f>
        <v>3.2037460141468133E-2</v>
      </c>
      <c r="P11" s="3">
        <f t="shared" ref="P11:P13" si="12">(J4-J3) * ((P4+P3))</f>
        <v>4.3015781293964141E-2</v>
      </c>
    </row>
    <row r="12" spans="1:16" x14ac:dyDescent="0.3">
      <c r="B12" s="3" t="s">
        <v>50</v>
      </c>
      <c r="C12" s="11">
        <f t="shared" si="1"/>
        <v>1.7966912633012005E-2</v>
      </c>
      <c r="D12" s="11">
        <f t="shared" si="2"/>
        <v>0.12555311952956374</v>
      </c>
      <c r="E12" s="11">
        <f t="shared" si="3"/>
        <v>0.2186874478877727</v>
      </c>
      <c r="F12" s="11">
        <f t="shared" si="4"/>
        <v>-3.6953407885579881E-2</v>
      </c>
      <c r="G12" s="11">
        <f t="shared" si="5"/>
        <v>-2.7411049851543773E-2</v>
      </c>
      <c r="H12" s="11">
        <f t="shared" si="6"/>
        <v>1.2219786196230376E-2</v>
      </c>
      <c r="J12" s="3" t="s">
        <v>50</v>
      </c>
      <c r="K12" s="3">
        <f t="shared" si="7"/>
        <v>0.19350241346296035</v>
      </c>
      <c r="L12" s="3">
        <f t="shared" si="8"/>
        <v>0.17915838134570608</v>
      </c>
      <c r="M12" s="3">
        <f t="shared" si="9"/>
        <v>0.1175640433431679</v>
      </c>
      <c r="N12" s="3">
        <f t="shared" si="10"/>
        <v>7.944134582944111E-2</v>
      </c>
      <c r="O12" s="3">
        <f t="shared" si="11"/>
        <v>8.3008909699094413E-2</v>
      </c>
      <c r="P12" s="3">
        <f t="shared" si="12"/>
        <v>0.10124851053061933</v>
      </c>
    </row>
    <row r="13" spans="1:16" x14ac:dyDescent="0.3">
      <c r="B13" s="3" t="s">
        <v>47</v>
      </c>
      <c r="C13" s="11">
        <f t="shared" si="1"/>
        <v>-0.29013479799640285</v>
      </c>
      <c r="D13" s="11">
        <f t="shared" si="2"/>
        <v>-0.29749111983548326</v>
      </c>
      <c r="E13" s="11">
        <f t="shared" si="3"/>
        <v>-0.14465529893996093</v>
      </c>
      <c r="F13" s="11">
        <f t="shared" si="4"/>
        <v>0.10658198721412504</v>
      </c>
      <c r="G13" s="11">
        <f t="shared" si="5"/>
        <v>9.0261323161259344E-2</v>
      </c>
      <c r="H13" s="11">
        <f t="shared" si="6"/>
        <v>1.1397769053405615E-2</v>
      </c>
      <c r="J13" s="3" t="s">
        <v>47</v>
      </c>
      <c r="K13" s="3">
        <f t="shared" si="7"/>
        <v>0.98903651558031047</v>
      </c>
      <c r="L13" s="3">
        <f t="shared" si="8"/>
        <v>0.99328472611703134</v>
      </c>
      <c r="M13" s="3">
        <f t="shared" si="9"/>
        <v>0.90502339675710075</v>
      </c>
      <c r="N13" s="3">
        <f t="shared" si="10"/>
        <v>0.7599360950315498</v>
      </c>
      <c r="O13" s="3">
        <f t="shared" si="11"/>
        <v>0.76936113359189784</v>
      </c>
      <c r="P13" s="3">
        <f t="shared" si="12"/>
        <v>0.81490413576784859</v>
      </c>
    </row>
    <row r="14" spans="1:16" x14ac:dyDescent="0.3">
      <c r="J14" s="12" t="s">
        <v>106</v>
      </c>
      <c r="K14" s="12">
        <f>SUM(K9:K13)</f>
        <v>1.3477618547241614</v>
      </c>
      <c r="L14" s="12">
        <f t="shared" ref="L14:P14" si="13">SUM(L9:L13)</f>
        <v>1.2704729856047861</v>
      </c>
      <c r="M14" s="12">
        <f t="shared" si="13"/>
        <v>1.0811076164580657</v>
      </c>
      <c r="N14" s="12">
        <f t="shared" si="13"/>
        <v>0.8974307994595333</v>
      </c>
      <c r="O14" s="12">
        <f t="shared" si="13"/>
        <v>0.89747119797395558</v>
      </c>
      <c r="P14" s="12">
        <f t="shared" si="13"/>
        <v>0.9863539111435915</v>
      </c>
    </row>
    <row r="15" spans="1:16" x14ac:dyDescent="0.3">
      <c r="J15" s="15" t="s">
        <v>107</v>
      </c>
      <c r="K15" s="15">
        <f>1-K14</f>
        <v>-0.34776185472416143</v>
      </c>
      <c r="L15" s="15">
        <f t="shared" ref="L15:P15" si="14">1-L14</f>
        <v>-0.27047298560478605</v>
      </c>
      <c r="M15" s="15">
        <f t="shared" si="14"/>
        <v>-8.1107616458065745E-2</v>
      </c>
      <c r="N15" s="15">
        <f t="shared" si="14"/>
        <v>0.1025692005404667</v>
      </c>
      <c r="O15" s="15">
        <f t="shared" si="14"/>
        <v>0.10252880202604442</v>
      </c>
      <c r="P15" s="15">
        <f t="shared" si="14"/>
        <v>1.36460888564085E-2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5759-137F-4CCE-838E-1BDB9590AE7D}">
  <dimension ref="A1:P15"/>
  <sheetViews>
    <sheetView zoomScale="88" workbookViewId="0">
      <selection activeCell="A8" sqref="A8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54</v>
      </c>
      <c r="B2" s="16">
        <v>8.7340182850271453E-2</v>
      </c>
      <c r="C2" s="16">
        <v>3.0769230769230771E-2</v>
      </c>
      <c r="D2" s="16">
        <v>5.2631578947368418E-2</v>
      </c>
      <c r="E2" s="16">
        <v>4.8543689320388349E-2</v>
      </c>
      <c r="F2" s="16">
        <v>9.6774193548387094E-2</v>
      </c>
      <c r="G2" s="16">
        <v>5.8201058201058198E-2</v>
      </c>
      <c r="H2" s="16">
        <v>6.7567567567567571E-2</v>
      </c>
      <c r="I2" s="11">
        <v>8.7340182850271453E-2</v>
      </c>
      <c r="J2" s="17">
        <v>8.7340182850271453E-2</v>
      </c>
      <c r="K2" s="17">
        <v>3.0769230769230771E-2</v>
      </c>
      <c r="L2" s="17">
        <v>5.2631578947368418E-2</v>
      </c>
      <c r="M2" s="17">
        <v>4.8543689320388349E-2</v>
      </c>
      <c r="N2" s="17">
        <v>9.6774193548387094E-2</v>
      </c>
      <c r="O2" s="17">
        <v>5.8201058201058198E-2</v>
      </c>
      <c r="P2" s="17">
        <v>6.7567567567567571E-2</v>
      </c>
    </row>
    <row r="3" spans="1:16" x14ac:dyDescent="0.3">
      <c r="A3" s="11" t="s">
        <v>53</v>
      </c>
      <c r="B3" s="16">
        <v>0.10090364109002811</v>
      </c>
      <c r="C3" s="16">
        <v>5.3846153846153849E-2</v>
      </c>
      <c r="D3" s="16">
        <v>0.10526315789473684</v>
      </c>
      <c r="E3" s="16">
        <v>3.8834951456310676E-2</v>
      </c>
      <c r="F3" s="16">
        <v>8.755760368663594E-2</v>
      </c>
      <c r="G3" s="16">
        <v>0.16402116402116401</v>
      </c>
      <c r="H3" s="16">
        <v>2.7027027027027029E-2</v>
      </c>
      <c r="I3" s="11">
        <v>0.18824382394029957</v>
      </c>
      <c r="J3" s="11">
        <f t="shared" ref="J3:P6" si="0">J2+B3</f>
        <v>0.18824382394029957</v>
      </c>
      <c r="K3" s="11">
        <f t="shared" si="0"/>
        <v>8.461538461538462E-2</v>
      </c>
      <c r="L3" s="11">
        <f t="shared" si="0"/>
        <v>0.15789473684210525</v>
      </c>
      <c r="M3" s="11">
        <f t="shared" si="0"/>
        <v>8.7378640776699018E-2</v>
      </c>
      <c r="N3" s="11">
        <f t="shared" si="0"/>
        <v>0.18433179723502302</v>
      </c>
      <c r="O3" s="11">
        <f t="shared" si="0"/>
        <v>0.22222222222222221</v>
      </c>
      <c r="P3" s="11">
        <f t="shared" si="0"/>
        <v>9.45945945945946E-2</v>
      </c>
    </row>
    <row r="4" spans="1:16" x14ac:dyDescent="0.3">
      <c r="A4" s="11" t="s">
        <v>56</v>
      </c>
      <c r="B4" s="16">
        <v>0.23399175935913985</v>
      </c>
      <c r="C4" s="16">
        <v>0.12307692307692308</v>
      </c>
      <c r="D4" s="16">
        <v>5.2631578947368418E-2</v>
      </c>
      <c r="E4" s="16">
        <v>0.18446601941747573</v>
      </c>
      <c r="F4" s="16">
        <v>7.3732718894009217E-2</v>
      </c>
      <c r="G4" s="16">
        <v>0.13756613756613756</v>
      </c>
      <c r="H4" s="16">
        <v>0.28378378378378377</v>
      </c>
      <c r="I4" s="11">
        <v>0.42223558329943944</v>
      </c>
      <c r="J4" s="11">
        <f t="shared" si="0"/>
        <v>0.42223558329943944</v>
      </c>
      <c r="K4" s="11">
        <f t="shared" si="0"/>
        <v>0.2076923076923077</v>
      </c>
      <c r="L4" s="11">
        <f t="shared" si="0"/>
        <v>0.21052631578947367</v>
      </c>
      <c r="M4" s="11">
        <f t="shared" si="0"/>
        <v>0.27184466019417475</v>
      </c>
      <c r="N4" s="11">
        <f t="shared" si="0"/>
        <v>0.25806451612903225</v>
      </c>
      <c r="O4" s="11">
        <f t="shared" si="0"/>
        <v>0.35978835978835977</v>
      </c>
      <c r="P4" s="11">
        <f t="shared" si="0"/>
        <v>0.3783783783783784</v>
      </c>
    </row>
    <row r="5" spans="1:16" x14ac:dyDescent="0.3">
      <c r="A5" s="11" t="s">
        <v>55</v>
      </c>
      <c r="B5" s="16">
        <v>0.25855452793152839</v>
      </c>
      <c r="C5" s="16">
        <v>0.4</v>
      </c>
      <c r="D5" s="16">
        <v>0.23684210526315788</v>
      </c>
      <c r="E5" s="16">
        <v>9.7087378640776698E-2</v>
      </c>
      <c r="F5" s="16">
        <v>0.18433179723502305</v>
      </c>
      <c r="G5" s="16">
        <v>0.16402116402116401</v>
      </c>
      <c r="H5" s="16">
        <v>0.3783783783783784</v>
      </c>
      <c r="I5" s="11">
        <v>0.68079011123096778</v>
      </c>
      <c r="J5" s="11">
        <f t="shared" si="0"/>
        <v>0.68079011123096778</v>
      </c>
      <c r="K5" s="11">
        <f t="shared" si="0"/>
        <v>0.60769230769230775</v>
      </c>
      <c r="L5" s="11">
        <f t="shared" si="0"/>
        <v>0.44736842105263153</v>
      </c>
      <c r="M5" s="11">
        <f t="shared" si="0"/>
        <v>0.36893203883495146</v>
      </c>
      <c r="N5" s="11">
        <f t="shared" si="0"/>
        <v>0.44239631336405527</v>
      </c>
      <c r="O5" s="11">
        <f t="shared" si="0"/>
        <v>0.52380952380952372</v>
      </c>
      <c r="P5" s="11">
        <f t="shared" si="0"/>
        <v>0.7567567567567568</v>
      </c>
    </row>
    <row r="6" spans="1:16" x14ac:dyDescent="0.3">
      <c r="A6" s="11" t="s">
        <v>52</v>
      </c>
      <c r="B6" s="16">
        <v>0.31920988876903217</v>
      </c>
      <c r="C6" s="16">
        <v>0.3923076923076923</v>
      </c>
      <c r="D6" s="16">
        <v>0.55263157894736847</v>
      </c>
      <c r="E6" s="16">
        <v>0.6310679611650486</v>
      </c>
      <c r="F6" s="16">
        <v>0.55760368663594473</v>
      </c>
      <c r="G6" s="16">
        <v>0.47619047619047616</v>
      </c>
      <c r="H6" s="16">
        <v>0.24324324324324326</v>
      </c>
      <c r="I6" s="11">
        <v>1</v>
      </c>
      <c r="J6" s="11">
        <f t="shared" si="0"/>
        <v>1</v>
      </c>
      <c r="K6" s="11">
        <f t="shared" si="0"/>
        <v>1</v>
      </c>
      <c r="L6" s="11">
        <f t="shared" si="0"/>
        <v>1</v>
      </c>
      <c r="M6" s="11">
        <f t="shared" si="0"/>
        <v>1</v>
      </c>
      <c r="N6" s="11">
        <f t="shared" si="0"/>
        <v>1</v>
      </c>
      <c r="O6" s="11">
        <f t="shared" si="0"/>
        <v>0.99999999999999989</v>
      </c>
      <c r="P6" s="11">
        <f t="shared" si="0"/>
        <v>1</v>
      </c>
    </row>
    <row r="8" spans="1:16" ht="28.8" x14ac:dyDescent="0.3">
      <c r="B8" s="1" t="s">
        <v>86</v>
      </c>
      <c r="C8" s="2" t="s">
        <v>94</v>
      </c>
      <c r="D8" s="2" t="s">
        <v>95</v>
      </c>
      <c r="E8" s="2" t="s">
        <v>96</v>
      </c>
      <c r="F8" s="2" t="s">
        <v>97</v>
      </c>
      <c r="G8" s="2" t="s">
        <v>98</v>
      </c>
      <c r="H8" s="2" t="s">
        <v>99</v>
      </c>
      <c r="J8" s="3"/>
      <c r="K8" s="12" t="s">
        <v>100</v>
      </c>
      <c r="L8" s="12" t="s">
        <v>101</v>
      </c>
      <c r="M8" s="12" t="s">
        <v>102</v>
      </c>
      <c r="N8" s="12" t="s">
        <v>103</v>
      </c>
      <c r="O8" s="12" t="s">
        <v>104</v>
      </c>
      <c r="P8" s="12" t="s">
        <v>105</v>
      </c>
    </row>
    <row r="9" spans="1:16" x14ac:dyDescent="0.3">
      <c r="B9" s="11" t="s">
        <v>54</v>
      </c>
      <c r="C9" s="11">
        <f>C2-B2</f>
        <v>-5.6570952081040682E-2</v>
      </c>
      <c r="D9" s="11">
        <f>D2-B2</f>
        <v>-3.4708603902903035E-2</v>
      </c>
      <c r="E9" s="11">
        <f>E2-B2</f>
        <v>-3.8796493529883104E-2</v>
      </c>
      <c r="F9" s="11">
        <f>F2-B2</f>
        <v>9.4340106981156413E-3</v>
      </c>
      <c r="G9" s="11">
        <f>G2-B2</f>
        <v>-2.9139124649213255E-2</v>
      </c>
      <c r="H9" s="11">
        <f>H2-B2</f>
        <v>-1.9772615282703881E-2</v>
      </c>
      <c r="J9" s="11" t="s">
        <v>54</v>
      </c>
      <c r="K9" s="3">
        <f>(J2-0) * ((K2+0))</f>
        <v>2.6873902415468142E-3</v>
      </c>
      <c r="L9" s="3">
        <f>(J2-0) * ((L2+0))</f>
        <v>4.5968517289616548E-3</v>
      </c>
      <c r="M9" s="3">
        <f>(J2-0) * ((M2+0))</f>
        <v>4.2398147014694881E-3</v>
      </c>
      <c r="N9" s="3">
        <f>(J2-0) * ((N2+0))</f>
        <v>8.4522757597036893E-3</v>
      </c>
      <c r="O9" s="3">
        <f>(J2-0) * ((O2+0))</f>
        <v>5.0832910653597135E-3</v>
      </c>
      <c r="P9" s="3">
        <f>(J2-0) * ((P2+0))</f>
        <v>5.9013637060994226E-3</v>
      </c>
    </row>
    <row r="10" spans="1:16" x14ac:dyDescent="0.3">
      <c r="B10" s="11" t="s">
        <v>53</v>
      </c>
      <c r="C10" s="11">
        <f t="shared" ref="C10:C13" si="1">C3-B3</f>
        <v>-4.7057487243874263E-2</v>
      </c>
      <c r="D10" s="11">
        <f t="shared" ref="D10:D13" si="2">D3-B3</f>
        <v>4.359516804708724E-3</v>
      </c>
      <c r="E10" s="11">
        <f t="shared" ref="E10:E13" si="3">E3-B3</f>
        <v>-6.2068689633717436E-2</v>
      </c>
      <c r="F10" s="11">
        <f t="shared" ref="F10:F13" si="4">F3-B3</f>
        <v>-1.3346037403392172E-2</v>
      </c>
      <c r="G10" s="11">
        <f t="shared" ref="G10:G13" si="5">G3-B3</f>
        <v>6.31175229311359E-2</v>
      </c>
      <c r="H10" s="11">
        <f t="shared" ref="H10:H13" si="6">H3-B3</f>
        <v>-7.3876614063001084E-2</v>
      </c>
      <c r="J10" s="11" t="s">
        <v>53</v>
      </c>
      <c r="K10" s="3">
        <f>(J3-J2) * ((K3+K2))</f>
        <v>1.1642727818080168E-2</v>
      </c>
      <c r="L10" s="3">
        <f>(J3-J2) * ((L3+L2))</f>
        <v>2.1242871808426971E-2</v>
      </c>
      <c r="M10" s="3">
        <f>(J3-J2) * ((M3+M2))</f>
        <v>1.371505801223683E-2</v>
      </c>
      <c r="N10" s="3">
        <f>(J3-J2) * ((N3+N2))</f>
        <v>2.8364618002265966E-2</v>
      </c>
      <c r="O10" s="3">
        <f>(J3-J2) * ((O3+O2))</f>
        <v>2.8295730041118992E-2</v>
      </c>
      <c r="P10" s="3">
        <f>(J3-J2) * ((P3+P2))</f>
        <v>1.6362752609193749E-2</v>
      </c>
    </row>
    <row r="11" spans="1:16" x14ac:dyDescent="0.3">
      <c r="B11" s="11" t="s">
        <v>56</v>
      </c>
      <c r="C11" s="11">
        <f t="shared" si="1"/>
        <v>-0.11091483628221677</v>
      </c>
      <c r="D11" s="11">
        <f t="shared" si="2"/>
        <v>-0.18136018041177143</v>
      </c>
      <c r="E11" s="11">
        <f t="shared" si="3"/>
        <v>-4.9525739941664121E-2</v>
      </c>
      <c r="F11" s="11">
        <f t="shared" si="4"/>
        <v>-0.16025904046513062</v>
      </c>
      <c r="G11" s="11">
        <f t="shared" si="5"/>
        <v>-9.6425621793002292E-2</v>
      </c>
      <c r="H11" s="11">
        <f t="shared" si="6"/>
        <v>4.9792024424643921E-2</v>
      </c>
      <c r="J11" s="11" t="s">
        <v>56</v>
      </c>
      <c r="K11" s="3">
        <f t="shared" ref="K11:K13" si="7">(J4-J3) * ((K4+K3))</f>
        <v>6.8397591197287042E-2</v>
      </c>
      <c r="L11" s="3">
        <f t="shared" ref="L11:L13" si="8">(J4-J3) * ((L4+L3))</f>
        <v>8.6207490290209424E-2</v>
      </c>
      <c r="M11" s="3">
        <f t="shared" ref="M11:M13" si="9">(J4-J3) * ((M4+M3))</f>
        <v>8.4055292196972567E-2</v>
      </c>
      <c r="N11" s="3">
        <f t="shared" ref="N11:N13" si="10">(J4-J3) * ((N4+N3))</f>
        <v>0.10351709169805266</v>
      </c>
      <c r="O11" s="3">
        <f t="shared" ref="O11:O13" si="11">(J4-J3) * ((O4+O3))</f>
        <v>0.13618568005029305</v>
      </c>
      <c r="P11" s="3">
        <f t="shared" ref="P11:P13" si="12">(J4-J3) * ((P4+P3))</f>
        <v>0.11067177807526887</v>
      </c>
    </row>
    <row r="12" spans="1:16" x14ac:dyDescent="0.3">
      <c r="B12" s="11" t="s">
        <v>55</v>
      </c>
      <c r="C12" s="11">
        <f t="shared" si="1"/>
        <v>0.14144547206847163</v>
      </c>
      <c r="D12" s="11">
        <f t="shared" si="2"/>
        <v>-2.1712422668370507E-2</v>
      </c>
      <c r="E12" s="11">
        <f t="shared" si="3"/>
        <v>-0.16146714929075168</v>
      </c>
      <c r="F12" s="11">
        <f t="shared" si="4"/>
        <v>-7.422273069650534E-2</v>
      </c>
      <c r="G12" s="11">
        <f t="shared" si="5"/>
        <v>-9.4533363910364376E-2</v>
      </c>
      <c r="H12" s="11">
        <f t="shared" si="6"/>
        <v>0.11982385044685001</v>
      </c>
      <c r="J12" s="11" t="s">
        <v>55</v>
      </c>
      <c r="K12" s="3">
        <f t="shared" si="7"/>
        <v>0.21082138431340006</v>
      </c>
      <c r="L12" s="3">
        <f t="shared" si="8"/>
        <v>0.17010166311284758</v>
      </c>
      <c r="M12" s="3">
        <f t="shared" si="9"/>
        <v>0.16567571692699873</v>
      </c>
      <c r="N12" s="3">
        <f t="shared" si="10"/>
        <v>0.18110731910411201</v>
      </c>
      <c r="O12" s="3">
        <f t="shared" si="11"/>
        <v>0.22845823367494827</v>
      </c>
      <c r="P12" s="3">
        <f t="shared" si="12"/>
        <v>0.29349432900335648</v>
      </c>
    </row>
    <row r="13" spans="1:16" x14ac:dyDescent="0.3">
      <c r="B13" s="11" t="s">
        <v>52</v>
      </c>
      <c r="C13" s="11">
        <f t="shared" si="1"/>
        <v>7.3097803538660133E-2</v>
      </c>
      <c r="D13" s="11">
        <f t="shared" si="2"/>
        <v>0.23342169017833631</v>
      </c>
      <c r="E13" s="11">
        <f t="shared" si="3"/>
        <v>0.31185807239601643</v>
      </c>
      <c r="F13" s="11">
        <f t="shared" si="4"/>
        <v>0.23839379786691256</v>
      </c>
      <c r="G13" s="11">
        <f t="shared" si="5"/>
        <v>0.156980587421444</v>
      </c>
      <c r="H13" s="11">
        <f t="shared" si="6"/>
        <v>-7.5966645525788912E-2</v>
      </c>
      <c r="J13" s="11" t="s">
        <v>52</v>
      </c>
      <c r="K13" s="3">
        <f t="shared" si="7"/>
        <v>0.51319128271329029</v>
      </c>
      <c r="L13" s="3">
        <f t="shared" si="8"/>
        <v>0.46201431269202026</v>
      </c>
      <c r="M13" s="3">
        <f t="shared" si="9"/>
        <v>0.43697664384886936</v>
      </c>
      <c r="N13" s="3">
        <f t="shared" si="10"/>
        <v>0.46042716674980222</v>
      </c>
      <c r="O13" s="3">
        <f t="shared" si="11"/>
        <v>0.48641506860043005</v>
      </c>
      <c r="P13" s="3">
        <f t="shared" si="12"/>
        <v>0.56077412891857015</v>
      </c>
    </row>
    <row r="14" spans="1:16" x14ac:dyDescent="0.3">
      <c r="J14" s="12" t="s">
        <v>106</v>
      </c>
      <c r="K14" s="12">
        <f>SUM(K9:K13)</f>
        <v>0.8067403762836044</v>
      </c>
      <c r="L14" s="12">
        <f t="shared" ref="L14:P14" si="13">SUM(L9:L13)</f>
        <v>0.74416318963246586</v>
      </c>
      <c r="M14" s="12">
        <f t="shared" si="13"/>
        <v>0.70466252568654697</v>
      </c>
      <c r="N14" s="12">
        <f t="shared" si="13"/>
        <v>0.78186847131393655</v>
      </c>
      <c r="O14" s="12">
        <f t="shared" si="13"/>
        <v>0.88443800343215007</v>
      </c>
      <c r="P14" s="12">
        <f t="shared" si="13"/>
        <v>0.98720435231248871</v>
      </c>
    </row>
    <row r="15" spans="1:16" x14ac:dyDescent="0.3">
      <c r="J15" s="15" t="s">
        <v>107</v>
      </c>
      <c r="K15" s="15">
        <f>1-K14</f>
        <v>0.1932596237163956</v>
      </c>
      <c r="L15" s="15">
        <f t="shared" ref="L15:P15" si="14">1-L14</f>
        <v>0.25583681036753414</v>
      </c>
      <c r="M15" s="15">
        <f t="shared" si="14"/>
        <v>0.29533747431345303</v>
      </c>
      <c r="N15" s="15">
        <f t="shared" si="14"/>
        <v>0.21813152868606345</v>
      </c>
      <c r="O15" s="15">
        <f t="shared" si="14"/>
        <v>0.11556199656784993</v>
      </c>
      <c r="P15" s="15">
        <f t="shared" si="14"/>
        <v>1.2795647687511291E-2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1485-BB85-4411-A324-A0BDB346725E}">
  <dimension ref="A1:P17"/>
  <sheetViews>
    <sheetView zoomScale="85" zoomScaleNormal="100" workbookViewId="0">
      <selection activeCell="J2" sqref="J2:P2"/>
    </sheetView>
  </sheetViews>
  <sheetFormatPr defaultRowHeight="14.4" x14ac:dyDescent="0.3"/>
  <cols>
    <col min="1" max="1" width="13.44140625" customWidth="1"/>
    <col min="2" max="10" width="9" bestFit="1" customWidth="1"/>
    <col min="11" max="11" width="12.6640625" bestFit="1" customWidth="1"/>
    <col min="12" max="12" width="9" bestFit="1" customWidth="1"/>
    <col min="13" max="15" width="12.6640625" bestFit="1" customWidth="1"/>
    <col min="16" max="16" width="11.6640625" bestFit="1" customWidth="1"/>
  </cols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59</v>
      </c>
      <c r="B2" s="16">
        <v>7.0351424965123229E-3</v>
      </c>
      <c r="C2" s="16">
        <v>1.1299435028248588E-2</v>
      </c>
      <c r="D2" s="16">
        <v>1.2738853503184714E-2</v>
      </c>
      <c r="E2" s="16">
        <v>1.1834319526627219E-2</v>
      </c>
      <c r="F2" s="16">
        <v>1.483679525222552E-2</v>
      </c>
      <c r="G2" s="16">
        <v>2.3094688221709007E-3</v>
      </c>
      <c r="H2" s="16">
        <v>1.8115942028985508E-2</v>
      </c>
      <c r="I2" s="11">
        <v>7.0351424965123229E-3</v>
      </c>
      <c r="J2" s="17">
        <v>7.0351424965123229E-3</v>
      </c>
      <c r="K2" s="17">
        <v>1.1299435028248588E-2</v>
      </c>
      <c r="L2" s="17">
        <v>1.2738853503184714E-2</v>
      </c>
      <c r="M2" s="17">
        <v>1.1834319526627219E-2</v>
      </c>
      <c r="N2" s="17">
        <v>1.483679525222552E-2</v>
      </c>
      <c r="O2" s="17">
        <v>2.3094688221709007E-3</v>
      </c>
      <c r="P2" s="17">
        <v>1.8115942028985508E-2</v>
      </c>
    </row>
    <row r="3" spans="1:16" x14ac:dyDescent="0.3">
      <c r="A3" s="11" t="s">
        <v>61</v>
      </c>
      <c r="B3" s="16">
        <v>9.6525609513053879E-3</v>
      </c>
      <c r="C3" s="16">
        <v>7.5329566854990581E-3</v>
      </c>
      <c r="D3" s="16">
        <v>6.369426751592357E-3</v>
      </c>
      <c r="E3" s="16">
        <v>5.9171597633136093E-3</v>
      </c>
      <c r="F3" s="16">
        <v>2.3738872403560832E-2</v>
      </c>
      <c r="G3" s="16">
        <v>1.1547344110854504E-2</v>
      </c>
      <c r="H3" s="16">
        <v>3.6231884057971015E-3</v>
      </c>
      <c r="I3" s="11">
        <v>1.6687703447817712E-2</v>
      </c>
      <c r="J3" s="11">
        <f>J2+B3</f>
        <v>1.6687703447817712E-2</v>
      </c>
      <c r="K3" s="11">
        <f t="shared" ref="K3:P7" si="0">K2+C3</f>
        <v>1.8832391713747645E-2</v>
      </c>
      <c r="L3" s="11">
        <f t="shared" si="0"/>
        <v>1.9108280254777073E-2</v>
      </c>
      <c r="M3" s="11">
        <f t="shared" si="0"/>
        <v>1.7751479289940829E-2</v>
      </c>
      <c r="N3" s="11">
        <f t="shared" si="0"/>
        <v>3.857566765578635E-2</v>
      </c>
      <c r="O3" s="11">
        <f t="shared" si="0"/>
        <v>1.3856812933025405E-2</v>
      </c>
      <c r="P3" s="11">
        <f t="shared" si="0"/>
        <v>2.1739130434782608E-2</v>
      </c>
    </row>
    <row r="4" spans="1:16" x14ac:dyDescent="0.3">
      <c r="A4" s="11" t="s">
        <v>60</v>
      </c>
      <c r="B4" s="16">
        <v>1.2061825992603911E-2</v>
      </c>
      <c r="C4" s="16">
        <v>9.4161958568738224E-3</v>
      </c>
      <c r="D4" s="16">
        <v>1.2738853503184714E-2</v>
      </c>
      <c r="E4" s="16">
        <v>5.9171597633136093E-3</v>
      </c>
      <c r="F4" s="16">
        <v>5.9347181008902079E-3</v>
      </c>
      <c r="G4" s="16">
        <v>3.4642032332563512E-3</v>
      </c>
      <c r="H4" s="16">
        <v>9.6618357487922701E-3</v>
      </c>
      <c r="I4" s="11">
        <v>2.8749529440421622E-2</v>
      </c>
      <c r="J4" s="11">
        <f t="shared" ref="J4:J7" si="1">J3+B4</f>
        <v>2.8749529440421622E-2</v>
      </c>
      <c r="K4" s="11">
        <f t="shared" si="0"/>
        <v>2.8248587570621465E-2</v>
      </c>
      <c r="L4" s="11">
        <f t="shared" si="0"/>
        <v>3.184713375796179E-2</v>
      </c>
      <c r="M4" s="11">
        <f t="shared" si="0"/>
        <v>2.3668639053254437E-2</v>
      </c>
      <c r="N4" s="11">
        <f t="shared" si="0"/>
        <v>4.4510385756676554E-2</v>
      </c>
      <c r="O4" s="11">
        <f t="shared" si="0"/>
        <v>1.7321016166281757E-2</v>
      </c>
      <c r="P4" s="11">
        <f t="shared" si="0"/>
        <v>3.140096618357488E-2</v>
      </c>
    </row>
    <row r="5" spans="1:16" x14ac:dyDescent="0.3">
      <c r="A5" s="11" t="s">
        <v>58</v>
      </c>
      <c r="B5" s="16">
        <v>1.6559268362895545E-2</v>
      </c>
      <c r="C5" s="16">
        <v>4.1431261770244823E-2</v>
      </c>
      <c r="D5" s="16">
        <v>4.4585987261146494E-2</v>
      </c>
      <c r="E5" s="16">
        <v>6.5088757396449703E-2</v>
      </c>
      <c r="F5" s="16">
        <v>8.3086053412462904E-2</v>
      </c>
      <c r="G5" s="16">
        <v>1.9630484988452657E-2</v>
      </c>
      <c r="H5" s="16">
        <v>1.3285024154589372E-2</v>
      </c>
      <c r="I5" s="11">
        <v>4.5308797803317168E-2</v>
      </c>
      <c r="J5" s="11">
        <f t="shared" si="1"/>
        <v>4.5308797803317168E-2</v>
      </c>
      <c r="K5" s="11">
        <f t="shared" si="0"/>
        <v>6.9679849340866296E-2</v>
      </c>
      <c r="L5" s="11">
        <f t="shared" si="0"/>
        <v>7.6433121019108291E-2</v>
      </c>
      <c r="M5" s="11">
        <f t="shared" si="0"/>
        <v>8.8757396449704137E-2</v>
      </c>
      <c r="N5" s="11">
        <f t="shared" si="0"/>
        <v>0.12759643916913946</v>
      </c>
      <c r="O5" s="11">
        <f t="shared" si="0"/>
        <v>3.6951501154734417E-2</v>
      </c>
      <c r="P5" s="11">
        <f t="shared" si="0"/>
        <v>4.4685990338164255E-2</v>
      </c>
    </row>
    <row r="6" spans="1:16" x14ac:dyDescent="0.3">
      <c r="A6" s="11" t="s">
        <v>62</v>
      </c>
      <c r="B6" s="16">
        <v>3.0228747315042406E-2</v>
      </c>
      <c r="C6" s="16">
        <v>6.9679849340866296E-2</v>
      </c>
      <c r="D6" s="16">
        <v>3.1847133757961783E-2</v>
      </c>
      <c r="E6" s="16">
        <v>7.6923076923076927E-2</v>
      </c>
      <c r="F6" s="16">
        <v>5.637982195845697E-2</v>
      </c>
      <c r="G6" s="16">
        <v>2.3094688221709007E-2</v>
      </c>
      <c r="H6" s="16">
        <v>3.5024154589371984E-2</v>
      </c>
      <c r="I6" s="11">
        <v>7.553754511835957E-2</v>
      </c>
      <c r="J6" s="11">
        <f t="shared" si="1"/>
        <v>7.553754511835957E-2</v>
      </c>
      <c r="K6" s="11">
        <f t="shared" si="0"/>
        <v>0.13935969868173259</v>
      </c>
      <c r="L6" s="11">
        <f t="shared" si="0"/>
        <v>0.10828025477707007</v>
      </c>
      <c r="M6" s="11">
        <f t="shared" si="0"/>
        <v>0.16568047337278108</v>
      </c>
      <c r="N6" s="11">
        <f t="shared" si="0"/>
        <v>0.18397626112759644</v>
      </c>
      <c r="O6" s="11">
        <f t="shared" si="0"/>
        <v>6.0046189376443425E-2</v>
      </c>
      <c r="P6" s="11">
        <f t="shared" si="0"/>
        <v>7.9710144927536239E-2</v>
      </c>
    </row>
    <row r="7" spans="1:16" x14ac:dyDescent="0.3">
      <c r="A7" s="11" t="s">
        <v>57</v>
      </c>
      <c r="B7" s="16">
        <v>0.92446245488164047</v>
      </c>
      <c r="C7" s="16">
        <v>0.86064030131826741</v>
      </c>
      <c r="D7" s="16">
        <v>0.89171974522292996</v>
      </c>
      <c r="E7" s="16">
        <v>0.83431952662721898</v>
      </c>
      <c r="F7" s="16">
        <v>0.81602373887240354</v>
      </c>
      <c r="G7" s="16">
        <v>0.93995381062355654</v>
      </c>
      <c r="H7" s="16">
        <v>0.92028985507246375</v>
      </c>
      <c r="I7" s="11">
        <v>1</v>
      </c>
      <c r="J7" s="11">
        <f t="shared" si="1"/>
        <v>1</v>
      </c>
      <c r="K7" s="11">
        <f t="shared" si="0"/>
        <v>1</v>
      </c>
      <c r="L7" s="11">
        <f t="shared" si="0"/>
        <v>1</v>
      </c>
      <c r="M7" s="11">
        <f t="shared" si="0"/>
        <v>1</v>
      </c>
      <c r="N7" s="11">
        <f t="shared" si="0"/>
        <v>1</v>
      </c>
      <c r="O7" s="11">
        <f t="shared" si="0"/>
        <v>1</v>
      </c>
      <c r="P7" s="11">
        <f t="shared" si="0"/>
        <v>1</v>
      </c>
    </row>
    <row r="9" spans="1:16" ht="28.8" x14ac:dyDescent="0.3">
      <c r="B9" s="1" t="s">
        <v>86</v>
      </c>
      <c r="C9" s="2" t="s">
        <v>94</v>
      </c>
      <c r="D9" s="2" t="s">
        <v>95</v>
      </c>
      <c r="E9" s="2" t="s">
        <v>96</v>
      </c>
      <c r="F9" s="2" t="s">
        <v>97</v>
      </c>
      <c r="G9" s="2" t="s">
        <v>98</v>
      </c>
      <c r="H9" s="2" t="s">
        <v>99</v>
      </c>
      <c r="J9" s="1" t="s">
        <v>86</v>
      </c>
      <c r="K9" s="12" t="s">
        <v>100</v>
      </c>
      <c r="L9" s="12" t="s">
        <v>101</v>
      </c>
      <c r="M9" s="12" t="s">
        <v>102</v>
      </c>
      <c r="N9" s="12" t="s">
        <v>103</v>
      </c>
      <c r="O9" s="12" t="s">
        <v>104</v>
      </c>
      <c r="P9" s="12" t="s">
        <v>105</v>
      </c>
    </row>
    <row r="10" spans="1:16" x14ac:dyDescent="0.3">
      <c r="B10" s="11" t="s">
        <v>59</v>
      </c>
      <c r="C10" s="11">
        <f>C2-B2</f>
        <v>4.2642925317362647E-3</v>
      </c>
      <c r="D10" s="11">
        <f>D2-B2</f>
        <v>5.7037110066723911E-3</v>
      </c>
      <c r="E10" s="11">
        <f>E2-B2</f>
        <v>4.7991770301148958E-3</v>
      </c>
      <c r="F10" s="11">
        <f>F2-B2</f>
        <v>7.8016527557131969E-3</v>
      </c>
      <c r="G10" s="11">
        <f>G2-B2</f>
        <v>-4.7256736743414227E-3</v>
      </c>
      <c r="H10" s="11">
        <f>H2-B2</f>
        <v>1.1080799532473186E-2</v>
      </c>
      <c r="J10" s="11" t="s">
        <v>59</v>
      </c>
      <c r="K10" s="3">
        <f>(J2-0) * ((K2+0))</f>
        <v>7.9493135553811563E-5</v>
      </c>
      <c r="L10" s="3">
        <f>(J2-0) * ((L2+0))</f>
        <v>8.9619649637099659E-5</v>
      </c>
      <c r="M10" s="3">
        <f>(J2-0) * ((M2+0))</f>
        <v>8.3256124219080745E-5</v>
      </c>
      <c r="N10" s="3">
        <f>(J2-0) * ((N2+0))</f>
        <v>1.0437896879098402E-4</v>
      </c>
      <c r="O10" s="3">
        <f>(J2-0) * ((O2+0))</f>
        <v>1.6247442255224764E-5</v>
      </c>
      <c r="P10" s="3">
        <f>(J2-0) * ((P2+0))</f>
        <v>1.2744823363246963E-4</v>
      </c>
    </row>
    <row r="11" spans="1:16" x14ac:dyDescent="0.3">
      <c r="B11" s="11" t="s">
        <v>61</v>
      </c>
      <c r="C11" s="11">
        <f t="shared" ref="C11:C15" si="2">C3-B3</f>
        <v>-2.1196042658063298E-3</v>
      </c>
      <c r="D11" s="11">
        <f t="shared" ref="D11:D15" si="3">D3-B3</f>
        <v>-3.2831341997130309E-3</v>
      </c>
      <c r="E11" s="11">
        <f t="shared" ref="E11:E15" si="4">E3-B3</f>
        <v>-3.7354011879917786E-3</v>
      </c>
      <c r="F11" s="11">
        <f t="shared" ref="F11:F15" si="5">F3-B3</f>
        <v>1.4086311452255444E-2</v>
      </c>
      <c r="G11" s="11">
        <f t="shared" ref="G11:G15" si="6">G3-B3</f>
        <v>1.8947831595491158E-3</v>
      </c>
      <c r="H11" s="11">
        <f t="shared" ref="H11:H15" si="7">H3-B3</f>
        <v>-6.029372545508286E-3</v>
      </c>
      <c r="J11" s="11" t="s">
        <v>61</v>
      </c>
      <c r="K11" s="3">
        <f>(J3-J2) * ((K3+K2))</f>
        <v>2.9084929420129232E-4</v>
      </c>
      <c r="L11" s="3">
        <f>(J3-J2) * ((L3+L2))</f>
        <v>3.0740639972310165E-4</v>
      </c>
      <c r="M11" s="3">
        <f>(J3-J2) * ((M3+M2))</f>
        <v>2.8557872636998194E-4</v>
      </c>
      <c r="N11" s="3">
        <f>(J3-J2) * ((N3+N2))</f>
        <v>5.1556705377892292E-4</v>
      </c>
      <c r="O11" s="3">
        <f>(J3-J2) * ((O3+O2))</f>
        <v>1.5604601999800861E-4</v>
      </c>
      <c r="P11" s="3">
        <f>(J3-J2) * ((P3+P2))</f>
        <v>3.8470351617521479E-4</v>
      </c>
    </row>
    <row r="12" spans="1:16" x14ac:dyDescent="0.3">
      <c r="B12" s="11" t="s">
        <v>60</v>
      </c>
      <c r="C12" s="11">
        <f t="shared" si="2"/>
        <v>-2.6456301357300881E-3</v>
      </c>
      <c r="D12" s="11">
        <f t="shared" si="3"/>
        <v>6.7702751058080352E-4</v>
      </c>
      <c r="E12" s="11">
        <f t="shared" si="4"/>
        <v>-6.1446662292903012E-3</v>
      </c>
      <c r="F12" s="11">
        <f t="shared" si="5"/>
        <v>-6.1271078917137026E-3</v>
      </c>
      <c r="G12" s="11">
        <f t="shared" si="6"/>
        <v>-8.5976227593475597E-3</v>
      </c>
      <c r="H12" s="11">
        <f t="shared" si="7"/>
        <v>-2.3999902438116404E-3</v>
      </c>
      <c r="J12" s="11" t="s">
        <v>60</v>
      </c>
      <c r="K12" s="3">
        <f t="shared" ref="K12:K15" si="8">(J4-J3) * ((K4+K3))</f>
        <v>5.6788257968944957E-4</v>
      </c>
      <c r="L12" s="3">
        <f t="shared" ref="L12:L15" si="9">(J4-J3) * ((L4+L3))</f>
        <v>6.1461533720274717E-4</v>
      </c>
      <c r="M12" s="3">
        <f t="shared" ref="M12:M15" si="10">(J4-J3) * ((M4+M3))</f>
        <v>4.9960226004868271E-4</v>
      </c>
      <c r="N12" s="3">
        <f t="shared" ref="N12:N15" si="11">(J4-J3) * ((N4+N3))</f>
        <v>1.002169518673322E-3</v>
      </c>
      <c r="O12" s="3">
        <f t="shared" ref="O12:O15" si="12">(J4-J3) * ((O4+O3))</f>
        <v>3.7606154942298569E-4</v>
      </c>
      <c r="P12" s="3">
        <f t="shared" ref="P12:P15" si="13">(J4-J3) * ((P4+P3))</f>
        <v>6.4096659864078752E-4</v>
      </c>
    </row>
    <row r="13" spans="1:16" x14ac:dyDescent="0.3">
      <c r="B13" s="11" t="s">
        <v>58</v>
      </c>
      <c r="C13" s="11">
        <f t="shared" si="2"/>
        <v>2.4871993407349278E-2</v>
      </c>
      <c r="D13" s="11">
        <f t="shared" si="3"/>
        <v>2.8026718898250948E-2</v>
      </c>
      <c r="E13" s="11">
        <f t="shared" si="4"/>
        <v>4.8529489033554155E-2</v>
      </c>
      <c r="F13" s="11">
        <f t="shared" si="5"/>
        <v>6.6526785049567355E-2</v>
      </c>
      <c r="G13" s="11">
        <f t="shared" si="6"/>
        <v>3.0712166255571112E-3</v>
      </c>
      <c r="H13" s="11">
        <f t="shared" si="7"/>
        <v>-3.2742442083061735E-3</v>
      </c>
      <c r="J13" s="11" t="s">
        <v>58</v>
      </c>
      <c r="K13" s="3">
        <f t="shared" si="8"/>
        <v>1.6216232671762115E-3</v>
      </c>
      <c r="L13" s="3">
        <f t="shared" si="9"/>
        <v>1.7930417972562059E-3</v>
      </c>
      <c r="M13" s="3">
        <f t="shared" si="10"/>
        <v>1.8616928928699133E-3</v>
      </c>
      <c r="N13" s="3">
        <f t="shared" si="11"/>
        <v>2.8499631010324676E-3</v>
      </c>
      <c r="O13" s="3">
        <f t="shared" si="12"/>
        <v>8.9871317904860373E-4</v>
      </c>
      <c r="P13" s="3">
        <f t="shared" si="13"/>
        <v>1.2599443319594437E-3</v>
      </c>
    </row>
    <row r="14" spans="1:16" x14ac:dyDescent="0.3">
      <c r="B14" s="11" t="s">
        <v>62</v>
      </c>
      <c r="C14" s="11">
        <f t="shared" si="2"/>
        <v>3.9451102025823886E-2</v>
      </c>
      <c r="D14" s="11">
        <f t="shared" si="3"/>
        <v>1.6183864429193777E-3</v>
      </c>
      <c r="E14" s="11">
        <f t="shared" si="4"/>
        <v>4.6694329608034518E-2</v>
      </c>
      <c r="F14" s="11">
        <f t="shared" si="5"/>
        <v>2.6151074643414565E-2</v>
      </c>
      <c r="G14" s="11">
        <f t="shared" si="6"/>
        <v>-7.1340590933333982E-3</v>
      </c>
      <c r="H14" s="11">
        <f t="shared" si="7"/>
        <v>4.7954072743295779E-3</v>
      </c>
      <c r="J14" s="11" t="s">
        <v>62</v>
      </c>
      <c r="K14" s="3">
        <f t="shared" si="8"/>
        <v>6.3190036760258136E-3</v>
      </c>
      <c r="L14" s="3">
        <f t="shared" si="9"/>
        <v>5.5836539626511446E-3</v>
      </c>
      <c r="M14" s="3">
        <f t="shared" si="10"/>
        <v>7.6913380742415589E-3</v>
      </c>
      <c r="N14" s="3">
        <f t="shared" si="11"/>
        <v>9.4184524275354661E-3</v>
      </c>
      <c r="O14" s="3">
        <f t="shared" si="12"/>
        <v>2.9321186772096565E-3</v>
      </c>
      <c r="P14" s="3">
        <f t="shared" si="13"/>
        <v>3.7603393399146955E-3</v>
      </c>
    </row>
    <row r="15" spans="1:16" x14ac:dyDescent="0.3">
      <c r="B15" s="11" t="s">
        <v>57</v>
      </c>
      <c r="C15" s="11">
        <f t="shared" si="2"/>
        <v>-6.3822153563373063E-2</v>
      </c>
      <c r="D15" s="11">
        <f t="shared" si="3"/>
        <v>-3.2742709658710512E-2</v>
      </c>
      <c r="E15" s="11">
        <f t="shared" si="4"/>
        <v>-9.0142928254421495E-2</v>
      </c>
      <c r="F15" s="11">
        <f t="shared" si="5"/>
        <v>-0.10843871600923694</v>
      </c>
      <c r="G15" s="11">
        <f t="shared" si="6"/>
        <v>1.5491355741916069E-2</v>
      </c>
      <c r="H15" s="11">
        <f t="shared" si="7"/>
        <v>-4.1725998091767247E-3</v>
      </c>
      <c r="J15" s="11" t="s">
        <v>57</v>
      </c>
      <c r="K15" s="3">
        <f t="shared" si="8"/>
        <v>1.0532952640365207</v>
      </c>
      <c r="L15" s="3">
        <f t="shared" si="9"/>
        <v>1.0245634850280601</v>
      </c>
      <c r="M15" s="3">
        <f t="shared" si="10"/>
        <v>1.0776278320217938</v>
      </c>
      <c r="N15" s="3">
        <f t="shared" si="11"/>
        <v>1.094541600883604</v>
      </c>
      <c r="O15" s="3">
        <f t="shared" si="12"/>
        <v>0.97997290251887526</v>
      </c>
      <c r="P15" s="3">
        <f t="shared" si="13"/>
        <v>0.99815149114032187</v>
      </c>
    </row>
    <row r="16" spans="1:16" x14ac:dyDescent="0.3">
      <c r="J16" s="13" t="s">
        <v>106</v>
      </c>
      <c r="K16" s="12">
        <f>SUM(K10:K15)</f>
        <v>1.0621741159891673</v>
      </c>
      <c r="L16" s="12">
        <f t="shared" ref="L16:P16" si="14">SUM(L10:L15)</f>
        <v>1.0329518221745304</v>
      </c>
      <c r="M16" s="12">
        <f t="shared" si="14"/>
        <v>1.088049300099543</v>
      </c>
      <c r="N16" s="12">
        <f t="shared" si="14"/>
        <v>1.1084321319534152</v>
      </c>
      <c r="O16" s="12">
        <f t="shared" si="14"/>
        <v>0.98435208938680974</v>
      </c>
      <c r="P16" s="12">
        <f t="shared" si="14"/>
        <v>1.0043248931606445</v>
      </c>
    </row>
    <row r="17" spans="10:16" x14ac:dyDescent="0.3">
      <c r="J17" s="14" t="s">
        <v>107</v>
      </c>
      <c r="K17" s="15">
        <f>1-K16</f>
        <v>-6.2174115989167333E-2</v>
      </c>
      <c r="L17" s="15">
        <f t="shared" ref="L17:P17" si="15">1-L16</f>
        <v>-3.295182217453041E-2</v>
      </c>
      <c r="M17" s="15">
        <f t="shared" si="15"/>
        <v>-8.8049300099543037E-2</v>
      </c>
      <c r="N17" s="15">
        <f t="shared" si="15"/>
        <v>-0.10843213195341517</v>
      </c>
      <c r="O17" s="15">
        <f t="shared" si="15"/>
        <v>1.5647910613190263E-2</v>
      </c>
      <c r="P17" s="15">
        <f t="shared" si="15"/>
        <v>-4.3248931606445495E-3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1758-775F-4E6E-B15D-EA42BB570569}">
  <dimension ref="A1:P19"/>
  <sheetViews>
    <sheetView zoomScale="98" workbookViewId="0">
      <selection activeCell="A10" sqref="A10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10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68</v>
      </c>
      <c r="B2" s="16">
        <v>2.5679258904414592E-2</v>
      </c>
      <c r="C2" s="16">
        <v>3.5211267605633804E-2</v>
      </c>
      <c r="D2" s="16">
        <v>0</v>
      </c>
      <c r="E2" s="16">
        <v>2.6315789473684209E-2</v>
      </c>
      <c r="F2" s="16">
        <v>4.4280442804428041E-2</v>
      </c>
      <c r="G2" s="16">
        <v>2.1276595744680851E-2</v>
      </c>
      <c r="H2" s="16">
        <v>3.4883720930232558E-2</v>
      </c>
      <c r="I2" s="11">
        <v>2.5679258904414592E-2</v>
      </c>
      <c r="J2" s="17">
        <v>2.5679258904414592E-2</v>
      </c>
      <c r="K2" s="17">
        <v>3.5211267605633804E-2</v>
      </c>
      <c r="L2" s="17">
        <v>0</v>
      </c>
      <c r="M2" s="17">
        <v>2.6315789473684209E-2</v>
      </c>
      <c r="N2" s="17">
        <v>4.4280442804428041E-2</v>
      </c>
      <c r="O2" s="17">
        <v>2.1276595744680851E-2</v>
      </c>
      <c r="P2" s="17">
        <v>3.4883720930232558E-2</v>
      </c>
    </row>
    <row r="3" spans="1:16" x14ac:dyDescent="0.3">
      <c r="A3" s="11" t="s">
        <v>67</v>
      </c>
      <c r="B3" s="16">
        <v>2.9046035098135792E-2</v>
      </c>
      <c r="C3" s="16">
        <v>4.2253521126760563E-2</v>
      </c>
      <c r="D3" s="16">
        <v>1.932367149758454E-2</v>
      </c>
      <c r="E3" s="16">
        <v>2.1052631578947368E-2</v>
      </c>
      <c r="F3" s="16">
        <v>4.2435424354243544E-2</v>
      </c>
      <c r="G3" s="16">
        <v>2.553191489361702E-2</v>
      </c>
      <c r="H3" s="16">
        <v>2.3255813953488372E-2</v>
      </c>
      <c r="I3" s="11">
        <v>5.4725294002550384E-2</v>
      </c>
      <c r="J3" s="11">
        <f>J2+B3</f>
        <v>5.4725294002550384E-2</v>
      </c>
      <c r="K3" s="11">
        <f t="shared" ref="K3:P8" si="0">K2+C3</f>
        <v>7.7464788732394374E-2</v>
      </c>
      <c r="L3" s="11">
        <f t="shared" si="0"/>
        <v>1.932367149758454E-2</v>
      </c>
      <c r="M3" s="11">
        <f t="shared" si="0"/>
        <v>4.7368421052631574E-2</v>
      </c>
      <c r="N3" s="11">
        <f t="shared" si="0"/>
        <v>8.6715867158671578E-2</v>
      </c>
      <c r="O3" s="11">
        <f t="shared" si="0"/>
        <v>4.6808510638297871E-2</v>
      </c>
      <c r="P3" s="11">
        <f t="shared" si="0"/>
        <v>5.8139534883720929E-2</v>
      </c>
    </row>
    <row r="4" spans="1:16" x14ac:dyDescent="0.3">
      <c r="A4" s="11" t="s">
        <v>66</v>
      </c>
      <c r="B4" s="16">
        <v>4.3815319843738404E-2</v>
      </c>
      <c r="C4" s="16">
        <v>2.8169014084507043E-2</v>
      </c>
      <c r="D4" s="16">
        <v>4.8309178743961352E-2</v>
      </c>
      <c r="E4" s="16">
        <v>2.1052631578947368E-2</v>
      </c>
      <c r="F4" s="16">
        <v>4.4280442804428041E-2</v>
      </c>
      <c r="G4" s="16">
        <v>4.6808510638297871E-2</v>
      </c>
      <c r="H4" s="16">
        <v>3.4883720930232558E-2</v>
      </c>
      <c r="I4" s="11">
        <v>9.8540613846288788E-2</v>
      </c>
      <c r="J4" s="11">
        <f t="shared" ref="J4:J8" si="1">J3+B4</f>
        <v>9.8540613846288788E-2</v>
      </c>
      <c r="K4" s="11">
        <f t="shared" si="0"/>
        <v>0.10563380281690142</v>
      </c>
      <c r="L4" s="11">
        <f t="shared" si="0"/>
        <v>6.7632850241545889E-2</v>
      </c>
      <c r="M4" s="11">
        <f t="shared" si="0"/>
        <v>6.8421052631578938E-2</v>
      </c>
      <c r="N4" s="11">
        <f t="shared" si="0"/>
        <v>0.13099630996309963</v>
      </c>
      <c r="O4" s="11">
        <f t="shared" si="0"/>
        <v>9.3617021276595741E-2</v>
      </c>
      <c r="P4" s="11">
        <f t="shared" si="0"/>
        <v>9.3023255813953487E-2</v>
      </c>
    </row>
    <row r="5" spans="1:16" x14ac:dyDescent="0.3">
      <c r="A5" s="11" t="s">
        <v>65</v>
      </c>
      <c r="B5" s="16">
        <v>5.7201460060858363E-2</v>
      </c>
      <c r="C5" s="16">
        <v>3.7558685446009391E-2</v>
      </c>
      <c r="D5" s="16">
        <v>7.7294685990338161E-2</v>
      </c>
      <c r="E5" s="16">
        <v>3.6842105263157891E-2</v>
      </c>
      <c r="F5" s="16">
        <v>8.6715867158671592E-2</v>
      </c>
      <c r="G5" s="16">
        <v>6.3829787234042548E-2</v>
      </c>
      <c r="H5" s="16">
        <v>8.1395348837209308E-2</v>
      </c>
      <c r="I5" s="11">
        <v>0.15574207390714714</v>
      </c>
      <c r="J5" s="11">
        <f t="shared" si="1"/>
        <v>0.15574207390714714</v>
      </c>
      <c r="K5" s="11">
        <f t="shared" si="0"/>
        <v>0.14319248826291081</v>
      </c>
      <c r="L5" s="11">
        <f t="shared" si="0"/>
        <v>0.14492753623188404</v>
      </c>
      <c r="M5" s="11">
        <f t="shared" si="0"/>
        <v>0.10526315789473684</v>
      </c>
      <c r="N5" s="11">
        <f t="shared" si="0"/>
        <v>0.21771217712177121</v>
      </c>
      <c r="O5" s="11">
        <f t="shared" si="0"/>
        <v>0.1574468085106383</v>
      </c>
      <c r="P5" s="11">
        <f t="shared" si="0"/>
        <v>0.1744186046511628</v>
      </c>
    </row>
    <row r="6" spans="1:16" x14ac:dyDescent="0.3">
      <c r="A6" s="11" t="s">
        <v>64</v>
      </c>
      <c r="B6" s="16">
        <v>0.1901587580036839</v>
      </c>
      <c r="C6" s="16">
        <v>7.2769953051643188E-2</v>
      </c>
      <c r="D6" s="16">
        <v>0.16425120772946861</v>
      </c>
      <c r="E6" s="16">
        <v>5.2631578947368418E-2</v>
      </c>
      <c r="F6" s="16">
        <v>0.13468634686346864</v>
      </c>
      <c r="G6" s="16">
        <v>0.14255319148936171</v>
      </c>
      <c r="H6" s="16">
        <v>0.12209302325581395</v>
      </c>
      <c r="I6" s="11">
        <v>0.34590083191083104</v>
      </c>
      <c r="J6" s="11">
        <f t="shared" si="1"/>
        <v>0.34590083191083104</v>
      </c>
      <c r="K6" s="11">
        <f t="shared" si="0"/>
        <v>0.215962441314554</v>
      </c>
      <c r="L6" s="11">
        <f t="shared" si="0"/>
        <v>0.30917874396135264</v>
      </c>
      <c r="M6" s="11">
        <f t="shared" si="0"/>
        <v>0.15789473684210525</v>
      </c>
      <c r="N6" s="11">
        <f t="shared" si="0"/>
        <v>0.35239852398523985</v>
      </c>
      <c r="O6" s="11">
        <f t="shared" si="0"/>
        <v>0.30000000000000004</v>
      </c>
      <c r="P6" s="11">
        <f t="shared" si="0"/>
        <v>0.29651162790697672</v>
      </c>
    </row>
    <row r="7" spans="1:16" x14ac:dyDescent="0.3">
      <c r="A7" s="11" t="s">
        <v>69</v>
      </c>
      <c r="B7" s="16">
        <v>0.27056331091064889</v>
      </c>
      <c r="C7" s="16">
        <v>0.34272300469483569</v>
      </c>
      <c r="D7" s="16">
        <v>0.21739130434782608</v>
      </c>
      <c r="E7" s="16">
        <v>0.37368421052631579</v>
      </c>
      <c r="F7" s="16">
        <v>0.27306273062730629</v>
      </c>
      <c r="G7" s="16">
        <v>0.34042553191489361</v>
      </c>
      <c r="H7" s="16">
        <v>0.29069767441860467</v>
      </c>
      <c r="I7" s="11">
        <v>0.61646414282147988</v>
      </c>
      <c r="J7" s="11">
        <f t="shared" si="1"/>
        <v>0.61646414282147988</v>
      </c>
      <c r="K7" s="11">
        <f t="shared" si="0"/>
        <v>0.55868544600938974</v>
      </c>
      <c r="L7" s="11">
        <f t="shared" si="0"/>
        <v>0.52657004830917875</v>
      </c>
      <c r="M7" s="11">
        <f t="shared" si="0"/>
        <v>0.53157894736842104</v>
      </c>
      <c r="N7" s="11">
        <f t="shared" si="0"/>
        <v>0.6254612546125462</v>
      </c>
      <c r="O7" s="11">
        <f t="shared" si="0"/>
        <v>0.64042553191489371</v>
      </c>
      <c r="P7" s="11">
        <f t="shared" si="0"/>
        <v>0.58720930232558133</v>
      </c>
    </row>
    <row r="8" spans="1:16" x14ac:dyDescent="0.3">
      <c r="A8" s="11" t="s">
        <v>63</v>
      </c>
      <c r="B8" s="16">
        <v>0.38353585717852012</v>
      </c>
      <c r="C8" s="16">
        <v>0.44131455399061031</v>
      </c>
      <c r="D8" s="16">
        <v>0.47342995169082125</v>
      </c>
      <c r="E8" s="16">
        <v>0.46842105263157896</v>
      </c>
      <c r="F8" s="16">
        <v>0.37453874538745385</v>
      </c>
      <c r="G8" s="16">
        <v>0.3595744680851064</v>
      </c>
      <c r="H8" s="16">
        <v>0.41279069767441862</v>
      </c>
      <c r="I8" s="11">
        <v>1</v>
      </c>
      <c r="J8" s="11">
        <f t="shared" si="1"/>
        <v>1</v>
      </c>
      <c r="K8" s="11">
        <f t="shared" si="0"/>
        <v>1</v>
      </c>
      <c r="L8" s="11">
        <f t="shared" si="0"/>
        <v>1</v>
      </c>
      <c r="M8" s="11">
        <f t="shared" si="0"/>
        <v>1</v>
      </c>
      <c r="N8" s="11">
        <f t="shared" si="0"/>
        <v>1</v>
      </c>
      <c r="O8" s="11">
        <f t="shared" si="0"/>
        <v>1</v>
      </c>
      <c r="P8" s="11">
        <f t="shared" si="0"/>
        <v>1</v>
      </c>
    </row>
    <row r="10" spans="1:16" ht="28.8" x14ac:dyDescent="0.3">
      <c r="B10" s="1" t="s">
        <v>86</v>
      </c>
      <c r="C10" s="2" t="s">
        <v>94</v>
      </c>
      <c r="D10" s="2" t="s">
        <v>95</v>
      </c>
      <c r="E10" s="2" t="s">
        <v>96</v>
      </c>
      <c r="F10" s="2" t="s">
        <v>97</v>
      </c>
      <c r="G10" s="2" t="s">
        <v>98</v>
      </c>
      <c r="H10" s="2" t="s">
        <v>99</v>
      </c>
      <c r="J10" s="3"/>
      <c r="K10" s="12" t="s">
        <v>100</v>
      </c>
      <c r="L10" s="12" t="s">
        <v>101</v>
      </c>
      <c r="M10" s="12" t="s">
        <v>102</v>
      </c>
      <c r="N10" s="12" t="s">
        <v>103</v>
      </c>
      <c r="O10" s="12" t="s">
        <v>104</v>
      </c>
      <c r="P10" s="12" t="s">
        <v>105</v>
      </c>
    </row>
    <row r="11" spans="1:16" x14ac:dyDescent="0.3">
      <c r="B11" s="11" t="s">
        <v>68</v>
      </c>
      <c r="C11" s="11">
        <f>C2-B2</f>
        <v>9.5320087012192127E-3</v>
      </c>
      <c r="D11" s="11">
        <f>D2-B2</f>
        <v>-2.5679258904414592E-2</v>
      </c>
      <c r="E11" s="11">
        <f>E2-B2</f>
        <v>6.3653056926961729E-4</v>
      </c>
      <c r="F11" s="11">
        <f>F2-B2</f>
        <v>1.8601183900013449E-2</v>
      </c>
      <c r="G11" s="11">
        <f>G2-B2</f>
        <v>-4.4026631597337412E-3</v>
      </c>
      <c r="H11" s="11">
        <f>H2-B2</f>
        <v>9.2044620258179659E-3</v>
      </c>
      <c r="J11" s="11" t="s">
        <v>68</v>
      </c>
      <c r="K11" s="3">
        <f>(J2-0) * ((K2+0))</f>
        <v>9.041992571976969E-4</v>
      </c>
      <c r="L11" s="3">
        <f>(J2-0) * ((L2+0))</f>
        <v>0</v>
      </c>
      <c r="M11" s="3">
        <f>(J2-0) * ((M2+0))</f>
        <v>6.7576997116880499E-4</v>
      </c>
      <c r="N11" s="3">
        <f>(J2-0) * ((N2+0))</f>
        <v>1.1370889551770298E-3</v>
      </c>
      <c r="O11" s="3">
        <f>(J2-0) * ((O2+0))</f>
        <v>5.4636721073222537E-4</v>
      </c>
      <c r="P11" s="3">
        <f>(J2-0) * ((P2+0))</f>
        <v>8.9578810131678809E-4</v>
      </c>
    </row>
    <row r="12" spans="1:16" x14ac:dyDescent="0.3">
      <c r="B12" s="11" t="s">
        <v>67</v>
      </c>
      <c r="C12" s="11">
        <f t="shared" ref="C12:C17" si="2">C3-B3</f>
        <v>1.320748602862477E-2</v>
      </c>
      <c r="D12" s="11">
        <f t="shared" ref="D12:D17" si="3">D3-B3</f>
        <v>-9.7223636005512523E-3</v>
      </c>
      <c r="E12" s="11">
        <f t="shared" ref="E12:E17" si="4">E3-B3</f>
        <v>-7.9934035191884245E-3</v>
      </c>
      <c r="F12" s="11">
        <f t="shared" ref="F12:F17" si="5">F3-B3</f>
        <v>1.3389389256107751E-2</v>
      </c>
      <c r="G12" s="11">
        <f t="shared" ref="G12:G17" si="6">G3-B3</f>
        <v>-3.5141202045187725E-3</v>
      </c>
      <c r="H12" s="11">
        <f t="shared" ref="H12:H17" si="7">H3-B3</f>
        <v>-5.7902211446474207E-3</v>
      </c>
      <c r="J12" s="11" t="s">
        <v>67</v>
      </c>
      <c r="K12" s="3">
        <f>(J3-J2) * ((K3+K2))</f>
        <v>3.2727926871138928E-3</v>
      </c>
      <c r="L12" s="3">
        <f>(J3-J2) * ((L3+L2))</f>
        <v>5.6127604054368677E-4</v>
      </c>
      <c r="M12" s="3">
        <f>(J3-J2) * ((M3+M2))</f>
        <v>2.140234165125795E-3</v>
      </c>
      <c r="N12" s="3">
        <f>(J3-J2) * ((N3+N2))</f>
        <v>3.8049234169144673E-3</v>
      </c>
      <c r="O12" s="3">
        <f>(J3-J2) * ((O3+O2))</f>
        <v>1.9776023896603094E-3</v>
      </c>
      <c r="P12" s="3">
        <f>(J3-J2) * ((P3+P2))</f>
        <v>2.7019567533149574E-3</v>
      </c>
    </row>
    <row r="13" spans="1:16" x14ac:dyDescent="0.3">
      <c r="B13" s="11" t="s">
        <v>66</v>
      </c>
      <c r="C13" s="11">
        <f t="shared" si="2"/>
        <v>-1.5646305759231361E-2</v>
      </c>
      <c r="D13" s="11">
        <f t="shared" si="3"/>
        <v>4.4938589002229481E-3</v>
      </c>
      <c r="E13" s="11">
        <f t="shared" si="4"/>
        <v>-2.2762688264791036E-2</v>
      </c>
      <c r="F13" s="11">
        <f t="shared" si="5"/>
        <v>4.6512296068963732E-4</v>
      </c>
      <c r="G13" s="11">
        <f t="shared" si="6"/>
        <v>2.9931907945594666E-3</v>
      </c>
      <c r="H13" s="11">
        <f t="shared" si="7"/>
        <v>-8.9315989135058463E-3</v>
      </c>
      <c r="J13" s="11" t="s">
        <v>66</v>
      </c>
      <c r="K13" s="3">
        <f t="shared" ref="K13:K17" si="8">(J4-J3) * ((K4+K3))</f>
        <v>8.0225233516704134E-3</v>
      </c>
      <c r="L13" s="3">
        <f t="shared" ref="L13:L17" si="9">(J4-J3) * ((L4+L3))</f>
        <v>3.8100278124989914E-3</v>
      </c>
      <c r="M13" s="3">
        <f t="shared" ref="M13:M17" si="10">(J4-J3) * ((M4+M3))</f>
        <v>5.0733528240118142E-3</v>
      </c>
      <c r="N13" s="3">
        <f t="shared" ref="N13:N17" si="11">(J4-J3) * ((N4+N3))</f>
        <v>9.5391286744670317E-3</v>
      </c>
      <c r="O13" s="3">
        <f t="shared" ref="O13:O17" si="12">(J4-J3) * ((O4+O3))</f>
        <v>6.1527895950781583E-3</v>
      </c>
      <c r="P13" s="3">
        <f t="shared" ref="P13:P17" si="13">(J4-J3) * ((P4+P3))</f>
        <v>6.6232460228906886E-3</v>
      </c>
    </row>
    <row r="14" spans="1:16" x14ac:dyDescent="0.3">
      <c r="B14" s="11" t="s">
        <v>65</v>
      </c>
      <c r="C14" s="11">
        <f t="shared" si="2"/>
        <v>-1.9642774614848972E-2</v>
      </c>
      <c r="D14" s="11">
        <f t="shared" si="3"/>
        <v>2.0093225929479798E-2</v>
      </c>
      <c r="E14" s="11">
        <f t="shared" si="4"/>
        <v>-2.0359354797700471E-2</v>
      </c>
      <c r="F14" s="11">
        <f t="shared" si="5"/>
        <v>2.9514407097813229E-2</v>
      </c>
      <c r="G14" s="11">
        <f t="shared" si="6"/>
        <v>6.6283271731841856E-3</v>
      </c>
      <c r="H14" s="11">
        <f t="shared" si="7"/>
        <v>2.4193888776350946E-2</v>
      </c>
      <c r="J14" s="11" t="s">
        <v>65</v>
      </c>
      <c r="K14" s="3">
        <f t="shared" si="8"/>
        <v>1.4233227151293396E-2</v>
      </c>
      <c r="L14" s="3">
        <f t="shared" si="9"/>
        <v>1.2158764457380518E-2</v>
      </c>
      <c r="M14" s="3">
        <f t="shared" si="10"/>
        <v>9.9349904316227665E-3</v>
      </c>
      <c r="N14" s="3">
        <f t="shared" si="11"/>
        <v>1.9946634596867581E-2</v>
      </c>
      <c r="O14" s="3">
        <f t="shared" si="12"/>
        <v>1.436121763230061E-2</v>
      </c>
      <c r="P14" s="3">
        <f t="shared" si="13"/>
        <v>1.5298064899997004E-2</v>
      </c>
    </row>
    <row r="15" spans="1:16" x14ac:dyDescent="0.3">
      <c r="B15" s="11" t="s">
        <v>64</v>
      </c>
      <c r="C15" s="11">
        <f t="shared" si="2"/>
        <v>-0.11738880495204071</v>
      </c>
      <c r="D15" s="11">
        <f t="shared" si="3"/>
        <v>-2.5907550274215291E-2</v>
      </c>
      <c r="E15" s="11">
        <f t="shared" si="4"/>
        <v>-0.13752717905631548</v>
      </c>
      <c r="F15" s="11">
        <f t="shared" si="5"/>
        <v>-5.5472411140215255E-2</v>
      </c>
      <c r="G15" s="11">
        <f t="shared" si="6"/>
        <v>-4.7605566514322184E-2</v>
      </c>
      <c r="H15" s="11">
        <f t="shared" si="7"/>
        <v>-6.8065734747869949E-2</v>
      </c>
      <c r="J15" s="11" t="s">
        <v>64</v>
      </c>
      <c r="K15" s="3">
        <f t="shared" si="8"/>
        <v>6.8296455339351261E-2</v>
      </c>
      <c r="L15" s="3">
        <f t="shared" si="9"/>
        <v>8.6352286243218765E-2</v>
      </c>
      <c r="M15" s="3">
        <f t="shared" si="10"/>
        <v>5.0041778422022072E-2</v>
      </c>
      <c r="N15" s="3">
        <f t="shared" si="11"/>
        <v>0.10841154284711867</v>
      </c>
      <c r="O15" s="3">
        <f t="shared" si="12"/>
        <v>8.6987516959132011E-2</v>
      </c>
      <c r="P15" s="3">
        <f t="shared" si="13"/>
        <v>8.9551508129641827E-2</v>
      </c>
    </row>
    <row r="16" spans="1:16" x14ac:dyDescent="0.3">
      <c r="B16" s="11" t="s">
        <v>69</v>
      </c>
      <c r="C16" s="11">
        <f t="shared" si="2"/>
        <v>7.2159693784186796E-2</v>
      </c>
      <c r="D16" s="11">
        <f t="shared" si="3"/>
        <v>-5.317200656282281E-2</v>
      </c>
      <c r="E16" s="11">
        <f t="shared" si="4"/>
        <v>0.10312089961566689</v>
      </c>
      <c r="F16" s="11">
        <f t="shared" si="5"/>
        <v>2.4994197166574028E-3</v>
      </c>
      <c r="G16" s="11">
        <f t="shared" si="6"/>
        <v>6.9862221004244718E-2</v>
      </c>
      <c r="H16" s="11">
        <f t="shared" si="7"/>
        <v>2.0134363507955777E-2</v>
      </c>
      <c r="J16" s="11" t="s">
        <v>69</v>
      </c>
      <c r="K16" s="3">
        <f t="shared" si="8"/>
        <v>0.20959129718430547</v>
      </c>
      <c r="L16" s="3">
        <f t="shared" si="9"/>
        <v>0.22612296032629103</v>
      </c>
      <c r="M16" s="3">
        <f t="shared" si="10"/>
        <v>0.18654628278576313</v>
      </c>
      <c r="N16" s="3">
        <f t="shared" si="11"/>
        <v>0.26457297930377105</v>
      </c>
      <c r="O16" s="3">
        <f t="shared" si="12"/>
        <v>0.25444464557980173</v>
      </c>
      <c r="P16" s="3">
        <f t="shared" si="13"/>
        <v>0.23910246080475941</v>
      </c>
    </row>
    <row r="17" spans="2:16" x14ac:dyDescent="0.3">
      <c r="B17" s="11" t="s">
        <v>63</v>
      </c>
      <c r="C17" s="11">
        <f t="shared" si="2"/>
        <v>5.7778696812090191E-2</v>
      </c>
      <c r="D17" s="11">
        <f t="shared" si="3"/>
        <v>8.9894094512301126E-2</v>
      </c>
      <c r="E17" s="11">
        <f t="shared" si="4"/>
        <v>8.4885195453058837E-2</v>
      </c>
      <c r="F17" s="11">
        <f t="shared" si="5"/>
        <v>-8.9971117910662701E-3</v>
      </c>
      <c r="G17" s="11">
        <f t="shared" si="6"/>
        <v>-2.3961389093413721E-2</v>
      </c>
      <c r="H17" s="11">
        <f t="shared" si="7"/>
        <v>2.9254840495898493E-2</v>
      </c>
      <c r="J17" s="11" t="s">
        <v>63</v>
      </c>
      <c r="K17" s="3">
        <f t="shared" si="8"/>
        <v>0.59781175860689528</v>
      </c>
      <c r="L17" s="3">
        <f t="shared" si="9"/>
        <v>0.58549435202131583</v>
      </c>
      <c r="M17" s="3">
        <f t="shared" si="10"/>
        <v>0.58741544441552296</v>
      </c>
      <c r="N17" s="3">
        <f t="shared" si="11"/>
        <v>0.62342267559829567</v>
      </c>
      <c r="O17" s="3">
        <f t="shared" si="12"/>
        <v>0.62916201252050863</v>
      </c>
      <c r="P17" s="3">
        <f t="shared" si="13"/>
        <v>0.60875168028916271</v>
      </c>
    </row>
    <row r="18" spans="2:16" x14ac:dyDescent="0.3">
      <c r="J18" s="13" t="s">
        <v>106</v>
      </c>
      <c r="K18" s="12">
        <f>SUM(K11:K17)</f>
        <v>0.90213225357782745</v>
      </c>
      <c r="L18" s="12">
        <f t="shared" ref="L18:P18" si="14">SUM(L11:L17)</f>
        <v>0.91449966690124884</v>
      </c>
      <c r="M18" s="12">
        <f t="shared" si="14"/>
        <v>0.84182785301523733</v>
      </c>
      <c r="N18" s="12">
        <f t="shared" si="14"/>
        <v>1.0308349733926114</v>
      </c>
      <c r="O18" s="12">
        <f t="shared" si="14"/>
        <v>0.99363215188721365</v>
      </c>
      <c r="P18" s="12">
        <f t="shared" si="14"/>
        <v>0.9629247050010834</v>
      </c>
    </row>
    <row r="19" spans="2:16" x14ac:dyDescent="0.3">
      <c r="J19" s="14" t="s">
        <v>107</v>
      </c>
      <c r="K19" s="15">
        <f>1-K18</f>
        <v>9.7867746422172552E-2</v>
      </c>
      <c r="L19" s="15">
        <f t="shared" ref="L19:P19" si="15">1-L18</f>
        <v>8.5500333098751158E-2</v>
      </c>
      <c r="M19" s="15">
        <f t="shared" si="15"/>
        <v>0.15817214698476267</v>
      </c>
      <c r="N19" s="15">
        <f t="shared" si="15"/>
        <v>-3.0834973392611431E-2</v>
      </c>
      <c r="O19" s="15">
        <f t="shared" si="15"/>
        <v>6.3678481127863451E-3</v>
      </c>
      <c r="P19" s="15">
        <f t="shared" si="15"/>
        <v>3.7075294998916597E-2</v>
      </c>
    </row>
  </sheetData>
  <sortState xmlns:xlrd2="http://schemas.microsoft.com/office/spreadsheetml/2017/richdata2" ref="A2:P9">
    <sortCondition ref="B1:B9"/>
  </sortState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B109-4067-48F5-9D8F-ACE4BE342234}">
  <dimension ref="A1:P17"/>
  <sheetViews>
    <sheetView workbookViewId="0">
      <selection activeCell="A10" sqref="A10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75</v>
      </c>
      <c r="B2" s="16">
        <v>5.9393815695479128E-2</v>
      </c>
      <c r="C2" s="16">
        <v>2.1428571428571429E-2</v>
      </c>
      <c r="D2" s="16">
        <v>0</v>
      </c>
      <c r="E2" s="16">
        <v>1.0416666666666666E-2</v>
      </c>
      <c r="F2" s="16">
        <v>7.4534161490683232E-2</v>
      </c>
      <c r="G2" s="16">
        <v>6.7669172932330823E-2</v>
      </c>
      <c r="H2" s="16">
        <v>9.8039215686274508E-2</v>
      </c>
      <c r="I2" s="11">
        <v>5.9393815695479128E-2</v>
      </c>
      <c r="J2" s="17">
        <v>5.9393815695479128E-2</v>
      </c>
      <c r="K2" s="17">
        <v>2.1428571428571429E-2</v>
      </c>
      <c r="L2" s="17">
        <v>0</v>
      </c>
      <c r="M2" s="17">
        <v>1.0416666666666666E-2</v>
      </c>
      <c r="N2" s="17">
        <v>7.4534161490683232E-2</v>
      </c>
      <c r="O2" s="17">
        <v>6.7669172932330823E-2</v>
      </c>
      <c r="P2" s="17">
        <v>9.8039215686274508E-2</v>
      </c>
    </row>
    <row r="3" spans="1:16" x14ac:dyDescent="0.3">
      <c r="A3" s="11" t="s">
        <v>71</v>
      </c>
      <c r="B3" s="16">
        <v>7.6276004840144032E-2</v>
      </c>
      <c r="C3" s="16">
        <v>7.857142857142857E-2</v>
      </c>
      <c r="D3" s="16">
        <v>3.8461538461538464E-2</v>
      </c>
      <c r="E3" s="16">
        <v>6.25E-2</v>
      </c>
      <c r="F3" s="16">
        <v>5.5900621118012424E-2</v>
      </c>
      <c r="G3" s="16">
        <v>3.007518796992481E-2</v>
      </c>
      <c r="H3" s="16">
        <v>3.9215686274509803E-2</v>
      </c>
      <c r="I3" s="11">
        <v>0.13566982053562315</v>
      </c>
      <c r="J3" s="17">
        <f t="shared" ref="J3:P7" si="0">J2+B3</f>
        <v>0.13566982053562315</v>
      </c>
      <c r="K3" s="17">
        <f t="shared" si="0"/>
        <v>0.1</v>
      </c>
      <c r="L3" s="17">
        <f t="shared" si="0"/>
        <v>3.8461538461538464E-2</v>
      </c>
      <c r="M3" s="17">
        <f t="shared" si="0"/>
        <v>7.2916666666666671E-2</v>
      </c>
      <c r="N3" s="17">
        <f t="shared" si="0"/>
        <v>0.13043478260869565</v>
      </c>
      <c r="O3" s="17">
        <f t="shared" si="0"/>
        <v>9.7744360902255634E-2</v>
      </c>
      <c r="P3" s="17">
        <f t="shared" si="0"/>
        <v>0.13725490196078433</v>
      </c>
    </row>
    <row r="4" spans="1:16" x14ac:dyDescent="0.3">
      <c r="A4" s="11" t="s">
        <v>72</v>
      </c>
      <c r="B4" s="16">
        <v>7.796713950403103E-2</v>
      </c>
      <c r="C4" s="16">
        <v>9.285714285714286E-2</v>
      </c>
      <c r="D4" s="16">
        <v>3.8461538461538464E-2</v>
      </c>
      <c r="E4" s="16">
        <v>1.0416666666666666E-2</v>
      </c>
      <c r="F4" s="16">
        <v>3.7267080745341616E-2</v>
      </c>
      <c r="G4" s="16">
        <v>8.2706766917293228E-2</v>
      </c>
      <c r="H4" s="16">
        <v>1.9607843137254902E-2</v>
      </c>
      <c r="I4" s="11">
        <v>0.21363696003965418</v>
      </c>
      <c r="J4" s="11">
        <f t="shared" si="0"/>
        <v>0.21363696003965418</v>
      </c>
      <c r="K4" s="11">
        <f t="shared" si="0"/>
        <v>0.19285714285714287</v>
      </c>
      <c r="L4" s="11">
        <f t="shared" si="0"/>
        <v>7.6923076923076927E-2</v>
      </c>
      <c r="M4" s="11">
        <f t="shared" si="0"/>
        <v>8.3333333333333343E-2</v>
      </c>
      <c r="N4" s="11">
        <f t="shared" si="0"/>
        <v>0.16770186335403725</v>
      </c>
      <c r="O4" s="11">
        <f t="shared" si="0"/>
        <v>0.18045112781954886</v>
      </c>
      <c r="P4" s="11">
        <f t="shared" si="0"/>
        <v>0.15686274509803921</v>
      </c>
    </row>
    <row r="5" spans="1:16" x14ac:dyDescent="0.3">
      <c r="A5" s="11" t="s">
        <v>74</v>
      </c>
      <c r="B5" s="16">
        <v>8.1772192497776744E-2</v>
      </c>
      <c r="C5" s="16">
        <v>5.7142857142857141E-2</v>
      </c>
      <c r="D5" s="16">
        <v>3.8461538461538464E-2</v>
      </c>
      <c r="E5" s="16">
        <v>3.125E-2</v>
      </c>
      <c r="F5" s="16">
        <v>5.5900621118012424E-2</v>
      </c>
      <c r="G5" s="16">
        <v>5.2631578947368418E-2</v>
      </c>
      <c r="H5" s="16">
        <v>3.9215686274509803E-2</v>
      </c>
      <c r="I5" s="11">
        <v>0.29540915253743094</v>
      </c>
      <c r="J5" s="11">
        <f t="shared" si="0"/>
        <v>0.29540915253743094</v>
      </c>
      <c r="K5" s="11">
        <f t="shared" si="0"/>
        <v>0.25</v>
      </c>
      <c r="L5" s="11">
        <f t="shared" si="0"/>
        <v>0.11538461538461539</v>
      </c>
      <c r="M5" s="11">
        <f t="shared" si="0"/>
        <v>0.11458333333333334</v>
      </c>
      <c r="N5" s="11">
        <f t="shared" si="0"/>
        <v>0.22360248447204967</v>
      </c>
      <c r="O5" s="11">
        <f t="shared" si="0"/>
        <v>0.23308270676691728</v>
      </c>
      <c r="P5" s="11">
        <f t="shared" si="0"/>
        <v>0.19607843137254902</v>
      </c>
    </row>
    <row r="6" spans="1:16" x14ac:dyDescent="0.3">
      <c r="A6" s="11" t="s">
        <v>73</v>
      </c>
      <c r="B6" s="16">
        <v>9.4266178764596975E-2</v>
      </c>
      <c r="C6" s="16">
        <v>0.05</v>
      </c>
      <c r="D6" s="16">
        <v>1.9230769230769232E-2</v>
      </c>
      <c r="E6" s="16">
        <v>5.2083333333333336E-2</v>
      </c>
      <c r="F6" s="16">
        <v>6.8322981366459631E-2</v>
      </c>
      <c r="G6" s="16">
        <v>7.5187969924812026E-2</v>
      </c>
      <c r="H6" s="16">
        <v>5.8823529411764705E-2</v>
      </c>
      <c r="I6" s="11">
        <v>0.38967533130202792</v>
      </c>
      <c r="J6" s="11">
        <f t="shared" si="0"/>
        <v>0.38967533130202792</v>
      </c>
      <c r="K6" s="11">
        <f t="shared" si="0"/>
        <v>0.3</v>
      </c>
      <c r="L6" s="11">
        <f t="shared" si="0"/>
        <v>0.13461538461538464</v>
      </c>
      <c r="M6" s="11">
        <f t="shared" si="0"/>
        <v>0.16666666666666669</v>
      </c>
      <c r="N6" s="11">
        <f t="shared" si="0"/>
        <v>0.29192546583850931</v>
      </c>
      <c r="O6" s="11">
        <f t="shared" si="0"/>
        <v>0.30827067669172931</v>
      </c>
      <c r="P6" s="11">
        <f t="shared" si="0"/>
        <v>0.25490196078431371</v>
      </c>
    </row>
    <row r="7" spans="1:16" x14ac:dyDescent="0.3">
      <c r="A7" s="11" t="s">
        <v>70</v>
      </c>
      <c r="B7" s="16">
        <v>0.61032466869797208</v>
      </c>
      <c r="C7" s="16">
        <v>0.7</v>
      </c>
      <c r="D7" s="16">
        <v>0.86538461538461542</v>
      </c>
      <c r="E7" s="16">
        <v>0.83333333333333337</v>
      </c>
      <c r="F7" s="16">
        <v>0.70807453416149069</v>
      </c>
      <c r="G7" s="16">
        <v>0.69172932330827064</v>
      </c>
      <c r="H7" s="16">
        <v>0.74509803921568629</v>
      </c>
      <c r="I7" s="11">
        <v>1</v>
      </c>
      <c r="J7" s="11">
        <f t="shared" si="0"/>
        <v>1</v>
      </c>
      <c r="K7" s="11">
        <f t="shared" si="0"/>
        <v>1</v>
      </c>
      <c r="L7" s="11">
        <f t="shared" si="0"/>
        <v>1</v>
      </c>
      <c r="M7" s="11">
        <f t="shared" si="0"/>
        <v>1</v>
      </c>
      <c r="N7" s="11">
        <f t="shared" si="0"/>
        <v>1</v>
      </c>
      <c r="O7" s="11">
        <f t="shared" si="0"/>
        <v>1</v>
      </c>
      <c r="P7" s="11">
        <f t="shared" si="0"/>
        <v>1</v>
      </c>
    </row>
    <row r="9" spans="1:16" ht="28.8" x14ac:dyDescent="0.3">
      <c r="B9" s="1" t="s">
        <v>86</v>
      </c>
      <c r="C9" s="2" t="s">
        <v>94</v>
      </c>
      <c r="D9" s="2" t="s">
        <v>95</v>
      </c>
      <c r="E9" s="2" t="s">
        <v>96</v>
      </c>
      <c r="F9" s="2" t="s">
        <v>97</v>
      </c>
      <c r="G9" s="2" t="s">
        <v>98</v>
      </c>
      <c r="H9" s="2" t="s">
        <v>99</v>
      </c>
      <c r="J9" s="1" t="s">
        <v>86</v>
      </c>
      <c r="K9" s="12" t="s">
        <v>100</v>
      </c>
      <c r="L9" s="12" t="s">
        <v>101</v>
      </c>
      <c r="M9" s="12" t="s">
        <v>102</v>
      </c>
      <c r="N9" s="12" t="s">
        <v>103</v>
      </c>
      <c r="O9" s="12" t="s">
        <v>104</v>
      </c>
      <c r="P9" s="12" t="s">
        <v>105</v>
      </c>
    </row>
    <row r="10" spans="1:16" x14ac:dyDescent="0.3">
      <c r="B10" s="11" t="s">
        <v>75</v>
      </c>
      <c r="C10" s="11">
        <f>C2-B2</f>
        <v>-3.7965244266907699E-2</v>
      </c>
      <c r="D10" s="11">
        <f>D2-B2</f>
        <v>-5.9393815695479128E-2</v>
      </c>
      <c r="E10" s="11">
        <f>E2-B2</f>
        <v>-4.8977149028812464E-2</v>
      </c>
      <c r="F10" s="11">
        <f>F2-B2</f>
        <v>1.5140345795204103E-2</v>
      </c>
      <c r="G10" s="11">
        <f>G2-B2</f>
        <v>8.2753572368516951E-3</v>
      </c>
      <c r="H10" s="11">
        <f>H2-B2</f>
        <v>3.864539999079538E-2</v>
      </c>
      <c r="J10" s="11" t="s">
        <v>75</v>
      </c>
      <c r="K10" s="3">
        <f>(J2-0) * ((K2+0))</f>
        <v>1.2727246220459814E-3</v>
      </c>
      <c r="L10" s="3">
        <f>(J2-0) * ((L2+0))</f>
        <v>0</v>
      </c>
      <c r="M10" s="3">
        <f>(J2-0) * ((M2+0))</f>
        <v>6.1868558016124088E-4</v>
      </c>
      <c r="N10" s="3">
        <f>(J2-0) * ((N2+0))</f>
        <v>4.4268682505947173E-3</v>
      </c>
      <c r="O10" s="3">
        <f>(J2-0) * ((O2+0))</f>
        <v>4.0191303854083616E-3</v>
      </c>
      <c r="P10" s="3">
        <f>(J2-0) * ((P2+0))</f>
        <v>5.8229231073999143E-3</v>
      </c>
    </row>
    <row r="11" spans="1:16" x14ac:dyDescent="0.3">
      <c r="B11" s="11" t="s">
        <v>71</v>
      </c>
      <c r="C11" s="11">
        <f t="shared" ref="C11:C15" si="1">C3-B3</f>
        <v>2.2954237312845377E-3</v>
      </c>
      <c r="D11" s="11">
        <f t="shared" ref="D11:D15" si="2">D3-B3</f>
        <v>-3.7814466378605568E-2</v>
      </c>
      <c r="E11" s="11">
        <f t="shared" ref="E11:E15" si="3">E3-B3</f>
        <v>-1.3776004840144032E-2</v>
      </c>
      <c r="F11" s="11">
        <f t="shared" ref="F11:F15" si="4">F3-B3</f>
        <v>-2.0375383722131608E-2</v>
      </c>
      <c r="G11" s="11">
        <f t="shared" ref="G11:G15" si="5">G3-B3</f>
        <v>-4.6200816870219222E-2</v>
      </c>
      <c r="H11" s="11">
        <f t="shared" ref="H11:H15" si="6">H3-B3</f>
        <v>-3.7060318565634229E-2</v>
      </c>
      <c r="J11" s="11" t="s">
        <v>71</v>
      </c>
      <c r="K11" s="3">
        <f>(J3-J2) * ((K3+K2))</f>
        <v>9.2620863020174884E-3</v>
      </c>
      <c r="L11" s="3">
        <f>(J3-J2) * ((L3+L2))</f>
        <v>2.9336924938516934E-3</v>
      </c>
      <c r="M11" s="3">
        <f>(J3-J2) * ((M3+M2))</f>
        <v>6.3563337366786691E-3</v>
      </c>
      <c r="N11" s="3">
        <f>(J3-J2) * ((N3+N2))</f>
        <v>1.5634212172203434E-2</v>
      </c>
      <c r="O11" s="3">
        <f>(J3-J2) * ((O3+O2))</f>
        <v>1.2617083507392242E-2</v>
      </c>
      <c r="P11" s="3">
        <f>(J3-J2) * ((P3+P2))</f>
        <v>1.7947295256504476E-2</v>
      </c>
    </row>
    <row r="12" spans="1:16" x14ac:dyDescent="0.3">
      <c r="B12" s="11" t="s">
        <v>72</v>
      </c>
      <c r="C12" s="11">
        <f t="shared" si="1"/>
        <v>1.489000335311183E-2</v>
      </c>
      <c r="D12" s="11">
        <f t="shared" si="2"/>
        <v>-3.9505601042492566E-2</v>
      </c>
      <c r="E12" s="11">
        <f t="shared" si="3"/>
        <v>-6.7550472837364359E-2</v>
      </c>
      <c r="F12" s="11">
        <f t="shared" si="4"/>
        <v>-4.0700058758689414E-2</v>
      </c>
      <c r="G12" s="11">
        <f t="shared" si="5"/>
        <v>4.7396274132621985E-3</v>
      </c>
      <c r="H12" s="11">
        <f t="shared" si="6"/>
        <v>-5.8359296366776128E-2</v>
      </c>
      <c r="J12" s="11" t="s">
        <v>72</v>
      </c>
      <c r="K12" s="3">
        <f t="shared" ref="K12:K15" si="7">(J4-J3) * ((K4+K3))</f>
        <v>2.2833233711894801E-2</v>
      </c>
      <c r="L12" s="3">
        <f t="shared" ref="L12:L15" si="8">(J4-J3) * ((L4+L3))</f>
        <v>8.996208404311274E-3</v>
      </c>
      <c r="M12" s="3">
        <f t="shared" ref="M12:M15" si="9">(J4-J3) * ((M4+M3))</f>
        <v>1.2182365547504848E-2</v>
      </c>
      <c r="N12" s="3">
        <f t="shared" ref="N12:N15" si="10">(J4-J3) * ((N4+N3))</f>
        <v>2.3244861467040308E-2</v>
      </c>
      <c r="O12" s="3">
        <f t="shared" ref="O12:O15" si="11">(J4-J3) * ((O4+O3))</f>
        <v>2.1690106478565022E-2</v>
      </c>
      <c r="P12" s="3">
        <f t="shared" ref="P12:P15" si="12">(J4-J3) * ((P4+P3))</f>
        <v>2.2931511618832657E-2</v>
      </c>
    </row>
    <row r="13" spans="1:16" x14ac:dyDescent="0.3">
      <c r="B13" s="11" t="s">
        <v>74</v>
      </c>
      <c r="C13" s="11">
        <f t="shared" si="1"/>
        <v>-2.4629335354919603E-2</v>
      </c>
      <c r="D13" s="11">
        <f t="shared" si="2"/>
        <v>-4.331065403623828E-2</v>
      </c>
      <c r="E13" s="11">
        <f t="shared" si="3"/>
        <v>-5.0522192497776744E-2</v>
      </c>
      <c r="F13" s="11">
        <f t="shared" si="4"/>
        <v>-2.587157137976432E-2</v>
      </c>
      <c r="G13" s="11">
        <f t="shared" si="5"/>
        <v>-2.9140613550408326E-2</v>
      </c>
      <c r="H13" s="11">
        <f t="shared" si="6"/>
        <v>-4.2556506223266941E-2</v>
      </c>
      <c r="J13" s="11" t="s">
        <v>74</v>
      </c>
      <c r="K13" s="3">
        <f t="shared" si="7"/>
        <v>3.6213399534729705E-2</v>
      </c>
      <c r="L13" s="3">
        <f t="shared" si="8"/>
        <v>1.5725421634187838E-2</v>
      </c>
      <c r="M13" s="3">
        <f t="shared" si="9"/>
        <v>1.6184079765184985E-2</v>
      </c>
      <c r="N13" s="3">
        <f t="shared" si="10"/>
        <v>3.1997814455651773E-2</v>
      </c>
      <c r="O13" s="3">
        <f t="shared" si="11"/>
        <v>3.3815568326148279E-2</v>
      </c>
      <c r="P13" s="3">
        <f t="shared" si="12"/>
        <v>2.8860773822744736E-2</v>
      </c>
    </row>
    <row r="14" spans="1:16" x14ac:dyDescent="0.3">
      <c r="B14" s="11" t="s">
        <v>73</v>
      </c>
      <c r="C14" s="11">
        <f t="shared" si="1"/>
        <v>-4.4266178764596972E-2</v>
      </c>
      <c r="D14" s="11">
        <f t="shared" si="2"/>
        <v>-7.5035409533827743E-2</v>
      </c>
      <c r="E14" s="11">
        <f t="shared" si="3"/>
        <v>-4.2182845431263639E-2</v>
      </c>
      <c r="F14" s="11">
        <f t="shared" si="4"/>
        <v>-2.5943197398137344E-2</v>
      </c>
      <c r="G14" s="11">
        <f t="shared" si="5"/>
        <v>-1.9078208839784949E-2</v>
      </c>
      <c r="H14" s="11">
        <f t="shared" si="6"/>
        <v>-3.544264935283227E-2</v>
      </c>
      <c r="J14" s="11" t="s">
        <v>73</v>
      </c>
      <c r="K14" s="3">
        <f t="shared" si="7"/>
        <v>5.1846398320528342E-2</v>
      </c>
      <c r="L14" s="3">
        <f t="shared" si="8"/>
        <v>2.3566544691149244E-2</v>
      </c>
      <c r="M14" s="3">
        <f t="shared" si="9"/>
        <v>2.6512362777542899E-2</v>
      </c>
      <c r="N14" s="3">
        <f t="shared" si="10"/>
        <v>4.8596849922121418E-2</v>
      </c>
      <c r="O14" s="3">
        <f t="shared" si="11"/>
        <v>5.1031314819932193E-2</v>
      </c>
      <c r="P14" s="3">
        <f t="shared" si="12"/>
        <v>4.2512198266386865E-2</v>
      </c>
    </row>
    <row r="15" spans="1:16" x14ac:dyDescent="0.3">
      <c r="B15" s="11" t="s">
        <v>70</v>
      </c>
      <c r="C15" s="11">
        <f t="shared" si="1"/>
        <v>8.9675331302027872E-2</v>
      </c>
      <c r="D15" s="11">
        <f t="shared" si="2"/>
        <v>0.25505994668664334</v>
      </c>
      <c r="E15" s="11">
        <f t="shared" si="3"/>
        <v>0.22300866463536129</v>
      </c>
      <c r="F15" s="11">
        <f t="shared" si="4"/>
        <v>9.7749865463518604E-2</v>
      </c>
      <c r="G15" s="11">
        <f t="shared" si="5"/>
        <v>8.1404654610298555E-2</v>
      </c>
      <c r="H15" s="11">
        <f t="shared" si="6"/>
        <v>0.13477337051771421</v>
      </c>
      <c r="J15" s="11" t="s">
        <v>70</v>
      </c>
      <c r="K15" s="3">
        <f t="shared" si="7"/>
        <v>0.7934220693073637</v>
      </c>
      <c r="L15" s="3">
        <f t="shared" si="8"/>
        <v>0.69248375871500678</v>
      </c>
      <c r="M15" s="3">
        <f t="shared" si="9"/>
        <v>0.71204544681430082</v>
      </c>
      <c r="N15" s="3">
        <f t="shared" si="10"/>
        <v>0.78849398192036146</v>
      </c>
      <c r="O15" s="3">
        <f t="shared" si="11"/>
        <v>0.79846986731915148</v>
      </c>
      <c r="P15" s="3">
        <f t="shared" si="12"/>
        <v>0.76589762346412182</v>
      </c>
    </row>
    <row r="16" spans="1:16" x14ac:dyDescent="0.3">
      <c r="J16" s="13" t="s">
        <v>106</v>
      </c>
      <c r="K16" s="12">
        <f>SUM(K10:K15)</f>
        <v>0.91484991179858</v>
      </c>
      <c r="L16" s="12">
        <f t="shared" ref="L16:P16" si="13">SUM(L10:L15)</f>
        <v>0.74370562593850686</v>
      </c>
      <c r="M16" s="12">
        <f t="shared" si="13"/>
        <v>0.7738992742213735</v>
      </c>
      <c r="N16" s="12">
        <f t="shared" si="13"/>
        <v>0.91239458818797314</v>
      </c>
      <c r="O16" s="12">
        <f t="shared" si="13"/>
        <v>0.92164307083659758</v>
      </c>
      <c r="P16" s="12">
        <f t="shared" si="13"/>
        <v>0.88397232553599048</v>
      </c>
    </row>
    <row r="17" spans="10:16" x14ac:dyDescent="0.3">
      <c r="J17" s="14" t="s">
        <v>107</v>
      </c>
      <c r="K17" s="15">
        <f>1-K16</f>
        <v>8.5150088201420004E-2</v>
      </c>
      <c r="L17" s="15">
        <f t="shared" ref="L17:P17" si="14">1-L16</f>
        <v>0.25629437406149314</v>
      </c>
      <c r="M17" s="15">
        <f t="shared" si="14"/>
        <v>0.2261007257786265</v>
      </c>
      <c r="N17" s="15">
        <f t="shared" si="14"/>
        <v>8.7605411812026857E-2</v>
      </c>
      <c r="O17" s="15">
        <f t="shared" si="14"/>
        <v>7.8356929163402422E-2</v>
      </c>
      <c r="P17" s="15">
        <f t="shared" si="14"/>
        <v>0.11602767446400952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D36D-D2A9-4A75-AD3C-739F4451C513}">
  <dimension ref="A1:P25"/>
  <sheetViews>
    <sheetView workbookViewId="0">
      <selection activeCell="A13" sqref="A13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77</v>
      </c>
      <c r="B2" s="16">
        <v>3.4057553854573111E-2</v>
      </c>
      <c r="C2" s="16">
        <v>3.7914691943127965E-2</v>
      </c>
      <c r="D2" s="16">
        <v>3.3057851239669422E-2</v>
      </c>
      <c r="E2" s="16">
        <v>1.5748031496062992E-2</v>
      </c>
      <c r="F2" s="16">
        <v>1.2875536480686695E-2</v>
      </c>
      <c r="G2" s="16">
        <v>4.878048780487805E-2</v>
      </c>
      <c r="H2" s="16">
        <v>1.1111111111111112E-2</v>
      </c>
      <c r="I2" s="11">
        <v>3.4057553854573111E-2</v>
      </c>
      <c r="J2" s="17">
        <v>3.4057553854573111E-2</v>
      </c>
      <c r="K2" s="17">
        <v>3.7914691943127965E-2</v>
      </c>
      <c r="L2" s="17">
        <v>3.3057851239669422E-2</v>
      </c>
      <c r="M2" s="17">
        <v>1.5748031496062992E-2</v>
      </c>
      <c r="N2" s="17">
        <v>1.2875536480686695E-2</v>
      </c>
      <c r="O2" s="17">
        <v>4.878048780487805E-2</v>
      </c>
      <c r="P2" s="17">
        <v>1.1111111111111112E-2</v>
      </c>
    </row>
    <row r="3" spans="1:16" x14ac:dyDescent="0.3">
      <c r="A3" s="11" t="s">
        <v>85</v>
      </c>
      <c r="B3" s="16">
        <v>3.5855667611920147E-2</v>
      </c>
      <c r="C3" s="16">
        <v>9.4786729857819912E-3</v>
      </c>
      <c r="D3" s="16">
        <v>0</v>
      </c>
      <c r="E3" s="16">
        <v>0</v>
      </c>
      <c r="F3" s="16">
        <v>4.2918454935622317E-3</v>
      </c>
      <c r="G3" s="16">
        <v>1.2195121951219513E-2</v>
      </c>
      <c r="H3" s="16">
        <v>3.3333333333333333E-2</v>
      </c>
      <c r="I3" s="11">
        <v>6.9913221466493258E-2</v>
      </c>
      <c r="J3" s="11">
        <f>J2+B3</f>
        <v>6.9913221466493258E-2</v>
      </c>
      <c r="K3" s="11">
        <f t="shared" ref="K3:P11" si="0">K2+C3</f>
        <v>4.7393364928909956E-2</v>
      </c>
      <c r="L3" s="11">
        <f t="shared" si="0"/>
        <v>3.3057851239669422E-2</v>
      </c>
      <c r="M3" s="11">
        <f t="shared" si="0"/>
        <v>1.5748031496062992E-2</v>
      </c>
      <c r="N3" s="11">
        <f t="shared" si="0"/>
        <v>1.7167381974248927E-2</v>
      </c>
      <c r="O3" s="11">
        <f t="shared" si="0"/>
        <v>6.097560975609756E-2</v>
      </c>
      <c r="P3" s="11">
        <f t="shared" si="0"/>
        <v>4.4444444444444446E-2</v>
      </c>
    </row>
    <row r="4" spans="1:16" x14ac:dyDescent="0.3">
      <c r="A4" s="11" t="s">
        <v>83</v>
      </c>
      <c r="B4" s="16">
        <v>5.199604841403524E-2</v>
      </c>
      <c r="C4" s="16">
        <v>3.7914691943127965E-2</v>
      </c>
      <c r="D4" s="16">
        <v>4.1322314049586778E-2</v>
      </c>
      <c r="E4" s="16">
        <v>5.5118110236220472E-2</v>
      </c>
      <c r="F4" s="16">
        <v>6.0085836909871244E-2</v>
      </c>
      <c r="G4" s="16">
        <v>2.4390243902439025E-2</v>
      </c>
      <c r="H4" s="16">
        <v>3.3333333333333333E-2</v>
      </c>
      <c r="I4" s="11">
        <v>0.1219092698805285</v>
      </c>
      <c r="J4" s="11">
        <f t="shared" ref="J4:J11" si="1">J3+B4</f>
        <v>0.1219092698805285</v>
      </c>
      <c r="K4" s="11">
        <f t="shared" si="0"/>
        <v>8.5308056872037921E-2</v>
      </c>
      <c r="L4" s="11">
        <f t="shared" si="0"/>
        <v>7.43801652892562E-2</v>
      </c>
      <c r="M4" s="11">
        <f t="shared" si="0"/>
        <v>7.0866141732283464E-2</v>
      </c>
      <c r="N4" s="11">
        <f t="shared" si="0"/>
        <v>7.7253218884120178E-2</v>
      </c>
      <c r="O4" s="11">
        <f t="shared" si="0"/>
        <v>8.5365853658536578E-2</v>
      </c>
      <c r="P4" s="11">
        <f t="shared" si="0"/>
        <v>7.7777777777777779E-2</v>
      </c>
    </row>
    <row r="5" spans="1:16" x14ac:dyDescent="0.3">
      <c r="A5" s="11" t="s">
        <v>79</v>
      </c>
      <c r="B5" s="16">
        <v>5.2081334442051701E-2</v>
      </c>
      <c r="C5" s="16">
        <v>1.8957345971563982E-2</v>
      </c>
      <c r="D5" s="16">
        <v>2.4793388429752067E-2</v>
      </c>
      <c r="E5" s="16">
        <v>1.5748031496062992E-2</v>
      </c>
      <c r="F5" s="16">
        <v>8.5836909871244635E-3</v>
      </c>
      <c r="G5" s="16">
        <v>2.4390243902439025E-2</v>
      </c>
      <c r="H5" s="16">
        <v>2.2222222222222223E-2</v>
      </c>
      <c r="I5" s="11">
        <v>0.17399060432258021</v>
      </c>
      <c r="J5" s="11">
        <f t="shared" si="1"/>
        <v>0.17399060432258021</v>
      </c>
      <c r="K5" s="11">
        <f t="shared" si="0"/>
        <v>0.1042654028436019</v>
      </c>
      <c r="L5" s="11">
        <f t="shared" si="0"/>
        <v>9.9173553719008267E-2</v>
      </c>
      <c r="M5" s="11">
        <f t="shared" si="0"/>
        <v>8.6614173228346455E-2</v>
      </c>
      <c r="N5" s="11">
        <f t="shared" si="0"/>
        <v>8.5836909871244649E-2</v>
      </c>
      <c r="O5" s="11">
        <f t="shared" si="0"/>
        <v>0.1097560975609756</v>
      </c>
      <c r="P5" s="11">
        <f t="shared" si="0"/>
        <v>0.1</v>
      </c>
    </row>
    <row r="6" spans="1:16" x14ac:dyDescent="0.3">
      <c r="A6" s="11" t="s">
        <v>78</v>
      </c>
      <c r="B6" s="16">
        <v>5.5912098533791033E-2</v>
      </c>
      <c r="C6" s="16">
        <v>7.582938388625593E-2</v>
      </c>
      <c r="D6" s="16">
        <v>6.6115702479338845E-2</v>
      </c>
      <c r="E6" s="16">
        <v>6.2992125984251968E-2</v>
      </c>
      <c r="F6" s="16">
        <v>0.11587982832618025</v>
      </c>
      <c r="G6" s="16">
        <v>1.8292682926829267E-2</v>
      </c>
      <c r="H6" s="16">
        <v>8.8888888888888892E-2</v>
      </c>
      <c r="I6" s="11">
        <v>0.22990270285637124</v>
      </c>
      <c r="J6" s="11">
        <f t="shared" si="1"/>
        <v>0.22990270285637124</v>
      </c>
      <c r="K6" s="11">
        <f t="shared" si="0"/>
        <v>0.18009478672985785</v>
      </c>
      <c r="L6" s="11">
        <f t="shared" si="0"/>
        <v>0.16528925619834711</v>
      </c>
      <c r="M6" s="11">
        <f t="shared" si="0"/>
        <v>0.14960629921259844</v>
      </c>
      <c r="N6" s="11">
        <f t="shared" si="0"/>
        <v>0.20171673819742492</v>
      </c>
      <c r="O6" s="11">
        <f t="shared" si="0"/>
        <v>0.12804878048780485</v>
      </c>
      <c r="P6" s="11">
        <f t="shared" si="0"/>
        <v>0.18888888888888888</v>
      </c>
    </row>
    <row r="7" spans="1:16" x14ac:dyDescent="0.3">
      <c r="A7" s="11" t="s">
        <v>80</v>
      </c>
      <c r="B7" s="16">
        <v>5.9550969062493339E-2</v>
      </c>
      <c r="C7" s="16">
        <v>8.5308056872037921E-2</v>
      </c>
      <c r="D7" s="16">
        <v>4.1322314049586778E-2</v>
      </c>
      <c r="E7" s="16">
        <v>1.5748031496062992E-2</v>
      </c>
      <c r="F7" s="16">
        <v>5.5793991416309016E-2</v>
      </c>
      <c r="G7" s="16">
        <v>5.4878048780487805E-2</v>
      </c>
      <c r="H7" s="16">
        <v>5.5555555555555552E-2</v>
      </c>
      <c r="I7" s="11">
        <v>0.28945367191886456</v>
      </c>
      <c r="J7" s="11">
        <f t="shared" si="1"/>
        <v>0.28945367191886456</v>
      </c>
      <c r="K7" s="11">
        <f t="shared" si="0"/>
        <v>0.26540284360189575</v>
      </c>
      <c r="L7" s="11">
        <f t="shared" si="0"/>
        <v>0.20661157024793389</v>
      </c>
      <c r="M7" s="11">
        <f t="shared" si="0"/>
        <v>0.16535433070866143</v>
      </c>
      <c r="N7" s="11">
        <f t="shared" si="0"/>
        <v>0.25751072961373395</v>
      </c>
      <c r="O7" s="11">
        <f t="shared" si="0"/>
        <v>0.18292682926829265</v>
      </c>
      <c r="P7" s="11">
        <f t="shared" si="0"/>
        <v>0.24444444444444444</v>
      </c>
    </row>
    <row r="8" spans="1:16" x14ac:dyDescent="0.3">
      <c r="A8" s="11" t="s">
        <v>81</v>
      </c>
      <c r="B8" s="16">
        <v>7.3594735009203785E-2</v>
      </c>
      <c r="C8" s="16">
        <v>3.3175355450236969E-2</v>
      </c>
      <c r="D8" s="16">
        <v>2.4793388429752067E-2</v>
      </c>
      <c r="E8" s="16">
        <v>4.7244094488188976E-2</v>
      </c>
      <c r="F8" s="16">
        <v>4.2918454935622317E-2</v>
      </c>
      <c r="G8" s="16">
        <v>2.4390243902439025E-2</v>
      </c>
      <c r="H8" s="16">
        <v>5.5555555555555552E-2</v>
      </c>
      <c r="I8" s="11">
        <v>0.36304840692806833</v>
      </c>
      <c r="J8" s="11">
        <f t="shared" si="1"/>
        <v>0.36304840692806833</v>
      </c>
      <c r="K8" s="11">
        <f t="shared" si="0"/>
        <v>0.29857819905213273</v>
      </c>
      <c r="L8" s="11">
        <f t="shared" si="0"/>
        <v>0.23140495867768596</v>
      </c>
      <c r="M8" s="11">
        <f t="shared" si="0"/>
        <v>0.2125984251968504</v>
      </c>
      <c r="N8" s="11">
        <f t="shared" si="0"/>
        <v>0.30042918454935624</v>
      </c>
      <c r="O8" s="11">
        <f t="shared" si="0"/>
        <v>0.20731707317073167</v>
      </c>
      <c r="P8" s="11">
        <f t="shared" si="0"/>
        <v>0.3</v>
      </c>
    </row>
    <row r="9" spans="1:16" x14ac:dyDescent="0.3">
      <c r="A9" s="11" t="s">
        <v>84</v>
      </c>
      <c r="B9" s="16">
        <v>0.16912930072564195</v>
      </c>
      <c r="C9" s="16">
        <v>8.0568720379146919E-2</v>
      </c>
      <c r="D9" s="16">
        <v>3.3057851239669422E-2</v>
      </c>
      <c r="E9" s="16">
        <v>5.5118110236220472E-2</v>
      </c>
      <c r="F9" s="16">
        <v>0.13733905579399142</v>
      </c>
      <c r="G9" s="16">
        <v>0.26829268292682928</v>
      </c>
      <c r="H9" s="16">
        <v>0.21111111111111111</v>
      </c>
      <c r="I9" s="11">
        <v>0.53217770765371031</v>
      </c>
      <c r="J9" s="11">
        <f t="shared" si="1"/>
        <v>0.53217770765371031</v>
      </c>
      <c r="K9" s="11">
        <f t="shared" si="0"/>
        <v>0.37914691943127965</v>
      </c>
      <c r="L9" s="11">
        <f t="shared" si="0"/>
        <v>0.26446280991735538</v>
      </c>
      <c r="M9" s="11">
        <f t="shared" si="0"/>
        <v>0.26771653543307089</v>
      </c>
      <c r="N9" s="11">
        <f t="shared" si="0"/>
        <v>0.43776824034334766</v>
      </c>
      <c r="O9" s="11">
        <f t="shared" si="0"/>
        <v>0.47560975609756095</v>
      </c>
      <c r="P9" s="11">
        <f t="shared" si="0"/>
        <v>0.51111111111111107</v>
      </c>
    </row>
    <row r="10" spans="1:16" x14ac:dyDescent="0.3">
      <c r="A10" s="11" t="s">
        <v>82</v>
      </c>
      <c r="B10" s="16">
        <v>0.22153756494175675</v>
      </c>
      <c r="C10" s="16">
        <v>0.23222748815165878</v>
      </c>
      <c r="D10" s="16">
        <v>0.2231404958677686</v>
      </c>
      <c r="E10" s="16">
        <v>0.34645669291338582</v>
      </c>
      <c r="F10" s="16">
        <v>0.21459227467811159</v>
      </c>
      <c r="G10" s="16">
        <v>0.25609756097560976</v>
      </c>
      <c r="H10" s="16">
        <v>0.28888888888888886</v>
      </c>
      <c r="I10" s="11">
        <v>0.753715272595467</v>
      </c>
      <c r="J10" s="11">
        <f t="shared" si="1"/>
        <v>0.753715272595467</v>
      </c>
      <c r="K10" s="11">
        <f t="shared" si="0"/>
        <v>0.61137440758293837</v>
      </c>
      <c r="L10" s="11">
        <f t="shared" si="0"/>
        <v>0.48760330578512401</v>
      </c>
      <c r="M10" s="11">
        <f t="shared" si="0"/>
        <v>0.61417322834645671</v>
      </c>
      <c r="N10" s="11">
        <f t="shared" si="0"/>
        <v>0.65236051502145931</v>
      </c>
      <c r="O10" s="11">
        <f t="shared" si="0"/>
        <v>0.73170731707317072</v>
      </c>
      <c r="P10" s="11">
        <f t="shared" si="0"/>
        <v>0.79999999999999993</v>
      </c>
    </row>
    <row r="11" spans="1:16" x14ac:dyDescent="0.3">
      <c r="A11" s="11" t="s">
        <v>76</v>
      </c>
      <c r="B11" s="16">
        <v>0.24628472740453294</v>
      </c>
      <c r="C11" s="16">
        <v>0.38862559241706163</v>
      </c>
      <c r="D11" s="16">
        <v>0.51239669421487599</v>
      </c>
      <c r="E11" s="16">
        <v>0.38582677165354329</v>
      </c>
      <c r="F11" s="16">
        <v>0.34763948497854075</v>
      </c>
      <c r="G11" s="16">
        <v>0.26829268292682928</v>
      </c>
      <c r="H11" s="16">
        <v>0.2</v>
      </c>
      <c r="I11" s="11">
        <v>1</v>
      </c>
      <c r="J11" s="11">
        <f t="shared" si="1"/>
        <v>1</v>
      </c>
      <c r="K11" s="11">
        <f t="shared" si="0"/>
        <v>1</v>
      </c>
      <c r="L11" s="11">
        <f t="shared" si="0"/>
        <v>1</v>
      </c>
      <c r="M11" s="11">
        <f t="shared" si="0"/>
        <v>1</v>
      </c>
      <c r="N11" s="11">
        <f t="shared" si="0"/>
        <v>1</v>
      </c>
      <c r="O11" s="11">
        <f t="shared" si="0"/>
        <v>1</v>
      </c>
      <c r="P11" s="11">
        <f t="shared" si="0"/>
        <v>1</v>
      </c>
    </row>
    <row r="13" spans="1:16" ht="28.8" x14ac:dyDescent="0.3">
      <c r="B13" s="1" t="s">
        <v>86</v>
      </c>
      <c r="C13" s="2" t="s">
        <v>94</v>
      </c>
      <c r="D13" s="2" t="s">
        <v>95</v>
      </c>
      <c r="E13" s="2" t="s">
        <v>96</v>
      </c>
      <c r="F13" s="2" t="s">
        <v>97</v>
      </c>
      <c r="G13" s="2" t="s">
        <v>98</v>
      </c>
      <c r="H13" s="2" t="s">
        <v>99</v>
      </c>
      <c r="J13" s="1" t="s">
        <v>86</v>
      </c>
      <c r="K13" s="12" t="s">
        <v>100</v>
      </c>
      <c r="L13" s="12" t="s">
        <v>101</v>
      </c>
      <c r="M13" s="12" t="s">
        <v>102</v>
      </c>
      <c r="N13" s="12" t="s">
        <v>103</v>
      </c>
      <c r="O13" s="12" t="s">
        <v>104</v>
      </c>
      <c r="P13" s="12" t="s">
        <v>105</v>
      </c>
    </row>
    <row r="14" spans="1:16" x14ac:dyDescent="0.3">
      <c r="B14" s="11" t="s">
        <v>77</v>
      </c>
      <c r="C14" s="11">
        <f>C2-B2</f>
        <v>3.857138088554854E-3</v>
      </c>
      <c r="D14" s="11">
        <f>D2-B2</f>
        <v>-9.9970261490368861E-4</v>
      </c>
      <c r="E14" s="11">
        <f>E2-B2</f>
        <v>-1.8309522358510119E-2</v>
      </c>
      <c r="F14" s="11">
        <f>F2-B2</f>
        <v>-2.1182017373886416E-2</v>
      </c>
      <c r="G14" s="11">
        <f>G2-B2</f>
        <v>1.4722933950304939E-2</v>
      </c>
      <c r="H14" s="11">
        <f>H2-B2</f>
        <v>-2.2946442743461998E-2</v>
      </c>
      <c r="J14" s="11" t="s">
        <v>77</v>
      </c>
      <c r="K14" s="3">
        <f>(J2-0) * ((K2+0))</f>
        <v>1.2912816627326299E-3</v>
      </c>
      <c r="L14" s="3">
        <f>(J2-0) * ((L2+0))</f>
        <v>1.1258695489115079E-3</v>
      </c>
      <c r="M14" s="3">
        <f>(J2-0) * ((M2+0))</f>
        <v>5.3633943078067886E-4</v>
      </c>
      <c r="N14" s="3">
        <f>(J2-0) * ((N2+0))</f>
        <v>4.3850927709750787E-4</v>
      </c>
      <c r="O14" s="3">
        <f>(J2-0) * ((O2+0))</f>
        <v>1.6613440904669811E-3</v>
      </c>
      <c r="P14" s="3">
        <f>(J2-0) * ((P2+0))</f>
        <v>3.7841726505081239E-4</v>
      </c>
    </row>
    <row r="15" spans="1:16" x14ac:dyDescent="0.3">
      <c r="B15" s="11" t="s">
        <v>85</v>
      </c>
      <c r="C15" s="11">
        <f t="shared" ref="C15:C23" si="2">C3-B3</f>
        <v>-2.6376994626138156E-2</v>
      </c>
      <c r="D15" s="11">
        <f t="shared" ref="D15:D23" si="3">D3-B3</f>
        <v>-3.5855667611920147E-2</v>
      </c>
      <c r="E15" s="11">
        <f t="shared" ref="E15:E23" si="4">E3-B3</f>
        <v>-3.5855667611920147E-2</v>
      </c>
      <c r="F15" s="11">
        <f t="shared" ref="F15:F23" si="5">F3-B3</f>
        <v>-3.1563822118357912E-2</v>
      </c>
      <c r="G15" s="11">
        <f t="shared" ref="G15:G23" si="6">G3-B3</f>
        <v>-2.3660545660700635E-2</v>
      </c>
      <c r="H15" s="11">
        <f t="shared" ref="H15:H23" si="7">H3-B3</f>
        <v>-2.5223342785868144E-3</v>
      </c>
      <c r="J15" s="11" t="s">
        <v>85</v>
      </c>
      <c r="K15" s="3">
        <f>(J3-J2) * ((K3+K2))</f>
        <v>3.058777331822572E-3</v>
      </c>
      <c r="L15" s="3">
        <f>(J3-J2) * ((L3+L2))</f>
        <v>2.3706226520277783E-3</v>
      </c>
      <c r="M15" s="3">
        <f>(J3-J2) * ((M3+M2))</f>
        <v>1.1293123657297685E-3</v>
      </c>
      <c r="N15" s="3">
        <f>(J3-J2) * ((N3+N2))</f>
        <v>1.0772088982121933E-3</v>
      </c>
      <c r="O15" s="3">
        <f>(J3-J2) * ((O3+O2))</f>
        <v>3.9353781525278209E-3</v>
      </c>
      <c r="P15" s="3">
        <f>(J3-J2) * ((P3+P2))</f>
        <v>1.9919815339955638E-3</v>
      </c>
    </row>
    <row r="16" spans="1:16" x14ac:dyDescent="0.3">
      <c r="B16" s="11" t="s">
        <v>83</v>
      </c>
      <c r="C16" s="11">
        <f t="shared" si="2"/>
        <v>-1.4081356470907275E-2</v>
      </c>
      <c r="D16" s="11">
        <f t="shared" si="3"/>
        <v>-1.0673734364448462E-2</v>
      </c>
      <c r="E16" s="11">
        <f t="shared" si="4"/>
        <v>3.122061822185232E-3</v>
      </c>
      <c r="F16" s="11">
        <f t="shared" si="5"/>
        <v>8.0897884958360047E-3</v>
      </c>
      <c r="G16" s="11">
        <f t="shared" si="6"/>
        <v>-2.7605804511596214E-2</v>
      </c>
      <c r="H16" s="11">
        <f t="shared" si="7"/>
        <v>-1.8662715080701907E-2</v>
      </c>
      <c r="J16" s="11" t="s">
        <v>83</v>
      </c>
      <c r="K16" s="3">
        <f t="shared" ref="K16:K23" si="8">(J4-J3) * ((K4+K3))</f>
        <v>6.8999495525733975E-3</v>
      </c>
      <c r="L16" s="3">
        <f t="shared" ref="L16:L23" si="9">(J4-J3) * ((L4+L3))</f>
        <v>5.586352308945935E-3</v>
      </c>
      <c r="M16" s="3">
        <f t="shared" ref="M16:M23" si="10">(J4-J3) * ((M4+M3))</f>
        <v>4.5035947445227374E-3</v>
      </c>
      <c r="N16" s="3">
        <f t="shared" ref="N16:N23" si="11">(J4-J3) * ((N4+N3))</f>
        <v>4.9094981335140574E-3</v>
      </c>
      <c r="O16" s="3">
        <f t="shared" ref="O16:O23" si="12">(J4-J3) * ((O4+O3))</f>
        <v>7.6091778166880834E-3</v>
      </c>
      <c r="P16" s="3">
        <f t="shared" ref="P16:P23" si="13">(J4-J3) * ((P4+P3))</f>
        <v>6.3550725839376411E-3</v>
      </c>
    </row>
    <row r="17" spans="2:16" x14ac:dyDescent="0.3">
      <c r="B17" s="11" t="s">
        <v>79</v>
      </c>
      <c r="C17" s="11">
        <f t="shared" si="2"/>
        <v>-3.3123988470487718E-2</v>
      </c>
      <c r="D17" s="11">
        <f t="shared" si="3"/>
        <v>-2.7287946012299634E-2</v>
      </c>
      <c r="E17" s="11">
        <f t="shared" si="4"/>
        <v>-3.6333302945988709E-2</v>
      </c>
      <c r="F17" s="11">
        <f t="shared" si="5"/>
        <v>-4.3497643454927237E-2</v>
      </c>
      <c r="G17" s="11">
        <f t="shared" si="6"/>
        <v>-2.7691090539612676E-2</v>
      </c>
      <c r="H17" s="11">
        <f t="shared" si="7"/>
        <v>-2.9859112219829478E-2</v>
      </c>
      <c r="J17" s="11" t="s">
        <v>79</v>
      </c>
      <c r="K17" s="3">
        <f t="shared" si="8"/>
        <v>9.8732387567870544E-3</v>
      </c>
      <c r="L17" s="3">
        <f t="shared" si="9"/>
        <v>9.0389092833312885E-3</v>
      </c>
      <c r="M17" s="3">
        <f t="shared" si="10"/>
        <v>8.2017849515042054E-3</v>
      </c>
      <c r="N17" s="3">
        <f t="shared" si="11"/>
        <v>8.493951539905429E-3</v>
      </c>
      <c r="O17" s="3">
        <f t="shared" si="12"/>
        <v>1.0162211598449112E-2</v>
      </c>
      <c r="P17" s="3">
        <f t="shared" si="13"/>
        <v>9.2589039008091935E-3</v>
      </c>
    </row>
    <row r="18" spans="2:16" x14ac:dyDescent="0.3">
      <c r="B18" s="11" t="s">
        <v>78</v>
      </c>
      <c r="C18" s="11">
        <f t="shared" si="2"/>
        <v>1.9917285352464897E-2</v>
      </c>
      <c r="D18" s="11">
        <f t="shared" si="3"/>
        <v>1.0203603945547812E-2</v>
      </c>
      <c r="E18" s="11">
        <f t="shared" si="4"/>
        <v>7.0800274504609351E-3</v>
      </c>
      <c r="F18" s="11">
        <f t="shared" si="5"/>
        <v>5.9967729792389221E-2</v>
      </c>
      <c r="G18" s="11">
        <f t="shared" si="6"/>
        <v>-3.7619415606961762E-2</v>
      </c>
      <c r="H18" s="11">
        <f t="shared" si="7"/>
        <v>3.297679035509786E-2</v>
      </c>
      <c r="J18" s="11" t="s">
        <v>78</v>
      </c>
      <c r="K18" s="3">
        <f t="shared" si="8"/>
        <v>1.5899174938518779E-2</v>
      </c>
      <c r="L18" s="3">
        <f t="shared" si="9"/>
        <v>1.4786670686622422E-2</v>
      </c>
      <c r="M18" s="3">
        <f t="shared" si="10"/>
        <v>1.3207582330816781E-2</v>
      </c>
      <c r="N18" s="3">
        <f t="shared" si="11"/>
        <v>1.6077727904566522E-2</v>
      </c>
      <c r="O18" s="3">
        <f t="shared" si="12"/>
        <v>1.3296169773279572E-2</v>
      </c>
      <c r="P18" s="3">
        <f t="shared" si="13"/>
        <v>1.6152384020872962E-2</v>
      </c>
    </row>
    <row r="19" spans="2:16" x14ac:dyDescent="0.3">
      <c r="B19" s="11" t="s">
        <v>80</v>
      </c>
      <c r="C19" s="11">
        <f t="shared" si="2"/>
        <v>2.5757087809544582E-2</v>
      </c>
      <c r="D19" s="11">
        <f t="shared" si="3"/>
        <v>-1.8228655012906561E-2</v>
      </c>
      <c r="E19" s="11">
        <f t="shared" si="4"/>
        <v>-4.3802937566430347E-2</v>
      </c>
      <c r="F19" s="11">
        <f t="shared" si="5"/>
        <v>-3.7569776461843229E-3</v>
      </c>
      <c r="G19" s="11">
        <f t="shared" si="6"/>
        <v>-4.6729202820055341E-3</v>
      </c>
      <c r="H19" s="11">
        <f t="shared" si="7"/>
        <v>-3.9954135069377866E-3</v>
      </c>
      <c r="J19" s="11" t="s">
        <v>80</v>
      </c>
      <c r="K19" s="3">
        <f t="shared" si="8"/>
        <v>2.6529815601300348E-2</v>
      </c>
      <c r="L19" s="3">
        <f t="shared" si="9"/>
        <v>2.2147054610018178E-2</v>
      </c>
      <c r="M19" s="3">
        <f t="shared" si="10"/>
        <v>1.8756210728344352E-2</v>
      </c>
      <c r="N19" s="3">
        <f t="shared" si="11"/>
        <v>2.734744072826947E-2</v>
      </c>
      <c r="O19" s="3">
        <f t="shared" si="12"/>
        <v>1.8518898915775361E-2</v>
      </c>
      <c r="P19" s="3">
        <f t="shared" si="13"/>
        <v>2.5805419927080443E-2</v>
      </c>
    </row>
    <row r="20" spans="2:16" x14ac:dyDescent="0.3">
      <c r="B20" s="11" t="s">
        <v>81</v>
      </c>
      <c r="C20" s="11">
        <f t="shared" si="2"/>
        <v>-4.0419379558966816E-2</v>
      </c>
      <c r="D20" s="11">
        <f t="shared" si="3"/>
        <v>-4.8801346579451718E-2</v>
      </c>
      <c r="E20" s="11">
        <f t="shared" si="4"/>
        <v>-2.6350640521014809E-2</v>
      </c>
      <c r="F20" s="11">
        <f t="shared" si="5"/>
        <v>-3.0676280073581468E-2</v>
      </c>
      <c r="G20" s="11">
        <f t="shared" si="6"/>
        <v>-4.920449110676476E-2</v>
      </c>
      <c r="H20" s="11">
        <f t="shared" si="7"/>
        <v>-1.8039179453648232E-2</v>
      </c>
      <c r="J20" s="11" t="s">
        <v>81</v>
      </c>
      <c r="K20" s="3">
        <f t="shared" si="8"/>
        <v>4.1506035384337676E-2</v>
      </c>
      <c r="L20" s="3">
        <f t="shared" si="9"/>
        <v>3.2235710375932231E-2</v>
      </c>
      <c r="M20" s="3">
        <f t="shared" si="10"/>
        <v>2.7815332916864416E-2</v>
      </c>
      <c r="N20" s="3">
        <f t="shared" si="11"/>
        <v>4.1061440133890521E-2</v>
      </c>
      <c r="O20" s="3">
        <f t="shared" si="12"/>
        <v>2.8719896588957562E-2</v>
      </c>
      <c r="P20" s="3">
        <f t="shared" si="13"/>
        <v>4.0068244616122052E-2</v>
      </c>
    </row>
    <row r="21" spans="2:16" x14ac:dyDescent="0.3">
      <c r="B21" s="11" t="s">
        <v>84</v>
      </c>
      <c r="C21" s="11">
        <f t="shared" si="2"/>
        <v>-8.8560580346495027E-2</v>
      </c>
      <c r="D21" s="11">
        <f t="shared" si="3"/>
        <v>-0.13607144948597252</v>
      </c>
      <c r="E21" s="11">
        <f t="shared" si="4"/>
        <v>-0.11401119048942147</v>
      </c>
      <c r="F21" s="11">
        <f t="shared" si="5"/>
        <v>-3.179024493165053E-2</v>
      </c>
      <c r="G21" s="11">
        <f t="shared" si="6"/>
        <v>9.9163382201187339E-2</v>
      </c>
      <c r="H21" s="11">
        <f t="shared" si="7"/>
        <v>4.1981810385469165E-2</v>
      </c>
      <c r="J21" s="11" t="s">
        <v>84</v>
      </c>
      <c r="K21" s="3">
        <f t="shared" si="8"/>
        <v>0.11462317537330238</v>
      </c>
      <c r="L21" s="3">
        <f t="shared" si="9"/>
        <v>8.3865768954863792E-2</v>
      </c>
      <c r="M21" s="3">
        <f t="shared" si="10"/>
        <v>8.1235333419402839E-2</v>
      </c>
      <c r="N21" s="3">
        <f t="shared" si="11"/>
        <v>0.12485081426957262</v>
      </c>
      <c r="O21" s="3">
        <f t="shared" si="12"/>
        <v>0.11550293708092621</v>
      </c>
      <c r="P21" s="3">
        <f t="shared" si="13"/>
        <v>0.13718265503302071</v>
      </c>
    </row>
    <row r="22" spans="2:16" x14ac:dyDescent="0.3">
      <c r="B22" s="11" t="s">
        <v>82</v>
      </c>
      <c r="C22" s="11">
        <f t="shared" si="2"/>
        <v>1.068992320990203E-2</v>
      </c>
      <c r="D22" s="11">
        <f t="shared" si="3"/>
        <v>1.6029309260118529E-3</v>
      </c>
      <c r="E22" s="11">
        <f t="shared" si="4"/>
        <v>0.12491912797162907</v>
      </c>
      <c r="F22" s="11">
        <f t="shared" si="5"/>
        <v>-6.9452902636451541E-3</v>
      </c>
      <c r="G22" s="11">
        <f t="shared" si="6"/>
        <v>3.4559996033853013E-2</v>
      </c>
      <c r="H22" s="11">
        <f t="shared" si="7"/>
        <v>6.7351323947132113E-2</v>
      </c>
      <c r="J22" s="11" t="s">
        <v>82</v>
      </c>
      <c r="K22" s="3">
        <f t="shared" si="8"/>
        <v>0.21943768280960735</v>
      </c>
      <c r="L22" s="3">
        <f t="shared" si="9"/>
        <v>0.16661089594793274</v>
      </c>
      <c r="M22" s="3">
        <f t="shared" si="10"/>
        <v>0.19537171081477755</v>
      </c>
      <c r="N22" s="3">
        <f t="shared" si="11"/>
        <v>0.24150446993650732</v>
      </c>
      <c r="O22" s="3">
        <f t="shared" si="12"/>
        <v>0.26746608450285259</v>
      </c>
      <c r="P22" s="3">
        <f t="shared" si="13"/>
        <v>0.29046036292363653</v>
      </c>
    </row>
    <row r="23" spans="2:16" x14ac:dyDescent="0.3">
      <c r="B23" s="11" t="s">
        <v>76</v>
      </c>
      <c r="C23" s="11">
        <f t="shared" si="2"/>
        <v>0.14234086501252868</v>
      </c>
      <c r="D23" s="11">
        <f t="shared" si="3"/>
        <v>0.26611196681034305</v>
      </c>
      <c r="E23" s="11">
        <f t="shared" si="4"/>
        <v>0.13954204424901034</v>
      </c>
      <c r="F23" s="11">
        <f t="shared" si="5"/>
        <v>0.1013547575740078</v>
      </c>
      <c r="G23" s="11">
        <f t="shared" si="6"/>
        <v>2.2007955522296341E-2</v>
      </c>
      <c r="H23" s="11">
        <f t="shared" si="7"/>
        <v>-4.6284727404532933E-2</v>
      </c>
      <c r="J23" s="11" t="s">
        <v>76</v>
      </c>
      <c r="K23" s="3">
        <f t="shared" si="8"/>
        <v>0.39685690671820484</v>
      </c>
      <c r="L23" s="3">
        <f t="shared" si="9"/>
        <v>0.36637397465137139</v>
      </c>
      <c r="M23" s="3">
        <f t="shared" si="10"/>
        <v>0.39754621352700209</v>
      </c>
      <c r="N23" s="3">
        <f t="shared" si="11"/>
        <v>0.40695115901607387</v>
      </c>
      <c r="O23" s="3">
        <f t="shared" si="12"/>
        <v>0.42649306452980107</v>
      </c>
      <c r="P23" s="3">
        <f t="shared" si="13"/>
        <v>0.44331250932815935</v>
      </c>
    </row>
    <row r="24" spans="2:16" x14ac:dyDescent="0.3">
      <c r="J24" s="13" t="s">
        <v>106</v>
      </c>
      <c r="K24" s="12">
        <f>SUM(K14:K23)</f>
        <v>0.83597603812918697</v>
      </c>
      <c r="L24" s="12">
        <f t="shared" ref="L24:P24" si="14">SUM(L14:L23)</f>
        <v>0.70414182901995725</v>
      </c>
      <c r="M24" s="12">
        <f t="shared" si="14"/>
        <v>0.74830341522974542</v>
      </c>
      <c r="N24" s="12">
        <f t="shared" si="14"/>
        <v>0.87271221983760949</v>
      </c>
      <c r="O24" s="12">
        <f t="shared" si="14"/>
        <v>0.89336516304972435</v>
      </c>
      <c r="P24" s="12">
        <f t="shared" si="14"/>
        <v>0.97096595113268525</v>
      </c>
    </row>
    <row r="25" spans="2:16" x14ac:dyDescent="0.3">
      <c r="J25" s="14" t="s">
        <v>107</v>
      </c>
      <c r="K25" s="15">
        <f>1-K24</f>
        <v>0.16402396187081303</v>
      </c>
      <c r="L25" s="15">
        <f t="shared" ref="L25:P25" si="15">1-L24</f>
        <v>0.29585817098004275</v>
      </c>
      <c r="M25" s="15">
        <f t="shared" si="15"/>
        <v>0.25169658477025458</v>
      </c>
      <c r="N25" s="15">
        <f t="shared" si="15"/>
        <v>0.12728778016239051</v>
      </c>
      <c r="O25" s="15">
        <f t="shared" si="15"/>
        <v>0.10663483695027565</v>
      </c>
      <c r="P25" s="15">
        <f t="shared" si="15"/>
        <v>2.9034048867314755E-2</v>
      </c>
    </row>
  </sheetData>
  <sortState xmlns:xlrd2="http://schemas.microsoft.com/office/spreadsheetml/2017/richdata2" ref="A2:P12">
    <sortCondition ref="B1:B12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BOCAIUVA</vt:lpstr>
      <vt:lpstr>BRASÍLIA DE MINAS</vt:lpstr>
      <vt:lpstr>CORAÇÃO DE JESUS</vt:lpstr>
      <vt:lpstr>FRANCISCO SÁ</vt:lpstr>
      <vt:lpstr>JANAÚBA - MONTE AZUL</vt:lpstr>
      <vt:lpstr>JANUÁRIA</vt:lpstr>
      <vt:lpstr>MANGA</vt:lpstr>
      <vt:lpstr>MONTES CLAROS</vt:lpstr>
      <vt:lpstr>PIRAPORA</vt:lpstr>
      <vt:lpstr>SALINAS</vt:lpstr>
      <vt:lpstr>TAIOBEIRAS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2025-04-20T23:22:09Z</dcterms:created>
  <dcterms:modified xsi:type="dcterms:W3CDTF">2025-11-26T01:24:29Z</dcterms:modified>
</cp:coreProperties>
</file>