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Objetivo_01/"/>
    </mc:Choice>
  </mc:AlternateContent>
  <xr:revisionPtr revIDLastSave="109" documentId="8_{38E3C69C-E11F-498C-ACD3-E07D67FE40A4}" xr6:coauthVersionLast="47" xr6:coauthVersionMax="47" xr10:uidLastSave="{C670D50E-4042-4313-AA20-31662122BB36}"/>
  <bookViews>
    <workbookView xWindow="-108" yWindow="-108" windowWidth="23256" windowHeight="12456" firstSheet="1" activeTab="3" xr2:uid="{16DC2E1C-B1AD-496B-BDAE-7F6603A9B710}"/>
  </bookViews>
  <sheets>
    <sheet name="Ginecologia_dados" sheetId="1" r:id="rId1"/>
    <sheet name="População" sheetId="9" r:id="rId2"/>
    <sheet name="Dados_Macrorregião" sheetId="3" r:id="rId3"/>
    <sheet name="Variação % anual" sheetId="7" r:id="rId4"/>
    <sheet name="Variação exceto pandemia" sheetId="8" r:id="rId5"/>
    <sheet name="Cirurgias por 100.000 hab" sheetId="6" r:id="rId6"/>
    <sheet name="Análise_Estadual" sheetId="4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6" l="1"/>
  <c r="B16" i="3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2" i="9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3" i="6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3" i="8"/>
  <c r="C8" i="4"/>
  <c r="C7" i="4"/>
  <c r="C6" i="4"/>
  <c r="C5" i="4"/>
  <c r="C4" i="4"/>
  <c r="C3" i="4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3" i="7"/>
</calcChain>
</file>

<file path=xl/sharedStrings.xml><?xml version="1.0" encoding="utf-8"?>
<sst xmlns="http://schemas.openxmlformats.org/spreadsheetml/2006/main" count="9403" uniqueCount="943">
  <si>
    <t>TRIÂNGULO DO NORTE</t>
  </si>
  <si>
    <t>PATROCÍNIO/MONTE CARMELO</t>
  </si>
  <si>
    <t>ABADIA DOS DOURADOS</t>
  </si>
  <si>
    <t>-</t>
  </si>
  <si>
    <t>CENTRO</t>
  </si>
  <si>
    <t>SETE LAGOAS</t>
  </si>
  <si>
    <t>ABAETE</t>
  </si>
  <si>
    <t>LESTE DO SUL</t>
  </si>
  <si>
    <t>MANHUAÇU</t>
  </si>
  <si>
    <t>ABRE CAMPO</t>
  </si>
  <si>
    <t>PONTE NOVA</t>
  </si>
  <si>
    <t>ACAIACA</t>
  </si>
  <si>
    <t>VALE DO AÇO</t>
  </si>
  <si>
    <t>IPATINGA</t>
  </si>
  <si>
    <t>ACUCENA</t>
  </si>
  <si>
    <t>LESTE</t>
  </si>
  <si>
    <t>SANTA MARIA DO SUAÇUÍ</t>
  </si>
  <si>
    <t>AGUA BOA</t>
  </si>
  <si>
    <t>TRIÂNGULO DO SUL</t>
  </si>
  <si>
    <t>UBERABA</t>
  </si>
  <si>
    <t>AGUA COMPRIDA</t>
  </si>
  <si>
    <t>OESTE</t>
  </si>
  <si>
    <t>CAMPO BELO</t>
  </si>
  <si>
    <t>AGUANIL</t>
  </si>
  <si>
    <t>NORDESTE</t>
  </si>
  <si>
    <t>ÁGUAS FORMOSAS</t>
  </si>
  <si>
    <t>AGUAS FORMOSAS</t>
  </si>
  <si>
    <t>PEDRA AZUL</t>
  </si>
  <si>
    <t>AGUAS VERMELHAS</t>
  </si>
  <si>
    <t>RESPLENDOR</t>
  </si>
  <si>
    <t>AIMORES</t>
  </si>
  <si>
    <t>SUL</t>
  </si>
  <si>
    <t>SÃO LOURENÇO</t>
  </si>
  <si>
    <t>AIURUOCA</t>
  </si>
  <si>
    <t>ALAGOA</t>
  </si>
  <si>
    <t>POÇOS DE CALDAS</t>
  </si>
  <si>
    <t>ALBERTINA</t>
  </si>
  <si>
    <t>SUDESTE</t>
  </si>
  <si>
    <t>ALÉM PARAÍBA</t>
  </si>
  <si>
    <t>ALEM PARAIBA</t>
  </si>
  <si>
    <t>ALFENAS/MACHADO</t>
  </si>
  <si>
    <t>ALFENAS</t>
  </si>
  <si>
    <t>CENTRO SUL</t>
  </si>
  <si>
    <t>BARBACENA</t>
  </si>
  <si>
    <t>ALFREDO VASCONCELOS</t>
  </si>
  <si>
    <t>ALMENARA/JACINTO</t>
  </si>
  <si>
    <t>ALMENARA</t>
  </si>
  <si>
    <t>GOVERNADOR VALADARES</t>
  </si>
  <si>
    <t>ALPERCATA</t>
  </si>
  <si>
    <t>PASSOS</t>
  </si>
  <si>
    <t>ALPINOPOLIS</t>
  </si>
  <si>
    <t>ALTEROSA</t>
  </si>
  <si>
    <t>ALTO CAPARAO</t>
  </si>
  <si>
    <t>ALTO RIO DOCE</t>
  </si>
  <si>
    <t>ALVARENGA</t>
  </si>
  <si>
    <t>ALVINOPOLIS</t>
  </si>
  <si>
    <t>JEQUITINHONHA</t>
  </si>
  <si>
    <t>SERRO</t>
  </si>
  <si>
    <t>ALVORADA DE MINAS</t>
  </si>
  <si>
    <t>AMPARO DO SERRA</t>
  </si>
  <si>
    <t>ANDRADAS</t>
  </si>
  <si>
    <t>CACHOEIRA DE PAJEU</t>
  </si>
  <si>
    <t>LIMA DUARTE</t>
  </si>
  <si>
    <t>ANDRELANDIA</t>
  </si>
  <si>
    <t>TEÓFILO OTONI/MALACACHETA</t>
  </si>
  <si>
    <t>ANGELANDIA</t>
  </si>
  <si>
    <t>ANTONIO CARLOS</t>
  </si>
  <si>
    <t>CORONEL FABRICIANO/TIMÓTEO</t>
  </si>
  <si>
    <t>ANTONIO DIAS</t>
  </si>
  <si>
    <t>MURIAÉ</t>
  </si>
  <si>
    <t>ANTONIO PRADO DE MINAS</t>
  </si>
  <si>
    <t>ARACAI</t>
  </si>
  <si>
    <t>SANTOS DUMONT</t>
  </si>
  <si>
    <t>ARACITABA</t>
  </si>
  <si>
    <t>ARAÇUAÍ</t>
  </si>
  <si>
    <t>ARACUAI</t>
  </si>
  <si>
    <t>UBERLÂNDIA/ARAGUARI</t>
  </si>
  <si>
    <t>ARAGUARI</t>
  </si>
  <si>
    <t>ARANTINA</t>
  </si>
  <si>
    <t>VIÇOSA</t>
  </si>
  <si>
    <t>ARAPONGA</t>
  </si>
  <si>
    <t>ARAPORA</t>
  </si>
  <si>
    <t>NOROESTE</t>
  </si>
  <si>
    <t>SÃO GOTARDO</t>
  </si>
  <si>
    <t>ARAPUA</t>
  </si>
  <si>
    <t>DIVINÓPOLIS</t>
  </si>
  <si>
    <t>ARAUJOS</t>
  </si>
  <si>
    <t>ARAXÁ</t>
  </si>
  <si>
    <t>ARAXA</t>
  </si>
  <si>
    <t>GUAXUPÉ</t>
  </si>
  <si>
    <t>ARCEBURGO</t>
  </si>
  <si>
    <t>LAGOA DA PRATA/STO ANT. DO MONTE</t>
  </si>
  <si>
    <t>ARCOS</t>
  </si>
  <si>
    <t>AREADO</t>
  </si>
  <si>
    <t>LEOPOLDINA/CATAGUASES</t>
  </si>
  <si>
    <t>ARGIRITA</t>
  </si>
  <si>
    <t>TURMALINA/MINAS NOVAS/CAPELINHA</t>
  </si>
  <si>
    <t>ARICANDUVA</t>
  </si>
  <si>
    <t>UNAÍ</t>
  </si>
  <si>
    <t>ARINOS</t>
  </si>
  <si>
    <t>ASTOLFO DUTRA</t>
  </si>
  <si>
    <t>ATALEIA</t>
  </si>
  <si>
    <t>CURVELO</t>
  </si>
  <si>
    <t>AUGUSTO DE LIMA</t>
  </si>
  <si>
    <t>BAEPENDI</t>
  </si>
  <si>
    <t>BALDIM</t>
  </si>
  <si>
    <t>FORMIGA</t>
  </si>
  <si>
    <t>BAMBUI</t>
  </si>
  <si>
    <t>BANDEIRA</t>
  </si>
  <si>
    <t>BANDEIRA DO SUL</t>
  </si>
  <si>
    <t>ITABIRA</t>
  </si>
  <si>
    <t>BARAO DE COCAIS</t>
  </si>
  <si>
    <t>BARAO DE MONTE ALTO</t>
  </si>
  <si>
    <t>BARRA LONGA</t>
  </si>
  <si>
    <t>SÃO JOÃO DEL REI</t>
  </si>
  <si>
    <t>BARROSO</t>
  </si>
  <si>
    <t>JOÃO MONLEVADE</t>
  </si>
  <si>
    <t>BELA VISTA DE MINAS</t>
  </si>
  <si>
    <t>JUIZ DE FORA</t>
  </si>
  <si>
    <t>BELMIRO BRAGA</t>
  </si>
  <si>
    <t>BELO HORIZONTE/NOVA LIMA/CAETÉ</t>
  </si>
  <si>
    <t>BELO HORIZONTE</t>
  </si>
  <si>
    <t>BELO ORIENTE</t>
  </si>
  <si>
    <t>BELO VALE</t>
  </si>
  <si>
    <t>BERILO</t>
  </si>
  <si>
    <t>BERTOPOLIS</t>
  </si>
  <si>
    <t>NORTE</t>
  </si>
  <si>
    <t>TAIOBEIRAS</t>
  </si>
  <si>
    <t>BERIZAL</t>
  </si>
  <si>
    <t>BETIM</t>
  </si>
  <si>
    <t>BIAS FORTES</t>
  </si>
  <si>
    <t>SÃO JOÃO NEPOMUCENO/BICAS</t>
  </si>
  <si>
    <t>BICAS</t>
  </si>
  <si>
    <t>BIQUINHAS</t>
  </si>
  <si>
    <t>TRÊS PONTAS</t>
  </si>
  <si>
    <t>BOA ESPERANCA</t>
  </si>
  <si>
    <t>BOCAINA DE MINAS</t>
  </si>
  <si>
    <t>BOCAIÚVA</t>
  </si>
  <si>
    <t>BOCAIUVA</t>
  </si>
  <si>
    <t>BOM DESPACHO</t>
  </si>
  <si>
    <t>BOM JARDIM DE MINAS</t>
  </si>
  <si>
    <t>BOM JESUS DA PENHA</t>
  </si>
  <si>
    <t>BOM JESUS DO AMPARO</t>
  </si>
  <si>
    <t>CARATINGA</t>
  </si>
  <si>
    <t>BOM JESUS DO GALHO</t>
  </si>
  <si>
    <t>POUSO ALEGRE</t>
  </si>
  <si>
    <t>BOM REPOUSO</t>
  </si>
  <si>
    <t>BOM SUCESSO</t>
  </si>
  <si>
    <t>BONFIM</t>
  </si>
  <si>
    <t>BONFINOPOLIS DE MINAS</t>
  </si>
  <si>
    <t>JANUÁRIA</t>
  </si>
  <si>
    <t>BONITO DE MINAS</t>
  </si>
  <si>
    <t>BORDA DA MATA</t>
  </si>
  <si>
    <t>BOTELHOS</t>
  </si>
  <si>
    <t>FRANCISCO SÁ</t>
  </si>
  <si>
    <t>BOTUMIRIM</t>
  </si>
  <si>
    <t>JOÃO PINHEIRO</t>
  </si>
  <si>
    <t>BRASILANDIA DE MINAS</t>
  </si>
  <si>
    <t>BRASÍLIA DE MINAS/SÃO FRANCISCO</t>
  </si>
  <si>
    <t>BRASILIA DE MINAS</t>
  </si>
  <si>
    <t>UBÁ</t>
  </si>
  <si>
    <t>BRAS PIRES</t>
  </si>
  <si>
    <t>BRAUNAS</t>
  </si>
  <si>
    <t>ITAJUBÁ</t>
  </si>
  <si>
    <t>BRAZOPOLIS</t>
  </si>
  <si>
    <t>BRUMADINHO</t>
  </si>
  <si>
    <t>BUENO BRANDAO</t>
  </si>
  <si>
    <t>BUENOPOLIS</t>
  </si>
  <si>
    <t>BUGRE</t>
  </si>
  <si>
    <t>BURITIS</t>
  </si>
  <si>
    <t>PIRAPORA</t>
  </si>
  <si>
    <t>BURITIZEIRO</t>
  </si>
  <si>
    <t>CABECEIRA GRANDE</t>
  </si>
  <si>
    <t>CABO VERDE</t>
  </si>
  <si>
    <t>CACHOEIRA DA PRATA</t>
  </si>
  <si>
    <t>CACHOEIRA DE MINAS</t>
  </si>
  <si>
    <t>ITUIUTABA</t>
  </si>
  <si>
    <t>CACHOEIRA DOURADA</t>
  </si>
  <si>
    <t>CAETANOPOLIS</t>
  </si>
  <si>
    <t>CAETE</t>
  </si>
  <si>
    <t>CARANGOLA</t>
  </si>
  <si>
    <t>CAIANA</t>
  </si>
  <si>
    <t>CAJURI</t>
  </si>
  <si>
    <t>CALDAS</t>
  </si>
  <si>
    <t>CAMACHO</t>
  </si>
  <si>
    <t>CAMANDUCAIA</t>
  </si>
  <si>
    <t>CAMBUI</t>
  </si>
  <si>
    <t>TRÊS CORAÇÕES</t>
  </si>
  <si>
    <t>CAMBUQUIRA</t>
  </si>
  <si>
    <t>ITAMBACURI</t>
  </si>
  <si>
    <t>CAMPANARIO</t>
  </si>
  <si>
    <t>CAMPANHA</t>
  </si>
  <si>
    <t>CAMPESTRE</t>
  </si>
  <si>
    <t>CAMPINA VERDE</t>
  </si>
  <si>
    <t>CAMPO AZUL</t>
  </si>
  <si>
    <t>CAMPO DO MEIO</t>
  </si>
  <si>
    <t>CAMPO FLORIDO</t>
  </si>
  <si>
    <t>CAMPOS ALTOS</t>
  </si>
  <si>
    <t>CAMPOS GERAIS</t>
  </si>
  <si>
    <t>CANAA</t>
  </si>
  <si>
    <t>CANAPOLIS</t>
  </si>
  <si>
    <t>CANA VERDE</t>
  </si>
  <si>
    <t>CANDEIAS</t>
  </si>
  <si>
    <t>PEÇANHA/SÃO JOÃO EVANGELISTA</t>
  </si>
  <si>
    <t>CANTAGALO</t>
  </si>
  <si>
    <t>CAPARAO</t>
  </si>
  <si>
    <t>CAPELA NOVA</t>
  </si>
  <si>
    <t>CAPELINHA</t>
  </si>
  <si>
    <t>CÁSSIA</t>
  </si>
  <si>
    <t>CAPETINGA</t>
  </si>
  <si>
    <t>CAPIM BRANCO</t>
  </si>
  <si>
    <t>CAPINOPOLIS</t>
  </si>
  <si>
    <t>CAPITAO ANDRADE</t>
  </si>
  <si>
    <t>CAPITAO ENEAS</t>
  </si>
  <si>
    <t>PIUMHI</t>
  </si>
  <si>
    <t>CAPITOLIO</t>
  </si>
  <si>
    <t>CAPUTIRA</t>
  </si>
  <si>
    <t>PADRE PARAÍSO</t>
  </si>
  <si>
    <t>CARAI</t>
  </si>
  <si>
    <t>CONSELHEIRO LAFAIETE</t>
  </si>
  <si>
    <t>CARANAIBA</t>
  </si>
  <si>
    <t>CARANDAI</t>
  </si>
  <si>
    <t>DIAMANTINA</t>
  </si>
  <si>
    <t>CARBONITA</t>
  </si>
  <si>
    <t>CAREACU</t>
  </si>
  <si>
    <t>NANUQUE</t>
  </si>
  <si>
    <t>CARLOS CHAGAS</t>
  </si>
  <si>
    <t>GUANHÃES</t>
  </si>
  <si>
    <t>CARMESIA</t>
  </si>
  <si>
    <t>CARMO DA CACHOEIRA</t>
  </si>
  <si>
    <t>OLIVEIRA/SANTO ANTÔNIO DO AMPARO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</si>
  <si>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</si>
  <si>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</si>
  <si>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</si>
  <si>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</si>
  <si>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</si>
  <si>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</si>
  <si>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FRUTAL/ITURAMA</t>
  </si>
  <si>
    <t>CARNEIRINHO</t>
  </si>
  <si>
    <t>LAVRAS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</si>
  <si>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</si>
  <si>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</si>
  <si>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</si>
  <si>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</si>
  <si>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</si>
  <si>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</si>
  <si>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</si>
  <si>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</si>
  <si>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</si>
  <si>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</si>
  <si>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</si>
  <si>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JANAÚBA/MONTE AZUL</t>
  </si>
  <si>
    <t>CATUTI</t>
  </si>
  <si>
    <t>CAXAMBU</t>
  </si>
  <si>
    <t>CEDRO DO ABAETE</t>
  </si>
  <si>
    <t>MANTENA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</si>
  <si>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</si>
  <si>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</si>
  <si>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</si>
  <si>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</si>
  <si>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</si>
  <si>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</si>
  <si>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</si>
  <si>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</si>
  <si>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</si>
  <si>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MONTES CLAROS</t>
  </si>
  <si>
    <t>CLARO DOS POCOES</t>
  </si>
  <si>
    <t>CLAUDIO</t>
  </si>
  <si>
    <t>COIMBRA</t>
  </si>
  <si>
    <t>COLUNA</t>
  </si>
  <si>
    <t>COMENDADOR GOMES</t>
  </si>
  <si>
    <t>ITAOBIM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</si>
  <si>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</si>
  <si>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</si>
  <si>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</si>
  <si>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</si>
  <si>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</si>
  <si>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</si>
  <si>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PARÁ DE MINAS</t>
  </si>
  <si>
    <t>CONCEICAO DO PARA</t>
  </si>
  <si>
    <t>CONCEICAO DO RIO VERDE</t>
  </si>
  <si>
    <t>CONCEICAO DOS OUROS</t>
  </si>
  <si>
    <t>CONEGO MARINHO</t>
  </si>
  <si>
    <t>VESPASIANO</t>
  </si>
  <si>
    <t>CONFINS</t>
  </si>
  <si>
    <t>CONGONHAL</t>
  </si>
  <si>
    <t>CONGONHAS</t>
  </si>
  <si>
    <t>CONGONHAS DO NORTE</t>
  </si>
  <si>
    <t>CONQUISTA</t>
  </si>
  <si>
    <t>CONSELHEIRO PENA</t>
  </si>
  <si>
    <t>CONSOLACAO</t>
  </si>
  <si>
    <t>CONTAGEM</t>
  </si>
  <si>
    <t>COQUEIRAL</t>
  </si>
  <si>
    <t>CORAÇÃO DE JESUS</t>
  </si>
  <si>
    <t>CORACAO DE JESUS</t>
  </si>
  <si>
    <t>CORDISBURGO</t>
  </si>
  <si>
    <t>VARGINHA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</si>
  <si>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</si>
  <si>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</si>
  <si>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</si>
  <si>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</si>
  <si>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</si>
  <si>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</si>
  <si>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</si>
  <si>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</si>
  <si>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</si>
  <si>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</si>
  <si>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</si>
  <si>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</si>
  <si>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</si>
  <si>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</si>
  <si>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</si>
  <si>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</si>
  <si>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</si>
  <si>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</si>
  <si>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</si>
  <si>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PATOS DE MINAS</t>
  </si>
  <si>
    <t>CRUZEIRO DA FORTALEZA</t>
  </si>
  <si>
    <t>CRUZILIA</t>
  </si>
  <si>
    <t>CUPARAQUE</t>
  </si>
  <si>
    <t>CURRAL DE DENTRO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</si>
  <si>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</si>
  <si>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</si>
  <si>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</si>
  <si>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</si>
  <si>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</si>
  <si>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</si>
  <si>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</si>
  <si>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</si>
  <si>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</si>
  <si>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</si>
  <si>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</si>
  <si>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</si>
  <si>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</si>
  <si>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</si>
  <si>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</si>
  <si>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</si>
  <si>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</si>
  <si>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</si>
  <si>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</si>
  <si>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</si>
  <si>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</si>
  <si>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</si>
  <si>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</si>
  <si>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</si>
  <si>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</si>
  <si>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</si>
  <si>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</si>
  <si>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</si>
  <si>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</si>
  <si>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</si>
  <si>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</si>
  <si>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</si>
  <si>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</si>
  <si>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</si>
  <si>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</si>
  <si>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</si>
  <si>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</si>
  <si>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</si>
  <si>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</si>
  <si>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</si>
  <si>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</si>
  <si>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</si>
  <si>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</si>
  <si>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</si>
  <si>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</si>
  <si>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</si>
  <si>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</si>
  <si>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</si>
  <si>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</si>
  <si>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</si>
  <si>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</si>
  <si>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</si>
  <si>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</si>
  <si>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</si>
  <si>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</si>
  <si>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</si>
  <si>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</si>
  <si>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</si>
  <si>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</si>
  <si>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</si>
  <si>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</si>
  <si>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</si>
  <si>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</si>
  <si>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</si>
  <si>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</si>
  <si>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</si>
  <si>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</si>
  <si>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</si>
  <si>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</si>
  <si>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SALINAS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</si>
  <si>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</si>
  <si>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</si>
  <si>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</si>
  <si>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</si>
  <si>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</si>
  <si>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</si>
  <si>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</si>
  <si>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</si>
  <si>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</si>
  <si>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</si>
  <si>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</si>
  <si>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</si>
  <si>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</si>
  <si>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</si>
  <si>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</si>
  <si>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</si>
  <si>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</si>
  <si>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</si>
  <si>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</si>
  <si>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</si>
  <si>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</si>
  <si>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</si>
  <si>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</si>
  <si>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</si>
  <si>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</si>
  <si>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</si>
  <si>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</si>
  <si>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</si>
  <si>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</si>
  <si>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</si>
  <si>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</si>
  <si>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</si>
  <si>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</si>
  <si>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</si>
  <si>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</si>
  <si>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</si>
  <si>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</si>
  <si>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</si>
  <si>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</si>
  <si>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</si>
  <si>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</si>
  <si>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</si>
  <si>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</si>
  <si>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</si>
  <si>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</si>
  <si>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</si>
  <si>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</si>
  <si>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</si>
  <si>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</si>
  <si>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</si>
  <si>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</si>
  <si>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</si>
  <si>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IPIACU</t>
  </si>
  <si>
    <t>IPUIUNA</t>
  </si>
  <si>
    <t>IRAI DE MINAS</t>
  </si>
  <si>
    <t>ITABIRINHA</t>
  </si>
  <si>
    <t>OURO PRETO</t>
  </si>
  <si>
    <t>ITABIRITO</t>
  </si>
  <si>
    <t>ITACAMBIRA</t>
  </si>
  <si>
    <t>ITACARAMBI</t>
  </si>
  <si>
    <t>ITAÚNA</t>
  </si>
  <si>
    <t>ITAGUARA</t>
  </si>
  <si>
    <t>ITAIPE</t>
  </si>
  <si>
    <t>ITAJUBA</t>
  </si>
  <si>
    <t>ITAMARANDIBA</t>
  </si>
  <si>
    <t>ITAMARATI DE MINAS</t>
  </si>
  <si>
    <t>ITAMBE DO MATO DENTRO</t>
  </si>
  <si>
    <t>SÃO SEBASTIÃO DO PARAÍSO</t>
  </si>
  <si>
    <t>ITAMOGI</t>
  </si>
  <si>
    <t>ITAMONTE</t>
  </si>
  <si>
    <t>ITANHANDU</t>
  </si>
  <si>
    <t>ITANHOMI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</si>
  <si>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</si>
  <si>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</si>
  <si>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</si>
  <si>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</si>
  <si>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</si>
  <si>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</si>
  <si>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</si>
  <si>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</si>
  <si>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</si>
  <si>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</si>
  <si>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</si>
  <si>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</si>
  <si>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</si>
  <si>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</si>
  <si>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</si>
  <si>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</si>
  <si>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</si>
  <si>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</si>
  <si>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</si>
  <si>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</si>
  <si>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</si>
  <si>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</si>
  <si>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</si>
  <si>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</si>
  <si>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</si>
  <si>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</si>
  <si>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</si>
  <si>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</si>
  <si>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</si>
  <si>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</si>
  <si>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</si>
  <si>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</si>
  <si>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</si>
  <si>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</si>
  <si>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</si>
  <si>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</si>
  <si>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</si>
  <si>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</si>
  <si>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NOVA UNIAO</t>
  </si>
  <si>
    <t>JUATUBA</t>
  </si>
  <si>
    <t>JURAMENTO</t>
  </si>
  <si>
    <t>JURUAIA</t>
  </si>
  <si>
    <t>MANGA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</si>
  <si>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</si>
  <si>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</si>
  <si>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</si>
  <si>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</si>
  <si>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</si>
  <si>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</si>
  <si>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</si>
  <si>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</si>
  <si>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</si>
  <si>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</si>
  <si>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</si>
  <si>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</si>
  <si>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</si>
  <si>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</si>
  <si>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</si>
  <si>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</si>
  <si>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</si>
  <si>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</si>
  <si>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</si>
  <si>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</si>
  <si>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</si>
  <si>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</si>
  <si>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</si>
  <si>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</si>
  <si>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</si>
  <si>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</si>
  <si>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</si>
  <si>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</si>
  <si>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</si>
  <si>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MANHUACU</t>
  </si>
  <si>
    <t>MANHUMIRIM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</si>
  <si>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</si>
  <si>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</si>
  <si>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</si>
  <si>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</si>
  <si>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</si>
  <si>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</si>
  <si>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</si>
  <si>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</si>
  <si>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</si>
  <si>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</si>
  <si>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</si>
  <si>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</si>
  <si>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</si>
  <si>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</si>
  <si>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</si>
  <si>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</si>
  <si>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</si>
  <si>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</si>
  <si>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</si>
  <si>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</si>
  <si>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</si>
  <si>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</si>
  <si>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</si>
  <si>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</si>
  <si>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</si>
  <si>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</si>
  <si>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</si>
  <si>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</si>
  <si>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</si>
  <si>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</si>
  <si>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</si>
  <si>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</si>
  <si>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</si>
  <si>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</si>
  <si>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</si>
  <si>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</si>
  <si>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</si>
  <si>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</si>
  <si>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</si>
  <si>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</si>
  <si>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</si>
  <si>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</si>
  <si>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</si>
  <si>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</si>
  <si>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</si>
  <si>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</si>
  <si>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</si>
  <si>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</si>
  <si>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</si>
  <si>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</si>
  <si>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</si>
  <si>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</si>
  <si>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</si>
  <si>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</si>
  <si>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</si>
  <si>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</si>
  <si>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</si>
  <si>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</si>
  <si>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</si>
  <si>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</si>
  <si>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</si>
  <si>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</si>
  <si>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</si>
  <si>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</si>
  <si>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</si>
  <si>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</si>
  <si>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</si>
  <si>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</si>
  <si>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</si>
  <si>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</si>
  <si>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</si>
  <si>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</si>
  <si>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</si>
  <si>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</si>
  <si>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</si>
  <si>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</si>
  <si>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</si>
  <si>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BRANCO</t>
  </si>
  <si>
    <t>OURO FINO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</si>
  <si>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</si>
  <si>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</si>
  <si>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</si>
  <si>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</si>
  <si>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</si>
  <si>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</si>
  <si>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</si>
  <si>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</si>
  <si>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</si>
  <si>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</si>
  <si>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</si>
  <si>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</si>
  <si>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</si>
  <si>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</si>
  <si>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</si>
  <si>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</si>
  <si>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</si>
  <si>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</si>
  <si>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</si>
  <si>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PATIS</t>
  </si>
  <si>
    <t>PATROCINIO</t>
  </si>
  <si>
    <t>PATROCINIO DO MURIAE</t>
  </si>
  <si>
    <t>PAULA CANDIDO</t>
  </si>
  <si>
    <t>PAULISTAS</t>
  </si>
  <si>
    <t>PAVAO</t>
  </si>
  <si>
    <t>PECANHA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</si>
  <si>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</si>
  <si>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</si>
  <si>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</si>
  <si>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</si>
  <si>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</si>
  <si>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</si>
  <si>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</si>
  <si>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</si>
  <si>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</si>
  <si>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</si>
  <si>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</si>
  <si>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</si>
  <si>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</si>
  <si>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</si>
  <si>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</si>
  <si>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</si>
  <si>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</si>
  <si>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</si>
  <si>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</si>
  <si>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</si>
  <si>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</si>
  <si>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</si>
  <si>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</si>
  <si>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</si>
  <si>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</si>
  <si>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</si>
  <si>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</si>
  <si>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</si>
  <si>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</si>
  <si>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</si>
  <si>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PIRAUBA</t>
  </si>
  <si>
    <t>PITANGUI</t>
  </si>
  <si>
    <t>PLANURA</t>
  </si>
  <si>
    <t>POCO FUNDO</t>
  </si>
  <si>
    <t>POCOS DE CALDAS</t>
  </si>
  <si>
    <t>POCRANE</t>
  </si>
  <si>
    <t>POMPEU</t>
  </si>
  <si>
    <t>PONTO CHIQUE</t>
  </si>
  <si>
    <t>PONTO DOS VOLANTES</t>
  </si>
  <si>
    <t>PORTEIRINHA</t>
  </si>
  <si>
    <t>PORTO FIRME</t>
  </si>
  <si>
    <t>POTE</t>
  </si>
  <si>
    <t>POUSO ALTO</t>
  </si>
  <si>
    <t>PRADOS</t>
  </si>
  <si>
    <t>PRATA</t>
  </si>
  <si>
    <t>PRATAPOLIS</t>
  </si>
  <si>
    <t>PRATINHA</t>
  </si>
  <si>
    <t>PRESIDENTE BERNARDES</t>
  </si>
  <si>
    <t>PRESIDENTE JUSCELINO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</si>
  <si>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</si>
  <si>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</si>
  <si>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</si>
  <si>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</si>
  <si>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</si>
  <si>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</si>
  <si>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</si>
  <si>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</si>
  <si>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</si>
  <si>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</si>
  <si>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</si>
  <si>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</si>
  <si>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</si>
  <si>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</si>
  <si>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</si>
  <si>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</si>
  <si>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</si>
  <si>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</si>
  <si>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</si>
  <si>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</si>
  <si>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</si>
  <si>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</si>
  <si>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</si>
  <si>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</si>
  <si>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</si>
  <si>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</si>
  <si>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</si>
  <si>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</si>
  <si>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</si>
  <si>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</si>
  <si>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</si>
  <si>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</si>
  <si>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</si>
  <si>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</si>
  <si>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</si>
  <si>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</si>
  <si>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</si>
  <si>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</si>
  <si>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</si>
  <si>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</si>
  <si>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</si>
  <si>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</si>
  <si>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</si>
  <si>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</si>
  <si>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</si>
  <si>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</si>
  <si>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</si>
  <si>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</si>
  <si>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</si>
  <si>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</si>
  <si>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</si>
  <si>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</si>
  <si>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</si>
  <si>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</si>
  <si>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</si>
  <si>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</si>
  <si>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</si>
  <si>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</si>
  <si>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</si>
  <si>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</si>
  <si>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</si>
  <si>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</si>
  <si>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</si>
  <si>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</si>
  <si>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</si>
  <si>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</si>
  <si>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</si>
  <si>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</si>
  <si>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</si>
  <si>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</si>
  <si>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</si>
  <si>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</si>
  <si>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</si>
  <si>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</si>
  <si>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</si>
  <si>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</si>
  <si>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</si>
  <si>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</si>
  <si>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</si>
  <si>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</si>
  <si>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</si>
  <si>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</si>
  <si>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</si>
  <si>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</si>
  <si>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</si>
  <si>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</si>
  <si>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</si>
  <si>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</si>
  <si>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</si>
  <si>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</si>
  <si>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</si>
  <si>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</si>
  <si>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</si>
  <si>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</si>
  <si>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</si>
  <si>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</si>
  <si>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</si>
  <si>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</si>
  <si>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</si>
  <si>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</si>
  <si>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</si>
  <si>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</si>
  <si>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</si>
  <si>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</si>
  <si>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</si>
  <si>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</si>
  <si>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</si>
  <si>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</si>
  <si>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</si>
  <si>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</si>
  <si>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DO PARAISO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</si>
  <si>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</si>
  <si>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</si>
  <si>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</si>
  <si>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</si>
  <si>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</si>
  <si>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</si>
  <si>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</si>
  <si>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</si>
  <si>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</si>
  <si>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</si>
  <si>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</si>
  <si>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</si>
  <si>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</si>
  <si>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</si>
  <si>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</si>
  <si>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</si>
  <si>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</si>
  <si>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</si>
  <si>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</si>
  <si>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</si>
  <si>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</si>
  <si>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</si>
  <si>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</si>
  <si>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</si>
  <si>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</si>
  <si>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</si>
  <si>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</si>
  <si>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</si>
  <si>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</si>
  <si>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</si>
  <si>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</si>
  <si>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</si>
  <si>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</si>
  <si>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</si>
  <si>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</si>
  <si>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</si>
  <si>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</si>
  <si>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</si>
  <si>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</si>
  <si>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</si>
  <si>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</si>
  <si>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</si>
  <si>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</si>
  <si>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</si>
  <si>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</si>
  <si>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</si>
  <si>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</si>
  <si>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</si>
  <si>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</si>
  <si>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</si>
  <si>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</si>
  <si>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</si>
  <si>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</si>
  <si>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</si>
  <si>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</si>
  <si>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</si>
  <si>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</si>
  <si>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</si>
  <si>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</si>
  <si>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</si>
  <si>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</si>
  <si>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</si>
  <si>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</si>
  <si>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</si>
  <si>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</si>
  <si>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</si>
  <si>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</si>
  <si>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</si>
  <si>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</si>
  <si>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</si>
  <si>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</si>
  <si>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</si>
  <si>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</si>
  <si>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</si>
  <si>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</si>
  <si>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</si>
  <si>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</si>
  <si>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</si>
  <si>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</si>
  <si>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</si>
  <si>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</si>
  <si>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</si>
  <si>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</si>
  <si>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</si>
  <si>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</si>
  <si>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</si>
  <si>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</si>
  <si>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</si>
  <si>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</si>
  <si>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</si>
  <si>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</si>
  <si>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</si>
  <si>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</si>
  <si>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</si>
  <si>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</si>
  <si>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</si>
  <si>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</si>
  <si>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</si>
  <si>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</si>
  <si>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</si>
  <si>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</si>
  <si>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</si>
  <si>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VICOSA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</si>
  <si>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</si>
  <si>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</si>
  <si>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</si>
  <si>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</si>
  <si>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</si>
  <si>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</si>
  <si>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</si>
  <si>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</si>
  <si>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</si>
  <si>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CÓDIGO</t>
  </si>
  <si>
    <t>MACRORREGIÃO</t>
  </si>
  <si>
    <t>MICRORREGIÃO</t>
  </si>
  <si>
    <t>MUNICÍPIO</t>
  </si>
  <si>
    <t>Total Geral</t>
  </si>
  <si>
    <t>MACRORREGIÕES</t>
  </si>
  <si>
    <t>ANO_ANÁLISE</t>
  </si>
  <si>
    <t>TOTAL_ESTADUAL</t>
  </si>
  <si>
    <t>CIRURGIAS POR 100 MIL HABITANTES (CIRURGIAS/POPULAÇÃO*100000)</t>
  </si>
  <si>
    <t>VARIAÇÃO PERCENTUAL ANUAL (VALOR NO ANO ATUAL - VALOR NO ANO ANTERIOR)/VALOR NO ANO ANTERIOR*100</t>
  </si>
  <si>
    <t>VAR (18-19)</t>
  </si>
  <si>
    <t>VAR (19-20)</t>
  </si>
  <si>
    <t>VAR (20-21)</t>
  </si>
  <si>
    <t>VAR (21-22)</t>
  </si>
  <si>
    <t>VAR (22-23)</t>
  </si>
  <si>
    <t>VAR (23-24)</t>
  </si>
  <si>
    <t>VARIAÇÃO PERCENTUAL ANUAL</t>
  </si>
  <si>
    <t>SEM ANO BASE PARA COMPARAÇÃO</t>
  </si>
  <si>
    <t>VAR (19-22)</t>
  </si>
  <si>
    <t>VARIAÇÃO PERCENTUAL 2019-2022 (PARA DESCONSIDERAR A REDUÇÃO CAUSADA POR SUSPENSÃO DE SERVIÇOS ELETIVOS NA PANDEMIA)</t>
  </si>
  <si>
    <t>22-19</t>
  </si>
  <si>
    <t>23-19</t>
  </si>
  <si>
    <t>24-19</t>
  </si>
  <si>
    <t>População_residente</t>
  </si>
  <si>
    <t>codigo</t>
  </si>
  <si>
    <t>municipio</t>
  </si>
  <si>
    <t>macro</t>
  </si>
  <si>
    <t xml:space="preserve"> micro</t>
  </si>
  <si>
    <t>POPULAÇÃO FEMININA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</si>
</sst>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10" xfId="0" applyFont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6" fillId="0" borderId="10" xfId="0" applyFont="1" applyBorder="1"/>
    <xf numFmtId="0" fontId="16" fillId="33" borderId="10" xfId="0" applyFont="1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3" borderId="0" xfId="0" applyFill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164" fontId="0" fillId="0" borderId="10" xfId="0" applyNumberFormat="1" applyBorder="1" applyAlignment="1">
      <alignment horizontal="left"/>
    </xf>
    <xf numFmtId="0" fontId="16" fillId="33" borderId="14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 wrapText="1"/>
    </xf>
    <xf numFmtId="0" fontId="16" fillId="33" borderId="15" xfId="0" applyFont="1" applyFill="1" applyBorder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Cirurgias</a:t>
            </a:r>
            <a:r>
              <a:rPr lang="pt-BR" baseline="0"/>
              <a:t> Ginecológicas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Dados_Macrorregião!$A$2</c:f>
              <c:strCache>
                <c:ptCount val="1"/>
                <c:pt idx="0">
                  <c:v>CENTRO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Dados_Macrorregião!$C$2:$I$2</c:f>
              <c:numCache>
                <c:formatCode>General</c:formatCode>
                <c:ptCount val="7"/>
                <c:pt idx="0">
                  <c:v>8679</c:v>
                </c:pt>
                <c:pt idx="1">
                  <c:v>8276</c:v>
                </c:pt>
                <c:pt idx="2">
                  <c:v>4178</c:v>
                </c:pt>
                <c:pt idx="3">
                  <c:v>4354</c:v>
                </c:pt>
                <c:pt idx="4">
                  <c:v>10881</c:v>
                </c:pt>
                <c:pt idx="5">
                  <c:v>12553</c:v>
                </c:pt>
                <c:pt idx="6">
                  <c:v>12109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3-4D24-8604-97BE2A1EF3E7}"/>
            </c:ext>
          </c:extLst>
        </c:ser>
        <c:ser>
          <c:idx val="1"/>
          <c:order val="1"/>
          <c:tx>
            <c:strRef>
              <c:f>Dados_Macrorregião!$A$3</c:f>
              <c:strCache>
                <c:ptCount val="1"/>
                <c:pt idx="0">
                  <c:v>CENTRO SUL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Dados_Macrorregião!$C$3:$I$3</c:f>
              <c:numCache>
                <c:formatCode>General</c:formatCode>
                <c:ptCount val="7"/>
                <c:pt idx="0">
                  <c:v>746</c:v>
                </c:pt>
                <c:pt idx="1">
                  <c:v>861</c:v>
                </c:pt>
                <c:pt idx="2">
                  <c:v>438</c:v>
                </c:pt>
                <c:pt idx="3">
                  <c:v>450</c:v>
                </c:pt>
                <c:pt idx="4">
                  <c:v>1018</c:v>
                </c:pt>
                <c:pt idx="5">
                  <c:v>897</c:v>
                </c:pt>
                <c:pt idx="6">
                  <c:v>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3-4D24-8604-97BE2A1EF3E7}"/>
            </c:ext>
          </c:extLst>
        </c:ser>
        <c:ser>
          <c:idx val="2"/>
          <c:order val="2"/>
          <c:tx>
            <c:strRef>
              <c:f>Dados_Macrorregião!$A$4</c:f>
              <c:strCache>
                <c:ptCount val="1"/>
                <c:pt idx="0">
                  <c:v>JEQUITINHONHA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Dados_Macrorregião!$C$4:$I$4</c:f>
              <c:numCache>
                <c:formatCode>General</c:formatCode>
                <c:ptCount val="7"/>
                <c:pt idx="0">
                  <c:v>603</c:v>
                </c:pt>
                <c:pt idx="1">
                  <c:v>694</c:v>
                </c:pt>
                <c:pt idx="2">
                  <c:v>291</c:v>
                </c:pt>
                <c:pt idx="3">
                  <c:v>315</c:v>
                </c:pt>
                <c:pt idx="4">
                  <c:v>830</c:v>
                </c:pt>
                <c:pt idx="5">
                  <c:v>1209</c:v>
                </c:pt>
                <c:pt idx="6">
                  <c:v>1365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3-4D24-8604-97BE2A1EF3E7}"/>
            </c:ext>
          </c:extLst>
        </c:ser>
        <c:ser>
          <c:idx val="3"/>
          <c:order val="3"/>
          <c:tx>
            <c:strRef>
              <c:f>Dados_Macrorregião!$A$5</c:f>
              <c:strCache>
                <c:ptCount val="1"/>
                <c:pt idx="0">
                  <c:v>LESTE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Dados_Macrorregião!$C$5:$I$5</c:f>
              <c:numCache>
                <c:formatCode>General</c:formatCode>
                <c:ptCount val="7"/>
                <c:pt idx="0">
                  <c:v>843</c:v>
                </c:pt>
                <c:pt idx="1">
                  <c:v>684</c:v>
                </c:pt>
                <c:pt idx="2">
                  <c:v>371</c:v>
                </c:pt>
                <c:pt idx="3">
                  <c:v>364</c:v>
                </c:pt>
                <c:pt idx="4">
                  <c:v>856</c:v>
                </c:pt>
                <c:pt idx="5">
                  <c:v>1313</c:v>
                </c:pt>
                <c:pt idx="6">
                  <c:v>1638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23-4D24-8604-97BE2A1EF3E7}"/>
            </c:ext>
          </c:extLst>
        </c:ser>
        <c:ser>
          <c:idx val="4"/>
          <c:order val="4"/>
          <c:tx>
            <c:strRef>
              <c:f>Dados_Macrorregião!$A$6</c:f>
              <c:strCache>
                <c:ptCount val="1"/>
                <c:pt idx="0">
                  <c:v>LESTE DO SUL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Dados_Macrorregião!$C$6:$I$6</c:f>
              <c:numCache>
                <c:formatCode>General</c:formatCode>
                <c:ptCount val="7"/>
                <c:pt idx="0">
                  <c:v>1119</c:v>
                </c:pt>
                <c:pt idx="1">
                  <c:v>1057</c:v>
                </c:pt>
                <c:pt idx="2">
                  <c:v>640</c:v>
                </c:pt>
                <c:pt idx="3">
                  <c:v>707</c:v>
                </c:pt>
                <c:pt idx="4">
                  <c:v>996</c:v>
                </c:pt>
                <c:pt idx="5">
                  <c:v>996</c:v>
                </c:pt>
                <c:pt idx="6">
                  <c:v>1093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23-4D24-8604-97BE2A1EF3E7}"/>
            </c:ext>
          </c:extLst>
        </c:ser>
        <c:ser>
          <c:idx val="5"/>
          <c:order val="5"/>
          <c:tx>
            <c:strRef>
              <c:f>Dados_Macrorregião!$A$7</c:f>
              <c:strCache>
                <c:ptCount val="1"/>
                <c:pt idx="0">
                  <c:v>NORDESTE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Dados_Macrorregião!$C$7:$I$7</c:f>
              <c:numCache>
                <c:formatCode>General</c:formatCode>
                <c:ptCount val="7"/>
                <c:pt idx="0">
                  <c:v>1070</c:v>
                </c:pt>
                <c:pt idx="1">
                  <c:v>1104</c:v>
                </c:pt>
                <c:pt idx="2">
                  <c:v>422</c:v>
                </c:pt>
                <c:pt idx="3">
                  <c:v>587</c:v>
                </c:pt>
                <c:pt idx="4">
                  <c:v>1560</c:v>
                </c:pt>
                <c:pt idx="5">
                  <c:v>1949</c:v>
                </c:pt>
                <c:pt idx="6">
                  <c:v>2711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23-4D24-8604-97BE2A1EF3E7}"/>
            </c:ext>
          </c:extLst>
        </c:ser>
        <c:ser>
          <c:idx val="6"/>
          <c:order val="6"/>
          <c:tx>
            <c:strRef>
              <c:f>Dados_Macrorregião!$A$8</c:f>
              <c:strCache>
                <c:ptCount val="1"/>
                <c:pt idx="0">
                  <c:v>NOROESTE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Dados_Macrorregião!$C$8:$I$8</c:f>
              <c:numCache>
                <c:formatCode>General</c:formatCode>
                <c:ptCount val="7"/>
                <c:pt idx="0">
                  <c:v>1084</c:v>
                </c:pt>
                <c:pt idx="1">
                  <c:v>1087</c:v>
                </c:pt>
                <c:pt idx="2">
                  <c:v>499</c:v>
                </c:pt>
                <c:pt idx="3">
                  <c:v>443</c:v>
                </c:pt>
                <c:pt idx="4">
                  <c:v>1216</c:v>
                </c:pt>
                <c:pt idx="5">
                  <c:v>1542</c:v>
                </c:pt>
                <c:pt idx="6">
                  <c:v>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23-4D24-8604-97BE2A1EF3E7}"/>
            </c:ext>
          </c:extLst>
        </c:ser>
        <c:ser>
          <c:idx val="7"/>
          <c:order val="7"/>
          <c:tx>
            <c:strRef>
              <c:f>Dados_Macrorregião!$A$9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Dados_Macrorregião!$C$9:$I$9</c:f>
              <c:numCache>
                <c:formatCode>General</c:formatCode>
                <c:ptCount val="7"/>
                <c:pt idx="0">
                  <c:v>2614</c:v>
                </c:pt>
                <c:pt idx="1">
                  <c:v>2613</c:v>
                </c:pt>
                <c:pt idx="2">
                  <c:v>1077</c:v>
                </c:pt>
                <c:pt idx="3">
                  <c:v>1312</c:v>
                </c:pt>
                <c:pt idx="4">
                  <c:v>3277</c:v>
                </c:pt>
                <c:pt idx="5">
                  <c:v>5926</c:v>
                </c:pt>
                <c:pt idx="6">
                  <c:v>5467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23-4D24-8604-97BE2A1EF3E7}"/>
            </c:ext>
          </c:extLst>
        </c:ser>
        <c:ser>
          <c:idx val="8"/>
          <c:order val="8"/>
          <c:tx>
            <c:strRef>
              <c:f>Dados_Macrorregião!$A$10</c:f>
              <c:strCache>
                <c:ptCount val="1"/>
                <c:pt idx="0">
                  <c:v>OESTE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Dados_Macrorregião!$C$10:$I$10</c:f>
              <c:numCache>
                <c:formatCode>General</c:formatCode>
                <c:ptCount val="7"/>
                <c:pt idx="0">
                  <c:v>1279</c:v>
                </c:pt>
                <c:pt idx="1">
                  <c:v>1192</c:v>
                </c:pt>
                <c:pt idx="2">
                  <c:v>708</c:v>
                </c:pt>
                <c:pt idx="3">
                  <c:v>736</c:v>
                </c:pt>
                <c:pt idx="4">
                  <c:v>1768</c:v>
                </c:pt>
                <c:pt idx="5">
                  <c:v>2103</c:v>
                </c:pt>
                <c:pt idx="6">
                  <c:v>2429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23-4D24-8604-97BE2A1EF3E7}"/>
            </c:ext>
          </c:extLst>
        </c:ser>
        <c:ser>
          <c:idx val="9"/>
          <c:order val="9"/>
          <c:tx>
            <c:strRef>
              <c:f>Dados_Macrorregião!$A$11</c:f>
              <c:strCache>
                <c:ptCount val="1"/>
                <c:pt idx="0">
                  <c:v>SUDESTE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Dados_Macrorregião!$C$11:$I$11</c:f>
              <c:numCache>
                <c:formatCode>General</c:formatCode>
                <c:ptCount val="7"/>
                <c:pt idx="0">
                  <c:v>1873</c:v>
                </c:pt>
                <c:pt idx="1">
                  <c:v>1634</c:v>
                </c:pt>
                <c:pt idx="2">
                  <c:v>776</c:v>
                </c:pt>
                <c:pt idx="3">
                  <c:v>996</c:v>
                </c:pt>
                <c:pt idx="4">
                  <c:v>1639</c:v>
                </c:pt>
                <c:pt idx="5">
                  <c:v>2032</c:v>
                </c:pt>
                <c:pt idx="6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23-4D24-8604-97BE2A1EF3E7}"/>
            </c:ext>
          </c:extLst>
        </c:ser>
        <c:ser>
          <c:idx val="10"/>
          <c:order val="10"/>
          <c:tx>
            <c:strRef>
              <c:f>Dados_Macrorregião!$A$12</c:f>
              <c:strCache>
                <c:ptCount val="1"/>
                <c:pt idx="0">
                  <c:v>SUL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Dados_Macrorregião!$C$12:$I$12</c:f>
              <c:numCache>
                <c:formatCode>General</c:formatCode>
                <c:ptCount val="7"/>
                <c:pt idx="0">
                  <c:v>2760</c:v>
                </c:pt>
                <c:pt idx="1">
                  <c:v>2663</c:v>
                </c:pt>
                <c:pt idx="2">
                  <c:v>1610</c:v>
                </c:pt>
                <c:pt idx="3">
                  <c:v>1512</c:v>
                </c:pt>
                <c:pt idx="4">
                  <c:v>2814</c:v>
                </c:pt>
                <c:pt idx="5">
                  <c:v>4026</c:v>
                </c:pt>
                <c:pt idx="6">
                  <c:v>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23-4D24-8604-97BE2A1EF3E7}"/>
            </c:ext>
          </c:extLst>
        </c:ser>
        <c:ser>
          <c:idx val="11"/>
          <c:order val="11"/>
          <c:tx>
            <c:strRef>
              <c:f>Dados_Macrorregião!$A$13</c:f>
              <c:strCache>
                <c:ptCount val="1"/>
                <c:pt idx="0">
                  <c:v>TRIÂNGULO DO NORTE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Dados_Macrorregião!$C$13:$I$13</c:f>
              <c:numCache>
                <c:formatCode>General</c:formatCode>
                <c:ptCount val="7"/>
                <c:pt idx="0">
                  <c:v>2070</c:v>
                </c:pt>
                <c:pt idx="1">
                  <c:v>2206</c:v>
                </c:pt>
                <c:pt idx="2">
                  <c:v>1088</c:v>
                </c:pt>
                <c:pt idx="3">
                  <c:v>1196</c:v>
                </c:pt>
                <c:pt idx="4">
                  <c:v>1694</c:v>
                </c:pt>
                <c:pt idx="5">
                  <c:v>2212</c:v>
                </c:pt>
                <c:pt idx="6">
                  <c:v>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23-4D24-8604-97BE2A1EF3E7}"/>
            </c:ext>
          </c:extLst>
        </c:ser>
        <c:ser>
          <c:idx val="12"/>
          <c:order val="12"/>
          <c:tx>
            <c:strRef>
              <c:f>Dados_Macrorregião!$A$14</c:f>
              <c:strCache>
                <c:ptCount val="1"/>
                <c:pt idx="0">
                  <c:v>TRIÂNGULO DO SUL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Dados_Macrorregião!$C$14:$I$14</c:f>
              <c:numCache>
                <c:formatCode>General</c:formatCode>
                <c:ptCount val="7"/>
                <c:pt idx="0">
                  <c:v>781</c:v>
                </c:pt>
                <c:pt idx="1">
                  <c:v>766</c:v>
                </c:pt>
                <c:pt idx="2">
                  <c:v>393</c:v>
                </c:pt>
                <c:pt idx="3">
                  <c:v>313</c:v>
                </c:pt>
                <c:pt idx="4">
                  <c:v>558</c:v>
                </c:pt>
                <c:pt idx="5">
                  <c:v>848</c:v>
                </c:pt>
                <c:pt idx="6">
                  <c:v>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23-4D24-8604-97BE2A1EF3E7}"/>
            </c:ext>
          </c:extLst>
        </c:ser>
        <c:ser>
          <c:idx val="13"/>
          <c:order val="13"/>
          <c:tx>
            <c:strRef>
              <c:f>Dados_Macrorregião!$A$15</c:f>
              <c:strCache>
                <c:ptCount val="1"/>
                <c:pt idx="0">
                  <c:v>VALE DO AÇO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Dados_Macrorregião!$C$15:$I$15</c:f>
              <c:numCache>
                <c:formatCode>General</c:formatCode>
                <c:ptCount val="7"/>
                <c:pt idx="0">
                  <c:v>656</c:v>
                </c:pt>
                <c:pt idx="1">
                  <c:v>493</c:v>
                </c:pt>
                <c:pt idx="2">
                  <c:v>298</c:v>
                </c:pt>
                <c:pt idx="3">
                  <c:v>364</c:v>
                </c:pt>
                <c:pt idx="4">
                  <c:v>773</c:v>
                </c:pt>
                <c:pt idx="5">
                  <c:v>1193</c:v>
                </c:pt>
                <c:pt idx="6">
                  <c:v>1378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523-4D24-8604-97BE2A1EF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140880"/>
        <c:axId val="2127131280"/>
      </c:areaChart>
      <c:catAx>
        <c:axId val="212714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7131280"/>
        <c:crosses val="autoZero"/>
        <c:auto val="1"/>
        <c:lblAlgn val="ctr"/>
        <c:lblOffset val="100"/>
        <c:noMultiLvlLbl val="0"/>
      </c:catAx>
      <c:valAx>
        <c:axId val="212713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714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Análise_Estadual!$B$1</c:f>
              <c:strCache>
                <c:ptCount val="1"/>
                <c:pt idx="0">
                  <c:v>TOTAL_ESTADUAL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Análise_Estadual!$A$2:$A$8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Análise_Estadual!$B$2:$B$8</c:f>
              <c:numCache>
                <c:formatCode>General</c:formatCode>
                <c:ptCount val="7"/>
                <c:pt idx="0">
                  <c:v>26177</c:v>
                </c:pt>
                <c:pt idx="1">
                  <c:v>25330</c:v>
                </c:pt>
                <c:pt idx="2">
                  <c:v>12789</c:v>
                </c:pt>
                <c:pt idx="3">
                  <c:v>13649</c:v>
                </c:pt>
                <c:pt idx="4">
                  <c:v>29880</c:v>
                </c:pt>
                <c:pt idx="5">
                  <c:v>38799</c:v>
                </c:pt>
                <c:pt idx="6">
                  <c:v>41440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B-4780-9208-D0CEA96EF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310336"/>
        <c:axId val="224318496"/>
      </c:lineChart>
      <c:catAx>
        <c:axId val="2243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4318496"/>
        <c:crosses val="autoZero"/>
        <c:auto val="1"/>
        <c:lblAlgn val="ctr"/>
        <c:lblOffset val="100"/>
        <c:noMultiLvlLbl val="0"/>
      </c:catAx>
      <c:valAx>
        <c:axId val="2243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431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0</xdr:row>
      <xdr:rowOff>0</xdr:rowOff>
    </xdr:from>
    <xdr:to>
      <xdr:col>19</xdr:col>
      <xdr:colOff>15240</xdr:colOff>
      <xdr:row>18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2AE132-69CD-D6A3-3504-FD4A97557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9</xdr:row>
      <xdr:rowOff>140970</xdr:rowOff>
    </xdr:from>
    <xdr:to>
      <xdr:col>3</xdr:col>
      <xdr:colOff>312420</xdr:colOff>
      <xdr:row>22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D8F5F2-805C-50E1-C7B1-895DDC562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F19E-43F8-45C3-AF30-53BD7BE4AE86}">
  <dimension ref="A1:M854"/>
  <sheetViews>
    <sheetView zoomScale="92" zoomScaleNormal="130" workbookViewId="0">
      <selection activeCell="D11" sqref="D11"/>
    </sheetView>
  </sheetViews>
  <sheetFormatPr defaultRowHeight="14.4" x14ac:dyDescent="0.3"/>
  <cols>
    <col min="1" max="1" width="21" style="4" customWidth="1"/>
    <col min="2" max="2" width="8.88671875" style="4" customWidth="1"/>
    <col min="3" max="3" width="21" style="4" customWidth="1"/>
    <col min="4" max="4" width="20.5546875" style="4" customWidth="1"/>
    <col min="5" max="5" width="21" style="4" customWidth="1"/>
    <col min="6" max="6" width="17.77734375" style="4" customWidth="1"/>
    <col min="7" max="13" width="9.88671875" style="4" customWidth="1"/>
  </cols>
  <sheetData>
    <row r="1" spans="1:13" x14ac:dyDescent="0.3">
      <c r="A1" s="1" t="s">
        <v>916</v>
      </c>
      <c r="B1" s="1" t="s">
        <v>914</v>
      </c>
      <c r="C1" s="1" t="s">
        <v>916</v>
      </c>
      <c r="D1" s="1" t="s">
        <v>915</v>
      </c>
      <c r="E1" s="1" t="s">
        <v>916</v>
      </c>
      <c r="F1" s="1" t="s">
        <v>917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</row>
    <row r="2" spans="1:13" x14ac:dyDescent="0.3">
      <c r="A2" s="3" t="s">
        <v>1</v>
      </c>
      <c r="B2" s="3">
        <v>310010</v>
      </c>
      <c r="C2" s="3" t="s">
        <v>1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</row>
    <row r="3" spans="1:13" x14ac:dyDescent="0.3">
      <c r="A3" s="3" t="s">
        <v>5</v>
      </c>
      <c r="B3" s="3">
        <v>310020</v>
      </c>
      <c r="C3" s="3" t="s">
        <v>5</v>
      </c>
      <c r="D3" s="3" t="s">
        <v>4</v>
      </c>
      <c r="E3" s="3" t="s">
        <v>5</v>
      </c>
      <c r="F3" s="3" t="s">
        <v>6</v>
      </c>
      <c r="G3" s="3">
        <v>17</v>
      </c>
      <c r="H3" s="3">
        <v>14</v>
      </c>
      <c r="I3" s="3">
        <v>21</v>
      </c>
      <c r="J3" s="3">
        <v>33</v>
      </c>
      <c r="K3" s="3">
        <v>22</v>
      </c>
      <c r="L3" s="3">
        <v>31</v>
      </c>
      <c r="M3" s="3">
        <v>30</v>
      </c>
    </row>
    <row r="4" spans="1:13" x14ac:dyDescent="0.3">
      <c r="A4" s="3" t="s">
        <v>8</v>
      </c>
      <c r="B4" s="3">
        <v>310030</v>
      </c>
      <c r="C4" s="3" t="s">
        <v>8</v>
      </c>
      <c r="D4" s="3" t="s">
        <v>7</v>
      </c>
      <c r="E4" s="3" t="s">
        <v>8</v>
      </c>
      <c r="F4" s="3" t="s">
        <v>9</v>
      </c>
      <c r="G4" s="3">
        <v>36</v>
      </c>
      <c r="H4" s="3">
        <v>111</v>
      </c>
      <c r="I4" s="3">
        <v>39</v>
      </c>
      <c r="J4" s="3">
        <v>27</v>
      </c>
      <c r="K4" s="3">
        <v>67</v>
      </c>
      <c r="L4" s="3">
        <v>77</v>
      </c>
      <c r="M4" s="3">
        <v>96</v>
      </c>
    </row>
    <row r="5" spans="1:13" x14ac:dyDescent="0.3">
      <c r="A5" s="3" t="s">
        <v>10</v>
      </c>
      <c r="B5" s="3">
        <v>310040</v>
      </c>
      <c r="C5" s="3" t="s">
        <v>10</v>
      </c>
      <c r="D5" s="3" t="s">
        <v>7</v>
      </c>
      <c r="E5" s="3" t="s">
        <v>10</v>
      </c>
      <c r="F5" s="3" t="s">
        <v>11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</row>
    <row r="6" spans="1:13" x14ac:dyDescent="0.3">
      <c r="A6" s="3" t="s">
        <v>13</v>
      </c>
      <c r="B6" s="3">
        <v>310050</v>
      </c>
      <c r="C6" s="3" t="s">
        <v>13</v>
      </c>
      <c r="D6" s="3" t="s">
        <v>12</v>
      </c>
      <c r="E6" s="3" t="s">
        <v>13</v>
      </c>
      <c r="F6" s="3" t="s">
        <v>14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3</v>
      </c>
    </row>
    <row r="7" spans="1:13" x14ac:dyDescent="0.3">
      <c r="A7" s="3" t="s">
        <v>16</v>
      </c>
      <c r="B7" s="3">
        <v>310060</v>
      </c>
      <c r="C7" s="3" t="s">
        <v>16</v>
      </c>
      <c r="D7" s="3" t="s">
        <v>15</v>
      </c>
      <c r="E7" s="3" t="s">
        <v>16</v>
      </c>
      <c r="F7" s="3" t="s">
        <v>17</v>
      </c>
      <c r="G7" s="3" t="s">
        <v>3</v>
      </c>
      <c r="H7" s="3" t="s">
        <v>3</v>
      </c>
      <c r="I7" s="3" t="s">
        <v>3</v>
      </c>
      <c r="J7" s="3" t="s">
        <v>3</v>
      </c>
      <c r="K7" s="3" t="s">
        <v>3</v>
      </c>
      <c r="L7" s="3" t="s">
        <v>3</v>
      </c>
      <c r="M7" s="3" t="s">
        <v>3</v>
      </c>
    </row>
    <row r="8" spans="1:13" x14ac:dyDescent="0.3">
      <c r="A8" s="3" t="s">
        <v>19</v>
      </c>
      <c r="B8" s="3">
        <v>310070</v>
      </c>
      <c r="C8" s="3" t="s">
        <v>19</v>
      </c>
      <c r="D8" s="3" t="s">
        <v>18</v>
      </c>
      <c r="E8" s="3" t="s">
        <v>19</v>
      </c>
      <c r="F8" s="3" t="s">
        <v>20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3">
      <c r="A9" s="3" t="s">
        <v>22</v>
      </c>
      <c r="B9" s="3">
        <v>310080</v>
      </c>
      <c r="C9" s="3" t="s">
        <v>22</v>
      </c>
      <c r="D9" s="3" t="s">
        <v>21</v>
      </c>
      <c r="E9" s="3" t="s">
        <v>22</v>
      </c>
      <c r="F9" s="3" t="s">
        <v>23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3">
      <c r="A10" s="3" t="s">
        <v>25</v>
      </c>
      <c r="B10" s="3">
        <v>310090</v>
      </c>
      <c r="C10" s="3" t="s">
        <v>25</v>
      </c>
      <c r="D10" s="3" t="s">
        <v>24</v>
      </c>
      <c r="E10" s="3" t="s">
        <v>25</v>
      </c>
      <c r="F10" s="3" t="s">
        <v>26</v>
      </c>
      <c r="G10" s="3">
        <v>1</v>
      </c>
      <c r="H10" s="3">
        <v>4</v>
      </c>
      <c r="I10" s="3" t="s">
        <v>3</v>
      </c>
      <c r="J10" s="3">
        <v>23</v>
      </c>
      <c r="K10" s="3">
        <v>54</v>
      </c>
      <c r="L10" s="3">
        <v>30</v>
      </c>
      <c r="M10" s="3">
        <v>66</v>
      </c>
    </row>
    <row r="11" spans="1:13" x14ac:dyDescent="0.3">
      <c r="A11" s="3" t="s">
        <v>27</v>
      </c>
      <c r="B11" s="3">
        <v>310100</v>
      </c>
      <c r="C11" s="3" t="s">
        <v>27</v>
      </c>
      <c r="D11" s="3" t="s">
        <v>24</v>
      </c>
      <c r="E11" s="3" t="s">
        <v>27</v>
      </c>
      <c r="F11" s="3" t="s">
        <v>28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3</v>
      </c>
      <c r="L11" s="3" t="s">
        <v>3</v>
      </c>
      <c r="M11" s="3" t="s">
        <v>3</v>
      </c>
    </row>
    <row r="12" spans="1:13" x14ac:dyDescent="0.3">
      <c r="A12" s="3" t="s">
        <v>29</v>
      </c>
      <c r="B12" s="3">
        <v>310110</v>
      </c>
      <c r="C12" s="3" t="s">
        <v>29</v>
      </c>
      <c r="D12" s="3" t="s">
        <v>15</v>
      </c>
      <c r="E12" s="3" t="s">
        <v>29</v>
      </c>
      <c r="F12" s="3" t="s">
        <v>30</v>
      </c>
      <c r="G12" s="3">
        <v>2</v>
      </c>
      <c r="H12" s="3" t="s">
        <v>3</v>
      </c>
      <c r="I12" s="3">
        <v>1</v>
      </c>
      <c r="J12" s="3">
        <v>1</v>
      </c>
      <c r="K12" s="3">
        <v>32</v>
      </c>
      <c r="L12" s="3">
        <v>40</v>
      </c>
      <c r="M12" s="3">
        <v>30</v>
      </c>
    </row>
    <row r="13" spans="1:13" x14ac:dyDescent="0.3">
      <c r="A13" s="3" t="s">
        <v>32</v>
      </c>
      <c r="B13" s="3">
        <v>310120</v>
      </c>
      <c r="C13" s="3" t="s">
        <v>32</v>
      </c>
      <c r="D13" s="3" t="s">
        <v>31</v>
      </c>
      <c r="E13" s="3" t="s">
        <v>32</v>
      </c>
      <c r="F13" s="3" t="s">
        <v>33</v>
      </c>
      <c r="G13" s="3">
        <v>33</v>
      </c>
      <c r="H13" s="3">
        <v>17</v>
      </c>
      <c r="I13" s="3">
        <v>25</v>
      </c>
      <c r="J13" s="3">
        <v>27</v>
      </c>
      <c r="K13" s="3">
        <v>27</v>
      </c>
      <c r="L13" s="3">
        <v>46</v>
      </c>
      <c r="M13" s="3">
        <v>52</v>
      </c>
    </row>
    <row r="14" spans="1:13" x14ac:dyDescent="0.3">
      <c r="A14" s="3" t="s">
        <v>32</v>
      </c>
      <c r="B14" s="3">
        <v>310130</v>
      </c>
      <c r="C14" s="3" t="s">
        <v>32</v>
      </c>
      <c r="D14" s="3" t="s">
        <v>31</v>
      </c>
      <c r="E14" s="3" t="s">
        <v>32</v>
      </c>
      <c r="F14" s="3" t="s">
        <v>34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3">
      <c r="A15" s="3" t="s">
        <v>35</v>
      </c>
      <c r="B15" s="3">
        <v>310140</v>
      </c>
      <c r="C15" s="3" t="s">
        <v>35</v>
      </c>
      <c r="D15" s="3" t="s">
        <v>31</v>
      </c>
      <c r="E15" s="3" t="s">
        <v>35</v>
      </c>
      <c r="F15" s="3" t="s">
        <v>36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</row>
    <row r="16" spans="1:13" x14ac:dyDescent="0.3">
      <c r="A16" s="3" t="s">
        <v>38</v>
      </c>
      <c r="B16" s="3">
        <v>310150</v>
      </c>
      <c r="C16" s="3" t="s">
        <v>38</v>
      </c>
      <c r="D16" s="3" t="s">
        <v>37</v>
      </c>
      <c r="E16" s="3" t="s">
        <v>38</v>
      </c>
      <c r="F16" s="3" t="s">
        <v>39</v>
      </c>
      <c r="G16" s="3">
        <v>9</v>
      </c>
      <c r="H16" s="3">
        <v>4</v>
      </c>
      <c r="I16" s="3">
        <v>5</v>
      </c>
      <c r="J16" s="3">
        <v>2</v>
      </c>
      <c r="K16" s="3">
        <v>8</v>
      </c>
      <c r="L16" s="3">
        <v>5</v>
      </c>
      <c r="M16" s="3">
        <v>8</v>
      </c>
    </row>
    <row r="17" spans="1:13" x14ac:dyDescent="0.3">
      <c r="A17" s="3" t="s">
        <v>40</v>
      </c>
      <c r="B17" s="3">
        <v>310160</v>
      </c>
      <c r="C17" s="3" t="s">
        <v>40</v>
      </c>
      <c r="D17" s="3" t="s">
        <v>31</v>
      </c>
      <c r="E17" s="3" t="s">
        <v>40</v>
      </c>
      <c r="F17" s="3" t="s">
        <v>41</v>
      </c>
      <c r="G17" s="3">
        <v>453</v>
      </c>
      <c r="H17" s="3">
        <v>436</v>
      </c>
      <c r="I17" s="3">
        <v>234</v>
      </c>
      <c r="J17" s="3">
        <v>156</v>
      </c>
      <c r="K17" s="3">
        <v>351</v>
      </c>
      <c r="L17" s="3">
        <v>452</v>
      </c>
      <c r="M17" s="3">
        <v>405</v>
      </c>
    </row>
    <row r="18" spans="1:13" x14ac:dyDescent="0.3">
      <c r="A18" s="3" t="s">
        <v>43</v>
      </c>
      <c r="B18" s="3">
        <v>310163</v>
      </c>
      <c r="C18" s="3" t="s">
        <v>43</v>
      </c>
      <c r="D18" s="3" t="s">
        <v>42</v>
      </c>
      <c r="E18" s="3" t="s">
        <v>43</v>
      </c>
      <c r="F18" s="3" t="s">
        <v>44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1:13" x14ac:dyDescent="0.3">
      <c r="A19" s="3" t="s">
        <v>45</v>
      </c>
      <c r="B19" s="3">
        <v>310170</v>
      </c>
      <c r="C19" s="3" t="s">
        <v>45</v>
      </c>
      <c r="D19" s="3" t="s">
        <v>24</v>
      </c>
      <c r="E19" s="3" t="s">
        <v>45</v>
      </c>
      <c r="F19" s="3" t="s">
        <v>46</v>
      </c>
      <c r="G19" s="3">
        <v>63</v>
      </c>
      <c r="H19" s="3">
        <v>101</v>
      </c>
      <c r="I19" s="3">
        <v>26</v>
      </c>
      <c r="J19" s="3">
        <v>28</v>
      </c>
      <c r="K19" s="3">
        <v>87</v>
      </c>
      <c r="L19" s="3">
        <v>100</v>
      </c>
      <c r="M19" s="3">
        <v>88</v>
      </c>
    </row>
    <row r="20" spans="1:13" x14ac:dyDescent="0.3">
      <c r="A20" s="3" t="s">
        <v>47</v>
      </c>
      <c r="B20" s="3">
        <v>310180</v>
      </c>
      <c r="C20" s="3" t="s">
        <v>47</v>
      </c>
      <c r="D20" s="3" t="s">
        <v>15</v>
      </c>
      <c r="E20" s="3" t="s">
        <v>47</v>
      </c>
      <c r="F20" s="3" t="s">
        <v>48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1:13" x14ac:dyDescent="0.3">
      <c r="A21" s="3" t="s">
        <v>49</v>
      </c>
      <c r="B21" s="3">
        <v>310190</v>
      </c>
      <c r="C21" s="3" t="s">
        <v>49</v>
      </c>
      <c r="D21" s="3" t="s">
        <v>31</v>
      </c>
      <c r="E21" s="3" t="s">
        <v>49</v>
      </c>
      <c r="F21" s="3" t="s">
        <v>50</v>
      </c>
      <c r="G21" s="3" t="s">
        <v>3</v>
      </c>
      <c r="H21" s="3" t="s">
        <v>3</v>
      </c>
      <c r="I21" s="3" t="s">
        <v>3</v>
      </c>
      <c r="J21" s="3">
        <v>1</v>
      </c>
      <c r="K21" s="3">
        <v>23</v>
      </c>
      <c r="L21" s="3">
        <v>47</v>
      </c>
      <c r="M21" s="3">
        <v>45</v>
      </c>
    </row>
    <row r="22" spans="1:13" x14ac:dyDescent="0.3">
      <c r="A22" s="3" t="s">
        <v>40</v>
      </c>
      <c r="B22" s="3">
        <v>310200</v>
      </c>
      <c r="C22" s="3" t="s">
        <v>40</v>
      </c>
      <c r="D22" s="3" t="s">
        <v>31</v>
      </c>
      <c r="E22" s="3" t="s">
        <v>40</v>
      </c>
      <c r="F22" s="3" t="s">
        <v>51</v>
      </c>
      <c r="G22" s="3">
        <v>20</v>
      </c>
      <c r="H22" s="3">
        <v>25</v>
      </c>
      <c r="I22" s="3">
        <v>10</v>
      </c>
      <c r="J22" s="3">
        <v>6</v>
      </c>
      <c r="K22" s="3">
        <v>20</v>
      </c>
      <c r="L22" s="3">
        <v>36</v>
      </c>
      <c r="M22" s="3">
        <v>55</v>
      </c>
    </row>
    <row r="23" spans="1:13" x14ac:dyDescent="0.3">
      <c r="A23" s="3" t="s">
        <v>8</v>
      </c>
      <c r="B23" s="3">
        <v>310205</v>
      </c>
      <c r="C23" s="3" t="s">
        <v>8</v>
      </c>
      <c r="D23" s="3" t="s">
        <v>7</v>
      </c>
      <c r="E23" s="3" t="s">
        <v>8</v>
      </c>
      <c r="F23" s="3" t="s">
        <v>52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1:13" x14ac:dyDescent="0.3">
      <c r="A24" s="3" t="s">
        <v>43</v>
      </c>
      <c r="B24" s="3">
        <v>310210</v>
      </c>
      <c r="C24" s="3" t="s">
        <v>43</v>
      </c>
      <c r="D24" s="3" t="s">
        <v>42</v>
      </c>
      <c r="E24" s="3" t="s">
        <v>43</v>
      </c>
      <c r="F24" s="3" t="s">
        <v>53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1:13" x14ac:dyDescent="0.3">
      <c r="A25" s="3" t="s">
        <v>29</v>
      </c>
      <c r="B25" s="3">
        <v>310220</v>
      </c>
      <c r="C25" s="3" t="s">
        <v>29</v>
      </c>
      <c r="D25" s="3" t="s">
        <v>15</v>
      </c>
      <c r="E25" s="3" t="s">
        <v>29</v>
      </c>
      <c r="F25" s="3" t="s">
        <v>54</v>
      </c>
      <c r="G25" s="3" t="s">
        <v>3</v>
      </c>
      <c r="H25" s="3" t="s">
        <v>3</v>
      </c>
      <c r="I25" s="3" t="s">
        <v>3</v>
      </c>
      <c r="J25" s="3" t="s">
        <v>3</v>
      </c>
      <c r="K25" s="3" t="s">
        <v>3</v>
      </c>
      <c r="L25" s="3" t="s">
        <v>3</v>
      </c>
      <c r="M25" s="3" t="s">
        <v>3</v>
      </c>
    </row>
    <row r="26" spans="1:13" x14ac:dyDescent="0.3">
      <c r="A26" s="3" t="s">
        <v>10</v>
      </c>
      <c r="B26" s="3">
        <v>310230</v>
      </c>
      <c r="C26" s="3" t="s">
        <v>10</v>
      </c>
      <c r="D26" s="3" t="s">
        <v>7</v>
      </c>
      <c r="E26" s="3" t="s">
        <v>10</v>
      </c>
      <c r="F26" s="3" t="s">
        <v>55</v>
      </c>
      <c r="G26" s="3">
        <v>18</v>
      </c>
      <c r="H26" s="3">
        <v>21</v>
      </c>
      <c r="I26" s="3">
        <v>6</v>
      </c>
      <c r="J26" s="3">
        <v>16</v>
      </c>
      <c r="K26" s="3">
        <v>36</v>
      </c>
      <c r="L26" s="3">
        <v>6</v>
      </c>
      <c r="M26" s="3" t="s">
        <v>3</v>
      </c>
    </row>
    <row r="27" spans="1:13" x14ac:dyDescent="0.3">
      <c r="A27" s="3" t="s">
        <v>57</v>
      </c>
      <c r="B27" s="3">
        <v>310240</v>
      </c>
      <c r="C27" s="3" t="s">
        <v>57</v>
      </c>
      <c r="D27" s="3" t="s">
        <v>56</v>
      </c>
      <c r="E27" s="3" t="s">
        <v>57</v>
      </c>
      <c r="F27" s="3" t="s">
        <v>58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1:13" x14ac:dyDescent="0.3">
      <c r="A28" s="3" t="s">
        <v>10</v>
      </c>
      <c r="B28" s="3">
        <v>310250</v>
      </c>
      <c r="C28" s="3" t="s">
        <v>10</v>
      </c>
      <c r="D28" s="3" t="s">
        <v>7</v>
      </c>
      <c r="E28" s="3" t="s">
        <v>10</v>
      </c>
      <c r="F28" s="3" t="s">
        <v>59</v>
      </c>
      <c r="G28" s="3" t="s">
        <v>3</v>
      </c>
      <c r="H28" s="3" t="s">
        <v>3</v>
      </c>
      <c r="I28" s="3" t="s">
        <v>3</v>
      </c>
      <c r="J28" s="3" t="s">
        <v>3</v>
      </c>
      <c r="K28" s="3" t="s">
        <v>3</v>
      </c>
      <c r="L28" s="3" t="s">
        <v>3</v>
      </c>
      <c r="M28" s="3" t="s">
        <v>3</v>
      </c>
    </row>
    <row r="29" spans="1:13" x14ac:dyDescent="0.3">
      <c r="A29" s="3" t="s">
        <v>35</v>
      </c>
      <c r="B29" s="3">
        <v>310260</v>
      </c>
      <c r="C29" s="3" t="s">
        <v>35</v>
      </c>
      <c r="D29" s="3" t="s">
        <v>31</v>
      </c>
      <c r="E29" s="3" t="s">
        <v>35</v>
      </c>
      <c r="F29" s="3" t="s">
        <v>60</v>
      </c>
      <c r="G29" s="3">
        <v>39</v>
      </c>
      <c r="H29" s="3">
        <v>31</v>
      </c>
      <c r="I29" s="3">
        <v>9</v>
      </c>
      <c r="J29" s="3">
        <v>15</v>
      </c>
      <c r="K29" s="3">
        <v>55</v>
      </c>
      <c r="L29" s="3">
        <v>41</v>
      </c>
      <c r="M29" s="3">
        <v>30</v>
      </c>
    </row>
    <row r="30" spans="1:13" x14ac:dyDescent="0.3">
      <c r="A30" s="3" t="s">
        <v>27</v>
      </c>
      <c r="B30" s="3">
        <v>310270</v>
      </c>
      <c r="C30" s="3" t="s">
        <v>27</v>
      </c>
      <c r="D30" s="3" t="s">
        <v>24</v>
      </c>
      <c r="E30" s="3" t="s">
        <v>27</v>
      </c>
      <c r="F30" s="3" t="s">
        <v>61</v>
      </c>
      <c r="G30" s="3" t="s">
        <v>3</v>
      </c>
      <c r="H30" s="3" t="s">
        <v>3</v>
      </c>
      <c r="I30" s="3" t="s">
        <v>3</v>
      </c>
      <c r="J30" s="3" t="s">
        <v>3</v>
      </c>
      <c r="K30" s="3" t="s">
        <v>3</v>
      </c>
      <c r="L30" s="3" t="s">
        <v>3</v>
      </c>
      <c r="M30" s="3" t="s">
        <v>3</v>
      </c>
    </row>
    <row r="31" spans="1:13" x14ac:dyDescent="0.3">
      <c r="A31" s="3" t="s">
        <v>62</v>
      </c>
      <c r="B31" s="3">
        <v>310280</v>
      </c>
      <c r="C31" s="3" t="s">
        <v>62</v>
      </c>
      <c r="D31" s="3" t="s">
        <v>37</v>
      </c>
      <c r="E31" s="3" t="s">
        <v>62</v>
      </c>
      <c r="F31" s="3" t="s">
        <v>63</v>
      </c>
      <c r="G31" s="3" t="s">
        <v>3</v>
      </c>
      <c r="H31" s="3">
        <v>1</v>
      </c>
      <c r="I31" s="3">
        <v>2</v>
      </c>
      <c r="J31" s="3">
        <v>1</v>
      </c>
      <c r="K31" s="3">
        <v>6</v>
      </c>
      <c r="L31" s="3">
        <v>7</v>
      </c>
      <c r="M31" s="3">
        <v>3</v>
      </c>
    </row>
    <row r="32" spans="1:13" x14ac:dyDescent="0.3">
      <c r="A32" s="3" t="s">
        <v>64</v>
      </c>
      <c r="B32" s="3">
        <v>310285</v>
      </c>
      <c r="C32" s="3" t="s">
        <v>64</v>
      </c>
      <c r="D32" s="3" t="s">
        <v>24</v>
      </c>
      <c r="E32" s="3" t="s">
        <v>64</v>
      </c>
      <c r="F32" s="3" t="s">
        <v>65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1:13" x14ac:dyDescent="0.3">
      <c r="A33" s="3" t="s">
        <v>43</v>
      </c>
      <c r="B33" s="3">
        <v>310290</v>
      </c>
      <c r="C33" s="3" t="s">
        <v>43</v>
      </c>
      <c r="D33" s="3" t="s">
        <v>42</v>
      </c>
      <c r="E33" s="3" t="s">
        <v>43</v>
      </c>
      <c r="F33" s="3" t="s">
        <v>66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1:13" x14ac:dyDescent="0.3">
      <c r="A34" s="3" t="s">
        <v>67</v>
      </c>
      <c r="B34" s="3">
        <v>310300</v>
      </c>
      <c r="C34" s="3" t="s">
        <v>67</v>
      </c>
      <c r="D34" s="3" t="s">
        <v>12</v>
      </c>
      <c r="E34" s="3" t="s">
        <v>67</v>
      </c>
      <c r="F34" s="3" t="s">
        <v>68</v>
      </c>
      <c r="G34" s="3" t="s">
        <v>3</v>
      </c>
      <c r="H34" s="3" t="s">
        <v>3</v>
      </c>
      <c r="I34" s="3" t="s">
        <v>3</v>
      </c>
      <c r="J34" s="3" t="s">
        <v>3</v>
      </c>
      <c r="K34" s="3" t="s">
        <v>3</v>
      </c>
      <c r="L34" s="3" t="s">
        <v>3</v>
      </c>
      <c r="M34" s="3" t="s">
        <v>3</v>
      </c>
    </row>
    <row r="35" spans="1:13" x14ac:dyDescent="0.3">
      <c r="A35" s="3" t="s">
        <v>69</v>
      </c>
      <c r="B35" s="3">
        <v>310310</v>
      </c>
      <c r="C35" s="3" t="s">
        <v>69</v>
      </c>
      <c r="D35" s="3" t="s">
        <v>37</v>
      </c>
      <c r="E35" s="3" t="s">
        <v>69</v>
      </c>
      <c r="F35" s="3" t="s">
        <v>70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</row>
    <row r="36" spans="1:13" x14ac:dyDescent="0.3">
      <c r="A36" s="3" t="s">
        <v>5</v>
      </c>
      <c r="B36" s="3">
        <v>310320</v>
      </c>
      <c r="C36" s="3" t="s">
        <v>5</v>
      </c>
      <c r="D36" s="3" t="s">
        <v>4</v>
      </c>
      <c r="E36" s="3" t="s">
        <v>5</v>
      </c>
      <c r="F36" s="3" t="s">
        <v>71</v>
      </c>
      <c r="G36" s="3" t="s">
        <v>3</v>
      </c>
      <c r="H36" s="3" t="s">
        <v>3</v>
      </c>
      <c r="I36" s="3" t="s">
        <v>3</v>
      </c>
      <c r="J36" s="3" t="s">
        <v>3</v>
      </c>
      <c r="K36" s="3" t="s">
        <v>3</v>
      </c>
      <c r="L36" s="3" t="s">
        <v>3</v>
      </c>
      <c r="M36" s="3" t="s">
        <v>3</v>
      </c>
    </row>
    <row r="37" spans="1:13" x14ac:dyDescent="0.3">
      <c r="A37" s="3" t="s">
        <v>72</v>
      </c>
      <c r="B37" s="3">
        <v>310330</v>
      </c>
      <c r="C37" s="3" t="s">
        <v>72</v>
      </c>
      <c r="D37" s="3" t="s">
        <v>37</v>
      </c>
      <c r="E37" s="3" t="s">
        <v>72</v>
      </c>
      <c r="F37" s="3" t="s">
        <v>73</v>
      </c>
      <c r="G37" s="3" t="s">
        <v>3</v>
      </c>
      <c r="H37" s="3" t="s">
        <v>3</v>
      </c>
      <c r="I37" s="3" t="s">
        <v>3</v>
      </c>
      <c r="J37" s="3" t="s">
        <v>3</v>
      </c>
      <c r="K37" s="3" t="s">
        <v>3</v>
      </c>
      <c r="L37" s="3" t="s">
        <v>3</v>
      </c>
      <c r="M37" s="3" t="s">
        <v>3</v>
      </c>
    </row>
    <row r="38" spans="1:13" x14ac:dyDescent="0.3">
      <c r="A38" s="3" t="s">
        <v>74</v>
      </c>
      <c r="B38" s="3">
        <v>310340</v>
      </c>
      <c r="C38" s="3" t="s">
        <v>74</v>
      </c>
      <c r="D38" s="3" t="s">
        <v>56</v>
      </c>
      <c r="E38" s="3" t="s">
        <v>74</v>
      </c>
      <c r="F38" s="3" t="s">
        <v>75</v>
      </c>
      <c r="G38" s="3">
        <v>28</v>
      </c>
      <c r="H38" s="3">
        <v>83</v>
      </c>
      <c r="I38" s="3">
        <v>45</v>
      </c>
      <c r="J38" s="3">
        <v>20</v>
      </c>
      <c r="K38" s="3">
        <v>101</v>
      </c>
      <c r="L38" s="3">
        <v>135</v>
      </c>
      <c r="M38" s="3">
        <v>132</v>
      </c>
    </row>
    <row r="39" spans="1:13" x14ac:dyDescent="0.3">
      <c r="A39" s="3" t="s">
        <v>76</v>
      </c>
      <c r="B39" s="3">
        <v>310350</v>
      </c>
      <c r="C39" s="3" t="s">
        <v>76</v>
      </c>
      <c r="D39" s="3" t="s">
        <v>0</v>
      </c>
      <c r="E39" s="3" t="s">
        <v>76</v>
      </c>
      <c r="F39" s="3" t="s">
        <v>77</v>
      </c>
      <c r="G39" s="3">
        <v>107</v>
      </c>
      <c r="H39" s="3">
        <v>139</v>
      </c>
      <c r="I39" s="3">
        <v>34</v>
      </c>
      <c r="J39" s="3">
        <v>17</v>
      </c>
      <c r="K39" s="3">
        <v>86</v>
      </c>
      <c r="L39" s="3">
        <v>256</v>
      </c>
      <c r="M39" s="3">
        <v>466</v>
      </c>
    </row>
    <row r="40" spans="1:13" x14ac:dyDescent="0.3">
      <c r="A40" s="3" t="s">
        <v>62</v>
      </c>
      <c r="B40" s="3">
        <v>310360</v>
      </c>
      <c r="C40" s="3" t="s">
        <v>62</v>
      </c>
      <c r="D40" s="3" t="s">
        <v>37</v>
      </c>
      <c r="E40" s="3" t="s">
        <v>62</v>
      </c>
      <c r="F40" s="3" t="s">
        <v>78</v>
      </c>
      <c r="G40" s="3" t="s">
        <v>3</v>
      </c>
      <c r="H40" s="3" t="s">
        <v>3</v>
      </c>
      <c r="I40" s="3" t="s">
        <v>3</v>
      </c>
      <c r="J40" s="3" t="s">
        <v>3</v>
      </c>
      <c r="K40" s="3" t="s">
        <v>3</v>
      </c>
      <c r="L40" s="3" t="s">
        <v>3</v>
      </c>
      <c r="M40" s="3" t="s">
        <v>3</v>
      </c>
    </row>
    <row r="41" spans="1:13" x14ac:dyDescent="0.3">
      <c r="A41" s="3" t="s">
        <v>79</v>
      </c>
      <c r="B41" s="3">
        <v>310370</v>
      </c>
      <c r="C41" s="3" t="s">
        <v>79</v>
      </c>
      <c r="D41" s="3" t="s">
        <v>7</v>
      </c>
      <c r="E41" s="3" t="s">
        <v>79</v>
      </c>
      <c r="F41" s="3" t="s">
        <v>80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1:13" x14ac:dyDescent="0.3">
      <c r="A42" s="3" t="s">
        <v>76</v>
      </c>
      <c r="B42" s="3">
        <v>310375</v>
      </c>
      <c r="C42" s="3" t="s">
        <v>76</v>
      </c>
      <c r="D42" s="3" t="s">
        <v>0</v>
      </c>
      <c r="E42" s="3" t="s">
        <v>76</v>
      </c>
      <c r="F42" s="3" t="s">
        <v>81</v>
      </c>
      <c r="G42" s="3">
        <v>21</v>
      </c>
      <c r="H42" s="3">
        <v>21</v>
      </c>
      <c r="I42" s="3">
        <v>15</v>
      </c>
      <c r="J42" s="3">
        <v>22</v>
      </c>
      <c r="K42" s="3">
        <v>20</v>
      </c>
      <c r="L42" s="3">
        <v>23</v>
      </c>
      <c r="M42" s="3">
        <v>34</v>
      </c>
    </row>
    <row r="43" spans="1:13" x14ac:dyDescent="0.3">
      <c r="A43" s="3" t="s">
        <v>83</v>
      </c>
      <c r="B43" s="3">
        <v>310380</v>
      </c>
      <c r="C43" s="3" t="s">
        <v>83</v>
      </c>
      <c r="D43" s="3" t="s">
        <v>82</v>
      </c>
      <c r="E43" s="3" t="s">
        <v>83</v>
      </c>
      <c r="F43" s="3" t="s">
        <v>84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1:13" x14ac:dyDescent="0.3">
      <c r="A44" s="3" t="s">
        <v>85</v>
      </c>
      <c r="B44" s="3">
        <v>310390</v>
      </c>
      <c r="C44" s="3" t="s">
        <v>85</v>
      </c>
      <c r="D44" s="3" t="s">
        <v>21</v>
      </c>
      <c r="E44" s="3" t="s">
        <v>85</v>
      </c>
      <c r="F44" s="3" t="s">
        <v>86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1:13" x14ac:dyDescent="0.3">
      <c r="A45" s="3" t="s">
        <v>87</v>
      </c>
      <c r="B45" s="3">
        <v>310400</v>
      </c>
      <c r="C45" s="3" t="s">
        <v>87</v>
      </c>
      <c r="D45" s="3" t="s">
        <v>18</v>
      </c>
      <c r="E45" s="3" t="s">
        <v>87</v>
      </c>
      <c r="F45" s="3" t="s">
        <v>88</v>
      </c>
      <c r="G45" s="3">
        <v>83</v>
      </c>
      <c r="H45" s="3">
        <v>77</v>
      </c>
      <c r="I45" s="3">
        <v>19</v>
      </c>
      <c r="J45" s="3">
        <v>16</v>
      </c>
      <c r="K45" s="3">
        <v>20</v>
      </c>
      <c r="L45" s="3">
        <v>44</v>
      </c>
      <c r="M45" s="3">
        <v>63</v>
      </c>
    </row>
    <row r="46" spans="1:13" x14ac:dyDescent="0.3">
      <c r="A46" s="3" t="s">
        <v>89</v>
      </c>
      <c r="B46" s="3">
        <v>310410</v>
      </c>
      <c r="C46" s="3" t="s">
        <v>89</v>
      </c>
      <c r="D46" s="3" t="s">
        <v>31</v>
      </c>
      <c r="E46" s="3" t="s">
        <v>89</v>
      </c>
      <c r="F46" s="3" t="s">
        <v>90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1:13" x14ac:dyDescent="0.3">
      <c r="A47" s="3" t="s">
        <v>91</v>
      </c>
      <c r="B47" s="3">
        <v>310420</v>
      </c>
      <c r="C47" s="3" t="s">
        <v>91</v>
      </c>
      <c r="D47" s="3" t="s">
        <v>21</v>
      </c>
      <c r="E47" s="3" t="s">
        <v>91</v>
      </c>
      <c r="F47" s="3" t="s">
        <v>92</v>
      </c>
      <c r="G47" s="3">
        <v>11</v>
      </c>
      <c r="H47" s="3">
        <v>6</v>
      </c>
      <c r="I47" s="3">
        <v>5</v>
      </c>
      <c r="J47" s="3">
        <v>22</v>
      </c>
      <c r="K47" s="3">
        <v>31</v>
      </c>
      <c r="L47" s="3">
        <v>52</v>
      </c>
      <c r="M47" s="3">
        <v>77</v>
      </c>
    </row>
    <row r="48" spans="1:13" x14ac:dyDescent="0.3">
      <c r="A48" s="3" t="s">
        <v>40</v>
      </c>
      <c r="B48" s="3">
        <v>310430</v>
      </c>
      <c r="C48" s="3" t="s">
        <v>40</v>
      </c>
      <c r="D48" s="3" t="s">
        <v>31</v>
      </c>
      <c r="E48" s="3" t="s">
        <v>40</v>
      </c>
      <c r="F48" s="3" t="s">
        <v>93</v>
      </c>
      <c r="G48" s="3">
        <v>1</v>
      </c>
      <c r="H48" s="3">
        <v>7</v>
      </c>
      <c r="I48" s="3">
        <v>2</v>
      </c>
      <c r="J48" s="3">
        <v>3</v>
      </c>
      <c r="K48" s="3">
        <v>1</v>
      </c>
      <c r="L48" s="3">
        <v>1</v>
      </c>
      <c r="M48" s="3">
        <v>11</v>
      </c>
    </row>
    <row r="49" spans="1:13" x14ac:dyDescent="0.3">
      <c r="A49" s="3" t="s">
        <v>94</v>
      </c>
      <c r="B49" s="3">
        <v>310440</v>
      </c>
      <c r="C49" s="3" t="s">
        <v>94</v>
      </c>
      <c r="D49" s="3" t="s">
        <v>37</v>
      </c>
      <c r="E49" s="3" t="s">
        <v>94</v>
      </c>
      <c r="F49" s="3" t="s">
        <v>95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1:13" x14ac:dyDescent="0.3">
      <c r="A50" s="3" t="s">
        <v>96</v>
      </c>
      <c r="B50" s="3">
        <v>310445</v>
      </c>
      <c r="C50" s="3" t="s">
        <v>96</v>
      </c>
      <c r="D50" s="3" t="s">
        <v>56</v>
      </c>
      <c r="E50" s="3" t="s">
        <v>96</v>
      </c>
      <c r="F50" s="3" t="s">
        <v>97</v>
      </c>
      <c r="G50" s="3" t="s">
        <v>3</v>
      </c>
      <c r="H50" s="3" t="s">
        <v>3</v>
      </c>
      <c r="I50" s="3" t="s">
        <v>3</v>
      </c>
      <c r="J50" s="3" t="s">
        <v>3</v>
      </c>
      <c r="K50" s="3" t="s">
        <v>3</v>
      </c>
      <c r="L50" s="3" t="s">
        <v>3</v>
      </c>
      <c r="M50" s="3" t="s">
        <v>3</v>
      </c>
    </row>
    <row r="51" spans="1:13" x14ac:dyDescent="0.3">
      <c r="A51" s="3" t="s">
        <v>98</v>
      </c>
      <c r="B51" s="3">
        <v>310450</v>
      </c>
      <c r="C51" s="3" t="s">
        <v>98</v>
      </c>
      <c r="D51" s="3" t="s">
        <v>82</v>
      </c>
      <c r="E51" s="3" t="s">
        <v>98</v>
      </c>
      <c r="F51" s="3" t="s">
        <v>99</v>
      </c>
      <c r="G51" s="3" t="s">
        <v>3</v>
      </c>
      <c r="H51" s="3" t="s">
        <v>3</v>
      </c>
      <c r="I51" s="3">
        <v>2</v>
      </c>
      <c r="J51" s="3" t="s">
        <v>3</v>
      </c>
      <c r="K51" s="3" t="s">
        <v>3</v>
      </c>
      <c r="L51" s="3" t="s">
        <v>3</v>
      </c>
      <c r="M51" s="3" t="s">
        <v>3</v>
      </c>
    </row>
    <row r="52" spans="1:13" x14ac:dyDescent="0.3">
      <c r="A52" s="3" t="s">
        <v>94</v>
      </c>
      <c r="B52" s="3">
        <v>310460</v>
      </c>
      <c r="C52" s="3" t="s">
        <v>94</v>
      </c>
      <c r="D52" s="3" t="s">
        <v>37</v>
      </c>
      <c r="E52" s="3" t="s">
        <v>94</v>
      </c>
      <c r="F52" s="3" t="s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1:13" x14ac:dyDescent="0.3">
      <c r="A53" s="3" t="s">
        <v>64</v>
      </c>
      <c r="B53" s="3">
        <v>310470</v>
      </c>
      <c r="C53" s="3" t="s">
        <v>64</v>
      </c>
      <c r="D53" s="3" t="s">
        <v>24</v>
      </c>
      <c r="E53" s="3" t="s">
        <v>64</v>
      </c>
      <c r="F53" s="3" t="s">
        <v>101</v>
      </c>
      <c r="G53" s="3">
        <v>5</v>
      </c>
      <c r="H53" s="3">
        <v>4</v>
      </c>
      <c r="I53" s="3" t="s">
        <v>3</v>
      </c>
      <c r="J53" s="3" t="s">
        <v>3</v>
      </c>
      <c r="K53" s="3" t="s">
        <v>3</v>
      </c>
      <c r="L53" s="3" t="s">
        <v>3</v>
      </c>
      <c r="M53" s="3">
        <v>62</v>
      </c>
    </row>
    <row r="54" spans="1:13" x14ac:dyDescent="0.3">
      <c r="A54" s="3" t="s">
        <v>102</v>
      </c>
      <c r="B54" s="3">
        <v>310480</v>
      </c>
      <c r="C54" s="3" t="s">
        <v>102</v>
      </c>
      <c r="D54" s="3" t="s">
        <v>4</v>
      </c>
      <c r="E54" s="3" t="s">
        <v>102</v>
      </c>
      <c r="F54" s="3" t="s">
        <v>103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1:13" x14ac:dyDescent="0.3">
      <c r="A55" s="3" t="s">
        <v>32</v>
      </c>
      <c r="B55" s="3">
        <v>310490</v>
      </c>
      <c r="C55" s="3" t="s">
        <v>32</v>
      </c>
      <c r="D55" s="3" t="s">
        <v>31</v>
      </c>
      <c r="E55" s="3" t="s">
        <v>32</v>
      </c>
      <c r="F55" s="3" t="s">
        <v>104</v>
      </c>
      <c r="G55" s="3">
        <v>35</v>
      </c>
      <c r="H55" s="3">
        <v>25</v>
      </c>
      <c r="I55" s="3">
        <v>20</v>
      </c>
      <c r="J55" s="3">
        <v>34</v>
      </c>
      <c r="K55" s="3">
        <v>59</v>
      </c>
      <c r="L55" s="3">
        <v>115</v>
      </c>
      <c r="M55" s="3">
        <v>179</v>
      </c>
    </row>
    <row r="56" spans="1:13" x14ac:dyDescent="0.3">
      <c r="A56" s="3" t="s">
        <v>5</v>
      </c>
      <c r="B56" s="3">
        <v>310500</v>
      </c>
      <c r="C56" s="3" t="s">
        <v>5</v>
      </c>
      <c r="D56" s="3" t="s">
        <v>4</v>
      </c>
      <c r="E56" s="3" t="s">
        <v>5</v>
      </c>
      <c r="F56" s="3" t="s">
        <v>105</v>
      </c>
      <c r="G56" s="3" t="s">
        <v>3</v>
      </c>
      <c r="H56" s="3" t="s">
        <v>3</v>
      </c>
      <c r="I56" s="3" t="s">
        <v>3</v>
      </c>
      <c r="J56" s="3" t="s">
        <v>3</v>
      </c>
      <c r="K56" s="3" t="s">
        <v>3</v>
      </c>
      <c r="L56" s="3" t="s">
        <v>3</v>
      </c>
      <c r="M56" s="3" t="s">
        <v>3</v>
      </c>
    </row>
    <row r="57" spans="1:13" x14ac:dyDescent="0.3">
      <c r="A57" s="3" t="s">
        <v>106</v>
      </c>
      <c r="B57" s="3">
        <v>310510</v>
      </c>
      <c r="C57" s="3" t="s">
        <v>106</v>
      </c>
      <c r="D57" s="3" t="s">
        <v>21</v>
      </c>
      <c r="E57" s="3" t="s">
        <v>106</v>
      </c>
      <c r="F57" s="3" t="s">
        <v>107</v>
      </c>
      <c r="G57" s="3">
        <v>8</v>
      </c>
      <c r="H57" s="3">
        <v>21</v>
      </c>
      <c r="I57" s="3">
        <v>4</v>
      </c>
      <c r="J57" s="3">
        <v>3</v>
      </c>
      <c r="K57" s="3">
        <v>8</v>
      </c>
      <c r="L57" s="3">
        <v>12</v>
      </c>
      <c r="M57" s="3" t="s">
        <v>3</v>
      </c>
    </row>
    <row r="58" spans="1:13" x14ac:dyDescent="0.3">
      <c r="A58" s="3" t="s">
        <v>45</v>
      </c>
      <c r="B58" s="3">
        <v>310520</v>
      </c>
      <c r="C58" s="3" t="s">
        <v>45</v>
      </c>
      <c r="D58" s="3" t="s">
        <v>24</v>
      </c>
      <c r="E58" s="3" t="s">
        <v>45</v>
      </c>
      <c r="F58" s="3" t="s">
        <v>108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1:13" x14ac:dyDescent="0.3">
      <c r="A59" s="3" t="s">
        <v>40</v>
      </c>
      <c r="B59" s="3">
        <v>310530</v>
      </c>
      <c r="C59" s="3" t="s">
        <v>40</v>
      </c>
      <c r="D59" s="3" t="s">
        <v>31</v>
      </c>
      <c r="E59" s="3" t="s">
        <v>40</v>
      </c>
      <c r="F59" s="3" t="s">
        <v>109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1:13" x14ac:dyDescent="0.3">
      <c r="A60" s="3" t="s">
        <v>110</v>
      </c>
      <c r="B60" s="3">
        <v>310540</v>
      </c>
      <c r="C60" s="3" t="s">
        <v>110</v>
      </c>
      <c r="D60" s="3" t="s">
        <v>4</v>
      </c>
      <c r="E60" s="3" t="s">
        <v>110</v>
      </c>
      <c r="F60" s="3" t="s">
        <v>111</v>
      </c>
      <c r="G60" s="3">
        <v>44</v>
      </c>
      <c r="H60" s="3">
        <v>19</v>
      </c>
      <c r="I60" s="3">
        <v>13</v>
      </c>
      <c r="J60" s="3">
        <v>14</v>
      </c>
      <c r="K60" s="3">
        <v>45</v>
      </c>
      <c r="L60" s="3">
        <v>33</v>
      </c>
      <c r="M60" s="3">
        <v>31</v>
      </c>
    </row>
    <row r="61" spans="1:13" x14ac:dyDescent="0.3">
      <c r="A61" s="3" t="s">
        <v>69</v>
      </c>
      <c r="B61" s="3">
        <v>310550</v>
      </c>
      <c r="C61" s="3" t="s">
        <v>69</v>
      </c>
      <c r="D61" s="3" t="s">
        <v>37</v>
      </c>
      <c r="E61" s="3" t="s">
        <v>69</v>
      </c>
      <c r="F61" s="3" t="s">
        <v>112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  <c r="L61" s="3" t="s">
        <v>3</v>
      </c>
      <c r="M61" s="3" t="s">
        <v>3</v>
      </c>
    </row>
    <row r="62" spans="1:13" x14ac:dyDescent="0.3">
      <c r="A62" s="3" t="s">
        <v>43</v>
      </c>
      <c r="B62" s="3">
        <v>310560</v>
      </c>
      <c r="C62" s="3" t="s">
        <v>43</v>
      </c>
      <c r="D62" s="3" t="s">
        <v>42</v>
      </c>
      <c r="E62" s="3" t="s">
        <v>43</v>
      </c>
      <c r="F62" s="3" t="s">
        <v>43</v>
      </c>
      <c r="G62" s="3">
        <v>151</v>
      </c>
      <c r="H62" s="3">
        <v>175</v>
      </c>
      <c r="I62" s="3">
        <v>44</v>
      </c>
      <c r="J62" s="3">
        <v>35</v>
      </c>
      <c r="K62" s="3">
        <v>151</v>
      </c>
      <c r="L62" s="3">
        <v>130</v>
      </c>
      <c r="M62" s="3">
        <v>352</v>
      </c>
    </row>
    <row r="63" spans="1:13" x14ac:dyDescent="0.3">
      <c r="A63" s="3" t="s">
        <v>10</v>
      </c>
      <c r="B63" s="3">
        <v>310570</v>
      </c>
      <c r="C63" s="3" t="s">
        <v>10</v>
      </c>
      <c r="D63" s="3" t="s">
        <v>7</v>
      </c>
      <c r="E63" s="3" t="s">
        <v>10</v>
      </c>
      <c r="F63" s="3" t="s">
        <v>113</v>
      </c>
      <c r="G63" s="3" t="s">
        <v>3</v>
      </c>
      <c r="H63" s="3" t="s">
        <v>3</v>
      </c>
      <c r="I63" s="3" t="s">
        <v>3</v>
      </c>
      <c r="J63" s="3" t="s">
        <v>3</v>
      </c>
      <c r="K63" s="3" t="s">
        <v>3</v>
      </c>
      <c r="L63" s="3" t="s">
        <v>3</v>
      </c>
      <c r="M63" s="3" t="s">
        <v>3</v>
      </c>
    </row>
    <row r="64" spans="1:13" x14ac:dyDescent="0.3">
      <c r="A64" s="3" t="s">
        <v>114</v>
      </c>
      <c r="B64" s="3">
        <v>310590</v>
      </c>
      <c r="C64" s="3" t="s">
        <v>114</v>
      </c>
      <c r="D64" s="3" t="s">
        <v>42</v>
      </c>
      <c r="E64" s="3" t="s">
        <v>114</v>
      </c>
      <c r="F64" s="3" t="s">
        <v>115</v>
      </c>
      <c r="G64" s="3">
        <v>29</v>
      </c>
      <c r="H64" s="3">
        <v>33</v>
      </c>
      <c r="I64" s="3">
        <v>23</v>
      </c>
      <c r="J64" s="3">
        <v>21</v>
      </c>
      <c r="K64" s="3">
        <v>45</v>
      </c>
      <c r="L64" s="3">
        <v>61</v>
      </c>
      <c r="M64" s="3">
        <v>101</v>
      </c>
    </row>
    <row r="65" spans="1:13" x14ac:dyDescent="0.3">
      <c r="A65" s="3" t="s">
        <v>116</v>
      </c>
      <c r="B65" s="3">
        <v>310600</v>
      </c>
      <c r="C65" s="3" t="s">
        <v>116</v>
      </c>
      <c r="D65" s="3" t="s">
        <v>4</v>
      </c>
      <c r="E65" s="3" t="s">
        <v>116</v>
      </c>
      <c r="F65" s="3" t="s">
        <v>117</v>
      </c>
      <c r="G65" s="3" t="s">
        <v>3</v>
      </c>
      <c r="H65" s="3" t="s">
        <v>3</v>
      </c>
      <c r="I65" s="3" t="s">
        <v>3</v>
      </c>
      <c r="J65" s="3" t="s">
        <v>3</v>
      </c>
      <c r="K65" s="3" t="s">
        <v>3</v>
      </c>
      <c r="L65" s="3" t="s">
        <v>3</v>
      </c>
      <c r="M65" s="3" t="s">
        <v>3</v>
      </c>
    </row>
    <row r="66" spans="1:13" x14ac:dyDescent="0.3">
      <c r="A66" s="3" t="s">
        <v>118</v>
      </c>
      <c r="B66" s="3">
        <v>310610</v>
      </c>
      <c r="C66" s="3" t="s">
        <v>118</v>
      </c>
      <c r="D66" s="3" t="s">
        <v>37</v>
      </c>
      <c r="E66" s="3" t="s">
        <v>118</v>
      </c>
      <c r="F66" s="3" t="s">
        <v>119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1:13" x14ac:dyDescent="0.3">
      <c r="A67" s="3" t="s">
        <v>120</v>
      </c>
      <c r="B67" s="3">
        <v>310620</v>
      </c>
      <c r="C67" s="3" t="s">
        <v>120</v>
      </c>
      <c r="D67" s="3" t="s">
        <v>4</v>
      </c>
      <c r="E67" s="3" t="s">
        <v>120</v>
      </c>
      <c r="F67" s="3" t="s">
        <v>121</v>
      </c>
      <c r="G67" s="3">
        <v>4904</v>
      </c>
      <c r="H67" s="3">
        <v>4554</v>
      </c>
      <c r="I67" s="3">
        <v>2214</v>
      </c>
      <c r="J67" s="3">
        <v>2626</v>
      </c>
      <c r="K67" s="3">
        <v>5479</v>
      </c>
      <c r="L67" s="3">
        <v>6293</v>
      </c>
      <c r="M67" s="3">
        <v>5123</v>
      </c>
    </row>
    <row r="68" spans="1:13" x14ac:dyDescent="0.3">
      <c r="A68" s="3" t="s">
        <v>13</v>
      </c>
      <c r="B68" s="3">
        <v>310630</v>
      </c>
      <c r="C68" s="3" t="s">
        <v>13</v>
      </c>
      <c r="D68" s="3" t="s">
        <v>12</v>
      </c>
      <c r="E68" s="3" t="s">
        <v>13</v>
      </c>
      <c r="F68" s="3" t="s">
        <v>122</v>
      </c>
      <c r="G68" s="3" t="s">
        <v>3</v>
      </c>
      <c r="H68" s="3" t="s">
        <v>3</v>
      </c>
      <c r="I68" s="3">
        <v>2</v>
      </c>
      <c r="J68" s="3">
        <v>1</v>
      </c>
      <c r="K68" s="3">
        <v>4</v>
      </c>
      <c r="L68" s="3">
        <v>331</v>
      </c>
      <c r="M68" s="3">
        <v>414</v>
      </c>
    </row>
    <row r="69" spans="1:13" x14ac:dyDescent="0.3">
      <c r="A69" s="3" t="s">
        <v>120</v>
      </c>
      <c r="B69" s="3">
        <v>310640</v>
      </c>
      <c r="C69" s="3" t="s">
        <v>120</v>
      </c>
      <c r="D69" s="3" t="s">
        <v>4</v>
      </c>
      <c r="E69" s="3" t="s">
        <v>120</v>
      </c>
      <c r="F69" s="3" t="s">
        <v>123</v>
      </c>
      <c r="G69" s="3">
        <v>8</v>
      </c>
      <c r="H69" s="3">
        <v>5</v>
      </c>
      <c r="I69" s="3">
        <v>6</v>
      </c>
      <c r="J69" s="3" t="s">
        <v>3</v>
      </c>
      <c r="K69" s="3">
        <v>1</v>
      </c>
      <c r="L69" s="3" t="s">
        <v>3</v>
      </c>
      <c r="M69" s="3" t="s">
        <v>3</v>
      </c>
    </row>
    <row r="70" spans="1:13" x14ac:dyDescent="0.3">
      <c r="A70" s="3" t="s">
        <v>74</v>
      </c>
      <c r="B70" s="3">
        <v>310650</v>
      </c>
      <c r="C70" s="3" t="s">
        <v>74</v>
      </c>
      <c r="D70" s="3" t="s">
        <v>56</v>
      </c>
      <c r="E70" s="3" t="s">
        <v>74</v>
      </c>
      <c r="F70" s="3" t="s">
        <v>124</v>
      </c>
      <c r="G70" s="3" t="s">
        <v>3</v>
      </c>
      <c r="H70" s="3">
        <v>10</v>
      </c>
      <c r="I70" s="3">
        <v>1</v>
      </c>
      <c r="J70" s="3" t="s">
        <v>3</v>
      </c>
      <c r="K70" s="3" t="s">
        <v>3</v>
      </c>
      <c r="L70" s="3" t="s">
        <v>3</v>
      </c>
      <c r="M70" s="3" t="s">
        <v>3</v>
      </c>
    </row>
    <row r="71" spans="1:13" x14ac:dyDescent="0.3">
      <c r="A71" s="3" t="s">
        <v>25</v>
      </c>
      <c r="B71" s="3">
        <v>310660</v>
      </c>
      <c r="C71" s="3" t="s">
        <v>25</v>
      </c>
      <c r="D71" s="3" t="s">
        <v>24</v>
      </c>
      <c r="E71" s="3" t="s">
        <v>25</v>
      </c>
      <c r="F71" s="3" t="s">
        <v>125</v>
      </c>
      <c r="G71" s="3" t="s">
        <v>3</v>
      </c>
      <c r="H71" s="3" t="s">
        <v>3</v>
      </c>
      <c r="I71" s="3" t="s">
        <v>3</v>
      </c>
      <c r="J71" s="3" t="s">
        <v>3</v>
      </c>
      <c r="K71" s="3" t="s">
        <v>3</v>
      </c>
      <c r="L71" s="3" t="s">
        <v>3</v>
      </c>
      <c r="M71" s="3" t="s">
        <v>3</v>
      </c>
    </row>
    <row r="72" spans="1:13" x14ac:dyDescent="0.3">
      <c r="A72" s="3" t="s">
        <v>127</v>
      </c>
      <c r="B72" s="3">
        <v>310665</v>
      </c>
      <c r="C72" s="3" t="s">
        <v>127</v>
      </c>
      <c r="D72" s="3" t="s">
        <v>126</v>
      </c>
      <c r="E72" s="3" t="s">
        <v>127</v>
      </c>
      <c r="F72" s="3" t="s">
        <v>128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1:13" x14ac:dyDescent="0.3">
      <c r="A73" s="3" t="s">
        <v>129</v>
      </c>
      <c r="B73" s="3">
        <v>310670</v>
      </c>
      <c r="C73" s="3" t="s">
        <v>129</v>
      </c>
      <c r="D73" s="3" t="s">
        <v>4</v>
      </c>
      <c r="E73" s="3" t="s">
        <v>129</v>
      </c>
      <c r="F73" s="3" t="s">
        <v>129</v>
      </c>
      <c r="G73" s="3">
        <v>143</v>
      </c>
      <c r="H73" s="3">
        <v>133</v>
      </c>
      <c r="I73" s="3">
        <v>56</v>
      </c>
      <c r="J73" s="3">
        <v>214</v>
      </c>
      <c r="K73" s="3">
        <v>752</v>
      </c>
      <c r="L73" s="3">
        <v>595</v>
      </c>
      <c r="M73" s="3">
        <v>730</v>
      </c>
    </row>
    <row r="74" spans="1:13" x14ac:dyDescent="0.3">
      <c r="A74" s="3" t="s">
        <v>62</v>
      </c>
      <c r="B74" s="3">
        <v>310680</v>
      </c>
      <c r="C74" s="3" t="s">
        <v>62</v>
      </c>
      <c r="D74" s="3" t="s">
        <v>37</v>
      </c>
      <c r="E74" s="3" t="s">
        <v>62</v>
      </c>
      <c r="F74" s="3" t="s">
        <v>130</v>
      </c>
      <c r="G74" s="3" t="s">
        <v>3</v>
      </c>
      <c r="H74" s="3" t="s">
        <v>3</v>
      </c>
      <c r="I74" s="3" t="s">
        <v>3</v>
      </c>
      <c r="J74" s="3" t="s">
        <v>3</v>
      </c>
      <c r="K74" s="3" t="s">
        <v>3</v>
      </c>
      <c r="L74" s="3" t="s">
        <v>3</v>
      </c>
      <c r="M74" s="3" t="s">
        <v>3</v>
      </c>
    </row>
    <row r="75" spans="1:13" x14ac:dyDescent="0.3">
      <c r="A75" s="3" t="s">
        <v>131</v>
      </c>
      <c r="B75" s="3">
        <v>310690</v>
      </c>
      <c r="C75" s="3" t="s">
        <v>131</v>
      </c>
      <c r="D75" s="3" t="s">
        <v>37</v>
      </c>
      <c r="E75" s="3" t="s">
        <v>131</v>
      </c>
      <c r="F75" s="3" t="s">
        <v>132</v>
      </c>
      <c r="G75" s="3" t="s">
        <v>3</v>
      </c>
      <c r="H75" s="3">
        <v>1</v>
      </c>
      <c r="I75" s="3" t="s">
        <v>3</v>
      </c>
      <c r="J75" s="3" t="s">
        <v>3</v>
      </c>
      <c r="K75" s="3" t="s">
        <v>3</v>
      </c>
      <c r="L75" s="3" t="s">
        <v>3</v>
      </c>
      <c r="M75" s="3" t="s">
        <v>3</v>
      </c>
    </row>
    <row r="76" spans="1:13" x14ac:dyDescent="0.3">
      <c r="A76" s="3" t="s">
        <v>5</v>
      </c>
      <c r="B76" s="3">
        <v>310700</v>
      </c>
      <c r="C76" s="3" t="s">
        <v>5</v>
      </c>
      <c r="D76" s="3" t="s">
        <v>4</v>
      </c>
      <c r="E76" s="3" t="s">
        <v>5</v>
      </c>
      <c r="F76" s="3" t="s">
        <v>133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1:13" x14ac:dyDescent="0.3">
      <c r="A77" s="3" t="s">
        <v>134</v>
      </c>
      <c r="B77" s="3">
        <v>310710</v>
      </c>
      <c r="C77" s="3" t="s">
        <v>134</v>
      </c>
      <c r="D77" s="3" t="s">
        <v>31</v>
      </c>
      <c r="E77" s="3" t="s">
        <v>134</v>
      </c>
      <c r="F77" s="3" t="s">
        <v>135</v>
      </c>
      <c r="G77" s="3">
        <v>14</v>
      </c>
      <c r="H77" s="3">
        <v>18</v>
      </c>
      <c r="I77" s="3">
        <v>4</v>
      </c>
      <c r="J77" s="3">
        <v>13</v>
      </c>
      <c r="K77" s="3">
        <v>34</v>
      </c>
      <c r="L77" s="3">
        <v>31</v>
      </c>
      <c r="M77" s="3">
        <v>10</v>
      </c>
    </row>
    <row r="78" spans="1:13" x14ac:dyDescent="0.3">
      <c r="A78" s="3" t="s">
        <v>62</v>
      </c>
      <c r="B78" s="3">
        <v>310720</v>
      </c>
      <c r="C78" s="3" t="s">
        <v>62</v>
      </c>
      <c r="D78" s="3" t="s">
        <v>37</v>
      </c>
      <c r="E78" s="3" t="s">
        <v>62</v>
      </c>
      <c r="F78" s="3" t="s">
        <v>136</v>
      </c>
      <c r="G78" s="3" t="s">
        <v>3</v>
      </c>
      <c r="H78" s="3" t="s">
        <v>3</v>
      </c>
      <c r="I78" s="3" t="s">
        <v>3</v>
      </c>
      <c r="J78" s="3" t="s">
        <v>3</v>
      </c>
      <c r="K78" s="3" t="s">
        <v>3</v>
      </c>
      <c r="L78" s="3" t="s">
        <v>3</v>
      </c>
      <c r="M78" s="3" t="s">
        <v>3</v>
      </c>
    </row>
    <row r="79" spans="1:13" x14ac:dyDescent="0.3">
      <c r="A79" s="3" t="s">
        <v>137</v>
      </c>
      <c r="B79" s="3">
        <v>310730</v>
      </c>
      <c r="C79" s="3" t="s">
        <v>137</v>
      </c>
      <c r="D79" s="3" t="s">
        <v>126</v>
      </c>
      <c r="E79" s="3" t="s">
        <v>137</v>
      </c>
      <c r="F79" s="3" t="s">
        <v>138</v>
      </c>
      <c r="G79" s="3">
        <v>102</v>
      </c>
      <c r="H79" s="3">
        <v>149</v>
      </c>
      <c r="I79" s="3">
        <v>29</v>
      </c>
      <c r="J79" s="3">
        <v>91</v>
      </c>
      <c r="K79" s="3">
        <v>265</v>
      </c>
      <c r="L79" s="3">
        <v>280</v>
      </c>
      <c r="M79" s="3">
        <v>245</v>
      </c>
    </row>
    <row r="80" spans="1:13" x14ac:dyDescent="0.3">
      <c r="A80" s="3" t="s">
        <v>139</v>
      </c>
      <c r="B80" s="3">
        <v>310740</v>
      </c>
      <c r="C80" s="3" t="s">
        <v>139</v>
      </c>
      <c r="D80" s="3" t="s">
        <v>21</v>
      </c>
      <c r="E80" s="3" t="s">
        <v>139</v>
      </c>
      <c r="F80" s="3" t="s">
        <v>139</v>
      </c>
      <c r="G80" s="3">
        <v>166</v>
      </c>
      <c r="H80" s="3">
        <v>168</v>
      </c>
      <c r="I80" s="3">
        <v>69</v>
      </c>
      <c r="J80" s="3">
        <v>20</v>
      </c>
      <c r="K80" s="3">
        <v>233</v>
      </c>
      <c r="L80" s="3">
        <v>209</v>
      </c>
      <c r="M80" s="3">
        <v>189</v>
      </c>
    </row>
    <row r="81" spans="1:13" x14ac:dyDescent="0.3">
      <c r="A81" s="3" t="s">
        <v>62</v>
      </c>
      <c r="B81" s="3">
        <v>310750</v>
      </c>
      <c r="C81" s="3" t="s">
        <v>62</v>
      </c>
      <c r="D81" s="3" t="s">
        <v>37</v>
      </c>
      <c r="E81" s="3" t="s">
        <v>62</v>
      </c>
      <c r="F81" s="3" t="s">
        <v>140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1:13" x14ac:dyDescent="0.3">
      <c r="A82" s="3" t="s">
        <v>49</v>
      </c>
      <c r="B82" s="3">
        <v>310760</v>
      </c>
      <c r="C82" s="3" t="s">
        <v>49</v>
      </c>
      <c r="D82" s="3" t="s">
        <v>31</v>
      </c>
      <c r="E82" s="3" t="s">
        <v>49</v>
      </c>
      <c r="F82" s="3" t="s">
        <v>141</v>
      </c>
      <c r="G82" s="3" t="s">
        <v>3</v>
      </c>
      <c r="H82" s="3" t="s">
        <v>3</v>
      </c>
      <c r="I82" s="3" t="s">
        <v>3</v>
      </c>
      <c r="J82" s="3" t="s">
        <v>3</v>
      </c>
      <c r="K82" s="3" t="s">
        <v>3</v>
      </c>
      <c r="L82" s="3" t="s">
        <v>3</v>
      </c>
      <c r="M82" s="3" t="s">
        <v>3</v>
      </c>
    </row>
    <row r="83" spans="1:13" x14ac:dyDescent="0.3">
      <c r="A83" s="3" t="s">
        <v>110</v>
      </c>
      <c r="B83" s="3">
        <v>310770</v>
      </c>
      <c r="C83" s="3" t="s">
        <v>110</v>
      </c>
      <c r="D83" s="3" t="s">
        <v>4</v>
      </c>
      <c r="E83" s="3" t="s">
        <v>110</v>
      </c>
      <c r="F83" s="3" t="s">
        <v>142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1:13" x14ac:dyDescent="0.3">
      <c r="A84" s="3" t="s">
        <v>143</v>
      </c>
      <c r="B84" s="3">
        <v>310780</v>
      </c>
      <c r="C84" s="3" t="s">
        <v>143</v>
      </c>
      <c r="D84" s="3" t="s">
        <v>12</v>
      </c>
      <c r="E84" s="3" t="s">
        <v>143</v>
      </c>
      <c r="F84" s="3" t="s">
        <v>144</v>
      </c>
      <c r="G84" s="3">
        <v>54</v>
      </c>
      <c r="H84" s="3">
        <v>2</v>
      </c>
      <c r="I84" s="3" t="s">
        <v>3</v>
      </c>
      <c r="J84" s="3" t="s">
        <v>3</v>
      </c>
      <c r="K84" s="3" t="s">
        <v>3</v>
      </c>
      <c r="L84" s="3">
        <v>85</v>
      </c>
      <c r="M84" s="3">
        <v>159</v>
      </c>
    </row>
    <row r="85" spans="1:13" x14ac:dyDescent="0.3">
      <c r="A85" s="3" t="s">
        <v>145</v>
      </c>
      <c r="B85" s="3">
        <v>310790</v>
      </c>
      <c r="C85" s="3" t="s">
        <v>145</v>
      </c>
      <c r="D85" s="3" t="s">
        <v>31</v>
      </c>
      <c r="E85" s="3" t="s">
        <v>145</v>
      </c>
      <c r="F85" s="3" t="s">
        <v>146</v>
      </c>
      <c r="G85" s="3" t="s">
        <v>3</v>
      </c>
      <c r="H85" s="3" t="s">
        <v>3</v>
      </c>
      <c r="I85" s="3" t="s">
        <v>3</v>
      </c>
      <c r="J85" s="3" t="s">
        <v>3</v>
      </c>
      <c r="K85" s="3" t="s">
        <v>3</v>
      </c>
      <c r="L85" s="3" t="s">
        <v>3</v>
      </c>
      <c r="M85" s="3" t="s">
        <v>3</v>
      </c>
    </row>
    <row r="86" spans="1:13" x14ac:dyDescent="0.3">
      <c r="A86" s="3" t="s">
        <v>114</v>
      </c>
      <c r="B86" s="3">
        <v>310800</v>
      </c>
      <c r="C86" s="3" t="s">
        <v>114</v>
      </c>
      <c r="D86" s="3" t="s">
        <v>42</v>
      </c>
      <c r="E86" s="3" t="s">
        <v>114</v>
      </c>
      <c r="F86" s="3" t="s">
        <v>147</v>
      </c>
      <c r="G86" s="3">
        <v>14</v>
      </c>
      <c r="H86" s="3">
        <v>7</v>
      </c>
      <c r="I86" s="3">
        <v>13</v>
      </c>
      <c r="J86" s="3">
        <v>4</v>
      </c>
      <c r="K86" s="3">
        <v>5</v>
      </c>
      <c r="L86" s="3">
        <v>15</v>
      </c>
      <c r="M86" s="3">
        <v>6</v>
      </c>
    </row>
    <row r="87" spans="1:13" x14ac:dyDescent="0.3">
      <c r="A87" s="3" t="s">
        <v>129</v>
      </c>
      <c r="B87" s="3">
        <v>310810</v>
      </c>
      <c r="C87" s="3" t="s">
        <v>129</v>
      </c>
      <c r="D87" s="3" t="s">
        <v>4</v>
      </c>
      <c r="E87" s="3" t="s">
        <v>129</v>
      </c>
      <c r="F87" s="3" t="s">
        <v>148</v>
      </c>
      <c r="G87" s="3" t="s">
        <v>3</v>
      </c>
      <c r="H87" s="3" t="s">
        <v>3</v>
      </c>
      <c r="I87" s="3" t="s">
        <v>3</v>
      </c>
      <c r="J87" s="3" t="s">
        <v>3</v>
      </c>
      <c r="K87" s="3" t="s">
        <v>3</v>
      </c>
      <c r="L87" s="3" t="s">
        <v>3</v>
      </c>
      <c r="M87" s="3" t="s">
        <v>3</v>
      </c>
    </row>
    <row r="88" spans="1:13" x14ac:dyDescent="0.3">
      <c r="A88" s="3" t="s">
        <v>98</v>
      </c>
      <c r="B88" s="3">
        <v>310820</v>
      </c>
      <c r="C88" s="3" t="s">
        <v>98</v>
      </c>
      <c r="D88" s="3" t="s">
        <v>82</v>
      </c>
      <c r="E88" s="3" t="s">
        <v>98</v>
      </c>
      <c r="F88" s="3" t="s">
        <v>149</v>
      </c>
      <c r="G88" s="3" t="s">
        <v>3</v>
      </c>
      <c r="H88" s="3" t="s">
        <v>3</v>
      </c>
      <c r="I88" s="3" t="s">
        <v>3</v>
      </c>
      <c r="J88" s="3" t="s">
        <v>3</v>
      </c>
      <c r="K88" s="3" t="s">
        <v>3</v>
      </c>
      <c r="L88" s="3" t="s">
        <v>3</v>
      </c>
      <c r="M88" s="3" t="s">
        <v>3</v>
      </c>
    </row>
    <row r="89" spans="1:13" x14ac:dyDescent="0.3">
      <c r="A89" s="3" t="s">
        <v>150</v>
      </c>
      <c r="B89" s="3">
        <v>310825</v>
      </c>
      <c r="C89" s="3" t="s">
        <v>150</v>
      </c>
      <c r="D89" s="3" t="s">
        <v>126</v>
      </c>
      <c r="E89" s="3" t="s">
        <v>150</v>
      </c>
      <c r="F89" s="3" t="s">
        <v>151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1:13" x14ac:dyDescent="0.3">
      <c r="A90" s="3" t="s">
        <v>145</v>
      </c>
      <c r="B90" s="3">
        <v>310830</v>
      </c>
      <c r="C90" s="3" t="s">
        <v>145</v>
      </c>
      <c r="D90" s="3" t="s">
        <v>31</v>
      </c>
      <c r="E90" s="3" t="s">
        <v>145</v>
      </c>
      <c r="F90" s="3" t="s">
        <v>152</v>
      </c>
      <c r="G90" s="3" t="s">
        <v>3</v>
      </c>
      <c r="H90" s="3" t="s">
        <v>3</v>
      </c>
      <c r="I90" s="3" t="s">
        <v>3</v>
      </c>
      <c r="J90" s="3" t="s">
        <v>3</v>
      </c>
      <c r="K90" s="3" t="s">
        <v>3</v>
      </c>
      <c r="L90" s="3" t="s">
        <v>3</v>
      </c>
      <c r="M90" s="3" t="s">
        <v>3</v>
      </c>
    </row>
    <row r="91" spans="1:13" x14ac:dyDescent="0.3">
      <c r="A91" s="3" t="s">
        <v>40</v>
      </c>
      <c r="B91" s="3">
        <v>310840</v>
      </c>
      <c r="C91" s="3" t="s">
        <v>40</v>
      </c>
      <c r="D91" s="3" t="s">
        <v>31</v>
      </c>
      <c r="E91" s="3" t="s">
        <v>40</v>
      </c>
      <c r="F91" s="3" t="s">
        <v>153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</row>
    <row r="92" spans="1:13" x14ac:dyDescent="0.3">
      <c r="A92" s="3" t="s">
        <v>154</v>
      </c>
      <c r="B92" s="3">
        <v>310850</v>
      </c>
      <c r="C92" s="3" t="s">
        <v>154</v>
      </c>
      <c r="D92" s="3" t="s">
        <v>126</v>
      </c>
      <c r="E92" s="3" t="s">
        <v>154</v>
      </c>
      <c r="F92" s="3" t="s">
        <v>155</v>
      </c>
      <c r="G92" s="3" t="s">
        <v>3</v>
      </c>
      <c r="H92" s="3" t="s">
        <v>3</v>
      </c>
      <c r="I92" s="3" t="s">
        <v>3</v>
      </c>
      <c r="J92" s="3" t="s">
        <v>3</v>
      </c>
      <c r="K92" s="3" t="s">
        <v>3</v>
      </c>
      <c r="L92" s="3" t="s">
        <v>3</v>
      </c>
      <c r="M92" s="3" t="s">
        <v>3</v>
      </c>
    </row>
    <row r="93" spans="1:13" x14ac:dyDescent="0.3">
      <c r="A93" s="3" t="s">
        <v>156</v>
      </c>
      <c r="B93" s="3">
        <v>310855</v>
      </c>
      <c r="C93" s="3" t="s">
        <v>156</v>
      </c>
      <c r="D93" s="3" t="s">
        <v>82</v>
      </c>
      <c r="E93" s="3" t="s">
        <v>156</v>
      </c>
      <c r="F93" s="3" t="s">
        <v>157</v>
      </c>
      <c r="G93" s="3" t="s">
        <v>3</v>
      </c>
      <c r="H93" s="3" t="s">
        <v>3</v>
      </c>
      <c r="I93" s="3" t="s">
        <v>3</v>
      </c>
      <c r="J93" s="3" t="s">
        <v>3</v>
      </c>
      <c r="K93" s="3" t="s">
        <v>3</v>
      </c>
      <c r="L93" s="3" t="s">
        <v>3</v>
      </c>
      <c r="M93" s="3" t="s">
        <v>3</v>
      </c>
    </row>
    <row r="94" spans="1:13" x14ac:dyDescent="0.3">
      <c r="A94" s="3" t="s">
        <v>158</v>
      </c>
      <c r="B94" s="3">
        <v>310860</v>
      </c>
      <c r="C94" s="3" t="s">
        <v>158</v>
      </c>
      <c r="D94" s="3" t="s">
        <v>126</v>
      </c>
      <c r="E94" s="3" t="s">
        <v>158</v>
      </c>
      <c r="F94" s="3" t="s">
        <v>159</v>
      </c>
      <c r="G94" s="3">
        <v>143</v>
      </c>
      <c r="H94" s="3">
        <v>160</v>
      </c>
      <c r="I94" s="3">
        <v>118</v>
      </c>
      <c r="J94" s="3">
        <v>57</v>
      </c>
      <c r="K94" s="3">
        <v>66</v>
      </c>
      <c r="L94" s="3">
        <v>88</v>
      </c>
      <c r="M94" s="3">
        <v>109</v>
      </c>
    </row>
    <row r="95" spans="1:13" x14ac:dyDescent="0.3">
      <c r="A95" s="3" t="s">
        <v>160</v>
      </c>
      <c r="B95" s="3">
        <v>310870</v>
      </c>
      <c r="C95" s="3" t="s">
        <v>160</v>
      </c>
      <c r="D95" s="3" t="s">
        <v>37</v>
      </c>
      <c r="E95" s="3" t="s">
        <v>160</v>
      </c>
      <c r="F95" s="3" t="s">
        <v>161</v>
      </c>
      <c r="G95" s="3" t="s">
        <v>3</v>
      </c>
      <c r="H95" s="3" t="s">
        <v>3</v>
      </c>
      <c r="I95" s="3" t="s">
        <v>3</v>
      </c>
      <c r="J95" s="3" t="s">
        <v>3</v>
      </c>
      <c r="K95" s="3" t="s">
        <v>3</v>
      </c>
      <c r="L95" s="3" t="s">
        <v>3</v>
      </c>
      <c r="M95" s="3" t="s">
        <v>3</v>
      </c>
    </row>
    <row r="96" spans="1:13" x14ac:dyDescent="0.3">
      <c r="A96" s="3" t="s">
        <v>13</v>
      </c>
      <c r="B96" s="3">
        <v>310880</v>
      </c>
      <c r="C96" s="3" t="s">
        <v>13</v>
      </c>
      <c r="D96" s="3" t="s">
        <v>12</v>
      </c>
      <c r="E96" s="3" t="s">
        <v>13</v>
      </c>
      <c r="F96" s="3" t="s">
        <v>162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1:13" x14ac:dyDescent="0.3">
      <c r="A97" s="3" t="s">
        <v>163</v>
      </c>
      <c r="B97" s="3">
        <v>310890</v>
      </c>
      <c r="C97" s="3" t="s">
        <v>163</v>
      </c>
      <c r="D97" s="3" t="s">
        <v>31</v>
      </c>
      <c r="E97" s="3" t="s">
        <v>163</v>
      </c>
      <c r="F97" s="3" t="s">
        <v>164</v>
      </c>
      <c r="G97" s="3" t="s">
        <v>3</v>
      </c>
      <c r="H97" s="3" t="s">
        <v>3</v>
      </c>
      <c r="I97" s="3" t="s">
        <v>3</v>
      </c>
      <c r="J97" s="3" t="s">
        <v>3</v>
      </c>
      <c r="K97" s="3" t="s">
        <v>3</v>
      </c>
      <c r="L97" s="3" t="s">
        <v>3</v>
      </c>
      <c r="M97" s="3" t="s">
        <v>3</v>
      </c>
    </row>
    <row r="98" spans="1:13" x14ac:dyDescent="0.3">
      <c r="A98" s="3" t="s">
        <v>129</v>
      </c>
      <c r="B98" s="3">
        <v>310900</v>
      </c>
      <c r="C98" s="3" t="s">
        <v>129</v>
      </c>
      <c r="D98" s="3" t="s">
        <v>4</v>
      </c>
      <c r="E98" s="3" t="s">
        <v>129</v>
      </c>
      <c r="F98" s="3" t="s">
        <v>165</v>
      </c>
      <c r="G98" s="3">
        <v>30</v>
      </c>
      <c r="H98" s="3">
        <v>40</v>
      </c>
      <c r="I98" s="3">
        <v>20</v>
      </c>
      <c r="J98" s="3">
        <v>39</v>
      </c>
      <c r="K98" s="3">
        <v>40</v>
      </c>
      <c r="L98" s="3">
        <v>135</v>
      </c>
      <c r="M98" s="3">
        <v>160</v>
      </c>
    </row>
    <row r="99" spans="1:13" x14ac:dyDescent="0.3">
      <c r="A99" s="3" t="s">
        <v>145</v>
      </c>
      <c r="B99" s="3">
        <v>310910</v>
      </c>
      <c r="C99" s="3" t="s">
        <v>145</v>
      </c>
      <c r="D99" s="3" t="s">
        <v>31</v>
      </c>
      <c r="E99" s="3" t="s">
        <v>145</v>
      </c>
      <c r="F99" s="3" t="s">
        <v>166</v>
      </c>
      <c r="G99" s="3" t="s">
        <v>3</v>
      </c>
      <c r="H99" s="3" t="s">
        <v>3</v>
      </c>
      <c r="I99" s="3" t="s">
        <v>3</v>
      </c>
      <c r="J99" s="3" t="s">
        <v>3</v>
      </c>
      <c r="K99" s="3" t="s">
        <v>3</v>
      </c>
      <c r="L99" s="3" t="s">
        <v>3</v>
      </c>
      <c r="M99" s="3" t="s">
        <v>3</v>
      </c>
    </row>
    <row r="100" spans="1:13" x14ac:dyDescent="0.3">
      <c r="A100" s="3" t="s">
        <v>102</v>
      </c>
      <c r="B100" s="3">
        <v>310920</v>
      </c>
      <c r="C100" s="3" t="s">
        <v>102</v>
      </c>
      <c r="D100" s="3" t="s">
        <v>4</v>
      </c>
      <c r="E100" s="3" t="s">
        <v>102</v>
      </c>
      <c r="F100" s="3" t="s">
        <v>167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1:13" x14ac:dyDescent="0.3">
      <c r="A101" s="3" t="s">
        <v>13</v>
      </c>
      <c r="B101" s="3">
        <v>310925</v>
      </c>
      <c r="C101" s="3" t="s">
        <v>13</v>
      </c>
      <c r="D101" s="3" t="s">
        <v>12</v>
      </c>
      <c r="E101" s="3" t="s">
        <v>13</v>
      </c>
      <c r="F101" s="3" t="s">
        <v>168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1:13" x14ac:dyDescent="0.3">
      <c r="A102" s="3" t="s">
        <v>98</v>
      </c>
      <c r="B102" s="3">
        <v>310930</v>
      </c>
      <c r="C102" s="3" t="s">
        <v>98</v>
      </c>
      <c r="D102" s="3" t="s">
        <v>82</v>
      </c>
      <c r="E102" s="3" t="s">
        <v>98</v>
      </c>
      <c r="F102" s="3" t="s">
        <v>169</v>
      </c>
      <c r="G102" s="3">
        <v>22</v>
      </c>
      <c r="H102" s="3">
        <v>27</v>
      </c>
      <c r="I102" s="3">
        <v>46</v>
      </c>
      <c r="J102" s="3">
        <v>65</v>
      </c>
      <c r="K102" s="3">
        <v>82</v>
      </c>
      <c r="L102" s="3">
        <v>112</v>
      </c>
      <c r="M102" s="3">
        <v>81</v>
      </c>
    </row>
    <row r="103" spans="1:13" x14ac:dyDescent="0.3">
      <c r="A103" s="3" t="s">
        <v>170</v>
      </c>
      <c r="B103" s="3">
        <v>310940</v>
      </c>
      <c r="C103" s="3" t="s">
        <v>170</v>
      </c>
      <c r="D103" s="3" t="s">
        <v>126</v>
      </c>
      <c r="E103" s="3" t="s">
        <v>170</v>
      </c>
      <c r="F103" s="3" t="s">
        <v>171</v>
      </c>
      <c r="G103" s="3" t="s">
        <v>3</v>
      </c>
      <c r="H103" s="3" t="s">
        <v>3</v>
      </c>
      <c r="I103" s="3" t="s">
        <v>3</v>
      </c>
      <c r="J103" s="3" t="s">
        <v>3</v>
      </c>
      <c r="K103" s="3" t="s">
        <v>3</v>
      </c>
      <c r="L103" s="3" t="s">
        <v>3</v>
      </c>
      <c r="M103" s="3" t="s">
        <v>3</v>
      </c>
    </row>
    <row r="104" spans="1:13" x14ac:dyDescent="0.3">
      <c r="A104" s="3" t="s">
        <v>98</v>
      </c>
      <c r="B104" s="3">
        <v>310945</v>
      </c>
      <c r="C104" s="3" t="s">
        <v>98</v>
      </c>
      <c r="D104" s="3" t="s">
        <v>82</v>
      </c>
      <c r="E104" s="3" t="s">
        <v>98</v>
      </c>
      <c r="F104" s="3" t="s">
        <v>172</v>
      </c>
      <c r="G104" s="3" t="s">
        <v>3</v>
      </c>
      <c r="H104" s="3" t="s">
        <v>3</v>
      </c>
      <c r="I104" s="3" t="s">
        <v>3</v>
      </c>
      <c r="J104" s="3" t="s">
        <v>3</v>
      </c>
      <c r="K104" s="3" t="s">
        <v>3</v>
      </c>
      <c r="L104" s="3" t="s">
        <v>3</v>
      </c>
      <c r="M104" s="3" t="s">
        <v>3</v>
      </c>
    </row>
    <row r="105" spans="1:13" x14ac:dyDescent="0.3">
      <c r="A105" s="3" t="s">
        <v>89</v>
      </c>
      <c r="B105" s="3">
        <v>310950</v>
      </c>
      <c r="C105" s="3" t="s">
        <v>89</v>
      </c>
      <c r="D105" s="3" t="s">
        <v>31</v>
      </c>
      <c r="E105" s="3" t="s">
        <v>89</v>
      </c>
      <c r="F105" s="3" t="s">
        <v>173</v>
      </c>
      <c r="G105" s="3">
        <v>2</v>
      </c>
      <c r="H105" s="3">
        <v>2</v>
      </c>
      <c r="I105" s="3">
        <v>1</v>
      </c>
      <c r="J105" s="3">
        <v>2</v>
      </c>
      <c r="K105" s="3">
        <v>1</v>
      </c>
      <c r="L105" s="3">
        <v>1</v>
      </c>
      <c r="M105" s="3">
        <v>12</v>
      </c>
    </row>
    <row r="106" spans="1:13" x14ac:dyDescent="0.3">
      <c r="A106" s="3" t="s">
        <v>5</v>
      </c>
      <c r="B106" s="3">
        <v>310960</v>
      </c>
      <c r="C106" s="3" t="s">
        <v>5</v>
      </c>
      <c r="D106" s="3" t="s">
        <v>4</v>
      </c>
      <c r="E106" s="3" t="s">
        <v>5</v>
      </c>
      <c r="F106" s="3" t="s">
        <v>174</v>
      </c>
      <c r="G106" s="3" t="s">
        <v>3</v>
      </c>
      <c r="H106" s="3" t="s">
        <v>3</v>
      </c>
      <c r="I106" s="3" t="s">
        <v>3</v>
      </c>
      <c r="J106" s="3" t="s">
        <v>3</v>
      </c>
      <c r="K106" s="3" t="s">
        <v>3</v>
      </c>
      <c r="L106" s="3" t="s">
        <v>3</v>
      </c>
      <c r="M106" s="3" t="s">
        <v>3</v>
      </c>
    </row>
    <row r="107" spans="1:13" x14ac:dyDescent="0.3">
      <c r="A107" s="3" t="s">
        <v>145</v>
      </c>
      <c r="B107" s="3">
        <v>310970</v>
      </c>
      <c r="C107" s="3" t="s">
        <v>145</v>
      </c>
      <c r="D107" s="3" t="s">
        <v>31</v>
      </c>
      <c r="E107" s="3" t="s">
        <v>145</v>
      </c>
      <c r="F107" s="3" t="s">
        <v>175</v>
      </c>
      <c r="G107" s="3" t="s">
        <v>3</v>
      </c>
      <c r="H107" s="3" t="s">
        <v>3</v>
      </c>
      <c r="I107" s="3" t="s">
        <v>3</v>
      </c>
      <c r="J107" s="3" t="s">
        <v>3</v>
      </c>
      <c r="K107" s="3" t="s">
        <v>3</v>
      </c>
      <c r="L107" s="3" t="s">
        <v>3</v>
      </c>
      <c r="M107" s="3" t="s">
        <v>3</v>
      </c>
    </row>
    <row r="108" spans="1:13" x14ac:dyDescent="0.3">
      <c r="A108" s="3" t="s">
        <v>176</v>
      </c>
      <c r="B108" s="3">
        <v>310980</v>
      </c>
      <c r="C108" s="3" t="s">
        <v>176</v>
      </c>
      <c r="D108" s="3" t="s">
        <v>0</v>
      </c>
      <c r="E108" s="3" t="s">
        <v>176</v>
      </c>
      <c r="F108" s="3" t="s">
        <v>177</v>
      </c>
      <c r="G108" s="3" t="s">
        <v>3</v>
      </c>
      <c r="H108" s="3" t="s">
        <v>3</v>
      </c>
      <c r="I108" s="3" t="s">
        <v>3</v>
      </c>
      <c r="J108" s="3" t="s">
        <v>3</v>
      </c>
      <c r="K108" s="3" t="s">
        <v>3</v>
      </c>
      <c r="L108" s="3" t="s">
        <v>3</v>
      </c>
      <c r="M108" s="3" t="s">
        <v>3</v>
      </c>
    </row>
    <row r="109" spans="1:13" x14ac:dyDescent="0.3">
      <c r="A109" s="3" t="s">
        <v>5</v>
      </c>
      <c r="B109" s="3">
        <v>310990</v>
      </c>
      <c r="C109" s="3" t="s">
        <v>5</v>
      </c>
      <c r="D109" s="3" t="s">
        <v>4</v>
      </c>
      <c r="E109" s="3" t="s">
        <v>5</v>
      </c>
      <c r="F109" s="3" t="s">
        <v>178</v>
      </c>
      <c r="G109" s="3" t="s">
        <v>3</v>
      </c>
      <c r="H109" s="3" t="s">
        <v>3</v>
      </c>
      <c r="I109" s="3" t="s">
        <v>3</v>
      </c>
      <c r="J109" s="3" t="s">
        <v>3</v>
      </c>
      <c r="K109" s="3" t="s">
        <v>3</v>
      </c>
      <c r="L109" s="3" t="s">
        <v>3</v>
      </c>
      <c r="M109" s="3" t="s">
        <v>3</v>
      </c>
    </row>
    <row r="110" spans="1:13" x14ac:dyDescent="0.3">
      <c r="A110" s="3" t="s">
        <v>120</v>
      </c>
      <c r="B110" s="3">
        <v>311000</v>
      </c>
      <c r="C110" s="3" t="s">
        <v>120</v>
      </c>
      <c r="D110" s="3" t="s">
        <v>4</v>
      </c>
      <c r="E110" s="3" t="s">
        <v>120</v>
      </c>
      <c r="F110" s="3" t="s">
        <v>179</v>
      </c>
      <c r="G110" s="3">
        <v>26</v>
      </c>
      <c r="H110" s="3">
        <v>57</v>
      </c>
      <c r="I110" s="3">
        <v>15</v>
      </c>
      <c r="J110" s="3">
        <v>9</v>
      </c>
      <c r="K110" s="3">
        <v>33</v>
      </c>
      <c r="L110" s="3">
        <v>27</v>
      </c>
      <c r="M110" s="3">
        <v>58</v>
      </c>
    </row>
    <row r="111" spans="1:13" x14ac:dyDescent="0.3">
      <c r="A111" s="3" t="s">
        <v>180</v>
      </c>
      <c r="B111" s="3">
        <v>311010</v>
      </c>
      <c r="C111" s="3" t="s">
        <v>180</v>
      </c>
      <c r="D111" s="3" t="s">
        <v>37</v>
      </c>
      <c r="E111" s="3" t="s">
        <v>180</v>
      </c>
      <c r="F111" s="3" t="s">
        <v>181</v>
      </c>
      <c r="G111" s="3" t="s">
        <v>3</v>
      </c>
      <c r="H111" s="3" t="s">
        <v>3</v>
      </c>
      <c r="I111" s="3" t="s">
        <v>3</v>
      </c>
      <c r="J111" s="3" t="s">
        <v>3</v>
      </c>
      <c r="K111" s="3" t="s">
        <v>3</v>
      </c>
      <c r="L111" s="3" t="s">
        <v>3</v>
      </c>
      <c r="M111" s="3" t="s">
        <v>3</v>
      </c>
    </row>
    <row r="112" spans="1:13" x14ac:dyDescent="0.3">
      <c r="A112" s="3" t="s">
        <v>79</v>
      </c>
      <c r="B112" s="3">
        <v>311020</v>
      </c>
      <c r="C112" s="3" t="s">
        <v>79</v>
      </c>
      <c r="D112" s="3" t="s">
        <v>7</v>
      </c>
      <c r="E112" s="3" t="s">
        <v>79</v>
      </c>
      <c r="F112" s="3" t="s">
        <v>182</v>
      </c>
      <c r="G112" s="3" t="s">
        <v>3</v>
      </c>
      <c r="H112" s="3" t="s">
        <v>3</v>
      </c>
      <c r="I112" s="3" t="s">
        <v>3</v>
      </c>
      <c r="J112" s="3" t="s">
        <v>3</v>
      </c>
      <c r="K112" s="3" t="s">
        <v>3</v>
      </c>
      <c r="L112" s="3" t="s">
        <v>3</v>
      </c>
      <c r="M112" s="3" t="s">
        <v>3</v>
      </c>
    </row>
    <row r="113" spans="1:13" x14ac:dyDescent="0.3">
      <c r="A113" s="3" t="s">
        <v>35</v>
      </c>
      <c r="B113" s="3">
        <v>311030</v>
      </c>
      <c r="C113" s="3" t="s">
        <v>35</v>
      </c>
      <c r="D113" s="3" t="s">
        <v>31</v>
      </c>
      <c r="E113" s="3" t="s">
        <v>35</v>
      </c>
      <c r="F113" s="3" t="s">
        <v>183</v>
      </c>
      <c r="G113" s="3">
        <v>3</v>
      </c>
      <c r="H113" s="3" t="s">
        <v>3</v>
      </c>
      <c r="I113" s="3">
        <v>5</v>
      </c>
      <c r="J113" s="3">
        <v>1</v>
      </c>
      <c r="K113" s="3" t="s">
        <v>3</v>
      </c>
      <c r="L113" s="3" t="s">
        <v>3</v>
      </c>
      <c r="M113" s="3">
        <v>3</v>
      </c>
    </row>
    <row r="114" spans="1:13" x14ac:dyDescent="0.3">
      <c r="A114" s="3" t="s">
        <v>22</v>
      </c>
      <c r="B114" s="3">
        <v>311040</v>
      </c>
      <c r="C114" s="3" t="s">
        <v>22</v>
      </c>
      <c r="D114" s="3" t="s">
        <v>21</v>
      </c>
      <c r="E114" s="3" t="s">
        <v>22</v>
      </c>
      <c r="F114" s="3" t="s">
        <v>184</v>
      </c>
      <c r="G114" s="3" t="s">
        <v>3</v>
      </c>
      <c r="H114" s="3" t="s">
        <v>3</v>
      </c>
      <c r="I114" s="3" t="s">
        <v>3</v>
      </c>
      <c r="J114" s="3" t="s">
        <v>3</v>
      </c>
      <c r="K114" s="3" t="s">
        <v>3</v>
      </c>
      <c r="L114" s="3" t="s">
        <v>3</v>
      </c>
      <c r="M114" s="3" t="s">
        <v>3</v>
      </c>
    </row>
    <row r="115" spans="1:13" x14ac:dyDescent="0.3">
      <c r="A115" s="3" t="s">
        <v>145</v>
      </c>
      <c r="B115" s="3">
        <v>311050</v>
      </c>
      <c r="C115" s="3" t="s">
        <v>145</v>
      </c>
      <c r="D115" s="3" t="s">
        <v>31</v>
      </c>
      <c r="E115" s="3" t="s">
        <v>145</v>
      </c>
      <c r="F115" s="3" t="s">
        <v>185</v>
      </c>
      <c r="G115" s="3">
        <v>17</v>
      </c>
      <c r="H115" s="3">
        <v>4</v>
      </c>
      <c r="I115" s="3">
        <v>14</v>
      </c>
      <c r="J115" s="3">
        <v>13</v>
      </c>
      <c r="K115" s="3">
        <v>12</v>
      </c>
      <c r="L115" s="3">
        <v>14</v>
      </c>
      <c r="M115" s="3">
        <v>9</v>
      </c>
    </row>
    <row r="116" spans="1:13" x14ac:dyDescent="0.3">
      <c r="A116" s="3" t="s">
        <v>145</v>
      </c>
      <c r="B116" s="3">
        <v>311060</v>
      </c>
      <c r="C116" s="3" t="s">
        <v>145</v>
      </c>
      <c r="D116" s="3" t="s">
        <v>31</v>
      </c>
      <c r="E116" s="3" t="s">
        <v>145</v>
      </c>
      <c r="F116" s="3" t="s">
        <v>186</v>
      </c>
      <c r="G116" s="3">
        <v>28</v>
      </c>
      <c r="H116" s="3">
        <v>20</v>
      </c>
      <c r="I116" s="3">
        <v>9</v>
      </c>
      <c r="J116" s="3">
        <v>4</v>
      </c>
      <c r="K116" s="3">
        <v>14</v>
      </c>
      <c r="L116" s="3">
        <v>10</v>
      </c>
      <c r="M116" s="3">
        <v>11</v>
      </c>
    </row>
    <row r="117" spans="1:13" x14ac:dyDescent="0.3">
      <c r="A117" s="3" t="s">
        <v>187</v>
      </c>
      <c r="B117" s="3">
        <v>311070</v>
      </c>
      <c r="C117" s="3" t="s">
        <v>187</v>
      </c>
      <c r="D117" s="3" t="s">
        <v>31</v>
      </c>
      <c r="E117" s="3" t="s">
        <v>187</v>
      </c>
      <c r="F117" s="3" t="s">
        <v>188</v>
      </c>
      <c r="G117" s="3">
        <v>13</v>
      </c>
      <c r="H117" s="3">
        <v>10</v>
      </c>
      <c r="I117" s="3">
        <v>7</v>
      </c>
      <c r="J117" s="3">
        <v>14</v>
      </c>
      <c r="K117" s="3">
        <v>7</v>
      </c>
      <c r="L117" s="3">
        <v>12</v>
      </c>
      <c r="M117" s="3">
        <v>4</v>
      </c>
    </row>
    <row r="118" spans="1:13" x14ac:dyDescent="0.3">
      <c r="A118" s="3" t="s">
        <v>189</v>
      </c>
      <c r="B118" s="3">
        <v>311080</v>
      </c>
      <c r="C118" s="3" t="s">
        <v>189</v>
      </c>
      <c r="D118" s="3" t="s">
        <v>24</v>
      </c>
      <c r="E118" s="3" t="s">
        <v>189</v>
      </c>
      <c r="F118" s="3" t="s">
        <v>190</v>
      </c>
      <c r="G118" s="3" t="s">
        <v>3</v>
      </c>
      <c r="H118" s="3" t="s">
        <v>3</v>
      </c>
      <c r="I118" s="3" t="s">
        <v>3</v>
      </c>
      <c r="J118" s="3" t="s">
        <v>3</v>
      </c>
      <c r="K118" s="3" t="s">
        <v>3</v>
      </c>
      <c r="L118" s="3" t="s">
        <v>3</v>
      </c>
      <c r="M118" s="3" t="s">
        <v>3</v>
      </c>
    </row>
    <row r="119" spans="1:13" x14ac:dyDescent="0.3">
      <c r="A119" s="3" t="s">
        <v>187</v>
      </c>
      <c r="B119" s="3">
        <v>311090</v>
      </c>
      <c r="C119" s="3" t="s">
        <v>187</v>
      </c>
      <c r="D119" s="3" t="s">
        <v>31</v>
      </c>
      <c r="E119" s="3" t="s">
        <v>187</v>
      </c>
      <c r="F119" s="3" t="s">
        <v>191</v>
      </c>
      <c r="G119" s="3" t="s">
        <v>3</v>
      </c>
      <c r="H119" s="3" t="s">
        <v>3</v>
      </c>
      <c r="I119" s="3" t="s">
        <v>3</v>
      </c>
      <c r="J119" s="3" t="s">
        <v>3</v>
      </c>
      <c r="K119" s="3" t="s">
        <v>3</v>
      </c>
      <c r="L119" s="3" t="s">
        <v>3</v>
      </c>
      <c r="M119" s="3" t="s">
        <v>3</v>
      </c>
    </row>
    <row r="120" spans="1:13" x14ac:dyDescent="0.3">
      <c r="A120" s="3" t="s">
        <v>40</v>
      </c>
      <c r="B120" s="3">
        <v>311100</v>
      </c>
      <c r="C120" s="3" t="s">
        <v>40</v>
      </c>
      <c r="D120" s="3" t="s">
        <v>31</v>
      </c>
      <c r="E120" s="3" t="s">
        <v>40</v>
      </c>
      <c r="F120" s="3" t="s">
        <v>192</v>
      </c>
      <c r="G120" s="3">
        <v>9</v>
      </c>
      <c r="H120" s="3">
        <v>9</v>
      </c>
      <c r="I120" s="3">
        <v>5</v>
      </c>
      <c r="J120" s="3">
        <v>4</v>
      </c>
      <c r="K120" s="3">
        <v>6</v>
      </c>
      <c r="L120" s="3" t="s">
        <v>3</v>
      </c>
      <c r="M120" s="3" t="s">
        <v>3</v>
      </c>
    </row>
    <row r="121" spans="1:13" x14ac:dyDescent="0.3">
      <c r="A121" s="3" t="s">
        <v>176</v>
      </c>
      <c r="B121" s="3">
        <v>311110</v>
      </c>
      <c r="C121" s="3" t="s">
        <v>176</v>
      </c>
      <c r="D121" s="3" t="s">
        <v>0</v>
      </c>
      <c r="E121" s="3" t="s">
        <v>176</v>
      </c>
      <c r="F121" s="3" t="s">
        <v>193</v>
      </c>
      <c r="G121" s="3" t="s">
        <v>3</v>
      </c>
      <c r="H121" s="3">
        <v>11</v>
      </c>
      <c r="I121" s="3">
        <v>7</v>
      </c>
      <c r="J121" s="3" t="s">
        <v>3</v>
      </c>
      <c r="K121" s="3">
        <v>2</v>
      </c>
      <c r="L121" s="3">
        <v>6</v>
      </c>
      <c r="M121" s="3">
        <v>4</v>
      </c>
    </row>
    <row r="122" spans="1:13" x14ac:dyDescent="0.3">
      <c r="A122" s="3" t="s">
        <v>158</v>
      </c>
      <c r="B122" s="3">
        <v>311115</v>
      </c>
      <c r="C122" s="3" t="s">
        <v>158</v>
      </c>
      <c r="D122" s="3" t="s">
        <v>126</v>
      </c>
      <c r="E122" s="3" t="s">
        <v>158</v>
      </c>
      <c r="F122" s="3" t="s">
        <v>194</v>
      </c>
      <c r="G122" s="3" t="s">
        <v>3</v>
      </c>
      <c r="H122" s="3" t="s">
        <v>3</v>
      </c>
      <c r="I122" s="3" t="s">
        <v>3</v>
      </c>
      <c r="J122" s="3" t="s">
        <v>3</v>
      </c>
      <c r="K122" s="3" t="s">
        <v>3</v>
      </c>
      <c r="L122" s="3" t="s">
        <v>3</v>
      </c>
      <c r="M122" s="3" t="s">
        <v>3</v>
      </c>
    </row>
    <row r="123" spans="1:13" x14ac:dyDescent="0.3">
      <c r="A123" s="3" t="s">
        <v>22</v>
      </c>
      <c r="B123" s="3">
        <v>311120</v>
      </c>
      <c r="C123" s="3" t="s">
        <v>22</v>
      </c>
      <c r="D123" s="3" t="s">
        <v>21</v>
      </c>
      <c r="E123" s="3" t="s">
        <v>22</v>
      </c>
      <c r="F123" s="3" t="s">
        <v>22</v>
      </c>
      <c r="G123" s="3">
        <v>45</v>
      </c>
      <c r="H123" s="3">
        <v>75</v>
      </c>
      <c r="I123" s="3">
        <v>73</v>
      </c>
      <c r="J123" s="3">
        <v>22</v>
      </c>
      <c r="K123" s="3">
        <v>136</v>
      </c>
      <c r="L123" s="3">
        <v>135</v>
      </c>
      <c r="M123" s="3">
        <v>133</v>
      </c>
    </row>
    <row r="124" spans="1:13" x14ac:dyDescent="0.3">
      <c r="A124" s="3" t="s">
        <v>40</v>
      </c>
      <c r="B124" s="3">
        <v>311130</v>
      </c>
      <c r="C124" s="3" t="s">
        <v>40</v>
      </c>
      <c r="D124" s="3" t="s">
        <v>31</v>
      </c>
      <c r="E124" s="3" t="s">
        <v>40</v>
      </c>
      <c r="F124" s="3" t="s">
        <v>195</v>
      </c>
      <c r="G124" s="3" t="s">
        <v>3</v>
      </c>
      <c r="H124" s="3" t="s">
        <v>3</v>
      </c>
      <c r="I124" s="3" t="s">
        <v>3</v>
      </c>
      <c r="J124" s="3" t="s">
        <v>3</v>
      </c>
      <c r="K124" s="3" t="s">
        <v>3</v>
      </c>
      <c r="L124" s="3" t="s">
        <v>3</v>
      </c>
      <c r="M124" s="3" t="s">
        <v>3</v>
      </c>
    </row>
    <row r="125" spans="1:13" x14ac:dyDescent="0.3">
      <c r="A125" s="3" t="s">
        <v>19</v>
      </c>
      <c r="B125" s="3">
        <v>311140</v>
      </c>
      <c r="C125" s="3" t="s">
        <v>19</v>
      </c>
      <c r="D125" s="3" t="s">
        <v>18</v>
      </c>
      <c r="E125" s="3" t="s">
        <v>19</v>
      </c>
      <c r="F125" s="3" t="s">
        <v>196</v>
      </c>
      <c r="G125" s="3" t="s">
        <v>3</v>
      </c>
      <c r="H125" s="3" t="s">
        <v>3</v>
      </c>
      <c r="I125" s="3" t="s">
        <v>3</v>
      </c>
      <c r="J125" s="3" t="s">
        <v>3</v>
      </c>
      <c r="K125" s="3" t="s">
        <v>3</v>
      </c>
      <c r="L125" s="3" t="s">
        <v>3</v>
      </c>
      <c r="M125" s="3" t="s">
        <v>3</v>
      </c>
    </row>
    <row r="126" spans="1:13" x14ac:dyDescent="0.3">
      <c r="A126" s="3" t="s">
        <v>87</v>
      </c>
      <c r="B126" s="3">
        <v>311150</v>
      </c>
      <c r="C126" s="3" t="s">
        <v>87</v>
      </c>
      <c r="D126" s="3" t="s">
        <v>18</v>
      </c>
      <c r="E126" s="3" t="s">
        <v>87</v>
      </c>
      <c r="F126" s="3" t="s">
        <v>197</v>
      </c>
      <c r="G126" s="3">
        <v>15</v>
      </c>
      <c r="H126" s="3">
        <v>30</v>
      </c>
      <c r="I126" s="3">
        <v>16</v>
      </c>
      <c r="J126" s="3">
        <v>11</v>
      </c>
      <c r="K126" s="3">
        <v>13</v>
      </c>
      <c r="L126" s="3">
        <v>27</v>
      </c>
      <c r="M126" s="3">
        <v>35</v>
      </c>
    </row>
    <row r="127" spans="1:13" x14ac:dyDescent="0.3">
      <c r="A127" s="3" t="s">
        <v>40</v>
      </c>
      <c r="B127" s="3">
        <v>311160</v>
      </c>
      <c r="C127" s="3" t="s">
        <v>40</v>
      </c>
      <c r="D127" s="3" t="s">
        <v>31</v>
      </c>
      <c r="E127" s="3" t="s">
        <v>40</v>
      </c>
      <c r="F127" s="3" t="s">
        <v>198</v>
      </c>
      <c r="G127" s="3">
        <v>52</v>
      </c>
      <c r="H127" s="3">
        <v>67</v>
      </c>
      <c r="I127" s="3">
        <v>71</v>
      </c>
      <c r="J127" s="3">
        <v>119</v>
      </c>
      <c r="K127" s="3">
        <v>99</v>
      </c>
      <c r="L127" s="3">
        <v>81</v>
      </c>
      <c r="M127" s="3">
        <v>62</v>
      </c>
    </row>
    <row r="128" spans="1:13" x14ac:dyDescent="0.3">
      <c r="A128" s="3" t="s">
        <v>79</v>
      </c>
      <c r="B128" s="3">
        <v>311170</v>
      </c>
      <c r="C128" s="3" t="s">
        <v>79</v>
      </c>
      <c r="D128" s="3" t="s">
        <v>7</v>
      </c>
      <c r="E128" s="3" t="s">
        <v>79</v>
      </c>
      <c r="F128" s="3" t="s">
        <v>199</v>
      </c>
      <c r="G128" s="3" t="s">
        <v>3</v>
      </c>
      <c r="H128" s="3" t="s">
        <v>3</v>
      </c>
      <c r="I128" s="3" t="s">
        <v>3</v>
      </c>
      <c r="J128" s="3" t="s">
        <v>3</v>
      </c>
      <c r="K128" s="3" t="s">
        <v>3</v>
      </c>
      <c r="L128" s="3" t="s">
        <v>3</v>
      </c>
      <c r="M128" s="3" t="s">
        <v>3</v>
      </c>
    </row>
    <row r="129" spans="1:13" x14ac:dyDescent="0.3">
      <c r="A129" s="3" t="s">
        <v>176</v>
      </c>
      <c r="B129" s="3">
        <v>311180</v>
      </c>
      <c r="C129" s="3" t="s">
        <v>176</v>
      </c>
      <c r="D129" s="3" t="s">
        <v>0</v>
      </c>
      <c r="E129" s="3" t="s">
        <v>176</v>
      </c>
      <c r="F129" s="3" t="s">
        <v>200</v>
      </c>
      <c r="G129" s="3">
        <v>87</v>
      </c>
      <c r="H129" s="3">
        <v>74</v>
      </c>
      <c r="I129" s="3">
        <v>47</v>
      </c>
      <c r="J129" s="3">
        <v>39</v>
      </c>
      <c r="K129" s="3">
        <v>33</v>
      </c>
      <c r="L129" s="3">
        <v>49</v>
      </c>
      <c r="M129" s="3">
        <v>37</v>
      </c>
    </row>
    <row r="130" spans="1:13" x14ac:dyDescent="0.3">
      <c r="A130" s="3" t="s">
        <v>22</v>
      </c>
      <c r="B130" s="3">
        <v>311190</v>
      </c>
      <c r="C130" s="3" t="s">
        <v>22</v>
      </c>
      <c r="D130" s="3" t="s">
        <v>21</v>
      </c>
      <c r="E130" s="3" t="s">
        <v>22</v>
      </c>
      <c r="F130" s="3" t="s">
        <v>201</v>
      </c>
      <c r="G130" s="3" t="s">
        <v>3</v>
      </c>
      <c r="H130" s="3" t="s">
        <v>3</v>
      </c>
      <c r="I130" s="3" t="s">
        <v>3</v>
      </c>
      <c r="J130" s="3" t="s">
        <v>3</v>
      </c>
      <c r="K130" s="3" t="s">
        <v>3</v>
      </c>
      <c r="L130" s="3" t="s">
        <v>3</v>
      </c>
      <c r="M130" s="3" t="s">
        <v>3</v>
      </c>
    </row>
    <row r="131" spans="1:13" x14ac:dyDescent="0.3">
      <c r="A131" s="3" t="s">
        <v>22</v>
      </c>
      <c r="B131" s="3">
        <v>311200</v>
      </c>
      <c r="C131" s="3" t="s">
        <v>22</v>
      </c>
      <c r="D131" s="3" t="s">
        <v>21</v>
      </c>
      <c r="E131" s="3" t="s">
        <v>22</v>
      </c>
      <c r="F131" s="3" t="s">
        <v>202</v>
      </c>
      <c r="G131" s="3" t="s">
        <v>3</v>
      </c>
      <c r="H131" s="3" t="s">
        <v>3</v>
      </c>
      <c r="I131" s="3" t="s">
        <v>3</v>
      </c>
      <c r="J131" s="3" t="s">
        <v>3</v>
      </c>
      <c r="K131" s="3" t="s">
        <v>3</v>
      </c>
      <c r="L131" s="3" t="s">
        <v>3</v>
      </c>
      <c r="M131" s="3" t="s">
        <v>3</v>
      </c>
    </row>
    <row r="132" spans="1:13" x14ac:dyDescent="0.3">
      <c r="A132" s="3" t="s">
        <v>203</v>
      </c>
      <c r="B132" s="3">
        <v>311205</v>
      </c>
      <c r="C132" s="3" t="s">
        <v>203</v>
      </c>
      <c r="D132" s="3" t="s">
        <v>15</v>
      </c>
      <c r="E132" s="3" t="s">
        <v>203</v>
      </c>
      <c r="F132" s="3" t="s">
        <v>204</v>
      </c>
      <c r="G132" s="3" t="s">
        <v>3</v>
      </c>
      <c r="H132" s="3" t="s">
        <v>3</v>
      </c>
      <c r="I132" s="3" t="s">
        <v>3</v>
      </c>
      <c r="J132" s="3" t="s">
        <v>3</v>
      </c>
      <c r="K132" s="3" t="s">
        <v>3</v>
      </c>
      <c r="L132" s="3" t="s">
        <v>3</v>
      </c>
      <c r="M132" s="3" t="s">
        <v>3</v>
      </c>
    </row>
    <row r="133" spans="1:13" x14ac:dyDescent="0.3">
      <c r="A133" s="3" t="s">
        <v>180</v>
      </c>
      <c r="B133" s="3">
        <v>311210</v>
      </c>
      <c r="C133" s="3" t="s">
        <v>180</v>
      </c>
      <c r="D133" s="3" t="s">
        <v>37</v>
      </c>
      <c r="E133" s="3" t="s">
        <v>180</v>
      </c>
      <c r="F133" s="3" t="s">
        <v>205</v>
      </c>
      <c r="G133" s="3" t="s">
        <v>3</v>
      </c>
      <c r="H133" s="3" t="s">
        <v>3</v>
      </c>
      <c r="I133" s="3" t="s">
        <v>3</v>
      </c>
      <c r="J133" s="3" t="s">
        <v>3</v>
      </c>
      <c r="K133" s="3" t="s">
        <v>3</v>
      </c>
      <c r="L133" s="3" t="s">
        <v>3</v>
      </c>
      <c r="M133" s="3" t="s">
        <v>3</v>
      </c>
    </row>
    <row r="134" spans="1:13" x14ac:dyDescent="0.3">
      <c r="A134" s="3" t="s">
        <v>43</v>
      </c>
      <c r="B134" s="3">
        <v>311220</v>
      </c>
      <c r="C134" s="3" t="s">
        <v>43</v>
      </c>
      <c r="D134" s="3" t="s">
        <v>42</v>
      </c>
      <c r="E134" s="3" t="s">
        <v>43</v>
      </c>
      <c r="F134" s="3" t="s">
        <v>206</v>
      </c>
      <c r="G134" s="3" t="s">
        <v>3</v>
      </c>
      <c r="H134" s="3" t="s">
        <v>3</v>
      </c>
      <c r="I134" s="3" t="s">
        <v>3</v>
      </c>
      <c r="J134" s="3" t="s">
        <v>3</v>
      </c>
      <c r="K134" s="3" t="s">
        <v>3</v>
      </c>
      <c r="L134" s="3" t="s">
        <v>3</v>
      </c>
      <c r="M134" s="3" t="s">
        <v>3</v>
      </c>
    </row>
    <row r="135" spans="1:13" x14ac:dyDescent="0.3">
      <c r="A135" s="3" t="s">
        <v>96</v>
      </c>
      <c r="B135" s="3">
        <v>311230</v>
      </c>
      <c r="C135" s="3" t="s">
        <v>96</v>
      </c>
      <c r="D135" s="3" t="s">
        <v>56</v>
      </c>
      <c r="E135" s="3" t="s">
        <v>96</v>
      </c>
      <c r="F135" s="3" t="s">
        <v>207</v>
      </c>
      <c r="G135" s="3">
        <v>16</v>
      </c>
      <c r="H135" s="3">
        <v>49</v>
      </c>
      <c r="I135" s="3">
        <v>24</v>
      </c>
      <c r="J135" s="3">
        <v>33</v>
      </c>
      <c r="K135" s="3">
        <v>71</v>
      </c>
      <c r="L135" s="3">
        <v>63</v>
      </c>
      <c r="M135" s="3">
        <v>46</v>
      </c>
    </row>
    <row r="136" spans="1:13" x14ac:dyDescent="0.3">
      <c r="A136" s="3" t="s">
        <v>208</v>
      </c>
      <c r="B136" s="3">
        <v>311240</v>
      </c>
      <c r="C136" s="3" t="s">
        <v>208</v>
      </c>
      <c r="D136" s="3" t="s">
        <v>31</v>
      </c>
      <c r="E136" s="3" t="s">
        <v>208</v>
      </c>
      <c r="F136" s="3" t="s">
        <v>209</v>
      </c>
      <c r="G136" s="3" t="s">
        <v>3</v>
      </c>
      <c r="H136" s="3" t="s">
        <v>3</v>
      </c>
      <c r="I136" s="3" t="s">
        <v>3</v>
      </c>
      <c r="J136" s="3" t="s">
        <v>3</v>
      </c>
      <c r="K136" s="3" t="s">
        <v>3</v>
      </c>
      <c r="L136" s="3" t="s">
        <v>3</v>
      </c>
      <c r="M136" s="3" t="s">
        <v>3</v>
      </c>
    </row>
    <row r="137" spans="1:13" x14ac:dyDescent="0.3">
      <c r="A137" s="3" t="s">
        <v>5</v>
      </c>
      <c r="B137" s="3">
        <v>311250</v>
      </c>
      <c r="C137" s="3" t="s">
        <v>5</v>
      </c>
      <c r="D137" s="3" t="s">
        <v>4</v>
      </c>
      <c r="E137" s="3" t="s">
        <v>5</v>
      </c>
      <c r="F137" s="3" t="s">
        <v>210</v>
      </c>
      <c r="G137" s="3" t="s">
        <v>3</v>
      </c>
      <c r="H137" s="3" t="s">
        <v>3</v>
      </c>
      <c r="I137" s="3" t="s">
        <v>3</v>
      </c>
      <c r="J137" s="3" t="s">
        <v>3</v>
      </c>
      <c r="K137" s="3" t="s">
        <v>3</v>
      </c>
      <c r="L137" s="3" t="s">
        <v>3</v>
      </c>
      <c r="M137" s="3" t="s">
        <v>3</v>
      </c>
    </row>
    <row r="138" spans="1:13" x14ac:dyDescent="0.3">
      <c r="A138" s="3" t="s">
        <v>176</v>
      </c>
      <c r="B138" s="3">
        <v>311260</v>
      </c>
      <c r="C138" s="3" t="s">
        <v>176</v>
      </c>
      <c r="D138" s="3" t="s">
        <v>0</v>
      </c>
      <c r="E138" s="3" t="s">
        <v>176</v>
      </c>
      <c r="F138" s="3" t="s">
        <v>211</v>
      </c>
      <c r="G138" s="3">
        <v>52</v>
      </c>
      <c r="H138" s="3">
        <v>50</v>
      </c>
      <c r="I138" s="3">
        <v>25</v>
      </c>
      <c r="J138" s="3">
        <v>31</v>
      </c>
      <c r="K138" s="3">
        <v>41</v>
      </c>
      <c r="L138" s="3">
        <v>39</v>
      </c>
      <c r="M138" s="3">
        <v>35</v>
      </c>
    </row>
    <row r="139" spans="1:13" x14ac:dyDescent="0.3">
      <c r="A139" s="3" t="s">
        <v>47</v>
      </c>
      <c r="B139" s="3">
        <v>311265</v>
      </c>
      <c r="C139" s="3" t="s">
        <v>47</v>
      </c>
      <c r="D139" s="3" t="s">
        <v>15</v>
      </c>
      <c r="E139" s="3" t="s">
        <v>47</v>
      </c>
      <c r="F139" s="3" t="s">
        <v>212</v>
      </c>
      <c r="G139" s="3" t="s">
        <v>3</v>
      </c>
      <c r="H139" s="3" t="s">
        <v>3</v>
      </c>
      <c r="I139" s="3" t="s">
        <v>3</v>
      </c>
      <c r="J139" s="3" t="s">
        <v>3</v>
      </c>
      <c r="K139" s="3" t="s">
        <v>3</v>
      </c>
      <c r="L139" s="3" t="s">
        <v>3</v>
      </c>
      <c r="M139" s="3" t="s">
        <v>3</v>
      </c>
    </row>
    <row r="140" spans="1:13" x14ac:dyDescent="0.3">
      <c r="A140" s="3" t="s">
        <v>154</v>
      </c>
      <c r="B140" s="3">
        <v>311270</v>
      </c>
      <c r="C140" s="3" t="s">
        <v>154</v>
      </c>
      <c r="D140" s="3" t="s">
        <v>126</v>
      </c>
      <c r="E140" s="3" t="s">
        <v>154</v>
      </c>
      <c r="F140" s="3" t="s">
        <v>213</v>
      </c>
      <c r="G140" s="3" t="s">
        <v>3</v>
      </c>
      <c r="H140" s="3" t="s">
        <v>3</v>
      </c>
      <c r="I140" s="3" t="s">
        <v>3</v>
      </c>
      <c r="J140" s="3" t="s">
        <v>3</v>
      </c>
      <c r="K140" s="3" t="s">
        <v>3</v>
      </c>
      <c r="L140" s="3" t="s">
        <v>3</v>
      </c>
      <c r="M140" s="3" t="s">
        <v>3</v>
      </c>
    </row>
    <row r="141" spans="1:13" x14ac:dyDescent="0.3">
      <c r="A141" s="3" t="s">
        <v>214</v>
      </c>
      <c r="B141" s="3">
        <v>311280</v>
      </c>
      <c r="C141" s="3" t="s">
        <v>214</v>
      </c>
      <c r="D141" s="3" t="s">
        <v>31</v>
      </c>
      <c r="E141" s="3" t="s">
        <v>214</v>
      </c>
      <c r="F141" s="3" t="s">
        <v>215</v>
      </c>
      <c r="G141" s="3">
        <v>2</v>
      </c>
      <c r="H141" s="3" t="s">
        <v>3</v>
      </c>
      <c r="I141" s="3" t="s">
        <v>3</v>
      </c>
      <c r="J141" s="3" t="s">
        <v>3</v>
      </c>
      <c r="K141" s="3">
        <v>1</v>
      </c>
      <c r="L141" s="3">
        <v>1</v>
      </c>
      <c r="M141" s="3" t="s">
        <v>3</v>
      </c>
    </row>
    <row r="142" spans="1:13" x14ac:dyDescent="0.3">
      <c r="A142" s="3" t="s">
        <v>8</v>
      </c>
      <c r="B142" s="3">
        <v>311290</v>
      </c>
      <c r="C142" s="3" t="s">
        <v>8</v>
      </c>
      <c r="D142" s="3" t="s">
        <v>7</v>
      </c>
      <c r="E142" s="3" t="s">
        <v>8</v>
      </c>
      <c r="F142" s="3" t="s">
        <v>216</v>
      </c>
      <c r="G142" s="3" t="s">
        <v>3</v>
      </c>
      <c r="H142" s="3" t="s">
        <v>3</v>
      </c>
      <c r="I142" s="3" t="s">
        <v>3</v>
      </c>
      <c r="J142" s="3" t="s">
        <v>3</v>
      </c>
      <c r="K142" s="3" t="s">
        <v>3</v>
      </c>
      <c r="L142" s="3" t="s">
        <v>3</v>
      </c>
      <c r="M142" s="3" t="s">
        <v>3</v>
      </c>
    </row>
    <row r="143" spans="1:13" x14ac:dyDescent="0.3">
      <c r="A143" s="3" t="s">
        <v>217</v>
      </c>
      <c r="B143" s="3">
        <v>311300</v>
      </c>
      <c r="C143" s="3" t="s">
        <v>217</v>
      </c>
      <c r="D143" s="3" t="s">
        <v>24</v>
      </c>
      <c r="E143" s="3" t="s">
        <v>217</v>
      </c>
      <c r="F143" s="3" t="s">
        <v>218</v>
      </c>
      <c r="G143" s="3">
        <v>26</v>
      </c>
      <c r="H143" s="3">
        <v>17</v>
      </c>
      <c r="I143" s="3">
        <v>3</v>
      </c>
      <c r="J143" s="3" t="s">
        <v>3</v>
      </c>
      <c r="K143" s="3">
        <v>10</v>
      </c>
      <c r="L143" s="3">
        <v>38</v>
      </c>
      <c r="M143" s="3">
        <v>56</v>
      </c>
    </row>
    <row r="144" spans="1:13" x14ac:dyDescent="0.3">
      <c r="A144" s="3" t="s">
        <v>219</v>
      </c>
      <c r="B144" s="3">
        <v>311310</v>
      </c>
      <c r="C144" s="3" t="s">
        <v>219</v>
      </c>
      <c r="D144" s="3" t="s">
        <v>42</v>
      </c>
      <c r="E144" s="3" t="s">
        <v>219</v>
      </c>
      <c r="F144" s="3" t="s">
        <v>220</v>
      </c>
      <c r="G144" s="3" t="s">
        <v>3</v>
      </c>
      <c r="H144" s="3" t="s">
        <v>3</v>
      </c>
      <c r="I144" s="3" t="s">
        <v>3</v>
      </c>
      <c r="J144" s="3" t="s">
        <v>3</v>
      </c>
      <c r="K144" s="3" t="s">
        <v>3</v>
      </c>
      <c r="L144" s="3" t="s">
        <v>3</v>
      </c>
      <c r="M144" s="3" t="s">
        <v>3</v>
      </c>
    </row>
    <row r="145" spans="1:13" x14ac:dyDescent="0.3">
      <c r="A145" s="3" t="s">
        <v>43</v>
      </c>
      <c r="B145" s="3">
        <v>311320</v>
      </c>
      <c r="C145" s="3" t="s">
        <v>43</v>
      </c>
      <c r="D145" s="3" t="s">
        <v>42</v>
      </c>
      <c r="E145" s="3" t="s">
        <v>43</v>
      </c>
      <c r="F145" s="3" t="s">
        <v>221</v>
      </c>
      <c r="G145" s="3">
        <v>50</v>
      </c>
      <c r="H145" s="3">
        <v>43</v>
      </c>
      <c r="I145" s="3">
        <v>23</v>
      </c>
      <c r="J145" s="3">
        <v>16</v>
      </c>
      <c r="K145" s="3">
        <v>46</v>
      </c>
      <c r="L145" s="3">
        <v>33</v>
      </c>
      <c r="M145" s="3">
        <v>32</v>
      </c>
    </row>
    <row r="146" spans="1:13" x14ac:dyDescent="0.3">
      <c r="A146" s="3" t="s">
        <v>180</v>
      </c>
      <c r="B146" s="3">
        <v>311330</v>
      </c>
      <c r="C146" s="3" t="s">
        <v>180</v>
      </c>
      <c r="D146" s="3" t="s">
        <v>37</v>
      </c>
      <c r="E146" s="3" t="s">
        <v>180</v>
      </c>
      <c r="F146" s="3" t="s">
        <v>180</v>
      </c>
      <c r="G146" s="3">
        <v>137</v>
      </c>
      <c r="H146" s="3">
        <v>130</v>
      </c>
      <c r="I146" s="3">
        <v>64</v>
      </c>
      <c r="J146" s="3">
        <v>63</v>
      </c>
      <c r="K146" s="3">
        <v>143</v>
      </c>
      <c r="L146" s="3">
        <v>97</v>
      </c>
      <c r="M146" s="3">
        <v>49</v>
      </c>
    </row>
    <row r="147" spans="1:13" x14ac:dyDescent="0.3">
      <c r="A147" s="3" t="s">
        <v>143</v>
      </c>
      <c r="B147" s="3">
        <v>311340</v>
      </c>
      <c r="C147" s="3" t="s">
        <v>143</v>
      </c>
      <c r="D147" s="3" t="s">
        <v>12</v>
      </c>
      <c r="E147" s="3" t="s">
        <v>143</v>
      </c>
      <c r="F147" s="3" t="s">
        <v>143</v>
      </c>
      <c r="G147" s="3">
        <v>126</v>
      </c>
      <c r="H147" s="3">
        <v>75</v>
      </c>
      <c r="I147" s="3">
        <v>108</v>
      </c>
      <c r="J147" s="3">
        <v>199</v>
      </c>
      <c r="K147" s="3">
        <v>348</v>
      </c>
      <c r="L147" s="3">
        <v>408</v>
      </c>
      <c r="M147" s="3">
        <v>345</v>
      </c>
    </row>
    <row r="148" spans="1:13" x14ac:dyDescent="0.3">
      <c r="A148" s="3" t="s">
        <v>222</v>
      </c>
      <c r="B148" s="3">
        <v>311350</v>
      </c>
      <c r="C148" s="3" t="s">
        <v>222</v>
      </c>
      <c r="D148" s="3" t="s">
        <v>56</v>
      </c>
      <c r="E148" s="3" t="s">
        <v>222</v>
      </c>
      <c r="F148" s="3" t="s">
        <v>223</v>
      </c>
      <c r="G148" s="3" t="s">
        <v>3</v>
      </c>
      <c r="H148" s="3" t="s">
        <v>3</v>
      </c>
      <c r="I148" s="3" t="s">
        <v>3</v>
      </c>
      <c r="J148" s="3" t="s">
        <v>3</v>
      </c>
      <c r="K148" s="3" t="s">
        <v>3</v>
      </c>
      <c r="L148" s="3" t="s">
        <v>3</v>
      </c>
      <c r="M148" s="3" t="s">
        <v>3</v>
      </c>
    </row>
    <row r="149" spans="1:13" x14ac:dyDescent="0.3">
      <c r="A149" s="3" t="s">
        <v>145</v>
      </c>
      <c r="B149" s="3">
        <v>311360</v>
      </c>
      <c r="C149" s="3" t="s">
        <v>145</v>
      </c>
      <c r="D149" s="3" t="s">
        <v>31</v>
      </c>
      <c r="E149" s="3" t="s">
        <v>145</v>
      </c>
      <c r="F149" s="3" t="s">
        <v>224</v>
      </c>
      <c r="G149" s="3" t="s">
        <v>3</v>
      </c>
      <c r="H149" s="3" t="s">
        <v>3</v>
      </c>
      <c r="I149" s="3" t="s">
        <v>3</v>
      </c>
      <c r="J149" s="3" t="s">
        <v>3</v>
      </c>
      <c r="K149" s="3" t="s">
        <v>3</v>
      </c>
      <c r="L149" s="3" t="s">
        <v>3</v>
      </c>
      <c r="M149" s="3" t="s">
        <v>3</v>
      </c>
    </row>
    <row r="150" spans="1:13" x14ac:dyDescent="0.3">
      <c r="A150" s="3" t="s">
        <v>225</v>
      </c>
      <c r="B150" s="3">
        <v>311370</v>
      </c>
      <c r="C150" s="3" t="s">
        <v>225</v>
      </c>
      <c r="D150" s="3" t="s">
        <v>24</v>
      </c>
      <c r="E150" s="3" t="s">
        <v>225</v>
      </c>
      <c r="F150" s="3" t="s">
        <v>226</v>
      </c>
      <c r="G150" s="3">
        <v>11</v>
      </c>
      <c r="H150" s="3">
        <v>23</v>
      </c>
      <c r="I150" s="3">
        <v>2</v>
      </c>
      <c r="J150" s="3">
        <v>10</v>
      </c>
      <c r="K150" s="3">
        <v>35</v>
      </c>
      <c r="L150" s="3">
        <v>29</v>
      </c>
      <c r="M150" s="3">
        <v>57</v>
      </c>
    </row>
    <row r="151" spans="1:13" x14ac:dyDescent="0.3">
      <c r="A151" s="3" t="s">
        <v>227</v>
      </c>
      <c r="B151" s="3">
        <v>311380</v>
      </c>
      <c r="C151" s="3" t="s">
        <v>227</v>
      </c>
      <c r="D151" s="3" t="s">
        <v>4</v>
      </c>
      <c r="E151" s="3" t="s">
        <v>227</v>
      </c>
      <c r="F151" s="3" t="s">
        <v>228</v>
      </c>
      <c r="G151" s="3" t="s">
        <v>3</v>
      </c>
      <c r="H151" s="3" t="s">
        <v>3</v>
      </c>
      <c r="I151" s="3" t="s">
        <v>3</v>
      </c>
      <c r="J151" s="3" t="s">
        <v>3</v>
      </c>
      <c r="K151" s="3" t="s">
        <v>3</v>
      </c>
      <c r="L151" s="3" t="s">
        <v>3</v>
      </c>
      <c r="M151" s="3" t="s">
        <v>3</v>
      </c>
    </row>
    <row r="152" spans="1:13" x14ac:dyDescent="0.3">
      <c r="A152" s="3" t="s">
        <v>187</v>
      </c>
      <c r="B152" s="3">
        <v>311390</v>
      </c>
      <c r="C152" s="3" t="s">
        <v>187</v>
      </c>
      <c r="D152" s="3" t="s">
        <v>31</v>
      </c>
      <c r="E152" s="3" t="s">
        <v>187</v>
      </c>
      <c r="F152" s="3" t="s">
        <v>229</v>
      </c>
      <c r="G152" s="3" t="s">
        <v>3</v>
      </c>
      <c r="H152" s="3">
        <v>3</v>
      </c>
      <c r="I152" s="3" t="s">
        <v>3</v>
      </c>
      <c r="J152" s="3" t="s">
        <v>3</v>
      </c>
      <c r="K152" s="3">
        <v>1</v>
      </c>
      <c r="L152" s="3" t="s">
        <v>3</v>
      </c>
      <c r="M152" s="3" t="s">
        <v>3</v>
      </c>
    </row>
    <row r="153" spans="1:13" x14ac:dyDescent="0.3">
      <c r="A153" s="3" t="s">
        <v>230</v>
      </c>
      <c r="B153" s="3">
        <v>311400</v>
      </c>
      <c r="C153" s="3" t="s">
        <v>230</v>
      </c>
      <c r="D153" s="3" t="s">
        <v>21</v>
      </c>
      <c r="E153" s="3" t="s">
        <v>230</v>
      </c>
      <c r="F153" s="3" t="s">
        <v>231</v>
      </c>
      <c r="G153" s="3" t="s">
        <v>3</v>
      </c>
      <c r="H153" s="3" t="s">
        <v>3</v>
      </c>
      <c r="I153" s="3" t="s">
        <v>3</v>
      </c>
      <c r="J153" s="3" t="s">
        <v>3</v>
      </c>
      <c r="K153" s="3" t="s">
        <v>3</v>
      </c>
      <c r="L153" s="3" t="s">
        <v>3</v>
      </c>
      <c r="M153" s="3" t="s">
        <v>3</v>
      </c>
    </row>
    <row r="154" spans="1:13" x14ac:dyDescent="0.3">
      <c r="A154" s="3" t="s">
        <v>32</v>
      </c>
      <c r="B154" s="3">
        <v>311410</v>
      </c>
      <c r="C154" s="3" t="s">
        <v>32</v>
      </c>
      <c r="D154" s="3" t="s">
        <v>31</v>
      </c>
      <c r="E154" s="3" t="s">
        <v>32</v>
      </c>
      <c r="F154" s="3" t="s">
        <v>232</v>
      </c>
      <c r="G154" s="3" t="s">
        <v>3</v>
      </c>
      <c r="H154" s="3" t="s">
        <v>3</v>
      </c>
      <c r="I154" s="3" t="s">
        <v>3</v>
      </c>
      <c r="J154" s="3" t="s">
        <v>3</v>
      </c>
      <c r="K154" s="3" t="s">
        <v>3</v>
      </c>
      <c r="L154" s="3" t="s">
        <v>3</v>
      </c>
      <c r="M154" s="3" t="s">
        <v>3</v>
      </c>
    </row>
    <row r="155" spans="1:13" x14ac:dyDescent="0.3">
      <c r="A155" s="3" t="s">
        <v>85</v>
      </c>
      <c r="B155" s="3">
        <v>311420</v>
      </c>
      <c r="C155" s="3" t="s">
        <v>85</v>
      </c>
      <c r="D155" s="3" t="s">
        <v>21</v>
      </c>
      <c r="E155" s="3" t="s">
        <v>85</v>
      </c>
      <c r="F155" s="3" t="s">
        <v>233</v>
      </c>
      <c r="G155" s="3" t="s">
        <v>3</v>
      </c>
      <c r="H155" s="3" t="s">
        <v>3</v>
      </c>
      <c r="I155" s="3" t="s">
        <v>3</v>
      </c>
      <c r="J155" s="3" t="s">
        <v>3</v>
      </c>
      <c r="K155" s="3" t="s">
        <v>3</v>
      </c>
      <c r="L155" s="3" t="s">
        <v>3</v>
      </c>
      <c r="M155" s="3" t="s">
        <v>3</v>
      </c>
    </row>
    <row r="156" spans="1:13" x14ac:dyDescent="0.3">
      <c r="A156" s="3" t="s">
        <v>83</v>
      </c>
      <c r="B156" s="3">
        <v>311430</v>
      </c>
      <c r="C156" s="3" t="s">
        <v>83</v>
      </c>
      <c r="D156" s="3" t="s">
        <v>82</v>
      </c>
      <c r="E156" s="3" t="s">
        <v>83</v>
      </c>
      <c r="F156" s="3" t="s">
        <v>234</v>
      </c>
      <c r="G156" s="3">
        <v>90</v>
      </c>
      <c r="H156" s="3">
        <v>88</v>
      </c>
      <c r="I156" s="3">
        <v>24</v>
      </c>
      <c r="J156" s="3">
        <v>33</v>
      </c>
      <c r="K156" s="3">
        <v>80</v>
      </c>
      <c r="L156" s="3">
        <v>104</v>
      </c>
      <c r="M156" s="3">
        <v>75</v>
      </c>
    </row>
    <row r="157" spans="1:13" x14ac:dyDescent="0.3">
      <c r="A157" s="3" t="s">
        <v>49</v>
      </c>
      <c r="B157" s="3">
        <v>311440</v>
      </c>
      <c r="C157" s="3" t="s">
        <v>49</v>
      </c>
      <c r="D157" s="3" t="s">
        <v>31</v>
      </c>
      <c r="E157" s="3" t="s">
        <v>49</v>
      </c>
      <c r="F157" s="3" t="s">
        <v>235</v>
      </c>
      <c r="G157" s="3">
        <v>38</v>
      </c>
      <c r="H157" s="3">
        <v>42</v>
      </c>
      <c r="I157" s="3">
        <v>51</v>
      </c>
      <c r="J157" s="3">
        <v>49</v>
      </c>
      <c r="K157" s="3">
        <v>55</v>
      </c>
      <c r="L157" s="3">
        <v>100</v>
      </c>
      <c r="M157" s="3">
        <v>98</v>
      </c>
    </row>
    <row r="158" spans="1:13" x14ac:dyDescent="0.3">
      <c r="A158" s="3" t="s">
        <v>230</v>
      </c>
      <c r="B158" s="3">
        <v>311450</v>
      </c>
      <c r="C158" s="3" t="s">
        <v>230</v>
      </c>
      <c r="D158" s="3" t="s">
        <v>21</v>
      </c>
      <c r="E158" s="3" t="s">
        <v>230</v>
      </c>
      <c r="F158" s="3" t="s">
        <v>236</v>
      </c>
      <c r="G158" s="3">
        <v>2</v>
      </c>
      <c r="H158" s="3">
        <v>6</v>
      </c>
      <c r="I158" s="3">
        <v>6</v>
      </c>
      <c r="J158" s="3">
        <v>4</v>
      </c>
      <c r="K158" s="3">
        <v>9</v>
      </c>
      <c r="L158" s="3" t="s">
        <v>3</v>
      </c>
      <c r="M158" s="3">
        <v>3</v>
      </c>
    </row>
    <row r="159" spans="1:13" x14ac:dyDescent="0.3">
      <c r="A159" s="3" t="s">
        <v>237</v>
      </c>
      <c r="B159" s="3">
        <v>311455</v>
      </c>
      <c r="C159" s="3" t="s">
        <v>237</v>
      </c>
      <c r="D159" s="3" t="s">
        <v>18</v>
      </c>
      <c r="E159" s="3" t="s">
        <v>237</v>
      </c>
      <c r="F159" s="3" t="s">
        <v>238</v>
      </c>
      <c r="G159" s="3" t="s">
        <v>3</v>
      </c>
      <c r="H159" s="3" t="s">
        <v>3</v>
      </c>
      <c r="I159" s="3" t="s">
        <v>3</v>
      </c>
      <c r="J159" s="3" t="s">
        <v>3</v>
      </c>
      <c r="K159" s="3" t="s">
        <v>3</v>
      </c>
      <c r="L159" s="3" t="s">
        <v>3</v>
      </c>
      <c r="M159" s="3" t="s">
        <v>3</v>
      </c>
    </row>
    <row r="160" spans="1:13" x14ac:dyDescent="0.3">
      <c r="A160" s="3" t="s">
        <v>239</v>
      </c>
      <c r="B160" s="3">
        <v>311460</v>
      </c>
      <c r="C160" s="3" t="s">
        <v>239</v>
      </c>
      <c r="D160" s="3" t="s">
        <v>31</v>
      </c>
      <c r="E160" s="3" t="s">
        <v>239</v>
      </c>
      <c r="F160" s="3" t="s">
        <v>240</v>
      </c>
      <c r="G160" s="3" t="s">
        <v>3</v>
      </c>
      <c r="H160" s="3" t="s">
        <v>3</v>
      </c>
      <c r="I160" s="3" t="s">
        <v>3</v>
      </c>
      <c r="J160" s="3" t="s">
        <v>3</v>
      </c>
      <c r="K160" s="3" t="s">
        <v>3</v>
      </c>
      <c r="L160" s="3" t="s">
        <v>3</v>
      </c>
      <c r="M160" s="3" t="s">
        <v>3</v>
      </c>
    </row>
    <row r="161" spans="1:13" x14ac:dyDescent="0.3">
      <c r="A161" s="3" t="s">
        <v>40</v>
      </c>
      <c r="B161" s="3">
        <v>311470</v>
      </c>
      <c r="C161" s="3" t="s">
        <v>40</v>
      </c>
      <c r="D161" s="3" t="s">
        <v>31</v>
      </c>
      <c r="E161" s="3" t="s">
        <v>40</v>
      </c>
      <c r="F161" s="3" t="s">
        <v>241</v>
      </c>
      <c r="G161" s="3" t="s">
        <v>3</v>
      </c>
      <c r="H161" s="3" t="s">
        <v>3</v>
      </c>
      <c r="I161" s="3" t="s">
        <v>3</v>
      </c>
      <c r="J161" s="3" t="s">
        <v>3</v>
      </c>
      <c r="K161" s="3" t="s">
        <v>3</v>
      </c>
      <c r="L161" s="3" t="s">
        <v>3</v>
      </c>
      <c r="M161" s="3" t="s">
        <v>3</v>
      </c>
    </row>
    <row r="162" spans="1:13" x14ac:dyDescent="0.3">
      <c r="A162" s="3" t="s">
        <v>32</v>
      </c>
      <c r="B162" s="3">
        <v>311480</v>
      </c>
      <c r="C162" s="3" t="s">
        <v>32</v>
      </c>
      <c r="D162" s="3" t="s">
        <v>31</v>
      </c>
      <c r="E162" s="3" t="s">
        <v>32</v>
      </c>
      <c r="F162" s="3" t="s">
        <v>242</v>
      </c>
      <c r="G162" s="3" t="s">
        <v>3</v>
      </c>
      <c r="H162" s="3" t="s">
        <v>3</v>
      </c>
      <c r="I162" s="3" t="s">
        <v>3</v>
      </c>
      <c r="J162" s="3" t="s">
        <v>3</v>
      </c>
      <c r="K162" s="3" t="s">
        <v>3</v>
      </c>
      <c r="L162" s="3" t="s">
        <v>3</v>
      </c>
      <c r="M162" s="3" t="s">
        <v>3</v>
      </c>
    </row>
    <row r="163" spans="1:13" x14ac:dyDescent="0.3">
      <c r="A163" s="3" t="s">
        <v>219</v>
      </c>
      <c r="B163" s="3">
        <v>311490</v>
      </c>
      <c r="C163" s="3" t="s">
        <v>219</v>
      </c>
      <c r="D163" s="3" t="s">
        <v>42</v>
      </c>
      <c r="E163" s="3" t="s">
        <v>219</v>
      </c>
      <c r="F163" s="3" t="s">
        <v>243</v>
      </c>
      <c r="G163" s="3" t="s">
        <v>3</v>
      </c>
      <c r="H163" s="3" t="s">
        <v>3</v>
      </c>
      <c r="I163" s="3" t="s">
        <v>3</v>
      </c>
      <c r="J163" s="3" t="s">
        <v>3</v>
      </c>
      <c r="K163" s="3" t="s">
        <v>3</v>
      </c>
      <c r="L163" s="3" t="s">
        <v>3</v>
      </c>
      <c r="M163" s="3" t="s">
        <v>3</v>
      </c>
    </row>
    <row r="164" spans="1:13" x14ac:dyDescent="0.3">
      <c r="A164" s="3" t="s">
        <v>76</v>
      </c>
      <c r="B164" s="3">
        <v>311500</v>
      </c>
      <c r="C164" s="3" t="s">
        <v>76</v>
      </c>
      <c r="D164" s="3" t="s">
        <v>0</v>
      </c>
      <c r="E164" s="3" t="s">
        <v>76</v>
      </c>
      <c r="F164" s="3" t="s">
        <v>244</v>
      </c>
      <c r="G164" s="3" t="s">
        <v>3</v>
      </c>
      <c r="H164" s="3" t="s">
        <v>3</v>
      </c>
      <c r="I164" s="3" t="s">
        <v>3</v>
      </c>
      <c r="J164" s="3" t="s">
        <v>3</v>
      </c>
      <c r="K164" s="3" t="s">
        <v>3</v>
      </c>
      <c r="L164" s="3" t="s">
        <v>3</v>
      </c>
      <c r="M164" s="3" t="s">
        <v>3</v>
      </c>
    </row>
    <row r="165" spans="1:13" x14ac:dyDescent="0.3">
      <c r="A165" s="3" t="s">
        <v>208</v>
      </c>
      <c r="B165" s="3">
        <v>311510</v>
      </c>
      <c r="C165" s="3" t="s">
        <v>208</v>
      </c>
      <c r="D165" s="3" t="s">
        <v>31</v>
      </c>
      <c r="E165" s="3" t="s">
        <v>208</v>
      </c>
      <c r="F165" s="3" t="s">
        <v>245</v>
      </c>
      <c r="G165" s="3">
        <v>38</v>
      </c>
      <c r="H165" s="3">
        <v>32</v>
      </c>
      <c r="I165" s="3">
        <v>25</v>
      </c>
      <c r="J165" s="3">
        <v>13</v>
      </c>
      <c r="K165" s="3">
        <v>71</v>
      </c>
      <c r="L165" s="3">
        <v>86</v>
      </c>
      <c r="M165" s="3">
        <v>100</v>
      </c>
    </row>
    <row r="166" spans="1:13" x14ac:dyDescent="0.3">
      <c r="A166" s="3" t="s">
        <v>114</v>
      </c>
      <c r="B166" s="3">
        <v>311520</v>
      </c>
      <c r="C166" s="3" t="s">
        <v>114</v>
      </c>
      <c r="D166" s="3" t="s">
        <v>42</v>
      </c>
      <c r="E166" s="3" t="s">
        <v>114</v>
      </c>
      <c r="F166" s="3" t="s">
        <v>246</v>
      </c>
      <c r="G166" s="3" t="s">
        <v>3</v>
      </c>
      <c r="H166" s="3" t="s">
        <v>3</v>
      </c>
      <c r="I166" s="3" t="s">
        <v>3</v>
      </c>
      <c r="J166" s="3" t="s">
        <v>3</v>
      </c>
      <c r="K166" s="3" t="s">
        <v>3</v>
      </c>
      <c r="L166" s="3" t="s">
        <v>3</v>
      </c>
      <c r="M166" s="3" t="s">
        <v>3</v>
      </c>
    </row>
    <row r="167" spans="1:13" x14ac:dyDescent="0.3">
      <c r="A167" s="3" t="s">
        <v>94</v>
      </c>
      <c r="B167" s="3">
        <v>311530</v>
      </c>
      <c r="C167" s="3" t="s">
        <v>94</v>
      </c>
      <c r="D167" s="3" t="s">
        <v>37</v>
      </c>
      <c r="E167" s="3" t="s">
        <v>94</v>
      </c>
      <c r="F167" s="3" t="s">
        <v>247</v>
      </c>
      <c r="G167" s="3">
        <v>61</v>
      </c>
      <c r="H167" s="3">
        <v>53</v>
      </c>
      <c r="I167" s="3">
        <v>32</v>
      </c>
      <c r="J167" s="3">
        <v>34</v>
      </c>
      <c r="K167" s="3">
        <v>73</v>
      </c>
      <c r="L167" s="3">
        <v>44</v>
      </c>
      <c r="M167" s="3">
        <v>88</v>
      </c>
    </row>
    <row r="168" spans="1:13" x14ac:dyDescent="0.3">
      <c r="A168" s="3" t="s">
        <v>110</v>
      </c>
      <c r="B168" s="3">
        <v>311535</v>
      </c>
      <c r="C168" s="3" t="s">
        <v>110</v>
      </c>
      <c r="D168" s="3" t="s">
        <v>4</v>
      </c>
      <c r="E168" s="3" t="s">
        <v>110</v>
      </c>
      <c r="F168" s="3" t="s">
        <v>248</v>
      </c>
      <c r="G168" s="3" t="s">
        <v>3</v>
      </c>
      <c r="H168" s="3" t="s">
        <v>3</v>
      </c>
      <c r="I168" s="3" t="s">
        <v>3</v>
      </c>
      <c r="J168" s="3" t="s">
        <v>3</v>
      </c>
      <c r="K168" s="3" t="s">
        <v>3</v>
      </c>
      <c r="L168" s="3" t="s">
        <v>3</v>
      </c>
      <c r="M168" s="3" t="s">
        <v>3</v>
      </c>
    </row>
    <row r="169" spans="1:13" x14ac:dyDescent="0.3">
      <c r="A169" s="3" t="s">
        <v>219</v>
      </c>
      <c r="B169" s="3">
        <v>311540</v>
      </c>
      <c r="C169" s="3" t="s">
        <v>219</v>
      </c>
      <c r="D169" s="3" t="s">
        <v>42</v>
      </c>
      <c r="E169" s="3" t="s">
        <v>219</v>
      </c>
      <c r="F169" s="3" t="s">
        <v>249</v>
      </c>
      <c r="G169" s="3" t="s">
        <v>3</v>
      </c>
      <c r="H169" s="3" t="s">
        <v>3</v>
      </c>
      <c r="I169" s="3" t="s">
        <v>3</v>
      </c>
      <c r="J169" s="3" t="s">
        <v>3</v>
      </c>
      <c r="K169" s="3" t="s">
        <v>3</v>
      </c>
      <c r="L169" s="3" t="s">
        <v>3</v>
      </c>
      <c r="M169" s="3" t="s">
        <v>3</v>
      </c>
    </row>
    <row r="170" spans="1:13" x14ac:dyDescent="0.3">
      <c r="A170" s="3" t="s">
        <v>217</v>
      </c>
      <c r="B170" s="3">
        <v>311545</v>
      </c>
      <c r="C170" s="3" t="s">
        <v>217</v>
      </c>
      <c r="D170" s="3" t="s">
        <v>24</v>
      </c>
      <c r="E170" s="3" t="s">
        <v>217</v>
      </c>
      <c r="F170" s="3" t="s">
        <v>250</v>
      </c>
      <c r="G170" s="3" t="s">
        <v>3</v>
      </c>
      <c r="H170" s="3" t="s">
        <v>3</v>
      </c>
      <c r="I170" s="3" t="s">
        <v>3</v>
      </c>
      <c r="J170" s="3" t="s">
        <v>3</v>
      </c>
      <c r="K170" s="3" t="s">
        <v>3</v>
      </c>
      <c r="L170" s="3" t="s">
        <v>3</v>
      </c>
      <c r="M170" s="3" t="s">
        <v>3</v>
      </c>
    </row>
    <row r="171" spans="1:13" x14ac:dyDescent="0.3">
      <c r="A171" s="3" t="s">
        <v>251</v>
      </c>
      <c r="B171" s="3">
        <v>311547</v>
      </c>
      <c r="C171" s="3" t="s">
        <v>251</v>
      </c>
      <c r="D171" s="3" t="s">
        <v>126</v>
      </c>
      <c r="E171" s="3" t="s">
        <v>251</v>
      </c>
      <c r="F171" s="3" t="s">
        <v>252</v>
      </c>
      <c r="G171" s="3" t="s">
        <v>3</v>
      </c>
      <c r="H171" s="3" t="s">
        <v>3</v>
      </c>
      <c r="I171" s="3" t="s">
        <v>3</v>
      </c>
      <c r="J171" s="3" t="s">
        <v>3</v>
      </c>
      <c r="K171" s="3" t="s">
        <v>3</v>
      </c>
      <c r="L171" s="3" t="s">
        <v>3</v>
      </c>
      <c r="M171" s="3" t="s">
        <v>3</v>
      </c>
    </row>
    <row r="172" spans="1:13" x14ac:dyDescent="0.3">
      <c r="A172" s="3" t="s">
        <v>32</v>
      </c>
      <c r="B172" s="3">
        <v>311550</v>
      </c>
      <c r="C172" s="3" t="s">
        <v>32</v>
      </c>
      <c r="D172" s="3" t="s">
        <v>31</v>
      </c>
      <c r="E172" s="3" t="s">
        <v>32</v>
      </c>
      <c r="F172" s="3" t="s">
        <v>253</v>
      </c>
      <c r="G172" s="3">
        <v>23</v>
      </c>
      <c r="H172" s="3">
        <v>19</v>
      </c>
      <c r="I172" s="3">
        <v>6</v>
      </c>
      <c r="J172" s="3">
        <v>13</v>
      </c>
      <c r="K172" s="3">
        <v>21</v>
      </c>
      <c r="L172" s="3">
        <v>21</v>
      </c>
      <c r="M172" s="3">
        <v>35</v>
      </c>
    </row>
    <row r="173" spans="1:13" x14ac:dyDescent="0.3">
      <c r="A173" s="3" t="s">
        <v>5</v>
      </c>
      <c r="B173" s="3">
        <v>311560</v>
      </c>
      <c r="C173" s="3" t="s">
        <v>5</v>
      </c>
      <c r="D173" s="3" t="s">
        <v>4</v>
      </c>
      <c r="E173" s="3" t="s">
        <v>5</v>
      </c>
      <c r="F173" s="3" t="s">
        <v>254</v>
      </c>
      <c r="G173" s="3" t="s">
        <v>3</v>
      </c>
      <c r="H173" s="3" t="s">
        <v>3</v>
      </c>
      <c r="I173" s="3" t="s">
        <v>3</v>
      </c>
      <c r="J173" s="3" t="s">
        <v>3</v>
      </c>
      <c r="K173" s="3" t="s">
        <v>3</v>
      </c>
      <c r="L173" s="3" t="s">
        <v>3</v>
      </c>
      <c r="M173" s="3" t="s">
        <v>3</v>
      </c>
    </row>
    <row r="174" spans="1:13" x14ac:dyDescent="0.3">
      <c r="A174" s="3" t="s">
        <v>255</v>
      </c>
      <c r="B174" s="3">
        <v>311570</v>
      </c>
      <c r="C174" s="3" t="s">
        <v>255</v>
      </c>
      <c r="D174" s="3" t="s">
        <v>15</v>
      </c>
      <c r="E174" s="3" t="s">
        <v>255</v>
      </c>
      <c r="F174" s="3" t="s">
        <v>256</v>
      </c>
      <c r="G174" s="3">
        <v>8</v>
      </c>
      <c r="H174" s="3">
        <v>4</v>
      </c>
      <c r="I174" s="3">
        <v>1</v>
      </c>
      <c r="J174" s="3" t="s">
        <v>3</v>
      </c>
      <c r="K174" s="3">
        <v>12</v>
      </c>
      <c r="L174" s="3">
        <v>10</v>
      </c>
      <c r="M174" s="3">
        <v>12</v>
      </c>
    </row>
    <row r="175" spans="1:13" x14ac:dyDescent="0.3">
      <c r="A175" s="3" t="s">
        <v>176</v>
      </c>
      <c r="B175" s="3">
        <v>311580</v>
      </c>
      <c r="C175" s="3" t="s">
        <v>176</v>
      </c>
      <c r="D175" s="3" t="s">
        <v>0</v>
      </c>
      <c r="E175" s="3" t="s">
        <v>176</v>
      </c>
      <c r="F175" s="3" t="s">
        <v>257</v>
      </c>
      <c r="G175" s="3" t="s">
        <v>3</v>
      </c>
      <c r="H175" s="3">
        <v>6</v>
      </c>
      <c r="I175" s="3">
        <v>4</v>
      </c>
      <c r="J175" s="3">
        <v>10</v>
      </c>
      <c r="K175" s="3">
        <v>9</v>
      </c>
      <c r="L175" s="3">
        <v>14</v>
      </c>
      <c r="M175" s="3">
        <v>11</v>
      </c>
    </row>
    <row r="176" spans="1:13" x14ac:dyDescent="0.3">
      <c r="A176" s="3" t="s">
        <v>118</v>
      </c>
      <c r="B176" s="3">
        <v>311590</v>
      </c>
      <c r="C176" s="3" t="s">
        <v>118</v>
      </c>
      <c r="D176" s="3" t="s">
        <v>37</v>
      </c>
      <c r="E176" s="3" t="s">
        <v>118</v>
      </c>
      <c r="F176" s="3" t="s">
        <v>258</v>
      </c>
      <c r="G176" s="3" t="s">
        <v>3</v>
      </c>
      <c r="H176" s="3" t="s">
        <v>3</v>
      </c>
      <c r="I176" s="3" t="s">
        <v>3</v>
      </c>
      <c r="J176" s="3" t="s">
        <v>3</v>
      </c>
      <c r="K176" s="3" t="s">
        <v>3</v>
      </c>
      <c r="L176" s="3" t="s">
        <v>3</v>
      </c>
      <c r="M176" s="3" t="s">
        <v>3</v>
      </c>
    </row>
    <row r="177" spans="1:13" x14ac:dyDescent="0.3">
      <c r="A177" s="3" t="s">
        <v>8</v>
      </c>
      <c r="B177" s="3">
        <v>311600</v>
      </c>
      <c r="C177" s="3" t="s">
        <v>8</v>
      </c>
      <c r="D177" s="3" t="s">
        <v>7</v>
      </c>
      <c r="E177" s="3" t="s">
        <v>8</v>
      </c>
      <c r="F177" s="3" t="s">
        <v>259</v>
      </c>
      <c r="G177" s="3" t="s">
        <v>3</v>
      </c>
      <c r="H177" s="3" t="s">
        <v>3</v>
      </c>
      <c r="I177" s="3" t="s">
        <v>3</v>
      </c>
      <c r="J177" s="3" t="s">
        <v>3</v>
      </c>
      <c r="K177" s="3" t="s">
        <v>3</v>
      </c>
      <c r="L177" s="3" t="s">
        <v>3</v>
      </c>
      <c r="M177" s="3" t="s">
        <v>3</v>
      </c>
    </row>
    <row r="178" spans="1:13" x14ac:dyDescent="0.3">
      <c r="A178" s="3" t="s">
        <v>96</v>
      </c>
      <c r="B178" s="3">
        <v>311610</v>
      </c>
      <c r="C178" s="3" t="s">
        <v>96</v>
      </c>
      <c r="D178" s="3" t="s">
        <v>56</v>
      </c>
      <c r="E178" s="3" t="s">
        <v>96</v>
      </c>
      <c r="F178" s="3" t="s">
        <v>260</v>
      </c>
      <c r="G178" s="3" t="s">
        <v>3</v>
      </c>
      <c r="H178" s="3" t="s">
        <v>3</v>
      </c>
      <c r="I178" s="3" t="s">
        <v>3</v>
      </c>
      <c r="J178" s="3" t="s">
        <v>3</v>
      </c>
      <c r="K178" s="3" t="s">
        <v>3</v>
      </c>
      <c r="L178" s="3" t="s">
        <v>3</v>
      </c>
      <c r="M178" s="3" t="s">
        <v>3</v>
      </c>
    </row>
    <row r="179" spans="1:13" x14ac:dyDescent="0.3">
      <c r="A179" s="3" t="s">
        <v>98</v>
      </c>
      <c r="B179" s="3">
        <v>311615</v>
      </c>
      <c r="C179" s="3" t="s">
        <v>98</v>
      </c>
      <c r="D179" s="3" t="s">
        <v>82</v>
      </c>
      <c r="E179" s="3" t="s">
        <v>98</v>
      </c>
      <c r="F179" s="3" t="s">
        <v>261</v>
      </c>
      <c r="G179" s="3" t="s">
        <v>3</v>
      </c>
      <c r="H179" s="3" t="s">
        <v>3</v>
      </c>
      <c r="I179" s="3" t="s">
        <v>3</v>
      </c>
      <c r="J179" s="3" t="s">
        <v>3</v>
      </c>
      <c r="K179" s="3" t="s">
        <v>3</v>
      </c>
      <c r="L179" s="3" t="s">
        <v>3</v>
      </c>
      <c r="M179" s="3" t="s">
        <v>3</v>
      </c>
    </row>
    <row r="180" spans="1:13" x14ac:dyDescent="0.3">
      <c r="A180" s="3" t="s">
        <v>118</v>
      </c>
      <c r="B180" s="3">
        <v>311620</v>
      </c>
      <c r="C180" s="3" t="s">
        <v>118</v>
      </c>
      <c r="D180" s="3" t="s">
        <v>37</v>
      </c>
      <c r="E180" s="3" t="s">
        <v>118</v>
      </c>
      <c r="F180" s="3" t="s">
        <v>262</v>
      </c>
      <c r="G180" s="3" t="s">
        <v>3</v>
      </c>
      <c r="H180" s="3" t="s">
        <v>3</v>
      </c>
      <c r="I180" s="3" t="s">
        <v>3</v>
      </c>
      <c r="J180" s="3" t="s">
        <v>3</v>
      </c>
      <c r="K180" s="3" t="s">
        <v>3</v>
      </c>
      <c r="L180" s="3" t="s">
        <v>3</v>
      </c>
      <c r="M180" s="3" t="s">
        <v>3</v>
      </c>
    </row>
    <row r="181" spans="1:13" x14ac:dyDescent="0.3">
      <c r="A181" s="3" t="s">
        <v>43</v>
      </c>
      <c r="B181" s="3">
        <v>311630</v>
      </c>
      <c r="C181" s="3" t="s">
        <v>43</v>
      </c>
      <c r="D181" s="3" t="s">
        <v>42</v>
      </c>
      <c r="E181" s="3" t="s">
        <v>43</v>
      </c>
      <c r="F181" s="3" t="s">
        <v>263</v>
      </c>
      <c r="G181" s="3" t="s">
        <v>3</v>
      </c>
      <c r="H181" s="3" t="s">
        <v>3</v>
      </c>
      <c r="I181" s="3" t="s">
        <v>3</v>
      </c>
      <c r="J181" s="3" t="s">
        <v>3</v>
      </c>
      <c r="K181" s="3" t="s">
        <v>3</v>
      </c>
      <c r="L181" s="3" t="s">
        <v>3</v>
      </c>
      <c r="M181" s="3" t="s">
        <v>3</v>
      </c>
    </row>
    <row r="182" spans="1:13" x14ac:dyDescent="0.3">
      <c r="A182" s="3" t="s">
        <v>208</v>
      </c>
      <c r="B182" s="3">
        <v>311640</v>
      </c>
      <c r="C182" s="3" t="s">
        <v>208</v>
      </c>
      <c r="D182" s="3" t="s">
        <v>31</v>
      </c>
      <c r="E182" s="3" t="s">
        <v>208</v>
      </c>
      <c r="F182" s="3" t="s">
        <v>264</v>
      </c>
      <c r="G182" s="3" t="s">
        <v>3</v>
      </c>
      <c r="H182" s="3" t="s">
        <v>3</v>
      </c>
      <c r="I182" s="3" t="s">
        <v>3</v>
      </c>
      <c r="J182" s="3" t="s">
        <v>3</v>
      </c>
      <c r="K182" s="3" t="s">
        <v>3</v>
      </c>
      <c r="L182" s="3" t="s">
        <v>3</v>
      </c>
      <c r="M182" s="3" t="s">
        <v>3</v>
      </c>
    </row>
    <row r="183" spans="1:13" x14ac:dyDescent="0.3">
      <c r="A183" s="3" t="s">
        <v>265</v>
      </c>
      <c r="B183" s="3">
        <v>311650</v>
      </c>
      <c r="C183" s="3" t="s">
        <v>265</v>
      </c>
      <c r="D183" s="3" t="s">
        <v>126</v>
      </c>
      <c r="E183" s="3" t="s">
        <v>265</v>
      </c>
      <c r="F183" s="3" t="s">
        <v>266</v>
      </c>
      <c r="G183" s="3" t="s">
        <v>3</v>
      </c>
      <c r="H183" s="3" t="s">
        <v>3</v>
      </c>
      <c r="I183" s="3" t="s">
        <v>3</v>
      </c>
      <c r="J183" s="3" t="s">
        <v>3</v>
      </c>
      <c r="K183" s="3" t="s">
        <v>3</v>
      </c>
      <c r="L183" s="3" t="s">
        <v>3</v>
      </c>
      <c r="M183" s="3" t="s">
        <v>3</v>
      </c>
    </row>
    <row r="184" spans="1:13" x14ac:dyDescent="0.3">
      <c r="A184" s="3" t="s">
        <v>85</v>
      </c>
      <c r="B184" s="3">
        <v>311660</v>
      </c>
      <c r="C184" s="3" t="s">
        <v>85</v>
      </c>
      <c r="D184" s="3" t="s">
        <v>21</v>
      </c>
      <c r="E184" s="3" t="s">
        <v>85</v>
      </c>
      <c r="F184" s="3" t="s">
        <v>267</v>
      </c>
      <c r="G184" s="3">
        <v>48</v>
      </c>
      <c r="H184" s="3">
        <v>31</v>
      </c>
      <c r="I184" s="3">
        <v>6</v>
      </c>
      <c r="J184" s="3">
        <v>22</v>
      </c>
      <c r="K184" s="3">
        <v>30</v>
      </c>
      <c r="L184" s="3">
        <v>49</v>
      </c>
      <c r="M184" s="3">
        <v>58</v>
      </c>
    </row>
    <row r="185" spans="1:13" x14ac:dyDescent="0.3">
      <c r="A185" s="3" t="s">
        <v>160</v>
      </c>
      <c r="B185" s="3">
        <v>311670</v>
      </c>
      <c r="C185" s="3" t="s">
        <v>160</v>
      </c>
      <c r="D185" s="3" t="s">
        <v>37</v>
      </c>
      <c r="E185" s="3" t="s">
        <v>160</v>
      </c>
      <c r="F185" s="3" t="s">
        <v>268</v>
      </c>
      <c r="G185" s="3" t="s">
        <v>3</v>
      </c>
      <c r="H185" s="3" t="s">
        <v>3</v>
      </c>
      <c r="I185" s="3" t="s">
        <v>3</v>
      </c>
      <c r="J185" s="3" t="s">
        <v>3</v>
      </c>
      <c r="K185" s="3" t="s">
        <v>3</v>
      </c>
      <c r="L185" s="3" t="s">
        <v>3</v>
      </c>
      <c r="M185" s="3" t="s">
        <v>3</v>
      </c>
    </row>
    <row r="186" spans="1:13" x14ac:dyDescent="0.3">
      <c r="A186" s="3" t="s">
        <v>222</v>
      </c>
      <c r="B186" s="3">
        <v>311680</v>
      </c>
      <c r="C186" s="3" t="s">
        <v>222</v>
      </c>
      <c r="D186" s="3" t="s">
        <v>56</v>
      </c>
      <c r="E186" s="3" t="s">
        <v>222</v>
      </c>
      <c r="F186" s="3" t="s">
        <v>269</v>
      </c>
      <c r="G186" s="3" t="s">
        <v>3</v>
      </c>
      <c r="H186" s="3" t="s">
        <v>3</v>
      </c>
      <c r="I186" s="3" t="s">
        <v>3</v>
      </c>
      <c r="J186" s="3" t="s">
        <v>3</v>
      </c>
      <c r="K186" s="3">
        <v>4</v>
      </c>
      <c r="L186" s="3">
        <v>7</v>
      </c>
      <c r="M186" s="3">
        <v>11</v>
      </c>
    </row>
    <row r="187" spans="1:13" x14ac:dyDescent="0.3">
      <c r="A187" s="3" t="s">
        <v>237</v>
      </c>
      <c r="B187" s="3">
        <v>311690</v>
      </c>
      <c r="C187" s="3" t="s">
        <v>237</v>
      </c>
      <c r="D187" s="3" t="s">
        <v>18</v>
      </c>
      <c r="E187" s="3" t="s">
        <v>237</v>
      </c>
      <c r="F187" s="3" t="s">
        <v>270</v>
      </c>
      <c r="G187" s="3" t="s">
        <v>3</v>
      </c>
      <c r="H187" s="3" t="s">
        <v>3</v>
      </c>
      <c r="I187" s="3" t="s">
        <v>3</v>
      </c>
      <c r="J187" s="3" t="s">
        <v>3</v>
      </c>
      <c r="K187" s="3" t="s">
        <v>3</v>
      </c>
      <c r="L187" s="3" t="s">
        <v>3</v>
      </c>
      <c r="M187" s="3" t="s">
        <v>3</v>
      </c>
    </row>
    <row r="188" spans="1:13" x14ac:dyDescent="0.3">
      <c r="A188" s="3" t="s">
        <v>271</v>
      </c>
      <c r="B188" s="3">
        <v>311700</v>
      </c>
      <c r="C188" s="3" t="s">
        <v>271</v>
      </c>
      <c r="D188" s="3" t="s">
        <v>24</v>
      </c>
      <c r="E188" s="3" t="s">
        <v>271</v>
      </c>
      <c r="F188" s="3" t="s">
        <v>272</v>
      </c>
      <c r="G188" s="3" t="s">
        <v>3</v>
      </c>
      <c r="H188" s="3" t="s">
        <v>3</v>
      </c>
      <c r="I188" s="3" t="s">
        <v>3</v>
      </c>
      <c r="J188" s="3" t="s">
        <v>3</v>
      </c>
      <c r="K188" s="3" t="s">
        <v>3</v>
      </c>
      <c r="L188" s="3" t="s">
        <v>3</v>
      </c>
      <c r="M188" s="3" t="s">
        <v>3</v>
      </c>
    </row>
    <row r="189" spans="1:13" x14ac:dyDescent="0.3">
      <c r="A189" s="3" t="s">
        <v>40</v>
      </c>
      <c r="B189" s="3">
        <v>311710</v>
      </c>
      <c r="C189" s="3" t="s">
        <v>40</v>
      </c>
      <c r="D189" s="3" t="s">
        <v>31</v>
      </c>
      <c r="E189" s="3" t="s">
        <v>40</v>
      </c>
      <c r="F189" s="3" t="s">
        <v>273</v>
      </c>
      <c r="G189" s="3">
        <v>40</v>
      </c>
      <c r="H189" s="3">
        <v>37</v>
      </c>
      <c r="I189" s="3">
        <v>39</v>
      </c>
      <c r="J189" s="3">
        <v>35</v>
      </c>
      <c r="K189" s="3">
        <v>32</v>
      </c>
      <c r="L189" s="3">
        <v>74</v>
      </c>
      <c r="M189" s="3">
        <v>58</v>
      </c>
    </row>
    <row r="190" spans="1:13" x14ac:dyDescent="0.3">
      <c r="A190" s="3" t="s">
        <v>163</v>
      </c>
      <c r="B190" s="3">
        <v>311720</v>
      </c>
      <c r="C190" s="3" t="s">
        <v>163</v>
      </c>
      <c r="D190" s="3" t="s">
        <v>31</v>
      </c>
      <c r="E190" s="3" t="s">
        <v>163</v>
      </c>
      <c r="F190" s="3" t="s">
        <v>274</v>
      </c>
      <c r="G190" s="3" t="s">
        <v>3</v>
      </c>
      <c r="H190" s="3" t="s">
        <v>3</v>
      </c>
      <c r="I190" s="3" t="s">
        <v>3</v>
      </c>
      <c r="J190" s="3" t="s">
        <v>3</v>
      </c>
      <c r="K190" s="3" t="s">
        <v>3</v>
      </c>
      <c r="L190" s="3" t="s">
        <v>3</v>
      </c>
      <c r="M190" s="3" t="s">
        <v>3</v>
      </c>
    </row>
    <row r="191" spans="1:13" x14ac:dyDescent="0.3">
      <c r="A191" s="3" t="s">
        <v>19</v>
      </c>
      <c r="B191" s="3">
        <v>311730</v>
      </c>
      <c r="C191" s="3" t="s">
        <v>19</v>
      </c>
      <c r="D191" s="3" t="s">
        <v>18</v>
      </c>
      <c r="E191" s="3" t="s">
        <v>19</v>
      </c>
      <c r="F191" s="3" t="s">
        <v>275</v>
      </c>
      <c r="G191" s="3">
        <v>37</v>
      </c>
      <c r="H191" s="3">
        <v>51</v>
      </c>
      <c r="I191" s="3">
        <v>50</v>
      </c>
      <c r="J191" s="3">
        <v>28</v>
      </c>
      <c r="K191" s="3">
        <v>51</v>
      </c>
      <c r="L191" s="3">
        <v>84</v>
      </c>
      <c r="M191" s="3">
        <v>68</v>
      </c>
    </row>
    <row r="192" spans="1:13" x14ac:dyDescent="0.3">
      <c r="A192" s="3" t="s">
        <v>8</v>
      </c>
      <c r="B192" s="3">
        <v>311740</v>
      </c>
      <c r="C192" s="3" t="s">
        <v>8</v>
      </c>
      <c r="D192" s="3" t="s">
        <v>7</v>
      </c>
      <c r="E192" s="3" t="s">
        <v>8</v>
      </c>
      <c r="F192" s="3" t="s">
        <v>276</v>
      </c>
      <c r="G192" s="3" t="s">
        <v>3</v>
      </c>
      <c r="H192" s="3" t="s">
        <v>3</v>
      </c>
      <c r="I192" s="3" t="s">
        <v>3</v>
      </c>
      <c r="J192" s="3" t="s">
        <v>3</v>
      </c>
      <c r="K192" s="3" t="s">
        <v>3</v>
      </c>
      <c r="L192" s="3" t="s">
        <v>3</v>
      </c>
      <c r="M192" s="3" t="s">
        <v>3</v>
      </c>
    </row>
    <row r="193" spans="1:13" x14ac:dyDescent="0.3">
      <c r="A193" s="3" t="s">
        <v>57</v>
      </c>
      <c r="B193" s="3">
        <v>311750</v>
      </c>
      <c r="C193" s="3" t="s">
        <v>57</v>
      </c>
      <c r="D193" s="3" t="s">
        <v>56</v>
      </c>
      <c r="E193" s="3" t="s">
        <v>57</v>
      </c>
      <c r="F193" s="3" t="s">
        <v>277</v>
      </c>
      <c r="G193" s="3" t="s">
        <v>3</v>
      </c>
      <c r="H193" s="3" t="s">
        <v>3</v>
      </c>
      <c r="I193" s="3" t="s">
        <v>3</v>
      </c>
      <c r="J193" s="3">
        <v>5</v>
      </c>
      <c r="K193" s="3">
        <v>4</v>
      </c>
      <c r="L193" s="3">
        <v>22</v>
      </c>
      <c r="M193" s="3">
        <v>12</v>
      </c>
    </row>
    <row r="194" spans="1:13" x14ac:dyDescent="0.3">
      <c r="A194" s="3" t="s">
        <v>278</v>
      </c>
      <c r="B194" s="3">
        <v>311760</v>
      </c>
      <c r="C194" s="3" t="s">
        <v>278</v>
      </c>
      <c r="D194" s="3" t="s">
        <v>21</v>
      </c>
      <c r="E194" s="3" t="s">
        <v>278</v>
      </c>
      <c r="F194" s="3" t="s">
        <v>279</v>
      </c>
      <c r="G194" s="3" t="s">
        <v>3</v>
      </c>
      <c r="H194" s="3" t="s">
        <v>3</v>
      </c>
      <c r="I194" s="3" t="s">
        <v>3</v>
      </c>
      <c r="J194" s="3" t="s">
        <v>3</v>
      </c>
      <c r="K194" s="3" t="s">
        <v>3</v>
      </c>
      <c r="L194" s="3" t="s">
        <v>3</v>
      </c>
      <c r="M194" s="3" t="s">
        <v>3</v>
      </c>
    </row>
    <row r="195" spans="1:13" x14ac:dyDescent="0.3">
      <c r="A195" s="3" t="s">
        <v>32</v>
      </c>
      <c r="B195" s="3">
        <v>311770</v>
      </c>
      <c r="C195" s="3" t="s">
        <v>32</v>
      </c>
      <c r="D195" s="3" t="s">
        <v>31</v>
      </c>
      <c r="E195" s="3" t="s">
        <v>32</v>
      </c>
      <c r="F195" s="3" t="s">
        <v>280</v>
      </c>
      <c r="G195" s="3">
        <v>9</v>
      </c>
      <c r="H195" s="3">
        <v>7</v>
      </c>
      <c r="I195" s="3">
        <v>15</v>
      </c>
      <c r="J195" s="3">
        <v>4</v>
      </c>
      <c r="K195" s="3" t="s">
        <v>3</v>
      </c>
      <c r="L195" s="3">
        <v>20</v>
      </c>
      <c r="M195" s="3">
        <v>36</v>
      </c>
    </row>
    <row r="196" spans="1:13" x14ac:dyDescent="0.3">
      <c r="A196" s="3" t="s">
        <v>145</v>
      </c>
      <c r="B196" s="3">
        <v>311780</v>
      </c>
      <c r="C196" s="3" t="s">
        <v>145</v>
      </c>
      <c r="D196" s="3" t="s">
        <v>31</v>
      </c>
      <c r="E196" s="3" t="s">
        <v>145</v>
      </c>
      <c r="F196" s="3" t="s">
        <v>281</v>
      </c>
      <c r="G196" s="3" t="s">
        <v>3</v>
      </c>
      <c r="H196" s="3" t="s">
        <v>3</v>
      </c>
      <c r="I196" s="3" t="s">
        <v>3</v>
      </c>
      <c r="J196" s="3" t="s">
        <v>3</v>
      </c>
      <c r="K196" s="3" t="s">
        <v>3</v>
      </c>
      <c r="L196" s="3" t="s">
        <v>3</v>
      </c>
      <c r="M196" s="3" t="s">
        <v>3</v>
      </c>
    </row>
    <row r="197" spans="1:13" x14ac:dyDescent="0.3">
      <c r="A197" s="3" t="s">
        <v>150</v>
      </c>
      <c r="B197" s="3">
        <v>311783</v>
      </c>
      <c r="C197" s="3" t="s">
        <v>150</v>
      </c>
      <c r="D197" s="3" t="s">
        <v>126</v>
      </c>
      <c r="E197" s="3" t="s">
        <v>150</v>
      </c>
      <c r="F197" s="3" t="s">
        <v>282</v>
      </c>
      <c r="G197" s="3" t="s">
        <v>3</v>
      </c>
      <c r="H197" s="3" t="s">
        <v>3</v>
      </c>
      <c r="I197" s="3" t="s">
        <v>3</v>
      </c>
      <c r="J197" s="3" t="s">
        <v>3</v>
      </c>
      <c r="K197" s="3" t="s">
        <v>3</v>
      </c>
      <c r="L197" s="3" t="s">
        <v>3</v>
      </c>
      <c r="M197" s="3" t="s">
        <v>3</v>
      </c>
    </row>
    <row r="198" spans="1:13" x14ac:dyDescent="0.3">
      <c r="A198" s="3" t="s">
        <v>283</v>
      </c>
      <c r="B198" s="3">
        <v>311787</v>
      </c>
      <c r="C198" s="3" t="s">
        <v>283</v>
      </c>
      <c r="D198" s="3" t="s">
        <v>4</v>
      </c>
      <c r="E198" s="3" t="s">
        <v>283</v>
      </c>
      <c r="F198" s="3" t="s">
        <v>284</v>
      </c>
      <c r="G198" s="3" t="s">
        <v>3</v>
      </c>
      <c r="H198" s="3" t="s">
        <v>3</v>
      </c>
      <c r="I198" s="3" t="s">
        <v>3</v>
      </c>
      <c r="J198" s="3" t="s">
        <v>3</v>
      </c>
      <c r="K198" s="3" t="s">
        <v>3</v>
      </c>
      <c r="L198" s="3" t="s">
        <v>3</v>
      </c>
      <c r="M198" s="3" t="s">
        <v>3</v>
      </c>
    </row>
    <row r="199" spans="1:13" x14ac:dyDescent="0.3">
      <c r="A199" s="3" t="s">
        <v>145</v>
      </c>
      <c r="B199" s="3">
        <v>311790</v>
      </c>
      <c r="C199" s="3" t="s">
        <v>145</v>
      </c>
      <c r="D199" s="3" t="s">
        <v>31</v>
      </c>
      <c r="E199" s="3" t="s">
        <v>145</v>
      </c>
      <c r="F199" s="3" t="s">
        <v>285</v>
      </c>
      <c r="G199" s="3" t="s">
        <v>3</v>
      </c>
      <c r="H199" s="3" t="s">
        <v>3</v>
      </c>
      <c r="I199" s="3" t="s">
        <v>3</v>
      </c>
      <c r="J199" s="3" t="s">
        <v>3</v>
      </c>
      <c r="K199" s="3" t="s">
        <v>3</v>
      </c>
      <c r="L199" s="3" t="s">
        <v>3</v>
      </c>
      <c r="M199" s="3" t="s">
        <v>3</v>
      </c>
    </row>
    <row r="200" spans="1:13" x14ac:dyDescent="0.3">
      <c r="A200" s="3" t="s">
        <v>286</v>
      </c>
      <c r="B200" s="3">
        <v>311800</v>
      </c>
      <c r="C200" s="3" t="s">
        <v>286</v>
      </c>
      <c r="D200" s="3" t="s">
        <v>42</v>
      </c>
      <c r="E200" s="3" t="s">
        <v>286</v>
      </c>
      <c r="F200" s="3" t="s">
        <v>286</v>
      </c>
      <c r="G200" s="3">
        <v>86</v>
      </c>
      <c r="H200" s="3">
        <v>210</v>
      </c>
      <c r="I200" s="3">
        <v>95</v>
      </c>
      <c r="J200" s="3">
        <v>88</v>
      </c>
      <c r="K200" s="3">
        <v>174</v>
      </c>
      <c r="L200" s="3">
        <v>146</v>
      </c>
      <c r="M200" s="3">
        <v>182</v>
      </c>
    </row>
    <row r="201" spans="1:13" x14ac:dyDescent="0.3">
      <c r="A201" s="3" t="s">
        <v>222</v>
      </c>
      <c r="B201" s="3">
        <v>311810</v>
      </c>
      <c r="C201" s="3" t="s">
        <v>222</v>
      </c>
      <c r="D201" s="3" t="s">
        <v>56</v>
      </c>
      <c r="E201" s="3" t="s">
        <v>222</v>
      </c>
      <c r="F201" s="3" t="s">
        <v>287</v>
      </c>
      <c r="G201" s="3" t="s">
        <v>3</v>
      </c>
      <c r="H201" s="3" t="s">
        <v>3</v>
      </c>
      <c r="I201" s="3" t="s">
        <v>3</v>
      </c>
      <c r="J201" s="3" t="s">
        <v>3</v>
      </c>
      <c r="K201" s="3" t="s">
        <v>3</v>
      </c>
      <c r="L201" s="3" t="s">
        <v>3</v>
      </c>
      <c r="M201" s="3" t="s">
        <v>3</v>
      </c>
    </row>
    <row r="202" spans="1:13" x14ac:dyDescent="0.3">
      <c r="A202" s="3" t="s">
        <v>19</v>
      </c>
      <c r="B202" s="3">
        <v>311820</v>
      </c>
      <c r="C202" s="3" t="s">
        <v>19</v>
      </c>
      <c r="D202" s="3" t="s">
        <v>18</v>
      </c>
      <c r="E202" s="3" t="s">
        <v>19</v>
      </c>
      <c r="F202" s="3" t="s">
        <v>288</v>
      </c>
      <c r="G202" s="3" t="s">
        <v>3</v>
      </c>
      <c r="H202" s="3" t="s">
        <v>3</v>
      </c>
      <c r="I202" s="3" t="s">
        <v>3</v>
      </c>
      <c r="J202" s="3" t="s">
        <v>3</v>
      </c>
      <c r="K202" s="3" t="s">
        <v>3</v>
      </c>
      <c r="L202" s="3" t="s">
        <v>3</v>
      </c>
      <c r="M202" s="3" t="s">
        <v>3</v>
      </c>
    </row>
    <row r="203" spans="1:13" x14ac:dyDescent="0.3">
      <c r="A203" s="3" t="s">
        <v>219</v>
      </c>
      <c r="B203" s="3">
        <v>311830</v>
      </c>
      <c r="C203" s="3" t="s">
        <v>219</v>
      </c>
      <c r="D203" s="3" t="s">
        <v>42</v>
      </c>
      <c r="E203" s="3" t="s">
        <v>219</v>
      </c>
      <c r="F203" s="3" t="s">
        <v>219</v>
      </c>
      <c r="G203" s="3">
        <v>242</v>
      </c>
      <c r="H203" s="3">
        <v>134</v>
      </c>
      <c r="I203" s="3">
        <v>80</v>
      </c>
      <c r="J203" s="3">
        <v>112</v>
      </c>
      <c r="K203" s="3">
        <v>306</v>
      </c>
      <c r="L203" s="3">
        <v>172</v>
      </c>
      <c r="M203" s="3">
        <v>306</v>
      </c>
    </row>
    <row r="204" spans="1:13" x14ac:dyDescent="0.3">
      <c r="A204" s="3" t="s">
        <v>29</v>
      </c>
      <c r="B204" s="3">
        <v>311840</v>
      </c>
      <c r="C204" s="3" t="s">
        <v>29</v>
      </c>
      <c r="D204" s="3" t="s">
        <v>15</v>
      </c>
      <c r="E204" s="3" t="s">
        <v>29</v>
      </c>
      <c r="F204" s="3" t="s">
        <v>289</v>
      </c>
      <c r="G204" s="3" t="s">
        <v>3</v>
      </c>
      <c r="H204" s="3">
        <v>1</v>
      </c>
      <c r="I204" s="3" t="s">
        <v>3</v>
      </c>
      <c r="J204" s="3">
        <v>9</v>
      </c>
      <c r="K204" s="3">
        <v>22</v>
      </c>
      <c r="L204" s="3">
        <v>25</v>
      </c>
      <c r="M204" s="3">
        <v>56</v>
      </c>
    </row>
    <row r="205" spans="1:13" x14ac:dyDescent="0.3">
      <c r="A205" s="3" t="s">
        <v>163</v>
      </c>
      <c r="B205" s="3">
        <v>311850</v>
      </c>
      <c r="C205" s="3" t="s">
        <v>163</v>
      </c>
      <c r="D205" s="3" t="s">
        <v>31</v>
      </c>
      <c r="E205" s="3" t="s">
        <v>163</v>
      </c>
      <c r="F205" s="3" t="s">
        <v>290</v>
      </c>
      <c r="G205" s="3" t="s">
        <v>3</v>
      </c>
      <c r="H205" s="3" t="s">
        <v>3</v>
      </c>
      <c r="I205" s="3" t="s">
        <v>3</v>
      </c>
      <c r="J205" s="3" t="s">
        <v>3</v>
      </c>
      <c r="K205" s="3" t="s">
        <v>3</v>
      </c>
      <c r="L205" s="3" t="s">
        <v>3</v>
      </c>
      <c r="M205" s="3" t="s">
        <v>3</v>
      </c>
    </row>
    <row r="206" spans="1:13" x14ac:dyDescent="0.3">
      <c r="A206" s="3" t="s">
        <v>291</v>
      </c>
      <c r="B206" s="3">
        <v>311860</v>
      </c>
      <c r="C206" s="3" t="s">
        <v>291</v>
      </c>
      <c r="D206" s="3" t="s">
        <v>4</v>
      </c>
      <c r="E206" s="3" t="s">
        <v>291</v>
      </c>
      <c r="F206" s="3" t="s">
        <v>291</v>
      </c>
      <c r="G206" s="3">
        <v>523</v>
      </c>
      <c r="H206" s="3">
        <v>695</v>
      </c>
      <c r="I206" s="3">
        <v>187</v>
      </c>
      <c r="J206" s="3">
        <v>143</v>
      </c>
      <c r="K206" s="3">
        <v>1047</v>
      </c>
      <c r="L206" s="3">
        <v>1471</v>
      </c>
      <c r="M206" s="3">
        <v>1056</v>
      </c>
    </row>
    <row r="207" spans="1:13" x14ac:dyDescent="0.3">
      <c r="A207" s="3" t="s">
        <v>134</v>
      </c>
      <c r="B207" s="3">
        <v>311870</v>
      </c>
      <c r="C207" s="3" t="s">
        <v>134</v>
      </c>
      <c r="D207" s="3" t="s">
        <v>31</v>
      </c>
      <c r="E207" s="3" t="s">
        <v>134</v>
      </c>
      <c r="F207" s="3" t="s">
        <v>292</v>
      </c>
      <c r="G207" s="3" t="s">
        <v>3</v>
      </c>
      <c r="H207" s="3" t="s">
        <v>3</v>
      </c>
      <c r="I207" s="3" t="s">
        <v>3</v>
      </c>
      <c r="J207" s="3" t="s">
        <v>3</v>
      </c>
      <c r="K207" s="3" t="s">
        <v>3</v>
      </c>
      <c r="L207" s="3" t="s">
        <v>3</v>
      </c>
      <c r="M207" s="3" t="s">
        <v>3</v>
      </c>
    </row>
    <row r="208" spans="1:13" x14ac:dyDescent="0.3">
      <c r="A208" s="3" t="s">
        <v>293</v>
      </c>
      <c r="B208" s="3">
        <v>311880</v>
      </c>
      <c r="C208" s="3" t="s">
        <v>293</v>
      </c>
      <c r="D208" s="3" t="s">
        <v>126</v>
      </c>
      <c r="E208" s="3" t="s">
        <v>293</v>
      </c>
      <c r="F208" s="3" t="s">
        <v>294</v>
      </c>
      <c r="G208" s="3">
        <v>205</v>
      </c>
      <c r="H208" s="3">
        <v>207</v>
      </c>
      <c r="I208" s="3">
        <v>84</v>
      </c>
      <c r="J208" s="3">
        <v>105</v>
      </c>
      <c r="K208" s="3">
        <v>249</v>
      </c>
      <c r="L208" s="3">
        <v>280</v>
      </c>
      <c r="M208" s="3">
        <v>249</v>
      </c>
    </row>
    <row r="209" spans="1:13" x14ac:dyDescent="0.3">
      <c r="A209" s="3" t="s">
        <v>5</v>
      </c>
      <c r="B209" s="3">
        <v>311890</v>
      </c>
      <c r="C209" s="3" t="s">
        <v>5</v>
      </c>
      <c r="D209" s="3" t="s">
        <v>4</v>
      </c>
      <c r="E209" s="3" t="s">
        <v>5</v>
      </c>
      <c r="F209" s="3" t="s">
        <v>295</v>
      </c>
      <c r="G209" s="3" t="s">
        <v>3</v>
      </c>
      <c r="H209" s="3" t="s">
        <v>3</v>
      </c>
      <c r="I209" s="3" t="s">
        <v>3</v>
      </c>
      <c r="J209" s="3" t="s">
        <v>3</v>
      </c>
      <c r="K209" s="3" t="s">
        <v>3</v>
      </c>
      <c r="L209" s="3" t="s">
        <v>3</v>
      </c>
      <c r="M209" s="3" t="s">
        <v>3</v>
      </c>
    </row>
    <row r="210" spans="1:13" x14ac:dyDescent="0.3">
      <c r="A210" s="3" t="s">
        <v>296</v>
      </c>
      <c r="B210" s="3">
        <v>311900</v>
      </c>
      <c r="C210" s="3" t="s">
        <v>296</v>
      </c>
      <c r="D210" s="3" t="s">
        <v>31</v>
      </c>
      <c r="E210" s="3" t="s">
        <v>296</v>
      </c>
      <c r="F210" s="3" t="s">
        <v>297</v>
      </c>
      <c r="G210" s="3" t="s">
        <v>3</v>
      </c>
      <c r="H210" s="3" t="s">
        <v>3</v>
      </c>
      <c r="I210" s="3" t="s">
        <v>3</v>
      </c>
      <c r="J210" s="3" t="s">
        <v>3</v>
      </c>
      <c r="K210" s="3" t="s">
        <v>3</v>
      </c>
      <c r="L210" s="3" t="s">
        <v>3</v>
      </c>
      <c r="M210" s="3" t="s">
        <v>3</v>
      </c>
    </row>
    <row r="211" spans="1:13" x14ac:dyDescent="0.3">
      <c r="A211" s="3" t="s">
        <v>102</v>
      </c>
      <c r="B211" s="3">
        <v>311910</v>
      </c>
      <c r="C211" s="3" t="s">
        <v>102</v>
      </c>
      <c r="D211" s="3" t="s">
        <v>4</v>
      </c>
      <c r="E211" s="3" t="s">
        <v>102</v>
      </c>
      <c r="F211" s="3" t="s">
        <v>298</v>
      </c>
      <c r="G211" s="3" t="s">
        <v>3</v>
      </c>
      <c r="H211" s="3" t="s">
        <v>3</v>
      </c>
      <c r="I211" s="3" t="s">
        <v>3</v>
      </c>
      <c r="J211" s="3" t="s">
        <v>3</v>
      </c>
      <c r="K211" s="3" t="s">
        <v>3</v>
      </c>
      <c r="L211" s="3" t="s">
        <v>3</v>
      </c>
      <c r="M211" s="3" t="s">
        <v>3</v>
      </c>
    </row>
    <row r="212" spans="1:13" x14ac:dyDescent="0.3">
      <c r="A212" s="3" t="s">
        <v>47</v>
      </c>
      <c r="B212" s="3">
        <v>311920</v>
      </c>
      <c r="C212" s="3" t="s">
        <v>47</v>
      </c>
      <c r="D212" s="3" t="s">
        <v>15</v>
      </c>
      <c r="E212" s="3" t="s">
        <v>47</v>
      </c>
      <c r="F212" s="3" t="s">
        <v>299</v>
      </c>
      <c r="G212" s="3" t="s">
        <v>3</v>
      </c>
      <c r="H212" s="3" t="s">
        <v>3</v>
      </c>
      <c r="I212" s="3" t="s">
        <v>3</v>
      </c>
      <c r="J212" s="3" t="s">
        <v>3</v>
      </c>
      <c r="K212" s="3" t="s">
        <v>3</v>
      </c>
      <c r="L212" s="3" t="s">
        <v>3</v>
      </c>
      <c r="M212" s="3" t="s">
        <v>3</v>
      </c>
    </row>
    <row r="213" spans="1:13" x14ac:dyDescent="0.3">
      <c r="A213" s="3" t="s">
        <v>1</v>
      </c>
      <c r="B213" s="3">
        <v>311930</v>
      </c>
      <c r="C213" s="3" t="s">
        <v>1</v>
      </c>
      <c r="D213" s="3" t="s">
        <v>0</v>
      </c>
      <c r="E213" s="3" t="s">
        <v>1</v>
      </c>
      <c r="F213" s="3" t="s">
        <v>300</v>
      </c>
      <c r="G213" s="3">
        <v>56</v>
      </c>
      <c r="H213" s="3">
        <v>65</v>
      </c>
      <c r="I213" s="3">
        <v>13</v>
      </c>
      <c r="J213" s="3">
        <v>23</v>
      </c>
      <c r="K213" s="3">
        <v>46</v>
      </c>
      <c r="L213" s="3">
        <v>51</v>
      </c>
      <c r="M213" s="3">
        <v>57</v>
      </c>
    </row>
    <row r="214" spans="1:13" x14ac:dyDescent="0.3">
      <c r="A214" s="3" t="s">
        <v>67</v>
      </c>
      <c r="B214" s="3">
        <v>311940</v>
      </c>
      <c r="C214" s="3" t="s">
        <v>67</v>
      </c>
      <c r="D214" s="3" t="s">
        <v>12</v>
      </c>
      <c r="E214" s="3" t="s">
        <v>67</v>
      </c>
      <c r="F214" s="3" t="s">
        <v>301</v>
      </c>
      <c r="G214" s="3">
        <v>32</v>
      </c>
      <c r="H214" s="3">
        <v>84</v>
      </c>
      <c r="I214" s="3">
        <v>74</v>
      </c>
      <c r="J214" s="3">
        <v>71</v>
      </c>
      <c r="K214" s="3">
        <v>109</v>
      </c>
      <c r="L214" s="3">
        <v>114</v>
      </c>
      <c r="M214" s="3">
        <v>114</v>
      </c>
    </row>
    <row r="215" spans="1:13" x14ac:dyDescent="0.3">
      <c r="A215" s="3" t="s">
        <v>74</v>
      </c>
      <c r="B215" s="3">
        <v>311950</v>
      </c>
      <c r="C215" s="3" t="s">
        <v>74</v>
      </c>
      <c r="D215" s="3" t="s">
        <v>56</v>
      </c>
      <c r="E215" s="3" t="s">
        <v>74</v>
      </c>
      <c r="F215" s="3" t="s">
        <v>302</v>
      </c>
      <c r="G215" s="3" t="s">
        <v>3</v>
      </c>
      <c r="H215" s="3" t="s">
        <v>3</v>
      </c>
      <c r="I215" s="3" t="s">
        <v>3</v>
      </c>
      <c r="J215" s="3" t="s">
        <v>3</v>
      </c>
      <c r="K215" s="3" t="s">
        <v>3</v>
      </c>
      <c r="L215" s="3" t="s">
        <v>3</v>
      </c>
      <c r="M215" s="3" t="s">
        <v>3</v>
      </c>
    </row>
    <row r="216" spans="1:13" x14ac:dyDescent="0.3">
      <c r="A216" s="3" t="s">
        <v>118</v>
      </c>
      <c r="B216" s="3">
        <v>311960</v>
      </c>
      <c r="C216" s="3" t="s">
        <v>118</v>
      </c>
      <c r="D216" s="3" t="s">
        <v>37</v>
      </c>
      <c r="E216" s="3" t="s">
        <v>118</v>
      </c>
      <c r="F216" s="3" t="s">
        <v>303</v>
      </c>
      <c r="G216" s="3" t="s">
        <v>3</v>
      </c>
      <c r="H216" s="3" t="s">
        <v>3</v>
      </c>
      <c r="I216" s="3" t="s">
        <v>3</v>
      </c>
      <c r="J216" s="3" t="s">
        <v>3</v>
      </c>
      <c r="K216" s="3" t="s">
        <v>3</v>
      </c>
      <c r="L216" s="3" t="s">
        <v>3</v>
      </c>
      <c r="M216" s="3" t="s">
        <v>3</v>
      </c>
    </row>
    <row r="217" spans="1:13" x14ac:dyDescent="0.3">
      <c r="A217" s="3" t="s">
        <v>114</v>
      </c>
      <c r="B217" s="3">
        <v>311970</v>
      </c>
      <c r="C217" s="3" t="s">
        <v>114</v>
      </c>
      <c r="D217" s="3" t="s">
        <v>42</v>
      </c>
      <c r="E217" s="3" t="s">
        <v>114</v>
      </c>
      <c r="F217" s="3" t="s">
        <v>304</v>
      </c>
      <c r="G217" s="3" t="s">
        <v>3</v>
      </c>
      <c r="H217" s="3" t="s">
        <v>3</v>
      </c>
      <c r="I217" s="3" t="s">
        <v>3</v>
      </c>
      <c r="J217" s="3" t="s">
        <v>3</v>
      </c>
      <c r="K217" s="3" t="s">
        <v>3</v>
      </c>
      <c r="L217" s="3" t="s">
        <v>3</v>
      </c>
      <c r="M217" s="3" t="s">
        <v>3</v>
      </c>
    </row>
    <row r="218" spans="1:13" x14ac:dyDescent="0.3">
      <c r="A218" s="3" t="s">
        <v>106</v>
      </c>
      <c r="B218" s="3">
        <v>311980</v>
      </c>
      <c r="C218" s="3" t="s">
        <v>106</v>
      </c>
      <c r="D218" s="3" t="s">
        <v>21</v>
      </c>
      <c r="E218" s="3" t="s">
        <v>106</v>
      </c>
      <c r="F218" s="3" t="s">
        <v>305</v>
      </c>
      <c r="G218" s="3" t="s">
        <v>3</v>
      </c>
      <c r="H218" s="3" t="s">
        <v>3</v>
      </c>
      <c r="I218" s="3" t="s">
        <v>3</v>
      </c>
      <c r="J218" s="3" t="s">
        <v>3</v>
      </c>
      <c r="K218" s="3" t="s">
        <v>3</v>
      </c>
      <c r="L218" s="3" t="s">
        <v>3</v>
      </c>
      <c r="M218" s="3" t="s">
        <v>3</v>
      </c>
    </row>
    <row r="219" spans="1:13" x14ac:dyDescent="0.3">
      <c r="A219" s="3" t="s">
        <v>145</v>
      </c>
      <c r="B219" s="3">
        <v>311990</v>
      </c>
      <c r="C219" s="3" t="s">
        <v>145</v>
      </c>
      <c r="D219" s="3" t="s">
        <v>31</v>
      </c>
      <c r="E219" s="3" t="s">
        <v>145</v>
      </c>
      <c r="F219" s="3" t="s">
        <v>306</v>
      </c>
      <c r="G219" s="3" t="s">
        <v>3</v>
      </c>
      <c r="H219" s="3" t="s">
        <v>3</v>
      </c>
      <c r="I219" s="3" t="s">
        <v>3</v>
      </c>
      <c r="J219" s="3" t="s">
        <v>3</v>
      </c>
      <c r="K219" s="3" t="s">
        <v>3</v>
      </c>
      <c r="L219" s="3" t="s">
        <v>3</v>
      </c>
      <c r="M219" s="3" t="s">
        <v>3</v>
      </c>
    </row>
    <row r="220" spans="1:13" x14ac:dyDescent="0.3">
      <c r="A220" s="3" t="s">
        <v>106</v>
      </c>
      <c r="B220" s="3">
        <v>311995</v>
      </c>
      <c r="C220" s="3" t="s">
        <v>106</v>
      </c>
      <c r="D220" s="3" t="s">
        <v>21</v>
      </c>
      <c r="E220" s="3" t="s">
        <v>106</v>
      </c>
      <c r="F220" s="3" t="s">
        <v>307</v>
      </c>
      <c r="G220" s="3" t="s">
        <v>3</v>
      </c>
      <c r="H220" s="3" t="s">
        <v>3</v>
      </c>
      <c r="I220" s="3" t="s">
        <v>3</v>
      </c>
      <c r="J220" s="3" t="s">
        <v>3</v>
      </c>
      <c r="K220" s="3" t="s">
        <v>3</v>
      </c>
      <c r="L220" s="3" t="s">
        <v>3</v>
      </c>
      <c r="M220" s="3" t="s">
        <v>3</v>
      </c>
    </row>
    <row r="221" spans="1:13" x14ac:dyDescent="0.3">
      <c r="A221" s="3" t="s">
        <v>67</v>
      </c>
      <c r="B221" s="3">
        <v>312000</v>
      </c>
      <c r="C221" s="3" t="s">
        <v>67</v>
      </c>
      <c r="D221" s="3" t="s">
        <v>12</v>
      </c>
      <c r="E221" s="3" t="s">
        <v>67</v>
      </c>
      <c r="F221" s="3" t="s">
        <v>308</v>
      </c>
      <c r="G221" s="3" t="s">
        <v>3</v>
      </c>
      <c r="H221" s="3" t="s">
        <v>3</v>
      </c>
      <c r="I221" s="3" t="s">
        <v>3</v>
      </c>
      <c r="J221" s="3" t="s">
        <v>3</v>
      </c>
      <c r="K221" s="3" t="s">
        <v>3</v>
      </c>
      <c r="L221" s="3" t="s">
        <v>3</v>
      </c>
      <c r="M221" s="3" t="s">
        <v>3</v>
      </c>
    </row>
    <row r="222" spans="1:13" x14ac:dyDescent="0.3">
      <c r="A222" s="3" t="s">
        <v>222</v>
      </c>
      <c r="B222" s="3">
        <v>312010</v>
      </c>
      <c r="C222" s="3" t="s">
        <v>222</v>
      </c>
      <c r="D222" s="3" t="s">
        <v>56</v>
      </c>
      <c r="E222" s="3" t="s">
        <v>222</v>
      </c>
      <c r="F222" s="3" t="s">
        <v>309</v>
      </c>
      <c r="G222" s="3" t="s">
        <v>3</v>
      </c>
      <c r="H222" s="3" t="s">
        <v>3</v>
      </c>
      <c r="I222" s="3" t="s">
        <v>3</v>
      </c>
      <c r="J222" s="3" t="s">
        <v>3</v>
      </c>
      <c r="K222" s="3" t="s">
        <v>3</v>
      </c>
      <c r="L222" s="3" t="s">
        <v>3</v>
      </c>
      <c r="M222" s="3" t="s">
        <v>3</v>
      </c>
    </row>
    <row r="223" spans="1:13" x14ac:dyDescent="0.3">
      <c r="A223" s="3" t="s">
        <v>25</v>
      </c>
      <c r="B223" s="3">
        <v>312015</v>
      </c>
      <c r="C223" s="3" t="s">
        <v>25</v>
      </c>
      <c r="D223" s="3" t="s">
        <v>24</v>
      </c>
      <c r="E223" s="3" t="s">
        <v>25</v>
      </c>
      <c r="F223" s="3" t="s">
        <v>310</v>
      </c>
      <c r="G223" s="3" t="s">
        <v>3</v>
      </c>
      <c r="H223" s="3" t="s">
        <v>3</v>
      </c>
      <c r="I223" s="3" t="s">
        <v>3</v>
      </c>
      <c r="J223" s="3" t="s">
        <v>3</v>
      </c>
      <c r="K223" s="3" t="s">
        <v>3</v>
      </c>
      <c r="L223" s="3" t="s">
        <v>3</v>
      </c>
      <c r="M223" s="3" t="s">
        <v>3</v>
      </c>
    </row>
    <row r="224" spans="1:13" x14ac:dyDescent="0.3">
      <c r="A224" s="3" t="s">
        <v>22</v>
      </c>
      <c r="B224" s="3">
        <v>312020</v>
      </c>
      <c r="C224" s="3" t="s">
        <v>22</v>
      </c>
      <c r="D224" s="3" t="s">
        <v>21</v>
      </c>
      <c r="E224" s="3" t="s">
        <v>22</v>
      </c>
      <c r="F224" s="3" t="s">
        <v>311</v>
      </c>
      <c r="G224" s="3" t="s">
        <v>3</v>
      </c>
      <c r="H224" s="3" t="s">
        <v>3</v>
      </c>
      <c r="I224" s="3" t="s">
        <v>3</v>
      </c>
      <c r="J224" s="3" t="s">
        <v>3</v>
      </c>
      <c r="K224" s="3" t="s">
        <v>3</v>
      </c>
      <c r="L224" s="3" t="s">
        <v>3</v>
      </c>
      <c r="M224" s="3" t="s">
        <v>3</v>
      </c>
    </row>
    <row r="225" spans="1:13" x14ac:dyDescent="0.3">
      <c r="A225" s="3" t="s">
        <v>154</v>
      </c>
      <c r="B225" s="3">
        <v>312030</v>
      </c>
      <c r="C225" s="3" t="s">
        <v>154</v>
      </c>
      <c r="D225" s="3" t="s">
        <v>126</v>
      </c>
      <c r="E225" s="3" t="s">
        <v>154</v>
      </c>
      <c r="F225" s="3" t="s">
        <v>312</v>
      </c>
      <c r="G225" s="3" t="s">
        <v>3</v>
      </c>
      <c r="H225" s="3" t="s">
        <v>3</v>
      </c>
      <c r="I225" s="3" t="s">
        <v>3</v>
      </c>
      <c r="J225" s="3" t="s">
        <v>3</v>
      </c>
      <c r="K225" s="3" t="s">
        <v>3</v>
      </c>
      <c r="L225" s="3" t="s">
        <v>3</v>
      </c>
      <c r="M225" s="3" t="s">
        <v>3</v>
      </c>
    </row>
    <row r="226" spans="1:13" x14ac:dyDescent="0.3">
      <c r="A226" s="3" t="s">
        <v>219</v>
      </c>
      <c r="B226" s="3">
        <v>312040</v>
      </c>
      <c r="C226" s="3" t="s">
        <v>219</v>
      </c>
      <c r="D226" s="3" t="s">
        <v>42</v>
      </c>
      <c r="E226" s="3" t="s">
        <v>219</v>
      </c>
      <c r="F226" s="3" t="s">
        <v>313</v>
      </c>
      <c r="G226" s="3" t="s">
        <v>3</v>
      </c>
      <c r="H226" s="3" t="s">
        <v>3</v>
      </c>
      <c r="I226" s="3" t="s">
        <v>3</v>
      </c>
      <c r="J226" s="3" t="s">
        <v>3</v>
      </c>
      <c r="K226" s="3" t="s">
        <v>3</v>
      </c>
      <c r="L226" s="3" t="s">
        <v>3</v>
      </c>
      <c r="M226" s="3" t="s">
        <v>3</v>
      </c>
    </row>
    <row r="227" spans="1:13" x14ac:dyDescent="0.3">
      <c r="A227" s="3" t="s">
        <v>32</v>
      </c>
      <c r="B227" s="3">
        <v>312050</v>
      </c>
      <c r="C227" s="3" t="s">
        <v>32</v>
      </c>
      <c r="D227" s="3" t="s">
        <v>31</v>
      </c>
      <c r="E227" s="3" t="s">
        <v>32</v>
      </c>
      <c r="F227" s="3" t="s">
        <v>314</v>
      </c>
      <c r="G227" s="3" t="s">
        <v>3</v>
      </c>
      <c r="H227" s="3" t="s">
        <v>3</v>
      </c>
      <c r="I227" s="3" t="s">
        <v>3</v>
      </c>
      <c r="J227" s="3" t="s">
        <v>3</v>
      </c>
      <c r="K227" s="3" t="s">
        <v>3</v>
      </c>
      <c r="L227" s="3" t="s">
        <v>3</v>
      </c>
      <c r="M227" s="3" t="s">
        <v>3</v>
      </c>
    </row>
    <row r="228" spans="1:13" x14ac:dyDescent="0.3">
      <c r="A228" s="3" t="s">
        <v>129</v>
      </c>
      <c r="B228" s="3">
        <v>312060</v>
      </c>
      <c r="C228" s="3" t="s">
        <v>129</v>
      </c>
      <c r="D228" s="3" t="s">
        <v>4</v>
      </c>
      <c r="E228" s="3" t="s">
        <v>129</v>
      </c>
      <c r="F228" s="3" t="s">
        <v>315</v>
      </c>
      <c r="G228" s="3" t="s">
        <v>3</v>
      </c>
      <c r="H228" s="3" t="s">
        <v>3</v>
      </c>
      <c r="I228" s="3" t="s">
        <v>3</v>
      </c>
      <c r="J228" s="3" t="s">
        <v>3</v>
      </c>
      <c r="K228" s="3" t="s">
        <v>3</v>
      </c>
      <c r="L228" s="3" t="s">
        <v>3</v>
      </c>
      <c r="M228" s="3" t="s">
        <v>3</v>
      </c>
    </row>
    <row r="229" spans="1:13" x14ac:dyDescent="0.3">
      <c r="A229" s="3" t="s">
        <v>316</v>
      </c>
      <c r="B229" s="3">
        <v>312070</v>
      </c>
      <c r="C229" s="3" t="s">
        <v>316</v>
      </c>
      <c r="D229" s="3" t="s">
        <v>82</v>
      </c>
      <c r="E229" s="3" t="s">
        <v>316</v>
      </c>
      <c r="F229" s="3" t="s">
        <v>317</v>
      </c>
      <c r="G229" s="3" t="s">
        <v>3</v>
      </c>
      <c r="H229" s="3" t="s">
        <v>3</v>
      </c>
      <c r="I229" s="3" t="s">
        <v>3</v>
      </c>
      <c r="J229" s="3" t="s">
        <v>3</v>
      </c>
      <c r="K229" s="3" t="s">
        <v>3</v>
      </c>
      <c r="L229" s="3" t="s">
        <v>3</v>
      </c>
      <c r="M229" s="3" t="s">
        <v>3</v>
      </c>
    </row>
    <row r="230" spans="1:13" x14ac:dyDescent="0.3">
      <c r="A230" s="3" t="s">
        <v>32</v>
      </c>
      <c r="B230" s="3">
        <v>312080</v>
      </c>
      <c r="C230" s="3" t="s">
        <v>32</v>
      </c>
      <c r="D230" s="3" t="s">
        <v>31</v>
      </c>
      <c r="E230" s="3" t="s">
        <v>32</v>
      </c>
      <c r="F230" s="3" t="s">
        <v>318</v>
      </c>
      <c r="G230" s="3">
        <v>74</v>
      </c>
      <c r="H230" s="3">
        <v>59</v>
      </c>
      <c r="I230" s="3">
        <v>61</v>
      </c>
      <c r="J230" s="3">
        <v>64</v>
      </c>
      <c r="K230" s="3">
        <v>77</v>
      </c>
      <c r="L230" s="3">
        <v>91</v>
      </c>
      <c r="M230" s="3">
        <v>64</v>
      </c>
    </row>
    <row r="231" spans="1:13" x14ac:dyDescent="0.3">
      <c r="A231" s="3" t="s">
        <v>29</v>
      </c>
      <c r="B231" s="3">
        <v>312083</v>
      </c>
      <c r="C231" s="3" t="s">
        <v>29</v>
      </c>
      <c r="D231" s="3" t="s">
        <v>15</v>
      </c>
      <c r="E231" s="3" t="s">
        <v>29</v>
      </c>
      <c r="F231" s="3" t="s">
        <v>319</v>
      </c>
      <c r="G231" s="3" t="s">
        <v>3</v>
      </c>
      <c r="H231" s="3" t="s">
        <v>3</v>
      </c>
      <c r="I231" s="3" t="s">
        <v>3</v>
      </c>
      <c r="J231" s="3" t="s">
        <v>3</v>
      </c>
      <c r="K231" s="3" t="s">
        <v>3</v>
      </c>
      <c r="L231" s="3" t="s">
        <v>3</v>
      </c>
      <c r="M231" s="3" t="s">
        <v>3</v>
      </c>
    </row>
    <row r="232" spans="1:13" x14ac:dyDescent="0.3">
      <c r="A232" s="3" t="s">
        <v>127</v>
      </c>
      <c r="B232" s="3">
        <v>312087</v>
      </c>
      <c r="C232" s="3" t="s">
        <v>127</v>
      </c>
      <c r="D232" s="3" t="s">
        <v>126</v>
      </c>
      <c r="E232" s="3" t="s">
        <v>127</v>
      </c>
      <c r="F232" s="3" t="s">
        <v>320</v>
      </c>
      <c r="G232" s="3" t="s">
        <v>3</v>
      </c>
      <c r="H232" s="3" t="s">
        <v>3</v>
      </c>
      <c r="I232" s="3" t="s">
        <v>3</v>
      </c>
      <c r="J232" s="3" t="s">
        <v>3</v>
      </c>
      <c r="K232" s="3" t="s">
        <v>3</v>
      </c>
      <c r="L232" s="3" t="s">
        <v>3</v>
      </c>
      <c r="M232" s="3" t="s">
        <v>3</v>
      </c>
    </row>
    <row r="233" spans="1:13" x14ac:dyDescent="0.3">
      <c r="A233" s="3" t="s">
        <v>102</v>
      </c>
      <c r="B233" s="3">
        <v>312090</v>
      </c>
      <c r="C233" s="3" t="s">
        <v>102</v>
      </c>
      <c r="D233" s="3" t="s">
        <v>4</v>
      </c>
      <c r="E233" s="3" t="s">
        <v>102</v>
      </c>
      <c r="F233" s="3" t="s">
        <v>102</v>
      </c>
      <c r="G233" s="3">
        <v>231</v>
      </c>
      <c r="H233" s="3">
        <v>230</v>
      </c>
      <c r="I233" s="3">
        <v>114</v>
      </c>
      <c r="J233" s="3">
        <v>122</v>
      </c>
      <c r="K233" s="3">
        <v>218</v>
      </c>
      <c r="L233" s="3">
        <v>214</v>
      </c>
      <c r="M233" s="3">
        <v>371</v>
      </c>
    </row>
    <row r="234" spans="1:13" x14ac:dyDescent="0.3">
      <c r="A234" s="3" t="s">
        <v>222</v>
      </c>
      <c r="B234" s="3">
        <v>312100</v>
      </c>
      <c r="C234" s="3" t="s">
        <v>222</v>
      </c>
      <c r="D234" s="3" t="s">
        <v>56</v>
      </c>
      <c r="E234" s="3" t="s">
        <v>222</v>
      </c>
      <c r="F234" s="3" t="s">
        <v>321</v>
      </c>
      <c r="G234" s="3" t="s">
        <v>3</v>
      </c>
      <c r="H234" s="3" t="s">
        <v>3</v>
      </c>
      <c r="I234" s="3" t="s">
        <v>3</v>
      </c>
      <c r="J234" s="3" t="s">
        <v>3</v>
      </c>
      <c r="K234" s="3" t="s">
        <v>3</v>
      </c>
      <c r="L234" s="3" t="s">
        <v>3</v>
      </c>
      <c r="M234" s="3" t="s">
        <v>3</v>
      </c>
    </row>
    <row r="235" spans="1:13" x14ac:dyDescent="0.3">
      <c r="A235" s="3" t="s">
        <v>163</v>
      </c>
      <c r="B235" s="3">
        <v>312110</v>
      </c>
      <c r="C235" s="3" t="s">
        <v>163</v>
      </c>
      <c r="D235" s="3" t="s">
        <v>31</v>
      </c>
      <c r="E235" s="3" t="s">
        <v>163</v>
      </c>
      <c r="F235" s="3" t="s">
        <v>322</v>
      </c>
      <c r="G235" s="3" t="s">
        <v>3</v>
      </c>
      <c r="H235" s="3" t="s">
        <v>3</v>
      </c>
      <c r="I235" s="3" t="s">
        <v>3</v>
      </c>
      <c r="J235" s="3" t="s">
        <v>3</v>
      </c>
      <c r="K235" s="3" t="s">
        <v>3</v>
      </c>
      <c r="L235" s="3" t="s">
        <v>3</v>
      </c>
      <c r="M235" s="3" t="s">
        <v>3</v>
      </c>
    </row>
    <row r="236" spans="1:13" x14ac:dyDescent="0.3">
      <c r="A236" s="3" t="s">
        <v>208</v>
      </c>
      <c r="B236" s="3">
        <v>312120</v>
      </c>
      <c r="C236" s="3" t="s">
        <v>208</v>
      </c>
      <c r="D236" s="3" t="s">
        <v>31</v>
      </c>
      <c r="E236" s="3" t="s">
        <v>208</v>
      </c>
      <c r="F236" s="3" t="s">
        <v>323</v>
      </c>
      <c r="G236" s="3" t="s">
        <v>3</v>
      </c>
      <c r="H236" s="3" t="s">
        <v>3</v>
      </c>
      <c r="I236" s="3" t="s">
        <v>3</v>
      </c>
      <c r="J236" s="3" t="s">
        <v>3</v>
      </c>
      <c r="K236" s="3" t="s">
        <v>3</v>
      </c>
      <c r="L236" s="3" t="s">
        <v>3</v>
      </c>
      <c r="M236" s="3" t="s">
        <v>3</v>
      </c>
    </row>
    <row r="237" spans="1:13" x14ac:dyDescent="0.3">
      <c r="A237" s="3" t="s">
        <v>19</v>
      </c>
      <c r="B237" s="3">
        <v>312125</v>
      </c>
      <c r="C237" s="3" t="s">
        <v>19</v>
      </c>
      <c r="D237" s="3" t="s">
        <v>18</v>
      </c>
      <c r="E237" s="3" t="s">
        <v>19</v>
      </c>
      <c r="F237" s="3" t="s">
        <v>324</v>
      </c>
      <c r="G237" s="3" t="s">
        <v>3</v>
      </c>
      <c r="H237" s="3" t="s">
        <v>3</v>
      </c>
      <c r="I237" s="3" t="s">
        <v>3</v>
      </c>
      <c r="J237" s="3" t="s">
        <v>3</v>
      </c>
      <c r="K237" s="3" t="s">
        <v>3</v>
      </c>
      <c r="L237" s="3" t="s">
        <v>3</v>
      </c>
      <c r="M237" s="3" t="s">
        <v>3</v>
      </c>
    </row>
    <row r="238" spans="1:13" x14ac:dyDescent="0.3">
      <c r="A238" s="3" t="s">
        <v>131</v>
      </c>
      <c r="B238" s="3">
        <v>312130</v>
      </c>
      <c r="C238" s="3" t="s">
        <v>131</v>
      </c>
      <c r="D238" s="3" t="s">
        <v>37</v>
      </c>
      <c r="E238" s="3" t="s">
        <v>131</v>
      </c>
      <c r="F238" s="3" t="s">
        <v>325</v>
      </c>
      <c r="G238" s="3" t="s">
        <v>3</v>
      </c>
      <c r="H238" s="3" t="s">
        <v>3</v>
      </c>
      <c r="I238" s="3" t="s">
        <v>3</v>
      </c>
      <c r="J238" s="3" t="s">
        <v>3</v>
      </c>
      <c r="K238" s="3" t="s">
        <v>3</v>
      </c>
      <c r="L238" s="3" t="s">
        <v>3</v>
      </c>
      <c r="M238" s="3" t="s">
        <v>3</v>
      </c>
    </row>
    <row r="239" spans="1:13" x14ac:dyDescent="0.3">
      <c r="A239" s="3" t="s">
        <v>286</v>
      </c>
      <c r="B239" s="3">
        <v>312140</v>
      </c>
      <c r="C239" s="3" t="s">
        <v>286</v>
      </c>
      <c r="D239" s="3" t="s">
        <v>42</v>
      </c>
      <c r="E239" s="3" t="s">
        <v>286</v>
      </c>
      <c r="F239" s="3" t="s">
        <v>326</v>
      </c>
      <c r="G239" s="3" t="s">
        <v>3</v>
      </c>
      <c r="H239" s="3" t="s">
        <v>3</v>
      </c>
      <c r="I239" s="3" t="s">
        <v>3</v>
      </c>
      <c r="J239" s="3" t="s">
        <v>3</v>
      </c>
      <c r="K239" s="3" t="s">
        <v>3</v>
      </c>
      <c r="L239" s="3" t="s">
        <v>3</v>
      </c>
      <c r="M239" s="3" t="s">
        <v>3</v>
      </c>
    </row>
    <row r="240" spans="1:13" x14ac:dyDescent="0.3">
      <c r="A240" s="3" t="s">
        <v>43</v>
      </c>
      <c r="B240" s="3">
        <v>312150</v>
      </c>
      <c r="C240" s="3" t="s">
        <v>43</v>
      </c>
      <c r="D240" s="3" t="s">
        <v>42</v>
      </c>
      <c r="E240" s="3" t="s">
        <v>43</v>
      </c>
      <c r="F240" s="3" t="s">
        <v>327</v>
      </c>
      <c r="G240" s="3" t="s">
        <v>3</v>
      </c>
      <c r="H240" s="3" t="s">
        <v>3</v>
      </c>
      <c r="I240" s="3" t="s">
        <v>3</v>
      </c>
      <c r="J240" s="3" t="s">
        <v>3</v>
      </c>
      <c r="K240" s="3" t="s">
        <v>3</v>
      </c>
      <c r="L240" s="3" t="s">
        <v>3</v>
      </c>
      <c r="M240" s="3" t="s">
        <v>3</v>
      </c>
    </row>
    <row r="241" spans="1:13" x14ac:dyDescent="0.3">
      <c r="A241" s="3" t="s">
        <v>222</v>
      </c>
      <c r="B241" s="3">
        <v>312160</v>
      </c>
      <c r="C241" s="3" t="s">
        <v>222</v>
      </c>
      <c r="D241" s="3" t="s">
        <v>56</v>
      </c>
      <c r="E241" s="3" t="s">
        <v>222</v>
      </c>
      <c r="F241" s="3" t="s">
        <v>222</v>
      </c>
      <c r="G241" s="3">
        <v>239</v>
      </c>
      <c r="H241" s="3">
        <v>242</v>
      </c>
      <c r="I241" s="3">
        <v>72</v>
      </c>
      <c r="J241" s="3">
        <v>54</v>
      </c>
      <c r="K241" s="3">
        <v>163</v>
      </c>
      <c r="L241" s="3">
        <v>285</v>
      </c>
      <c r="M241" s="3">
        <v>415</v>
      </c>
    </row>
    <row r="242" spans="1:13" x14ac:dyDescent="0.3">
      <c r="A242" s="3" t="s">
        <v>10</v>
      </c>
      <c r="B242" s="3">
        <v>312170</v>
      </c>
      <c r="C242" s="3" t="s">
        <v>10</v>
      </c>
      <c r="D242" s="3" t="s">
        <v>7</v>
      </c>
      <c r="E242" s="3" t="s">
        <v>10</v>
      </c>
      <c r="F242" s="3" t="s">
        <v>328</v>
      </c>
      <c r="G242" s="3" t="s">
        <v>3</v>
      </c>
      <c r="H242" s="3" t="s">
        <v>3</v>
      </c>
      <c r="I242" s="3" t="s">
        <v>3</v>
      </c>
      <c r="J242" s="3" t="s">
        <v>3</v>
      </c>
      <c r="K242" s="3" t="s">
        <v>3</v>
      </c>
      <c r="L242" s="3" t="s">
        <v>3</v>
      </c>
      <c r="M242" s="3" t="s">
        <v>3</v>
      </c>
    </row>
    <row r="243" spans="1:13" x14ac:dyDescent="0.3">
      <c r="A243" s="3" t="s">
        <v>67</v>
      </c>
      <c r="B243" s="3">
        <v>312180</v>
      </c>
      <c r="C243" s="3" t="s">
        <v>67</v>
      </c>
      <c r="D243" s="3" t="s">
        <v>12</v>
      </c>
      <c r="E243" s="3" t="s">
        <v>67</v>
      </c>
      <c r="F243" s="3" t="s">
        <v>329</v>
      </c>
      <c r="G243" s="3" t="s">
        <v>3</v>
      </c>
      <c r="H243" s="3" t="s">
        <v>3</v>
      </c>
      <c r="I243" s="3" t="s">
        <v>3</v>
      </c>
      <c r="J243" s="3" t="s">
        <v>3</v>
      </c>
      <c r="K243" s="3" t="s">
        <v>3</v>
      </c>
      <c r="L243" s="3" t="s">
        <v>3</v>
      </c>
      <c r="M243" s="3" t="s">
        <v>3</v>
      </c>
    </row>
    <row r="244" spans="1:13" x14ac:dyDescent="0.3">
      <c r="A244" s="3" t="s">
        <v>160</v>
      </c>
      <c r="B244" s="3">
        <v>312190</v>
      </c>
      <c r="C244" s="3" t="s">
        <v>160</v>
      </c>
      <c r="D244" s="3" t="s">
        <v>37</v>
      </c>
      <c r="E244" s="3" t="s">
        <v>160</v>
      </c>
      <c r="F244" s="3" t="s">
        <v>330</v>
      </c>
      <c r="G244" s="3" t="s">
        <v>3</v>
      </c>
      <c r="H244" s="3" t="s">
        <v>3</v>
      </c>
      <c r="I244" s="3" t="s">
        <v>3</v>
      </c>
      <c r="J244" s="3" t="s">
        <v>3</v>
      </c>
      <c r="K244" s="3" t="s">
        <v>3</v>
      </c>
      <c r="L244" s="3" t="s">
        <v>3</v>
      </c>
      <c r="M244" s="3" t="s">
        <v>3</v>
      </c>
    </row>
    <row r="245" spans="1:13" x14ac:dyDescent="0.3">
      <c r="A245" s="3" t="s">
        <v>180</v>
      </c>
      <c r="B245" s="3">
        <v>312200</v>
      </c>
      <c r="C245" s="3" t="s">
        <v>180</v>
      </c>
      <c r="D245" s="3" t="s">
        <v>37</v>
      </c>
      <c r="E245" s="3" t="s">
        <v>180</v>
      </c>
      <c r="F245" s="3" t="s">
        <v>331</v>
      </c>
      <c r="G245" s="3">
        <v>63</v>
      </c>
      <c r="H245" s="3">
        <v>49</v>
      </c>
      <c r="I245" s="3">
        <v>3</v>
      </c>
      <c r="J245" s="3">
        <v>17</v>
      </c>
      <c r="K245" s="3">
        <v>23</v>
      </c>
      <c r="L245" s="3">
        <v>12</v>
      </c>
      <c r="M245" s="3">
        <v>20</v>
      </c>
    </row>
    <row r="246" spans="1:13" x14ac:dyDescent="0.3">
      <c r="A246" s="3" t="s">
        <v>255</v>
      </c>
      <c r="B246" s="3">
        <v>312210</v>
      </c>
      <c r="C246" s="3" t="s">
        <v>255</v>
      </c>
      <c r="D246" s="3" t="s">
        <v>15</v>
      </c>
      <c r="E246" s="3" t="s">
        <v>255</v>
      </c>
      <c r="F246" s="3" t="s">
        <v>332</v>
      </c>
      <c r="G246" s="3" t="s">
        <v>3</v>
      </c>
      <c r="H246" s="3" t="s">
        <v>3</v>
      </c>
      <c r="I246" s="3" t="s">
        <v>3</v>
      </c>
      <c r="J246" s="3" t="s">
        <v>3</v>
      </c>
      <c r="K246" s="3" t="s">
        <v>3</v>
      </c>
      <c r="L246" s="3" t="s">
        <v>3</v>
      </c>
      <c r="M246" s="3" t="s">
        <v>3</v>
      </c>
    </row>
    <row r="247" spans="1:13" x14ac:dyDescent="0.3">
      <c r="A247" s="3" t="s">
        <v>47</v>
      </c>
      <c r="B247" s="3">
        <v>312220</v>
      </c>
      <c r="C247" s="3" t="s">
        <v>47</v>
      </c>
      <c r="D247" s="3" t="s">
        <v>15</v>
      </c>
      <c r="E247" s="3" t="s">
        <v>47</v>
      </c>
      <c r="F247" s="3" t="s">
        <v>333</v>
      </c>
      <c r="G247" s="3" t="s">
        <v>3</v>
      </c>
      <c r="H247" s="3" t="s">
        <v>3</v>
      </c>
      <c r="I247" s="3" t="s">
        <v>3</v>
      </c>
      <c r="J247" s="3" t="s">
        <v>3</v>
      </c>
      <c r="K247" s="3" t="s">
        <v>3</v>
      </c>
      <c r="L247" s="3" t="s">
        <v>3</v>
      </c>
      <c r="M247" s="3" t="s">
        <v>3</v>
      </c>
    </row>
    <row r="248" spans="1:13" x14ac:dyDescent="0.3">
      <c r="A248" s="3" t="s">
        <v>85</v>
      </c>
      <c r="B248" s="3">
        <v>312230</v>
      </c>
      <c r="C248" s="3" t="s">
        <v>85</v>
      </c>
      <c r="D248" s="3" t="s">
        <v>21</v>
      </c>
      <c r="E248" s="3" t="s">
        <v>85</v>
      </c>
      <c r="F248" s="3" t="s">
        <v>334</v>
      </c>
      <c r="G248" s="3">
        <v>85</v>
      </c>
      <c r="H248" s="3">
        <v>88</v>
      </c>
      <c r="I248" s="3">
        <v>100</v>
      </c>
      <c r="J248" s="3">
        <v>167</v>
      </c>
      <c r="K248" s="3">
        <v>170</v>
      </c>
      <c r="L248" s="3">
        <v>277</v>
      </c>
      <c r="M248" s="3">
        <v>253</v>
      </c>
    </row>
    <row r="249" spans="1:13" x14ac:dyDescent="0.3">
      <c r="A249" s="3" t="s">
        <v>27</v>
      </c>
      <c r="B249" s="3">
        <v>312235</v>
      </c>
      <c r="C249" s="3" t="s">
        <v>27</v>
      </c>
      <c r="D249" s="3" t="s">
        <v>24</v>
      </c>
      <c r="E249" s="3" t="s">
        <v>27</v>
      </c>
      <c r="F249" s="3" t="s">
        <v>335</v>
      </c>
      <c r="G249" s="3" t="s">
        <v>3</v>
      </c>
      <c r="H249" s="3" t="s">
        <v>3</v>
      </c>
      <c r="I249" s="3" t="s">
        <v>3</v>
      </c>
      <c r="J249" s="3" t="s">
        <v>3</v>
      </c>
      <c r="K249" s="3" t="s">
        <v>3</v>
      </c>
      <c r="L249" s="3" t="s">
        <v>3</v>
      </c>
      <c r="M249" s="3" t="s">
        <v>3</v>
      </c>
    </row>
    <row r="250" spans="1:13" x14ac:dyDescent="0.3">
      <c r="A250" s="3" t="s">
        <v>40</v>
      </c>
      <c r="B250" s="3">
        <v>312240</v>
      </c>
      <c r="C250" s="3" t="s">
        <v>40</v>
      </c>
      <c r="D250" s="3" t="s">
        <v>31</v>
      </c>
      <c r="E250" s="3" t="s">
        <v>40</v>
      </c>
      <c r="F250" s="3" t="s">
        <v>336</v>
      </c>
      <c r="G250" s="3" t="s">
        <v>3</v>
      </c>
      <c r="H250" s="3" t="s">
        <v>3</v>
      </c>
      <c r="I250" s="3" t="s">
        <v>3</v>
      </c>
      <c r="J250" s="3" t="s">
        <v>3</v>
      </c>
      <c r="K250" s="3" t="s">
        <v>3</v>
      </c>
      <c r="L250" s="3" t="s">
        <v>3</v>
      </c>
      <c r="M250" s="3" t="s">
        <v>3</v>
      </c>
    </row>
    <row r="251" spans="1:13" x14ac:dyDescent="0.3">
      <c r="A251" s="3" t="s">
        <v>27</v>
      </c>
      <c r="B251" s="3">
        <v>312245</v>
      </c>
      <c r="C251" s="3" t="s">
        <v>27</v>
      </c>
      <c r="D251" s="3" t="s">
        <v>24</v>
      </c>
      <c r="E251" s="3" t="s">
        <v>27</v>
      </c>
      <c r="F251" s="3" t="s">
        <v>337</v>
      </c>
      <c r="G251" s="3" t="s">
        <v>3</v>
      </c>
      <c r="H251" s="3" t="s">
        <v>3</v>
      </c>
      <c r="I251" s="3" t="s">
        <v>3</v>
      </c>
      <c r="J251" s="3" t="s">
        <v>3</v>
      </c>
      <c r="K251" s="3" t="s">
        <v>3</v>
      </c>
      <c r="L251" s="3" t="s">
        <v>3</v>
      </c>
      <c r="M251" s="3" t="s">
        <v>3</v>
      </c>
    </row>
    <row r="252" spans="1:13" x14ac:dyDescent="0.3">
      <c r="A252" s="3" t="s">
        <v>98</v>
      </c>
      <c r="B252" s="3">
        <v>312247</v>
      </c>
      <c r="C252" s="3" t="s">
        <v>98</v>
      </c>
      <c r="D252" s="3" t="s">
        <v>82</v>
      </c>
      <c r="E252" s="3" t="s">
        <v>98</v>
      </c>
      <c r="F252" s="3" t="s">
        <v>338</v>
      </c>
      <c r="G252" s="3" t="s">
        <v>3</v>
      </c>
      <c r="H252" s="3" t="s">
        <v>3</v>
      </c>
      <c r="I252" s="3" t="s">
        <v>3</v>
      </c>
      <c r="J252" s="3" t="s">
        <v>3</v>
      </c>
      <c r="K252" s="3" t="s">
        <v>3</v>
      </c>
      <c r="L252" s="3" t="s">
        <v>3</v>
      </c>
      <c r="M252" s="3" t="s">
        <v>3</v>
      </c>
    </row>
    <row r="253" spans="1:13" x14ac:dyDescent="0.3">
      <c r="A253" s="3" t="s">
        <v>13</v>
      </c>
      <c r="B253" s="3">
        <v>312250</v>
      </c>
      <c r="C253" s="3" t="s">
        <v>13</v>
      </c>
      <c r="D253" s="3" t="s">
        <v>12</v>
      </c>
      <c r="E253" s="3" t="s">
        <v>13</v>
      </c>
      <c r="F253" s="3" t="s">
        <v>339</v>
      </c>
      <c r="G253" s="3" t="s">
        <v>3</v>
      </c>
      <c r="H253" s="3" t="s">
        <v>3</v>
      </c>
      <c r="I253" s="3" t="s">
        <v>3</v>
      </c>
      <c r="J253" s="3" t="s">
        <v>3</v>
      </c>
      <c r="K253" s="3" t="s">
        <v>3</v>
      </c>
      <c r="L253" s="3" t="s">
        <v>3</v>
      </c>
      <c r="M253" s="3" t="s">
        <v>3</v>
      </c>
    </row>
    <row r="254" spans="1:13" x14ac:dyDescent="0.3">
      <c r="A254" s="3" t="s">
        <v>227</v>
      </c>
      <c r="B254" s="3">
        <v>312260</v>
      </c>
      <c r="C254" s="3" t="s">
        <v>227</v>
      </c>
      <c r="D254" s="3" t="s">
        <v>4</v>
      </c>
      <c r="E254" s="3" t="s">
        <v>227</v>
      </c>
      <c r="F254" s="3" t="s">
        <v>340</v>
      </c>
      <c r="G254" s="3" t="s">
        <v>3</v>
      </c>
      <c r="H254" s="3" t="s">
        <v>3</v>
      </c>
      <c r="I254" s="3" t="s">
        <v>3</v>
      </c>
      <c r="J254" s="3" t="s">
        <v>3</v>
      </c>
      <c r="K254" s="3" t="s">
        <v>3</v>
      </c>
      <c r="L254" s="3" t="s">
        <v>3</v>
      </c>
      <c r="M254" s="3" t="s">
        <v>3</v>
      </c>
    </row>
    <row r="255" spans="1:13" x14ac:dyDescent="0.3">
      <c r="A255" s="3" t="s">
        <v>10</v>
      </c>
      <c r="B255" s="3">
        <v>312270</v>
      </c>
      <c r="C255" s="3" t="s">
        <v>10</v>
      </c>
      <c r="D255" s="3" t="s">
        <v>7</v>
      </c>
      <c r="E255" s="3" t="s">
        <v>10</v>
      </c>
      <c r="F255" s="3" t="s">
        <v>341</v>
      </c>
      <c r="G255" s="3">
        <v>5</v>
      </c>
      <c r="H255" s="3">
        <v>1</v>
      </c>
      <c r="I255" s="3">
        <v>1</v>
      </c>
      <c r="J255" s="3" t="s">
        <v>3</v>
      </c>
      <c r="K255" s="3" t="s">
        <v>3</v>
      </c>
      <c r="L255" s="3" t="s">
        <v>3</v>
      </c>
      <c r="M255" s="3" t="s">
        <v>3</v>
      </c>
    </row>
    <row r="256" spans="1:13" x14ac:dyDescent="0.3">
      <c r="A256" s="3" t="s">
        <v>32</v>
      </c>
      <c r="B256" s="3">
        <v>312280</v>
      </c>
      <c r="C256" s="3" t="s">
        <v>32</v>
      </c>
      <c r="D256" s="3" t="s">
        <v>31</v>
      </c>
      <c r="E256" s="3" t="s">
        <v>32</v>
      </c>
      <c r="F256" s="3" t="s">
        <v>342</v>
      </c>
      <c r="G256" s="3" t="s">
        <v>3</v>
      </c>
      <c r="H256" s="3" t="s">
        <v>3</v>
      </c>
      <c r="I256" s="3" t="s">
        <v>3</v>
      </c>
      <c r="J256" s="3" t="s">
        <v>3</v>
      </c>
      <c r="K256" s="3" t="s">
        <v>3</v>
      </c>
      <c r="L256" s="3" t="s">
        <v>3</v>
      </c>
      <c r="M256" s="3" t="s">
        <v>3</v>
      </c>
    </row>
    <row r="257" spans="1:13" x14ac:dyDescent="0.3">
      <c r="A257" s="3" t="s">
        <v>94</v>
      </c>
      <c r="B257" s="3">
        <v>312290</v>
      </c>
      <c r="C257" s="3" t="s">
        <v>94</v>
      </c>
      <c r="D257" s="3" t="s">
        <v>37</v>
      </c>
      <c r="E257" s="3" t="s">
        <v>94</v>
      </c>
      <c r="F257" s="3" t="s">
        <v>343</v>
      </c>
      <c r="G257" s="3" t="s">
        <v>3</v>
      </c>
      <c r="H257" s="3" t="s">
        <v>3</v>
      </c>
      <c r="I257" s="3" t="s">
        <v>3</v>
      </c>
      <c r="J257" s="3" t="s">
        <v>3</v>
      </c>
      <c r="K257" s="3" t="s">
        <v>3</v>
      </c>
      <c r="L257" s="3" t="s">
        <v>3</v>
      </c>
      <c r="M257" s="3" t="s">
        <v>3</v>
      </c>
    </row>
    <row r="258" spans="1:13" x14ac:dyDescent="0.3">
      <c r="A258" s="3" t="s">
        <v>114</v>
      </c>
      <c r="B258" s="3">
        <v>312300</v>
      </c>
      <c r="C258" s="3" t="s">
        <v>114</v>
      </c>
      <c r="D258" s="3" t="s">
        <v>42</v>
      </c>
      <c r="E258" s="3" t="s">
        <v>114</v>
      </c>
      <c r="F258" s="3" t="s">
        <v>344</v>
      </c>
      <c r="G258" s="3" t="s">
        <v>3</v>
      </c>
      <c r="H258" s="3" t="s">
        <v>3</v>
      </c>
      <c r="I258" s="3" t="s">
        <v>3</v>
      </c>
      <c r="J258" s="3" t="s">
        <v>3</v>
      </c>
      <c r="K258" s="3" t="s">
        <v>3</v>
      </c>
      <c r="L258" s="3" t="s">
        <v>3</v>
      </c>
      <c r="M258" s="3" t="s">
        <v>3</v>
      </c>
    </row>
    <row r="259" spans="1:13" x14ac:dyDescent="0.3">
      <c r="A259" s="3" t="s">
        <v>227</v>
      </c>
      <c r="B259" s="3">
        <v>312310</v>
      </c>
      <c r="C259" s="3" t="s">
        <v>227</v>
      </c>
      <c r="D259" s="3" t="s">
        <v>4</v>
      </c>
      <c r="E259" s="3" t="s">
        <v>227</v>
      </c>
      <c r="F259" s="3" t="s">
        <v>345</v>
      </c>
      <c r="G259" s="3" t="s">
        <v>3</v>
      </c>
      <c r="H259" s="3" t="s">
        <v>3</v>
      </c>
      <c r="I259" s="3" t="s">
        <v>3</v>
      </c>
      <c r="J259" s="3" t="s">
        <v>3</v>
      </c>
      <c r="K259" s="3" t="s">
        <v>3</v>
      </c>
      <c r="L259" s="3" t="s">
        <v>3</v>
      </c>
      <c r="M259" s="3" t="s">
        <v>3</v>
      </c>
    </row>
    <row r="260" spans="1:13" x14ac:dyDescent="0.3">
      <c r="A260" s="3" t="s">
        <v>139</v>
      </c>
      <c r="B260" s="3">
        <v>312320</v>
      </c>
      <c r="C260" s="3" t="s">
        <v>139</v>
      </c>
      <c r="D260" s="3" t="s">
        <v>21</v>
      </c>
      <c r="E260" s="3" t="s">
        <v>139</v>
      </c>
      <c r="F260" s="3" t="s">
        <v>346</v>
      </c>
      <c r="G260" s="3">
        <v>34</v>
      </c>
      <c r="H260" s="3">
        <v>27</v>
      </c>
      <c r="I260" s="3">
        <v>21</v>
      </c>
      <c r="J260" s="3">
        <v>16</v>
      </c>
      <c r="K260" s="3">
        <v>42</v>
      </c>
      <c r="L260" s="3">
        <v>15</v>
      </c>
      <c r="M260" s="3">
        <v>16</v>
      </c>
    </row>
    <row r="261" spans="1:13" x14ac:dyDescent="0.3">
      <c r="A261" s="3" t="s">
        <v>160</v>
      </c>
      <c r="B261" s="3">
        <v>312330</v>
      </c>
      <c r="C261" s="3" t="s">
        <v>160</v>
      </c>
      <c r="D261" s="3" t="s">
        <v>37</v>
      </c>
      <c r="E261" s="3" t="s">
        <v>160</v>
      </c>
      <c r="F261" s="3" t="s">
        <v>347</v>
      </c>
      <c r="G261" s="3" t="s">
        <v>3</v>
      </c>
      <c r="H261" s="3" t="s">
        <v>3</v>
      </c>
      <c r="I261" s="3" t="s">
        <v>3</v>
      </c>
      <c r="J261" s="3" t="s">
        <v>3</v>
      </c>
      <c r="K261" s="3" t="s">
        <v>3</v>
      </c>
      <c r="L261" s="3" t="s">
        <v>3</v>
      </c>
      <c r="M261" s="3" t="s">
        <v>3</v>
      </c>
    </row>
    <row r="262" spans="1:13" x14ac:dyDescent="0.3">
      <c r="A262" s="3" t="s">
        <v>214</v>
      </c>
      <c r="B262" s="3">
        <v>312340</v>
      </c>
      <c r="C262" s="3" t="s">
        <v>214</v>
      </c>
      <c r="D262" s="3" t="s">
        <v>31</v>
      </c>
      <c r="E262" s="3" t="s">
        <v>214</v>
      </c>
      <c r="F262" s="3" t="s">
        <v>348</v>
      </c>
      <c r="G262" s="3" t="s">
        <v>3</v>
      </c>
      <c r="H262" s="3" t="s">
        <v>3</v>
      </c>
      <c r="I262" s="3" t="s">
        <v>3</v>
      </c>
      <c r="J262" s="3" t="s">
        <v>3</v>
      </c>
      <c r="K262" s="3" t="s">
        <v>3</v>
      </c>
      <c r="L262" s="3" t="s">
        <v>3</v>
      </c>
      <c r="M262" s="3" t="s">
        <v>3</v>
      </c>
    </row>
    <row r="263" spans="1:13" x14ac:dyDescent="0.3">
      <c r="A263" s="3" t="s">
        <v>1</v>
      </c>
      <c r="B263" s="3">
        <v>312350</v>
      </c>
      <c r="C263" s="3" t="s">
        <v>1</v>
      </c>
      <c r="D263" s="3" t="s">
        <v>0</v>
      </c>
      <c r="E263" s="3" t="s">
        <v>1</v>
      </c>
      <c r="F263" s="3" t="s">
        <v>349</v>
      </c>
      <c r="G263" s="3" t="s">
        <v>3</v>
      </c>
      <c r="H263" s="3" t="s">
        <v>3</v>
      </c>
      <c r="I263" s="3" t="s">
        <v>3</v>
      </c>
      <c r="J263" s="3" t="s">
        <v>3</v>
      </c>
      <c r="K263" s="3" t="s">
        <v>3</v>
      </c>
      <c r="L263" s="3" t="s">
        <v>3</v>
      </c>
      <c r="M263" s="3" t="s">
        <v>3</v>
      </c>
    </row>
    <row r="264" spans="1:13" x14ac:dyDescent="0.3">
      <c r="A264" s="3" t="s">
        <v>8</v>
      </c>
      <c r="B264" s="3">
        <v>312352</v>
      </c>
      <c r="C264" s="3" t="s">
        <v>8</v>
      </c>
      <c r="D264" s="3" t="s">
        <v>7</v>
      </c>
      <c r="E264" s="3" t="s">
        <v>8</v>
      </c>
      <c r="F264" s="3" t="s">
        <v>350</v>
      </c>
      <c r="G264" s="3" t="s">
        <v>3</v>
      </c>
      <c r="H264" s="3" t="s">
        <v>3</v>
      </c>
      <c r="I264" s="3" t="s">
        <v>3</v>
      </c>
      <c r="J264" s="3" t="s">
        <v>3</v>
      </c>
      <c r="K264" s="3" t="s">
        <v>3</v>
      </c>
      <c r="L264" s="3" t="s">
        <v>3</v>
      </c>
      <c r="M264" s="3" t="s">
        <v>3</v>
      </c>
    </row>
    <row r="265" spans="1:13" x14ac:dyDescent="0.3">
      <c r="A265" s="3" t="s">
        <v>296</v>
      </c>
      <c r="B265" s="3">
        <v>312360</v>
      </c>
      <c r="C265" s="3" t="s">
        <v>296</v>
      </c>
      <c r="D265" s="3" t="s">
        <v>31</v>
      </c>
      <c r="E265" s="3" t="s">
        <v>296</v>
      </c>
      <c r="F265" s="3" t="s">
        <v>351</v>
      </c>
      <c r="G265" s="3">
        <v>88</v>
      </c>
      <c r="H265" s="3">
        <v>73</v>
      </c>
      <c r="I265" s="3">
        <v>88</v>
      </c>
      <c r="J265" s="3">
        <v>69</v>
      </c>
      <c r="K265" s="3">
        <v>82</v>
      </c>
      <c r="L265" s="3">
        <v>91</v>
      </c>
      <c r="M265" s="3">
        <v>106</v>
      </c>
    </row>
    <row r="266" spans="1:13" x14ac:dyDescent="0.3">
      <c r="A266" s="3" t="s">
        <v>47</v>
      </c>
      <c r="B266" s="3">
        <v>312370</v>
      </c>
      <c r="C266" s="3" t="s">
        <v>47</v>
      </c>
      <c r="D266" s="3" t="s">
        <v>15</v>
      </c>
      <c r="E266" s="3" t="s">
        <v>47</v>
      </c>
      <c r="F266" s="3" t="s">
        <v>352</v>
      </c>
      <c r="G266" s="3" t="s">
        <v>3</v>
      </c>
      <c r="H266" s="3" t="s">
        <v>3</v>
      </c>
      <c r="I266" s="3" t="s">
        <v>3</v>
      </c>
      <c r="J266" s="3" t="s">
        <v>3</v>
      </c>
      <c r="K266" s="3" t="s">
        <v>3</v>
      </c>
      <c r="L266" s="3" t="s">
        <v>3</v>
      </c>
      <c r="M266" s="3" t="s">
        <v>3</v>
      </c>
    </row>
    <row r="267" spans="1:13" x14ac:dyDescent="0.3">
      <c r="A267" s="3" t="s">
        <v>137</v>
      </c>
      <c r="B267" s="3">
        <v>312380</v>
      </c>
      <c r="C267" s="3" t="s">
        <v>137</v>
      </c>
      <c r="D267" s="3" t="s">
        <v>126</v>
      </c>
      <c r="E267" s="3" t="s">
        <v>137</v>
      </c>
      <c r="F267" s="3" t="s">
        <v>353</v>
      </c>
      <c r="G267" s="3" t="s">
        <v>3</v>
      </c>
      <c r="H267" s="3" t="s">
        <v>3</v>
      </c>
      <c r="I267" s="3" t="s">
        <v>3</v>
      </c>
      <c r="J267" s="3" t="s">
        <v>3</v>
      </c>
      <c r="K267" s="3" t="s">
        <v>3</v>
      </c>
      <c r="L267" s="3" t="s">
        <v>3</v>
      </c>
      <c r="M267" s="3" t="s">
        <v>3</v>
      </c>
    </row>
    <row r="268" spans="1:13" x14ac:dyDescent="0.3">
      <c r="A268" s="3" t="s">
        <v>143</v>
      </c>
      <c r="B268" s="3">
        <v>312385</v>
      </c>
      <c r="C268" s="3" t="s">
        <v>143</v>
      </c>
      <c r="D268" s="3" t="s">
        <v>12</v>
      </c>
      <c r="E268" s="3" t="s">
        <v>143</v>
      </c>
      <c r="F268" s="3" t="s">
        <v>354</v>
      </c>
      <c r="G268" s="3" t="s">
        <v>3</v>
      </c>
      <c r="H268" s="3" t="s">
        <v>3</v>
      </c>
      <c r="I268" s="3" t="s">
        <v>3</v>
      </c>
      <c r="J268" s="3" t="s">
        <v>3</v>
      </c>
      <c r="K268" s="3" t="s">
        <v>3</v>
      </c>
      <c r="L268" s="3" t="s">
        <v>3</v>
      </c>
      <c r="M268" s="3" t="s">
        <v>3</v>
      </c>
    </row>
    <row r="269" spans="1:13" x14ac:dyDescent="0.3">
      <c r="A269" s="3" t="s">
        <v>286</v>
      </c>
      <c r="B269" s="3">
        <v>312390</v>
      </c>
      <c r="C269" s="3" t="s">
        <v>286</v>
      </c>
      <c r="D269" s="3" t="s">
        <v>42</v>
      </c>
      <c r="E269" s="3" t="s">
        <v>286</v>
      </c>
      <c r="F269" s="3" t="s">
        <v>355</v>
      </c>
      <c r="G269" s="3">
        <v>3</v>
      </c>
      <c r="H269" s="3">
        <v>29</v>
      </c>
      <c r="I269" s="3">
        <v>21</v>
      </c>
      <c r="J269" s="3">
        <v>15</v>
      </c>
      <c r="K269" s="3">
        <v>46</v>
      </c>
      <c r="L269" s="3">
        <v>62</v>
      </c>
      <c r="M269" s="3">
        <v>4</v>
      </c>
    </row>
    <row r="270" spans="1:13" x14ac:dyDescent="0.3">
      <c r="A270" s="3" t="s">
        <v>160</v>
      </c>
      <c r="B270" s="3">
        <v>312400</v>
      </c>
      <c r="C270" s="3" t="s">
        <v>160</v>
      </c>
      <c r="D270" s="3" t="s">
        <v>37</v>
      </c>
      <c r="E270" s="3" t="s">
        <v>160</v>
      </c>
      <c r="F270" s="3" t="s">
        <v>356</v>
      </c>
      <c r="G270" s="3" t="s">
        <v>3</v>
      </c>
      <c r="H270" s="3" t="s">
        <v>3</v>
      </c>
      <c r="I270" s="3" t="s">
        <v>3</v>
      </c>
      <c r="J270" s="3" t="s">
        <v>3</v>
      </c>
      <c r="K270" s="3" t="s">
        <v>3</v>
      </c>
      <c r="L270" s="3" t="s">
        <v>3</v>
      </c>
      <c r="M270" s="3" t="s">
        <v>3</v>
      </c>
    </row>
    <row r="271" spans="1:13" x14ac:dyDescent="0.3">
      <c r="A271" s="3" t="s">
        <v>129</v>
      </c>
      <c r="B271" s="3">
        <v>312410</v>
      </c>
      <c r="C271" s="3" t="s">
        <v>129</v>
      </c>
      <c r="D271" s="3" t="s">
        <v>4</v>
      </c>
      <c r="E271" s="3" t="s">
        <v>129</v>
      </c>
      <c r="F271" s="3" t="s">
        <v>357</v>
      </c>
      <c r="G271" s="3">
        <v>48</v>
      </c>
      <c r="H271" s="3">
        <v>64</v>
      </c>
      <c r="I271" s="3">
        <v>24</v>
      </c>
      <c r="J271" s="3">
        <v>9</v>
      </c>
      <c r="K271" s="3">
        <v>80</v>
      </c>
      <c r="L271" s="3">
        <v>132</v>
      </c>
      <c r="M271" s="3">
        <v>135</v>
      </c>
    </row>
    <row r="272" spans="1:13" x14ac:dyDescent="0.3">
      <c r="A272" s="3" t="s">
        <v>180</v>
      </c>
      <c r="B272" s="3">
        <v>312420</v>
      </c>
      <c r="C272" s="3" t="s">
        <v>180</v>
      </c>
      <c r="D272" s="3" t="s">
        <v>37</v>
      </c>
      <c r="E272" s="3" t="s">
        <v>180</v>
      </c>
      <c r="F272" s="3" t="s">
        <v>358</v>
      </c>
      <c r="G272" s="3">
        <v>7</v>
      </c>
      <c r="H272" s="3">
        <v>6</v>
      </c>
      <c r="I272" s="3">
        <v>1</v>
      </c>
      <c r="J272" s="3" t="s">
        <v>3</v>
      </c>
      <c r="K272" s="3">
        <v>23</v>
      </c>
      <c r="L272" s="3">
        <v>41</v>
      </c>
      <c r="M272" s="3">
        <v>44</v>
      </c>
    </row>
    <row r="273" spans="1:13" x14ac:dyDescent="0.3">
      <c r="A273" s="3" t="s">
        <v>251</v>
      </c>
      <c r="B273" s="3">
        <v>312430</v>
      </c>
      <c r="C273" s="3" t="s">
        <v>251</v>
      </c>
      <c r="D273" s="3" t="s">
        <v>126</v>
      </c>
      <c r="E273" s="3" t="s">
        <v>251</v>
      </c>
      <c r="F273" s="3" t="s">
        <v>359</v>
      </c>
      <c r="G273" s="3">
        <v>12</v>
      </c>
      <c r="H273" s="3">
        <v>35</v>
      </c>
      <c r="I273" s="3">
        <v>9</v>
      </c>
      <c r="J273" s="3">
        <v>17</v>
      </c>
      <c r="K273" s="3">
        <v>20</v>
      </c>
      <c r="L273" s="3">
        <v>16</v>
      </c>
      <c r="M273" s="3">
        <v>12</v>
      </c>
    </row>
    <row r="274" spans="1:13" x14ac:dyDescent="0.3">
      <c r="A274" s="3" t="s">
        <v>145</v>
      </c>
      <c r="B274" s="3">
        <v>312440</v>
      </c>
      <c r="C274" s="3" t="s">
        <v>145</v>
      </c>
      <c r="D274" s="3" t="s">
        <v>31</v>
      </c>
      <c r="E274" s="3" t="s">
        <v>145</v>
      </c>
      <c r="F274" s="3" t="s">
        <v>360</v>
      </c>
      <c r="G274" s="3" t="s">
        <v>3</v>
      </c>
      <c r="H274" s="3" t="s">
        <v>3</v>
      </c>
      <c r="I274" s="3" t="s">
        <v>3</v>
      </c>
      <c r="J274" s="3" t="s">
        <v>3</v>
      </c>
      <c r="K274" s="3" t="s">
        <v>3</v>
      </c>
      <c r="L274" s="3" t="s">
        <v>3</v>
      </c>
      <c r="M274" s="3" t="s">
        <v>3</v>
      </c>
    </row>
    <row r="275" spans="1:13" x14ac:dyDescent="0.3">
      <c r="A275" s="3" t="s">
        <v>145</v>
      </c>
      <c r="B275" s="3">
        <v>312450</v>
      </c>
      <c r="C275" s="3" t="s">
        <v>145</v>
      </c>
      <c r="D275" s="3" t="s">
        <v>31</v>
      </c>
      <c r="E275" s="3" t="s">
        <v>145</v>
      </c>
      <c r="F275" s="3" t="s">
        <v>361</v>
      </c>
      <c r="G275" s="3" t="s">
        <v>3</v>
      </c>
      <c r="H275" s="3" t="s">
        <v>3</v>
      </c>
      <c r="I275" s="3" t="s">
        <v>3</v>
      </c>
      <c r="J275" s="3" t="s">
        <v>3</v>
      </c>
      <c r="K275" s="3" t="s">
        <v>3</v>
      </c>
      <c r="L275" s="3" t="s">
        <v>3</v>
      </c>
      <c r="M275" s="3" t="s">
        <v>3</v>
      </c>
    </row>
    <row r="276" spans="1:13" x14ac:dyDescent="0.3">
      <c r="A276" s="3" t="s">
        <v>38</v>
      </c>
      <c r="B276" s="3">
        <v>312460</v>
      </c>
      <c r="C276" s="3" t="s">
        <v>38</v>
      </c>
      <c r="D276" s="3" t="s">
        <v>37</v>
      </c>
      <c r="E276" s="3" t="s">
        <v>38</v>
      </c>
      <c r="F276" s="3" t="s">
        <v>362</v>
      </c>
      <c r="G276" s="3" t="s">
        <v>3</v>
      </c>
      <c r="H276" s="3" t="s">
        <v>3</v>
      </c>
      <c r="I276" s="3" t="s">
        <v>3</v>
      </c>
      <c r="J276" s="3" t="s">
        <v>3</v>
      </c>
      <c r="K276" s="3" t="s">
        <v>3</v>
      </c>
      <c r="L276" s="3" t="s">
        <v>3</v>
      </c>
      <c r="M276" s="3" t="s">
        <v>3</v>
      </c>
    </row>
    <row r="277" spans="1:13" x14ac:dyDescent="0.3">
      <c r="A277" s="3" t="s">
        <v>139</v>
      </c>
      <c r="B277" s="3">
        <v>312470</v>
      </c>
      <c r="C277" s="3" t="s">
        <v>139</v>
      </c>
      <c r="D277" s="3" t="s">
        <v>21</v>
      </c>
      <c r="E277" s="3" t="s">
        <v>139</v>
      </c>
      <c r="F277" s="3" t="s">
        <v>363</v>
      </c>
      <c r="G277" s="3">
        <v>9</v>
      </c>
      <c r="H277" s="3">
        <v>15</v>
      </c>
      <c r="I277" s="3">
        <v>7</v>
      </c>
      <c r="J277" s="3">
        <v>14</v>
      </c>
      <c r="K277" s="3">
        <v>6</v>
      </c>
      <c r="L277" s="3">
        <v>9</v>
      </c>
      <c r="M277" s="3">
        <v>6</v>
      </c>
    </row>
    <row r="278" spans="1:13" x14ac:dyDescent="0.3">
      <c r="A278" s="3" t="s">
        <v>1</v>
      </c>
      <c r="B278" s="3">
        <v>312480</v>
      </c>
      <c r="C278" s="3" t="s">
        <v>1</v>
      </c>
      <c r="D278" s="3" t="s">
        <v>0</v>
      </c>
      <c r="E278" s="3" t="s">
        <v>1</v>
      </c>
      <c r="F278" s="3" t="s">
        <v>364</v>
      </c>
      <c r="G278" s="3" t="s">
        <v>3</v>
      </c>
      <c r="H278" s="3" t="s">
        <v>3</v>
      </c>
      <c r="I278" s="3" t="s">
        <v>3</v>
      </c>
      <c r="J278" s="3" t="s">
        <v>3</v>
      </c>
      <c r="K278" s="3" t="s">
        <v>3</v>
      </c>
      <c r="L278" s="3" t="s">
        <v>3</v>
      </c>
      <c r="M278" s="3" t="s">
        <v>3</v>
      </c>
    </row>
    <row r="279" spans="1:13" x14ac:dyDescent="0.3">
      <c r="A279" s="3" t="s">
        <v>69</v>
      </c>
      <c r="B279" s="3">
        <v>312490</v>
      </c>
      <c r="C279" s="3" t="s">
        <v>69</v>
      </c>
      <c r="D279" s="3" t="s">
        <v>37</v>
      </c>
      <c r="E279" s="3" t="s">
        <v>69</v>
      </c>
      <c r="F279" s="3" t="s">
        <v>365</v>
      </c>
      <c r="G279" s="3" t="s">
        <v>3</v>
      </c>
      <c r="H279" s="3" t="s">
        <v>3</v>
      </c>
      <c r="I279" s="3" t="s">
        <v>3</v>
      </c>
      <c r="J279" s="3" t="s">
        <v>3</v>
      </c>
      <c r="K279" s="3" t="s">
        <v>3</v>
      </c>
      <c r="L279" s="3" t="s">
        <v>3</v>
      </c>
      <c r="M279" s="3" t="s">
        <v>3</v>
      </c>
    </row>
    <row r="280" spans="1:13" x14ac:dyDescent="0.3">
      <c r="A280" s="3" t="s">
        <v>118</v>
      </c>
      <c r="B280" s="3">
        <v>312500</v>
      </c>
      <c r="C280" s="3" t="s">
        <v>118</v>
      </c>
      <c r="D280" s="3" t="s">
        <v>37</v>
      </c>
      <c r="E280" s="3" t="s">
        <v>118</v>
      </c>
      <c r="F280" s="3" t="s">
        <v>366</v>
      </c>
      <c r="G280" s="3" t="s">
        <v>3</v>
      </c>
      <c r="H280" s="3" t="s">
        <v>3</v>
      </c>
      <c r="I280" s="3" t="s">
        <v>3</v>
      </c>
      <c r="J280" s="3" t="s">
        <v>3</v>
      </c>
      <c r="K280" s="3" t="s">
        <v>3</v>
      </c>
      <c r="L280" s="3" t="s">
        <v>3</v>
      </c>
      <c r="M280" s="3" t="s">
        <v>3</v>
      </c>
    </row>
    <row r="281" spans="1:13" x14ac:dyDescent="0.3">
      <c r="A281" s="3" t="s">
        <v>145</v>
      </c>
      <c r="B281" s="3">
        <v>312510</v>
      </c>
      <c r="C281" s="3" t="s">
        <v>145</v>
      </c>
      <c r="D281" s="3" t="s">
        <v>31</v>
      </c>
      <c r="E281" s="3" t="s">
        <v>145</v>
      </c>
      <c r="F281" s="3" t="s">
        <v>367</v>
      </c>
      <c r="G281" s="3" t="s">
        <v>3</v>
      </c>
      <c r="H281" s="3">
        <v>1</v>
      </c>
      <c r="I281" s="3">
        <v>4</v>
      </c>
      <c r="J281" s="3" t="s">
        <v>3</v>
      </c>
      <c r="K281" s="3">
        <v>4</v>
      </c>
      <c r="L281" s="3">
        <v>6</v>
      </c>
      <c r="M281" s="3" t="s">
        <v>3</v>
      </c>
    </row>
    <row r="282" spans="1:13" x14ac:dyDescent="0.3">
      <c r="A282" s="3" t="s">
        <v>40</v>
      </c>
      <c r="B282" s="3">
        <v>312520</v>
      </c>
      <c r="C282" s="3" t="s">
        <v>40</v>
      </c>
      <c r="D282" s="3" t="s">
        <v>31</v>
      </c>
      <c r="E282" s="3" t="s">
        <v>40</v>
      </c>
      <c r="F282" s="3" t="s">
        <v>368</v>
      </c>
      <c r="G282" s="3" t="s">
        <v>3</v>
      </c>
      <c r="H282" s="3" t="s">
        <v>3</v>
      </c>
      <c r="I282" s="3" t="s">
        <v>3</v>
      </c>
      <c r="J282" s="3" t="s">
        <v>3</v>
      </c>
      <c r="K282" s="3" t="s">
        <v>3</v>
      </c>
      <c r="L282" s="3" t="s">
        <v>3</v>
      </c>
      <c r="M282" s="3" t="s">
        <v>3</v>
      </c>
    </row>
    <row r="283" spans="1:13" x14ac:dyDescent="0.3">
      <c r="A283" s="3" t="s">
        <v>180</v>
      </c>
      <c r="B283" s="3">
        <v>312530</v>
      </c>
      <c r="C283" s="3" t="s">
        <v>180</v>
      </c>
      <c r="D283" s="3" t="s">
        <v>37</v>
      </c>
      <c r="E283" s="3" t="s">
        <v>180</v>
      </c>
      <c r="F283" s="3" t="s">
        <v>369</v>
      </c>
      <c r="G283" s="3" t="s">
        <v>3</v>
      </c>
      <c r="H283" s="3" t="s">
        <v>3</v>
      </c>
      <c r="I283" s="3" t="s">
        <v>3</v>
      </c>
      <c r="J283" s="3" t="s">
        <v>3</v>
      </c>
      <c r="K283" s="3" t="s">
        <v>3</v>
      </c>
      <c r="L283" s="3" t="s">
        <v>3</v>
      </c>
      <c r="M283" s="3" t="s">
        <v>3</v>
      </c>
    </row>
    <row r="284" spans="1:13" x14ac:dyDescent="0.3">
      <c r="A284" s="3" t="s">
        <v>222</v>
      </c>
      <c r="B284" s="3">
        <v>312540</v>
      </c>
      <c r="C284" s="3" t="s">
        <v>222</v>
      </c>
      <c r="D284" s="3" t="s">
        <v>56</v>
      </c>
      <c r="E284" s="3" t="s">
        <v>222</v>
      </c>
      <c r="F284" s="3" t="s">
        <v>370</v>
      </c>
      <c r="G284" s="3" t="s">
        <v>3</v>
      </c>
      <c r="H284" s="3" t="s">
        <v>3</v>
      </c>
      <c r="I284" s="3" t="s">
        <v>3</v>
      </c>
      <c r="J284" s="3" t="s">
        <v>3</v>
      </c>
      <c r="K284" s="3" t="s">
        <v>3</v>
      </c>
      <c r="L284" s="3" t="s">
        <v>3</v>
      </c>
      <c r="M284" s="3" t="s">
        <v>3</v>
      </c>
    </row>
    <row r="285" spans="1:13" x14ac:dyDescent="0.3">
      <c r="A285" s="3" t="s">
        <v>222</v>
      </c>
      <c r="B285" s="3">
        <v>312550</v>
      </c>
      <c r="C285" s="3" t="s">
        <v>222</v>
      </c>
      <c r="D285" s="3" t="s">
        <v>56</v>
      </c>
      <c r="E285" s="3" t="s">
        <v>222</v>
      </c>
      <c r="F285" s="3" t="s">
        <v>371</v>
      </c>
      <c r="G285" s="3" t="s">
        <v>3</v>
      </c>
      <c r="H285" s="3" t="s">
        <v>3</v>
      </c>
      <c r="I285" s="3" t="s">
        <v>3</v>
      </c>
      <c r="J285" s="3" t="s">
        <v>3</v>
      </c>
      <c r="K285" s="3" t="s">
        <v>3</v>
      </c>
      <c r="L285" s="3" t="s">
        <v>3</v>
      </c>
      <c r="M285" s="3" t="s">
        <v>3</v>
      </c>
    </row>
    <row r="286" spans="1:13" x14ac:dyDescent="0.3">
      <c r="A286" s="3" t="s">
        <v>45</v>
      </c>
      <c r="B286" s="3">
        <v>312560</v>
      </c>
      <c r="C286" s="3" t="s">
        <v>45</v>
      </c>
      <c r="D286" s="3" t="s">
        <v>24</v>
      </c>
      <c r="E286" s="3" t="s">
        <v>45</v>
      </c>
      <c r="F286" s="3" t="s">
        <v>372</v>
      </c>
      <c r="G286" s="3">
        <v>41</v>
      </c>
      <c r="H286" s="3">
        <v>33</v>
      </c>
      <c r="I286" s="3">
        <v>4</v>
      </c>
      <c r="J286" s="3">
        <v>7</v>
      </c>
      <c r="K286" s="3">
        <v>14</v>
      </c>
      <c r="L286" s="3">
        <v>27</v>
      </c>
      <c r="M286" s="3">
        <v>25</v>
      </c>
    </row>
    <row r="287" spans="1:13" x14ac:dyDescent="0.3">
      <c r="A287" s="3" t="s">
        <v>102</v>
      </c>
      <c r="B287" s="3">
        <v>312570</v>
      </c>
      <c r="C287" s="3" t="s">
        <v>102</v>
      </c>
      <c r="D287" s="3" t="s">
        <v>4</v>
      </c>
      <c r="E287" s="3" t="s">
        <v>102</v>
      </c>
      <c r="F287" s="3" t="s">
        <v>373</v>
      </c>
      <c r="G287" s="3" t="s">
        <v>3</v>
      </c>
      <c r="H287" s="3" t="s">
        <v>3</v>
      </c>
      <c r="I287" s="3" t="s">
        <v>3</v>
      </c>
      <c r="J287" s="3" t="s">
        <v>3</v>
      </c>
      <c r="K287" s="3" t="s">
        <v>3</v>
      </c>
      <c r="L287" s="3" t="s">
        <v>3</v>
      </c>
      <c r="M287" s="3" t="s">
        <v>3</v>
      </c>
    </row>
    <row r="288" spans="1:13" x14ac:dyDescent="0.3">
      <c r="A288" s="3" t="s">
        <v>47</v>
      </c>
      <c r="B288" s="3">
        <v>312580</v>
      </c>
      <c r="C288" s="3" t="s">
        <v>47</v>
      </c>
      <c r="D288" s="3" t="s">
        <v>15</v>
      </c>
      <c r="E288" s="3" t="s">
        <v>47</v>
      </c>
      <c r="F288" s="3" t="s">
        <v>374</v>
      </c>
      <c r="G288" s="3" t="s">
        <v>3</v>
      </c>
      <c r="H288" s="3" t="s">
        <v>3</v>
      </c>
      <c r="I288" s="3" t="s">
        <v>3</v>
      </c>
      <c r="J288" s="3" t="s">
        <v>3</v>
      </c>
      <c r="K288" s="3" t="s">
        <v>3</v>
      </c>
      <c r="L288" s="3" t="s">
        <v>3</v>
      </c>
      <c r="M288" s="3" t="s">
        <v>3</v>
      </c>
    </row>
    <row r="289" spans="1:13" x14ac:dyDescent="0.3">
      <c r="A289" s="3" t="s">
        <v>110</v>
      </c>
      <c r="B289" s="3">
        <v>312590</v>
      </c>
      <c r="C289" s="3" t="s">
        <v>110</v>
      </c>
      <c r="D289" s="3" t="s">
        <v>4</v>
      </c>
      <c r="E289" s="3" t="s">
        <v>110</v>
      </c>
      <c r="F289" s="3" t="s">
        <v>375</v>
      </c>
      <c r="G289" s="3" t="s">
        <v>3</v>
      </c>
      <c r="H289" s="3" t="s">
        <v>3</v>
      </c>
      <c r="I289" s="3" t="s">
        <v>3</v>
      </c>
      <c r="J289" s="3" t="s">
        <v>3</v>
      </c>
      <c r="K289" s="3" t="s">
        <v>3</v>
      </c>
      <c r="L289" s="3" t="s">
        <v>3</v>
      </c>
      <c r="M289" s="3" t="s">
        <v>3</v>
      </c>
    </row>
    <row r="290" spans="1:13" x14ac:dyDescent="0.3">
      <c r="A290" s="3" t="s">
        <v>180</v>
      </c>
      <c r="B290" s="3">
        <v>312595</v>
      </c>
      <c r="C290" s="3" t="s">
        <v>180</v>
      </c>
      <c r="D290" s="3" t="s">
        <v>37</v>
      </c>
      <c r="E290" s="3" t="s">
        <v>180</v>
      </c>
      <c r="F290" s="3" t="s">
        <v>376</v>
      </c>
      <c r="G290" s="3" t="s">
        <v>3</v>
      </c>
      <c r="H290" s="3" t="s">
        <v>3</v>
      </c>
      <c r="I290" s="3" t="s">
        <v>3</v>
      </c>
      <c r="J290" s="3" t="s">
        <v>3</v>
      </c>
      <c r="K290" s="3" t="s">
        <v>3</v>
      </c>
      <c r="L290" s="3" t="s">
        <v>3</v>
      </c>
      <c r="M290" s="3" t="s">
        <v>3</v>
      </c>
    </row>
    <row r="291" spans="1:13" x14ac:dyDescent="0.3">
      <c r="A291" s="3" t="s">
        <v>129</v>
      </c>
      <c r="B291" s="3">
        <v>312600</v>
      </c>
      <c r="C291" s="3" t="s">
        <v>129</v>
      </c>
      <c r="D291" s="3" t="s">
        <v>4</v>
      </c>
      <c r="E291" s="3" t="s">
        <v>129</v>
      </c>
      <c r="F291" s="3" t="s">
        <v>377</v>
      </c>
      <c r="G291" s="3" t="s">
        <v>3</v>
      </c>
      <c r="H291" s="3" t="s">
        <v>3</v>
      </c>
      <c r="I291" s="3" t="s">
        <v>3</v>
      </c>
      <c r="J291" s="3" t="s">
        <v>3</v>
      </c>
      <c r="K291" s="3" t="s">
        <v>3</v>
      </c>
      <c r="L291" s="3" t="s">
        <v>3</v>
      </c>
      <c r="M291" s="3" t="s">
        <v>3</v>
      </c>
    </row>
    <row r="292" spans="1:13" x14ac:dyDescent="0.3">
      <c r="A292" s="3" t="s">
        <v>106</v>
      </c>
      <c r="B292" s="3">
        <v>312610</v>
      </c>
      <c r="C292" s="3" t="s">
        <v>106</v>
      </c>
      <c r="D292" s="3" t="s">
        <v>21</v>
      </c>
      <c r="E292" s="3" t="s">
        <v>106</v>
      </c>
      <c r="F292" s="3" t="s">
        <v>106</v>
      </c>
      <c r="G292" s="3">
        <v>7</v>
      </c>
      <c r="H292" s="3">
        <v>9</v>
      </c>
      <c r="I292" s="3">
        <v>14</v>
      </c>
      <c r="J292" s="3">
        <v>14</v>
      </c>
      <c r="K292" s="3">
        <v>29</v>
      </c>
      <c r="L292" s="3">
        <v>3</v>
      </c>
      <c r="M292" s="3">
        <v>9</v>
      </c>
    </row>
    <row r="293" spans="1:13" x14ac:dyDescent="0.3">
      <c r="A293" s="3" t="s">
        <v>98</v>
      </c>
      <c r="B293" s="3">
        <v>312620</v>
      </c>
      <c r="C293" s="3" t="s">
        <v>98</v>
      </c>
      <c r="D293" s="3" t="s">
        <v>82</v>
      </c>
      <c r="E293" s="3" t="s">
        <v>98</v>
      </c>
      <c r="F293" s="3" t="s">
        <v>378</v>
      </c>
      <c r="G293" s="3" t="s">
        <v>3</v>
      </c>
      <c r="H293" s="3" t="s">
        <v>3</v>
      </c>
      <c r="I293" s="3" t="s">
        <v>3</v>
      </c>
      <c r="J293" s="3" t="s">
        <v>3</v>
      </c>
      <c r="K293" s="3" t="s">
        <v>3</v>
      </c>
      <c r="L293" s="3" t="s">
        <v>3</v>
      </c>
      <c r="M293" s="3" t="s">
        <v>3</v>
      </c>
    </row>
    <row r="294" spans="1:13" x14ac:dyDescent="0.3">
      <c r="A294" s="3" t="s">
        <v>49</v>
      </c>
      <c r="B294" s="3">
        <v>312630</v>
      </c>
      <c r="C294" s="3" t="s">
        <v>49</v>
      </c>
      <c r="D294" s="3" t="s">
        <v>31</v>
      </c>
      <c r="E294" s="3" t="s">
        <v>49</v>
      </c>
      <c r="F294" s="3" t="s">
        <v>379</v>
      </c>
      <c r="G294" s="3" t="s">
        <v>3</v>
      </c>
      <c r="H294" s="3" t="s">
        <v>3</v>
      </c>
      <c r="I294" s="3" t="s">
        <v>3</v>
      </c>
      <c r="J294" s="3" t="s">
        <v>3</v>
      </c>
      <c r="K294" s="3" t="s">
        <v>3</v>
      </c>
      <c r="L294" s="3" t="s">
        <v>3</v>
      </c>
      <c r="M294" s="3" t="s">
        <v>3</v>
      </c>
    </row>
    <row r="295" spans="1:13" x14ac:dyDescent="0.3">
      <c r="A295" s="3" t="s">
        <v>5</v>
      </c>
      <c r="B295" s="3">
        <v>312640</v>
      </c>
      <c r="C295" s="3" t="s">
        <v>5</v>
      </c>
      <c r="D295" s="3" t="s">
        <v>4</v>
      </c>
      <c r="E295" s="3" t="s">
        <v>5</v>
      </c>
      <c r="F295" s="3" t="s">
        <v>380</v>
      </c>
      <c r="G295" s="3" t="s">
        <v>3</v>
      </c>
      <c r="H295" s="3" t="s">
        <v>3</v>
      </c>
      <c r="I295" s="3" t="s">
        <v>3</v>
      </c>
      <c r="J295" s="3" t="s">
        <v>3</v>
      </c>
      <c r="K295" s="3" t="s">
        <v>3</v>
      </c>
      <c r="L295" s="3" t="s">
        <v>3</v>
      </c>
      <c r="M295" s="3" t="s">
        <v>3</v>
      </c>
    </row>
    <row r="296" spans="1:13" x14ac:dyDescent="0.3">
      <c r="A296" s="3" t="s">
        <v>74</v>
      </c>
      <c r="B296" s="3">
        <v>312650</v>
      </c>
      <c r="C296" s="3" t="s">
        <v>74</v>
      </c>
      <c r="D296" s="3" t="s">
        <v>56</v>
      </c>
      <c r="E296" s="3" t="s">
        <v>74</v>
      </c>
      <c r="F296" s="3" t="s">
        <v>381</v>
      </c>
      <c r="G296" s="3" t="s">
        <v>3</v>
      </c>
      <c r="H296" s="3" t="s">
        <v>3</v>
      </c>
      <c r="I296" s="3" t="s">
        <v>3</v>
      </c>
      <c r="J296" s="3" t="s">
        <v>3</v>
      </c>
      <c r="K296" s="3" t="s">
        <v>3</v>
      </c>
      <c r="L296" s="3" t="s">
        <v>3</v>
      </c>
      <c r="M296" s="3" t="s">
        <v>3</v>
      </c>
    </row>
    <row r="297" spans="1:13" x14ac:dyDescent="0.3">
      <c r="A297" s="3" t="s">
        <v>137</v>
      </c>
      <c r="B297" s="3">
        <v>312660</v>
      </c>
      <c r="C297" s="3" t="s">
        <v>137</v>
      </c>
      <c r="D297" s="3" t="s">
        <v>126</v>
      </c>
      <c r="E297" s="3" t="s">
        <v>137</v>
      </c>
      <c r="F297" s="3" t="s">
        <v>382</v>
      </c>
      <c r="G297" s="3" t="s">
        <v>3</v>
      </c>
      <c r="H297" s="3" t="s">
        <v>3</v>
      </c>
      <c r="I297" s="3" t="s">
        <v>3</v>
      </c>
      <c r="J297" s="3" t="s">
        <v>3</v>
      </c>
      <c r="K297" s="3" t="s">
        <v>3</v>
      </c>
      <c r="L297" s="3" t="s">
        <v>3</v>
      </c>
      <c r="M297" s="3" t="s">
        <v>3</v>
      </c>
    </row>
    <row r="298" spans="1:13" x14ac:dyDescent="0.3">
      <c r="A298" s="3" t="s">
        <v>154</v>
      </c>
      <c r="B298" s="3">
        <v>312670</v>
      </c>
      <c r="C298" s="3" t="s">
        <v>154</v>
      </c>
      <c r="D298" s="3" t="s">
        <v>126</v>
      </c>
      <c r="E298" s="3" t="s">
        <v>154</v>
      </c>
      <c r="F298" s="3" t="s">
        <v>383</v>
      </c>
      <c r="G298" s="3">
        <v>336</v>
      </c>
      <c r="H298" s="3">
        <v>86</v>
      </c>
      <c r="I298" s="3">
        <v>34</v>
      </c>
      <c r="J298" s="3">
        <v>33</v>
      </c>
      <c r="K298" s="3">
        <v>109</v>
      </c>
      <c r="L298" s="3">
        <v>205</v>
      </c>
      <c r="M298" s="3">
        <v>153</v>
      </c>
    </row>
    <row r="299" spans="1:13" x14ac:dyDescent="0.3">
      <c r="A299" s="3" t="s">
        <v>64</v>
      </c>
      <c r="B299" s="3">
        <v>312675</v>
      </c>
      <c r="C299" s="3" t="s">
        <v>64</v>
      </c>
      <c r="D299" s="3" t="s">
        <v>24</v>
      </c>
      <c r="E299" s="3" t="s">
        <v>64</v>
      </c>
      <c r="F299" s="3" t="s">
        <v>384</v>
      </c>
      <c r="G299" s="3" t="s">
        <v>3</v>
      </c>
      <c r="H299" s="3" t="s">
        <v>3</v>
      </c>
      <c r="I299" s="3" t="s">
        <v>3</v>
      </c>
      <c r="J299" s="3" t="s">
        <v>3</v>
      </c>
      <c r="K299" s="3" t="s">
        <v>3</v>
      </c>
      <c r="L299" s="3" t="s">
        <v>3</v>
      </c>
      <c r="M299" s="3" t="s">
        <v>3</v>
      </c>
    </row>
    <row r="300" spans="1:13" x14ac:dyDescent="0.3">
      <c r="A300" s="3" t="s">
        <v>189</v>
      </c>
      <c r="B300" s="3">
        <v>312680</v>
      </c>
      <c r="C300" s="3" t="s">
        <v>189</v>
      </c>
      <c r="D300" s="3" t="s">
        <v>24</v>
      </c>
      <c r="E300" s="3" t="s">
        <v>189</v>
      </c>
      <c r="F300" s="3" t="s">
        <v>385</v>
      </c>
      <c r="G300" s="3" t="s">
        <v>3</v>
      </c>
      <c r="H300" s="3" t="s">
        <v>3</v>
      </c>
      <c r="I300" s="3" t="s">
        <v>3</v>
      </c>
      <c r="J300" s="3" t="s">
        <v>3</v>
      </c>
      <c r="K300" s="3" t="s">
        <v>3</v>
      </c>
      <c r="L300" s="3" t="s">
        <v>3</v>
      </c>
      <c r="M300" s="3" t="s">
        <v>3</v>
      </c>
    </row>
    <row r="301" spans="1:13" x14ac:dyDescent="0.3">
      <c r="A301" s="3" t="s">
        <v>47</v>
      </c>
      <c r="B301" s="3">
        <v>312690</v>
      </c>
      <c r="C301" s="3" t="s">
        <v>47</v>
      </c>
      <c r="D301" s="3" t="s">
        <v>15</v>
      </c>
      <c r="E301" s="3" t="s">
        <v>47</v>
      </c>
      <c r="F301" s="3" t="s">
        <v>386</v>
      </c>
      <c r="G301" s="3" t="s">
        <v>3</v>
      </c>
      <c r="H301" s="3" t="s">
        <v>3</v>
      </c>
      <c r="I301" s="3" t="s">
        <v>3</v>
      </c>
      <c r="J301" s="3" t="s">
        <v>3</v>
      </c>
      <c r="K301" s="3" t="s">
        <v>3</v>
      </c>
      <c r="L301" s="3" t="s">
        <v>3</v>
      </c>
      <c r="M301" s="3" t="s">
        <v>3</v>
      </c>
    </row>
    <row r="302" spans="1:13" x14ac:dyDescent="0.3">
      <c r="A302" s="3" t="s">
        <v>203</v>
      </c>
      <c r="B302" s="3">
        <v>312695</v>
      </c>
      <c r="C302" s="3" t="s">
        <v>203</v>
      </c>
      <c r="D302" s="3" t="s">
        <v>15</v>
      </c>
      <c r="E302" s="3" t="s">
        <v>203</v>
      </c>
      <c r="F302" s="3" t="s">
        <v>387</v>
      </c>
      <c r="G302" s="3" t="s">
        <v>3</v>
      </c>
      <c r="H302" s="3" t="s">
        <v>3</v>
      </c>
      <c r="I302" s="3" t="s">
        <v>3</v>
      </c>
      <c r="J302" s="3" t="s">
        <v>3</v>
      </c>
      <c r="K302" s="3" t="s">
        <v>3</v>
      </c>
      <c r="L302" s="3" t="s">
        <v>3</v>
      </c>
      <c r="M302" s="3" t="s">
        <v>3</v>
      </c>
    </row>
    <row r="303" spans="1:13" x14ac:dyDescent="0.3">
      <c r="A303" s="3" t="s">
        <v>237</v>
      </c>
      <c r="B303" s="3">
        <v>312700</v>
      </c>
      <c r="C303" s="3" t="s">
        <v>237</v>
      </c>
      <c r="D303" s="3" t="s">
        <v>18</v>
      </c>
      <c r="E303" s="3" t="s">
        <v>237</v>
      </c>
      <c r="F303" s="3" t="s">
        <v>388</v>
      </c>
      <c r="G303" s="3" t="s">
        <v>3</v>
      </c>
      <c r="H303" s="3" t="s">
        <v>3</v>
      </c>
      <c r="I303" s="3" t="s">
        <v>3</v>
      </c>
      <c r="J303" s="3" t="s">
        <v>3</v>
      </c>
      <c r="K303" s="3" t="s">
        <v>3</v>
      </c>
      <c r="L303" s="3" t="s">
        <v>3</v>
      </c>
      <c r="M303" s="3" t="s">
        <v>3</v>
      </c>
    </row>
    <row r="304" spans="1:13" x14ac:dyDescent="0.3">
      <c r="A304" s="3" t="s">
        <v>25</v>
      </c>
      <c r="B304" s="3">
        <v>312705</v>
      </c>
      <c r="C304" s="3" t="s">
        <v>25</v>
      </c>
      <c r="D304" s="3" t="s">
        <v>24</v>
      </c>
      <c r="E304" s="3" t="s">
        <v>25</v>
      </c>
      <c r="F304" s="3" t="s">
        <v>389</v>
      </c>
      <c r="G304" s="3" t="s">
        <v>3</v>
      </c>
      <c r="H304" s="3" t="s">
        <v>3</v>
      </c>
      <c r="I304" s="3" t="s">
        <v>3</v>
      </c>
      <c r="J304" s="3" t="s">
        <v>3</v>
      </c>
      <c r="K304" s="3" t="s">
        <v>3</v>
      </c>
      <c r="L304" s="3" t="s">
        <v>3</v>
      </c>
      <c r="M304" s="3" t="s">
        <v>3</v>
      </c>
    </row>
    <row r="305" spans="1:13" x14ac:dyDescent="0.3">
      <c r="A305" s="3" t="s">
        <v>390</v>
      </c>
      <c r="B305" s="3">
        <v>312707</v>
      </c>
      <c r="C305" s="3" t="s">
        <v>390</v>
      </c>
      <c r="D305" s="3" t="s">
        <v>126</v>
      </c>
      <c r="E305" s="3" t="s">
        <v>390</v>
      </c>
      <c r="F305" s="3" t="s">
        <v>391</v>
      </c>
      <c r="G305" s="3" t="s">
        <v>3</v>
      </c>
      <c r="H305" s="3" t="s">
        <v>3</v>
      </c>
      <c r="I305" s="3" t="s">
        <v>3</v>
      </c>
      <c r="J305" s="3" t="s">
        <v>3</v>
      </c>
      <c r="K305" s="3" t="s">
        <v>3</v>
      </c>
      <c r="L305" s="3" t="s">
        <v>3</v>
      </c>
      <c r="M305" s="3" t="s">
        <v>3</v>
      </c>
    </row>
    <row r="306" spans="1:13" x14ac:dyDescent="0.3">
      <c r="A306" s="3" t="s">
        <v>237</v>
      </c>
      <c r="B306" s="3">
        <v>312710</v>
      </c>
      <c r="C306" s="3" t="s">
        <v>237</v>
      </c>
      <c r="D306" s="3" t="s">
        <v>18</v>
      </c>
      <c r="E306" s="3" t="s">
        <v>237</v>
      </c>
      <c r="F306" s="3" t="s">
        <v>392</v>
      </c>
      <c r="G306" s="3">
        <v>68</v>
      </c>
      <c r="H306" s="3">
        <v>85</v>
      </c>
      <c r="I306" s="3">
        <v>21</v>
      </c>
      <c r="J306" s="3">
        <v>7</v>
      </c>
      <c r="K306" s="3">
        <v>5</v>
      </c>
      <c r="L306" s="3">
        <v>11</v>
      </c>
      <c r="M306" s="3">
        <v>101</v>
      </c>
    </row>
    <row r="307" spans="1:13" x14ac:dyDescent="0.3">
      <c r="A307" s="3" t="s">
        <v>5</v>
      </c>
      <c r="B307" s="3">
        <v>312720</v>
      </c>
      <c r="C307" s="3" t="s">
        <v>5</v>
      </c>
      <c r="D307" s="3" t="s">
        <v>4</v>
      </c>
      <c r="E307" s="3" t="s">
        <v>5</v>
      </c>
      <c r="F307" s="3" t="s">
        <v>393</v>
      </c>
      <c r="G307" s="3" t="s">
        <v>3</v>
      </c>
      <c r="H307" s="3" t="s">
        <v>3</v>
      </c>
      <c r="I307" s="3" t="s">
        <v>3</v>
      </c>
      <c r="J307" s="3" t="s">
        <v>3</v>
      </c>
      <c r="K307" s="3" t="s">
        <v>3</v>
      </c>
      <c r="L307" s="3" t="s">
        <v>3</v>
      </c>
      <c r="M307" s="3" t="s">
        <v>3</v>
      </c>
    </row>
    <row r="308" spans="1:13" x14ac:dyDescent="0.3">
      <c r="A308" s="3" t="s">
        <v>47</v>
      </c>
      <c r="B308" s="3">
        <v>312730</v>
      </c>
      <c r="C308" s="3" t="s">
        <v>47</v>
      </c>
      <c r="D308" s="3" t="s">
        <v>15</v>
      </c>
      <c r="E308" s="3" t="s">
        <v>47</v>
      </c>
      <c r="F308" s="3" t="s">
        <v>394</v>
      </c>
      <c r="G308" s="3" t="s">
        <v>3</v>
      </c>
      <c r="H308" s="3" t="s">
        <v>3</v>
      </c>
      <c r="I308" s="3" t="s">
        <v>3</v>
      </c>
      <c r="J308" s="3" t="s">
        <v>3</v>
      </c>
      <c r="K308" s="3" t="s">
        <v>3</v>
      </c>
      <c r="L308" s="3" t="s">
        <v>3</v>
      </c>
      <c r="M308" s="3" t="s">
        <v>3</v>
      </c>
    </row>
    <row r="309" spans="1:13" x14ac:dyDescent="0.3">
      <c r="A309" s="3" t="s">
        <v>251</v>
      </c>
      <c r="B309" s="3">
        <v>312733</v>
      </c>
      <c r="C309" s="3" t="s">
        <v>251</v>
      </c>
      <c r="D309" s="3" t="s">
        <v>126</v>
      </c>
      <c r="E309" s="3" t="s">
        <v>251</v>
      </c>
      <c r="F309" s="3" t="s">
        <v>395</v>
      </c>
      <c r="G309" s="3" t="s">
        <v>3</v>
      </c>
      <c r="H309" s="3" t="s">
        <v>3</v>
      </c>
      <c r="I309" s="3" t="s">
        <v>3</v>
      </c>
      <c r="J309" s="3" t="s">
        <v>3</v>
      </c>
      <c r="K309" s="3" t="s">
        <v>3</v>
      </c>
      <c r="L309" s="3" t="s">
        <v>3</v>
      </c>
      <c r="M309" s="3" t="s">
        <v>3</v>
      </c>
    </row>
    <row r="310" spans="1:13" x14ac:dyDescent="0.3">
      <c r="A310" s="3" t="s">
        <v>265</v>
      </c>
      <c r="B310" s="3">
        <v>312735</v>
      </c>
      <c r="C310" s="3" t="s">
        <v>265</v>
      </c>
      <c r="D310" s="3" t="s">
        <v>126</v>
      </c>
      <c r="E310" s="3" t="s">
        <v>265</v>
      </c>
      <c r="F310" s="3" t="s">
        <v>396</v>
      </c>
      <c r="G310" s="3" t="s">
        <v>3</v>
      </c>
      <c r="H310" s="3" t="s">
        <v>3</v>
      </c>
      <c r="I310" s="3" t="s">
        <v>3</v>
      </c>
      <c r="J310" s="3" t="s">
        <v>3</v>
      </c>
      <c r="K310" s="3" t="s">
        <v>3</v>
      </c>
      <c r="L310" s="3" t="s">
        <v>3</v>
      </c>
      <c r="M310" s="3" t="s">
        <v>3</v>
      </c>
    </row>
    <row r="311" spans="1:13" x14ac:dyDescent="0.3">
      <c r="A311" s="3" t="s">
        <v>29</v>
      </c>
      <c r="B311" s="3">
        <v>312737</v>
      </c>
      <c r="C311" s="3" t="s">
        <v>29</v>
      </c>
      <c r="D311" s="3" t="s">
        <v>15</v>
      </c>
      <c r="E311" s="3" t="s">
        <v>29</v>
      </c>
      <c r="F311" s="3" t="s">
        <v>397</v>
      </c>
      <c r="G311" s="3" t="s">
        <v>3</v>
      </c>
      <c r="H311" s="3" t="s">
        <v>3</v>
      </c>
      <c r="I311" s="3" t="s">
        <v>3</v>
      </c>
      <c r="J311" s="3" t="s">
        <v>3</v>
      </c>
      <c r="K311" s="3" t="s">
        <v>3</v>
      </c>
      <c r="L311" s="3" t="s">
        <v>3</v>
      </c>
      <c r="M311" s="3" t="s">
        <v>3</v>
      </c>
    </row>
    <row r="312" spans="1:13" x14ac:dyDescent="0.3">
      <c r="A312" s="3" t="s">
        <v>118</v>
      </c>
      <c r="B312" s="3">
        <v>312738</v>
      </c>
      <c r="C312" s="3" t="s">
        <v>118</v>
      </c>
      <c r="D312" s="3" t="s">
        <v>37</v>
      </c>
      <c r="E312" s="3" t="s">
        <v>118</v>
      </c>
      <c r="F312" s="3" t="s">
        <v>398</v>
      </c>
      <c r="G312" s="3" t="s">
        <v>3</v>
      </c>
      <c r="H312" s="3" t="s">
        <v>3</v>
      </c>
      <c r="I312" s="3" t="s">
        <v>3</v>
      </c>
      <c r="J312" s="3" t="s">
        <v>3</v>
      </c>
      <c r="K312" s="3" t="s">
        <v>3</v>
      </c>
      <c r="L312" s="3" t="s">
        <v>3</v>
      </c>
      <c r="M312" s="3" t="s">
        <v>3</v>
      </c>
    </row>
    <row r="313" spans="1:13" x14ac:dyDescent="0.3">
      <c r="A313" s="3" t="s">
        <v>163</v>
      </c>
      <c r="B313" s="3">
        <v>312740</v>
      </c>
      <c r="C313" s="3" t="s">
        <v>163</v>
      </c>
      <c r="D313" s="3" t="s">
        <v>31</v>
      </c>
      <c r="E313" s="3" t="s">
        <v>163</v>
      </c>
      <c r="F313" s="3" t="s">
        <v>399</v>
      </c>
      <c r="G313" s="3" t="s">
        <v>3</v>
      </c>
      <c r="H313" s="3" t="s">
        <v>3</v>
      </c>
      <c r="I313" s="3" t="s">
        <v>3</v>
      </c>
      <c r="J313" s="3" t="s">
        <v>3</v>
      </c>
      <c r="K313" s="3" t="s">
        <v>3</v>
      </c>
      <c r="L313" s="3" t="s">
        <v>3</v>
      </c>
      <c r="M313" s="3" t="s">
        <v>3</v>
      </c>
    </row>
    <row r="314" spans="1:13" x14ac:dyDescent="0.3">
      <c r="A314" s="3" t="s">
        <v>47</v>
      </c>
      <c r="B314" s="3">
        <v>312750</v>
      </c>
      <c r="C314" s="3" t="s">
        <v>47</v>
      </c>
      <c r="D314" s="3" t="s">
        <v>15</v>
      </c>
      <c r="E314" s="3" t="s">
        <v>47</v>
      </c>
      <c r="F314" s="3" t="s">
        <v>400</v>
      </c>
      <c r="G314" s="3" t="s">
        <v>3</v>
      </c>
      <c r="H314" s="3" t="s">
        <v>3</v>
      </c>
      <c r="I314" s="3" t="s">
        <v>3</v>
      </c>
      <c r="J314" s="3" t="s">
        <v>3</v>
      </c>
      <c r="K314" s="3" t="s">
        <v>3</v>
      </c>
      <c r="L314" s="3" t="s">
        <v>3</v>
      </c>
      <c r="M314" s="3" t="s">
        <v>3</v>
      </c>
    </row>
    <row r="315" spans="1:13" x14ac:dyDescent="0.3">
      <c r="A315" s="3" t="s">
        <v>222</v>
      </c>
      <c r="B315" s="3">
        <v>312760</v>
      </c>
      <c r="C315" s="3" t="s">
        <v>222</v>
      </c>
      <c r="D315" s="3" t="s">
        <v>56</v>
      </c>
      <c r="E315" s="3" t="s">
        <v>222</v>
      </c>
      <c r="F315" s="3" t="s">
        <v>401</v>
      </c>
      <c r="G315" s="3">
        <v>20</v>
      </c>
      <c r="H315" s="3">
        <v>1</v>
      </c>
      <c r="I315" s="3">
        <v>9</v>
      </c>
      <c r="J315" s="3">
        <v>22</v>
      </c>
      <c r="K315" s="3">
        <v>106</v>
      </c>
      <c r="L315" s="3">
        <v>153</v>
      </c>
      <c r="M315" s="3">
        <v>87</v>
      </c>
    </row>
    <row r="316" spans="1:13" x14ac:dyDescent="0.3">
      <c r="A316" s="3" t="s">
        <v>47</v>
      </c>
      <c r="B316" s="3">
        <v>312770</v>
      </c>
      <c r="C316" s="3" t="s">
        <v>47</v>
      </c>
      <c r="D316" s="3" t="s">
        <v>15</v>
      </c>
      <c r="E316" s="3" t="s">
        <v>47</v>
      </c>
      <c r="F316" s="3" t="s">
        <v>47</v>
      </c>
      <c r="G316" s="3">
        <v>389</v>
      </c>
      <c r="H316" s="3">
        <v>271</v>
      </c>
      <c r="I316" s="3">
        <v>101</v>
      </c>
      <c r="J316" s="3">
        <v>87</v>
      </c>
      <c r="K316" s="3">
        <v>168</v>
      </c>
      <c r="L316" s="3">
        <v>77</v>
      </c>
      <c r="M316" s="3">
        <v>138</v>
      </c>
    </row>
    <row r="317" spans="1:13" x14ac:dyDescent="0.3">
      <c r="A317" s="3" t="s">
        <v>154</v>
      </c>
      <c r="B317" s="3">
        <v>312780</v>
      </c>
      <c r="C317" s="3" t="s">
        <v>154</v>
      </c>
      <c r="D317" s="3" t="s">
        <v>126</v>
      </c>
      <c r="E317" s="3" t="s">
        <v>154</v>
      </c>
      <c r="F317" s="3" t="s">
        <v>402</v>
      </c>
      <c r="G317" s="3">
        <v>26</v>
      </c>
      <c r="H317" s="3">
        <v>10</v>
      </c>
      <c r="I317" s="3">
        <v>13</v>
      </c>
      <c r="J317" s="3">
        <v>4</v>
      </c>
      <c r="K317" s="3">
        <v>22</v>
      </c>
      <c r="L317" s="3">
        <v>53</v>
      </c>
      <c r="M317" s="3">
        <v>27</v>
      </c>
    </row>
    <row r="318" spans="1:13" x14ac:dyDescent="0.3">
      <c r="A318" s="3" t="s">
        <v>1</v>
      </c>
      <c r="B318" s="3">
        <v>312790</v>
      </c>
      <c r="C318" s="3" t="s">
        <v>1</v>
      </c>
      <c r="D318" s="3" t="s">
        <v>0</v>
      </c>
      <c r="E318" s="3" t="s">
        <v>1</v>
      </c>
      <c r="F318" s="3" t="s">
        <v>403</v>
      </c>
      <c r="G318" s="3" t="s">
        <v>3</v>
      </c>
      <c r="H318" s="3" t="s">
        <v>3</v>
      </c>
      <c r="I318" s="3" t="s">
        <v>3</v>
      </c>
      <c r="J318" s="3" t="s">
        <v>3</v>
      </c>
      <c r="K318" s="3" t="s">
        <v>3</v>
      </c>
      <c r="L318" s="3" t="s">
        <v>3</v>
      </c>
      <c r="M318" s="3" t="s">
        <v>3</v>
      </c>
    </row>
    <row r="319" spans="1:13" x14ac:dyDescent="0.3">
      <c r="A319" s="3" t="s">
        <v>227</v>
      </c>
      <c r="B319" s="3">
        <v>312800</v>
      </c>
      <c r="C319" s="3" t="s">
        <v>227</v>
      </c>
      <c r="D319" s="3" t="s">
        <v>4</v>
      </c>
      <c r="E319" s="3" t="s">
        <v>227</v>
      </c>
      <c r="F319" s="3" t="s">
        <v>404</v>
      </c>
      <c r="G319" s="3">
        <v>28</v>
      </c>
      <c r="H319" s="3">
        <v>41</v>
      </c>
      <c r="I319" s="3">
        <v>30</v>
      </c>
      <c r="J319" s="3">
        <v>20</v>
      </c>
      <c r="K319" s="3">
        <v>95</v>
      </c>
      <c r="L319" s="3">
        <v>109</v>
      </c>
      <c r="M319" s="3">
        <v>165</v>
      </c>
    </row>
    <row r="320" spans="1:13" x14ac:dyDescent="0.3">
      <c r="A320" s="3" t="s">
        <v>214</v>
      </c>
      <c r="B320" s="3">
        <v>312810</v>
      </c>
      <c r="C320" s="3" t="s">
        <v>214</v>
      </c>
      <c r="D320" s="3" t="s">
        <v>31</v>
      </c>
      <c r="E320" s="3" t="s">
        <v>214</v>
      </c>
      <c r="F320" s="3" t="s">
        <v>405</v>
      </c>
      <c r="G320" s="3" t="s">
        <v>3</v>
      </c>
      <c r="H320" s="3" t="s">
        <v>3</v>
      </c>
      <c r="I320" s="3">
        <v>1</v>
      </c>
      <c r="J320" s="3" t="s">
        <v>3</v>
      </c>
      <c r="K320" s="3">
        <v>4</v>
      </c>
      <c r="L320" s="3">
        <v>8</v>
      </c>
      <c r="M320" s="3">
        <v>2</v>
      </c>
    </row>
    <row r="321" spans="1:13" x14ac:dyDescent="0.3">
      <c r="A321" s="3" t="s">
        <v>10</v>
      </c>
      <c r="B321" s="3">
        <v>312820</v>
      </c>
      <c r="C321" s="3" t="s">
        <v>10</v>
      </c>
      <c r="D321" s="3" t="s">
        <v>7</v>
      </c>
      <c r="E321" s="3" t="s">
        <v>10</v>
      </c>
      <c r="F321" s="3" t="s">
        <v>406</v>
      </c>
      <c r="G321" s="3" t="s">
        <v>3</v>
      </c>
      <c r="H321" s="3" t="s">
        <v>3</v>
      </c>
      <c r="I321" s="3" t="s">
        <v>3</v>
      </c>
      <c r="J321" s="3" t="s">
        <v>3</v>
      </c>
      <c r="K321" s="3" t="s">
        <v>3</v>
      </c>
      <c r="L321" s="3" t="s">
        <v>3</v>
      </c>
      <c r="M321" s="3" t="s">
        <v>3</v>
      </c>
    </row>
    <row r="322" spans="1:13" x14ac:dyDescent="0.3">
      <c r="A322" s="3" t="s">
        <v>137</v>
      </c>
      <c r="B322" s="3">
        <v>312825</v>
      </c>
      <c r="C322" s="3" t="s">
        <v>137</v>
      </c>
      <c r="D322" s="3" t="s">
        <v>126</v>
      </c>
      <c r="E322" s="3" t="s">
        <v>137</v>
      </c>
      <c r="F322" s="3" t="s">
        <v>407</v>
      </c>
      <c r="G322" s="3" t="s">
        <v>3</v>
      </c>
      <c r="H322" s="3" t="s">
        <v>3</v>
      </c>
      <c r="I322" s="3" t="s">
        <v>3</v>
      </c>
      <c r="J322" s="3" t="s">
        <v>3</v>
      </c>
      <c r="K322" s="3" t="s">
        <v>3</v>
      </c>
      <c r="L322" s="3" t="s">
        <v>3</v>
      </c>
      <c r="M322" s="3" t="s">
        <v>3</v>
      </c>
    </row>
    <row r="323" spans="1:13" x14ac:dyDescent="0.3">
      <c r="A323" s="3" t="s">
        <v>89</v>
      </c>
      <c r="B323" s="3">
        <v>312830</v>
      </c>
      <c r="C323" s="3" t="s">
        <v>89</v>
      </c>
      <c r="D323" s="3" t="s">
        <v>31</v>
      </c>
      <c r="E323" s="3" t="s">
        <v>89</v>
      </c>
      <c r="F323" s="3" t="s">
        <v>408</v>
      </c>
      <c r="G323" s="3">
        <v>4</v>
      </c>
      <c r="H323" s="3">
        <v>4</v>
      </c>
      <c r="I323" s="3">
        <v>2</v>
      </c>
      <c r="J323" s="3">
        <v>3</v>
      </c>
      <c r="K323" s="3" t="s">
        <v>3</v>
      </c>
      <c r="L323" s="3" t="s">
        <v>3</v>
      </c>
      <c r="M323" s="3" t="s">
        <v>3</v>
      </c>
    </row>
    <row r="324" spans="1:13" x14ac:dyDescent="0.3">
      <c r="A324" s="3" t="s">
        <v>160</v>
      </c>
      <c r="B324" s="3">
        <v>312840</v>
      </c>
      <c r="C324" s="3" t="s">
        <v>160</v>
      </c>
      <c r="D324" s="3" t="s">
        <v>37</v>
      </c>
      <c r="E324" s="3" t="s">
        <v>160</v>
      </c>
      <c r="F324" s="3" t="s">
        <v>409</v>
      </c>
      <c r="G324" s="3" t="s">
        <v>3</v>
      </c>
      <c r="H324" s="3" t="s">
        <v>3</v>
      </c>
      <c r="I324" s="3" t="s">
        <v>3</v>
      </c>
      <c r="J324" s="3" t="s">
        <v>3</v>
      </c>
      <c r="K324" s="3" t="s">
        <v>3</v>
      </c>
      <c r="L324" s="3" t="s">
        <v>3</v>
      </c>
      <c r="M324" s="3" t="s">
        <v>3</v>
      </c>
    </row>
    <row r="325" spans="1:13" x14ac:dyDescent="0.3">
      <c r="A325" s="3" t="s">
        <v>131</v>
      </c>
      <c r="B325" s="3">
        <v>312850</v>
      </c>
      <c r="C325" s="3" t="s">
        <v>131</v>
      </c>
      <c r="D325" s="3" t="s">
        <v>37</v>
      </c>
      <c r="E325" s="3" t="s">
        <v>131</v>
      </c>
      <c r="F325" s="3" t="s">
        <v>410</v>
      </c>
      <c r="G325" s="3" t="s">
        <v>3</v>
      </c>
      <c r="H325" s="3" t="s">
        <v>3</v>
      </c>
      <c r="I325" s="3" t="s">
        <v>3</v>
      </c>
      <c r="J325" s="3" t="s">
        <v>3</v>
      </c>
      <c r="K325" s="3" t="s">
        <v>3</v>
      </c>
      <c r="L325" s="3" t="s">
        <v>3</v>
      </c>
      <c r="M325" s="3" t="s">
        <v>3</v>
      </c>
    </row>
    <row r="326" spans="1:13" x14ac:dyDescent="0.3">
      <c r="A326" s="3" t="s">
        <v>316</v>
      </c>
      <c r="B326" s="3">
        <v>312860</v>
      </c>
      <c r="C326" s="3" t="s">
        <v>316</v>
      </c>
      <c r="D326" s="3" t="s">
        <v>82</v>
      </c>
      <c r="E326" s="3" t="s">
        <v>316</v>
      </c>
      <c r="F326" s="3" t="s">
        <v>411</v>
      </c>
      <c r="G326" s="3">
        <v>28</v>
      </c>
      <c r="H326" s="3">
        <v>15</v>
      </c>
      <c r="I326" s="3">
        <v>11</v>
      </c>
      <c r="J326" s="3">
        <v>6</v>
      </c>
      <c r="K326" s="3">
        <v>40</v>
      </c>
      <c r="L326" s="3">
        <v>59</v>
      </c>
      <c r="M326" s="3">
        <v>35</v>
      </c>
    </row>
    <row r="327" spans="1:13" x14ac:dyDescent="0.3">
      <c r="A327" s="3" t="s">
        <v>89</v>
      </c>
      <c r="B327" s="3">
        <v>312870</v>
      </c>
      <c r="C327" s="3" t="s">
        <v>89</v>
      </c>
      <c r="D327" s="3" t="s">
        <v>31</v>
      </c>
      <c r="E327" s="3" t="s">
        <v>89</v>
      </c>
      <c r="F327" s="3" t="s">
        <v>412</v>
      </c>
      <c r="G327" s="3">
        <v>8</v>
      </c>
      <c r="H327" s="3">
        <v>21</v>
      </c>
      <c r="I327" s="3">
        <v>10</v>
      </c>
      <c r="J327" s="3">
        <v>7</v>
      </c>
      <c r="K327" s="3">
        <v>10</v>
      </c>
      <c r="L327" s="3">
        <v>56</v>
      </c>
      <c r="M327" s="3">
        <v>28</v>
      </c>
    </row>
    <row r="328" spans="1:13" x14ac:dyDescent="0.3">
      <c r="A328" s="3" t="s">
        <v>160</v>
      </c>
      <c r="B328" s="3">
        <v>312880</v>
      </c>
      <c r="C328" s="3" t="s">
        <v>160</v>
      </c>
      <c r="D328" s="3" t="s">
        <v>37</v>
      </c>
      <c r="E328" s="3" t="s">
        <v>160</v>
      </c>
      <c r="F328" s="3" t="s">
        <v>413</v>
      </c>
      <c r="G328" s="3" t="s">
        <v>3</v>
      </c>
      <c r="H328" s="3" t="s">
        <v>3</v>
      </c>
      <c r="I328" s="3" t="s">
        <v>3</v>
      </c>
      <c r="J328" s="3" t="s">
        <v>3</v>
      </c>
      <c r="K328" s="3" t="s">
        <v>3</v>
      </c>
      <c r="L328" s="3" t="s">
        <v>3</v>
      </c>
      <c r="M328" s="3" t="s">
        <v>3</v>
      </c>
    </row>
    <row r="329" spans="1:13" x14ac:dyDescent="0.3">
      <c r="A329" s="3" t="s">
        <v>316</v>
      </c>
      <c r="B329" s="3">
        <v>312890</v>
      </c>
      <c r="C329" s="3" t="s">
        <v>316</v>
      </c>
      <c r="D329" s="3" t="s">
        <v>82</v>
      </c>
      <c r="E329" s="3" t="s">
        <v>316</v>
      </c>
      <c r="F329" s="3" t="s">
        <v>414</v>
      </c>
      <c r="G329" s="3" t="s">
        <v>3</v>
      </c>
      <c r="H329" s="3" t="s">
        <v>3</v>
      </c>
      <c r="I329" s="3" t="s">
        <v>3</v>
      </c>
      <c r="J329" s="3" t="s">
        <v>3</v>
      </c>
      <c r="K329" s="3" t="s">
        <v>3</v>
      </c>
      <c r="L329" s="3" t="s">
        <v>3</v>
      </c>
      <c r="M329" s="3" t="s">
        <v>3</v>
      </c>
    </row>
    <row r="330" spans="1:13" x14ac:dyDescent="0.3">
      <c r="A330" s="3" t="s">
        <v>160</v>
      </c>
      <c r="B330" s="3">
        <v>312900</v>
      </c>
      <c r="C330" s="3" t="s">
        <v>160</v>
      </c>
      <c r="D330" s="3" t="s">
        <v>37</v>
      </c>
      <c r="E330" s="3" t="s">
        <v>160</v>
      </c>
      <c r="F330" s="3" t="s">
        <v>415</v>
      </c>
      <c r="G330" s="3" t="s">
        <v>3</v>
      </c>
      <c r="H330" s="3" t="s">
        <v>3</v>
      </c>
      <c r="I330" s="3" t="s">
        <v>3</v>
      </c>
      <c r="J330" s="3" t="s">
        <v>3</v>
      </c>
      <c r="K330" s="3" t="s">
        <v>3</v>
      </c>
      <c r="L330" s="3" t="s">
        <v>3</v>
      </c>
      <c r="M330" s="3" t="s">
        <v>3</v>
      </c>
    </row>
    <row r="331" spans="1:13" x14ac:dyDescent="0.3">
      <c r="A331" s="3" t="s">
        <v>176</v>
      </c>
      <c r="B331" s="3">
        <v>312910</v>
      </c>
      <c r="C331" s="3" t="s">
        <v>176</v>
      </c>
      <c r="D331" s="3" t="s">
        <v>0</v>
      </c>
      <c r="E331" s="3" t="s">
        <v>176</v>
      </c>
      <c r="F331" s="3" t="s">
        <v>416</v>
      </c>
      <c r="G331" s="3" t="s">
        <v>3</v>
      </c>
      <c r="H331" s="3" t="s">
        <v>3</v>
      </c>
      <c r="I331" s="3" t="s">
        <v>3</v>
      </c>
      <c r="J331" s="3" t="s">
        <v>3</v>
      </c>
      <c r="K331" s="3">
        <v>1</v>
      </c>
      <c r="L331" s="3">
        <v>5</v>
      </c>
      <c r="M331" s="3">
        <v>1</v>
      </c>
    </row>
    <row r="332" spans="1:13" x14ac:dyDescent="0.3">
      <c r="A332" s="3" t="s">
        <v>145</v>
      </c>
      <c r="B332" s="3">
        <v>312920</v>
      </c>
      <c r="C332" s="3" t="s">
        <v>145</v>
      </c>
      <c r="D332" s="3" t="s">
        <v>31</v>
      </c>
      <c r="E332" s="3" t="s">
        <v>145</v>
      </c>
      <c r="F332" s="3" t="s">
        <v>417</v>
      </c>
      <c r="G332" s="3" t="s">
        <v>3</v>
      </c>
      <c r="H332" s="3" t="s">
        <v>3</v>
      </c>
      <c r="I332" s="3" t="s">
        <v>3</v>
      </c>
      <c r="J332" s="3" t="s">
        <v>3</v>
      </c>
      <c r="K332" s="3" t="s">
        <v>3</v>
      </c>
      <c r="L332" s="3" t="s">
        <v>3</v>
      </c>
      <c r="M332" s="3" t="s">
        <v>3</v>
      </c>
    </row>
    <row r="333" spans="1:13" x14ac:dyDescent="0.3">
      <c r="A333" s="3" t="s">
        <v>13</v>
      </c>
      <c r="B333" s="3">
        <v>312930</v>
      </c>
      <c r="C333" s="3" t="s">
        <v>13</v>
      </c>
      <c r="D333" s="3" t="s">
        <v>12</v>
      </c>
      <c r="E333" s="3" t="s">
        <v>13</v>
      </c>
      <c r="F333" s="3" t="s">
        <v>418</v>
      </c>
      <c r="G333" s="3" t="s">
        <v>3</v>
      </c>
      <c r="H333" s="3" t="s">
        <v>3</v>
      </c>
      <c r="I333" s="3" t="s">
        <v>3</v>
      </c>
      <c r="J333" s="3" t="s">
        <v>3</v>
      </c>
      <c r="K333" s="3" t="s">
        <v>3</v>
      </c>
      <c r="L333" s="3" t="s">
        <v>3</v>
      </c>
      <c r="M333" s="3" t="s">
        <v>3</v>
      </c>
    </row>
    <row r="334" spans="1:13" x14ac:dyDescent="0.3">
      <c r="A334" s="3" t="s">
        <v>43</v>
      </c>
      <c r="B334" s="3">
        <v>312940</v>
      </c>
      <c r="C334" s="3" t="s">
        <v>43</v>
      </c>
      <c r="D334" s="3" t="s">
        <v>42</v>
      </c>
      <c r="E334" s="3" t="s">
        <v>43</v>
      </c>
      <c r="F334" s="3" t="s">
        <v>419</v>
      </c>
      <c r="G334" s="3">
        <v>13</v>
      </c>
      <c r="H334" s="3" t="s">
        <v>3</v>
      </c>
      <c r="I334" s="3" t="s">
        <v>3</v>
      </c>
      <c r="J334" s="3" t="s">
        <v>3</v>
      </c>
      <c r="K334" s="3" t="s">
        <v>3</v>
      </c>
      <c r="L334" s="3" t="s">
        <v>3</v>
      </c>
      <c r="M334" s="3" t="s">
        <v>3</v>
      </c>
    </row>
    <row r="335" spans="1:13" x14ac:dyDescent="0.3">
      <c r="A335" s="3" t="s">
        <v>87</v>
      </c>
      <c r="B335" s="3">
        <v>312950</v>
      </c>
      <c r="C335" s="3" t="s">
        <v>87</v>
      </c>
      <c r="D335" s="3" t="s">
        <v>18</v>
      </c>
      <c r="E335" s="3" t="s">
        <v>87</v>
      </c>
      <c r="F335" s="3" t="s">
        <v>420</v>
      </c>
      <c r="G335" s="3">
        <v>47</v>
      </c>
      <c r="H335" s="3">
        <v>42</v>
      </c>
      <c r="I335" s="3">
        <v>10</v>
      </c>
      <c r="J335" s="3">
        <v>18</v>
      </c>
      <c r="K335" s="3">
        <v>37</v>
      </c>
      <c r="L335" s="3">
        <v>61</v>
      </c>
      <c r="M335" s="3">
        <v>45</v>
      </c>
    </row>
    <row r="336" spans="1:13" x14ac:dyDescent="0.3">
      <c r="A336" s="3" t="s">
        <v>170</v>
      </c>
      <c r="B336" s="3">
        <v>312960</v>
      </c>
      <c r="C336" s="3" t="s">
        <v>170</v>
      </c>
      <c r="D336" s="3" t="s">
        <v>126</v>
      </c>
      <c r="E336" s="3" t="s">
        <v>170</v>
      </c>
      <c r="F336" s="3" t="s">
        <v>421</v>
      </c>
      <c r="G336" s="3" t="s">
        <v>3</v>
      </c>
      <c r="H336" s="3" t="s">
        <v>3</v>
      </c>
      <c r="I336" s="3" t="s">
        <v>3</v>
      </c>
      <c r="J336" s="3" t="s">
        <v>3</v>
      </c>
      <c r="K336" s="3" t="s">
        <v>3</v>
      </c>
      <c r="L336" s="3" t="s">
        <v>3</v>
      </c>
      <c r="M336" s="3" t="s">
        <v>3</v>
      </c>
    </row>
    <row r="337" spans="1:13" x14ac:dyDescent="0.3">
      <c r="A337" s="3" t="s">
        <v>158</v>
      </c>
      <c r="B337" s="3">
        <v>312965</v>
      </c>
      <c r="C337" s="3" t="s">
        <v>158</v>
      </c>
      <c r="D337" s="3" t="s">
        <v>126</v>
      </c>
      <c r="E337" s="3" t="s">
        <v>158</v>
      </c>
      <c r="F337" s="3" t="s">
        <v>422</v>
      </c>
      <c r="G337" s="3" t="s">
        <v>3</v>
      </c>
      <c r="H337" s="3" t="s">
        <v>3</v>
      </c>
      <c r="I337" s="3" t="s">
        <v>3</v>
      </c>
      <c r="J337" s="3" t="s">
        <v>3</v>
      </c>
      <c r="K337" s="3" t="s">
        <v>3</v>
      </c>
      <c r="L337" s="3" t="s">
        <v>3</v>
      </c>
      <c r="M337" s="3" t="s">
        <v>3</v>
      </c>
    </row>
    <row r="338" spans="1:13" x14ac:dyDescent="0.3">
      <c r="A338" s="3" t="s">
        <v>208</v>
      </c>
      <c r="B338" s="3">
        <v>312970</v>
      </c>
      <c r="C338" s="3" t="s">
        <v>208</v>
      </c>
      <c r="D338" s="3" t="s">
        <v>31</v>
      </c>
      <c r="E338" s="3" t="s">
        <v>208</v>
      </c>
      <c r="F338" s="3" t="s">
        <v>423</v>
      </c>
      <c r="G338" s="3" t="s">
        <v>3</v>
      </c>
      <c r="H338" s="3">
        <v>1</v>
      </c>
      <c r="I338" s="3" t="s">
        <v>3</v>
      </c>
      <c r="J338" s="3" t="s">
        <v>3</v>
      </c>
      <c r="K338" s="3" t="s">
        <v>3</v>
      </c>
      <c r="L338" s="3" t="s">
        <v>3</v>
      </c>
      <c r="M338" s="3" t="s">
        <v>3</v>
      </c>
    </row>
    <row r="339" spans="1:13" x14ac:dyDescent="0.3">
      <c r="A339" s="3" t="s">
        <v>291</v>
      </c>
      <c r="B339" s="3">
        <v>312980</v>
      </c>
      <c r="C339" s="3" t="s">
        <v>291</v>
      </c>
      <c r="D339" s="3" t="s">
        <v>4</v>
      </c>
      <c r="E339" s="3" t="s">
        <v>291</v>
      </c>
      <c r="F339" s="3" t="s">
        <v>424</v>
      </c>
      <c r="G339" s="3">
        <v>163</v>
      </c>
      <c r="H339" s="3">
        <v>85</v>
      </c>
      <c r="I339" s="3">
        <v>62</v>
      </c>
      <c r="J339" s="3">
        <v>77</v>
      </c>
      <c r="K339" s="3">
        <v>192</v>
      </c>
      <c r="L339" s="3">
        <v>156</v>
      </c>
      <c r="M339" s="3">
        <v>349</v>
      </c>
    </row>
    <row r="340" spans="1:13" x14ac:dyDescent="0.3">
      <c r="A340" s="3" t="s">
        <v>35</v>
      </c>
      <c r="B340" s="3">
        <v>312990</v>
      </c>
      <c r="C340" s="3" t="s">
        <v>35</v>
      </c>
      <c r="D340" s="3" t="s">
        <v>31</v>
      </c>
      <c r="E340" s="3" t="s">
        <v>35</v>
      </c>
      <c r="F340" s="3" t="s">
        <v>425</v>
      </c>
      <c r="G340" s="3" t="s">
        <v>3</v>
      </c>
      <c r="H340" s="3" t="s">
        <v>3</v>
      </c>
      <c r="I340" s="3" t="s">
        <v>3</v>
      </c>
      <c r="J340" s="3" t="s">
        <v>3</v>
      </c>
      <c r="K340" s="3" t="s">
        <v>3</v>
      </c>
      <c r="L340" s="3" t="s">
        <v>3</v>
      </c>
      <c r="M340" s="3" t="s">
        <v>3</v>
      </c>
    </row>
    <row r="341" spans="1:13" x14ac:dyDescent="0.3">
      <c r="A341" s="3" t="s">
        <v>114</v>
      </c>
      <c r="B341" s="3">
        <v>313000</v>
      </c>
      <c r="C341" s="3" t="s">
        <v>114</v>
      </c>
      <c r="D341" s="3" t="s">
        <v>42</v>
      </c>
      <c r="E341" s="3" t="s">
        <v>114</v>
      </c>
      <c r="F341" s="3" t="s">
        <v>426</v>
      </c>
      <c r="G341" s="3" t="s">
        <v>3</v>
      </c>
      <c r="H341" s="3" t="s">
        <v>3</v>
      </c>
      <c r="I341" s="3" t="s">
        <v>3</v>
      </c>
      <c r="J341" s="3" t="s">
        <v>3</v>
      </c>
      <c r="K341" s="3" t="s">
        <v>3</v>
      </c>
      <c r="L341" s="3" t="s">
        <v>3</v>
      </c>
      <c r="M341" s="3" t="s">
        <v>3</v>
      </c>
    </row>
    <row r="342" spans="1:13" x14ac:dyDescent="0.3">
      <c r="A342" s="3" t="s">
        <v>158</v>
      </c>
      <c r="B342" s="3">
        <v>313005</v>
      </c>
      <c r="C342" s="3" t="s">
        <v>158</v>
      </c>
      <c r="D342" s="3" t="s">
        <v>126</v>
      </c>
      <c r="E342" s="3" t="s">
        <v>158</v>
      </c>
      <c r="F342" s="3" t="s">
        <v>427</v>
      </c>
      <c r="G342" s="3" t="s">
        <v>3</v>
      </c>
      <c r="H342" s="3" t="s">
        <v>3</v>
      </c>
      <c r="I342" s="3" t="s">
        <v>3</v>
      </c>
      <c r="J342" s="3" t="s">
        <v>3</v>
      </c>
      <c r="K342" s="3" t="s">
        <v>3</v>
      </c>
      <c r="L342" s="3" t="s">
        <v>3</v>
      </c>
      <c r="M342" s="3" t="s">
        <v>3</v>
      </c>
    </row>
    <row r="343" spans="1:13" x14ac:dyDescent="0.3">
      <c r="A343" s="3" t="s">
        <v>129</v>
      </c>
      <c r="B343" s="3">
        <v>313010</v>
      </c>
      <c r="C343" s="3" t="s">
        <v>129</v>
      </c>
      <c r="D343" s="3" t="s">
        <v>4</v>
      </c>
      <c r="E343" s="3" t="s">
        <v>129</v>
      </c>
      <c r="F343" s="3" t="s">
        <v>428</v>
      </c>
      <c r="G343" s="3" t="s">
        <v>3</v>
      </c>
      <c r="H343" s="3" t="s">
        <v>3</v>
      </c>
      <c r="I343" s="3" t="s">
        <v>3</v>
      </c>
      <c r="J343" s="3" t="s">
        <v>3</v>
      </c>
      <c r="K343" s="3" t="s">
        <v>3</v>
      </c>
      <c r="L343" s="3">
        <v>6</v>
      </c>
      <c r="M343" s="3">
        <v>77</v>
      </c>
    </row>
    <row r="344" spans="1:13" x14ac:dyDescent="0.3">
      <c r="A344" s="3" t="s">
        <v>278</v>
      </c>
      <c r="B344" s="3">
        <v>313020</v>
      </c>
      <c r="C344" s="3" t="s">
        <v>278</v>
      </c>
      <c r="D344" s="3" t="s">
        <v>21</v>
      </c>
      <c r="E344" s="3" t="s">
        <v>278</v>
      </c>
      <c r="F344" s="3" t="s">
        <v>429</v>
      </c>
      <c r="G344" s="3" t="s">
        <v>3</v>
      </c>
      <c r="H344" s="3" t="s">
        <v>3</v>
      </c>
      <c r="I344" s="3" t="s">
        <v>3</v>
      </c>
      <c r="J344" s="3" t="s">
        <v>3</v>
      </c>
      <c r="K344" s="3" t="s">
        <v>3</v>
      </c>
      <c r="L344" s="3" t="s">
        <v>3</v>
      </c>
      <c r="M344" s="3" t="s">
        <v>3</v>
      </c>
    </row>
    <row r="345" spans="1:13" x14ac:dyDescent="0.3">
      <c r="A345" s="3" t="s">
        <v>106</v>
      </c>
      <c r="B345" s="3">
        <v>313030</v>
      </c>
      <c r="C345" s="3" t="s">
        <v>106</v>
      </c>
      <c r="D345" s="3" t="s">
        <v>21</v>
      </c>
      <c r="E345" s="3" t="s">
        <v>106</v>
      </c>
      <c r="F345" s="3" t="s">
        <v>430</v>
      </c>
      <c r="G345" s="3" t="s">
        <v>3</v>
      </c>
      <c r="H345" s="3" t="s">
        <v>3</v>
      </c>
      <c r="I345" s="3" t="s">
        <v>3</v>
      </c>
      <c r="J345" s="3" t="s">
        <v>3</v>
      </c>
      <c r="K345" s="3" t="s">
        <v>3</v>
      </c>
      <c r="L345" s="3" t="s">
        <v>3</v>
      </c>
      <c r="M345" s="3" t="s">
        <v>3</v>
      </c>
    </row>
    <row r="346" spans="1:13" x14ac:dyDescent="0.3">
      <c r="A346" s="3" t="s">
        <v>239</v>
      </c>
      <c r="B346" s="3">
        <v>313040</v>
      </c>
      <c r="C346" s="3" t="s">
        <v>239</v>
      </c>
      <c r="D346" s="3" t="s">
        <v>31</v>
      </c>
      <c r="E346" s="3" t="s">
        <v>239</v>
      </c>
      <c r="F346" s="3" t="s">
        <v>431</v>
      </c>
      <c r="G346" s="3" t="s">
        <v>3</v>
      </c>
      <c r="H346" s="3" t="s">
        <v>3</v>
      </c>
      <c r="I346" s="3" t="s">
        <v>3</v>
      </c>
      <c r="J346" s="3" t="s">
        <v>3</v>
      </c>
      <c r="K346" s="3" t="s">
        <v>3</v>
      </c>
      <c r="L346" s="3" t="s">
        <v>3</v>
      </c>
      <c r="M346" s="3" t="s">
        <v>3</v>
      </c>
    </row>
    <row r="347" spans="1:13" x14ac:dyDescent="0.3">
      <c r="A347" s="3" t="s">
        <v>134</v>
      </c>
      <c r="B347" s="3">
        <v>313050</v>
      </c>
      <c r="C347" s="3" t="s">
        <v>134</v>
      </c>
      <c r="D347" s="3" t="s">
        <v>31</v>
      </c>
      <c r="E347" s="3" t="s">
        <v>134</v>
      </c>
      <c r="F347" s="3" t="s">
        <v>432</v>
      </c>
      <c r="G347" s="3" t="s">
        <v>3</v>
      </c>
      <c r="H347" s="3" t="s">
        <v>3</v>
      </c>
      <c r="I347" s="3" t="s">
        <v>3</v>
      </c>
      <c r="J347" s="3" t="s">
        <v>3</v>
      </c>
      <c r="K347" s="3" t="s">
        <v>3</v>
      </c>
      <c r="L347" s="3" t="s">
        <v>3</v>
      </c>
      <c r="M347" s="3">
        <v>98</v>
      </c>
    </row>
    <row r="348" spans="1:13" x14ac:dyDescent="0.3">
      <c r="A348" s="3" t="s">
        <v>143</v>
      </c>
      <c r="B348" s="3">
        <v>313055</v>
      </c>
      <c r="C348" s="3" t="s">
        <v>143</v>
      </c>
      <c r="D348" s="3" t="s">
        <v>12</v>
      </c>
      <c r="E348" s="3" t="s">
        <v>143</v>
      </c>
      <c r="F348" s="3" t="s">
        <v>433</v>
      </c>
      <c r="G348" s="3" t="s">
        <v>3</v>
      </c>
      <c r="H348" s="3" t="s">
        <v>3</v>
      </c>
      <c r="I348" s="3" t="s">
        <v>3</v>
      </c>
      <c r="J348" s="3" t="s">
        <v>3</v>
      </c>
      <c r="K348" s="3" t="s">
        <v>3</v>
      </c>
      <c r="L348" s="3" t="s">
        <v>3</v>
      </c>
      <c r="M348" s="3" t="s">
        <v>3</v>
      </c>
    </row>
    <row r="349" spans="1:13" x14ac:dyDescent="0.3">
      <c r="A349" s="3" t="s">
        <v>145</v>
      </c>
      <c r="B349" s="3">
        <v>313060</v>
      </c>
      <c r="C349" s="3" t="s">
        <v>145</v>
      </c>
      <c r="D349" s="3" t="s">
        <v>31</v>
      </c>
      <c r="E349" s="3" t="s">
        <v>145</v>
      </c>
      <c r="F349" s="3" t="s">
        <v>434</v>
      </c>
      <c r="G349" s="3" t="s">
        <v>3</v>
      </c>
      <c r="H349" s="3" t="s">
        <v>3</v>
      </c>
      <c r="I349" s="3" t="s">
        <v>3</v>
      </c>
      <c r="J349" s="3" t="s">
        <v>3</v>
      </c>
      <c r="K349" s="3" t="s">
        <v>3</v>
      </c>
      <c r="L349" s="3" t="s">
        <v>3</v>
      </c>
      <c r="M349" s="3" t="s">
        <v>3</v>
      </c>
    </row>
    <row r="350" spans="1:13" x14ac:dyDescent="0.3">
      <c r="A350" s="3" t="s">
        <v>127</v>
      </c>
      <c r="B350" s="3">
        <v>313065</v>
      </c>
      <c r="C350" s="3" t="s">
        <v>127</v>
      </c>
      <c r="D350" s="3" t="s">
        <v>126</v>
      </c>
      <c r="E350" s="3" t="s">
        <v>127</v>
      </c>
      <c r="F350" s="3" t="s">
        <v>435</v>
      </c>
      <c r="G350" s="3" t="s">
        <v>3</v>
      </c>
      <c r="H350" s="3" t="s">
        <v>3</v>
      </c>
      <c r="I350" s="3" t="s">
        <v>3</v>
      </c>
      <c r="J350" s="3" t="s">
        <v>3</v>
      </c>
      <c r="K350" s="3" t="s">
        <v>3</v>
      </c>
      <c r="L350" s="3" t="s">
        <v>3</v>
      </c>
      <c r="M350" s="3" t="s">
        <v>3</v>
      </c>
    </row>
    <row r="351" spans="1:13" x14ac:dyDescent="0.3">
      <c r="A351" s="3" t="s">
        <v>76</v>
      </c>
      <c r="B351" s="3">
        <v>313070</v>
      </c>
      <c r="C351" s="3" t="s">
        <v>76</v>
      </c>
      <c r="D351" s="3" t="s">
        <v>0</v>
      </c>
      <c r="E351" s="3" t="s">
        <v>76</v>
      </c>
      <c r="F351" s="3" t="s">
        <v>436</v>
      </c>
      <c r="G351" s="3" t="s">
        <v>3</v>
      </c>
      <c r="H351" s="3" t="s">
        <v>3</v>
      </c>
      <c r="I351" s="3" t="s">
        <v>3</v>
      </c>
      <c r="J351" s="3" t="s">
        <v>3</v>
      </c>
      <c r="K351" s="3" t="s">
        <v>3</v>
      </c>
      <c r="L351" s="3" t="s">
        <v>3</v>
      </c>
      <c r="M351" s="3" t="s">
        <v>3</v>
      </c>
    </row>
    <row r="352" spans="1:13" x14ac:dyDescent="0.3">
      <c r="A352" s="3" t="s">
        <v>239</v>
      </c>
      <c r="B352" s="3">
        <v>313080</v>
      </c>
      <c r="C352" s="3" t="s">
        <v>239</v>
      </c>
      <c r="D352" s="3" t="s">
        <v>31</v>
      </c>
      <c r="E352" s="3" t="s">
        <v>239</v>
      </c>
      <c r="F352" s="3" t="s">
        <v>437</v>
      </c>
      <c r="G352" s="3" t="s">
        <v>3</v>
      </c>
      <c r="H352" s="3" t="s">
        <v>3</v>
      </c>
      <c r="I352" s="3" t="s">
        <v>3</v>
      </c>
      <c r="J352" s="3" t="s">
        <v>3</v>
      </c>
      <c r="K352" s="3" t="s">
        <v>3</v>
      </c>
      <c r="L352" s="3" t="s">
        <v>3</v>
      </c>
      <c r="M352" s="3" t="s">
        <v>3</v>
      </c>
    </row>
    <row r="353" spans="1:13" x14ac:dyDescent="0.3">
      <c r="A353" s="3" t="s">
        <v>143</v>
      </c>
      <c r="B353" s="3">
        <v>313090</v>
      </c>
      <c r="C353" s="3" t="s">
        <v>143</v>
      </c>
      <c r="D353" s="3" t="s">
        <v>12</v>
      </c>
      <c r="E353" s="3" t="s">
        <v>143</v>
      </c>
      <c r="F353" s="3" t="s">
        <v>438</v>
      </c>
      <c r="G353" s="3">
        <v>9</v>
      </c>
      <c r="H353" s="3">
        <v>15</v>
      </c>
      <c r="I353" s="3">
        <v>31</v>
      </c>
      <c r="J353" s="3">
        <v>26</v>
      </c>
      <c r="K353" s="3">
        <v>42</v>
      </c>
      <c r="L353" s="3">
        <v>51</v>
      </c>
      <c r="M353" s="3">
        <v>98</v>
      </c>
    </row>
    <row r="354" spans="1:13" x14ac:dyDescent="0.3">
      <c r="A354" s="3" t="s">
        <v>5</v>
      </c>
      <c r="B354" s="3">
        <v>313100</v>
      </c>
      <c r="C354" s="3" t="s">
        <v>5</v>
      </c>
      <c r="D354" s="3" t="s">
        <v>4</v>
      </c>
      <c r="E354" s="3" t="s">
        <v>5</v>
      </c>
      <c r="F354" s="3" t="s">
        <v>439</v>
      </c>
      <c r="G354" s="3" t="s">
        <v>3</v>
      </c>
      <c r="H354" s="3" t="s">
        <v>3</v>
      </c>
      <c r="I354" s="3" t="s">
        <v>3</v>
      </c>
      <c r="J354" s="3" t="s">
        <v>3</v>
      </c>
      <c r="K354" s="3" t="s">
        <v>3</v>
      </c>
      <c r="L354" s="3" t="s">
        <v>3</v>
      </c>
      <c r="M354" s="3" t="s">
        <v>3</v>
      </c>
    </row>
    <row r="355" spans="1:13" x14ac:dyDescent="0.3">
      <c r="A355" s="3" t="s">
        <v>102</v>
      </c>
      <c r="B355" s="3">
        <v>313110</v>
      </c>
      <c r="C355" s="3" t="s">
        <v>102</v>
      </c>
      <c r="D355" s="3" t="s">
        <v>4</v>
      </c>
      <c r="E355" s="3" t="s">
        <v>102</v>
      </c>
      <c r="F355" s="3" t="s">
        <v>440</v>
      </c>
      <c r="G355" s="3" t="s">
        <v>3</v>
      </c>
      <c r="H355" s="3" t="s">
        <v>3</v>
      </c>
      <c r="I355" s="3" t="s">
        <v>3</v>
      </c>
      <c r="J355" s="3" t="s">
        <v>3</v>
      </c>
      <c r="K355" s="3" t="s">
        <v>3</v>
      </c>
      <c r="L355" s="3" t="s">
        <v>3</v>
      </c>
      <c r="M355" s="3" t="s">
        <v>3</v>
      </c>
    </row>
    <row r="356" spans="1:13" x14ac:dyDescent="0.3">
      <c r="A356" s="3" t="s">
        <v>13</v>
      </c>
      <c r="B356" s="3">
        <v>313115</v>
      </c>
      <c r="C356" s="3" t="s">
        <v>13</v>
      </c>
      <c r="D356" s="3" t="s">
        <v>12</v>
      </c>
      <c r="E356" s="3" t="s">
        <v>13</v>
      </c>
      <c r="F356" s="3" t="s">
        <v>441</v>
      </c>
      <c r="G356" s="3" t="s">
        <v>3</v>
      </c>
      <c r="H356" s="3" t="s">
        <v>3</v>
      </c>
      <c r="I356" s="3" t="s">
        <v>3</v>
      </c>
      <c r="J356" s="3" t="s">
        <v>3</v>
      </c>
      <c r="K356" s="3" t="s">
        <v>3</v>
      </c>
      <c r="L356" s="3" t="s">
        <v>3</v>
      </c>
      <c r="M356" s="3" t="s">
        <v>3</v>
      </c>
    </row>
    <row r="357" spans="1:13" x14ac:dyDescent="0.3">
      <c r="A357" s="3" t="s">
        <v>8</v>
      </c>
      <c r="B357" s="3">
        <v>313120</v>
      </c>
      <c r="C357" s="3" t="s">
        <v>8</v>
      </c>
      <c r="D357" s="3" t="s">
        <v>7</v>
      </c>
      <c r="E357" s="3" t="s">
        <v>8</v>
      </c>
      <c r="F357" s="3" t="s">
        <v>442</v>
      </c>
      <c r="G357" s="3">
        <v>21</v>
      </c>
      <c r="H357" s="3">
        <v>13</v>
      </c>
      <c r="I357" s="3">
        <v>11</v>
      </c>
      <c r="J357" s="3">
        <v>10</v>
      </c>
      <c r="K357" s="3">
        <v>36</v>
      </c>
      <c r="L357" s="3">
        <v>61</v>
      </c>
      <c r="M357" s="3">
        <v>132</v>
      </c>
    </row>
    <row r="358" spans="1:13" x14ac:dyDescent="0.3">
      <c r="A358" s="3" t="s">
        <v>13</v>
      </c>
      <c r="B358" s="3">
        <v>313130</v>
      </c>
      <c r="C358" s="3" t="s">
        <v>13</v>
      </c>
      <c r="D358" s="3" t="s">
        <v>12</v>
      </c>
      <c r="E358" s="3" t="s">
        <v>13</v>
      </c>
      <c r="F358" s="3" t="s">
        <v>13</v>
      </c>
      <c r="G358" s="3">
        <v>396</v>
      </c>
      <c r="H358" s="3">
        <v>265</v>
      </c>
      <c r="I358" s="3">
        <v>68</v>
      </c>
      <c r="J358" s="3">
        <v>56</v>
      </c>
      <c r="K358" s="3">
        <v>241</v>
      </c>
      <c r="L358" s="3">
        <v>183</v>
      </c>
      <c r="M358" s="3">
        <v>59</v>
      </c>
    </row>
    <row r="359" spans="1:13" x14ac:dyDescent="0.3">
      <c r="A359" s="3" t="s">
        <v>176</v>
      </c>
      <c r="B359" s="3">
        <v>313140</v>
      </c>
      <c r="C359" s="3" t="s">
        <v>176</v>
      </c>
      <c r="D359" s="3" t="s">
        <v>0</v>
      </c>
      <c r="E359" s="3" t="s">
        <v>176</v>
      </c>
      <c r="F359" s="3" t="s">
        <v>443</v>
      </c>
      <c r="G359" s="3" t="s">
        <v>3</v>
      </c>
      <c r="H359" s="3" t="s">
        <v>3</v>
      </c>
      <c r="I359" s="3" t="s">
        <v>3</v>
      </c>
      <c r="J359" s="3" t="s">
        <v>3</v>
      </c>
      <c r="K359" s="3" t="s">
        <v>3</v>
      </c>
      <c r="L359" s="3" t="s">
        <v>3</v>
      </c>
      <c r="M359" s="3" t="s">
        <v>3</v>
      </c>
    </row>
    <row r="360" spans="1:13" x14ac:dyDescent="0.3">
      <c r="A360" s="3" t="s">
        <v>145</v>
      </c>
      <c r="B360" s="3">
        <v>313150</v>
      </c>
      <c r="C360" s="3" t="s">
        <v>145</v>
      </c>
      <c r="D360" s="3" t="s">
        <v>31</v>
      </c>
      <c r="E360" s="3" t="s">
        <v>145</v>
      </c>
      <c r="F360" s="3" t="s">
        <v>444</v>
      </c>
      <c r="G360" s="3" t="s">
        <v>3</v>
      </c>
      <c r="H360" s="3" t="s">
        <v>3</v>
      </c>
      <c r="I360" s="3" t="s">
        <v>3</v>
      </c>
      <c r="J360" s="3" t="s">
        <v>3</v>
      </c>
      <c r="K360" s="3" t="s">
        <v>3</v>
      </c>
      <c r="L360" s="3" t="s">
        <v>3</v>
      </c>
      <c r="M360" s="3" t="s">
        <v>3</v>
      </c>
    </row>
    <row r="361" spans="1:13" x14ac:dyDescent="0.3">
      <c r="A361" s="3" t="s">
        <v>1</v>
      </c>
      <c r="B361" s="3">
        <v>313160</v>
      </c>
      <c r="C361" s="3" t="s">
        <v>1</v>
      </c>
      <c r="D361" s="3" t="s">
        <v>0</v>
      </c>
      <c r="E361" s="3" t="s">
        <v>1</v>
      </c>
      <c r="F361" s="3" t="s">
        <v>445</v>
      </c>
      <c r="G361" s="3" t="s">
        <v>3</v>
      </c>
      <c r="H361" s="3" t="s">
        <v>3</v>
      </c>
      <c r="I361" s="3" t="s">
        <v>3</v>
      </c>
      <c r="J361" s="3" t="s">
        <v>3</v>
      </c>
      <c r="K361" s="3" t="s">
        <v>3</v>
      </c>
      <c r="L361" s="3" t="s">
        <v>3</v>
      </c>
      <c r="M361" s="3" t="s">
        <v>3</v>
      </c>
    </row>
    <row r="362" spans="1:13" x14ac:dyDescent="0.3">
      <c r="A362" s="3" t="s">
        <v>110</v>
      </c>
      <c r="B362" s="3">
        <v>313170</v>
      </c>
      <c r="C362" s="3" t="s">
        <v>110</v>
      </c>
      <c r="D362" s="3" t="s">
        <v>4</v>
      </c>
      <c r="E362" s="3" t="s">
        <v>110</v>
      </c>
      <c r="F362" s="3" t="s">
        <v>110</v>
      </c>
      <c r="G362" s="3">
        <v>223</v>
      </c>
      <c r="H362" s="3">
        <v>289</v>
      </c>
      <c r="I362" s="3">
        <v>78</v>
      </c>
      <c r="J362" s="3">
        <v>88</v>
      </c>
      <c r="K362" s="3">
        <v>272</v>
      </c>
      <c r="L362" s="3">
        <v>262</v>
      </c>
      <c r="M362" s="3">
        <v>424</v>
      </c>
    </row>
    <row r="363" spans="1:13" x14ac:dyDescent="0.3">
      <c r="A363" s="3" t="s">
        <v>255</v>
      </c>
      <c r="B363" s="3">
        <v>313180</v>
      </c>
      <c r="C363" s="3" t="s">
        <v>255</v>
      </c>
      <c r="D363" s="3" t="s">
        <v>15</v>
      </c>
      <c r="E363" s="3" t="s">
        <v>255</v>
      </c>
      <c r="F363" s="3" t="s">
        <v>446</v>
      </c>
      <c r="G363" s="3">
        <v>14</v>
      </c>
      <c r="H363" s="3">
        <v>13</v>
      </c>
      <c r="I363" s="3">
        <v>26</v>
      </c>
      <c r="J363" s="3">
        <v>19</v>
      </c>
      <c r="K363" s="3">
        <v>94</v>
      </c>
      <c r="L363" s="3">
        <v>292</v>
      </c>
      <c r="M363" s="3">
        <v>340</v>
      </c>
    </row>
    <row r="364" spans="1:13" x14ac:dyDescent="0.3">
      <c r="A364" s="3" t="s">
        <v>447</v>
      </c>
      <c r="B364" s="3">
        <v>313190</v>
      </c>
      <c r="C364" s="3" t="s">
        <v>447</v>
      </c>
      <c r="D364" s="3" t="s">
        <v>4</v>
      </c>
      <c r="E364" s="3" t="s">
        <v>447</v>
      </c>
      <c r="F364" s="3" t="s">
        <v>448</v>
      </c>
      <c r="G364" s="3">
        <v>78</v>
      </c>
      <c r="H364" s="3">
        <v>79</v>
      </c>
      <c r="I364" s="3">
        <v>36</v>
      </c>
      <c r="J364" s="3" t="s">
        <v>3</v>
      </c>
      <c r="K364" s="3">
        <v>46</v>
      </c>
      <c r="L364" s="3">
        <v>111</v>
      </c>
      <c r="M364" s="3">
        <v>125</v>
      </c>
    </row>
    <row r="365" spans="1:13" x14ac:dyDescent="0.3">
      <c r="A365" s="3" t="s">
        <v>265</v>
      </c>
      <c r="B365" s="3">
        <v>313200</v>
      </c>
      <c r="C365" s="3" t="s">
        <v>265</v>
      </c>
      <c r="D365" s="3" t="s">
        <v>126</v>
      </c>
      <c r="E365" s="3" t="s">
        <v>265</v>
      </c>
      <c r="F365" s="3" t="s">
        <v>449</v>
      </c>
      <c r="G365" s="3" t="s">
        <v>3</v>
      </c>
      <c r="H365" s="3" t="s">
        <v>3</v>
      </c>
      <c r="I365" s="3" t="s">
        <v>3</v>
      </c>
      <c r="J365" s="3" t="s">
        <v>3</v>
      </c>
      <c r="K365" s="3" t="s">
        <v>3</v>
      </c>
      <c r="L365" s="3" t="s">
        <v>3</v>
      </c>
      <c r="M365" s="3" t="s">
        <v>3</v>
      </c>
    </row>
    <row r="366" spans="1:13" x14ac:dyDescent="0.3">
      <c r="A366" s="3" t="s">
        <v>150</v>
      </c>
      <c r="B366" s="3">
        <v>313210</v>
      </c>
      <c r="C366" s="3" t="s">
        <v>150</v>
      </c>
      <c r="D366" s="3" t="s">
        <v>126</v>
      </c>
      <c r="E366" s="3" t="s">
        <v>150</v>
      </c>
      <c r="F366" s="3" t="s">
        <v>450</v>
      </c>
      <c r="G366" s="3">
        <v>4</v>
      </c>
      <c r="H366" s="3">
        <v>1</v>
      </c>
      <c r="I366" s="3" t="s">
        <v>3</v>
      </c>
      <c r="J366" s="3" t="s">
        <v>3</v>
      </c>
      <c r="K366" s="3" t="s">
        <v>3</v>
      </c>
      <c r="L366" s="3" t="s">
        <v>3</v>
      </c>
      <c r="M366" s="3" t="s">
        <v>3</v>
      </c>
    </row>
    <row r="367" spans="1:13" x14ac:dyDescent="0.3">
      <c r="A367" s="3" t="s">
        <v>451</v>
      </c>
      <c r="B367" s="3">
        <v>313220</v>
      </c>
      <c r="C367" s="3" t="s">
        <v>451</v>
      </c>
      <c r="D367" s="3" t="s">
        <v>21</v>
      </c>
      <c r="E367" s="3" t="s">
        <v>451</v>
      </c>
      <c r="F367" s="3" t="s">
        <v>452</v>
      </c>
      <c r="G367" s="3">
        <v>47</v>
      </c>
      <c r="H367" s="3">
        <v>16</v>
      </c>
      <c r="I367" s="3">
        <v>5</v>
      </c>
      <c r="J367" s="3">
        <v>7</v>
      </c>
      <c r="K367" s="3">
        <v>36</v>
      </c>
      <c r="L367" s="3">
        <v>83</v>
      </c>
      <c r="M367" s="3">
        <v>74</v>
      </c>
    </row>
    <row r="368" spans="1:13" x14ac:dyDescent="0.3">
      <c r="A368" s="3" t="s">
        <v>217</v>
      </c>
      <c r="B368" s="3">
        <v>313230</v>
      </c>
      <c r="C368" s="3" t="s">
        <v>217</v>
      </c>
      <c r="D368" s="3" t="s">
        <v>24</v>
      </c>
      <c r="E368" s="3" t="s">
        <v>217</v>
      </c>
      <c r="F368" s="3" t="s">
        <v>453</v>
      </c>
      <c r="G368" s="3" t="s">
        <v>3</v>
      </c>
      <c r="H368" s="3" t="s">
        <v>3</v>
      </c>
      <c r="I368" s="3" t="s">
        <v>3</v>
      </c>
      <c r="J368" s="3" t="s">
        <v>3</v>
      </c>
      <c r="K368" s="3" t="s">
        <v>3</v>
      </c>
      <c r="L368" s="3" t="s">
        <v>3</v>
      </c>
      <c r="M368" s="3" t="s">
        <v>3</v>
      </c>
    </row>
    <row r="369" spans="1:13" x14ac:dyDescent="0.3">
      <c r="A369" s="3" t="s">
        <v>163</v>
      </c>
      <c r="B369" s="3">
        <v>313240</v>
      </c>
      <c r="C369" s="3" t="s">
        <v>163</v>
      </c>
      <c r="D369" s="3" t="s">
        <v>31</v>
      </c>
      <c r="E369" s="3" t="s">
        <v>163</v>
      </c>
      <c r="F369" s="3" t="s">
        <v>454</v>
      </c>
      <c r="G369" s="3">
        <v>98</v>
      </c>
      <c r="H369" s="3">
        <v>119</v>
      </c>
      <c r="I369" s="3">
        <v>59</v>
      </c>
      <c r="J369" s="3">
        <v>43</v>
      </c>
      <c r="K369" s="3">
        <v>111</v>
      </c>
      <c r="L369" s="3">
        <v>126</v>
      </c>
      <c r="M369" s="3">
        <v>141</v>
      </c>
    </row>
    <row r="370" spans="1:13" x14ac:dyDescent="0.3">
      <c r="A370" s="3" t="s">
        <v>222</v>
      </c>
      <c r="B370" s="3">
        <v>313250</v>
      </c>
      <c r="C370" s="3" t="s">
        <v>222</v>
      </c>
      <c r="D370" s="3" t="s">
        <v>56</v>
      </c>
      <c r="E370" s="3" t="s">
        <v>222</v>
      </c>
      <c r="F370" s="3" t="s">
        <v>455</v>
      </c>
      <c r="G370" s="3">
        <v>103</v>
      </c>
      <c r="H370" s="3">
        <v>56</v>
      </c>
      <c r="I370" s="3">
        <v>32</v>
      </c>
      <c r="J370" s="3">
        <v>32</v>
      </c>
      <c r="K370" s="3">
        <v>50</v>
      </c>
      <c r="L370" s="3">
        <v>101</v>
      </c>
      <c r="M370" s="3">
        <v>181</v>
      </c>
    </row>
    <row r="371" spans="1:13" x14ac:dyDescent="0.3">
      <c r="A371" s="3" t="s">
        <v>94</v>
      </c>
      <c r="B371" s="3">
        <v>313260</v>
      </c>
      <c r="C371" s="3" t="s">
        <v>94</v>
      </c>
      <c r="D371" s="3" t="s">
        <v>37</v>
      </c>
      <c r="E371" s="3" t="s">
        <v>94</v>
      </c>
      <c r="F371" s="3" t="s">
        <v>456</v>
      </c>
      <c r="G371" s="3" t="s">
        <v>3</v>
      </c>
      <c r="H371" s="3" t="s">
        <v>3</v>
      </c>
      <c r="I371" s="3" t="s">
        <v>3</v>
      </c>
      <c r="J371" s="3" t="s">
        <v>3</v>
      </c>
      <c r="K371" s="3" t="s">
        <v>3</v>
      </c>
      <c r="L371" s="3" t="s">
        <v>3</v>
      </c>
      <c r="M371" s="3" t="s">
        <v>3</v>
      </c>
    </row>
    <row r="372" spans="1:13" x14ac:dyDescent="0.3">
      <c r="A372" s="3" t="s">
        <v>189</v>
      </c>
      <c r="B372" s="3">
        <v>313270</v>
      </c>
      <c r="C372" s="3" t="s">
        <v>189</v>
      </c>
      <c r="D372" s="3" t="s">
        <v>24</v>
      </c>
      <c r="E372" s="3" t="s">
        <v>189</v>
      </c>
      <c r="F372" s="3" t="s">
        <v>189</v>
      </c>
      <c r="G372" s="3">
        <v>150</v>
      </c>
      <c r="H372" s="3">
        <v>134</v>
      </c>
      <c r="I372" s="3">
        <v>73</v>
      </c>
      <c r="J372" s="3">
        <v>58</v>
      </c>
      <c r="K372" s="3">
        <v>135</v>
      </c>
      <c r="L372" s="3">
        <v>218</v>
      </c>
      <c r="M372" s="3">
        <v>314</v>
      </c>
    </row>
    <row r="373" spans="1:13" x14ac:dyDescent="0.3">
      <c r="A373" s="3" t="s">
        <v>110</v>
      </c>
      <c r="B373" s="3">
        <v>313280</v>
      </c>
      <c r="C373" s="3" t="s">
        <v>110</v>
      </c>
      <c r="D373" s="3" t="s">
        <v>4</v>
      </c>
      <c r="E373" s="3" t="s">
        <v>110</v>
      </c>
      <c r="F373" s="3" t="s">
        <v>457</v>
      </c>
      <c r="G373" s="3" t="s">
        <v>3</v>
      </c>
      <c r="H373" s="3" t="s">
        <v>3</v>
      </c>
      <c r="I373" s="3" t="s">
        <v>3</v>
      </c>
      <c r="J373" s="3" t="s">
        <v>3</v>
      </c>
      <c r="K373" s="3" t="s">
        <v>3</v>
      </c>
      <c r="L373" s="3" t="s">
        <v>3</v>
      </c>
      <c r="M373" s="3" t="s">
        <v>3</v>
      </c>
    </row>
    <row r="374" spans="1:13" x14ac:dyDescent="0.3">
      <c r="A374" s="3" t="s">
        <v>458</v>
      </c>
      <c r="B374" s="3">
        <v>313290</v>
      </c>
      <c r="C374" s="3" t="s">
        <v>458</v>
      </c>
      <c r="D374" s="3" t="s">
        <v>31</v>
      </c>
      <c r="E374" s="3" t="s">
        <v>458</v>
      </c>
      <c r="F374" s="3" t="s">
        <v>459</v>
      </c>
      <c r="G374" s="3" t="s">
        <v>3</v>
      </c>
      <c r="H374" s="3" t="s">
        <v>3</v>
      </c>
      <c r="I374" s="3" t="s">
        <v>3</v>
      </c>
      <c r="J374" s="3" t="s">
        <v>3</v>
      </c>
      <c r="K374" s="3" t="s">
        <v>3</v>
      </c>
      <c r="L374" s="3" t="s">
        <v>3</v>
      </c>
      <c r="M374" s="3" t="s">
        <v>3</v>
      </c>
    </row>
    <row r="375" spans="1:13" x14ac:dyDescent="0.3">
      <c r="A375" s="3" t="s">
        <v>32</v>
      </c>
      <c r="B375" s="3">
        <v>313300</v>
      </c>
      <c r="C375" s="3" t="s">
        <v>32</v>
      </c>
      <c r="D375" s="3" t="s">
        <v>31</v>
      </c>
      <c r="E375" s="3" t="s">
        <v>32</v>
      </c>
      <c r="F375" s="3" t="s">
        <v>460</v>
      </c>
      <c r="G375" s="3">
        <v>25</v>
      </c>
      <c r="H375" s="3">
        <v>16</v>
      </c>
      <c r="I375" s="3">
        <v>10</v>
      </c>
      <c r="J375" s="3">
        <v>8</v>
      </c>
      <c r="K375" s="3">
        <v>18</v>
      </c>
      <c r="L375" s="3">
        <v>11</v>
      </c>
      <c r="M375" s="3">
        <v>29</v>
      </c>
    </row>
    <row r="376" spans="1:13" x14ac:dyDescent="0.3">
      <c r="A376" s="3" t="s">
        <v>32</v>
      </c>
      <c r="B376" s="3">
        <v>313310</v>
      </c>
      <c r="C376" s="3" t="s">
        <v>32</v>
      </c>
      <c r="D376" s="3" t="s">
        <v>31</v>
      </c>
      <c r="E376" s="3" t="s">
        <v>32</v>
      </c>
      <c r="F376" s="3" t="s">
        <v>461</v>
      </c>
      <c r="G376" s="3">
        <v>55</v>
      </c>
      <c r="H376" s="3">
        <v>42</v>
      </c>
      <c r="I376" s="3">
        <v>24</v>
      </c>
      <c r="J376" s="3">
        <v>15</v>
      </c>
      <c r="K376" s="3">
        <v>44</v>
      </c>
      <c r="L376" s="3">
        <v>61</v>
      </c>
      <c r="M376" s="3">
        <v>52</v>
      </c>
    </row>
    <row r="377" spans="1:13" x14ac:dyDescent="0.3">
      <c r="A377" s="3" t="s">
        <v>47</v>
      </c>
      <c r="B377" s="3">
        <v>313320</v>
      </c>
      <c r="C377" s="3" t="s">
        <v>47</v>
      </c>
      <c r="D377" s="3" t="s">
        <v>15</v>
      </c>
      <c r="E377" s="3" t="s">
        <v>47</v>
      </c>
      <c r="F377" s="3" t="s">
        <v>462</v>
      </c>
      <c r="G377" s="3">
        <v>86</v>
      </c>
      <c r="H377" s="3">
        <v>58</v>
      </c>
      <c r="I377" s="3">
        <v>24</v>
      </c>
      <c r="J377" s="3">
        <v>18</v>
      </c>
      <c r="K377" s="3">
        <v>102</v>
      </c>
      <c r="L377" s="3">
        <v>134</v>
      </c>
      <c r="M377" s="3">
        <v>201</v>
      </c>
    </row>
    <row r="378" spans="1:13" x14ac:dyDescent="0.3">
      <c r="A378" s="3" t="s">
        <v>271</v>
      </c>
      <c r="B378" s="3">
        <v>313330</v>
      </c>
      <c r="C378" s="3" t="s">
        <v>271</v>
      </c>
      <c r="D378" s="3" t="s">
        <v>24</v>
      </c>
      <c r="E378" s="3" t="s">
        <v>271</v>
      </c>
      <c r="F378" s="3" t="s">
        <v>271</v>
      </c>
      <c r="G378" s="3">
        <v>49</v>
      </c>
      <c r="H378" s="3">
        <v>83</v>
      </c>
      <c r="I378" s="3">
        <v>19</v>
      </c>
      <c r="J378" s="3">
        <v>24</v>
      </c>
      <c r="K378" s="3">
        <v>78</v>
      </c>
      <c r="L378" s="3">
        <v>172</v>
      </c>
      <c r="M378" s="3">
        <v>112</v>
      </c>
    </row>
    <row r="379" spans="1:13" x14ac:dyDescent="0.3">
      <c r="A379" s="3" t="s">
        <v>237</v>
      </c>
      <c r="B379" s="3">
        <v>313340</v>
      </c>
      <c r="C379" s="3" t="s">
        <v>237</v>
      </c>
      <c r="D379" s="3" t="s">
        <v>18</v>
      </c>
      <c r="E379" s="3" t="s">
        <v>237</v>
      </c>
      <c r="F379" s="3" t="s">
        <v>463</v>
      </c>
      <c r="G379" s="3" t="s">
        <v>3</v>
      </c>
      <c r="H379" s="3" t="s">
        <v>3</v>
      </c>
      <c r="I379" s="3" t="s">
        <v>3</v>
      </c>
      <c r="J379" s="3" t="s">
        <v>3</v>
      </c>
      <c r="K379" s="3" t="s">
        <v>3</v>
      </c>
      <c r="L379" s="3" t="s">
        <v>3</v>
      </c>
      <c r="M379" s="3" t="s">
        <v>3</v>
      </c>
    </row>
    <row r="380" spans="1:13" x14ac:dyDescent="0.3">
      <c r="A380" s="3" t="s">
        <v>85</v>
      </c>
      <c r="B380" s="3">
        <v>313350</v>
      </c>
      <c r="C380" s="3" t="s">
        <v>85</v>
      </c>
      <c r="D380" s="3" t="s">
        <v>21</v>
      </c>
      <c r="E380" s="3" t="s">
        <v>85</v>
      </c>
      <c r="F380" s="3" t="s">
        <v>464</v>
      </c>
      <c r="G380" s="3">
        <v>20</v>
      </c>
      <c r="H380" s="3">
        <v>26</v>
      </c>
      <c r="I380" s="3">
        <v>10</v>
      </c>
      <c r="J380" s="3">
        <v>18</v>
      </c>
      <c r="K380" s="3">
        <v>27</v>
      </c>
      <c r="L380" s="3">
        <v>54</v>
      </c>
      <c r="M380" s="3">
        <v>50</v>
      </c>
    </row>
    <row r="381" spans="1:13" x14ac:dyDescent="0.3">
      <c r="A381" s="3" t="s">
        <v>145</v>
      </c>
      <c r="B381" s="3">
        <v>313360</v>
      </c>
      <c r="C381" s="3" t="s">
        <v>145</v>
      </c>
      <c r="D381" s="3" t="s">
        <v>31</v>
      </c>
      <c r="E381" s="3" t="s">
        <v>145</v>
      </c>
      <c r="F381" s="3" t="s">
        <v>465</v>
      </c>
      <c r="G381" s="3" t="s">
        <v>3</v>
      </c>
      <c r="H381" s="3" t="s">
        <v>3</v>
      </c>
      <c r="I381" s="3" t="s">
        <v>3</v>
      </c>
      <c r="J381" s="3" t="s">
        <v>3</v>
      </c>
      <c r="K381" s="3" t="s">
        <v>3</v>
      </c>
      <c r="L381" s="3" t="s">
        <v>3</v>
      </c>
      <c r="M381" s="3" t="s">
        <v>3</v>
      </c>
    </row>
    <row r="382" spans="1:13" x14ac:dyDescent="0.3">
      <c r="A382" s="3" t="s">
        <v>451</v>
      </c>
      <c r="B382" s="3">
        <v>313370</v>
      </c>
      <c r="C382" s="3" t="s">
        <v>451</v>
      </c>
      <c r="D382" s="3" t="s">
        <v>21</v>
      </c>
      <c r="E382" s="3" t="s">
        <v>451</v>
      </c>
      <c r="F382" s="3" t="s">
        <v>466</v>
      </c>
      <c r="G382" s="3" t="s">
        <v>3</v>
      </c>
      <c r="H382" s="3" t="s">
        <v>3</v>
      </c>
      <c r="I382" s="3" t="s">
        <v>3</v>
      </c>
      <c r="J382" s="3" t="s">
        <v>3</v>
      </c>
      <c r="K382" s="3" t="s">
        <v>3</v>
      </c>
      <c r="L382" s="3" t="s">
        <v>3</v>
      </c>
      <c r="M382" s="3" t="s">
        <v>3</v>
      </c>
    </row>
    <row r="383" spans="1:13" x14ac:dyDescent="0.3">
      <c r="A383" s="3" t="s">
        <v>49</v>
      </c>
      <c r="B383" s="3">
        <v>313375</v>
      </c>
      <c r="C383" s="3" t="s">
        <v>49</v>
      </c>
      <c r="D383" s="3" t="s">
        <v>31</v>
      </c>
      <c r="E383" s="3" t="s">
        <v>49</v>
      </c>
      <c r="F383" s="3" t="s">
        <v>467</v>
      </c>
      <c r="G383" s="3">
        <v>1</v>
      </c>
      <c r="H383" s="3" t="s">
        <v>3</v>
      </c>
      <c r="I383" s="3" t="s">
        <v>3</v>
      </c>
      <c r="J383" s="3" t="s">
        <v>3</v>
      </c>
      <c r="K383" s="3" t="s">
        <v>3</v>
      </c>
      <c r="L383" s="3" t="s">
        <v>3</v>
      </c>
      <c r="M383" s="3" t="s">
        <v>3</v>
      </c>
    </row>
    <row r="384" spans="1:13" x14ac:dyDescent="0.3">
      <c r="A384" s="3" t="s">
        <v>451</v>
      </c>
      <c r="B384" s="3">
        <v>313380</v>
      </c>
      <c r="C384" s="3" t="s">
        <v>451</v>
      </c>
      <c r="D384" s="3" t="s">
        <v>21</v>
      </c>
      <c r="E384" s="3" t="s">
        <v>451</v>
      </c>
      <c r="F384" s="3" t="s">
        <v>468</v>
      </c>
      <c r="G384" s="3">
        <v>95</v>
      </c>
      <c r="H384" s="3">
        <v>88</v>
      </c>
      <c r="I384" s="3">
        <v>32</v>
      </c>
      <c r="J384" s="3">
        <v>39</v>
      </c>
      <c r="K384" s="3">
        <v>87</v>
      </c>
      <c r="L384" s="3">
        <v>93</v>
      </c>
      <c r="M384" s="3">
        <v>143</v>
      </c>
    </row>
    <row r="385" spans="1:13" x14ac:dyDescent="0.3">
      <c r="A385" s="3" t="s">
        <v>219</v>
      </c>
      <c r="B385" s="3">
        <v>313390</v>
      </c>
      <c r="C385" s="3" t="s">
        <v>219</v>
      </c>
      <c r="D385" s="3" t="s">
        <v>42</v>
      </c>
      <c r="E385" s="3" t="s">
        <v>219</v>
      </c>
      <c r="F385" s="3" t="s">
        <v>469</v>
      </c>
      <c r="G385" s="3" t="s">
        <v>3</v>
      </c>
      <c r="H385" s="3" t="s">
        <v>3</v>
      </c>
      <c r="I385" s="3" t="s">
        <v>3</v>
      </c>
      <c r="J385" s="3" t="s">
        <v>3</v>
      </c>
      <c r="K385" s="3" t="s">
        <v>3</v>
      </c>
      <c r="L385" s="3" t="s">
        <v>3</v>
      </c>
      <c r="M385" s="3" t="s">
        <v>3</v>
      </c>
    </row>
    <row r="386" spans="1:13" x14ac:dyDescent="0.3">
      <c r="A386" s="3" t="s">
        <v>271</v>
      </c>
      <c r="B386" s="3">
        <v>313400</v>
      </c>
      <c r="C386" s="3" t="s">
        <v>271</v>
      </c>
      <c r="D386" s="3" t="s">
        <v>24</v>
      </c>
      <c r="E386" s="3" t="s">
        <v>271</v>
      </c>
      <c r="F386" s="3" t="s">
        <v>470</v>
      </c>
      <c r="G386" s="3" t="s">
        <v>3</v>
      </c>
      <c r="H386" s="3" t="s">
        <v>3</v>
      </c>
      <c r="I386" s="3" t="s">
        <v>3</v>
      </c>
      <c r="J386" s="3" t="s">
        <v>3</v>
      </c>
      <c r="K386" s="3" t="s">
        <v>3</v>
      </c>
      <c r="L386" s="3" t="s">
        <v>3</v>
      </c>
      <c r="M386" s="3" t="s">
        <v>3</v>
      </c>
    </row>
    <row r="387" spans="1:13" x14ac:dyDescent="0.3">
      <c r="A387" s="3" t="s">
        <v>29</v>
      </c>
      <c r="B387" s="3">
        <v>313410</v>
      </c>
      <c r="C387" s="3" t="s">
        <v>29</v>
      </c>
      <c r="D387" s="3" t="s">
        <v>15</v>
      </c>
      <c r="E387" s="3" t="s">
        <v>29</v>
      </c>
      <c r="F387" s="3" t="s">
        <v>471</v>
      </c>
      <c r="G387" s="3" t="s">
        <v>3</v>
      </c>
      <c r="H387" s="3" t="s">
        <v>3</v>
      </c>
      <c r="I387" s="3" t="s">
        <v>3</v>
      </c>
      <c r="J387" s="3" t="s">
        <v>3</v>
      </c>
      <c r="K387" s="3" t="s">
        <v>3</v>
      </c>
      <c r="L387" s="3" t="s">
        <v>3</v>
      </c>
      <c r="M387" s="3" t="s">
        <v>3</v>
      </c>
    </row>
    <row r="388" spans="1:13" x14ac:dyDescent="0.3">
      <c r="A388" s="3" t="s">
        <v>176</v>
      </c>
      <c r="B388" s="3">
        <v>313420</v>
      </c>
      <c r="C388" s="3" t="s">
        <v>176</v>
      </c>
      <c r="D388" s="3" t="s">
        <v>0</v>
      </c>
      <c r="E388" s="3" t="s">
        <v>176</v>
      </c>
      <c r="F388" s="3" t="s">
        <v>176</v>
      </c>
      <c r="G388" s="3">
        <v>54</v>
      </c>
      <c r="H388" s="3">
        <v>47</v>
      </c>
      <c r="I388" s="3">
        <v>47</v>
      </c>
      <c r="J388" s="3">
        <v>99</v>
      </c>
      <c r="K388" s="3">
        <v>141</v>
      </c>
      <c r="L388" s="3">
        <v>170</v>
      </c>
      <c r="M388" s="3">
        <v>194</v>
      </c>
    </row>
    <row r="389" spans="1:13" x14ac:dyDescent="0.3">
      <c r="A389" s="3" t="s">
        <v>239</v>
      </c>
      <c r="B389" s="3">
        <v>313430</v>
      </c>
      <c r="C389" s="3" t="s">
        <v>239</v>
      </c>
      <c r="D389" s="3" t="s">
        <v>31</v>
      </c>
      <c r="E389" s="3" t="s">
        <v>239</v>
      </c>
      <c r="F389" s="3" t="s">
        <v>472</v>
      </c>
      <c r="G389" s="3" t="s">
        <v>3</v>
      </c>
      <c r="H389" s="3" t="s">
        <v>3</v>
      </c>
      <c r="I389" s="3" t="s">
        <v>3</v>
      </c>
      <c r="J389" s="3" t="s">
        <v>3</v>
      </c>
      <c r="K389" s="3" t="s">
        <v>3</v>
      </c>
      <c r="L389" s="3" t="s">
        <v>3</v>
      </c>
      <c r="M389" s="3" t="s">
        <v>3</v>
      </c>
    </row>
    <row r="390" spans="1:13" x14ac:dyDescent="0.3">
      <c r="A390" s="3" t="s">
        <v>237</v>
      </c>
      <c r="B390" s="3">
        <v>313440</v>
      </c>
      <c r="C390" s="3" t="s">
        <v>237</v>
      </c>
      <c r="D390" s="3" t="s">
        <v>18</v>
      </c>
      <c r="E390" s="3" t="s">
        <v>237</v>
      </c>
      <c r="F390" s="3" t="s">
        <v>473</v>
      </c>
      <c r="G390" s="3">
        <v>25</v>
      </c>
      <c r="H390" s="3">
        <v>23</v>
      </c>
      <c r="I390" s="3">
        <v>18</v>
      </c>
      <c r="J390" s="3">
        <v>12</v>
      </c>
      <c r="K390" s="3">
        <v>30</v>
      </c>
      <c r="L390" s="3">
        <v>40</v>
      </c>
      <c r="M390" s="3">
        <v>32</v>
      </c>
    </row>
    <row r="391" spans="1:13" x14ac:dyDescent="0.3">
      <c r="A391" s="3" t="s">
        <v>239</v>
      </c>
      <c r="B391" s="3">
        <v>313450</v>
      </c>
      <c r="C391" s="3" t="s">
        <v>239</v>
      </c>
      <c r="D391" s="3" t="s">
        <v>31</v>
      </c>
      <c r="E391" s="3" t="s">
        <v>239</v>
      </c>
      <c r="F391" s="3" t="s">
        <v>474</v>
      </c>
      <c r="G391" s="3" t="s">
        <v>3</v>
      </c>
      <c r="H391" s="3" t="s">
        <v>3</v>
      </c>
      <c r="I391" s="3" t="s">
        <v>3</v>
      </c>
      <c r="J391" s="3" t="s">
        <v>3</v>
      </c>
      <c r="K391" s="3" t="s">
        <v>3</v>
      </c>
      <c r="L391" s="3" t="s">
        <v>3</v>
      </c>
      <c r="M391" s="3" t="s">
        <v>3</v>
      </c>
    </row>
    <row r="392" spans="1:13" x14ac:dyDescent="0.3">
      <c r="A392" s="3" t="s">
        <v>120</v>
      </c>
      <c r="B392" s="3">
        <v>313460</v>
      </c>
      <c r="C392" s="3" t="s">
        <v>120</v>
      </c>
      <c r="D392" s="3" t="s">
        <v>4</v>
      </c>
      <c r="E392" s="3" t="s">
        <v>120</v>
      </c>
      <c r="F392" s="3" t="s">
        <v>475</v>
      </c>
      <c r="G392" s="3" t="s">
        <v>3</v>
      </c>
      <c r="H392" s="3" t="s">
        <v>3</v>
      </c>
      <c r="I392" s="3" t="s">
        <v>3</v>
      </c>
      <c r="J392" s="3" t="s">
        <v>3</v>
      </c>
      <c r="K392" s="3" t="s">
        <v>3</v>
      </c>
      <c r="L392" s="3" t="s">
        <v>3</v>
      </c>
      <c r="M392" s="3" t="s">
        <v>3</v>
      </c>
    </row>
    <row r="393" spans="1:13" x14ac:dyDescent="0.3">
      <c r="A393" s="3" t="s">
        <v>45</v>
      </c>
      <c r="B393" s="3">
        <v>313470</v>
      </c>
      <c r="C393" s="3" t="s">
        <v>45</v>
      </c>
      <c r="D393" s="3" t="s">
        <v>24</v>
      </c>
      <c r="E393" s="3" t="s">
        <v>45</v>
      </c>
      <c r="F393" s="3" t="s">
        <v>476</v>
      </c>
      <c r="G393" s="3">
        <v>85</v>
      </c>
      <c r="H393" s="3">
        <v>73</v>
      </c>
      <c r="I393" s="3">
        <v>35</v>
      </c>
      <c r="J393" s="3">
        <v>50</v>
      </c>
      <c r="K393" s="3">
        <v>96</v>
      </c>
      <c r="L393" s="3">
        <v>78</v>
      </c>
      <c r="M393" s="3">
        <v>88</v>
      </c>
    </row>
    <row r="394" spans="1:13" x14ac:dyDescent="0.3">
      <c r="A394" s="3" t="s">
        <v>458</v>
      </c>
      <c r="B394" s="3">
        <v>313480</v>
      </c>
      <c r="C394" s="3" t="s">
        <v>458</v>
      </c>
      <c r="D394" s="3" t="s">
        <v>31</v>
      </c>
      <c r="E394" s="3" t="s">
        <v>458</v>
      </c>
      <c r="F394" s="3" t="s">
        <v>477</v>
      </c>
      <c r="G394" s="3" t="s">
        <v>3</v>
      </c>
      <c r="H394" s="3" t="s">
        <v>3</v>
      </c>
      <c r="I394" s="3" t="s">
        <v>3</v>
      </c>
      <c r="J394" s="3" t="s">
        <v>3</v>
      </c>
      <c r="K394" s="3" t="s">
        <v>3</v>
      </c>
      <c r="L394" s="3" t="s">
        <v>3</v>
      </c>
      <c r="M394" s="3" t="s">
        <v>3</v>
      </c>
    </row>
    <row r="395" spans="1:13" x14ac:dyDescent="0.3">
      <c r="A395" s="3" t="s">
        <v>145</v>
      </c>
      <c r="B395" s="3">
        <v>313490</v>
      </c>
      <c r="C395" s="3" t="s">
        <v>145</v>
      </c>
      <c r="D395" s="3" t="s">
        <v>31</v>
      </c>
      <c r="E395" s="3" t="s">
        <v>145</v>
      </c>
      <c r="F395" s="3" t="s">
        <v>478</v>
      </c>
      <c r="G395" s="3">
        <v>20</v>
      </c>
      <c r="H395" s="3">
        <v>14</v>
      </c>
      <c r="I395" s="3">
        <v>26</v>
      </c>
      <c r="J395" s="3">
        <v>18</v>
      </c>
      <c r="K395" s="3">
        <v>56</v>
      </c>
      <c r="L395" s="3">
        <v>52</v>
      </c>
      <c r="M395" s="3">
        <v>30</v>
      </c>
    </row>
    <row r="396" spans="1:13" x14ac:dyDescent="0.3">
      <c r="A396" s="3" t="s">
        <v>67</v>
      </c>
      <c r="B396" s="3">
        <v>313500</v>
      </c>
      <c r="C396" s="3" t="s">
        <v>67</v>
      </c>
      <c r="D396" s="3" t="s">
        <v>12</v>
      </c>
      <c r="E396" s="3" t="s">
        <v>67</v>
      </c>
      <c r="F396" s="3" t="s">
        <v>479</v>
      </c>
      <c r="G396" s="3" t="s">
        <v>3</v>
      </c>
      <c r="H396" s="3" t="s">
        <v>3</v>
      </c>
      <c r="I396" s="3" t="s">
        <v>3</v>
      </c>
      <c r="J396" s="3" t="s">
        <v>3</v>
      </c>
      <c r="K396" s="3" t="s">
        <v>3</v>
      </c>
      <c r="L396" s="3" t="s">
        <v>3</v>
      </c>
      <c r="M396" s="3" t="s">
        <v>3</v>
      </c>
    </row>
    <row r="397" spans="1:13" x14ac:dyDescent="0.3">
      <c r="A397" s="3" t="s">
        <v>251</v>
      </c>
      <c r="B397" s="3">
        <v>313505</v>
      </c>
      <c r="C397" s="3" t="s">
        <v>251</v>
      </c>
      <c r="D397" s="3" t="s">
        <v>126</v>
      </c>
      <c r="E397" s="3" t="s">
        <v>251</v>
      </c>
      <c r="F397" s="3" t="s">
        <v>480</v>
      </c>
      <c r="G397" s="3" t="s">
        <v>3</v>
      </c>
      <c r="H397" s="3" t="s">
        <v>3</v>
      </c>
      <c r="I397" s="3" t="s">
        <v>3</v>
      </c>
      <c r="J397" s="3" t="s">
        <v>3</v>
      </c>
      <c r="K397" s="3" t="s">
        <v>3</v>
      </c>
      <c r="L397" s="3" t="s">
        <v>3</v>
      </c>
      <c r="M397" s="3" t="s">
        <v>3</v>
      </c>
    </row>
    <row r="398" spans="1:13" x14ac:dyDescent="0.3">
      <c r="A398" s="3" t="s">
        <v>47</v>
      </c>
      <c r="B398" s="3">
        <v>313507</v>
      </c>
      <c r="C398" s="3" t="s">
        <v>47</v>
      </c>
      <c r="D398" s="3" t="s">
        <v>15</v>
      </c>
      <c r="E398" s="3" t="s">
        <v>47</v>
      </c>
      <c r="F398" s="3" t="s">
        <v>481</v>
      </c>
      <c r="G398" s="3" t="s">
        <v>3</v>
      </c>
      <c r="H398" s="3" t="s">
        <v>3</v>
      </c>
      <c r="I398" s="3" t="s">
        <v>3</v>
      </c>
      <c r="J398" s="3" t="s">
        <v>3</v>
      </c>
      <c r="K398" s="3" t="s">
        <v>3</v>
      </c>
      <c r="L398" s="3" t="s">
        <v>3</v>
      </c>
      <c r="M398" s="3" t="s">
        <v>3</v>
      </c>
    </row>
    <row r="399" spans="1:13" x14ac:dyDescent="0.3">
      <c r="A399" s="3" t="s">
        <v>251</v>
      </c>
      <c r="B399" s="3">
        <v>313510</v>
      </c>
      <c r="C399" s="3" t="s">
        <v>251</v>
      </c>
      <c r="D399" s="3" t="s">
        <v>126</v>
      </c>
      <c r="E399" s="3" t="s">
        <v>251</v>
      </c>
      <c r="F399" s="3" t="s">
        <v>482</v>
      </c>
      <c r="G399" s="3">
        <v>48</v>
      </c>
      <c r="H399" s="3">
        <v>81</v>
      </c>
      <c r="I399" s="3">
        <v>27</v>
      </c>
      <c r="J399" s="3">
        <v>18</v>
      </c>
      <c r="K399" s="3">
        <v>110</v>
      </c>
      <c r="L399" s="3">
        <v>618</v>
      </c>
      <c r="M399" s="3">
        <v>522</v>
      </c>
    </row>
    <row r="400" spans="1:13" x14ac:dyDescent="0.3">
      <c r="A400" s="3" t="s">
        <v>150</v>
      </c>
      <c r="B400" s="3">
        <v>313520</v>
      </c>
      <c r="C400" s="3" t="s">
        <v>150</v>
      </c>
      <c r="D400" s="3" t="s">
        <v>126</v>
      </c>
      <c r="E400" s="3" t="s">
        <v>150</v>
      </c>
      <c r="F400" s="3" t="s">
        <v>483</v>
      </c>
      <c r="G400" s="3">
        <v>4</v>
      </c>
      <c r="H400" s="3" t="s">
        <v>3</v>
      </c>
      <c r="I400" s="3">
        <v>3</v>
      </c>
      <c r="J400" s="3">
        <v>16</v>
      </c>
      <c r="K400" s="3">
        <v>289</v>
      </c>
      <c r="L400" s="3">
        <v>430</v>
      </c>
      <c r="M400" s="3">
        <v>299</v>
      </c>
    </row>
    <row r="401" spans="1:13" x14ac:dyDescent="0.3">
      <c r="A401" s="3" t="s">
        <v>91</v>
      </c>
      <c r="B401" s="3">
        <v>313530</v>
      </c>
      <c r="C401" s="3" t="s">
        <v>91</v>
      </c>
      <c r="D401" s="3" t="s">
        <v>21</v>
      </c>
      <c r="E401" s="3" t="s">
        <v>91</v>
      </c>
      <c r="F401" s="3" t="s">
        <v>484</v>
      </c>
      <c r="G401" s="3" t="s">
        <v>3</v>
      </c>
      <c r="H401" s="3" t="s">
        <v>3</v>
      </c>
      <c r="I401" s="3" t="s">
        <v>3</v>
      </c>
      <c r="J401" s="3" t="s">
        <v>3</v>
      </c>
      <c r="K401" s="3" t="s">
        <v>3</v>
      </c>
      <c r="L401" s="3" t="s">
        <v>3</v>
      </c>
      <c r="M401" s="3" t="s">
        <v>3</v>
      </c>
    </row>
    <row r="402" spans="1:13" x14ac:dyDescent="0.3">
      <c r="A402" s="3" t="s">
        <v>158</v>
      </c>
      <c r="B402" s="3">
        <v>313535</v>
      </c>
      <c r="C402" s="3" t="s">
        <v>158</v>
      </c>
      <c r="D402" s="3" t="s">
        <v>126</v>
      </c>
      <c r="E402" s="3" t="s">
        <v>158</v>
      </c>
      <c r="F402" s="3" t="s">
        <v>485</v>
      </c>
      <c r="G402" s="3" t="s">
        <v>3</v>
      </c>
      <c r="H402" s="3" t="s">
        <v>3</v>
      </c>
      <c r="I402" s="3" t="s">
        <v>3</v>
      </c>
      <c r="J402" s="3" t="s">
        <v>3</v>
      </c>
      <c r="K402" s="3" t="s">
        <v>3</v>
      </c>
      <c r="L402" s="3" t="s">
        <v>3</v>
      </c>
      <c r="M402" s="3" t="s">
        <v>3</v>
      </c>
    </row>
    <row r="403" spans="1:13" x14ac:dyDescent="0.3">
      <c r="A403" s="3" t="s">
        <v>286</v>
      </c>
      <c r="B403" s="3">
        <v>313540</v>
      </c>
      <c r="C403" s="3" t="s">
        <v>286</v>
      </c>
      <c r="D403" s="3" t="s">
        <v>42</v>
      </c>
      <c r="E403" s="3" t="s">
        <v>286</v>
      </c>
      <c r="F403" s="3" t="s">
        <v>486</v>
      </c>
      <c r="G403" s="3" t="s">
        <v>3</v>
      </c>
      <c r="H403" s="3" t="s">
        <v>3</v>
      </c>
      <c r="I403" s="3" t="s">
        <v>3</v>
      </c>
      <c r="J403" s="3" t="s">
        <v>3</v>
      </c>
      <c r="K403" s="3" t="s">
        <v>3</v>
      </c>
      <c r="L403" s="3" t="s">
        <v>3</v>
      </c>
      <c r="M403" s="3" t="s">
        <v>3</v>
      </c>
    </row>
    <row r="404" spans="1:13" x14ac:dyDescent="0.3">
      <c r="A404" s="3" t="s">
        <v>74</v>
      </c>
      <c r="B404" s="3">
        <v>313545</v>
      </c>
      <c r="C404" s="3" t="s">
        <v>74</v>
      </c>
      <c r="D404" s="3" t="s">
        <v>56</v>
      </c>
      <c r="E404" s="3" t="s">
        <v>74</v>
      </c>
      <c r="F404" s="3" t="s">
        <v>487</v>
      </c>
      <c r="G404" s="3" t="s">
        <v>3</v>
      </c>
      <c r="H404" s="3" t="s">
        <v>3</v>
      </c>
      <c r="I404" s="3" t="s">
        <v>3</v>
      </c>
      <c r="J404" s="3" t="s">
        <v>3</v>
      </c>
      <c r="K404" s="3" t="s">
        <v>3</v>
      </c>
      <c r="L404" s="3" t="s">
        <v>3</v>
      </c>
      <c r="M404" s="3" t="s">
        <v>3</v>
      </c>
    </row>
    <row r="405" spans="1:13" x14ac:dyDescent="0.3">
      <c r="A405" s="3" t="s">
        <v>10</v>
      </c>
      <c r="B405" s="3">
        <v>313550</v>
      </c>
      <c r="C405" s="3" t="s">
        <v>10</v>
      </c>
      <c r="D405" s="3" t="s">
        <v>7</v>
      </c>
      <c r="E405" s="3" t="s">
        <v>10</v>
      </c>
      <c r="F405" s="3" t="s">
        <v>488</v>
      </c>
      <c r="G405" s="3" t="s">
        <v>3</v>
      </c>
      <c r="H405" s="3" t="s">
        <v>3</v>
      </c>
      <c r="I405" s="3" t="s">
        <v>3</v>
      </c>
      <c r="J405" s="3" t="s">
        <v>3</v>
      </c>
      <c r="K405" s="3" t="s">
        <v>3</v>
      </c>
      <c r="L405" s="3" t="s">
        <v>3</v>
      </c>
      <c r="M405" s="3" t="s">
        <v>3</v>
      </c>
    </row>
    <row r="406" spans="1:13" x14ac:dyDescent="0.3">
      <c r="A406" s="3" t="s">
        <v>293</v>
      </c>
      <c r="B406" s="3">
        <v>313560</v>
      </c>
      <c r="C406" s="3" t="s">
        <v>293</v>
      </c>
      <c r="D406" s="3" t="s">
        <v>126</v>
      </c>
      <c r="E406" s="3" t="s">
        <v>293</v>
      </c>
      <c r="F406" s="3" t="s">
        <v>489</v>
      </c>
      <c r="G406" s="3" t="s">
        <v>3</v>
      </c>
      <c r="H406" s="3" t="s">
        <v>3</v>
      </c>
      <c r="I406" s="3" t="s">
        <v>3</v>
      </c>
      <c r="J406" s="3" t="s">
        <v>3</v>
      </c>
      <c r="K406" s="3" t="s">
        <v>3</v>
      </c>
      <c r="L406" s="3" t="s">
        <v>3</v>
      </c>
      <c r="M406" s="3" t="s">
        <v>3</v>
      </c>
    </row>
    <row r="407" spans="1:13" x14ac:dyDescent="0.3">
      <c r="A407" s="3" t="s">
        <v>5</v>
      </c>
      <c r="B407" s="3">
        <v>313570</v>
      </c>
      <c r="C407" s="3" t="s">
        <v>5</v>
      </c>
      <c r="D407" s="3" t="s">
        <v>4</v>
      </c>
      <c r="E407" s="3" t="s">
        <v>5</v>
      </c>
      <c r="F407" s="3" t="s">
        <v>490</v>
      </c>
      <c r="G407" s="3" t="s">
        <v>3</v>
      </c>
      <c r="H407" s="3" t="s">
        <v>3</v>
      </c>
      <c r="I407" s="3" t="s">
        <v>3</v>
      </c>
      <c r="J407" s="3" t="s">
        <v>3</v>
      </c>
      <c r="K407" s="3" t="s">
        <v>3</v>
      </c>
      <c r="L407" s="3" t="s">
        <v>3</v>
      </c>
      <c r="M407" s="3" t="s">
        <v>3</v>
      </c>
    </row>
    <row r="408" spans="1:13" x14ac:dyDescent="0.3">
      <c r="A408" s="3" t="s">
        <v>45</v>
      </c>
      <c r="B408" s="3">
        <v>313580</v>
      </c>
      <c r="C408" s="3" t="s">
        <v>45</v>
      </c>
      <c r="D408" s="3" t="s">
        <v>24</v>
      </c>
      <c r="E408" s="3" t="s">
        <v>45</v>
      </c>
      <c r="F408" s="3" t="s">
        <v>56</v>
      </c>
      <c r="G408" s="3">
        <v>31</v>
      </c>
      <c r="H408" s="3">
        <v>13</v>
      </c>
      <c r="I408" s="3">
        <v>7</v>
      </c>
      <c r="J408" s="3">
        <v>33</v>
      </c>
      <c r="K408" s="3">
        <v>17</v>
      </c>
      <c r="L408" s="3">
        <v>29</v>
      </c>
      <c r="M408" s="3">
        <v>21</v>
      </c>
    </row>
    <row r="409" spans="1:13" x14ac:dyDescent="0.3">
      <c r="A409" s="3" t="s">
        <v>32</v>
      </c>
      <c r="B409" s="3">
        <v>313590</v>
      </c>
      <c r="C409" s="3" t="s">
        <v>32</v>
      </c>
      <c r="D409" s="3" t="s">
        <v>31</v>
      </c>
      <c r="E409" s="3" t="s">
        <v>32</v>
      </c>
      <c r="F409" s="3" t="s">
        <v>491</v>
      </c>
      <c r="G409" s="3" t="s">
        <v>3</v>
      </c>
      <c r="H409" s="3" t="s">
        <v>3</v>
      </c>
      <c r="I409" s="3" t="s">
        <v>3</v>
      </c>
      <c r="J409" s="3" t="s">
        <v>3</v>
      </c>
      <c r="K409" s="3" t="s">
        <v>3</v>
      </c>
      <c r="L409" s="3" t="s">
        <v>3</v>
      </c>
      <c r="M409" s="3" t="s">
        <v>3</v>
      </c>
    </row>
    <row r="410" spans="1:13" x14ac:dyDescent="0.3">
      <c r="A410" s="3" t="s">
        <v>45</v>
      </c>
      <c r="B410" s="3">
        <v>313600</v>
      </c>
      <c r="C410" s="3" t="s">
        <v>45</v>
      </c>
      <c r="D410" s="3" t="s">
        <v>24</v>
      </c>
      <c r="E410" s="3" t="s">
        <v>45</v>
      </c>
      <c r="F410" s="3" t="s">
        <v>492</v>
      </c>
      <c r="G410" s="3">
        <v>26</v>
      </c>
      <c r="H410" s="3">
        <v>20</v>
      </c>
      <c r="I410" s="3">
        <v>12</v>
      </c>
      <c r="J410" s="3">
        <v>10</v>
      </c>
      <c r="K410" s="3" t="s">
        <v>3</v>
      </c>
      <c r="L410" s="3" t="s">
        <v>3</v>
      </c>
      <c r="M410" s="3" t="s">
        <v>3</v>
      </c>
    </row>
    <row r="411" spans="1:13" x14ac:dyDescent="0.3">
      <c r="A411" s="3" t="s">
        <v>13</v>
      </c>
      <c r="B411" s="3">
        <v>313610</v>
      </c>
      <c r="C411" s="3" t="s">
        <v>13</v>
      </c>
      <c r="D411" s="3" t="s">
        <v>12</v>
      </c>
      <c r="E411" s="3" t="s">
        <v>13</v>
      </c>
      <c r="F411" s="3" t="s">
        <v>493</v>
      </c>
      <c r="G411" s="3" t="s">
        <v>3</v>
      </c>
      <c r="H411" s="3" t="s">
        <v>3</v>
      </c>
      <c r="I411" s="3" t="s">
        <v>3</v>
      </c>
      <c r="J411" s="3" t="s">
        <v>3</v>
      </c>
      <c r="K411" s="3" t="s">
        <v>3</v>
      </c>
      <c r="L411" s="3" t="s">
        <v>3</v>
      </c>
      <c r="M411" s="3" t="s">
        <v>3</v>
      </c>
    </row>
    <row r="412" spans="1:13" x14ac:dyDescent="0.3">
      <c r="A412" s="3" t="s">
        <v>116</v>
      </c>
      <c r="B412" s="3">
        <v>313620</v>
      </c>
      <c r="C412" s="3" t="s">
        <v>116</v>
      </c>
      <c r="D412" s="3" t="s">
        <v>4</v>
      </c>
      <c r="E412" s="3" t="s">
        <v>116</v>
      </c>
      <c r="F412" s="3" t="s">
        <v>494</v>
      </c>
      <c r="G412" s="3">
        <v>103</v>
      </c>
      <c r="H412" s="3">
        <v>92</v>
      </c>
      <c r="I412" s="3">
        <v>50</v>
      </c>
      <c r="J412" s="3">
        <v>36</v>
      </c>
      <c r="K412" s="3">
        <v>68</v>
      </c>
      <c r="L412" s="3">
        <v>58</v>
      </c>
      <c r="M412" s="3">
        <v>77</v>
      </c>
    </row>
    <row r="413" spans="1:13" x14ac:dyDescent="0.3">
      <c r="A413" s="3" t="s">
        <v>156</v>
      </c>
      <c r="B413" s="3">
        <v>313630</v>
      </c>
      <c r="C413" s="3" t="s">
        <v>156</v>
      </c>
      <c r="D413" s="3" t="s">
        <v>82</v>
      </c>
      <c r="E413" s="3" t="s">
        <v>156</v>
      </c>
      <c r="F413" s="3" t="s">
        <v>495</v>
      </c>
      <c r="G413" s="3">
        <v>124</v>
      </c>
      <c r="H413" s="3">
        <v>122</v>
      </c>
      <c r="I413" s="3">
        <v>62</v>
      </c>
      <c r="J413" s="3">
        <v>53</v>
      </c>
      <c r="K413" s="3">
        <v>74</v>
      </c>
      <c r="L413" s="3">
        <v>91</v>
      </c>
      <c r="M413" s="3">
        <v>120</v>
      </c>
    </row>
    <row r="414" spans="1:13" x14ac:dyDescent="0.3">
      <c r="A414" s="3" t="s">
        <v>137</v>
      </c>
      <c r="B414" s="3">
        <v>313640</v>
      </c>
      <c r="C414" s="3" t="s">
        <v>137</v>
      </c>
      <c r="D414" s="3" t="s">
        <v>126</v>
      </c>
      <c r="E414" s="3" t="s">
        <v>137</v>
      </c>
      <c r="F414" s="3" t="s">
        <v>496</v>
      </c>
      <c r="G414" s="3" t="s">
        <v>3</v>
      </c>
      <c r="H414" s="3" t="s">
        <v>3</v>
      </c>
      <c r="I414" s="3" t="s">
        <v>3</v>
      </c>
      <c r="J414" s="3" t="s">
        <v>3</v>
      </c>
      <c r="K414" s="3" t="s">
        <v>3</v>
      </c>
      <c r="L414" s="3" t="s">
        <v>3</v>
      </c>
      <c r="M414" s="3" t="s">
        <v>3</v>
      </c>
    </row>
    <row r="415" spans="1:13" x14ac:dyDescent="0.3">
      <c r="A415" s="3" t="s">
        <v>45</v>
      </c>
      <c r="B415" s="3">
        <v>313650</v>
      </c>
      <c r="C415" s="3" t="s">
        <v>45</v>
      </c>
      <c r="D415" s="3" t="s">
        <v>24</v>
      </c>
      <c r="E415" s="3" t="s">
        <v>45</v>
      </c>
      <c r="F415" s="3" t="s">
        <v>497</v>
      </c>
      <c r="G415" s="3" t="s">
        <v>3</v>
      </c>
      <c r="H415" s="3" t="s">
        <v>3</v>
      </c>
      <c r="I415" s="3" t="s">
        <v>3</v>
      </c>
      <c r="J415" s="3" t="s">
        <v>3</v>
      </c>
      <c r="K415" s="3" t="s">
        <v>3</v>
      </c>
      <c r="L415" s="3" t="s">
        <v>3</v>
      </c>
      <c r="M415" s="3" t="s">
        <v>3</v>
      </c>
    </row>
    <row r="416" spans="1:13" x14ac:dyDescent="0.3">
      <c r="A416" s="3" t="s">
        <v>96</v>
      </c>
      <c r="B416" s="3">
        <v>313652</v>
      </c>
      <c r="C416" s="3" t="s">
        <v>96</v>
      </c>
      <c r="D416" s="3" t="s">
        <v>56</v>
      </c>
      <c r="E416" s="3" t="s">
        <v>96</v>
      </c>
      <c r="F416" s="3" t="s">
        <v>498</v>
      </c>
      <c r="G416" s="3" t="s">
        <v>3</v>
      </c>
      <c r="H416" s="3" t="s">
        <v>3</v>
      </c>
      <c r="I416" s="3" t="s">
        <v>3</v>
      </c>
      <c r="J416" s="3" t="s">
        <v>3</v>
      </c>
      <c r="K416" s="3" t="s">
        <v>3</v>
      </c>
      <c r="L416" s="3" t="s">
        <v>3</v>
      </c>
      <c r="M416" s="3" t="s">
        <v>3</v>
      </c>
    </row>
    <row r="417" spans="1:13" x14ac:dyDescent="0.3">
      <c r="A417" s="3" t="s">
        <v>16</v>
      </c>
      <c r="B417" s="3">
        <v>313655</v>
      </c>
      <c r="C417" s="3" t="s">
        <v>16</v>
      </c>
      <c r="D417" s="3" t="s">
        <v>15</v>
      </c>
      <c r="E417" s="3" t="s">
        <v>16</v>
      </c>
      <c r="F417" s="3" t="s">
        <v>499</v>
      </c>
      <c r="G417" s="3" t="s">
        <v>3</v>
      </c>
      <c r="H417" s="3" t="s">
        <v>3</v>
      </c>
      <c r="I417" s="3" t="s">
        <v>3</v>
      </c>
      <c r="J417" s="3" t="s">
        <v>3</v>
      </c>
      <c r="K417" s="3" t="s">
        <v>3</v>
      </c>
      <c r="L417" s="3" t="s">
        <v>3</v>
      </c>
      <c r="M417" s="3" t="s">
        <v>3</v>
      </c>
    </row>
    <row r="418" spans="1:13" x14ac:dyDescent="0.3">
      <c r="A418" s="3" t="s">
        <v>154</v>
      </c>
      <c r="B418" s="3">
        <v>313657</v>
      </c>
      <c r="C418" s="3" t="s">
        <v>154</v>
      </c>
      <c r="D418" s="3" t="s">
        <v>126</v>
      </c>
      <c r="E418" s="3" t="s">
        <v>154</v>
      </c>
      <c r="F418" s="3" t="s">
        <v>500</v>
      </c>
      <c r="G418" s="3" t="s">
        <v>3</v>
      </c>
      <c r="H418" s="3" t="s">
        <v>3</v>
      </c>
      <c r="I418" s="3" t="s">
        <v>3</v>
      </c>
      <c r="J418" s="3" t="s">
        <v>3</v>
      </c>
      <c r="K418" s="3" t="s">
        <v>3</v>
      </c>
      <c r="L418" s="3" t="s">
        <v>3</v>
      </c>
      <c r="M418" s="3" t="s">
        <v>3</v>
      </c>
    </row>
    <row r="419" spans="1:13" x14ac:dyDescent="0.3">
      <c r="A419" s="3" t="s">
        <v>120</v>
      </c>
      <c r="B419" s="3">
        <v>313660</v>
      </c>
      <c r="C419" s="3" t="s">
        <v>120</v>
      </c>
      <c r="D419" s="3" t="s">
        <v>4</v>
      </c>
      <c r="E419" s="3" t="s">
        <v>120</v>
      </c>
      <c r="F419" s="3" t="s">
        <v>501</v>
      </c>
      <c r="G419" s="3" t="s">
        <v>3</v>
      </c>
      <c r="H419" s="3" t="s">
        <v>3</v>
      </c>
      <c r="I419" s="3" t="s">
        <v>3</v>
      </c>
      <c r="J419" s="3" t="s">
        <v>3</v>
      </c>
      <c r="K419" s="3" t="s">
        <v>3</v>
      </c>
      <c r="L419" s="3" t="s">
        <v>3</v>
      </c>
      <c r="M419" s="3" t="s">
        <v>3</v>
      </c>
    </row>
    <row r="420" spans="1:13" x14ac:dyDescent="0.3">
      <c r="A420" s="3" t="s">
        <v>129</v>
      </c>
      <c r="B420" s="3">
        <v>313665</v>
      </c>
      <c r="C420" s="3" t="s">
        <v>129</v>
      </c>
      <c r="D420" s="3" t="s">
        <v>4</v>
      </c>
      <c r="E420" s="3" t="s">
        <v>129</v>
      </c>
      <c r="F420" s="3" t="s">
        <v>502</v>
      </c>
      <c r="G420" s="3" t="s">
        <v>3</v>
      </c>
      <c r="H420" s="3" t="s">
        <v>3</v>
      </c>
      <c r="I420" s="3" t="s">
        <v>3</v>
      </c>
      <c r="J420" s="3" t="s">
        <v>3</v>
      </c>
      <c r="K420" s="3" t="s">
        <v>3</v>
      </c>
      <c r="L420" s="3" t="s">
        <v>3</v>
      </c>
      <c r="M420" s="3" t="s">
        <v>3</v>
      </c>
    </row>
    <row r="421" spans="1:13" x14ac:dyDescent="0.3">
      <c r="A421" s="3" t="s">
        <v>118</v>
      </c>
      <c r="B421" s="3">
        <v>313670</v>
      </c>
      <c r="C421" s="3" t="s">
        <v>118</v>
      </c>
      <c r="D421" s="3" t="s">
        <v>37</v>
      </c>
      <c r="E421" s="3" t="s">
        <v>118</v>
      </c>
      <c r="F421" s="3" t="s">
        <v>118</v>
      </c>
      <c r="G421" s="3">
        <v>1112</v>
      </c>
      <c r="H421" s="3">
        <v>941</v>
      </c>
      <c r="I421" s="3">
        <v>372</v>
      </c>
      <c r="J421" s="3">
        <v>505</v>
      </c>
      <c r="K421" s="3">
        <v>764</v>
      </c>
      <c r="L421" s="3">
        <v>1097</v>
      </c>
      <c r="M421" s="3">
        <v>1143</v>
      </c>
    </row>
    <row r="422" spans="1:13" x14ac:dyDescent="0.3">
      <c r="A422" s="3" t="s">
        <v>265</v>
      </c>
      <c r="B422" s="3">
        <v>313680</v>
      </c>
      <c r="C422" s="3" t="s">
        <v>265</v>
      </c>
      <c r="D422" s="3" t="s">
        <v>126</v>
      </c>
      <c r="E422" s="3" t="s">
        <v>265</v>
      </c>
      <c r="F422" s="3" t="s">
        <v>503</v>
      </c>
      <c r="G422" s="3" t="s">
        <v>3</v>
      </c>
      <c r="H422" s="3" t="s">
        <v>3</v>
      </c>
      <c r="I422" s="3" t="s">
        <v>3</v>
      </c>
      <c r="J422" s="3" t="s">
        <v>3</v>
      </c>
      <c r="K422" s="3" t="s">
        <v>3</v>
      </c>
      <c r="L422" s="3" t="s">
        <v>3</v>
      </c>
      <c r="M422" s="3" t="s">
        <v>3</v>
      </c>
    </row>
    <row r="423" spans="1:13" x14ac:dyDescent="0.3">
      <c r="A423" s="3" t="s">
        <v>89</v>
      </c>
      <c r="B423" s="3">
        <v>313690</v>
      </c>
      <c r="C423" s="3" t="s">
        <v>89</v>
      </c>
      <c r="D423" s="3" t="s">
        <v>31</v>
      </c>
      <c r="E423" s="3" t="s">
        <v>89</v>
      </c>
      <c r="F423" s="3" t="s">
        <v>504</v>
      </c>
      <c r="G423" s="3">
        <v>19</v>
      </c>
      <c r="H423" s="3">
        <v>16</v>
      </c>
      <c r="I423" s="3">
        <v>7</v>
      </c>
      <c r="J423" s="3">
        <v>3</v>
      </c>
      <c r="K423" s="3">
        <v>15</v>
      </c>
      <c r="L423" s="3">
        <v>15</v>
      </c>
      <c r="M423" s="3">
        <v>2</v>
      </c>
    </row>
    <row r="424" spans="1:13" x14ac:dyDescent="0.3">
      <c r="A424" s="3" t="s">
        <v>505</v>
      </c>
      <c r="B424" s="3">
        <v>313695</v>
      </c>
      <c r="C424" s="3" t="s">
        <v>505</v>
      </c>
      <c r="D424" s="3" t="s">
        <v>126</v>
      </c>
      <c r="E424" s="3" t="s">
        <v>505</v>
      </c>
      <c r="F424" s="3" t="s">
        <v>506</v>
      </c>
      <c r="G424" s="3" t="s">
        <v>3</v>
      </c>
      <c r="H424" s="3" t="s">
        <v>3</v>
      </c>
      <c r="I424" s="3" t="s">
        <v>3</v>
      </c>
      <c r="J424" s="3" t="s">
        <v>3</v>
      </c>
      <c r="K424" s="3" t="s">
        <v>3</v>
      </c>
      <c r="L424" s="3" t="s">
        <v>3</v>
      </c>
      <c r="M424" s="3" t="s">
        <v>3</v>
      </c>
    </row>
    <row r="425" spans="1:13" x14ac:dyDescent="0.3">
      <c r="A425" s="3" t="s">
        <v>64</v>
      </c>
      <c r="B425" s="3">
        <v>313700</v>
      </c>
      <c r="C425" s="3" t="s">
        <v>64</v>
      </c>
      <c r="D425" s="3" t="s">
        <v>24</v>
      </c>
      <c r="E425" s="3" t="s">
        <v>64</v>
      </c>
      <c r="F425" s="3" t="s">
        <v>507</v>
      </c>
      <c r="G425" s="3" t="s">
        <v>3</v>
      </c>
      <c r="H425" s="3" t="s">
        <v>3</v>
      </c>
      <c r="I425" s="3" t="s">
        <v>3</v>
      </c>
      <c r="J425" s="3" t="s">
        <v>3</v>
      </c>
      <c r="K425" s="3" t="s">
        <v>3</v>
      </c>
      <c r="L425" s="3" t="s">
        <v>3</v>
      </c>
      <c r="M425" s="3" t="s">
        <v>3</v>
      </c>
    </row>
    <row r="426" spans="1:13" x14ac:dyDescent="0.3">
      <c r="A426" s="3" t="s">
        <v>316</v>
      </c>
      <c r="B426" s="3">
        <v>313710</v>
      </c>
      <c r="C426" s="3" t="s">
        <v>316</v>
      </c>
      <c r="D426" s="3" t="s">
        <v>82</v>
      </c>
      <c r="E426" s="3" t="s">
        <v>316</v>
      </c>
      <c r="F426" s="3" t="s">
        <v>508</v>
      </c>
      <c r="G426" s="3" t="s">
        <v>3</v>
      </c>
      <c r="H426" s="3" t="s">
        <v>3</v>
      </c>
      <c r="I426" s="3" t="s">
        <v>3</v>
      </c>
      <c r="J426" s="3" t="s">
        <v>3</v>
      </c>
      <c r="K426" s="3" t="s">
        <v>3</v>
      </c>
      <c r="L426" s="3" t="s">
        <v>3</v>
      </c>
      <c r="M426" s="3" t="s">
        <v>3</v>
      </c>
    </row>
    <row r="427" spans="1:13" x14ac:dyDescent="0.3">
      <c r="A427" s="3" t="s">
        <v>91</v>
      </c>
      <c r="B427" s="3">
        <v>313720</v>
      </c>
      <c r="C427" s="3" t="s">
        <v>91</v>
      </c>
      <c r="D427" s="3" t="s">
        <v>21</v>
      </c>
      <c r="E427" s="3" t="s">
        <v>91</v>
      </c>
      <c r="F427" s="3" t="s">
        <v>509</v>
      </c>
      <c r="G427" s="3">
        <v>202</v>
      </c>
      <c r="H427" s="3">
        <v>90</v>
      </c>
      <c r="I427" s="3">
        <v>77</v>
      </c>
      <c r="J427" s="3">
        <v>79</v>
      </c>
      <c r="K427" s="3">
        <v>315</v>
      </c>
      <c r="L427" s="3">
        <v>327</v>
      </c>
      <c r="M427" s="3">
        <v>443</v>
      </c>
    </row>
    <row r="428" spans="1:13" x14ac:dyDescent="0.3">
      <c r="A428" s="3" t="s">
        <v>293</v>
      </c>
      <c r="B428" s="3">
        <v>313730</v>
      </c>
      <c r="C428" s="3" t="s">
        <v>293</v>
      </c>
      <c r="D428" s="3" t="s">
        <v>126</v>
      </c>
      <c r="E428" s="3" t="s">
        <v>293</v>
      </c>
      <c r="F428" s="3" t="s">
        <v>510</v>
      </c>
      <c r="G428" s="3" t="s">
        <v>3</v>
      </c>
      <c r="H428" s="3" t="s">
        <v>3</v>
      </c>
      <c r="I428" s="3" t="s">
        <v>3</v>
      </c>
      <c r="J428" s="3" t="s">
        <v>3</v>
      </c>
      <c r="K428" s="3" t="s">
        <v>3</v>
      </c>
      <c r="L428" s="3" t="s">
        <v>3</v>
      </c>
      <c r="M428" s="3" t="s">
        <v>3</v>
      </c>
    </row>
    <row r="429" spans="1:13" x14ac:dyDescent="0.3">
      <c r="A429" s="3" t="s">
        <v>114</v>
      </c>
      <c r="B429" s="3">
        <v>313740</v>
      </c>
      <c r="C429" s="3" t="s">
        <v>114</v>
      </c>
      <c r="D429" s="3" t="s">
        <v>42</v>
      </c>
      <c r="E429" s="3" t="s">
        <v>114</v>
      </c>
      <c r="F429" s="3" t="s">
        <v>511</v>
      </c>
      <c r="G429" s="3" t="s">
        <v>3</v>
      </c>
      <c r="H429" s="3" t="s">
        <v>3</v>
      </c>
      <c r="I429" s="3" t="s">
        <v>3</v>
      </c>
      <c r="J429" s="3" t="s">
        <v>3</v>
      </c>
      <c r="K429" s="3" t="s">
        <v>3</v>
      </c>
      <c r="L429" s="3" t="s">
        <v>3</v>
      </c>
      <c r="M429" s="3" t="s">
        <v>3</v>
      </c>
    </row>
    <row r="430" spans="1:13" x14ac:dyDescent="0.3">
      <c r="A430" s="3" t="s">
        <v>316</v>
      </c>
      <c r="B430" s="3">
        <v>313750</v>
      </c>
      <c r="C430" s="3" t="s">
        <v>316</v>
      </c>
      <c r="D430" s="3" t="s">
        <v>82</v>
      </c>
      <c r="E430" s="3" t="s">
        <v>316</v>
      </c>
      <c r="F430" s="3" t="s">
        <v>512</v>
      </c>
      <c r="G430" s="3">
        <v>31</v>
      </c>
      <c r="H430" s="3">
        <v>49</v>
      </c>
      <c r="I430" s="3">
        <v>41</v>
      </c>
      <c r="J430" s="3">
        <v>59</v>
      </c>
      <c r="K430" s="3">
        <v>56</v>
      </c>
      <c r="L430" s="3">
        <v>64</v>
      </c>
      <c r="M430" s="3">
        <v>69</v>
      </c>
    </row>
    <row r="431" spans="1:13" x14ac:dyDescent="0.3">
      <c r="A431" s="3" t="s">
        <v>156</v>
      </c>
      <c r="B431" s="3">
        <v>313753</v>
      </c>
      <c r="C431" s="3" t="s">
        <v>156</v>
      </c>
      <c r="D431" s="3" t="s">
        <v>82</v>
      </c>
      <c r="E431" s="3" t="s">
        <v>156</v>
      </c>
      <c r="F431" s="3" t="s">
        <v>513</v>
      </c>
      <c r="G431" s="3" t="s">
        <v>3</v>
      </c>
      <c r="H431" s="3" t="s">
        <v>3</v>
      </c>
      <c r="I431" s="3" t="s">
        <v>3</v>
      </c>
      <c r="J431" s="3" t="s">
        <v>3</v>
      </c>
      <c r="K431" s="3" t="s">
        <v>3</v>
      </c>
      <c r="L431" s="3" t="s">
        <v>3</v>
      </c>
      <c r="M431" s="3" t="s">
        <v>3</v>
      </c>
    </row>
    <row r="432" spans="1:13" x14ac:dyDescent="0.3">
      <c r="A432" s="3" t="s">
        <v>283</v>
      </c>
      <c r="B432" s="3">
        <v>313760</v>
      </c>
      <c r="C432" s="3" t="s">
        <v>283</v>
      </c>
      <c r="D432" s="3" t="s">
        <v>4</v>
      </c>
      <c r="E432" s="3" t="s">
        <v>283</v>
      </c>
      <c r="F432" s="3" t="s">
        <v>514</v>
      </c>
      <c r="G432" s="3">
        <v>75</v>
      </c>
      <c r="H432" s="3">
        <v>47</v>
      </c>
      <c r="I432" s="3">
        <v>70</v>
      </c>
      <c r="J432" s="3">
        <v>98</v>
      </c>
      <c r="K432" s="3">
        <v>115</v>
      </c>
      <c r="L432" s="3">
        <v>100</v>
      </c>
      <c r="M432" s="3">
        <v>86</v>
      </c>
    </row>
    <row r="433" spans="1:13" x14ac:dyDescent="0.3">
      <c r="A433" s="3" t="s">
        <v>8</v>
      </c>
      <c r="B433" s="3">
        <v>313770</v>
      </c>
      <c r="C433" s="3" t="s">
        <v>8</v>
      </c>
      <c r="D433" s="3" t="s">
        <v>7</v>
      </c>
      <c r="E433" s="3" t="s">
        <v>8</v>
      </c>
      <c r="F433" s="3" t="s">
        <v>515</v>
      </c>
      <c r="G433" s="3">
        <v>13</v>
      </c>
      <c r="H433" s="3">
        <v>11</v>
      </c>
      <c r="I433" s="3">
        <v>7</v>
      </c>
      <c r="J433" s="3">
        <v>10</v>
      </c>
      <c r="K433" s="3">
        <v>18</v>
      </c>
      <c r="L433" s="3">
        <v>11</v>
      </c>
      <c r="M433" s="3">
        <v>4</v>
      </c>
    </row>
    <row r="434" spans="1:13" x14ac:dyDescent="0.3">
      <c r="A434" s="3" t="s">
        <v>32</v>
      </c>
      <c r="B434" s="3">
        <v>313780</v>
      </c>
      <c r="C434" s="3" t="s">
        <v>32</v>
      </c>
      <c r="D434" s="3" t="s">
        <v>31</v>
      </c>
      <c r="E434" s="3" t="s">
        <v>32</v>
      </c>
      <c r="F434" s="3" t="s">
        <v>516</v>
      </c>
      <c r="G434" s="3">
        <v>9</v>
      </c>
      <c r="H434" s="3">
        <v>10</v>
      </c>
      <c r="I434" s="3">
        <v>6</v>
      </c>
      <c r="J434" s="3">
        <v>6</v>
      </c>
      <c r="K434" s="3">
        <v>10</v>
      </c>
      <c r="L434" s="3">
        <v>21</v>
      </c>
      <c r="M434" s="3">
        <v>1</v>
      </c>
    </row>
    <row r="435" spans="1:13" x14ac:dyDescent="0.3">
      <c r="A435" s="3" t="s">
        <v>219</v>
      </c>
      <c r="B435" s="3">
        <v>313790</v>
      </c>
      <c r="C435" s="3" t="s">
        <v>219</v>
      </c>
      <c r="D435" s="3" t="s">
        <v>42</v>
      </c>
      <c r="E435" s="3" t="s">
        <v>219</v>
      </c>
      <c r="F435" s="3" t="s">
        <v>517</v>
      </c>
      <c r="G435" s="3" t="s">
        <v>3</v>
      </c>
      <c r="H435" s="3" t="s">
        <v>3</v>
      </c>
      <c r="I435" s="3" t="s">
        <v>3</v>
      </c>
      <c r="J435" s="3" t="s">
        <v>3</v>
      </c>
      <c r="K435" s="3" t="s">
        <v>3</v>
      </c>
      <c r="L435" s="3" t="s">
        <v>3</v>
      </c>
      <c r="M435" s="3" t="s">
        <v>3</v>
      </c>
    </row>
    <row r="436" spans="1:13" x14ac:dyDescent="0.3">
      <c r="A436" s="3" t="s">
        <v>94</v>
      </c>
      <c r="B436" s="3">
        <v>313800</v>
      </c>
      <c r="C436" s="3" t="s">
        <v>94</v>
      </c>
      <c r="D436" s="3" t="s">
        <v>37</v>
      </c>
      <c r="E436" s="3" t="s">
        <v>94</v>
      </c>
      <c r="F436" s="3" t="s">
        <v>518</v>
      </c>
      <c r="G436" s="3" t="s">
        <v>3</v>
      </c>
      <c r="H436" s="3" t="s">
        <v>3</v>
      </c>
      <c r="I436" s="3" t="s">
        <v>3</v>
      </c>
      <c r="J436" s="3" t="s">
        <v>3</v>
      </c>
      <c r="K436" s="3" t="s">
        <v>3</v>
      </c>
      <c r="L436" s="3" t="s">
        <v>3</v>
      </c>
      <c r="M436" s="3" t="s">
        <v>3</v>
      </c>
    </row>
    <row r="437" spans="1:13" x14ac:dyDescent="0.3">
      <c r="A437" s="3" t="s">
        <v>170</v>
      </c>
      <c r="B437" s="3">
        <v>313810</v>
      </c>
      <c r="C437" s="3" t="s">
        <v>170</v>
      </c>
      <c r="D437" s="3" t="s">
        <v>126</v>
      </c>
      <c r="E437" s="3" t="s">
        <v>170</v>
      </c>
      <c r="F437" s="3" t="s">
        <v>519</v>
      </c>
      <c r="G437" s="3" t="s">
        <v>3</v>
      </c>
      <c r="H437" s="3" t="s">
        <v>3</v>
      </c>
      <c r="I437" s="3" t="s">
        <v>3</v>
      </c>
      <c r="J437" s="3" t="s">
        <v>3</v>
      </c>
      <c r="K437" s="3" t="s">
        <v>3</v>
      </c>
      <c r="L437" s="3" t="s">
        <v>3</v>
      </c>
      <c r="M437" s="3" t="s">
        <v>3</v>
      </c>
    </row>
    <row r="438" spans="1:13" x14ac:dyDescent="0.3">
      <c r="A438" s="3" t="s">
        <v>239</v>
      </c>
      <c r="B438" s="3">
        <v>313820</v>
      </c>
      <c r="C438" s="3" t="s">
        <v>239</v>
      </c>
      <c r="D438" s="3" t="s">
        <v>31</v>
      </c>
      <c r="E438" s="3" t="s">
        <v>239</v>
      </c>
      <c r="F438" s="3" t="s">
        <v>239</v>
      </c>
      <c r="G438" s="3">
        <v>160</v>
      </c>
      <c r="H438" s="3">
        <v>186</v>
      </c>
      <c r="I438" s="3">
        <v>73</v>
      </c>
      <c r="J438" s="3">
        <v>111</v>
      </c>
      <c r="K438" s="3">
        <v>138</v>
      </c>
      <c r="L438" s="3">
        <v>135</v>
      </c>
      <c r="M438" s="3">
        <v>192</v>
      </c>
    </row>
    <row r="439" spans="1:13" x14ac:dyDescent="0.3">
      <c r="A439" s="3" t="s">
        <v>278</v>
      </c>
      <c r="B439" s="3">
        <v>313830</v>
      </c>
      <c r="C439" s="3" t="s">
        <v>278</v>
      </c>
      <c r="D439" s="3" t="s">
        <v>21</v>
      </c>
      <c r="E439" s="3" t="s">
        <v>278</v>
      </c>
      <c r="F439" s="3" t="s">
        <v>520</v>
      </c>
      <c r="G439" s="3" t="s">
        <v>3</v>
      </c>
      <c r="H439" s="3" t="s">
        <v>3</v>
      </c>
      <c r="I439" s="3" t="s">
        <v>3</v>
      </c>
      <c r="J439" s="3" t="s">
        <v>3</v>
      </c>
      <c r="K439" s="3" t="s">
        <v>3</v>
      </c>
      <c r="L439" s="3" t="s">
        <v>3</v>
      </c>
      <c r="M439" s="3" t="s">
        <v>3</v>
      </c>
    </row>
    <row r="440" spans="1:13" x14ac:dyDescent="0.3">
      <c r="A440" s="3" t="s">
        <v>96</v>
      </c>
      <c r="B440" s="3">
        <v>313835</v>
      </c>
      <c r="C440" s="3" t="s">
        <v>96</v>
      </c>
      <c r="D440" s="3" t="s">
        <v>56</v>
      </c>
      <c r="E440" s="3" t="s">
        <v>96</v>
      </c>
      <c r="F440" s="3" t="s">
        <v>521</v>
      </c>
      <c r="G440" s="3" t="s">
        <v>3</v>
      </c>
      <c r="H440" s="3" t="s">
        <v>3</v>
      </c>
      <c r="I440" s="3" t="s">
        <v>3</v>
      </c>
      <c r="J440" s="3" t="s">
        <v>3</v>
      </c>
      <c r="K440" s="3" t="s">
        <v>3</v>
      </c>
      <c r="L440" s="3" t="s">
        <v>3</v>
      </c>
      <c r="M440" s="3" t="s">
        <v>3</v>
      </c>
    </row>
    <row r="441" spans="1:13" x14ac:dyDescent="0.3">
      <c r="A441" s="3" t="s">
        <v>94</v>
      </c>
      <c r="B441" s="3">
        <v>313840</v>
      </c>
      <c r="C441" s="3" t="s">
        <v>94</v>
      </c>
      <c r="D441" s="3" t="s">
        <v>37</v>
      </c>
      <c r="E441" s="3" t="s">
        <v>94</v>
      </c>
      <c r="F441" s="3" t="s">
        <v>522</v>
      </c>
      <c r="G441" s="3">
        <v>18</v>
      </c>
      <c r="H441" s="3">
        <v>13</v>
      </c>
      <c r="I441" s="3">
        <v>10</v>
      </c>
      <c r="J441" s="3">
        <v>9</v>
      </c>
      <c r="K441" s="3">
        <v>9</v>
      </c>
      <c r="L441" s="3">
        <v>10</v>
      </c>
      <c r="M441" s="3">
        <v>60</v>
      </c>
    </row>
    <row r="442" spans="1:13" x14ac:dyDescent="0.3">
      <c r="A442" s="3" t="s">
        <v>62</v>
      </c>
      <c r="B442" s="3">
        <v>313850</v>
      </c>
      <c r="C442" s="3" t="s">
        <v>62</v>
      </c>
      <c r="D442" s="3" t="s">
        <v>37</v>
      </c>
      <c r="E442" s="3" t="s">
        <v>62</v>
      </c>
      <c r="F442" s="3" t="s">
        <v>523</v>
      </c>
      <c r="G442" s="3" t="s">
        <v>3</v>
      </c>
      <c r="H442" s="3" t="s">
        <v>3</v>
      </c>
      <c r="I442" s="3" t="s">
        <v>3</v>
      </c>
      <c r="J442" s="3" t="s">
        <v>3</v>
      </c>
      <c r="K442" s="3" t="s">
        <v>3</v>
      </c>
      <c r="L442" s="3" t="s">
        <v>3</v>
      </c>
      <c r="M442" s="3" t="s">
        <v>3</v>
      </c>
    </row>
    <row r="443" spans="1:13" x14ac:dyDescent="0.3">
      <c r="A443" s="3" t="s">
        <v>62</v>
      </c>
      <c r="B443" s="3">
        <v>313860</v>
      </c>
      <c r="C443" s="3" t="s">
        <v>62</v>
      </c>
      <c r="D443" s="3" t="s">
        <v>37</v>
      </c>
      <c r="E443" s="3" t="s">
        <v>62</v>
      </c>
      <c r="F443" s="3" t="s">
        <v>62</v>
      </c>
      <c r="G443" s="3">
        <v>14</v>
      </c>
      <c r="H443" s="3">
        <v>16</v>
      </c>
      <c r="I443" s="3">
        <v>1</v>
      </c>
      <c r="J443" s="3">
        <v>1</v>
      </c>
      <c r="K443" s="3">
        <v>22</v>
      </c>
      <c r="L443" s="3">
        <v>34</v>
      </c>
      <c r="M443" s="3">
        <v>30</v>
      </c>
    </row>
    <row r="444" spans="1:13" x14ac:dyDescent="0.3">
      <c r="A444" s="3" t="s">
        <v>237</v>
      </c>
      <c r="B444" s="3">
        <v>313862</v>
      </c>
      <c r="C444" s="3" t="s">
        <v>237</v>
      </c>
      <c r="D444" s="3" t="s">
        <v>18</v>
      </c>
      <c r="E444" s="3" t="s">
        <v>237</v>
      </c>
      <c r="F444" s="3" t="s">
        <v>524</v>
      </c>
      <c r="G444" s="3" t="s">
        <v>3</v>
      </c>
      <c r="H444" s="3" t="s">
        <v>3</v>
      </c>
      <c r="I444" s="3" t="s">
        <v>3</v>
      </c>
      <c r="J444" s="3" t="s">
        <v>3</v>
      </c>
      <c r="K444" s="3" t="s">
        <v>3</v>
      </c>
      <c r="L444" s="3" t="s">
        <v>3</v>
      </c>
      <c r="M444" s="3" t="s">
        <v>3</v>
      </c>
    </row>
    <row r="445" spans="1:13" x14ac:dyDescent="0.3">
      <c r="A445" s="3" t="s">
        <v>158</v>
      </c>
      <c r="B445" s="3">
        <v>313865</v>
      </c>
      <c r="C445" s="3" t="s">
        <v>158</v>
      </c>
      <c r="D445" s="3" t="s">
        <v>126</v>
      </c>
      <c r="E445" s="3" t="s">
        <v>158</v>
      </c>
      <c r="F445" s="3" t="s">
        <v>525</v>
      </c>
      <c r="G445" s="3" t="s">
        <v>3</v>
      </c>
      <c r="H445" s="3" t="s">
        <v>3</v>
      </c>
      <c r="I445" s="3" t="s">
        <v>3</v>
      </c>
      <c r="J445" s="3" t="s">
        <v>3</v>
      </c>
      <c r="K445" s="3" t="s">
        <v>3</v>
      </c>
      <c r="L445" s="3" t="s">
        <v>3</v>
      </c>
      <c r="M445" s="3" t="s">
        <v>3</v>
      </c>
    </row>
    <row r="446" spans="1:13" x14ac:dyDescent="0.3">
      <c r="A446" s="3" t="s">
        <v>8</v>
      </c>
      <c r="B446" s="3">
        <v>313867</v>
      </c>
      <c r="C446" s="3" t="s">
        <v>8</v>
      </c>
      <c r="D446" s="3" t="s">
        <v>7</v>
      </c>
      <c r="E446" s="3" t="s">
        <v>8</v>
      </c>
      <c r="F446" s="3" t="s">
        <v>526</v>
      </c>
      <c r="G446" s="3" t="s">
        <v>3</v>
      </c>
      <c r="H446" s="3" t="s">
        <v>3</v>
      </c>
      <c r="I446" s="3" t="s">
        <v>3</v>
      </c>
      <c r="J446" s="3" t="s">
        <v>3</v>
      </c>
      <c r="K446" s="3" t="s">
        <v>3</v>
      </c>
      <c r="L446" s="3" t="s">
        <v>3</v>
      </c>
      <c r="M446" s="3" t="s">
        <v>3</v>
      </c>
    </row>
    <row r="447" spans="1:13" x14ac:dyDescent="0.3">
      <c r="A447" s="3" t="s">
        <v>158</v>
      </c>
      <c r="B447" s="3">
        <v>313868</v>
      </c>
      <c r="C447" s="3" t="s">
        <v>158</v>
      </c>
      <c r="D447" s="3" t="s">
        <v>126</v>
      </c>
      <c r="E447" s="3" t="s">
        <v>158</v>
      </c>
      <c r="F447" s="3" t="s">
        <v>527</v>
      </c>
      <c r="G447" s="3" t="s">
        <v>3</v>
      </c>
      <c r="H447" s="3" t="s">
        <v>3</v>
      </c>
      <c r="I447" s="3" t="s">
        <v>3</v>
      </c>
      <c r="J447" s="3" t="s">
        <v>3</v>
      </c>
      <c r="K447" s="3" t="s">
        <v>3</v>
      </c>
      <c r="L447" s="3" t="s">
        <v>3</v>
      </c>
      <c r="M447" s="3" t="s">
        <v>3</v>
      </c>
    </row>
    <row r="448" spans="1:13" x14ac:dyDescent="0.3">
      <c r="A448" s="3" t="s">
        <v>239</v>
      </c>
      <c r="B448" s="3">
        <v>313870</v>
      </c>
      <c r="C448" s="3" t="s">
        <v>239</v>
      </c>
      <c r="D448" s="3" t="s">
        <v>31</v>
      </c>
      <c r="E448" s="3" t="s">
        <v>239</v>
      </c>
      <c r="F448" s="3" t="s">
        <v>528</v>
      </c>
      <c r="G448" s="3" t="s">
        <v>3</v>
      </c>
      <c r="H448" s="3" t="s">
        <v>3</v>
      </c>
      <c r="I448" s="3" t="s">
        <v>3</v>
      </c>
      <c r="J448" s="3" t="s">
        <v>3</v>
      </c>
      <c r="K448" s="3" t="s">
        <v>3</v>
      </c>
      <c r="L448" s="3" t="s">
        <v>3</v>
      </c>
      <c r="M448" s="3" t="s">
        <v>3</v>
      </c>
    </row>
    <row r="449" spans="1:13" x14ac:dyDescent="0.3">
      <c r="A449" s="3" t="s">
        <v>139</v>
      </c>
      <c r="B449" s="3">
        <v>313880</v>
      </c>
      <c r="C449" s="3" t="s">
        <v>139</v>
      </c>
      <c r="D449" s="3" t="s">
        <v>21</v>
      </c>
      <c r="E449" s="3" t="s">
        <v>139</v>
      </c>
      <c r="F449" s="3" t="s">
        <v>529</v>
      </c>
      <c r="G449" s="3">
        <v>51</v>
      </c>
      <c r="H449" s="3">
        <v>22</v>
      </c>
      <c r="I449" s="3">
        <v>23</v>
      </c>
      <c r="J449" s="3">
        <v>19</v>
      </c>
      <c r="K449" s="3">
        <v>32</v>
      </c>
      <c r="L449" s="3">
        <v>23</v>
      </c>
      <c r="M449" s="3">
        <v>37</v>
      </c>
    </row>
    <row r="450" spans="1:13" x14ac:dyDescent="0.3">
      <c r="A450" s="3" t="s">
        <v>25</v>
      </c>
      <c r="B450" s="3">
        <v>313890</v>
      </c>
      <c r="C450" s="3" t="s">
        <v>25</v>
      </c>
      <c r="D450" s="3" t="s">
        <v>24</v>
      </c>
      <c r="E450" s="3" t="s">
        <v>25</v>
      </c>
      <c r="F450" s="3" t="s">
        <v>530</v>
      </c>
      <c r="G450" s="3" t="s">
        <v>3</v>
      </c>
      <c r="H450" s="3" t="s">
        <v>3</v>
      </c>
      <c r="I450" s="3" t="s">
        <v>3</v>
      </c>
      <c r="J450" s="3" t="s">
        <v>3</v>
      </c>
      <c r="K450" s="3" t="s">
        <v>3</v>
      </c>
      <c r="L450" s="3" t="s">
        <v>3</v>
      </c>
      <c r="M450" s="3" t="s">
        <v>3</v>
      </c>
    </row>
    <row r="451" spans="1:13" x14ac:dyDescent="0.3">
      <c r="A451" s="3" t="s">
        <v>40</v>
      </c>
      <c r="B451" s="3">
        <v>313900</v>
      </c>
      <c r="C451" s="3" t="s">
        <v>40</v>
      </c>
      <c r="D451" s="3" t="s">
        <v>31</v>
      </c>
      <c r="E451" s="3" t="s">
        <v>40</v>
      </c>
      <c r="F451" s="3" t="s">
        <v>531</v>
      </c>
      <c r="G451" s="3">
        <v>34</v>
      </c>
      <c r="H451" s="3">
        <v>36</v>
      </c>
      <c r="I451" s="3">
        <v>14</v>
      </c>
      <c r="J451" s="3">
        <v>25</v>
      </c>
      <c r="K451" s="3">
        <v>41</v>
      </c>
      <c r="L451" s="3">
        <v>56</v>
      </c>
      <c r="M451" s="3">
        <v>126</v>
      </c>
    </row>
    <row r="452" spans="1:13" x14ac:dyDescent="0.3">
      <c r="A452" s="3" t="s">
        <v>114</v>
      </c>
      <c r="B452" s="3">
        <v>313910</v>
      </c>
      <c r="C452" s="3" t="s">
        <v>114</v>
      </c>
      <c r="D452" s="3" t="s">
        <v>42</v>
      </c>
      <c r="E452" s="3" t="s">
        <v>114</v>
      </c>
      <c r="F452" s="3" t="s">
        <v>532</v>
      </c>
      <c r="G452" s="3" t="s">
        <v>3</v>
      </c>
      <c r="H452" s="3" t="s">
        <v>3</v>
      </c>
      <c r="I452" s="3" t="s">
        <v>3</v>
      </c>
      <c r="J452" s="3" t="s">
        <v>3</v>
      </c>
      <c r="K452" s="3" t="s">
        <v>3</v>
      </c>
      <c r="L452" s="3" t="s">
        <v>3</v>
      </c>
      <c r="M452" s="3" t="s">
        <v>3</v>
      </c>
    </row>
    <row r="453" spans="1:13" x14ac:dyDescent="0.3">
      <c r="A453" s="3" t="s">
        <v>64</v>
      </c>
      <c r="B453" s="3">
        <v>313920</v>
      </c>
      <c r="C453" s="3" t="s">
        <v>64</v>
      </c>
      <c r="D453" s="3" t="s">
        <v>24</v>
      </c>
      <c r="E453" s="3" t="s">
        <v>64</v>
      </c>
      <c r="F453" s="3" t="s">
        <v>533</v>
      </c>
      <c r="G453" s="3">
        <v>48</v>
      </c>
      <c r="H453" s="3">
        <v>40</v>
      </c>
      <c r="I453" s="3">
        <v>4</v>
      </c>
      <c r="J453" s="3">
        <v>43</v>
      </c>
      <c r="K453" s="3">
        <v>70</v>
      </c>
      <c r="L453" s="3">
        <v>93</v>
      </c>
      <c r="M453" s="3">
        <v>78</v>
      </c>
    </row>
    <row r="454" spans="1:13" x14ac:dyDescent="0.3">
      <c r="A454" s="3" t="s">
        <v>251</v>
      </c>
      <c r="B454" s="3">
        <v>313925</v>
      </c>
      <c r="C454" s="3" t="s">
        <v>251</v>
      </c>
      <c r="D454" s="3" t="s">
        <v>126</v>
      </c>
      <c r="E454" s="3" t="s">
        <v>251</v>
      </c>
      <c r="F454" s="3" t="s">
        <v>534</v>
      </c>
      <c r="G454" s="3" t="s">
        <v>3</v>
      </c>
      <c r="H454" s="3" t="s">
        <v>3</v>
      </c>
      <c r="I454" s="3" t="s">
        <v>3</v>
      </c>
      <c r="J454" s="3" t="s">
        <v>3</v>
      </c>
      <c r="K454" s="3" t="s">
        <v>3</v>
      </c>
      <c r="L454" s="3" t="s">
        <v>3</v>
      </c>
      <c r="M454" s="3" t="s">
        <v>3</v>
      </c>
    </row>
    <row r="455" spans="1:13" x14ac:dyDescent="0.3">
      <c r="A455" s="3" t="s">
        <v>505</v>
      </c>
      <c r="B455" s="3">
        <v>313930</v>
      </c>
      <c r="C455" s="3" t="s">
        <v>505</v>
      </c>
      <c r="D455" s="3" t="s">
        <v>126</v>
      </c>
      <c r="E455" s="3" t="s">
        <v>505</v>
      </c>
      <c r="F455" s="3" t="s">
        <v>505</v>
      </c>
      <c r="G455" s="3">
        <v>220</v>
      </c>
      <c r="H455" s="3">
        <v>129</v>
      </c>
      <c r="I455" s="3">
        <v>39</v>
      </c>
      <c r="J455" s="3">
        <v>140</v>
      </c>
      <c r="K455" s="3">
        <v>299</v>
      </c>
      <c r="L455" s="3">
        <v>398</v>
      </c>
      <c r="M455" s="3">
        <v>280</v>
      </c>
    </row>
    <row r="456" spans="1:13" x14ac:dyDescent="0.3">
      <c r="A456" s="3" t="s">
        <v>8</v>
      </c>
      <c r="B456" s="3">
        <v>313940</v>
      </c>
      <c r="C456" s="3" t="s">
        <v>8</v>
      </c>
      <c r="D456" s="3" t="s">
        <v>7</v>
      </c>
      <c r="E456" s="3" t="s">
        <v>8</v>
      </c>
      <c r="F456" s="3" t="s">
        <v>535</v>
      </c>
      <c r="G456" s="3">
        <v>137</v>
      </c>
      <c r="H456" s="3">
        <v>158</v>
      </c>
      <c r="I456" s="3">
        <v>105</v>
      </c>
      <c r="J456" s="3">
        <v>86</v>
      </c>
      <c r="K456" s="3">
        <v>90</v>
      </c>
      <c r="L456" s="3">
        <v>68</v>
      </c>
      <c r="M456" s="3">
        <v>41</v>
      </c>
    </row>
    <row r="457" spans="1:13" x14ac:dyDescent="0.3">
      <c r="A457" s="3" t="s">
        <v>8</v>
      </c>
      <c r="B457" s="3">
        <v>313950</v>
      </c>
      <c r="C457" s="3" t="s">
        <v>8</v>
      </c>
      <c r="D457" s="3" t="s">
        <v>7</v>
      </c>
      <c r="E457" s="3" t="s">
        <v>8</v>
      </c>
      <c r="F457" s="3" t="s">
        <v>536</v>
      </c>
      <c r="G457" s="3">
        <v>95</v>
      </c>
      <c r="H457" s="3">
        <v>67</v>
      </c>
      <c r="I457" s="3">
        <v>44</v>
      </c>
      <c r="J457" s="3">
        <v>21</v>
      </c>
      <c r="K457" s="3">
        <v>38</v>
      </c>
      <c r="L457" s="3">
        <v>17</v>
      </c>
      <c r="M457" s="3">
        <v>18</v>
      </c>
    </row>
    <row r="458" spans="1:13" x14ac:dyDescent="0.3">
      <c r="A458" s="3" t="s">
        <v>255</v>
      </c>
      <c r="B458" s="3">
        <v>313960</v>
      </c>
      <c r="C458" s="3" t="s">
        <v>255</v>
      </c>
      <c r="D458" s="3" t="s">
        <v>15</v>
      </c>
      <c r="E458" s="3" t="s">
        <v>255</v>
      </c>
      <c r="F458" s="3" t="s">
        <v>255</v>
      </c>
      <c r="G458" s="3">
        <v>77</v>
      </c>
      <c r="H458" s="3">
        <v>74</v>
      </c>
      <c r="I458" s="3">
        <v>47</v>
      </c>
      <c r="J458" s="3">
        <v>29</v>
      </c>
      <c r="K458" s="3">
        <v>62</v>
      </c>
      <c r="L458" s="3">
        <v>51</v>
      </c>
      <c r="M458" s="3">
        <v>89</v>
      </c>
    </row>
    <row r="459" spans="1:13" x14ac:dyDescent="0.3">
      <c r="A459" s="3" t="s">
        <v>5</v>
      </c>
      <c r="B459" s="3">
        <v>313970</v>
      </c>
      <c r="C459" s="3" t="s">
        <v>5</v>
      </c>
      <c r="D459" s="3" t="s">
        <v>4</v>
      </c>
      <c r="E459" s="3" t="s">
        <v>5</v>
      </c>
      <c r="F459" s="3" t="s">
        <v>537</v>
      </c>
      <c r="G459" s="3" t="s">
        <v>3</v>
      </c>
      <c r="H459" s="3" t="s">
        <v>3</v>
      </c>
      <c r="I459" s="3" t="s">
        <v>3</v>
      </c>
      <c r="J459" s="3" t="s">
        <v>3</v>
      </c>
      <c r="K459" s="3" t="s">
        <v>3</v>
      </c>
      <c r="L459" s="3" t="s">
        <v>3</v>
      </c>
      <c r="M459" s="3" t="s">
        <v>3</v>
      </c>
    </row>
    <row r="460" spans="1:13" x14ac:dyDescent="0.3">
      <c r="A460" s="3" t="s">
        <v>131</v>
      </c>
      <c r="B460" s="3">
        <v>313980</v>
      </c>
      <c r="C460" s="3" t="s">
        <v>131</v>
      </c>
      <c r="D460" s="3" t="s">
        <v>37</v>
      </c>
      <c r="E460" s="3" t="s">
        <v>131</v>
      </c>
      <c r="F460" s="3" t="s">
        <v>538</v>
      </c>
      <c r="G460" s="3" t="s">
        <v>3</v>
      </c>
      <c r="H460" s="3" t="s">
        <v>3</v>
      </c>
      <c r="I460" s="3" t="s">
        <v>3</v>
      </c>
      <c r="J460" s="3">
        <v>1</v>
      </c>
      <c r="K460" s="3" t="s">
        <v>3</v>
      </c>
      <c r="L460" s="3" t="s">
        <v>3</v>
      </c>
      <c r="M460" s="3" t="s">
        <v>3</v>
      </c>
    </row>
    <row r="461" spans="1:13" x14ac:dyDescent="0.3">
      <c r="A461" s="3" t="s">
        <v>163</v>
      </c>
      <c r="B461" s="3">
        <v>313990</v>
      </c>
      <c r="C461" s="3" t="s">
        <v>163</v>
      </c>
      <c r="D461" s="3" t="s">
        <v>31</v>
      </c>
      <c r="E461" s="3" t="s">
        <v>163</v>
      </c>
      <c r="F461" s="3" t="s">
        <v>539</v>
      </c>
      <c r="G461" s="3" t="s">
        <v>3</v>
      </c>
      <c r="H461" s="3" t="s">
        <v>3</v>
      </c>
      <c r="I461" s="3" t="s">
        <v>3</v>
      </c>
      <c r="J461" s="3" t="s">
        <v>3</v>
      </c>
      <c r="K461" s="3" t="s">
        <v>3</v>
      </c>
      <c r="L461" s="3" t="s">
        <v>3</v>
      </c>
      <c r="M461" s="3" t="s">
        <v>3</v>
      </c>
    </row>
    <row r="462" spans="1:13" x14ac:dyDescent="0.3">
      <c r="A462" s="3" t="s">
        <v>447</v>
      </c>
      <c r="B462" s="3">
        <v>314000</v>
      </c>
      <c r="C462" s="3" t="s">
        <v>447</v>
      </c>
      <c r="D462" s="3" t="s">
        <v>4</v>
      </c>
      <c r="E462" s="3" t="s">
        <v>447</v>
      </c>
      <c r="F462" s="3" t="s">
        <v>540</v>
      </c>
      <c r="G462" s="3">
        <v>69</v>
      </c>
      <c r="H462" s="3">
        <v>56</v>
      </c>
      <c r="I462" s="3">
        <v>37</v>
      </c>
      <c r="J462" s="3">
        <v>18</v>
      </c>
      <c r="K462" s="3">
        <v>54</v>
      </c>
      <c r="L462" s="3">
        <v>54</v>
      </c>
      <c r="M462" s="3">
        <v>65</v>
      </c>
    </row>
    <row r="463" spans="1:13" x14ac:dyDescent="0.3">
      <c r="A463" s="3" t="s">
        <v>47</v>
      </c>
      <c r="B463" s="3">
        <v>314010</v>
      </c>
      <c r="C463" s="3" t="s">
        <v>47</v>
      </c>
      <c r="D463" s="3" t="s">
        <v>15</v>
      </c>
      <c r="E463" s="3" t="s">
        <v>47</v>
      </c>
      <c r="F463" s="3" t="s">
        <v>541</v>
      </c>
      <c r="G463" s="3" t="s">
        <v>3</v>
      </c>
      <c r="H463" s="3" t="s">
        <v>3</v>
      </c>
      <c r="I463" s="3" t="s">
        <v>3</v>
      </c>
      <c r="J463" s="3" t="s">
        <v>3</v>
      </c>
      <c r="K463" s="3" t="s">
        <v>3</v>
      </c>
      <c r="L463" s="3" t="s">
        <v>3</v>
      </c>
      <c r="M463" s="3" t="s">
        <v>3</v>
      </c>
    </row>
    <row r="464" spans="1:13" x14ac:dyDescent="0.3">
      <c r="A464" s="3" t="s">
        <v>129</v>
      </c>
      <c r="B464" s="3">
        <v>314015</v>
      </c>
      <c r="C464" s="3" t="s">
        <v>129</v>
      </c>
      <c r="D464" s="3" t="s">
        <v>4</v>
      </c>
      <c r="E464" s="3" t="s">
        <v>129</v>
      </c>
      <c r="F464" s="3" t="s">
        <v>542</v>
      </c>
      <c r="G464" s="3" t="s">
        <v>3</v>
      </c>
      <c r="H464" s="3" t="s">
        <v>3</v>
      </c>
      <c r="I464" s="3" t="s">
        <v>3</v>
      </c>
      <c r="J464" s="3" t="s">
        <v>3</v>
      </c>
      <c r="K464" s="3" t="s">
        <v>3</v>
      </c>
      <c r="L464" s="3" t="s">
        <v>3</v>
      </c>
      <c r="M464" s="3" t="s">
        <v>3</v>
      </c>
    </row>
    <row r="465" spans="1:13" x14ac:dyDescent="0.3">
      <c r="A465" s="3" t="s">
        <v>131</v>
      </c>
      <c r="B465" s="3">
        <v>314020</v>
      </c>
      <c r="C465" s="3" t="s">
        <v>131</v>
      </c>
      <c r="D465" s="3" t="s">
        <v>37</v>
      </c>
      <c r="E465" s="3" t="s">
        <v>131</v>
      </c>
      <c r="F465" s="3" t="s">
        <v>543</v>
      </c>
      <c r="G465" s="3" t="s">
        <v>3</v>
      </c>
      <c r="H465" s="3" t="s">
        <v>3</v>
      </c>
      <c r="I465" s="3" t="s">
        <v>3</v>
      </c>
      <c r="J465" s="3" t="s">
        <v>3</v>
      </c>
      <c r="K465" s="3" t="s">
        <v>3</v>
      </c>
      <c r="L465" s="3" t="s">
        <v>3</v>
      </c>
      <c r="M465" s="3" t="s">
        <v>3</v>
      </c>
    </row>
    <row r="466" spans="1:13" x14ac:dyDescent="0.3">
      <c r="A466" s="3" t="s">
        <v>67</v>
      </c>
      <c r="B466" s="3">
        <v>314030</v>
      </c>
      <c r="C466" s="3" t="s">
        <v>67</v>
      </c>
      <c r="D466" s="3" t="s">
        <v>12</v>
      </c>
      <c r="E466" s="3" t="s">
        <v>67</v>
      </c>
      <c r="F466" s="3" t="s">
        <v>544</v>
      </c>
      <c r="G466" s="3" t="s">
        <v>3</v>
      </c>
      <c r="H466" s="3" t="s">
        <v>3</v>
      </c>
      <c r="I466" s="3" t="s">
        <v>3</v>
      </c>
      <c r="J466" s="3" t="s">
        <v>3</v>
      </c>
      <c r="K466" s="3" t="s">
        <v>3</v>
      </c>
      <c r="L466" s="3" t="s">
        <v>3</v>
      </c>
      <c r="M466" s="3" t="s">
        <v>3</v>
      </c>
    </row>
    <row r="467" spans="1:13" x14ac:dyDescent="0.3">
      <c r="A467" s="3" t="s">
        <v>163</v>
      </c>
      <c r="B467" s="3">
        <v>314040</v>
      </c>
      <c r="C467" s="3" t="s">
        <v>163</v>
      </c>
      <c r="D467" s="3" t="s">
        <v>31</v>
      </c>
      <c r="E467" s="3" t="s">
        <v>163</v>
      </c>
      <c r="F467" s="3" t="s">
        <v>545</v>
      </c>
      <c r="G467" s="3" t="s">
        <v>3</v>
      </c>
      <c r="H467" s="3" t="s">
        <v>3</v>
      </c>
      <c r="I467" s="3" t="s">
        <v>3</v>
      </c>
      <c r="J467" s="3" t="s">
        <v>3</v>
      </c>
      <c r="K467" s="3" t="s">
        <v>3</v>
      </c>
      <c r="L467" s="3" t="s">
        <v>3</v>
      </c>
      <c r="M467" s="3" t="s">
        <v>3</v>
      </c>
    </row>
    <row r="468" spans="1:13" x14ac:dyDescent="0.3">
      <c r="A468" s="3" t="s">
        <v>139</v>
      </c>
      <c r="B468" s="3">
        <v>314050</v>
      </c>
      <c r="C468" s="3" t="s">
        <v>139</v>
      </c>
      <c r="D468" s="3" t="s">
        <v>21</v>
      </c>
      <c r="E468" s="3" t="s">
        <v>139</v>
      </c>
      <c r="F468" s="3" t="s">
        <v>546</v>
      </c>
      <c r="G468" s="3" t="s">
        <v>3</v>
      </c>
      <c r="H468" s="3" t="s">
        <v>3</v>
      </c>
      <c r="I468" s="3" t="s">
        <v>3</v>
      </c>
      <c r="J468" s="3" t="s">
        <v>3</v>
      </c>
      <c r="K468" s="3" t="s">
        <v>3</v>
      </c>
      <c r="L468" s="3" t="s">
        <v>3</v>
      </c>
      <c r="M468" s="3" t="s">
        <v>3</v>
      </c>
    </row>
    <row r="469" spans="1:13" x14ac:dyDescent="0.3">
      <c r="A469" s="3" t="s">
        <v>8</v>
      </c>
      <c r="B469" s="3">
        <v>314053</v>
      </c>
      <c r="C469" s="3" t="s">
        <v>8</v>
      </c>
      <c r="D469" s="3" t="s">
        <v>7</v>
      </c>
      <c r="E469" s="3" t="s">
        <v>8</v>
      </c>
      <c r="F469" s="3" t="s">
        <v>547</v>
      </c>
      <c r="G469" s="3" t="s">
        <v>3</v>
      </c>
      <c r="H469" s="3" t="s">
        <v>3</v>
      </c>
      <c r="I469" s="3" t="s">
        <v>3</v>
      </c>
      <c r="J469" s="3" t="s">
        <v>3</v>
      </c>
      <c r="K469" s="3" t="s">
        <v>3</v>
      </c>
      <c r="L469" s="3" t="s">
        <v>3</v>
      </c>
      <c r="M469" s="3" t="s">
        <v>3</v>
      </c>
    </row>
    <row r="470" spans="1:13" x14ac:dyDescent="0.3">
      <c r="A470" s="3" t="s">
        <v>45</v>
      </c>
      <c r="B470" s="3">
        <v>314055</v>
      </c>
      <c r="C470" s="3" t="s">
        <v>45</v>
      </c>
      <c r="D470" s="3" t="s">
        <v>24</v>
      </c>
      <c r="E470" s="3" t="s">
        <v>45</v>
      </c>
      <c r="F470" s="3" t="s">
        <v>548</v>
      </c>
      <c r="G470" s="3" t="s">
        <v>3</v>
      </c>
      <c r="H470" s="3" t="s">
        <v>3</v>
      </c>
      <c r="I470" s="3" t="s">
        <v>3</v>
      </c>
      <c r="J470" s="3" t="s">
        <v>3</v>
      </c>
      <c r="K470" s="3" t="s">
        <v>3</v>
      </c>
      <c r="L470" s="3" t="s">
        <v>3</v>
      </c>
      <c r="M470" s="3" t="s">
        <v>3</v>
      </c>
    </row>
    <row r="471" spans="1:13" x14ac:dyDescent="0.3">
      <c r="A471" s="3" t="s">
        <v>227</v>
      </c>
      <c r="B471" s="3">
        <v>314060</v>
      </c>
      <c r="C471" s="3" t="s">
        <v>227</v>
      </c>
      <c r="D471" s="3" t="s">
        <v>4</v>
      </c>
      <c r="E471" s="3" t="s">
        <v>227</v>
      </c>
      <c r="F471" s="3" t="s">
        <v>549</v>
      </c>
      <c r="G471" s="3" t="s">
        <v>3</v>
      </c>
      <c r="H471" s="3" t="s">
        <v>3</v>
      </c>
      <c r="I471" s="3" t="s">
        <v>3</v>
      </c>
      <c r="J471" s="3" t="s">
        <v>3</v>
      </c>
      <c r="K471" s="3" t="s">
        <v>3</v>
      </c>
      <c r="L471" s="3" t="s">
        <v>3</v>
      </c>
      <c r="M471" s="3" t="s">
        <v>3</v>
      </c>
    </row>
    <row r="472" spans="1:13" x14ac:dyDescent="0.3">
      <c r="A472" s="3" t="s">
        <v>129</v>
      </c>
      <c r="B472" s="3">
        <v>314070</v>
      </c>
      <c r="C472" s="3" t="s">
        <v>129</v>
      </c>
      <c r="D472" s="3" t="s">
        <v>4</v>
      </c>
      <c r="E472" s="3" t="s">
        <v>129</v>
      </c>
      <c r="F472" s="3" t="s">
        <v>550</v>
      </c>
      <c r="G472" s="3">
        <v>24</v>
      </c>
      <c r="H472" s="3">
        <v>27</v>
      </c>
      <c r="I472" s="3">
        <v>6</v>
      </c>
      <c r="J472" s="3" t="s">
        <v>3</v>
      </c>
      <c r="K472" s="3">
        <v>81</v>
      </c>
      <c r="L472" s="3">
        <v>150</v>
      </c>
      <c r="M472" s="3">
        <v>126</v>
      </c>
    </row>
    <row r="473" spans="1:13" x14ac:dyDescent="0.3">
      <c r="A473" s="3" t="s">
        <v>118</v>
      </c>
      <c r="B473" s="3">
        <v>314080</v>
      </c>
      <c r="C473" s="3" t="s">
        <v>118</v>
      </c>
      <c r="D473" s="3" t="s">
        <v>37</v>
      </c>
      <c r="E473" s="3" t="s">
        <v>118</v>
      </c>
      <c r="F473" s="3" t="s">
        <v>551</v>
      </c>
      <c r="G473" s="3" t="s">
        <v>3</v>
      </c>
      <c r="H473" s="3" t="s">
        <v>3</v>
      </c>
      <c r="I473" s="3" t="s">
        <v>3</v>
      </c>
      <c r="J473" s="3" t="s">
        <v>3</v>
      </c>
      <c r="K473" s="3" t="s">
        <v>3</v>
      </c>
      <c r="L473" s="3" t="s">
        <v>3</v>
      </c>
      <c r="M473" s="3" t="s">
        <v>3</v>
      </c>
    </row>
    <row r="474" spans="1:13" x14ac:dyDescent="0.3">
      <c r="A474" s="3" t="s">
        <v>251</v>
      </c>
      <c r="B474" s="3">
        <v>314085</v>
      </c>
      <c r="C474" s="3" t="s">
        <v>251</v>
      </c>
      <c r="D474" s="3" t="s">
        <v>126</v>
      </c>
      <c r="E474" s="3" t="s">
        <v>251</v>
      </c>
      <c r="F474" s="3" t="s">
        <v>552</v>
      </c>
      <c r="G474" s="3" t="s">
        <v>3</v>
      </c>
      <c r="H474" s="3" t="s">
        <v>3</v>
      </c>
      <c r="I474" s="3" t="s">
        <v>3</v>
      </c>
      <c r="J474" s="3" t="s">
        <v>3</v>
      </c>
      <c r="K474" s="3" t="s">
        <v>3</v>
      </c>
      <c r="L474" s="3" t="s">
        <v>3</v>
      </c>
      <c r="M474" s="3" t="s">
        <v>3</v>
      </c>
    </row>
    <row r="475" spans="1:13" x14ac:dyDescent="0.3">
      <c r="A475" s="3" t="s">
        <v>8</v>
      </c>
      <c r="B475" s="3">
        <v>314090</v>
      </c>
      <c r="C475" s="3" t="s">
        <v>8</v>
      </c>
      <c r="D475" s="3" t="s">
        <v>7</v>
      </c>
      <c r="E475" s="3" t="s">
        <v>8</v>
      </c>
      <c r="F475" s="3" t="s">
        <v>553</v>
      </c>
      <c r="G475" s="3">
        <v>6</v>
      </c>
      <c r="H475" s="3">
        <v>3</v>
      </c>
      <c r="I475" s="3">
        <v>38</v>
      </c>
      <c r="J475" s="3">
        <v>60</v>
      </c>
      <c r="K475" s="3">
        <v>21</v>
      </c>
      <c r="L475" s="3">
        <v>60</v>
      </c>
      <c r="M475" s="3">
        <v>76</v>
      </c>
    </row>
    <row r="476" spans="1:13" x14ac:dyDescent="0.3">
      <c r="A476" s="3" t="s">
        <v>251</v>
      </c>
      <c r="B476" s="3">
        <v>314100</v>
      </c>
      <c r="C476" s="3" t="s">
        <v>251</v>
      </c>
      <c r="D476" s="3" t="s">
        <v>126</v>
      </c>
      <c r="E476" s="3" t="s">
        <v>251</v>
      </c>
      <c r="F476" s="3" t="s">
        <v>554</v>
      </c>
      <c r="G476" s="3" t="s">
        <v>3</v>
      </c>
      <c r="H476" s="3" t="s">
        <v>3</v>
      </c>
      <c r="I476" s="3" t="s">
        <v>3</v>
      </c>
      <c r="J476" s="3" t="s">
        <v>3</v>
      </c>
      <c r="K476" s="3" t="s">
        <v>3</v>
      </c>
      <c r="L476" s="3" t="s">
        <v>3</v>
      </c>
      <c r="M476" s="3" t="s">
        <v>3</v>
      </c>
    </row>
    <row r="477" spans="1:13" x14ac:dyDescent="0.3">
      <c r="A477" s="3" t="s">
        <v>283</v>
      </c>
      <c r="B477" s="3">
        <v>314110</v>
      </c>
      <c r="C477" s="3" t="s">
        <v>283</v>
      </c>
      <c r="D477" s="3" t="s">
        <v>4</v>
      </c>
      <c r="E477" s="3" t="s">
        <v>283</v>
      </c>
      <c r="F477" s="3" t="s">
        <v>555</v>
      </c>
      <c r="G477" s="3">
        <v>90</v>
      </c>
      <c r="H477" s="3">
        <v>103</v>
      </c>
      <c r="I477" s="3">
        <v>58</v>
      </c>
      <c r="J477" s="3">
        <v>59</v>
      </c>
      <c r="K477" s="3">
        <v>64</v>
      </c>
      <c r="L477" s="3">
        <v>33</v>
      </c>
      <c r="M477" s="3">
        <v>31</v>
      </c>
    </row>
    <row r="478" spans="1:13" x14ac:dyDescent="0.3">
      <c r="A478" s="3" t="s">
        <v>83</v>
      </c>
      <c r="B478" s="3">
        <v>314120</v>
      </c>
      <c r="C478" s="3" t="s">
        <v>83</v>
      </c>
      <c r="D478" s="3" t="s">
        <v>82</v>
      </c>
      <c r="E478" s="3" t="s">
        <v>83</v>
      </c>
      <c r="F478" s="3" t="s">
        <v>556</v>
      </c>
      <c r="G478" s="3" t="s">
        <v>3</v>
      </c>
      <c r="H478" s="3" t="s">
        <v>3</v>
      </c>
      <c r="I478" s="3" t="s">
        <v>3</v>
      </c>
      <c r="J478" s="3" t="s">
        <v>3</v>
      </c>
      <c r="K478" s="3" t="s">
        <v>3</v>
      </c>
      <c r="L478" s="3" t="s">
        <v>3</v>
      </c>
      <c r="M478" s="3" t="s">
        <v>3</v>
      </c>
    </row>
    <row r="479" spans="1:13" x14ac:dyDescent="0.3">
      <c r="A479" s="3" t="s">
        <v>106</v>
      </c>
      <c r="B479" s="3">
        <v>314130</v>
      </c>
      <c r="C479" s="3" t="s">
        <v>106</v>
      </c>
      <c r="D479" s="3" t="s">
        <v>21</v>
      </c>
      <c r="E479" s="3" t="s">
        <v>106</v>
      </c>
      <c r="F479" s="3" t="s">
        <v>557</v>
      </c>
      <c r="G479" s="3" t="s">
        <v>3</v>
      </c>
      <c r="H479" s="3" t="s">
        <v>3</v>
      </c>
      <c r="I479" s="3" t="s">
        <v>3</v>
      </c>
      <c r="J479" s="3" t="s">
        <v>3</v>
      </c>
      <c r="K479" s="3" t="s">
        <v>3</v>
      </c>
      <c r="L479" s="3" t="s">
        <v>3</v>
      </c>
      <c r="M479" s="3" t="s">
        <v>3</v>
      </c>
    </row>
    <row r="480" spans="1:13" x14ac:dyDescent="0.3">
      <c r="A480" s="3" t="s">
        <v>271</v>
      </c>
      <c r="B480" s="3">
        <v>314140</v>
      </c>
      <c r="C480" s="3" t="s">
        <v>271</v>
      </c>
      <c r="D480" s="3" t="s">
        <v>24</v>
      </c>
      <c r="E480" s="3" t="s">
        <v>271</v>
      </c>
      <c r="F480" s="3" t="s">
        <v>558</v>
      </c>
      <c r="G480" s="3">
        <v>41</v>
      </c>
      <c r="H480" s="3">
        <v>123</v>
      </c>
      <c r="I480" s="3">
        <v>30</v>
      </c>
      <c r="J480" s="3">
        <v>45</v>
      </c>
      <c r="K480" s="3">
        <v>263</v>
      </c>
      <c r="L480" s="3">
        <v>335</v>
      </c>
      <c r="M480" s="3">
        <v>283</v>
      </c>
    </row>
    <row r="481" spans="1:13" x14ac:dyDescent="0.3">
      <c r="A481" s="3" t="s">
        <v>255</v>
      </c>
      <c r="B481" s="3">
        <v>314150</v>
      </c>
      <c r="C481" s="3" t="s">
        <v>255</v>
      </c>
      <c r="D481" s="3" t="s">
        <v>15</v>
      </c>
      <c r="E481" s="3" t="s">
        <v>255</v>
      </c>
      <c r="F481" s="3" t="s">
        <v>559</v>
      </c>
      <c r="G481" s="3" t="s">
        <v>3</v>
      </c>
      <c r="H481" s="3" t="s">
        <v>3</v>
      </c>
      <c r="I481" s="3" t="s">
        <v>3</v>
      </c>
      <c r="J481" s="3">
        <v>3</v>
      </c>
      <c r="K481" s="3">
        <v>22</v>
      </c>
      <c r="L481" s="3">
        <v>114</v>
      </c>
      <c r="M481" s="3">
        <v>211</v>
      </c>
    </row>
    <row r="482" spans="1:13" x14ac:dyDescent="0.3">
      <c r="A482" s="3" t="s">
        <v>160</v>
      </c>
      <c r="B482" s="3">
        <v>314160</v>
      </c>
      <c r="C482" s="3" t="s">
        <v>160</v>
      </c>
      <c r="D482" s="3" t="s">
        <v>37</v>
      </c>
      <c r="E482" s="3" t="s">
        <v>160</v>
      </c>
      <c r="F482" s="3" t="s">
        <v>560</v>
      </c>
      <c r="G482" s="3" t="s">
        <v>3</v>
      </c>
      <c r="H482" s="3" t="s">
        <v>3</v>
      </c>
      <c r="I482" s="3" t="s">
        <v>3</v>
      </c>
      <c r="J482" s="3" t="s">
        <v>3</v>
      </c>
      <c r="K482" s="3" t="s">
        <v>3</v>
      </c>
      <c r="L482" s="3" t="s">
        <v>3</v>
      </c>
      <c r="M482" s="3" t="s">
        <v>3</v>
      </c>
    </row>
    <row r="483" spans="1:13" x14ac:dyDescent="0.3">
      <c r="A483" s="3" t="s">
        <v>13</v>
      </c>
      <c r="B483" s="3">
        <v>314170</v>
      </c>
      <c r="C483" s="3" t="s">
        <v>13</v>
      </c>
      <c r="D483" s="3" t="s">
        <v>12</v>
      </c>
      <c r="E483" s="3" t="s">
        <v>13</v>
      </c>
      <c r="F483" s="3" t="s">
        <v>561</v>
      </c>
      <c r="G483" s="3" t="s">
        <v>3</v>
      </c>
      <c r="H483" s="3" t="s">
        <v>3</v>
      </c>
      <c r="I483" s="3" t="s">
        <v>3</v>
      </c>
      <c r="J483" s="3" t="s">
        <v>3</v>
      </c>
      <c r="K483" s="3" t="s">
        <v>3</v>
      </c>
      <c r="L483" s="3" t="s">
        <v>3</v>
      </c>
      <c r="M483" s="3" t="s">
        <v>3</v>
      </c>
    </row>
    <row r="484" spans="1:13" x14ac:dyDescent="0.3">
      <c r="A484" s="3" t="s">
        <v>96</v>
      </c>
      <c r="B484" s="3">
        <v>314180</v>
      </c>
      <c r="C484" s="3" t="s">
        <v>96</v>
      </c>
      <c r="D484" s="3" t="s">
        <v>56</v>
      </c>
      <c r="E484" s="3" t="s">
        <v>96</v>
      </c>
      <c r="F484" s="3" t="s">
        <v>562</v>
      </c>
      <c r="G484" s="3">
        <v>78</v>
      </c>
      <c r="H484" s="3">
        <v>124</v>
      </c>
      <c r="I484" s="3">
        <v>48</v>
      </c>
      <c r="J484" s="3">
        <v>52</v>
      </c>
      <c r="K484" s="3">
        <v>106</v>
      </c>
      <c r="L484" s="3">
        <v>154</v>
      </c>
      <c r="M484" s="3">
        <v>135</v>
      </c>
    </row>
    <row r="485" spans="1:13" x14ac:dyDescent="0.3">
      <c r="A485" s="3" t="s">
        <v>32</v>
      </c>
      <c r="B485" s="3">
        <v>314190</v>
      </c>
      <c r="C485" s="3" t="s">
        <v>32</v>
      </c>
      <c r="D485" s="3" t="s">
        <v>31</v>
      </c>
      <c r="E485" s="3" t="s">
        <v>32</v>
      </c>
      <c r="F485" s="3" t="s">
        <v>563</v>
      </c>
      <c r="G485" s="3" t="s">
        <v>3</v>
      </c>
      <c r="H485" s="3" t="s">
        <v>3</v>
      </c>
      <c r="I485" s="3" t="s">
        <v>3</v>
      </c>
      <c r="J485" s="3" t="s">
        <v>3</v>
      </c>
      <c r="K485" s="3" t="s">
        <v>3</v>
      </c>
      <c r="L485" s="3" t="s">
        <v>3</v>
      </c>
      <c r="M485" s="3" t="s">
        <v>3</v>
      </c>
    </row>
    <row r="486" spans="1:13" x14ac:dyDescent="0.3">
      <c r="A486" s="3" t="s">
        <v>265</v>
      </c>
      <c r="B486" s="3">
        <v>314200</v>
      </c>
      <c r="C486" s="3" t="s">
        <v>265</v>
      </c>
      <c r="D486" s="3" t="s">
        <v>126</v>
      </c>
      <c r="E486" s="3" t="s">
        <v>265</v>
      </c>
      <c r="F486" s="3" t="s">
        <v>564</v>
      </c>
      <c r="G486" s="3">
        <v>78</v>
      </c>
      <c r="H486" s="3">
        <v>94</v>
      </c>
      <c r="I486" s="3">
        <v>8</v>
      </c>
      <c r="J486" s="3" t="s">
        <v>3</v>
      </c>
      <c r="K486" s="3" t="s">
        <v>3</v>
      </c>
      <c r="L486" s="3">
        <v>23</v>
      </c>
      <c r="M486" s="3">
        <v>84</v>
      </c>
    </row>
    <row r="487" spans="1:13" x14ac:dyDescent="0.3">
      <c r="A487" s="3" t="s">
        <v>69</v>
      </c>
      <c r="B487" s="3">
        <v>314210</v>
      </c>
      <c r="C487" s="3" t="s">
        <v>69</v>
      </c>
      <c r="D487" s="3" t="s">
        <v>37</v>
      </c>
      <c r="E487" s="3" t="s">
        <v>69</v>
      </c>
      <c r="F487" s="3" t="s">
        <v>565</v>
      </c>
      <c r="G487" s="3" t="s">
        <v>3</v>
      </c>
      <c r="H487" s="3" t="s">
        <v>3</v>
      </c>
      <c r="I487" s="3" t="s">
        <v>3</v>
      </c>
      <c r="J487" s="3" t="s">
        <v>3</v>
      </c>
      <c r="K487" s="3" t="s">
        <v>3</v>
      </c>
      <c r="L487" s="3" t="s">
        <v>3</v>
      </c>
      <c r="M487" s="3" t="s">
        <v>3</v>
      </c>
    </row>
    <row r="488" spans="1:13" x14ac:dyDescent="0.3">
      <c r="A488" s="3" t="s">
        <v>69</v>
      </c>
      <c r="B488" s="3">
        <v>314220</v>
      </c>
      <c r="C488" s="3" t="s">
        <v>69</v>
      </c>
      <c r="D488" s="3" t="s">
        <v>37</v>
      </c>
      <c r="E488" s="3" t="s">
        <v>69</v>
      </c>
      <c r="F488" s="3" t="s">
        <v>566</v>
      </c>
      <c r="G488" s="3" t="s">
        <v>3</v>
      </c>
      <c r="H488" s="3" t="s">
        <v>3</v>
      </c>
      <c r="I488" s="3" t="s">
        <v>3</v>
      </c>
      <c r="J488" s="3" t="s">
        <v>3</v>
      </c>
      <c r="K488" s="3" t="s">
        <v>3</v>
      </c>
      <c r="L488" s="3">
        <v>8</v>
      </c>
      <c r="M488" s="3">
        <v>7</v>
      </c>
    </row>
    <row r="489" spans="1:13" x14ac:dyDescent="0.3">
      <c r="A489" s="3" t="s">
        <v>505</v>
      </c>
      <c r="B489" s="3">
        <v>314225</v>
      </c>
      <c r="C489" s="3" t="s">
        <v>505</v>
      </c>
      <c r="D489" s="3" t="s">
        <v>126</v>
      </c>
      <c r="E489" s="3" t="s">
        <v>505</v>
      </c>
      <c r="F489" s="3" t="s">
        <v>567</v>
      </c>
      <c r="G489" s="3" t="s">
        <v>3</v>
      </c>
      <c r="H489" s="3" t="s">
        <v>3</v>
      </c>
      <c r="I489" s="3" t="s">
        <v>3</v>
      </c>
      <c r="J489" s="3" t="s">
        <v>3</v>
      </c>
      <c r="K489" s="3" t="s">
        <v>3</v>
      </c>
      <c r="L489" s="3" t="s">
        <v>3</v>
      </c>
      <c r="M489" s="3" t="s">
        <v>3</v>
      </c>
    </row>
    <row r="490" spans="1:13" x14ac:dyDescent="0.3">
      <c r="A490" s="3" t="s">
        <v>120</v>
      </c>
      <c r="B490" s="3">
        <v>314230</v>
      </c>
      <c r="C490" s="3" t="s">
        <v>120</v>
      </c>
      <c r="D490" s="3" t="s">
        <v>4</v>
      </c>
      <c r="E490" s="3" t="s">
        <v>120</v>
      </c>
      <c r="F490" s="3" t="s">
        <v>568</v>
      </c>
      <c r="G490" s="3" t="s">
        <v>3</v>
      </c>
      <c r="H490" s="3" t="s">
        <v>3</v>
      </c>
      <c r="I490" s="3" t="s">
        <v>3</v>
      </c>
      <c r="J490" s="3" t="s">
        <v>3</v>
      </c>
      <c r="K490" s="3" t="s">
        <v>3</v>
      </c>
      <c r="L490" s="3" t="s">
        <v>3</v>
      </c>
      <c r="M490" s="3" t="s">
        <v>3</v>
      </c>
    </row>
    <row r="491" spans="1:13" x14ac:dyDescent="0.3">
      <c r="A491" s="3" t="s">
        <v>139</v>
      </c>
      <c r="B491" s="3">
        <v>314240</v>
      </c>
      <c r="C491" s="3" t="s">
        <v>139</v>
      </c>
      <c r="D491" s="3" t="s">
        <v>21</v>
      </c>
      <c r="E491" s="3" t="s">
        <v>139</v>
      </c>
      <c r="F491" s="3" t="s">
        <v>569</v>
      </c>
      <c r="G491" s="3">
        <v>7</v>
      </c>
      <c r="H491" s="3">
        <v>12</v>
      </c>
      <c r="I491" s="3">
        <v>3</v>
      </c>
      <c r="J491" s="3">
        <v>9</v>
      </c>
      <c r="K491" s="3">
        <v>9</v>
      </c>
      <c r="L491" s="3">
        <v>1</v>
      </c>
      <c r="M491" s="3" t="s">
        <v>3</v>
      </c>
    </row>
    <row r="492" spans="1:13" x14ac:dyDescent="0.3">
      <c r="A492" s="3" t="s">
        <v>102</v>
      </c>
      <c r="B492" s="3">
        <v>314250</v>
      </c>
      <c r="C492" s="3" t="s">
        <v>102</v>
      </c>
      <c r="D492" s="3" t="s">
        <v>4</v>
      </c>
      <c r="E492" s="3" t="s">
        <v>102</v>
      </c>
      <c r="F492" s="3" t="s">
        <v>570</v>
      </c>
      <c r="G492" s="3" t="s">
        <v>3</v>
      </c>
      <c r="H492" s="3" t="s">
        <v>3</v>
      </c>
      <c r="I492" s="3" t="s">
        <v>3</v>
      </c>
      <c r="J492" s="3" t="s">
        <v>3</v>
      </c>
      <c r="K492" s="3" t="s">
        <v>3</v>
      </c>
      <c r="L492" s="3" t="s">
        <v>3</v>
      </c>
      <c r="M492" s="3" t="s">
        <v>3</v>
      </c>
    </row>
    <row r="493" spans="1:13" x14ac:dyDescent="0.3">
      <c r="A493" s="3" t="s">
        <v>296</v>
      </c>
      <c r="B493" s="3">
        <v>314260</v>
      </c>
      <c r="C493" s="3" t="s">
        <v>296</v>
      </c>
      <c r="D493" s="3" t="s">
        <v>31</v>
      </c>
      <c r="E493" s="3" t="s">
        <v>296</v>
      </c>
      <c r="F493" s="3" t="s">
        <v>571</v>
      </c>
      <c r="G493" s="3" t="s">
        <v>3</v>
      </c>
      <c r="H493" s="3" t="s">
        <v>3</v>
      </c>
      <c r="I493" s="3" t="s">
        <v>3</v>
      </c>
      <c r="J493" s="3" t="s">
        <v>3</v>
      </c>
      <c r="K493" s="3">
        <v>1</v>
      </c>
      <c r="L493" s="3">
        <v>10</v>
      </c>
      <c r="M493" s="3">
        <v>7</v>
      </c>
    </row>
    <row r="494" spans="1:13" x14ac:dyDescent="0.3">
      <c r="A494" s="3" t="s">
        <v>505</v>
      </c>
      <c r="B494" s="3">
        <v>314270</v>
      </c>
      <c r="C494" s="3" t="s">
        <v>505</v>
      </c>
      <c r="D494" s="3" t="s">
        <v>126</v>
      </c>
      <c r="E494" s="3" t="s">
        <v>505</v>
      </c>
      <c r="F494" s="3" t="s">
        <v>572</v>
      </c>
      <c r="G494" s="3">
        <v>1</v>
      </c>
      <c r="H494" s="3">
        <v>41</v>
      </c>
      <c r="I494" s="3">
        <v>7</v>
      </c>
      <c r="J494" s="3" t="s">
        <v>3</v>
      </c>
      <c r="K494" s="3">
        <v>10</v>
      </c>
      <c r="L494" s="3">
        <v>43</v>
      </c>
      <c r="M494" s="3">
        <v>32</v>
      </c>
    </row>
    <row r="495" spans="1:13" x14ac:dyDescent="0.3">
      <c r="A495" s="3" t="s">
        <v>76</v>
      </c>
      <c r="B495" s="3">
        <v>314280</v>
      </c>
      <c r="C495" s="3" t="s">
        <v>76</v>
      </c>
      <c r="D495" s="3" t="s">
        <v>0</v>
      </c>
      <c r="E495" s="3" t="s">
        <v>76</v>
      </c>
      <c r="F495" s="3" t="s">
        <v>573</v>
      </c>
      <c r="G495" s="3">
        <v>25</v>
      </c>
      <c r="H495" s="3">
        <v>47</v>
      </c>
      <c r="I495" s="3">
        <v>32</v>
      </c>
      <c r="J495" s="3">
        <v>34</v>
      </c>
      <c r="K495" s="3">
        <v>60</v>
      </c>
      <c r="L495" s="3">
        <v>51</v>
      </c>
      <c r="M495" s="3">
        <v>76</v>
      </c>
    </row>
    <row r="496" spans="1:13" x14ac:dyDescent="0.3">
      <c r="A496" s="3" t="s">
        <v>251</v>
      </c>
      <c r="B496" s="3">
        <v>314290</v>
      </c>
      <c r="C496" s="3" t="s">
        <v>251</v>
      </c>
      <c r="D496" s="3" t="s">
        <v>126</v>
      </c>
      <c r="E496" s="3" t="s">
        <v>251</v>
      </c>
      <c r="F496" s="3" t="s">
        <v>574</v>
      </c>
      <c r="G496" s="3">
        <v>82</v>
      </c>
      <c r="H496" s="3">
        <v>40</v>
      </c>
      <c r="I496" s="3">
        <v>15</v>
      </c>
      <c r="J496" s="3">
        <v>17</v>
      </c>
      <c r="K496" s="3">
        <v>52</v>
      </c>
      <c r="L496" s="3">
        <v>55</v>
      </c>
      <c r="M496" s="3">
        <v>37</v>
      </c>
    </row>
    <row r="497" spans="1:13" x14ac:dyDescent="0.3">
      <c r="A497" s="3" t="s">
        <v>89</v>
      </c>
      <c r="B497" s="3">
        <v>314300</v>
      </c>
      <c r="C497" s="3" t="s">
        <v>89</v>
      </c>
      <c r="D497" s="3" t="s">
        <v>31</v>
      </c>
      <c r="E497" s="3" t="s">
        <v>89</v>
      </c>
      <c r="F497" s="3" t="s">
        <v>575</v>
      </c>
      <c r="G497" s="3" t="s">
        <v>3</v>
      </c>
      <c r="H497" s="3">
        <v>1</v>
      </c>
      <c r="I497" s="3">
        <v>3</v>
      </c>
      <c r="J497" s="3" t="s">
        <v>3</v>
      </c>
      <c r="K497" s="3">
        <v>2</v>
      </c>
      <c r="L497" s="3">
        <v>4</v>
      </c>
      <c r="M497" s="3">
        <v>1</v>
      </c>
    </row>
    <row r="498" spans="1:13" x14ac:dyDescent="0.3">
      <c r="A498" s="3" t="s">
        <v>1</v>
      </c>
      <c r="B498" s="3">
        <v>314310</v>
      </c>
      <c r="C498" s="3" t="s">
        <v>1</v>
      </c>
      <c r="D498" s="3" t="s">
        <v>0</v>
      </c>
      <c r="E498" s="3" t="s">
        <v>1</v>
      </c>
      <c r="F498" s="3" t="s">
        <v>576</v>
      </c>
      <c r="G498" s="3">
        <v>92</v>
      </c>
      <c r="H498" s="3">
        <v>84</v>
      </c>
      <c r="I498" s="3">
        <v>53</v>
      </c>
      <c r="J498" s="3">
        <v>57</v>
      </c>
      <c r="K498" s="3">
        <v>52</v>
      </c>
      <c r="L498" s="3">
        <v>94</v>
      </c>
      <c r="M498" s="3">
        <v>114</v>
      </c>
    </row>
    <row r="499" spans="1:13" x14ac:dyDescent="0.3">
      <c r="A499" s="3" t="s">
        <v>271</v>
      </c>
      <c r="B499" s="3">
        <v>314315</v>
      </c>
      <c r="C499" s="3" t="s">
        <v>271</v>
      </c>
      <c r="D499" s="3" t="s">
        <v>24</v>
      </c>
      <c r="E499" s="3" t="s">
        <v>271</v>
      </c>
      <c r="F499" s="3" t="s">
        <v>577</v>
      </c>
      <c r="G499" s="3" t="s">
        <v>3</v>
      </c>
      <c r="H499" s="3" t="s">
        <v>3</v>
      </c>
      <c r="I499" s="3" t="s">
        <v>3</v>
      </c>
      <c r="J499" s="3" t="s">
        <v>3</v>
      </c>
      <c r="K499" s="3" t="s">
        <v>3</v>
      </c>
      <c r="L499" s="3" t="s">
        <v>3</v>
      </c>
      <c r="M499" s="3" t="s">
        <v>3</v>
      </c>
    </row>
    <row r="500" spans="1:13" x14ac:dyDescent="0.3">
      <c r="A500" s="3" t="s">
        <v>458</v>
      </c>
      <c r="B500" s="3">
        <v>314320</v>
      </c>
      <c r="C500" s="3" t="s">
        <v>458</v>
      </c>
      <c r="D500" s="3" t="s">
        <v>31</v>
      </c>
      <c r="E500" s="3" t="s">
        <v>458</v>
      </c>
      <c r="F500" s="3" t="s">
        <v>578</v>
      </c>
      <c r="G500" s="3">
        <v>28</v>
      </c>
      <c r="H500" s="3">
        <v>23</v>
      </c>
      <c r="I500" s="3">
        <v>1</v>
      </c>
      <c r="J500" s="3">
        <v>30</v>
      </c>
      <c r="K500" s="3">
        <v>10</v>
      </c>
      <c r="L500" s="3">
        <v>48</v>
      </c>
      <c r="M500" s="3">
        <v>61</v>
      </c>
    </row>
    <row r="501" spans="1:13" x14ac:dyDescent="0.3">
      <c r="A501" s="3" t="s">
        <v>265</v>
      </c>
      <c r="B501" s="3">
        <v>314330</v>
      </c>
      <c r="C501" s="3" t="s">
        <v>265</v>
      </c>
      <c r="D501" s="3" t="s">
        <v>126</v>
      </c>
      <c r="E501" s="3" t="s">
        <v>265</v>
      </c>
      <c r="F501" s="3" t="s">
        <v>265</v>
      </c>
      <c r="G501" s="3">
        <v>595</v>
      </c>
      <c r="H501" s="3">
        <v>676</v>
      </c>
      <c r="I501" s="3">
        <v>186</v>
      </c>
      <c r="J501" s="3">
        <v>210</v>
      </c>
      <c r="K501" s="3">
        <v>429</v>
      </c>
      <c r="L501" s="3">
        <v>1783</v>
      </c>
      <c r="M501" s="3">
        <v>1968</v>
      </c>
    </row>
    <row r="502" spans="1:13" x14ac:dyDescent="0.3">
      <c r="A502" s="3" t="s">
        <v>145</v>
      </c>
      <c r="B502" s="3">
        <v>314340</v>
      </c>
      <c r="C502" s="3" t="s">
        <v>145</v>
      </c>
      <c r="D502" s="3" t="s">
        <v>31</v>
      </c>
      <c r="E502" s="3" t="s">
        <v>145</v>
      </c>
      <c r="F502" s="3" t="s">
        <v>579</v>
      </c>
      <c r="G502" s="3" t="s">
        <v>3</v>
      </c>
      <c r="H502" s="3" t="s">
        <v>3</v>
      </c>
      <c r="I502" s="3" t="s">
        <v>3</v>
      </c>
      <c r="J502" s="3" t="s">
        <v>3</v>
      </c>
      <c r="K502" s="3" t="s">
        <v>3</v>
      </c>
      <c r="L502" s="3" t="s">
        <v>3</v>
      </c>
      <c r="M502" s="3" t="s">
        <v>3</v>
      </c>
    </row>
    <row r="503" spans="1:13" x14ac:dyDescent="0.3">
      <c r="A503" s="3" t="s">
        <v>127</v>
      </c>
      <c r="B503" s="3">
        <v>314345</v>
      </c>
      <c r="C503" s="3" t="s">
        <v>127</v>
      </c>
      <c r="D503" s="3" t="s">
        <v>126</v>
      </c>
      <c r="E503" s="3" t="s">
        <v>127</v>
      </c>
      <c r="F503" s="3" t="s">
        <v>580</v>
      </c>
      <c r="G503" s="3" t="s">
        <v>3</v>
      </c>
      <c r="H503" s="3" t="s">
        <v>3</v>
      </c>
      <c r="I503" s="3" t="s">
        <v>3</v>
      </c>
      <c r="J503" s="3" t="s">
        <v>3</v>
      </c>
      <c r="K503" s="3" t="s">
        <v>3</v>
      </c>
      <c r="L503" s="3" t="s">
        <v>3</v>
      </c>
      <c r="M503" s="3" t="s">
        <v>3</v>
      </c>
    </row>
    <row r="504" spans="1:13" x14ac:dyDescent="0.3">
      <c r="A504" s="3" t="s">
        <v>5</v>
      </c>
      <c r="B504" s="3">
        <v>314350</v>
      </c>
      <c r="C504" s="3" t="s">
        <v>5</v>
      </c>
      <c r="D504" s="3" t="s">
        <v>4</v>
      </c>
      <c r="E504" s="3" t="s">
        <v>5</v>
      </c>
      <c r="F504" s="3" t="s">
        <v>581</v>
      </c>
      <c r="G504" s="3" t="s">
        <v>3</v>
      </c>
      <c r="H504" s="3" t="s">
        <v>3</v>
      </c>
      <c r="I504" s="3" t="s">
        <v>3</v>
      </c>
      <c r="J504" s="3" t="s">
        <v>3</v>
      </c>
      <c r="K504" s="3" t="s">
        <v>3</v>
      </c>
      <c r="L504" s="3" t="s">
        <v>3</v>
      </c>
      <c r="M504" s="3" t="s">
        <v>3</v>
      </c>
    </row>
    <row r="505" spans="1:13" x14ac:dyDescent="0.3">
      <c r="A505" s="3" t="s">
        <v>102</v>
      </c>
      <c r="B505" s="3">
        <v>314360</v>
      </c>
      <c r="C505" s="3" t="s">
        <v>102</v>
      </c>
      <c r="D505" s="3" t="s">
        <v>4</v>
      </c>
      <c r="E505" s="3" t="s">
        <v>102</v>
      </c>
      <c r="F505" s="3" t="s">
        <v>582</v>
      </c>
      <c r="G505" s="3" t="s">
        <v>3</v>
      </c>
      <c r="H505" s="3" t="s">
        <v>3</v>
      </c>
      <c r="I505" s="3" t="s">
        <v>3</v>
      </c>
      <c r="J505" s="3" t="s">
        <v>3</v>
      </c>
      <c r="K505" s="3" t="s">
        <v>3</v>
      </c>
      <c r="L505" s="3" t="s">
        <v>3</v>
      </c>
      <c r="M505" s="3" t="s">
        <v>3</v>
      </c>
    </row>
    <row r="506" spans="1:13" x14ac:dyDescent="0.3">
      <c r="A506" s="3" t="s">
        <v>110</v>
      </c>
      <c r="B506" s="3">
        <v>314370</v>
      </c>
      <c r="C506" s="3" t="s">
        <v>110</v>
      </c>
      <c r="D506" s="3" t="s">
        <v>4</v>
      </c>
      <c r="E506" s="3" t="s">
        <v>110</v>
      </c>
      <c r="F506" s="3" t="s">
        <v>583</v>
      </c>
      <c r="G506" s="3" t="s">
        <v>3</v>
      </c>
      <c r="H506" s="3" t="s">
        <v>3</v>
      </c>
      <c r="I506" s="3" t="s">
        <v>3</v>
      </c>
      <c r="J506" s="3" t="s">
        <v>3</v>
      </c>
      <c r="K506" s="3" t="s">
        <v>3</v>
      </c>
      <c r="L506" s="3" t="s">
        <v>3</v>
      </c>
      <c r="M506" s="3" t="s">
        <v>3</v>
      </c>
    </row>
    <row r="507" spans="1:13" x14ac:dyDescent="0.3">
      <c r="A507" s="3" t="s">
        <v>145</v>
      </c>
      <c r="B507" s="3">
        <v>314380</v>
      </c>
      <c r="C507" s="3" t="s">
        <v>145</v>
      </c>
      <c r="D507" s="3" t="s">
        <v>31</v>
      </c>
      <c r="E507" s="3" t="s">
        <v>145</v>
      </c>
      <c r="F507" s="3" t="s">
        <v>584</v>
      </c>
      <c r="G507" s="3" t="s">
        <v>3</v>
      </c>
      <c r="H507" s="3" t="s">
        <v>3</v>
      </c>
      <c r="I507" s="3" t="s">
        <v>3</v>
      </c>
      <c r="J507" s="3" t="s">
        <v>3</v>
      </c>
      <c r="K507" s="3" t="s">
        <v>3</v>
      </c>
      <c r="L507" s="3" t="s">
        <v>3</v>
      </c>
      <c r="M507" s="3" t="s">
        <v>3</v>
      </c>
    </row>
    <row r="508" spans="1:13" x14ac:dyDescent="0.3">
      <c r="A508" s="3" t="s">
        <v>69</v>
      </c>
      <c r="B508" s="3">
        <v>314390</v>
      </c>
      <c r="C508" s="3" t="s">
        <v>69</v>
      </c>
      <c r="D508" s="3" t="s">
        <v>37</v>
      </c>
      <c r="E508" s="3" t="s">
        <v>69</v>
      </c>
      <c r="F508" s="3" t="s">
        <v>585</v>
      </c>
      <c r="G508" s="3">
        <v>81</v>
      </c>
      <c r="H508" s="3">
        <v>156</v>
      </c>
      <c r="I508" s="3">
        <v>117</v>
      </c>
      <c r="J508" s="3">
        <v>163</v>
      </c>
      <c r="K508" s="3">
        <v>194</v>
      </c>
      <c r="L508" s="3">
        <v>161</v>
      </c>
      <c r="M508" s="3">
        <v>181</v>
      </c>
    </row>
    <row r="509" spans="1:13" x14ac:dyDescent="0.3">
      <c r="A509" s="3" t="s">
        <v>8</v>
      </c>
      <c r="B509" s="3">
        <v>314400</v>
      </c>
      <c r="C509" s="3" t="s">
        <v>8</v>
      </c>
      <c r="D509" s="3" t="s">
        <v>7</v>
      </c>
      <c r="E509" s="3" t="s">
        <v>8</v>
      </c>
      <c r="F509" s="3" t="s">
        <v>586</v>
      </c>
      <c r="G509" s="3">
        <v>7</v>
      </c>
      <c r="H509" s="3">
        <v>4</v>
      </c>
      <c r="I509" s="3">
        <v>3</v>
      </c>
      <c r="J509" s="3" t="s">
        <v>3</v>
      </c>
      <c r="K509" s="3" t="s">
        <v>3</v>
      </c>
      <c r="L509" s="3">
        <v>4</v>
      </c>
      <c r="M509" s="3">
        <v>21</v>
      </c>
    </row>
    <row r="510" spans="1:13" x14ac:dyDescent="0.3">
      <c r="A510" s="3" t="s">
        <v>89</v>
      </c>
      <c r="B510" s="3">
        <v>314410</v>
      </c>
      <c r="C510" s="3" t="s">
        <v>89</v>
      </c>
      <c r="D510" s="3" t="s">
        <v>31</v>
      </c>
      <c r="E510" s="3" t="s">
        <v>89</v>
      </c>
      <c r="F510" s="3" t="s">
        <v>587</v>
      </c>
      <c r="G510" s="3">
        <v>6</v>
      </c>
      <c r="H510" s="3">
        <v>11</v>
      </c>
      <c r="I510" s="3">
        <v>3</v>
      </c>
      <c r="J510" s="3">
        <v>3</v>
      </c>
      <c r="K510" s="3">
        <v>3</v>
      </c>
      <c r="L510" s="3" t="s">
        <v>3</v>
      </c>
      <c r="M510" s="3">
        <v>1</v>
      </c>
    </row>
    <row r="511" spans="1:13" x14ac:dyDescent="0.3">
      <c r="A511" s="3" t="s">
        <v>47</v>
      </c>
      <c r="B511" s="3">
        <v>314420</v>
      </c>
      <c r="C511" s="3" t="s">
        <v>47</v>
      </c>
      <c r="D511" s="3" t="s">
        <v>15</v>
      </c>
      <c r="E511" s="3" t="s">
        <v>47</v>
      </c>
      <c r="F511" s="3" t="s">
        <v>588</v>
      </c>
      <c r="G511" s="3" t="s">
        <v>3</v>
      </c>
      <c r="H511" s="3" t="s">
        <v>3</v>
      </c>
      <c r="I511" s="3" t="s">
        <v>3</v>
      </c>
      <c r="J511" s="3" t="s">
        <v>3</v>
      </c>
      <c r="K511" s="3" t="s">
        <v>3</v>
      </c>
      <c r="L511" s="3" t="s">
        <v>3</v>
      </c>
      <c r="M511" s="3" t="s">
        <v>3</v>
      </c>
    </row>
    <row r="512" spans="1:13" x14ac:dyDescent="0.3">
      <c r="A512" s="3" t="s">
        <v>225</v>
      </c>
      <c r="B512" s="3">
        <v>314430</v>
      </c>
      <c r="C512" s="3" t="s">
        <v>225</v>
      </c>
      <c r="D512" s="3" t="s">
        <v>24</v>
      </c>
      <c r="E512" s="3" t="s">
        <v>225</v>
      </c>
      <c r="F512" s="3" t="s">
        <v>225</v>
      </c>
      <c r="G512" s="3">
        <v>19</v>
      </c>
      <c r="H512" s="3">
        <v>31</v>
      </c>
      <c r="I512" s="3">
        <v>35</v>
      </c>
      <c r="J512" s="3">
        <v>47</v>
      </c>
      <c r="K512" s="3">
        <v>117</v>
      </c>
      <c r="L512" s="3">
        <v>116</v>
      </c>
      <c r="M512" s="3">
        <v>195</v>
      </c>
    </row>
    <row r="513" spans="1:13" x14ac:dyDescent="0.3">
      <c r="A513" s="3" t="s">
        <v>13</v>
      </c>
      <c r="B513" s="3">
        <v>314435</v>
      </c>
      <c r="C513" s="3" t="s">
        <v>13</v>
      </c>
      <c r="D513" s="3" t="s">
        <v>12</v>
      </c>
      <c r="E513" s="3" t="s">
        <v>13</v>
      </c>
      <c r="F513" s="3" t="s">
        <v>589</v>
      </c>
      <c r="G513" s="3" t="s">
        <v>3</v>
      </c>
      <c r="H513" s="3" t="s">
        <v>3</v>
      </c>
      <c r="I513" s="3" t="s">
        <v>3</v>
      </c>
      <c r="J513" s="3" t="s">
        <v>3</v>
      </c>
      <c r="K513" s="3" t="s">
        <v>3</v>
      </c>
      <c r="L513" s="3" t="s">
        <v>3</v>
      </c>
      <c r="M513" s="3" t="s">
        <v>3</v>
      </c>
    </row>
    <row r="514" spans="1:13" x14ac:dyDescent="0.3">
      <c r="A514" s="3" t="s">
        <v>98</v>
      </c>
      <c r="B514" s="3">
        <v>314437</v>
      </c>
      <c r="C514" s="3" t="s">
        <v>98</v>
      </c>
      <c r="D514" s="3" t="s">
        <v>82</v>
      </c>
      <c r="E514" s="3" t="s">
        <v>98</v>
      </c>
      <c r="F514" s="3" t="s">
        <v>590</v>
      </c>
      <c r="G514" s="3" t="s">
        <v>3</v>
      </c>
      <c r="H514" s="3" t="s">
        <v>3</v>
      </c>
      <c r="I514" s="3" t="s">
        <v>3</v>
      </c>
      <c r="J514" s="3" t="s">
        <v>3</v>
      </c>
      <c r="K514" s="3" t="s">
        <v>3</v>
      </c>
      <c r="L514" s="3" t="s">
        <v>3</v>
      </c>
      <c r="M514" s="3" t="s">
        <v>3</v>
      </c>
    </row>
    <row r="515" spans="1:13" x14ac:dyDescent="0.3">
      <c r="A515" s="3" t="s">
        <v>145</v>
      </c>
      <c r="B515" s="3">
        <v>314440</v>
      </c>
      <c r="C515" s="3" t="s">
        <v>145</v>
      </c>
      <c r="D515" s="3" t="s">
        <v>31</v>
      </c>
      <c r="E515" s="3" t="s">
        <v>145</v>
      </c>
      <c r="F515" s="3" t="s">
        <v>591</v>
      </c>
      <c r="G515" s="3" t="s">
        <v>3</v>
      </c>
      <c r="H515" s="3" t="s">
        <v>3</v>
      </c>
      <c r="I515" s="3" t="s">
        <v>3</v>
      </c>
      <c r="J515" s="3" t="s">
        <v>3</v>
      </c>
      <c r="K515" s="3" t="s">
        <v>3</v>
      </c>
      <c r="L515" s="3" t="s">
        <v>3</v>
      </c>
      <c r="M515" s="3" t="s">
        <v>3</v>
      </c>
    </row>
    <row r="516" spans="1:13" x14ac:dyDescent="0.3">
      <c r="A516" s="3" t="s">
        <v>114</v>
      </c>
      <c r="B516" s="3">
        <v>314450</v>
      </c>
      <c r="C516" s="3" t="s">
        <v>114</v>
      </c>
      <c r="D516" s="3" t="s">
        <v>42</v>
      </c>
      <c r="E516" s="3" t="s">
        <v>114</v>
      </c>
      <c r="F516" s="3" t="s">
        <v>592</v>
      </c>
      <c r="G516" s="3" t="s">
        <v>3</v>
      </c>
      <c r="H516" s="3" t="s">
        <v>3</v>
      </c>
      <c r="I516" s="3" t="s">
        <v>3</v>
      </c>
      <c r="J516" s="3" t="s">
        <v>3</v>
      </c>
      <c r="K516" s="3" t="s">
        <v>3</v>
      </c>
      <c r="L516" s="3" t="s">
        <v>3</v>
      </c>
      <c r="M516" s="3" t="s">
        <v>3</v>
      </c>
    </row>
    <row r="517" spans="1:13" x14ac:dyDescent="0.3">
      <c r="A517" s="3" t="s">
        <v>239</v>
      </c>
      <c r="B517" s="3">
        <v>314460</v>
      </c>
      <c r="C517" s="3" t="s">
        <v>239</v>
      </c>
      <c r="D517" s="3" t="s">
        <v>31</v>
      </c>
      <c r="E517" s="3" t="s">
        <v>239</v>
      </c>
      <c r="F517" s="3" t="s">
        <v>593</v>
      </c>
      <c r="G517" s="3" t="s">
        <v>3</v>
      </c>
      <c r="H517" s="3" t="s">
        <v>3</v>
      </c>
      <c r="I517" s="3" t="s">
        <v>3</v>
      </c>
      <c r="J517" s="3" t="s">
        <v>3</v>
      </c>
      <c r="K517" s="3" t="s">
        <v>3</v>
      </c>
      <c r="L517" s="3">
        <v>2</v>
      </c>
      <c r="M517" s="3" t="s">
        <v>3</v>
      </c>
    </row>
    <row r="518" spans="1:13" x14ac:dyDescent="0.3">
      <c r="A518" s="3" t="s">
        <v>127</v>
      </c>
      <c r="B518" s="3">
        <v>314465</v>
      </c>
      <c r="C518" s="3" t="s">
        <v>127</v>
      </c>
      <c r="D518" s="3" t="s">
        <v>126</v>
      </c>
      <c r="E518" s="3" t="s">
        <v>127</v>
      </c>
      <c r="F518" s="3" t="s">
        <v>594</v>
      </c>
      <c r="G518" s="3" t="s">
        <v>3</v>
      </c>
      <c r="H518" s="3" t="s">
        <v>3</v>
      </c>
      <c r="I518" s="3" t="s">
        <v>3</v>
      </c>
      <c r="J518" s="3" t="s">
        <v>3</v>
      </c>
      <c r="K518" s="3" t="s">
        <v>3</v>
      </c>
      <c r="L518" s="3" t="s">
        <v>3</v>
      </c>
      <c r="M518" s="3" t="s">
        <v>3</v>
      </c>
    </row>
    <row r="519" spans="1:13" x14ac:dyDescent="0.3">
      <c r="A519" s="3" t="s">
        <v>255</v>
      </c>
      <c r="B519" s="3">
        <v>314467</v>
      </c>
      <c r="C519" s="3" t="s">
        <v>255</v>
      </c>
      <c r="D519" s="3" t="s">
        <v>15</v>
      </c>
      <c r="E519" s="3" t="s">
        <v>255</v>
      </c>
      <c r="F519" s="3" t="s">
        <v>595</v>
      </c>
      <c r="G519" s="3" t="s">
        <v>3</v>
      </c>
      <c r="H519" s="3" t="s">
        <v>3</v>
      </c>
      <c r="I519" s="3" t="s">
        <v>3</v>
      </c>
      <c r="J519" s="3" t="s">
        <v>3</v>
      </c>
      <c r="K519" s="3" t="s">
        <v>3</v>
      </c>
      <c r="L519" s="3" t="s">
        <v>3</v>
      </c>
      <c r="M519" s="3" t="s">
        <v>3</v>
      </c>
    </row>
    <row r="520" spans="1:13" x14ac:dyDescent="0.3">
      <c r="A520" s="3" t="s">
        <v>116</v>
      </c>
      <c r="B520" s="3">
        <v>314470</v>
      </c>
      <c r="C520" s="3" t="s">
        <v>116</v>
      </c>
      <c r="D520" s="3" t="s">
        <v>4</v>
      </c>
      <c r="E520" s="3" t="s">
        <v>116</v>
      </c>
      <c r="F520" s="3" t="s">
        <v>596</v>
      </c>
      <c r="G520" s="3" t="s">
        <v>3</v>
      </c>
      <c r="H520" s="3" t="s">
        <v>3</v>
      </c>
      <c r="I520" s="3" t="s">
        <v>3</v>
      </c>
      <c r="J520" s="3" t="s">
        <v>3</v>
      </c>
      <c r="K520" s="3" t="s">
        <v>3</v>
      </c>
      <c r="L520" s="3" t="s">
        <v>3</v>
      </c>
      <c r="M520" s="3" t="s">
        <v>3</v>
      </c>
    </row>
    <row r="521" spans="1:13" x14ac:dyDescent="0.3">
      <c r="A521" s="3" t="s">
        <v>120</v>
      </c>
      <c r="B521" s="3">
        <v>314480</v>
      </c>
      <c r="C521" s="3" t="s">
        <v>120</v>
      </c>
      <c r="D521" s="3" t="s">
        <v>4</v>
      </c>
      <c r="E521" s="3" t="s">
        <v>120</v>
      </c>
      <c r="F521" s="3" t="s">
        <v>597</v>
      </c>
      <c r="G521" s="3">
        <v>221</v>
      </c>
      <c r="H521" s="3">
        <v>256</v>
      </c>
      <c r="I521" s="3">
        <v>135</v>
      </c>
      <c r="J521" s="3">
        <v>105</v>
      </c>
      <c r="K521" s="3">
        <v>306</v>
      </c>
      <c r="L521" s="3">
        <v>296</v>
      </c>
      <c r="M521" s="3">
        <v>252</v>
      </c>
    </row>
    <row r="522" spans="1:13" x14ac:dyDescent="0.3">
      <c r="A522" s="3" t="s">
        <v>189</v>
      </c>
      <c r="B522" s="3">
        <v>314490</v>
      </c>
      <c r="C522" s="3" t="s">
        <v>189</v>
      </c>
      <c r="D522" s="3" t="s">
        <v>24</v>
      </c>
      <c r="E522" s="3" t="s">
        <v>189</v>
      </c>
      <c r="F522" s="3" t="s">
        <v>598</v>
      </c>
      <c r="G522" s="3" t="s">
        <v>3</v>
      </c>
      <c r="H522" s="3" t="s">
        <v>3</v>
      </c>
      <c r="I522" s="3" t="s">
        <v>3</v>
      </c>
      <c r="J522" s="3" t="s">
        <v>3</v>
      </c>
      <c r="K522" s="3" t="s">
        <v>3</v>
      </c>
      <c r="L522" s="3" t="s">
        <v>3</v>
      </c>
      <c r="M522" s="3" t="s">
        <v>3</v>
      </c>
    </row>
    <row r="523" spans="1:13" x14ac:dyDescent="0.3">
      <c r="A523" s="3" t="s">
        <v>76</v>
      </c>
      <c r="B523" s="3">
        <v>314500</v>
      </c>
      <c r="C523" s="3" t="s">
        <v>76</v>
      </c>
      <c r="D523" s="3" t="s">
        <v>0</v>
      </c>
      <c r="E523" s="3" t="s">
        <v>76</v>
      </c>
      <c r="F523" s="3" t="s">
        <v>599</v>
      </c>
      <c r="G523" s="3">
        <v>2</v>
      </c>
      <c r="H523" s="3">
        <v>10</v>
      </c>
      <c r="I523" s="3">
        <v>14</v>
      </c>
      <c r="J523" s="3">
        <v>4</v>
      </c>
      <c r="K523" s="3">
        <v>4</v>
      </c>
      <c r="L523" s="3">
        <v>12</v>
      </c>
      <c r="M523" s="3">
        <v>11</v>
      </c>
    </row>
    <row r="524" spans="1:13" x14ac:dyDescent="0.3">
      <c r="A524" s="3" t="s">
        <v>251</v>
      </c>
      <c r="B524" s="3">
        <v>314505</v>
      </c>
      <c r="C524" s="3" t="s">
        <v>251</v>
      </c>
      <c r="D524" s="3" t="s">
        <v>126</v>
      </c>
      <c r="E524" s="3" t="s">
        <v>251</v>
      </c>
      <c r="F524" s="3" t="s">
        <v>600</v>
      </c>
      <c r="G524" s="3" t="s">
        <v>3</v>
      </c>
      <c r="H524" s="3" t="s">
        <v>3</v>
      </c>
      <c r="I524" s="3" t="s">
        <v>3</v>
      </c>
      <c r="J524" s="3" t="s">
        <v>3</v>
      </c>
      <c r="K524" s="3" t="s">
        <v>3</v>
      </c>
      <c r="L524" s="3" t="s">
        <v>3</v>
      </c>
      <c r="M524" s="3" t="s">
        <v>3</v>
      </c>
    </row>
    <row r="525" spans="1:13" x14ac:dyDescent="0.3">
      <c r="A525" s="3" t="s">
        <v>49</v>
      </c>
      <c r="B525" s="3">
        <v>314510</v>
      </c>
      <c r="C525" s="3" t="s">
        <v>49</v>
      </c>
      <c r="D525" s="3" t="s">
        <v>31</v>
      </c>
      <c r="E525" s="3" t="s">
        <v>49</v>
      </c>
      <c r="F525" s="3" t="s">
        <v>601</v>
      </c>
      <c r="G525" s="3">
        <v>17</v>
      </c>
      <c r="H525" s="3" t="s">
        <v>3</v>
      </c>
      <c r="I525" s="3">
        <v>4</v>
      </c>
      <c r="J525" s="3">
        <v>4</v>
      </c>
      <c r="K525" s="3">
        <v>3</v>
      </c>
      <c r="L525" s="3">
        <v>4</v>
      </c>
      <c r="M525" s="3" t="s">
        <v>3</v>
      </c>
    </row>
    <row r="526" spans="1:13" x14ac:dyDescent="0.3">
      <c r="A526" s="3" t="s">
        <v>278</v>
      </c>
      <c r="B526" s="3">
        <v>314520</v>
      </c>
      <c r="C526" s="3" t="s">
        <v>278</v>
      </c>
      <c r="D526" s="3" t="s">
        <v>21</v>
      </c>
      <c r="E526" s="3" t="s">
        <v>278</v>
      </c>
      <c r="F526" s="3" t="s">
        <v>602</v>
      </c>
      <c r="G526" s="3">
        <v>65</v>
      </c>
      <c r="H526" s="3">
        <v>69</v>
      </c>
      <c r="I526" s="3">
        <v>47</v>
      </c>
      <c r="J526" s="3">
        <v>27</v>
      </c>
      <c r="K526" s="3">
        <v>124</v>
      </c>
      <c r="L526" s="3">
        <v>171</v>
      </c>
      <c r="M526" s="3">
        <v>201</v>
      </c>
    </row>
    <row r="527" spans="1:13" x14ac:dyDescent="0.3">
      <c r="A527" s="3" t="s">
        <v>64</v>
      </c>
      <c r="B527" s="3">
        <v>314530</v>
      </c>
      <c r="C527" s="3" t="s">
        <v>64</v>
      </c>
      <c r="D527" s="3" t="s">
        <v>24</v>
      </c>
      <c r="E527" s="3" t="s">
        <v>64</v>
      </c>
      <c r="F527" s="3" t="s">
        <v>603</v>
      </c>
      <c r="G527" s="3">
        <v>10</v>
      </c>
      <c r="H527" s="3">
        <v>7</v>
      </c>
      <c r="I527" s="3">
        <v>2</v>
      </c>
      <c r="J527" s="3">
        <v>4</v>
      </c>
      <c r="K527" s="3" t="s">
        <v>3</v>
      </c>
      <c r="L527" s="3" t="s">
        <v>3</v>
      </c>
      <c r="M527" s="3" t="s">
        <v>3</v>
      </c>
    </row>
    <row r="528" spans="1:13" x14ac:dyDescent="0.3">
      <c r="A528" s="3" t="s">
        <v>64</v>
      </c>
      <c r="B528" s="3">
        <v>314535</v>
      </c>
      <c r="C528" s="3" t="s">
        <v>64</v>
      </c>
      <c r="D528" s="3" t="s">
        <v>24</v>
      </c>
      <c r="E528" s="3" t="s">
        <v>64</v>
      </c>
      <c r="F528" s="3" t="s">
        <v>604</v>
      </c>
      <c r="G528" s="3" t="s">
        <v>3</v>
      </c>
      <c r="H528" s="3" t="s">
        <v>3</v>
      </c>
      <c r="I528" s="3" t="s">
        <v>3</v>
      </c>
      <c r="J528" s="3" t="s">
        <v>3</v>
      </c>
      <c r="K528" s="3" t="s">
        <v>3</v>
      </c>
      <c r="L528" s="3" t="s">
        <v>3</v>
      </c>
      <c r="M528" s="3" t="s">
        <v>3</v>
      </c>
    </row>
    <row r="529" spans="1:13" x14ac:dyDescent="0.3">
      <c r="A529" s="3" t="s">
        <v>390</v>
      </c>
      <c r="B529" s="3">
        <v>314537</v>
      </c>
      <c r="C529" s="3" t="s">
        <v>390</v>
      </c>
      <c r="D529" s="3" t="s">
        <v>126</v>
      </c>
      <c r="E529" s="3" t="s">
        <v>390</v>
      </c>
      <c r="F529" s="3" t="s">
        <v>605</v>
      </c>
      <c r="G529" s="3" t="s">
        <v>3</v>
      </c>
      <c r="H529" s="3" t="s">
        <v>3</v>
      </c>
      <c r="I529" s="3" t="s">
        <v>3</v>
      </c>
      <c r="J529" s="3" t="s">
        <v>3</v>
      </c>
      <c r="K529" s="3" t="s">
        <v>3</v>
      </c>
      <c r="L529" s="3" t="s">
        <v>3</v>
      </c>
      <c r="M529" s="3" t="s">
        <v>3</v>
      </c>
    </row>
    <row r="530" spans="1:13" x14ac:dyDescent="0.3">
      <c r="A530" s="3" t="s">
        <v>62</v>
      </c>
      <c r="B530" s="3">
        <v>314540</v>
      </c>
      <c r="C530" s="3" t="s">
        <v>62</v>
      </c>
      <c r="D530" s="3" t="s">
        <v>37</v>
      </c>
      <c r="E530" s="3" t="s">
        <v>62</v>
      </c>
      <c r="F530" s="3" t="s">
        <v>606</v>
      </c>
      <c r="G530" s="3" t="s">
        <v>3</v>
      </c>
      <c r="H530" s="3" t="s">
        <v>3</v>
      </c>
      <c r="I530" s="3" t="s">
        <v>3</v>
      </c>
      <c r="J530" s="3" t="s">
        <v>3</v>
      </c>
      <c r="K530" s="3" t="s">
        <v>3</v>
      </c>
      <c r="L530" s="3" t="s">
        <v>3</v>
      </c>
      <c r="M530" s="3" t="s">
        <v>3</v>
      </c>
    </row>
    <row r="531" spans="1:13" x14ac:dyDescent="0.3">
      <c r="A531" s="3" t="s">
        <v>137</v>
      </c>
      <c r="B531" s="3">
        <v>314545</v>
      </c>
      <c r="C531" s="3" t="s">
        <v>137</v>
      </c>
      <c r="D531" s="3" t="s">
        <v>126</v>
      </c>
      <c r="E531" s="3" t="s">
        <v>137</v>
      </c>
      <c r="F531" s="3" t="s">
        <v>607</v>
      </c>
      <c r="G531" s="3" t="s">
        <v>3</v>
      </c>
      <c r="H531" s="3" t="s">
        <v>3</v>
      </c>
      <c r="I531" s="3" t="s">
        <v>3</v>
      </c>
      <c r="J531" s="3" t="s">
        <v>3</v>
      </c>
      <c r="K531" s="3" t="s">
        <v>3</v>
      </c>
      <c r="L531" s="3" t="s">
        <v>3</v>
      </c>
      <c r="M531" s="3" t="s">
        <v>3</v>
      </c>
    </row>
    <row r="532" spans="1:13" x14ac:dyDescent="0.3">
      <c r="A532" s="3" t="s">
        <v>32</v>
      </c>
      <c r="B532" s="3">
        <v>314550</v>
      </c>
      <c r="C532" s="3" t="s">
        <v>32</v>
      </c>
      <c r="D532" s="3" t="s">
        <v>31</v>
      </c>
      <c r="E532" s="3" t="s">
        <v>32</v>
      </c>
      <c r="F532" s="3" t="s">
        <v>608</v>
      </c>
      <c r="G532" s="3" t="s">
        <v>3</v>
      </c>
      <c r="H532" s="3" t="s">
        <v>3</v>
      </c>
      <c r="I532" s="3" t="s">
        <v>3</v>
      </c>
      <c r="J532" s="3" t="s">
        <v>3</v>
      </c>
      <c r="K532" s="3" t="s">
        <v>3</v>
      </c>
      <c r="L532" s="3" t="s">
        <v>3</v>
      </c>
      <c r="M532" s="3" t="s">
        <v>3</v>
      </c>
    </row>
    <row r="533" spans="1:13" x14ac:dyDescent="0.3">
      <c r="A533" s="3" t="s">
        <v>230</v>
      </c>
      <c r="B533" s="3">
        <v>314560</v>
      </c>
      <c r="C533" s="3" t="s">
        <v>230</v>
      </c>
      <c r="D533" s="3" t="s">
        <v>21</v>
      </c>
      <c r="E533" s="3" t="s">
        <v>230</v>
      </c>
      <c r="F533" s="3" t="s">
        <v>609</v>
      </c>
      <c r="G533" s="3">
        <v>74</v>
      </c>
      <c r="H533" s="3">
        <v>97</v>
      </c>
      <c r="I533" s="3">
        <v>51</v>
      </c>
      <c r="J533" s="3">
        <v>48</v>
      </c>
      <c r="K533" s="3">
        <v>95</v>
      </c>
      <c r="L533" s="3">
        <v>82</v>
      </c>
      <c r="M533" s="3">
        <v>92</v>
      </c>
    </row>
    <row r="534" spans="1:13" x14ac:dyDescent="0.3">
      <c r="A534" s="3" t="s">
        <v>72</v>
      </c>
      <c r="B534" s="3">
        <v>314570</v>
      </c>
      <c r="C534" s="3" t="s">
        <v>72</v>
      </c>
      <c r="D534" s="3" t="s">
        <v>37</v>
      </c>
      <c r="E534" s="3" t="s">
        <v>72</v>
      </c>
      <c r="F534" s="3" t="s">
        <v>610</v>
      </c>
      <c r="G534" s="3" t="s">
        <v>3</v>
      </c>
      <c r="H534" s="3" t="s">
        <v>3</v>
      </c>
      <c r="I534" s="3" t="s">
        <v>3</v>
      </c>
      <c r="J534" s="3" t="s">
        <v>3</v>
      </c>
      <c r="K534" s="3" t="s">
        <v>3</v>
      </c>
      <c r="L534" s="3" t="s">
        <v>3</v>
      </c>
      <c r="M534" s="3" t="s">
        <v>3</v>
      </c>
    </row>
    <row r="535" spans="1:13" x14ac:dyDescent="0.3">
      <c r="A535" s="3" t="s">
        <v>278</v>
      </c>
      <c r="B535" s="3">
        <v>314580</v>
      </c>
      <c r="C535" s="3" t="s">
        <v>278</v>
      </c>
      <c r="D535" s="3" t="s">
        <v>21</v>
      </c>
      <c r="E535" s="3" t="s">
        <v>278</v>
      </c>
      <c r="F535" s="3" t="s">
        <v>611</v>
      </c>
      <c r="G535" s="3" t="s">
        <v>3</v>
      </c>
      <c r="H535" s="3" t="s">
        <v>3</v>
      </c>
      <c r="I535" s="3" t="s">
        <v>3</v>
      </c>
      <c r="J535" s="3" t="s">
        <v>3</v>
      </c>
      <c r="K535" s="3" t="s">
        <v>3</v>
      </c>
      <c r="L535" s="3" t="s">
        <v>3</v>
      </c>
      <c r="M535" s="3" t="s">
        <v>3</v>
      </c>
    </row>
    <row r="536" spans="1:13" x14ac:dyDescent="0.3">
      <c r="A536" s="3" t="s">
        <v>10</v>
      </c>
      <c r="B536" s="3">
        <v>314585</v>
      </c>
      <c r="C536" s="3" t="s">
        <v>10</v>
      </c>
      <c r="D536" s="3" t="s">
        <v>7</v>
      </c>
      <c r="E536" s="3" t="s">
        <v>10</v>
      </c>
      <c r="F536" s="3" t="s">
        <v>612</v>
      </c>
      <c r="G536" s="3" t="s">
        <v>3</v>
      </c>
      <c r="H536" s="3" t="s">
        <v>3</v>
      </c>
      <c r="I536" s="3" t="s">
        <v>3</v>
      </c>
      <c r="J536" s="3" t="s">
        <v>3</v>
      </c>
      <c r="K536" s="3" t="s">
        <v>3</v>
      </c>
      <c r="L536" s="3" t="s">
        <v>3</v>
      </c>
      <c r="M536" s="3" t="s">
        <v>3</v>
      </c>
    </row>
    <row r="537" spans="1:13" x14ac:dyDescent="0.3">
      <c r="A537" s="3" t="s">
        <v>180</v>
      </c>
      <c r="B537" s="3">
        <v>314587</v>
      </c>
      <c r="C537" s="3" t="s">
        <v>180</v>
      </c>
      <c r="D537" s="3" t="s">
        <v>37</v>
      </c>
      <c r="E537" s="3" t="s">
        <v>180</v>
      </c>
      <c r="F537" s="3" t="s">
        <v>613</v>
      </c>
      <c r="G537" s="3" t="s">
        <v>3</v>
      </c>
      <c r="H537" s="3" t="s">
        <v>3</v>
      </c>
      <c r="I537" s="3" t="s">
        <v>3</v>
      </c>
      <c r="J537" s="3" t="s">
        <v>3</v>
      </c>
      <c r="K537" s="3" t="s">
        <v>3</v>
      </c>
      <c r="L537" s="3" t="s">
        <v>3</v>
      </c>
      <c r="M537" s="3" t="s">
        <v>3</v>
      </c>
    </row>
    <row r="538" spans="1:13" x14ac:dyDescent="0.3">
      <c r="A538" s="3" t="s">
        <v>286</v>
      </c>
      <c r="B538" s="3">
        <v>314590</v>
      </c>
      <c r="C538" s="3" t="s">
        <v>286</v>
      </c>
      <c r="D538" s="3" t="s">
        <v>42</v>
      </c>
      <c r="E538" s="3" t="s">
        <v>286</v>
      </c>
      <c r="F538" s="3" t="s">
        <v>614</v>
      </c>
      <c r="G538" s="3">
        <v>39</v>
      </c>
      <c r="H538" s="3">
        <v>70</v>
      </c>
      <c r="I538" s="3">
        <v>31</v>
      </c>
      <c r="J538" s="3">
        <v>57</v>
      </c>
      <c r="K538" s="3">
        <v>114</v>
      </c>
      <c r="L538" s="3">
        <v>111</v>
      </c>
      <c r="M538" s="3">
        <v>72</v>
      </c>
    </row>
    <row r="539" spans="1:13" x14ac:dyDescent="0.3">
      <c r="A539" s="3" t="s">
        <v>145</v>
      </c>
      <c r="B539" s="3">
        <v>314600</v>
      </c>
      <c r="C539" s="3" t="s">
        <v>145</v>
      </c>
      <c r="D539" s="3" t="s">
        <v>31</v>
      </c>
      <c r="E539" s="3" t="s">
        <v>145</v>
      </c>
      <c r="F539" s="3" t="s">
        <v>615</v>
      </c>
      <c r="G539" s="3">
        <v>85</v>
      </c>
      <c r="H539" s="3">
        <v>65</v>
      </c>
      <c r="I539" s="3">
        <v>23</v>
      </c>
      <c r="J539" s="3">
        <v>17</v>
      </c>
      <c r="K539" s="3">
        <v>39</v>
      </c>
      <c r="L539" s="3">
        <v>64</v>
      </c>
      <c r="M539" s="3">
        <v>60</v>
      </c>
    </row>
    <row r="540" spans="1:13" x14ac:dyDescent="0.3">
      <c r="A540" s="3" t="s">
        <v>447</v>
      </c>
      <c r="B540" s="3">
        <v>314610</v>
      </c>
      <c r="C540" s="3" t="s">
        <v>447</v>
      </c>
      <c r="D540" s="3" t="s">
        <v>4</v>
      </c>
      <c r="E540" s="3" t="s">
        <v>447</v>
      </c>
      <c r="F540" s="3" t="s">
        <v>447</v>
      </c>
      <c r="G540" s="3">
        <v>63</v>
      </c>
      <c r="H540" s="3">
        <v>84</v>
      </c>
      <c r="I540" s="3">
        <v>74</v>
      </c>
      <c r="J540" s="3">
        <v>53</v>
      </c>
      <c r="K540" s="3">
        <v>115</v>
      </c>
      <c r="L540" s="3">
        <v>117</v>
      </c>
      <c r="M540" s="3">
        <v>204</v>
      </c>
    </row>
    <row r="541" spans="1:13" x14ac:dyDescent="0.3">
      <c r="A541" s="3" t="s">
        <v>64</v>
      </c>
      <c r="B541" s="3">
        <v>314620</v>
      </c>
      <c r="C541" s="3" t="s">
        <v>64</v>
      </c>
      <c r="D541" s="3" t="s">
        <v>24</v>
      </c>
      <c r="E541" s="3" t="s">
        <v>64</v>
      </c>
      <c r="F541" s="3" t="s">
        <v>616</v>
      </c>
      <c r="G541" s="3" t="s">
        <v>3</v>
      </c>
      <c r="H541" s="3" t="s">
        <v>3</v>
      </c>
      <c r="I541" s="3" t="s">
        <v>3</v>
      </c>
      <c r="J541" s="3" t="s">
        <v>3</v>
      </c>
      <c r="K541" s="3" t="s">
        <v>3</v>
      </c>
      <c r="L541" s="3" t="s">
        <v>3</v>
      </c>
      <c r="M541" s="3" t="s">
        <v>3</v>
      </c>
    </row>
    <row r="542" spans="1:13" x14ac:dyDescent="0.3">
      <c r="A542" s="3" t="s">
        <v>390</v>
      </c>
      <c r="B542" s="3">
        <v>314625</v>
      </c>
      <c r="C542" s="3" t="s">
        <v>390</v>
      </c>
      <c r="D542" s="3" t="s">
        <v>126</v>
      </c>
      <c r="E542" s="3" t="s">
        <v>390</v>
      </c>
      <c r="F542" s="3" t="s">
        <v>617</v>
      </c>
      <c r="G542" s="3" t="s">
        <v>3</v>
      </c>
      <c r="H542" s="3" t="s">
        <v>3</v>
      </c>
      <c r="I542" s="3" t="s">
        <v>3</v>
      </c>
      <c r="J542" s="3" t="s">
        <v>3</v>
      </c>
      <c r="K542" s="3" t="s">
        <v>3</v>
      </c>
      <c r="L542" s="3" t="s">
        <v>3</v>
      </c>
      <c r="M542" s="3" t="s">
        <v>3</v>
      </c>
    </row>
    <row r="543" spans="1:13" x14ac:dyDescent="0.3">
      <c r="A543" s="3" t="s">
        <v>217</v>
      </c>
      <c r="B543" s="3">
        <v>314630</v>
      </c>
      <c r="C543" s="3" t="s">
        <v>217</v>
      </c>
      <c r="D543" s="3" t="s">
        <v>24</v>
      </c>
      <c r="E543" s="3" t="s">
        <v>217</v>
      </c>
      <c r="F543" s="3" t="s">
        <v>618</v>
      </c>
      <c r="G543" s="3">
        <v>46</v>
      </c>
      <c r="H543" s="3">
        <v>48</v>
      </c>
      <c r="I543" s="3">
        <v>19</v>
      </c>
      <c r="J543" s="3">
        <v>17</v>
      </c>
      <c r="K543" s="3">
        <v>55</v>
      </c>
      <c r="L543" s="3">
        <v>46</v>
      </c>
      <c r="M543" s="3">
        <v>69</v>
      </c>
    </row>
    <row r="544" spans="1:13" x14ac:dyDescent="0.3">
      <c r="A544" s="3" t="s">
        <v>5</v>
      </c>
      <c r="B544" s="3">
        <v>314640</v>
      </c>
      <c r="C544" s="3" t="s">
        <v>5</v>
      </c>
      <c r="D544" s="3" t="s">
        <v>4</v>
      </c>
      <c r="E544" s="3" t="s">
        <v>5</v>
      </c>
      <c r="F544" s="3" t="s">
        <v>619</v>
      </c>
      <c r="G544" s="3" t="s">
        <v>3</v>
      </c>
      <c r="H544" s="3" t="s">
        <v>3</v>
      </c>
      <c r="I544" s="3" t="s">
        <v>3</v>
      </c>
      <c r="J544" s="3" t="s">
        <v>3</v>
      </c>
      <c r="K544" s="3" t="s">
        <v>3</v>
      </c>
      <c r="L544" s="3" t="s">
        <v>3</v>
      </c>
      <c r="M544" s="3" t="s">
        <v>3</v>
      </c>
    </row>
    <row r="545" spans="1:13" x14ac:dyDescent="0.3">
      <c r="A545" s="3" t="s">
        <v>106</v>
      </c>
      <c r="B545" s="3">
        <v>314650</v>
      </c>
      <c r="C545" s="3" t="s">
        <v>106</v>
      </c>
      <c r="D545" s="3" t="s">
        <v>21</v>
      </c>
      <c r="E545" s="3" t="s">
        <v>106</v>
      </c>
      <c r="F545" s="3" t="s">
        <v>620</v>
      </c>
      <c r="G545" s="3">
        <v>26</v>
      </c>
      <c r="H545" s="3">
        <v>22</v>
      </c>
      <c r="I545" s="3">
        <v>29</v>
      </c>
      <c r="J545" s="3">
        <v>29</v>
      </c>
      <c r="K545" s="3">
        <v>23</v>
      </c>
      <c r="L545" s="3">
        <v>19</v>
      </c>
      <c r="M545" s="3">
        <v>7</v>
      </c>
    </row>
    <row r="546" spans="1:13" x14ac:dyDescent="0.3">
      <c r="A546" s="3" t="s">
        <v>251</v>
      </c>
      <c r="B546" s="3">
        <v>314655</v>
      </c>
      <c r="C546" s="3" t="s">
        <v>251</v>
      </c>
      <c r="D546" s="3" t="s">
        <v>126</v>
      </c>
      <c r="E546" s="3" t="s">
        <v>251</v>
      </c>
      <c r="F546" s="3" t="s">
        <v>621</v>
      </c>
      <c r="G546" s="3" t="s">
        <v>3</v>
      </c>
      <c r="H546" s="3" t="s">
        <v>3</v>
      </c>
      <c r="I546" s="3" t="s">
        <v>3</v>
      </c>
      <c r="J546" s="3" t="s">
        <v>3</v>
      </c>
      <c r="K546" s="3" t="s">
        <v>3</v>
      </c>
      <c r="L546" s="3" t="s">
        <v>3</v>
      </c>
      <c r="M546" s="3" t="s">
        <v>3</v>
      </c>
    </row>
    <row r="547" spans="1:13" x14ac:dyDescent="0.3">
      <c r="A547" s="3" t="s">
        <v>43</v>
      </c>
      <c r="B547" s="3">
        <v>314660</v>
      </c>
      <c r="C547" s="3" t="s">
        <v>43</v>
      </c>
      <c r="D547" s="3" t="s">
        <v>42</v>
      </c>
      <c r="E547" s="3" t="s">
        <v>43</v>
      </c>
      <c r="F547" s="3" t="s">
        <v>622</v>
      </c>
      <c r="G547" s="3" t="s">
        <v>3</v>
      </c>
      <c r="H547" s="3" t="s">
        <v>3</v>
      </c>
      <c r="I547" s="3" t="s">
        <v>3</v>
      </c>
      <c r="J547" s="3" t="s">
        <v>3</v>
      </c>
      <c r="K547" s="3" t="s">
        <v>3</v>
      </c>
      <c r="L547" s="3" t="s">
        <v>3</v>
      </c>
      <c r="M547" s="3" t="s">
        <v>3</v>
      </c>
    </row>
    <row r="548" spans="1:13" x14ac:dyDescent="0.3">
      <c r="A548" s="3" t="s">
        <v>94</v>
      </c>
      <c r="B548" s="3">
        <v>314670</v>
      </c>
      <c r="C548" s="3" t="s">
        <v>94</v>
      </c>
      <c r="D548" s="3" t="s">
        <v>37</v>
      </c>
      <c r="E548" s="3" t="s">
        <v>94</v>
      </c>
      <c r="F548" s="3" t="s">
        <v>623</v>
      </c>
      <c r="G548" s="3" t="s">
        <v>3</v>
      </c>
      <c r="H548" s="3" t="s">
        <v>3</v>
      </c>
      <c r="I548" s="3" t="s">
        <v>3</v>
      </c>
      <c r="J548" s="3" t="s">
        <v>3</v>
      </c>
      <c r="K548" s="3" t="s">
        <v>3</v>
      </c>
      <c r="L548" s="3" t="s">
        <v>3</v>
      </c>
      <c r="M548" s="3" t="s">
        <v>3</v>
      </c>
    </row>
    <row r="549" spans="1:13" x14ac:dyDescent="0.3">
      <c r="A549" s="3" t="s">
        <v>45</v>
      </c>
      <c r="B549" s="3">
        <v>314675</v>
      </c>
      <c r="C549" s="3" t="s">
        <v>45</v>
      </c>
      <c r="D549" s="3" t="s">
        <v>24</v>
      </c>
      <c r="E549" s="3" t="s">
        <v>45</v>
      </c>
      <c r="F549" s="3" t="s">
        <v>624</v>
      </c>
      <c r="G549" s="3" t="s">
        <v>3</v>
      </c>
      <c r="H549" s="3" t="s">
        <v>3</v>
      </c>
      <c r="I549" s="3" t="s">
        <v>3</v>
      </c>
      <c r="J549" s="3" t="s">
        <v>3</v>
      </c>
      <c r="K549" s="3" t="s">
        <v>3</v>
      </c>
      <c r="L549" s="3" t="s">
        <v>3</v>
      </c>
      <c r="M549" s="3" t="s">
        <v>3</v>
      </c>
    </row>
    <row r="550" spans="1:13" x14ac:dyDescent="0.3">
      <c r="A550" s="3" t="s">
        <v>5</v>
      </c>
      <c r="B550" s="3">
        <v>314690</v>
      </c>
      <c r="C550" s="3" t="s">
        <v>5</v>
      </c>
      <c r="D550" s="3" t="s">
        <v>4</v>
      </c>
      <c r="E550" s="3" t="s">
        <v>5</v>
      </c>
      <c r="F550" s="3" t="s">
        <v>625</v>
      </c>
      <c r="G550" s="3" t="s">
        <v>3</v>
      </c>
      <c r="H550" s="3" t="s">
        <v>3</v>
      </c>
      <c r="I550" s="3" t="s">
        <v>3</v>
      </c>
      <c r="J550" s="3" t="s">
        <v>3</v>
      </c>
      <c r="K550" s="3" t="s">
        <v>3</v>
      </c>
      <c r="L550" s="3" t="s">
        <v>3</v>
      </c>
      <c r="M550" s="3" t="s">
        <v>3</v>
      </c>
    </row>
    <row r="551" spans="1:13" x14ac:dyDescent="0.3">
      <c r="A551" s="3" t="s">
        <v>98</v>
      </c>
      <c r="B551" s="3">
        <v>314700</v>
      </c>
      <c r="C551" s="3" t="s">
        <v>98</v>
      </c>
      <c r="D551" s="3" t="s">
        <v>82</v>
      </c>
      <c r="E551" s="3" t="s">
        <v>98</v>
      </c>
      <c r="F551" s="3" t="s">
        <v>626</v>
      </c>
      <c r="G551" s="3">
        <v>154</v>
      </c>
      <c r="H551" s="3">
        <v>142</v>
      </c>
      <c r="I551" s="3">
        <v>41</v>
      </c>
      <c r="J551" s="3">
        <v>37</v>
      </c>
      <c r="K551" s="3">
        <v>61</v>
      </c>
      <c r="L551" s="3">
        <v>101</v>
      </c>
      <c r="M551" s="3">
        <v>119</v>
      </c>
    </row>
    <row r="552" spans="1:13" x14ac:dyDescent="0.3">
      <c r="A552" s="3" t="s">
        <v>278</v>
      </c>
      <c r="B552" s="3">
        <v>314710</v>
      </c>
      <c r="C552" s="3" t="s">
        <v>278</v>
      </c>
      <c r="D552" s="3" t="s">
        <v>21</v>
      </c>
      <c r="E552" s="3" t="s">
        <v>278</v>
      </c>
      <c r="F552" s="3" t="s">
        <v>627</v>
      </c>
      <c r="G552" s="3">
        <v>175</v>
      </c>
      <c r="H552" s="3">
        <v>184</v>
      </c>
      <c r="I552" s="3">
        <v>82</v>
      </c>
      <c r="J552" s="3">
        <v>110</v>
      </c>
      <c r="K552" s="3">
        <v>203</v>
      </c>
      <c r="L552" s="3">
        <v>292</v>
      </c>
      <c r="M552" s="3">
        <v>300</v>
      </c>
    </row>
    <row r="553" spans="1:13" x14ac:dyDescent="0.3">
      <c r="A553" s="3" t="s">
        <v>40</v>
      </c>
      <c r="B553" s="3">
        <v>314720</v>
      </c>
      <c r="C553" s="3" t="s">
        <v>40</v>
      </c>
      <c r="D553" s="3" t="s">
        <v>31</v>
      </c>
      <c r="E553" s="3" t="s">
        <v>40</v>
      </c>
      <c r="F553" s="3" t="s">
        <v>628</v>
      </c>
      <c r="G553" s="3">
        <v>34</v>
      </c>
      <c r="H553" s="3">
        <v>35</v>
      </c>
      <c r="I553" s="3">
        <v>22</v>
      </c>
      <c r="J553" s="3">
        <v>14</v>
      </c>
      <c r="K553" s="3">
        <v>26</v>
      </c>
      <c r="L553" s="3">
        <v>32</v>
      </c>
      <c r="M553" s="3">
        <v>28</v>
      </c>
    </row>
    <row r="554" spans="1:13" x14ac:dyDescent="0.3">
      <c r="A554" s="3" t="s">
        <v>163</v>
      </c>
      <c r="B554" s="3">
        <v>314730</v>
      </c>
      <c r="C554" s="3" t="s">
        <v>163</v>
      </c>
      <c r="D554" s="3" t="s">
        <v>31</v>
      </c>
      <c r="E554" s="3" t="s">
        <v>163</v>
      </c>
      <c r="F554" s="3" t="s">
        <v>629</v>
      </c>
      <c r="G554" s="3" t="s">
        <v>3</v>
      </c>
      <c r="H554" s="3" t="s">
        <v>3</v>
      </c>
      <c r="I554" s="3" t="s">
        <v>3</v>
      </c>
      <c r="J554" s="3" t="s">
        <v>3</v>
      </c>
      <c r="K554" s="3" t="s">
        <v>3</v>
      </c>
      <c r="L554" s="3">
        <v>2</v>
      </c>
      <c r="M554" s="3" t="s">
        <v>3</v>
      </c>
    </row>
    <row r="555" spans="1:13" x14ac:dyDescent="0.3">
      <c r="A555" s="3" t="s">
        <v>5</v>
      </c>
      <c r="B555" s="3">
        <v>314740</v>
      </c>
      <c r="C555" s="3" t="s">
        <v>5</v>
      </c>
      <c r="D555" s="3" t="s">
        <v>4</v>
      </c>
      <c r="E555" s="3" t="s">
        <v>5</v>
      </c>
      <c r="F555" s="3" t="s">
        <v>630</v>
      </c>
      <c r="G555" s="3" t="s">
        <v>3</v>
      </c>
      <c r="H555" s="3" t="s">
        <v>3</v>
      </c>
      <c r="I555" s="3" t="s">
        <v>3</v>
      </c>
      <c r="J555" s="3" t="s">
        <v>3</v>
      </c>
      <c r="K555" s="3" t="s">
        <v>3</v>
      </c>
      <c r="L555" s="3" t="s">
        <v>3</v>
      </c>
      <c r="M555" s="3" t="s">
        <v>3</v>
      </c>
    </row>
    <row r="556" spans="1:13" x14ac:dyDescent="0.3">
      <c r="A556" s="3" t="s">
        <v>110</v>
      </c>
      <c r="B556" s="3">
        <v>314750</v>
      </c>
      <c r="C556" s="3" t="s">
        <v>110</v>
      </c>
      <c r="D556" s="3" t="s">
        <v>4</v>
      </c>
      <c r="E556" s="3" t="s">
        <v>110</v>
      </c>
      <c r="F556" s="3" t="s">
        <v>631</v>
      </c>
      <c r="G556" s="3" t="s">
        <v>3</v>
      </c>
      <c r="H556" s="3" t="s">
        <v>3</v>
      </c>
      <c r="I556" s="3" t="s">
        <v>3</v>
      </c>
      <c r="J556" s="3" t="s">
        <v>3</v>
      </c>
      <c r="K556" s="3" t="s">
        <v>3</v>
      </c>
      <c r="L556" s="3" t="s">
        <v>3</v>
      </c>
      <c r="M556" s="3" t="s">
        <v>3</v>
      </c>
    </row>
    <row r="557" spans="1:13" x14ac:dyDescent="0.3">
      <c r="A557" s="3" t="s">
        <v>32</v>
      </c>
      <c r="B557" s="3">
        <v>314760</v>
      </c>
      <c r="C557" s="3" t="s">
        <v>32</v>
      </c>
      <c r="D557" s="3" t="s">
        <v>31</v>
      </c>
      <c r="E557" s="3" t="s">
        <v>32</v>
      </c>
      <c r="F557" s="3" t="s">
        <v>632</v>
      </c>
      <c r="G557" s="3">
        <v>27</v>
      </c>
      <c r="H557" s="3">
        <v>17</v>
      </c>
      <c r="I557" s="3">
        <v>12</v>
      </c>
      <c r="J557" s="3">
        <v>12</v>
      </c>
      <c r="K557" s="3">
        <v>22</v>
      </c>
      <c r="L557" s="3">
        <v>28</v>
      </c>
      <c r="M557" s="3">
        <v>32</v>
      </c>
    </row>
    <row r="558" spans="1:13" x14ac:dyDescent="0.3">
      <c r="A558" s="3" t="s">
        <v>230</v>
      </c>
      <c r="B558" s="3">
        <v>314770</v>
      </c>
      <c r="C558" s="3" t="s">
        <v>230</v>
      </c>
      <c r="D558" s="3" t="s">
        <v>21</v>
      </c>
      <c r="E558" s="3" t="s">
        <v>230</v>
      </c>
      <c r="F558" s="3" t="s">
        <v>633</v>
      </c>
      <c r="G558" s="3" t="s">
        <v>3</v>
      </c>
      <c r="H558" s="3" t="s">
        <v>3</v>
      </c>
      <c r="I558" s="3" t="s">
        <v>3</v>
      </c>
      <c r="J558" s="3" t="s">
        <v>3</v>
      </c>
      <c r="K558" s="3" t="s">
        <v>3</v>
      </c>
      <c r="L558" s="3" t="s">
        <v>3</v>
      </c>
      <c r="M558" s="3" t="s">
        <v>3</v>
      </c>
    </row>
    <row r="559" spans="1:13" x14ac:dyDescent="0.3">
      <c r="A559" s="3" t="s">
        <v>62</v>
      </c>
      <c r="B559" s="3">
        <v>314780</v>
      </c>
      <c r="C559" s="3" t="s">
        <v>62</v>
      </c>
      <c r="D559" s="3" t="s">
        <v>37</v>
      </c>
      <c r="E559" s="3" t="s">
        <v>62</v>
      </c>
      <c r="F559" s="3" t="s">
        <v>634</v>
      </c>
      <c r="G559" s="3" t="s">
        <v>3</v>
      </c>
      <c r="H559" s="3" t="s">
        <v>3</v>
      </c>
      <c r="I559" s="3" t="s">
        <v>3</v>
      </c>
      <c r="J559" s="3" t="s">
        <v>3</v>
      </c>
      <c r="K559" s="3" t="s">
        <v>3</v>
      </c>
      <c r="L559" s="3" t="s">
        <v>3</v>
      </c>
      <c r="M559" s="3" t="s">
        <v>3</v>
      </c>
    </row>
    <row r="560" spans="1:13" x14ac:dyDescent="0.3">
      <c r="A560" s="3" t="s">
        <v>49</v>
      </c>
      <c r="B560" s="3">
        <v>314790</v>
      </c>
      <c r="C560" s="3" t="s">
        <v>49</v>
      </c>
      <c r="D560" s="3" t="s">
        <v>31</v>
      </c>
      <c r="E560" s="3" t="s">
        <v>49</v>
      </c>
      <c r="F560" s="3" t="s">
        <v>49</v>
      </c>
      <c r="G560" s="3">
        <v>26</v>
      </c>
      <c r="H560" s="3">
        <v>68</v>
      </c>
      <c r="I560" s="3">
        <v>70</v>
      </c>
      <c r="J560" s="3">
        <v>81</v>
      </c>
      <c r="K560" s="3">
        <v>120</v>
      </c>
      <c r="L560" s="3">
        <v>360</v>
      </c>
      <c r="M560" s="3">
        <v>258</v>
      </c>
    </row>
    <row r="561" spans="1:13" x14ac:dyDescent="0.3">
      <c r="A561" s="3" t="s">
        <v>158</v>
      </c>
      <c r="B561" s="3">
        <v>314795</v>
      </c>
      <c r="C561" s="3" t="s">
        <v>158</v>
      </c>
      <c r="D561" s="3" t="s">
        <v>126</v>
      </c>
      <c r="E561" s="3" t="s">
        <v>158</v>
      </c>
      <c r="F561" s="3" t="s">
        <v>635</v>
      </c>
      <c r="G561" s="3" t="s">
        <v>3</v>
      </c>
      <c r="H561" s="3" t="s">
        <v>3</v>
      </c>
      <c r="I561" s="3" t="s">
        <v>3</v>
      </c>
      <c r="J561" s="3" t="s">
        <v>3</v>
      </c>
      <c r="K561" s="3" t="s">
        <v>3</v>
      </c>
      <c r="L561" s="3" t="s">
        <v>3</v>
      </c>
      <c r="M561" s="3" t="s">
        <v>3</v>
      </c>
    </row>
    <row r="562" spans="1:13" x14ac:dyDescent="0.3">
      <c r="A562" s="3" t="s">
        <v>316</v>
      </c>
      <c r="B562" s="3">
        <v>314800</v>
      </c>
      <c r="C562" s="3" t="s">
        <v>316</v>
      </c>
      <c r="D562" s="3" t="s">
        <v>82</v>
      </c>
      <c r="E562" s="3" t="s">
        <v>316</v>
      </c>
      <c r="F562" s="3" t="s">
        <v>316</v>
      </c>
      <c r="G562" s="3">
        <v>217</v>
      </c>
      <c r="H562" s="3">
        <v>188</v>
      </c>
      <c r="I562" s="3">
        <v>71</v>
      </c>
      <c r="J562" s="3">
        <v>55</v>
      </c>
      <c r="K562" s="3">
        <v>253</v>
      </c>
      <c r="L562" s="3">
        <v>346</v>
      </c>
      <c r="M562" s="3">
        <v>328</v>
      </c>
    </row>
    <row r="563" spans="1:13" x14ac:dyDescent="0.3">
      <c r="A563" s="3" t="s">
        <v>1</v>
      </c>
      <c r="B563" s="3">
        <v>314810</v>
      </c>
      <c r="C563" s="3" t="s">
        <v>1</v>
      </c>
      <c r="D563" s="3" t="s">
        <v>0</v>
      </c>
      <c r="E563" s="3" t="s">
        <v>1</v>
      </c>
      <c r="F563" s="3" t="s">
        <v>636</v>
      </c>
      <c r="G563" s="3">
        <v>167</v>
      </c>
      <c r="H563" s="3">
        <v>203</v>
      </c>
      <c r="I563" s="3">
        <v>197</v>
      </c>
      <c r="J563" s="3">
        <v>182</v>
      </c>
      <c r="K563" s="3">
        <v>194</v>
      </c>
      <c r="L563" s="3">
        <v>224</v>
      </c>
      <c r="M563" s="3">
        <v>189</v>
      </c>
    </row>
    <row r="564" spans="1:13" x14ac:dyDescent="0.3">
      <c r="A564" s="3" t="s">
        <v>69</v>
      </c>
      <c r="B564" s="3">
        <v>314820</v>
      </c>
      <c r="C564" s="3" t="s">
        <v>69</v>
      </c>
      <c r="D564" s="3" t="s">
        <v>37</v>
      </c>
      <c r="E564" s="3" t="s">
        <v>69</v>
      </c>
      <c r="F564" s="3" t="s">
        <v>637</v>
      </c>
      <c r="G564" s="3" t="s">
        <v>3</v>
      </c>
      <c r="H564" s="3" t="s">
        <v>3</v>
      </c>
      <c r="I564" s="3" t="s">
        <v>3</v>
      </c>
      <c r="J564" s="3" t="s">
        <v>3</v>
      </c>
      <c r="K564" s="3" t="s">
        <v>3</v>
      </c>
      <c r="L564" s="3" t="s">
        <v>3</v>
      </c>
      <c r="M564" s="3" t="s">
        <v>3</v>
      </c>
    </row>
    <row r="565" spans="1:13" x14ac:dyDescent="0.3">
      <c r="A565" s="3" t="s">
        <v>79</v>
      </c>
      <c r="B565" s="3">
        <v>314830</v>
      </c>
      <c r="C565" s="3" t="s">
        <v>79</v>
      </c>
      <c r="D565" s="3" t="s">
        <v>7</v>
      </c>
      <c r="E565" s="3" t="s">
        <v>79</v>
      </c>
      <c r="F565" s="3" t="s">
        <v>638</v>
      </c>
      <c r="G565" s="3" t="s">
        <v>3</v>
      </c>
      <c r="H565" s="3" t="s">
        <v>3</v>
      </c>
      <c r="I565" s="3" t="s">
        <v>3</v>
      </c>
      <c r="J565" s="3" t="s">
        <v>3</v>
      </c>
      <c r="K565" s="3" t="s">
        <v>3</v>
      </c>
      <c r="L565" s="3" t="s">
        <v>3</v>
      </c>
      <c r="M565" s="3" t="s">
        <v>3</v>
      </c>
    </row>
    <row r="566" spans="1:13" x14ac:dyDescent="0.3">
      <c r="A566" s="3" t="s">
        <v>203</v>
      </c>
      <c r="B566" s="3">
        <v>314840</v>
      </c>
      <c r="C566" s="3" t="s">
        <v>203</v>
      </c>
      <c r="D566" s="3" t="s">
        <v>15</v>
      </c>
      <c r="E566" s="3" t="s">
        <v>203</v>
      </c>
      <c r="F566" s="3" t="s">
        <v>639</v>
      </c>
      <c r="G566" s="3" t="s">
        <v>3</v>
      </c>
      <c r="H566" s="3" t="s">
        <v>3</v>
      </c>
      <c r="I566" s="3" t="s">
        <v>3</v>
      </c>
      <c r="J566" s="3" t="s">
        <v>3</v>
      </c>
      <c r="K566" s="3" t="s">
        <v>3</v>
      </c>
      <c r="L566" s="3" t="s">
        <v>3</v>
      </c>
      <c r="M566" s="3" t="s">
        <v>3</v>
      </c>
    </row>
    <row r="567" spans="1:13" x14ac:dyDescent="0.3">
      <c r="A567" s="3" t="s">
        <v>25</v>
      </c>
      <c r="B567" s="3">
        <v>314850</v>
      </c>
      <c r="C567" s="3" t="s">
        <v>25</v>
      </c>
      <c r="D567" s="3" t="s">
        <v>24</v>
      </c>
      <c r="E567" s="3" t="s">
        <v>25</v>
      </c>
      <c r="F567" s="3" t="s">
        <v>640</v>
      </c>
      <c r="G567" s="3" t="s">
        <v>3</v>
      </c>
      <c r="H567" s="3" t="s">
        <v>3</v>
      </c>
      <c r="I567" s="3" t="s">
        <v>3</v>
      </c>
      <c r="J567" s="3" t="s">
        <v>3</v>
      </c>
      <c r="K567" s="3" t="s">
        <v>3</v>
      </c>
      <c r="L567" s="3" t="s">
        <v>3</v>
      </c>
      <c r="M567" s="3" t="s">
        <v>3</v>
      </c>
    </row>
    <row r="568" spans="1:13" x14ac:dyDescent="0.3">
      <c r="A568" s="3" t="s">
        <v>203</v>
      </c>
      <c r="B568" s="3">
        <v>314860</v>
      </c>
      <c r="C568" s="3" t="s">
        <v>203</v>
      </c>
      <c r="D568" s="3" t="s">
        <v>15</v>
      </c>
      <c r="E568" s="3" t="s">
        <v>203</v>
      </c>
      <c r="F568" s="3" t="s">
        <v>641</v>
      </c>
      <c r="G568" s="3">
        <v>54</v>
      </c>
      <c r="H568" s="3">
        <v>55</v>
      </c>
      <c r="I568" s="3">
        <v>26</v>
      </c>
      <c r="J568" s="3">
        <v>12</v>
      </c>
      <c r="K568" s="3">
        <v>33</v>
      </c>
      <c r="L568" s="3">
        <v>103</v>
      </c>
      <c r="M568" s="3">
        <v>72</v>
      </c>
    </row>
    <row r="569" spans="1:13" x14ac:dyDescent="0.3">
      <c r="A569" s="3" t="s">
        <v>27</v>
      </c>
      <c r="B569" s="3">
        <v>314870</v>
      </c>
      <c r="C569" s="3" t="s">
        <v>27</v>
      </c>
      <c r="D569" s="3" t="s">
        <v>24</v>
      </c>
      <c r="E569" s="3" t="s">
        <v>27</v>
      </c>
      <c r="F569" s="3" t="s">
        <v>27</v>
      </c>
      <c r="G569" s="3">
        <v>79</v>
      </c>
      <c r="H569" s="3">
        <v>47</v>
      </c>
      <c r="I569" s="3">
        <v>17</v>
      </c>
      <c r="J569" s="3">
        <v>9</v>
      </c>
      <c r="K569" s="3">
        <v>111</v>
      </c>
      <c r="L569" s="3">
        <v>128</v>
      </c>
      <c r="M569" s="3">
        <v>157</v>
      </c>
    </row>
    <row r="570" spans="1:13" x14ac:dyDescent="0.3">
      <c r="A570" s="3" t="s">
        <v>180</v>
      </c>
      <c r="B570" s="3">
        <v>314875</v>
      </c>
      <c r="C570" s="3" t="s">
        <v>180</v>
      </c>
      <c r="D570" s="3" t="s">
        <v>37</v>
      </c>
      <c r="E570" s="3" t="s">
        <v>180</v>
      </c>
      <c r="F570" s="3" t="s">
        <v>642</v>
      </c>
      <c r="G570" s="3" t="s">
        <v>3</v>
      </c>
      <c r="H570" s="3" t="s">
        <v>3</v>
      </c>
      <c r="I570" s="3" t="s">
        <v>3</v>
      </c>
      <c r="J570" s="3" t="s">
        <v>3</v>
      </c>
      <c r="K570" s="3" t="s">
        <v>3</v>
      </c>
      <c r="L570" s="3" t="s">
        <v>3</v>
      </c>
      <c r="M570" s="3" t="s">
        <v>3</v>
      </c>
    </row>
    <row r="571" spans="1:13" x14ac:dyDescent="0.3">
      <c r="A571" s="3" t="s">
        <v>79</v>
      </c>
      <c r="B571" s="3">
        <v>314880</v>
      </c>
      <c r="C571" s="3" t="s">
        <v>79</v>
      </c>
      <c r="D571" s="3" t="s">
        <v>7</v>
      </c>
      <c r="E571" s="3" t="s">
        <v>79</v>
      </c>
      <c r="F571" s="3" t="s">
        <v>643</v>
      </c>
      <c r="G571" s="3" t="s">
        <v>3</v>
      </c>
      <c r="H571" s="3" t="s">
        <v>3</v>
      </c>
      <c r="I571" s="3" t="s">
        <v>3</v>
      </c>
      <c r="J571" s="3" t="s">
        <v>3</v>
      </c>
      <c r="K571" s="3" t="s">
        <v>3</v>
      </c>
      <c r="L571" s="3" t="s">
        <v>3</v>
      </c>
      <c r="M571" s="3" t="s">
        <v>3</v>
      </c>
    </row>
    <row r="572" spans="1:13" x14ac:dyDescent="0.3">
      <c r="A572" s="3" t="s">
        <v>91</v>
      </c>
      <c r="B572" s="3">
        <v>314890</v>
      </c>
      <c r="C572" s="3" t="s">
        <v>91</v>
      </c>
      <c r="D572" s="3" t="s">
        <v>21</v>
      </c>
      <c r="E572" s="3" t="s">
        <v>91</v>
      </c>
      <c r="F572" s="3" t="s">
        <v>644</v>
      </c>
      <c r="G572" s="3" t="s">
        <v>3</v>
      </c>
      <c r="H572" s="3" t="s">
        <v>3</v>
      </c>
      <c r="I572" s="3" t="s">
        <v>3</v>
      </c>
      <c r="J572" s="3" t="s">
        <v>3</v>
      </c>
      <c r="K572" s="3" t="s">
        <v>3</v>
      </c>
      <c r="L572" s="3" t="s">
        <v>3</v>
      </c>
      <c r="M572" s="3" t="s">
        <v>3</v>
      </c>
    </row>
    <row r="573" spans="1:13" x14ac:dyDescent="0.3">
      <c r="A573" s="3" t="s">
        <v>180</v>
      </c>
      <c r="B573" s="3">
        <v>314900</v>
      </c>
      <c r="C573" s="3" t="s">
        <v>180</v>
      </c>
      <c r="D573" s="3" t="s">
        <v>37</v>
      </c>
      <c r="E573" s="3" t="s">
        <v>180</v>
      </c>
      <c r="F573" s="3" t="s">
        <v>645</v>
      </c>
      <c r="G573" s="3" t="s">
        <v>3</v>
      </c>
      <c r="H573" s="3" t="s">
        <v>3</v>
      </c>
      <c r="I573" s="3" t="s">
        <v>3</v>
      </c>
      <c r="J573" s="3" t="s">
        <v>3</v>
      </c>
      <c r="K573" s="3" t="s">
        <v>3</v>
      </c>
      <c r="L573" s="3" t="s">
        <v>3</v>
      </c>
      <c r="M573" s="3" t="s">
        <v>3</v>
      </c>
    </row>
    <row r="574" spans="1:13" x14ac:dyDescent="0.3">
      <c r="A574" s="3" t="s">
        <v>163</v>
      </c>
      <c r="B574" s="3">
        <v>314910</v>
      </c>
      <c r="C574" s="3" t="s">
        <v>163</v>
      </c>
      <c r="D574" s="3" t="s">
        <v>31</v>
      </c>
      <c r="E574" s="3" t="s">
        <v>163</v>
      </c>
      <c r="F574" s="3" t="s">
        <v>646</v>
      </c>
      <c r="G574" s="3" t="s">
        <v>3</v>
      </c>
      <c r="H574" s="3" t="s">
        <v>3</v>
      </c>
      <c r="I574" s="3" t="s">
        <v>3</v>
      </c>
      <c r="J574" s="3" t="s">
        <v>3</v>
      </c>
      <c r="K574" s="3" t="s">
        <v>3</v>
      </c>
      <c r="L574" s="3" t="s">
        <v>3</v>
      </c>
      <c r="M574" s="3" t="s">
        <v>3</v>
      </c>
    </row>
    <row r="575" spans="1:13" x14ac:dyDescent="0.3">
      <c r="A575" s="3" t="s">
        <v>150</v>
      </c>
      <c r="B575" s="3">
        <v>314915</v>
      </c>
      <c r="C575" s="3" t="s">
        <v>150</v>
      </c>
      <c r="D575" s="3" t="s">
        <v>126</v>
      </c>
      <c r="E575" s="3" t="s">
        <v>150</v>
      </c>
      <c r="F575" s="3" t="s">
        <v>647</v>
      </c>
      <c r="G575" s="3" t="s">
        <v>3</v>
      </c>
      <c r="H575" s="3" t="s">
        <v>3</v>
      </c>
      <c r="I575" s="3" t="s">
        <v>3</v>
      </c>
      <c r="J575" s="3" t="s">
        <v>3</v>
      </c>
      <c r="K575" s="3" t="s">
        <v>3</v>
      </c>
      <c r="L575" s="3" t="s">
        <v>3</v>
      </c>
      <c r="M575" s="3" t="s">
        <v>3</v>
      </c>
    </row>
    <row r="576" spans="1:13" x14ac:dyDescent="0.3">
      <c r="A576" s="3" t="s">
        <v>87</v>
      </c>
      <c r="B576" s="3">
        <v>314920</v>
      </c>
      <c r="C576" s="3" t="s">
        <v>87</v>
      </c>
      <c r="D576" s="3" t="s">
        <v>18</v>
      </c>
      <c r="E576" s="3" t="s">
        <v>87</v>
      </c>
      <c r="F576" s="3" t="s">
        <v>648</v>
      </c>
      <c r="G576" s="3" t="s">
        <v>3</v>
      </c>
      <c r="H576" s="3" t="s">
        <v>3</v>
      </c>
      <c r="I576" s="3" t="s">
        <v>3</v>
      </c>
      <c r="J576" s="3" t="s">
        <v>3</v>
      </c>
      <c r="K576" s="3" t="s">
        <v>3</v>
      </c>
      <c r="L576" s="3" t="s">
        <v>3</v>
      </c>
      <c r="M576" s="3" t="s">
        <v>3</v>
      </c>
    </row>
    <row r="577" spans="1:13" x14ac:dyDescent="0.3">
      <c r="A577" s="3" t="s">
        <v>283</v>
      </c>
      <c r="B577" s="3">
        <v>314930</v>
      </c>
      <c r="C577" s="3" t="s">
        <v>283</v>
      </c>
      <c r="D577" s="3" t="s">
        <v>4</v>
      </c>
      <c r="E577" s="3" t="s">
        <v>283</v>
      </c>
      <c r="F577" s="3" t="s">
        <v>649</v>
      </c>
      <c r="G577" s="3">
        <v>164</v>
      </c>
      <c r="H577" s="3">
        <v>55</v>
      </c>
      <c r="I577" s="3">
        <v>66</v>
      </c>
      <c r="J577" s="3">
        <v>75</v>
      </c>
      <c r="K577" s="3">
        <v>106</v>
      </c>
      <c r="L577" s="3">
        <v>99</v>
      </c>
      <c r="M577" s="3">
        <v>102</v>
      </c>
    </row>
    <row r="578" spans="1:13" x14ac:dyDescent="0.3">
      <c r="A578" s="3" t="s">
        <v>62</v>
      </c>
      <c r="B578" s="3">
        <v>314940</v>
      </c>
      <c r="C578" s="3" t="s">
        <v>62</v>
      </c>
      <c r="D578" s="3" t="s">
        <v>37</v>
      </c>
      <c r="E578" s="3" t="s">
        <v>62</v>
      </c>
      <c r="F578" s="3" t="s">
        <v>650</v>
      </c>
      <c r="G578" s="3" t="s">
        <v>3</v>
      </c>
      <c r="H578" s="3" t="s">
        <v>3</v>
      </c>
      <c r="I578" s="3" t="s">
        <v>3</v>
      </c>
      <c r="J578" s="3" t="s">
        <v>3</v>
      </c>
      <c r="K578" s="3" t="s">
        <v>3</v>
      </c>
      <c r="L578" s="3" t="s">
        <v>3</v>
      </c>
      <c r="M578" s="3" t="s">
        <v>3</v>
      </c>
    </row>
    <row r="579" spans="1:13" x14ac:dyDescent="0.3">
      <c r="A579" s="3" t="s">
        <v>131</v>
      </c>
      <c r="B579" s="3">
        <v>314950</v>
      </c>
      <c r="C579" s="3" t="s">
        <v>131</v>
      </c>
      <c r="D579" s="3" t="s">
        <v>37</v>
      </c>
      <c r="E579" s="3" t="s">
        <v>131</v>
      </c>
      <c r="F579" s="3" t="s">
        <v>651</v>
      </c>
      <c r="G579" s="3" t="s">
        <v>3</v>
      </c>
      <c r="H579" s="3" t="s">
        <v>3</v>
      </c>
      <c r="I579" s="3" t="s">
        <v>3</v>
      </c>
      <c r="J579" s="3" t="s">
        <v>3</v>
      </c>
      <c r="K579" s="3" t="s">
        <v>3</v>
      </c>
      <c r="L579" s="3" t="s">
        <v>3</v>
      </c>
      <c r="M579" s="3" t="s">
        <v>3</v>
      </c>
    </row>
    <row r="580" spans="1:13" x14ac:dyDescent="0.3">
      <c r="A580" s="3" t="s">
        <v>5</v>
      </c>
      <c r="B580" s="3">
        <v>314960</v>
      </c>
      <c r="C580" s="3" t="s">
        <v>5</v>
      </c>
      <c r="D580" s="3" t="s">
        <v>4</v>
      </c>
      <c r="E580" s="3" t="s">
        <v>5</v>
      </c>
      <c r="F580" s="3" t="s">
        <v>652</v>
      </c>
      <c r="G580" s="3" t="s">
        <v>3</v>
      </c>
      <c r="H580" s="3" t="s">
        <v>3</v>
      </c>
      <c r="I580" s="3" t="s">
        <v>3</v>
      </c>
      <c r="J580" s="3" t="s">
        <v>3</v>
      </c>
      <c r="K580" s="3" t="s">
        <v>3</v>
      </c>
      <c r="L580" s="3" t="s">
        <v>3</v>
      </c>
      <c r="M580" s="3" t="s">
        <v>3</v>
      </c>
    </row>
    <row r="581" spans="1:13" x14ac:dyDescent="0.3">
      <c r="A581" s="3" t="s">
        <v>85</v>
      </c>
      <c r="B581" s="3">
        <v>314970</v>
      </c>
      <c r="C581" s="3" t="s">
        <v>85</v>
      </c>
      <c r="D581" s="3" t="s">
        <v>21</v>
      </c>
      <c r="E581" s="3" t="s">
        <v>85</v>
      </c>
      <c r="F581" s="3" t="s">
        <v>653</v>
      </c>
      <c r="G581" s="3" t="s">
        <v>3</v>
      </c>
      <c r="H581" s="3" t="s">
        <v>3</v>
      </c>
      <c r="I581" s="3" t="s">
        <v>3</v>
      </c>
      <c r="J581" s="3" t="s">
        <v>3</v>
      </c>
      <c r="K581" s="3" t="s">
        <v>3</v>
      </c>
      <c r="L581" s="3" t="s">
        <v>3</v>
      </c>
      <c r="M581" s="3" t="s">
        <v>3</v>
      </c>
    </row>
    <row r="582" spans="1:13" x14ac:dyDescent="0.3">
      <c r="A582" s="3" t="s">
        <v>87</v>
      </c>
      <c r="B582" s="3">
        <v>314980</v>
      </c>
      <c r="C582" s="3" t="s">
        <v>87</v>
      </c>
      <c r="D582" s="3" t="s">
        <v>18</v>
      </c>
      <c r="E582" s="3" t="s">
        <v>87</v>
      </c>
      <c r="F582" s="3" t="s">
        <v>654</v>
      </c>
      <c r="G582" s="3" t="s">
        <v>3</v>
      </c>
      <c r="H582" s="3" t="s">
        <v>3</v>
      </c>
      <c r="I582" s="3" t="s">
        <v>3</v>
      </c>
      <c r="J582" s="3" t="s">
        <v>3</v>
      </c>
      <c r="K582" s="3">
        <v>1</v>
      </c>
      <c r="L582" s="3">
        <v>3</v>
      </c>
      <c r="M582" s="3">
        <v>7</v>
      </c>
    </row>
    <row r="583" spans="1:13" x14ac:dyDescent="0.3">
      <c r="A583" s="3" t="s">
        <v>239</v>
      </c>
      <c r="B583" s="3">
        <v>314990</v>
      </c>
      <c r="C583" s="3" t="s">
        <v>239</v>
      </c>
      <c r="D583" s="3" t="s">
        <v>31</v>
      </c>
      <c r="E583" s="3" t="s">
        <v>239</v>
      </c>
      <c r="F583" s="3" t="s">
        <v>655</v>
      </c>
      <c r="G583" s="3">
        <v>30</v>
      </c>
      <c r="H583" s="3">
        <v>41</v>
      </c>
      <c r="I583" s="3">
        <v>24</v>
      </c>
      <c r="J583" s="3">
        <v>26</v>
      </c>
      <c r="K583" s="3">
        <v>61</v>
      </c>
      <c r="L583" s="3">
        <v>73</v>
      </c>
      <c r="M583" s="3">
        <v>56</v>
      </c>
    </row>
    <row r="584" spans="1:13" x14ac:dyDescent="0.3">
      <c r="A584" s="3" t="s">
        <v>13</v>
      </c>
      <c r="B584" s="3">
        <v>314995</v>
      </c>
      <c r="C584" s="3" t="s">
        <v>13</v>
      </c>
      <c r="D584" s="3" t="s">
        <v>12</v>
      </c>
      <c r="E584" s="3" t="s">
        <v>13</v>
      </c>
      <c r="F584" s="3" t="s">
        <v>656</v>
      </c>
      <c r="G584" s="3" t="s">
        <v>3</v>
      </c>
      <c r="H584" s="3" t="s">
        <v>3</v>
      </c>
      <c r="I584" s="3" t="s">
        <v>3</v>
      </c>
      <c r="J584" s="3" t="s">
        <v>3</v>
      </c>
      <c r="K584" s="3" t="s">
        <v>3</v>
      </c>
      <c r="L584" s="3" t="s">
        <v>3</v>
      </c>
      <c r="M584" s="3" t="s">
        <v>3</v>
      </c>
    </row>
    <row r="585" spans="1:13" x14ac:dyDescent="0.3">
      <c r="A585" s="3" t="s">
        <v>189</v>
      </c>
      <c r="B585" s="3">
        <v>315000</v>
      </c>
      <c r="C585" s="3" t="s">
        <v>189</v>
      </c>
      <c r="D585" s="3" t="s">
        <v>24</v>
      </c>
      <c r="E585" s="3" t="s">
        <v>189</v>
      </c>
      <c r="F585" s="3" t="s">
        <v>657</v>
      </c>
      <c r="G585" s="3" t="s">
        <v>3</v>
      </c>
      <c r="H585" s="3" t="s">
        <v>3</v>
      </c>
      <c r="I585" s="3" t="s">
        <v>3</v>
      </c>
      <c r="J585" s="3" t="s">
        <v>3</v>
      </c>
      <c r="K585" s="3" t="s">
        <v>3</v>
      </c>
      <c r="L585" s="3" t="s">
        <v>3</v>
      </c>
      <c r="M585" s="3" t="s">
        <v>3</v>
      </c>
    </row>
    <row r="586" spans="1:13" x14ac:dyDescent="0.3">
      <c r="A586" s="3" t="s">
        <v>118</v>
      </c>
      <c r="B586" s="3">
        <v>315010</v>
      </c>
      <c r="C586" s="3" t="s">
        <v>118</v>
      </c>
      <c r="D586" s="3" t="s">
        <v>37</v>
      </c>
      <c r="E586" s="3" t="s">
        <v>118</v>
      </c>
      <c r="F586" s="3" t="s">
        <v>658</v>
      </c>
      <c r="G586" s="3" t="s">
        <v>3</v>
      </c>
      <c r="H586" s="3" t="s">
        <v>3</v>
      </c>
      <c r="I586" s="3" t="s">
        <v>3</v>
      </c>
      <c r="J586" s="3" t="s">
        <v>3</v>
      </c>
      <c r="K586" s="3" t="s">
        <v>3</v>
      </c>
      <c r="L586" s="3" t="s">
        <v>3</v>
      </c>
      <c r="M586" s="3" t="s">
        <v>3</v>
      </c>
    </row>
    <row r="587" spans="1:13" x14ac:dyDescent="0.3">
      <c r="A587" s="3" t="s">
        <v>143</v>
      </c>
      <c r="B587" s="3">
        <v>315015</v>
      </c>
      <c r="C587" s="3" t="s">
        <v>143</v>
      </c>
      <c r="D587" s="3" t="s">
        <v>12</v>
      </c>
      <c r="E587" s="3" t="s">
        <v>143</v>
      </c>
      <c r="F587" s="3" t="s">
        <v>659</v>
      </c>
      <c r="G587" s="3" t="s">
        <v>3</v>
      </c>
      <c r="H587" s="3" t="s">
        <v>3</v>
      </c>
      <c r="I587" s="3" t="s">
        <v>3</v>
      </c>
      <c r="J587" s="3" t="s">
        <v>3</v>
      </c>
      <c r="K587" s="3" t="s">
        <v>3</v>
      </c>
      <c r="L587" s="3" t="s">
        <v>3</v>
      </c>
      <c r="M587" s="3" t="s">
        <v>3</v>
      </c>
    </row>
    <row r="588" spans="1:13" x14ac:dyDescent="0.3">
      <c r="A588" s="3" t="s">
        <v>10</v>
      </c>
      <c r="B588" s="3">
        <v>315020</v>
      </c>
      <c r="C588" s="3" t="s">
        <v>10</v>
      </c>
      <c r="D588" s="3" t="s">
        <v>7</v>
      </c>
      <c r="E588" s="3" t="s">
        <v>10</v>
      </c>
      <c r="F588" s="3" t="s">
        <v>660</v>
      </c>
      <c r="G588" s="3" t="s">
        <v>3</v>
      </c>
      <c r="H588" s="3" t="s">
        <v>3</v>
      </c>
      <c r="I588" s="3" t="s">
        <v>3</v>
      </c>
      <c r="J588" s="3" t="s">
        <v>3</v>
      </c>
      <c r="K588" s="3" t="s">
        <v>3</v>
      </c>
      <c r="L588" s="3" t="s">
        <v>3</v>
      </c>
      <c r="M588" s="3" t="s">
        <v>3</v>
      </c>
    </row>
    <row r="589" spans="1:13" x14ac:dyDescent="0.3">
      <c r="A589" s="3" t="s">
        <v>114</v>
      </c>
      <c r="B589" s="3">
        <v>315030</v>
      </c>
      <c r="C589" s="3" t="s">
        <v>114</v>
      </c>
      <c r="D589" s="3" t="s">
        <v>42</v>
      </c>
      <c r="E589" s="3" t="s">
        <v>114</v>
      </c>
      <c r="F589" s="3" t="s">
        <v>661</v>
      </c>
      <c r="G589" s="3" t="s">
        <v>3</v>
      </c>
      <c r="H589" s="3" t="s">
        <v>3</v>
      </c>
      <c r="I589" s="3" t="s">
        <v>3</v>
      </c>
      <c r="J589" s="3" t="s">
        <v>3</v>
      </c>
      <c r="K589" s="3" t="s">
        <v>3</v>
      </c>
      <c r="L589" s="3" t="s">
        <v>3</v>
      </c>
      <c r="M589" s="3" t="s">
        <v>3</v>
      </c>
    </row>
    <row r="590" spans="1:13" x14ac:dyDescent="0.3">
      <c r="A590" s="3" t="s">
        <v>129</v>
      </c>
      <c r="B590" s="3">
        <v>315040</v>
      </c>
      <c r="C590" s="3" t="s">
        <v>129</v>
      </c>
      <c r="D590" s="3" t="s">
        <v>4</v>
      </c>
      <c r="E590" s="3" t="s">
        <v>129</v>
      </c>
      <c r="F590" s="3" t="s">
        <v>662</v>
      </c>
      <c r="G590" s="3" t="s">
        <v>3</v>
      </c>
      <c r="H590" s="3" t="s">
        <v>3</v>
      </c>
      <c r="I590" s="3" t="s">
        <v>3</v>
      </c>
      <c r="J590" s="3" t="s">
        <v>3</v>
      </c>
      <c r="K590" s="3" t="s">
        <v>3</v>
      </c>
      <c r="L590" s="3" t="s">
        <v>3</v>
      </c>
      <c r="M590" s="3" t="s">
        <v>3</v>
      </c>
    </row>
    <row r="591" spans="1:13" x14ac:dyDescent="0.3">
      <c r="A591" s="3" t="s">
        <v>214</v>
      </c>
      <c r="B591" s="3">
        <v>315050</v>
      </c>
      <c r="C591" s="3" t="s">
        <v>214</v>
      </c>
      <c r="D591" s="3" t="s">
        <v>31</v>
      </c>
      <c r="E591" s="3" t="s">
        <v>214</v>
      </c>
      <c r="F591" s="3" t="s">
        <v>663</v>
      </c>
      <c r="G591" s="3" t="s">
        <v>3</v>
      </c>
      <c r="H591" s="3" t="s">
        <v>3</v>
      </c>
      <c r="I591" s="3" t="s">
        <v>3</v>
      </c>
      <c r="J591" s="3" t="s">
        <v>3</v>
      </c>
      <c r="K591" s="3" t="s">
        <v>3</v>
      </c>
      <c r="L591" s="3" t="s">
        <v>3</v>
      </c>
      <c r="M591" s="3" t="s">
        <v>3</v>
      </c>
    </row>
    <row r="592" spans="1:13" x14ac:dyDescent="0.3">
      <c r="A592" s="3" t="s">
        <v>67</v>
      </c>
      <c r="B592" s="3">
        <v>315053</v>
      </c>
      <c r="C592" s="3" t="s">
        <v>67</v>
      </c>
      <c r="D592" s="3" t="s">
        <v>12</v>
      </c>
      <c r="E592" s="3" t="s">
        <v>67</v>
      </c>
      <c r="F592" s="3" t="s">
        <v>664</v>
      </c>
      <c r="G592" s="3" t="s">
        <v>3</v>
      </c>
      <c r="H592" s="3" t="s">
        <v>3</v>
      </c>
      <c r="I592" s="3" t="s">
        <v>3</v>
      </c>
      <c r="J592" s="3" t="s">
        <v>3</v>
      </c>
      <c r="K592" s="3" t="s">
        <v>3</v>
      </c>
      <c r="L592" s="3" t="s">
        <v>3</v>
      </c>
      <c r="M592" s="3" t="s">
        <v>3</v>
      </c>
    </row>
    <row r="593" spans="1:13" x14ac:dyDescent="0.3">
      <c r="A593" s="3" t="s">
        <v>158</v>
      </c>
      <c r="B593" s="3">
        <v>315057</v>
      </c>
      <c r="C593" s="3" t="s">
        <v>158</v>
      </c>
      <c r="D593" s="3" t="s">
        <v>126</v>
      </c>
      <c r="E593" s="3" t="s">
        <v>158</v>
      </c>
      <c r="F593" s="3" t="s">
        <v>665</v>
      </c>
      <c r="G593" s="3" t="s">
        <v>3</v>
      </c>
      <c r="H593" s="3" t="s">
        <v>3</v>
      </c>
      <c r="I593" s="3" t="s">
        <v>3</v>
      </c>
      <c r="J593" s="3" t="s">
        <v>3</v>
      </c>
      <c r="K593" s="3" t="s">
        <v>3</v>
      </c>
      <c r="L593" s="3" t="s">
        <v>3</v>
      </c>
      <c r="M593" s="3" t="s">
        <v>3</v>
      </c>
    </row>
    <row r="594" spans="1:13" x14ac:dyDescent="0.3">
      <c r="A594" s="3" t="s">
        <v>451</v>
      </c>
      <c r="B594" s="3">
        <v>315060</v>
      </c>
      <c r="C594" s="3" t="s">
        <v>451</v>
      </c>
      <c r="D594" s="3" t="s">
        <v>21</v>
      </c>
      <c r="E594" s="3" t="s">
        <v>451</v>
      </c>
      <c r="F594" s="3" t="s">
        <v>666</v>
      </c>
      <c r="G594" s="3" t="s">
        <v>3</v>
      </c>
      <c r="H594" s="3" t="s">
        <v>3</v>
      </c>
      <c r="I594" s="3" t="s">
        <v>3</v>
      </c>
      <c r="J594" s="3" t="s">
        <v>3</v>
      </c>
      <c r="K594" s="3" t="s">
        <v>3</v>
      </c>
      <c r="L594" s="3" t="s">
        <v>3</v>
      </c>
      <c r="M594" s="3" t="s">
        <v>3</v>
      </c>
    </row>
    <row r="595" spans="1:13" x14ac:dyDescent="0.3">
      <c r="A595" s="3" t="s">
        <v>237</v>
      </c>
      <c r="B595" s="3">
        <v>315070</v>
      </c>
      <c r="C595" s="3" t="s">
        <v>237</v>
      </c>
      <c r="D595" s="3" t="s">
        <v>18</v>
      </c>
      <c r="E595" s="3" t="s">
        <v>237</v>
      </c>
      <c r="F595" s="3" t="s">
        <v>667</v>
      </c>
      <c r="G595" s="3" t="s">
        <v>3</v>
      </c>
      <c r="H595" s="3" t="s">
        <v>3</v>
      </c>
      <c r="I595" s="3" t="s">
        <v>3</v>
      </c>
      <c r="J595" s="3" t="s">
        <v>3</v>
      </c>
      <c r="K595" s="3" t="s">
        <v>3</v>
      </c>
      <c r="L595" s="3" t="s">
        <v>3</v>
      </c>
      <c r="M595" s="3" t="s">
        <v>3</v>
      </c>
    </row>
    <row r="596" spans="1:13" x14ac:dyDescent="0.3">
      <c r="A596" s="3" t="s">
        <v>219</v>
      </c>
      <c r="B596" s="3">
        <v>315080</v>
      </c>
      <c r="C596" s="3" t="s">
        <v>219</v>
      </c>
      <c r="D596" s="3" t="s">
        <v>42</v>
      </c>
      <c r="E596" s="3" t="s">
        <v>219</v>
      </c>
      <c r="F596" s="3" t="s">
        <v>668</v>
      </c>
      <c r="G596" s="3" t="s">
        <v>3</v>
      </c>
      <c r="H596" s="3" t="s">
        <v>3</v>
      </c>
      <c r="I596" s="3" t="s">
        <v>3</v>
      </c>
      <c r="J596" s="3" t="s">
        <v>3</v>
      </c>
      <c r="K596" s="3" t="s">
        <v>3</v>
      </c>
      <c r="L596" s="3" t="s">
        <v>3</v>
      </c>
      <c r="M596" s="3" t="s">
        <v>3</v>
      </c>
    </row>
    <row r="597" spans="1:13" x14ac:dyDescent="0.3">
      <c r="A597" s="3" t="s">
        <v>163</v>
      </c>
      <c r="B597" s="3">
        <v>315090</v>
      </c>
      <c r="C597" s="3" t="s">
        <v>163</v>
      </c>
      <c r="D597" s="3" t="s">
        <v>31</v>
      </c>
      <c r="E597" s="3" t="s">
        <v>163</v>
      </c>
      <c r="F597" s="3" t="s">
        <v>669</v>
      </c>
      <c r="G597" s="3" t="s">
        <v>3</v>
      </c>
      <c r="H597" s="3" t="s">
        <v>3</v>
      </c>
      <c r="I597" s="3" t="s">
        <v>3</v>
      </c>
      <c r="J597" s="3" t="s">
        <v>3</v>
      </c>
      <c r="K597" s="3" t="s">
        <v>3</v>
      </c>
      <c r="L597" s="3" t="s">
        <v>3</v>
      </c>
      <c r="M597" s="3" t="s">
        <v>3</v>
      </c>
    </row>
    <row r="598" spans="1:13" x14ac:dyDescent="0.3">
      <c r="A598" s="3" t="s">
        <v>163</v>
      </c>
      <c r="B598" s="3">
        <v>315100</v>
      </c>
      <c r="C598" s="3" t="s">
        <v>163</v>
      </c>
      <c r="D598" s="3" t="s">
        <v>31</v>
      </c>
      <c r="E598" s="3" t="s">
        <v>163</v>
      </c>
      <c r="F598" s="3" t="s">
        <v>670</v>
      </c>
      <c r="G598" s="3" t="s">
        <v>3</v>
      </c>
      <c r="H598" s="3" t="s">
        <v>3</v>
      </c>
      <c r="I598" s="3" t="s">
        <v>3</v>
      </c>
      <c r="J598" s="3" t="s">
        <v>3</v>
      </c>
      <c r="K598" s="3" t="s">
        <v>3</v>
      </c>
      <c r="L598" s="3" t="s">
        <v>3</v>
      </c>
      <c r="M598" s="3" t="s">
        <v>3</v>
      </c>
    </row>
    <row r="599" spans="1:13" x14ac:dyDescent="0.3">
      <c r="A599" s="3" t="s">
        <v>38</v>
      </c>
      <c r="B599" s="3">
        <v>315110</v>
      </c>
      <c r="C599" s="3" t="s">
        <v>38</v>
      </c>
      <c r="D599" s="3" t="s">
        <v>37</v>
      </c>
      <c r="E599" s="3" t="s">
        <v>38</v>
      </c>
      <c r="F599" s="3" t="s">
        <v>671</v>
      </c>
      <c r="G599" s="3">
        <v>8</v>
      </c>
      <c r="H599" s="3">
        <v>13</v>
      </c>
      <c r="I599" s="3">
        <v>4</v>
      </c>
      <c r="J599" s="3">
        <v>8</v>
      </c>
      <c r="K599" s="3">
        <v>19</v>
      </c>
      <c r="L599" s="3">
        <v>22</v>
      </c>
      <c r="M599" s="3">
        <v>15</v>
      </c>
    </row>
    <row r="600" spans="1:13" x14ac:dyDescent="0.3">
      <c r="A600" s="3" t="s">
        <v>170</v>
      </c>
      <c r="B600" s="3">
        <v>315120</v>
      </c>
      <c r="C600" s="3" t="s">
        <v>170</v>
      </c>
      <c r="D600" s="3" t="s">
        <v>126</v>
      </c>
      <c r="E600" s="3" t="s">
        <v>170</v>
      </c>
      <c r="F600" s="3" t="s">
        <v>170</v>
      </c>
      <c r="G600" s="3">
        <v>240</v>
      </c>
      <c r="H600" s="3">
        <v>273</v>
      </c>
      <c r="I600" s="3">
        <v>167</v>
      </c>
      <c r="J600" s="3">
        <v>125</v>
      </c>
      <c r="K600" s="3">
        <v>440</v>
      </c>
      <c r="L600" s="3">
        <v>508</v>
      </c>
      <c r="M600" s="3">
        <v>404</v>
      </c>
    </row>
    <row r="601" spans="1:13" x14ac:dyDescent="0.3">
      <c r="A601" s="3" t="s">
        <v>160</v>
      </c>
      <c r="B601" s="3">
        <v>315130</v>
      </c>
      <c r="C601" s="3" t="s">
        <v>160</v>
      </c>
      <c r="D601" s="3" t="s">
        <v>37</v>
      </c>
      <c r="E601" s="3" t="s">
        <v>160</v>
      </c>
      <c r="F601" s="3" t="s">
        <v>672</v>
      </c>
      <c r="G601" s="3" t="s">
        <v>3</v>
      </c>
      <c r="H601" s="3" t="s">
        <v>3</v>
      </c>
      <c r="I601" s="3" t="s">
        <v>3</v>
      </c>
      <c r="J601" s="3" t="s">
        <v>3</v>
      </c>
      <c r="K601" s="3" t="s">
        <v>3</v>
      </c>
      <c r="L601" s="3" t="s">
        <v>3</v>
      </c>
      <c r="M601" s="3" t="s">
        <v>3</v>
      </c>
    </row>
    <row r="602" spans="1:13" x14ac:dyDescent="0.3">
      <c r="A602" s="3" t="s">
        <v>278</v>
      </c>
      <c r="B602" s="3">
        <v>315140</v>
      </c>
      <c r="C602" s="3" t="s">
        <v>278</v>
      </c>
      <c r="D602" s="3" t="s">
        <v>21</v>
      </c>
      <c r="E602" s="3" t="s">
        <v>278</v>
      </c>
      <c r="F602" s="3" t="s">
        <v>673</v>
      </c>
      <c r="G602" s="3">
        <v>1</v>
      </c>
      <c r="H602" s="3">
        <v>13</v>
      </c>
      <c r="I602" s="3">
        <v>4</v>
      </c>
      <c r="J602" s="3">
        <v>6</v>
      </c>
      <c r="K602" s="3">
        <v>25</v>
      </c>
      <c r="L602" s="3">
        <v>21</v>
      </c>
      <c r="M602" s="3">
        <v>7</v>
      </c>
    </row>
    <row r="603" spans="1:13" x14ac:dyDescent="0.3">
      <c r="A603" s="3" t="s">
        <v>214</v>
      </c>
      <c r="B603" s="3">
        <v>315150</v>
      </c>
      <c r="C603" s="3" t="s">
        <v>214</v>
      </c>
      <c r="D603" s="3" t="s">
        <v>31</v>
      </c>
      <c r="E603" s="3" t="s">
        <v>214</v>
      </c>
      <c r="F603" s="3" t="s">
        <v>214</v>
      </c>
      <c r="G603" s="3">
        <v>108</v>
      </c>
      <c r="H603" s="3">
        <v>59</v>
      </c>
      <c r="I603" s="3">
        <v>14</v>
      </c>
      <c r="J603" s="3">
        <v>15</v>
      </c>
      <c r="K603" s="3">
        <v>45</v>
      </c>
      <c r="L603" s="3">
        <v>30</v>
      </c>
      <c r="M603" s="3">
        <v>42</v>
      </c>
    </row>
    <row r="604" spans="1:13" x14ac:dyDescent="0.3">
      <c r="A604" s="3" t="s">
        <v>237</v>
      </c>
      <c r="B604" s="3">
        <v>315160</v>
      </c>
      <c r="C604" s="3" t="s">
        <v>237</v>
      </c>
      <c r="D604" s="3" t="s">
        <v>18</v>
      </c>
      <c r="E604" s="3" t="s">
        <v>237</v>
      </c>
      <c r="F604" s="3" t="s">
        <v>674</v>
      </c>
      <c r="G604" s="3" t="s">
        <v>3</v>
      </c>
      <c r="H604" s="3" t="s">
        <v>3</v>
      </c>
      <c r="I604" s="3" t="s">
        <v>3</v>
      </c>
      <c r="J604" s="3" t="s">
        <v>3</v>
      </c>
      <c r="K604" s="3" t="s">
        <v>3</v>
      </c>
      <c r="L604" s="3" t="s">
        <v>3</v>
      </c>
      <c r="M604" s="3" t="s">
        <v>3</v>
      </c>
    </row>
    <row r="605" spans="1:13" x14ac:dyDescent="0.3">
      <c r="A605" s="3" t="s">
        <v>40</v>
      </c>
      <c r="B605" s="3">
        <v>315170</v>
      </c>
      <c r="C605" s="3" t="s">
        <v>40</v>
      </c>
      <c r="D605" s="3" t="s">
        <v>31</v>
      </c>
      <c r="E605" s="3" t="s">
        <v>40</v>
      </c>
      <c r="F605" s="3" t="s">
        <v>675</v>
      </c>
      <c r="G605" s="3">
        <v>9</v>
      </c>
      <c r="H605" s="3">
        <v>6</v>
      </c>
      <c r="I605" s="3">
        <v>17</v>
      </c>
      <c r="J605" s="3">
        <v>6</v>
      </c>
      <c r="K605" s="3">
        <v>29</v>
      </c>
      <c r="L605" s="3">
        <v>86</v>
      </c>
      <c r="M605" s="3">
        <v>159</v>
      </c>
    </row>
    <row r="606" spans="1:13" x14ac:dyDescent="0.3">
      <c r="A606" s="3" t="s">
        <v>35</v>
      </c>
      <c r="B606" s="3">
        <v>315180</v>
      </c>
      <c r="C606" s="3" t="s">
        <v>35</v>
      </c>
      <c r="D606" s="3" t="s">
        <v>31</v>
      </c>
      <c r="E606" s="3" t="s">
        <v>35</v>
      </c>
      <c r="F606" s="3" t="s">
        <v>676</v>
      </c>
      <c r="G606" s="3">
        <v>134</v>
      </c>
      <c r="H606" s="3">
        <v>124</v>
      </c>
      <c r="I606" s="3">
        <v>103</v>
      </c>
      <c r="J606" s="3">
        <v>74</v>
      </c>
      <c r="K606" s="3">
        <v>66</v>
      </c>
      <c r="L606" s="3">
        <v>136</v>
      </c>
      <c r="M606" s="3">
        <v>139</v>
      </c>
    </row>
    <row r="607" spans="1:13" x14ac:dyDescent="0.3">
      <c r="A607" s="3" t="s">
        <v>8</v>
      </c>
      <c r="B607" s="3">
        <v>315190</v>
      </c>
      <c r="C607" s="3" t="s">
        <v>8</v>
      </c>
      <c r="D607" s="3" t="s">
        <v>7</v>
      </c>
      <c r="E607" s="3" t="s">
        <v>8</v>
      </c>
      <c r="F607" s="3" t="s">
        <v>677</v>
      </c>
      <c r="G607" s="3" t="s">
        <v>3</v>
      </c>
      <c r="H607" s="3" t="s">
        <v>3</v>
      </c>
      <c r="I607" s="3" t="s">
        <v>3</v>
      </c>
      <c r="J607" s="3" t="s">
        <v>3</v>
      </c>
      <c r="K607" s="3" t="s">
        <v>3</v>
      </c>
      <c r="L607" s="3" t="s">
        <v>3</v>
      </c>
      <c r="M607" s="3" t="s">
        <v>3</v>
      </c>
    </row>
    <row r="608" spans="1:13" x14ac:dyDescent="0.3">
      <c r="A608" s="3" t="s">
        <v>5</v>
      </c>
      <c r="B608" s="3">
        <v>315200</v>
      </c>
      <c r="C608" s="3" t="s">
        <v>5</v>
      </c>
      <c r="D608" s="3" t="s">
        <v>4</v>
      </c>
      <c r="E608" s="3" t="s">
        <v>5</v>
      </c>
      <c r="F608" s="3" t="s">
        <v>678</v>
      </c>
      <c r="G608" s="3">
        <v>87</v>
      </c>
      <c r="H608" s="3">
        <v>65</v>
      </c>
      <c r="I608" s="3">
        <v>16</v>
      </c>
      <c r="J608" s="3">
        <v>29</v>
      </c>
      <c r="K608" s="3">
        <v>61</v>
      </c>
      <c r="L608" s="3">
        <v>159</v>
      </c>
      <c r="M608" s="3">
        <v>173</v>
      </c>
    </row>
    <row r="609" spans="1:13" x14ac:dyDescent="0.3">
      <c r="A609" s="3" t="s">
        <v>10</v>
      </c>
      <c r="B609" s="3">
        <v>315210</v>
      </c>
      <c r="C609" s="3" t="s">
        <v>10</v>
      </c>
      <c r="D609" s="3" t="s">
        <v>7</v>
      </c>
      <c r="E609" s="3" t="s">
        <v>10</v>
      </c>
      <c r="F609" s="3" t="s">
        <v>10</v>
      </c>
      <c r="G609" s="3">
        <v>214</v>
      </c>
      <c r="H609" s="3">
        <v>278</v>
      </c>
      <c r="I609" s="3">
        <v>99</v>
      </c>
      <c r="J609" s="3">
        <v>156</v>
      </c>
      <c r="K609" s="3">
        <v>232</v>
      </c>
      <c r="L609" s="3">
        <v>198</v>
      </c>
      <c r="M609" s="3">
        <v>216</v>
      </c>
    </row>
    <row r="610" spans="1:13" x14ac:dyDescent="0.3">
      <c r="A610" s="3" t="s">
        <v>170</v>
      </c>
      <c r="B610" s="3">
        <v>315213</v>
      </c>
      <c r="C610" s="3" t="s">
        <v>170</v>
      </c>
      <c r="D610" s="3" t="s">
        <v>126</v>
      </c>
      <c r="E610" s="3" t="s">
        <v>170</v>
      </c>
      <c r="F610" s="3" t="s">
        <v>679</v>
      </c>
      <c r="G610" s="3" t="s">
        <v>3</v>
      </c>
      <c r="H610" s="3" t="s">
        <v>3</v>
      </c>
      <c r="I610" s="3" t="s">
        <v>3</v>
      </c>
      <c r="J610" s="3" t="s">
        <v>3</v>
      </c>
      <c r="K610" s="3" t="s">
        <v>3</v>
      </c>
      <c r="L610" s="3" t="s">
        <v>3</v>
      </c>
      <c r="M610" s="3" t="s">
        <v>3</v>
      </c>
    </row>
    <row r="611" spans="1:13" x14ac:dyDescent="0.3">
      <c r="A611" s="3" t="s">
        <v>271</v>
      </c>
      <c r="B611" s="3">
        <v>315217</v>
      </c>
      <c r="C611" s="3" t="s">
        <v>271</v>
      </c>
      <c r="D611" s="3" t="s">
        <v>24</v>
      </c>
      <c r="E611" s="3" t="s">
        <v>271</v>
      </c>
      <c r="F611" s="3" t="s">
        <v>680</v>
      </c>
      <c r="G611" s="3" t="s">
        <v>3</v>
      </c>
      <c r="H611" s="3" t="s">
        <v>3</v>
      </c>
      <c r="I611" s="3" t="s">
        <v>3</v>
      </c>
      <c r="J611" s="3" t="s">
        <v>3</v>
      </c>
      <c r="K611" s="3" t="s">
        <v>3</v>
      </c>
      <c r="L611" s="3" t="s">
        <v>3</v>
      </c>
      <c r="M611" s="3" t="s">
        <v>3</v>
      </c>
    </row>
    <row r="612" spans="1:13" x14ac:dyDescent="0.3">
      <c r="A612" s="3" t="s">
        <v>251</v>
      </c>
      <c r="B612" s="3">
        <v>315220</v>
      </c>
      <c r="C612" s="3" t="s">
        <v>251</v>
      </c>
      <c r="D612" s="3" t="s">
        <v>126</v>
      </c>
      <c r="E612" s="3" t="s">
        <v>251</v>
      </c>
      <c r="F612" s="3" t="s">
        <v>681</v>
      </c>
      <c r="G612" s="3">
        <v>100</v>
      </c>
      <c r="H612" s="3">
        <v>43</v>
      </c>
      <c r="I612" s="3">
        <v>37</v>
      </c>
      <c r="J612" s="3">
        <v>34</v>
      </c>
      <c r="K612" s="3">
        <v>109</v>
      </c>
      <c r="L612" s="3">
        <v>203</v>
      </c>
      <c r="M612" s="3">
        <v>141</v>
      </c>
    </row>
    <row r="613" spans="1:13" x14ac:dyDescent="0.3">
      <c r="A613" s="3" t="s">
        <v>79</v>
      </c>
      <c r="B613" s="3">
        <v>315230</v>
      </c>
      <c r="C613" s="3" t="s">
        <v>79</v>
      </c>
      <c r="D613" s="3" t="s">
        <v>7</v>
      </c>
      <c r="E613" s="3" t="s">
        <v>79</v>
      </c>
      <c r="F613" s="3" t="s">
        <v>682</v>
      </c>
      <c r="G613" s="3" t="s">
        <v>3</v>
      </c>
      <c r="H613" s="3" t="s">
        <v>3</v>
      </c>
      <c r="I613" s="3" t="s">
        <v>3</v>
      </c>
      <c r="J613" s="3" t="s">
        <v>3</v>
      </c>
      <c r="K613" s="3" t="s">
        <v>3</v>
      </c>
      <c r="L613" s="3" t="s">
        <v>3</v>
      </c>
      <c r="M613" s="3" t="s">
        <v>3</v>
      </c>
    </row>
    <row r="614" spans="1:13" x14ac:dyDescent="0.3">
      <c r="A614" s="3" t="s">
        <v>64</v>
      </c>
      <c r="B614" s="3">
        <v>315240</v>
      </c>
      <c r="C614" s="3" t="s">
        <v>64</v>
      </c>
      <c r="D614" s="3" t="s">
        <v>24</v>
      </c>
      <c r="E614" s="3" t="s">
        <v>64</v>
      </c>
      <c r="F614" s="3" t="s">
        <v>683</v>
      </c>
      <c r="G614" s="3" t="s">
        <v>3</v>
      </c>
      <c r="H614" s="3" t="s">
        <v>3</v>
      </c>
      <c r="I614" s="3" t="s">
        <v>3</v>
      </c>
      <c r="J614" s="3" t="s">
        <v>3</v>
      </c>
      <c r="K614" s="3" t="s">
        <v>3</v>
      </c>
      <c r="L614" s="3" t="s">
        <v>3</v>
      </c>
      <c r="M614" s="3" t="s">
        <v>3</v>
      </c>
    </row>
    <row r="615" spans="1:13" x14ac:dyDescent="0.3">
      <c r="A615" s="3" t="s">
        <v>145</v>
      </c>
      <c r="B615" s="3">
        <v>315250</v>
      </c>
      <c r="C615" s="3" t="s">
        <v>145</v>
      </c>
      <c r="D615" s="3" t="s">
        <v>31</v>
      </c>
      <c r="E615" s="3" t="s">
        <v>145</v>
      </c>
      <c r="F615" s="3" t="s">
        <v>145</v>
      </c>
      <c r="G615" s="3">
        <v>116</v>
      </c>
      <c r="H615" s="3">
        <v>125</v>
      </c>
      <c r="I615" s="3">
        <v>60</v>
      </c>
      <c r="J615" s="3">
        <v>60</v>
      </c>
      <c r="K615" s="3">
        <v>114</v>
      </c>
      <c r="L615" s="3">
        <v>272</v>
      </c>
      <c r="M615" s="3">
        <v>453</v>
      </c>
    </row>
    <row r="616" spans="1:13" x14ac:dyDescent="0.3">
      <c r="A616" s="3" t="s">
        <v>32</v>
      </c>
      <c r="B616" s="3">
        <v>315260</v>
      </c>
      <c r="C616" s="3" t="s">
        <v>32</v>
      </c>
      <c r="D616" s="3" t="s">
        <v>31</v>
      </c>
      <c r="E616" s="3" t="s">
        <v>32</v>
      </c>
      <c r="F616" s="3" t="s">
        <v>684</v>
      </c>
      <c r="G616" s="3">
        <v>3</v>
      </c>
      <c r="H616" s="3">
        <v>3</v>
      </c>
      <c r="I616" s="3">
        <v>4</v>
      </c>
      <c r="J616" s="3">
        <v>3</v>
      </c>
      <c r="K616" s="3" t="s">
        <v>3</v>
      </c>
      <c r="L616" s="3">
        <v>2</v>
      </c>
      <c r="M616" s="3">
        <v>1</v>
      </c>
    </row>
    <row r="617" spans="1:13" x14ac:dyDescent="0.3">
      <c r="A617" s="3" t="s">
        <v>114</v>
      </c>
      <c r="B617" s="3">
        <v>315270</v>
      </c>
      <c r="C617" s="3" t="s">
        <v>114</v>
      </c>
      <c r="D617" s="3" t="s">
        <v>42</v>
      </c>
      <c r="E617" s="3" t="s">
        <v>114</v>
      </c>
      <c r="F617" s="3" t="s">
        <v>685</v>
      </c>
      <c r="G617" s="3" t="s">
        <v>3</v>
      </c>
      <c r="H617" s="3" t="s">
        <v>3</v>
      </c>
      <c r="I617" s="3" t="s">
        <v>3</v>
      </c>
      <c r="J617" s="3" t="s">
        <v>3</v>
      </c>
      <c r="K617" s="3" t="s">
        <v>3</v>
      </c>
      <c r="L617" s="3" t="s">
        <v>3</v>
      </c>
      <c r="M617" s="3" t="s">
        <v>3</v>
      </c>
    </row>
    <row r="618" spans="1:13" x14ac:dyDescent="0.3">
      <c r="A618" s="3" t="s">
        <v>76</v>
      </c>
      <c r="B618" s="3">
        <v>315280</v>
      </c>
      <c r="C618" s="3" t="s">
        <v>76</v>
      </c>
      <c r="D618" s="3" t="s">
        <v>0</v>
      </c>
      <c r="E618" s="3" t="s">
        <v>76</v>
      </c>
      <c r="F618" s="3" t="s">
        <v>686</v>
      </c>
      <c r="G618" s="3">
        <v>47</v>
      </c>
      <c r="H618" s="3">
        <v>38</v>
      </c>
      <c r="I618" s="3">
        <v>37</v>
      </c>
      <c r="J618" s="3">
        <v>33</v>
      </c>
      <c r="K618" s="3">
        <v>31</v>
      </c>
      <c r="L618" s="3">
        <v>38</v>
      </c>
      <c r="M618" s="3">
        <v>17</v>
      </c>
    </row>
    <row r="619" spans="1:13" x14ac:dyDescent="0.3">
      <c r="A619" s="3" t="s">
        <v>458</v>
      </c>
      <c r="B619" s="3">
        <v>315290</v>
      </c>
      <c r="C619" s="3" t="s">
        <v>458</v>
      </c>
      <c r="D619" s="3" t="s">
        <v>31</v>
      </c>
      <c r="E619" s="3" t="s">
        <v>458</v>
      </c>
      <c r="F619" s="3" t="s">
        <v>687</v>
      </c>
      <c r="G619" s="3" t="s">
        <v>3</v>
      </c>
      <c r="H619" s="3" t="s">
        <v>3</v>
      </c>
      <c r="I619" s="3" t="s">
        <v>3</v>
      </c>
      <c r="J619" s="3" t="s">
        <v>3</v>
      </c>
      <c r="K619" s="3" t="s">
        <v>3</v>
      </c>
      <c r="L619" s="3" t="s">
        <v>3</v>
      </c>
      <c r="M619" s="3" t="s">
        <v>3</v>
      </c>
    </row>
    <row r="620" spans="1:13" x14ac:dyDescent="0.3">
      <c r="A620" s="3" t="s">
        <v>87</v>
      </c>
      <c r="B620" s="3">
        <v>315300</v>
      </c>
      <c r="C620" s="3" t="s">
        <v>87</v>
      </c>
      <c r="D620" s="3" t="s">
        <v>18</v>
      </c>
      <c r="E620" s="3" t="s">
        <v>87</v>
      </c>
      <c r="F620" s="3" t="s">
        <v>688</v>
      </c>
      <c r="G620" s="3" t="s">
        <v>3</v>
      </c>
      <c r="H620" s="3" t="s">
        <v>3</v>
      </c>
      <c r="I620" s="3" t="s">
        <v>3</v>
      </c>
      <c r="J620" s="3" t="s">
        <v>3</v>
      </c>
      <c r="K620" s="3" t="s">
        <v>3</v>
      </c>
      <c r="L620" s="3" t="s">
        <v>3</v>
      </c>
      <c r="M620" s="3" t="s">
        <v>3</v>
      </c>
    </row>
    <row r="621" spans="1:13" x14ac:dyDescent="0.3">
      <c r="A621" s="3" t="s">
        <v>160</v>
      </c>
      <c r="B621" s="3">
        <v>315310</v>
      </c>
      <c r="C621" s="3" t="s">
        <v>160</v>
      </c>
      <c r="D621" s="3" t="s">
        <v>37</v>
      </c>
      <c r="E621" s="3" t="s">
        <v>160</v>
      </c>
      <c r="F621" s="3" t="s">
        <v>689</v>
      </c>
      <c r="G621" s="3" t="s">
        <v>3</v>
      </c>
      <c r="H621" s="3" t="s">
        <v>3</v>
      </c>
      <c r="I621" s="3" t="s">
        <v>3</v>
      </c>
      <c r="J621" s="3" t="s">
        <v>3</v>
      </c>
      <c r="K621" s="3" t="s">
        <v>3</v>
      </c>
      <c r="L621" s="3" t="s">
        <v>3</v>
      </c>
      <c r="M621" s="3" t="s">
        <v>3</v>
      </c>
    </row>
    <row r="622" spans="1:13" x14ac:dyDescent="0.3">
      <c r="A622" s="3" t="s">
        <v>102</v>
      </c>
      <c r="B622" s="3">
        <v>315320</v>
      </c>
      <c r="C622" s="3" t="s">
        <v>102</v>
      </c>
      <c r="D622" s="3" t="s">
        <v>4</v>
      </c>
      <c r="E622" s="3" t="s">
        <v>102</v>
      </c>
      <c r="F622" s="3" t="s">
        <v>690</v>
      </c>
      <c r="G622" s="3" t="s">
        <v>3</v>
      </c>
      <c r="H622" s="3" t="s">
        <v>3</v>
      </c>
      <c r="I622" s="3" t="s">
        <v>3</v>
      </c>
      <c r="J622" s="3" t="s">
        <v>3</v>
      </c>
      <c r="K622" s="3" t="s">
        <v>3</v>
      </c>
      <c r="L622" s="3" t="s">
        <v>3</v>
      </c>
      <c r="M622" s="3" t="s">
        <v>3</v>
      </c>
    </row>
    <row r="623" spans="1:13" x14ac:dyDescent="0.3">
      <c r="A623" s="3" t="s">
        <v>222</v>
      </c>
      <c r="B623" s="3">
        <v>315330</v>
      </c>
      <c r="C623" s="3" t="s">
        <v>222</v>
      </c>
      <c r="D623" s="3" t="s">
        <v>56</v>
      </c>
      <c r="E623" s="3" t="s">
        <v>222</v>
      </c>
      <c r="F623" s="3" t="s">
        <v>691</v>
      </c>
      <c r="G623" s="3" t="s">
        <v>3</v>
      </c>
      <c r="H623" s="3" t="s">
        <v>3</v>
      </c>
      <c r="I623" s="3" t="s">
        <v>3</v>
      </c>
      <c r="J623" s="3" t="s">
        <v>3</v>
      </c>
      <c r="K623" s="3" t="s">
        <v>3</v>
      </c>
      <c r="L623" s="3" t="s">
        <v>3</v>
      </c>
      <c r="M623" s="3" t="s">
        <v>3</v>
      </c>
    </row>
    <row r="624" spans="1:13" x14ac:dyDescent="0.3">
      <c r="A624" s="3" t="s">
        <v>316</v>
      </c>
      <c r="B624" s="3">
        <v>315340</v>
      </c>
      <c r="C624" s="3" t="s">
        <v>316</v>
      </c>
      <c r="D624" s="3" t="s">
        <v>82</v>
      </c>
      <c r="E624" s="3" t="s">
        <v>316</v>
      </c>
      <c r="F624" s="3" t="s">
        <v>692</v>
      </c>
      <c r="G624" s="3">
        <v>26</v>
      </c>
      <c r="H624" s="3">
        <v>6</v>
      </c>
      <c r="I624" s="3">
        <v>10</v>
      </c>
      <c r="J624" s="3">
        <v>8</v>
      </c>
      <c r="K624" s="3">
        <v>67</v>
      </c>
      <c r="L624" s="3">
        <v>83</v>
      </c>
      <c r="M624" s="3">
        <v>68</v>
      </c>
    </row>
    <row r="625" spans="1:13" x14ac:dyDescent="0.3">
      <c r="A625" s="3" t="s">
        <v>8</v>
      </c>
      <c r="B625" s="3">
        <v>315350</v>
      </c>
      <c r="C625" s="3" t="s">
        <v>8</v>
      </c>
      <c r="D625" s="3" t="s">
        <v>7</v>
      </c>
      <c r="E625" s="3" t="s">
        <v>8</v>
      </c>
      <c r="F625" s="3" t="s">
        <v>693</v>
      </c>
      <c r="G625" s="3" t="s">
        <v>3</v>
      </c>
      <c r="H625" s="3" t="s">
        <v>3</v>
      </c>
      <c r="I625" s="3" t="s">
        <v>3</v>
      </c>
      <c r="J625" s="3" t="s">
        <v>3</v>
      </c>
      <c r="K625" s="3" t="s">
        <v>3</v>
      </c>
      <c r="L625" s="3" t="s">
        <v>3</v>
      </c>
      <c r="M625" s="3" t="s">
        <v>3</v>
      </c>
    </row>
    <row r="626" spans="1:13" x14ac:dyDescent="0.3">
      <c r="A626" s="3" t="s">
        <v>5</v>
      </c>
      <c r="B626" s="3">
        <v>315360</v>
      </c>
      <c r="C626" s="3" t="s">
        <v>5</v>
      </c>
      <c r="D626" s="3" t="s">
        <v>4</v>
      </c>
      <c r="E626" s="3" t="s">
        <v>5</v>
      </c>
      <c r="F626" s="3" t="s">
        <v>694</v>
      </c>
      <c r="G626" s="3" t="s">
        <v>3</v>
      </c>
      <c r="H626" s="3" t="s">
        <v>3</v>
      </c>
      <c r="I626" s="3" t="s">
        <v>3</v>
      </c>
      <c r="J626" s="3" t="s">
        <v>3</v>
      </c>
      <c r="K626" s="3" t="s">
        <v>3</v>
      </c>
      <c r="L626" s="3" t="s">
        <v>3</v>
      </c>
      <c r="M626" s="3" t="s">
        <v>3</v>
      </c>
    </row>
    <row r="627" spans="1:13" x14ac:dyDescent="0.3">
      <c r="A627" s="3" t="s">
        <v>5</v>
      </c>
      <c r="B627" s="3">
        <v>315370</v>
      </c>
      <c r="C627" s="3" t="s">
        <v>5</v>
      </c>
      <c r="D627" s="3" t="s">
        <v>4</v>
      </c>
      <c r="E627" s="3" t="s">
        <v>5</v>
      </c>
      <c r="F627" s="3" t="s">
        <v>695</v>
      </c>
      <c r="G627" s="3" t="s">
        <v>3</v>
      </c>
      <c r="H627" s="3" t="s">
        <v>3</v>
      </c>
      <c r="I627" s="3" t="s">
        <v>3</v>
      </c>
      <c r="J627" s="3" t="s">
        <v>3</v>
      </c>
      <c r="K627" s="3" t="s">
        <v>3</v>
      </c>
      <c r="L627" s="3" t="s">
        <v>3</v>
      </c>
      <c r="M627" s="3" t="s">
        <v>3</v>
      </c>
    </row>
    <row r="628" spans="1:13" x14ac:dyDescent="0.3">
      <c r="A628" s="3" t="s">
        <v>219</v>
      </c>
      <c r="B628" s="3">
        <v>315380</v>
      </c>
      <c r="C628" s="3" t="s">
        <v>219</v>
      </c>
      <c r="D628" s="3" t="s">
        <v>42</v>
      </c>
      <c r="E628" s="3" t="s">
        <v>219</v>
      </c>
      <c r="F628" s="3" t="s">
        <v>696</v>
      </c>
      <c r="G628" s="3" t="s">
        <v>3</v>
      </c>
      <c r="H628" s="3" t="s">
        <v>3</v>
      </c>
      <c r="I628" s="3" t="s">
        <v>3</v>
      </c>
      <c r="J628" s="3" t="s">
        <v>3</v>
      </c>
      <c r="K628" s="3" t="s">
        <v>3</v>
      </c>
      <c r="L628" s="3" t="s">
        <v>3</v>
      </c>
      <c r="M628" s="3" t="s">
        <v>3</v>
      </c>
    </row>
    <row r="629" spans="1:13" x14ac:dyDescent="0.3">
      <c r="A629" s="3" t="s">
        <v>120</v>
      </c>
      <c r="B629" s="3">
        <v>315390</v>
      </c>
      <c r="C629" s="3" t="s">
        <v>120</v>
      </c>
      <c r="D629" s="3" t="s">
        <v>4</v>
      </c>
      <c r="E629" s="3" t="s">
        <v>120</v>
      </c>
      <c r="F629" s="3" t="s">
        <v>697</v>
      </c>
      <c r="G629" s="3" t="s">
        <v>3</v>
      </c>
      <c r="H629" s="3" t="s">
        <v>3</v>
      </c>
      <c r="I629" s="3" t="s">
        <v>3</v>
      </c>
      <c r="J629" s="3" t="s">
        <v>3</v>
      </c>
      <c r="K629" s="3" t="s">
        <v>3</v>
      </c>
      <c r="L629" s="3" t="s">
        <v>3</v>
      </c>
      <c r="M629" s="3" t="s">
        <v>3</v>
      </c>
    </row>
    <row r="630" spans="1:13" x14ac:dyDescent="0.3">
      <c r="A630" s="3" t="s">
        <v>10</v>
      </c>
      <c r="B630" s="3">
        <v>315400</v>
      </c>
      <c r="C630" s="3" t="s">
        <v>10</v>
      </c>
      <c r="D630" s="3" t="s">
        <v>7</v>
      </c>
      <c r="E630" s="3" t="s">
        <v>10</v>
      </c>
      <c r="F630" s="3" t="s">
        <v>698</v>
      </c>
      <c r="G630" s="3">
        <v>60</v>
      </c>
      <c r="H630" s="3">
        <v>56</v>
      </c>
      <c r="I630" s="3">
        <v>19</v>
      </c>
      <c r="J630" s="3">
        <v>22</v>
      </c>
      <c r="K630" s="3">
        <v>50</v>
      </c>
      <c r="L630" s="3">
        <v>66</v>
      </c>
      <c r="M630" s="3">
        <v>64</v>
      </c>
    </row>
    <row r="631" spans="1:13" x14ac:dyDescent="0.3">
      <c r="A631" s="3" t="s">
        <v>94</v>
      </c>
      <c r="B631" s="3">
        <v>315410</v>
      </c>
      <c r="C631" s="3" t="s">
        <v>94</v>
      </c>
      <c r="D631" s="3" t="s">
        <v>37</v>
      </c>
      <c r="E631" s="3" t="s">
        <v>94</v>
      </c>
      <c r="F631" s="3" t="s">
        <v>699</v>
      </c>
      <c r="G631" s="3">
        <v>15</v>
      </c>
      <c r="H631" s="3">
        <v>21</v>
      </c>
      <c r="I631" s="3">
        <v>24</v>
      </c>
      <c r="J631" s="3">
        <v>15</v>
      </c>
      <c r="K631" s="3">
        <v>11</v>
      </c>
      <c r="L631" s="3">
        <v>25</v>
      </c>
      <c r="M631" s="3">
        <v>22</v>
      </c>
    </row>
    <row r="632" spans="1:13" x14ac:dyDescent="0.3">
      <c r="A632" s="3" t="s">
        <v>8</v>
      </c>
      <c r="B632" s="3">
        <v>315415</v>
      </c>
      <c r="C632" s="3" t="s">
        <v>8</v>
      </c>
      <c r="D632" s="3" t="s">
        <v>7</v>
      </c>
      <c r="E632" s="3" t="s">
        <v>8</v>
      </c>
      <c r="F632" s="3" t="s">
        <v>700</v>
      </c>
      <c r="G632" s="3" t="s">
        <v>3</v>
      </c>
      <c r="H632" s="3" t="s">
        <v>3</v>
      </c>
      <c r="I632" s="3" t="s">
        <v>3</v>
      </c>
      <c r="J632" s="3" t="s">
        <v>3</v>
      </c>
      <c r="K632" s="3" t="s">
        <v>3</v>
      </c>
      <c r="L632" s="3" t="s">
        <v>3</v>
      </c>
      <c r="M632" s="3" t="s">
        <v>3</v>
      </c>
    </row>
    <row r="633" spans="1:13" x14ac:dyDescent="0.3">
      <c r="A633" s="3" t="s">
        <v>114</v>
      </c>
      <c r="B633" s="3">
        <v>315420</v>
      </c>
      <c r="C633" s="3" t="s">
        <v>114</v>
      </c>
      <c r="D633" s="3" t="s">
        <v>42</v>
      </c>
      <c r="E633" s="3" t="s">
        <v>114</v>
      </c>
      <c r="F633" s="3" t="s">
        <v>701</v>
      </c>
      <c r="G633" s="3">
        <v>45</v>
      </c>
      <c r="H633" s="3">
        <v>39</v>
      </c>
      <c r="I633" s="3">
        <v>26</v>
      </c>
      <c r="J633" s="3">
        <v>26</v>
      </c>
      <c r="K633" s="3">
        <v>39</v>
      </c>
      <c r="L633" s="3">
        <v>50</v>
      </c>
      <c r="M633" s="3">
        <v>59</v>
      </c>
    </row>
    <row r="634" spans="1:13" x14ac:dyDescent="0.3">
      <c r="A634" s="3" t="s">
        <v>29</v>
      </c>
      <c r="B634" s="3">
        <v>315430</v>
      </c>
      <c r="C634" s="3" t="s">
        <v>29</v>
      </c>
      <c r="D634" s="3" t="s">
        <v>15</v>
      </c>
      <c r="E634" s="3" t="s">
        <v>29</v>
      </c>
      <c r="F634" s="3" t="s">
        <v>29</v>
      </c>
      <c r="G634" s="3">
        <v>83</v>
      </c>
      <c r="H634" s="3">
        <v>111</v>
      </c>
      <c r="I634" s="3">
        <v>42</v>
      </c>
      <c r="J634" s="3">
        <v>77</v>
      </c>
      <c r="K634" s="3">
        <v>115</v>
      </c>
      <c r="L634" s="3">
        <v>83</v>
      </c>
      <c r="M634" s="3">
        <v>72</v>
      </c>
    </row>
    <row r="635" spans="1:13" x14ac:dyDescent="0.3">
      <c r="A635" s="3" t="s">
        <v>43</v>
      </c>
      <c r="B635" s="3">
        <v>315440</v>
      </c>
      <c r="C635" s="3" t="s">
        <v>43</v>
      </c>
      <c r="D635" s="3" t="s">
        <v>42</v>
      </c>
      <c r="E635" s="3" t="s">
        <v>43</v>
      </c>
      <c r="F635" s="3" t="s">
        <v>702</v>
      </c>
      <c r="G635" s="3" t="s">
        <v>3</v>
      </c>
      <c r="H635" s="3" t="s">
        <v>3</v>
      </c>
      <c r="I635" s="3" t="s">
        <v>3</v>
      </c>
      <c r="J635" s="3" t="s">
        <v>3</v>
      </c>
      <c r="K635" s="3" t="s">
        <v>3</v>
      </c>
      <c r="L635" s="3" t="s">
        <v>3</v>
      </c>
      <c r="M635" s="3" t="s">
        <v>3</v>
      </c>
    </row>
    <row r="636" spans="1:13" x14ac:dyDescent="0.3">
      <c r="A636" s="3" t="s">
        <v>98</v>
      </c>
      <c r="B636" s="3">
        <v>315445</v>
      </c>
      <c r="C636" s="3" t="s">
        <v>98</v>
      </c>
      <c r="D636" s="3" t="s">
        <v>82</v>
      </c>
      <c r="E636" s="3" t="s">
        <v>98</v>
      </c>
      <c r="F636" s="3" t="s">
        <v>703</v>
      </c>
      <c r="G636" s="3" t="s">
        <v>3</v>
      </c>
      <c r="H636" s="3" t="s">
        <v>3</v>
      </c>
      <c r="I636" s="3" t="s">
        <v>3</v>
      </c>
      <c r="J636" s="3" t="s">
        <v>3</v>
      </c>
      <c r="K636" s="3" t="s">
        <v>3</v>
      </c>
      <c r="L636" s="3" t="s">
        <v>3</v>
      </c>
      <c r="M636" s="3" t="s">
        <v>3</v>
      </c>
    </row>
    <row r="637" spans="1:13" x14ac:dyDescent="0.3">
      <c r="A637" s="3" t="s">
        <v>251</v>
      </c>
      <c r="B637" s="3">
        <v>315450</v>
      </c>
      <c r="C637" s="3" t="s">
        <v>251</v>
      </c>
      <c r="D637" s="3" t="s">
        <v>126</v>
      </c>
      <c r="E637" s="3" t="s">
        <v>251</v>
      </c>
      <c r="F637" s="3" t="s">
        <v>704</v>
      </c>
      <c r="G637" s="3" t="s">
        <v>3</v>
      </c>
      <c r="H637" s="3" t="s">
        <v>3</v>
      </c>
      <c r="I637" s="3" t="s">
        <v>3</v>
      </c>
      <c r="J637" s="3" t="s">
        <v>3</v>
      </c>
      <c r="K637" s="3" t="s">
        <v>3</v>
      </c>
      <c r="L637" s="3" t="s">
        <v>3</v>
      </c>
      <c r="M637" s="3" t="s">
        <v>3</v>
      </c>
    </row>
    <row r="638" spans="1:13" x14ac:dyDescent="0.3">
      <c r="A638" s="3" t="s">
        <v>120</v>
      </c>
      <c r="B638" s="3">
        <v>315460</v>
      </c>
      <c r="C638" s="3" t="s">
        <v>120</v>
      </c>
      <c r="D638" s="3" t="s">
        <v>4</v>
      </c>
      <c r="E638" s="3" t="s">
        <v>120</v>
      </c>
      <c r="F638" s="3" t="s">
        <v>705</v>
      </c>
      <c r="G638" s="3">
        <v>320</v>
      </c>
      <c r="H638" s="3">
        <v>263</v>
      </c>
      <c r="I638" s="3">
        <v>113</v>
      </c>
      <c r="J638" s="3">
        <v>87</v>
      </c>
      <c r="K638" s="3">
        <v>328</v>
      </c>
      <c r="L638" s="3">
        <v>292</v>
      </c>
      <c r="M638" s="3">
        <v>355</v>
      </c>
    </row>
    <row r="639" spans="1:13" x14ac:dyDescent="0.3">
      <c r="A639" s="3" t="s">
        <v>239</v>
      </c>
      <c r="B639" s="3">
        <v>315470</v>
      </c>
      <c r="C639" s="3" t="s">
        <v>239</v>
      </c>
      <c r="D639" s="3" t="s">
        <v>31</v>
      </c>
      <c r="E639" s="3" t="s">
        <v>239</v>
      </c>
      <c r="F639" s="3" t="s">
        <v>706</v>
      </c>
      <c r="G639" s="3" t="s">
        <v>3</v>
      </c>
      <c r="H639" s="3" t="s">
        <v>3</v>
      </c>
      <c r="I639" s="3" t="s">
        <v>3</v>
      </c>
      <c r="J639" s="3" t="s">
        <v>3</v>
      </c>
      <c r="K639" s="3" t="s">
        <v>3</v>
      </c>
      <c r="L639" s="3" t="s">
        <v>3</v>
      </c>
      <c r="M639" s="3" t="s">
        <v>3</v>
      </c>
    </row>
    <row r="640" spans="1:13" x14ac:dyDescent="0.3">
      <c r="A640" s="3" t="s">
        <v>120</v>
      </c>
      <c r="B640" s="3">
        <v>315480</v>
      </c>
      <c r="C640" s="3" t="s">
        <v>120</v>
      </c>
      <c r="D640" s="3" t="s">
        <v>4</v>
      </c>
      <c r="E640" s="3" t="s">
        <v>120</v>
      </c>
      <c r="F640" s="3" t="s">
        <v>707</v>
      </c>
      <c r="G640" s="3" t="s">
        <v>3</v>
      </c>
      <c r="H640" s="3" t="s">
        <v>3</v>
      </c>
      <c r="I640" s="3" t="s">
        <v>3</v>
      </c>
      <c r="J640" s="3" t="s">
        <v>3</v>
      </c>
      <c r="K640" s="3" t="s">
        <v>3</v>
      </c>
      <c r="L640" s="3" t="s">
        <v>3</v>
      </c>
      <c r="M640" s="3" t="s">
        <v>3</v>
      </c>
    </row>
    <row r="641" spans="1:13" x14ac:dyDescent="0.3">
      <c r="A641" s="3" t="s">
        <v>10</v>
      </c>
      <c r="B641" s="3">
        <v>315490</v>
      </c>
      <c r="C641" s="3" t="s">
        <v>10</v>
      </c>
      <c r="D641" s="3" t="s">
        <v>7</v>
      </c>
      <c r="E641" s="3" t="s">
        <v>10</v>
      </c>
      <c r="F641" s="3" t="s">
        <v>708</v>
      </c>
      <c r="G641" s="3">
        <v>62</v>
      </c>
      <c r="H641" s="3">
        <v>45</v>
      </c>
      <c r="I641" s="3">
        <v>59</v>
      </c>
      <c r="J641" s="3">
        <v>64</v>
      </c>
      <c r="K641" s="3">
        <v>53</v>
      </c>
      <c r="L641" s="3">
        <v>85</v>
      </c>
      <c r="M641" s="3">
        <v>90</v>
      </c>
    </row>
    <row r="642" spans="1:13" x14ac:dyDescent="0.3">
      <c r="A642" s="3" t="s">
        <v>10</v>
      </c>
      <c r="B642" s="3">
        <v>315500</v>
      </c>
      <c r="C642" s="3" t="s">
        <v>10</v>
      </c>
      <c r="D642" s="3" t="s">
        <v>7</v>
      </c>
      <c r="E642" s="3" t="s">
        <v>10</v>
      </c>
      <c r="F642" s="3" t="s">
        <v>709</v>
      </c>
      <c r="G642" s="3" t="s">
        <v>3</v>
      </c>
      <c r="H642" s="3" t="s">
        <v>3</v>
      </c>
      <c r="I642" s="3" t="s">
        <v>3</v>
      </c>
      <c r="J642" s="3" t="s">
        <v>3</v>
      </c>
      <c r="K642" s="3" t="s">
        <v>3</v>
      </c>
      <c r="L642" s="3" t="s">
        <v>3</v>
      </c>
      <c r="M642" s="3" t="s">
        <v>3</v>
      </c>
    </row>
    <row r="643" spans="1:13" x14ac:dyDescent="0.3">
      <c r="A643" s="3" t="s">
        <v>45</v>
      </c>
      <c r="B643" s="3">
        <v>315510</v>
      </c>
      <c r="C643" s="3" t="s">
        <v>45</v>
      </c>
      <c r="D643" s="3" t="s">
        <v>24</v>
      </c>
      <c r="E643" s="3" t="s">
        <v>45</v>
      </c>
      <c r="F643" s="3" t="s">
        <v>710</v>
      </c>
      <c r="G643" s="3" t="s">
        <v>3</v>
      </c>
      <c r="H643" s="3" t="s">
        <v>3</v>
      </c>
      <c r="I643" s="3" t="s">
        <v>3</v>
      </c>
      <c r="J643" s="3" t="s">
        <v>3</v>
      </c>
      <c r="K643" s="3" t="s">
        <v>3</v>
      </c>
      <c r="L643" s="3" t="s">
        <v>3</v>
      </c>
      <c r="M643" s="3" t="s">
        <v>3</v>
      </c>
    </row>
    <row r="644" spans="1:13" x14ac:dyDescent="0.3">
      <c r="A644" s="3" t="s">
        <v>219</v>
      </c>
      <c r="B644" s="3">
        <v>315520</v>
      </c>
      <c r="C644" s="3" t="s">
        <v>219</v>
      </c>
      <c r="D644" s="3" t="s">
        <v>42</v>
      </c>
      <c r="E644" s="3" t="s">
        <v>219</v>
      </c>
      <c r="F644" s="3" t="s">
        <v>711</v>
      </c>
      <c r="G644" s="3" t="s">
        <v>3</v>
      </c>
      <c r="H644" s="3" t="s">
        <v>3</v>
      </c>
      <c r="I644" s="3" t="s">
        <v>3</v>
      </c>
      <c r="J644" s="3" t="s">
        <v>3</v>
      </c>
      <c r="K644" s="3" t="s">
        <v>3</v>
      </c>
      <c r="L644" s="3" t="s">
        <v>3</v>
      </c>
      <c r="M644" s="3" t="s">
        <v>3</v>
      </c>
    </row>
    <row r="645" spans="1:13" x14ac:dyDescent="0.3">
      <c r="A645" s="3" t="s">
        <v>129</v>
      </c>
      <c r="B645" s="3">
        <v>315530</v>
      </c>
      <c r="C645" s="3" t="s">
        <v>129</v>
      </c>
      <c r="D645" s="3" t="s">
        <v>4</v>
      </c>
      <c r="E645" s="3" t="s">
        <v>129</v>
      </c>
      <c r="F645" s="3" t="s">
        <v>712</v>
      </c>
      <c r="G645" s="3" t="s">
        <v>3</v>
      </c>
      <c r="H645" s="3" t="s">
        <v>3</v>
      </c>
      <c r="I645" s="3" t="s">
        <v>3</v>
      </c>
      <c r="J645" s="3" t="s">
        <v>3</v>
      </c>
      <c r="K645" s="3" t="s">
        <v>3</v>
      </c>
      <c r="L645" s="3" t="s">
        <v>3</v>
      </c>
      <c r="M645" s="3" t="s">
        <v>3</v>
      </c>
    </row>
    <row r="646" spans="1:13" x14ac:dyDescent="0.3">
      <c r="A646" s="3" t="s">
        <v>118</v>
      </c>
      <c r="B646" s="3">
        <v>315540</v>
      </c>
      <c r="C646" s="3" t="s">
        <v>118</v>
      </c>
      <c r="D646" s="3" t="s">
        <v>37</v>
      </c>
      <c r="E646" s="3" t="s">
        <v>118</v>
      </c>
      <c r="F646" s="3" t="s">
        <v>713</v>
      </c>
      <c r="G646" s="3" t="s">
        <v>3</v>
      </c>
      <c r="H646" s="3" t="s">
        <v>3</v>
      </c>
      <c r="I646" s="3" t="s">
        <v>3</v>
      </c>
      <c r="J646" s="3" t="s">
        <v>3</v>
      </c>
      <c r="K646" s="3" t="s">
        <v>3</v>
      </c>
      <c r="L646" s="3" t="s">
        <v>3</v>
      </c>
      <c r="M646" s="3" t="s">
        <v>3</v>
      </c>
    </row>
    <row r="647" spans="1:13" x14ac:dyDescent="0.3">
      <c r="A647" s="3" t="s">
        <v>83</v>
      </c>
      <c r="B647" s="3">
        <v>315550</v>
      </c>
      <c r="C647" s="3" t="s">
        <v>83</v>
      </c>
      <c r="D647" s="3" t="s">
        <v>82</v>
      </c>
      <c r="E647" s="3" t="s">
        <v>83</v>
      </c>
      <c r="F647" s="3" t="s">
        <v>714</v>
      </c>
      <c r="G647" s="3" t="s">
        <v>3</v>
      </c>
      <c r="H647" s="3" t="s">
        <v>3</v>
      </c>
      <c r="I647" s="3" t="s">
        <v>3</v>
      </c>
      <c r="J647" s="3" t="s">
        <v>3</v>
      </c>
      <c r="K647" s="3" t="s">
        <v>3</v>
      </c>
      <c r="L647" s="3" t="s">
        <v>3</v>
      </c>
      <c r="M647" s="3">
        <v>2</v>
      </c>
    </row>
    <row r="648" spans="1:13" x14ac:dyDescent="0.3">
      <c r="A648" s="3" t="s">
        <v>127</v>
      </c>
      <c r="B648" s="3">
        <v>315560</v>
      </c>
      <c r="C648" s="3" t="s">
        <v>127</v>
      </c>
      <c r="D648" s="3" t="s">
        <v>126</v>
      </c>
      <c r="E648" s="3" t="s">
        <v>127</v>
      </c>
      <c r="F648" s="3" t="s">
        <v>715</v>
      </c>
      <c r="G648" s="3">
        <v>38</v>
      </c>
      <c r="H648" s="3">
        <v>24</v>
      </c>
      <c r="I648" s="3">
        <v>14</v>
      </c>
      <c r="J648" s="3">
        <v>41</v>
      </c>
      <c r="K648" s="3">
        <v>60</v>
      </c>
      <c r="L648" s="3">
        <v>47</v>
      </c>
      <c r="M648" s="3">
        <v>42</v>
      </c>
    </row>
    <row r="649" spans="1:13" x14ac:dyDescent="0.3">
      <c r="A649" s="3" t="s">
        <v>116</v>
      </c>
      <c r="B649" s="3">
        <v>315570</v>
      </c>
      <c r="C649" s="3" t="s">
        <v>116</v>
      </c>
      <c r="D649" s="3" t="s">
        <v>4</v>
      </c>
      <c r="E649" s="3" t="s">
        <v>116</v>
      </c>
      <c r="F649" s="3" t="s">
        <v>716</v>
      </c>
      <c r="G649" s="3">
        <v>1</v>
      </c>
      <c r="H649" s="3">
        <v>84</v>
      </c>
      <c r="I649" s="3">
        <v>4</v>
      </c>
      <c r="J649" s="3">
        <v>2</v>
      </c>
      <c r="K649" s="3" t="s">
        <v>3</v>
      </c>
      <c r="L649" s="3">
        <v>24</v>
      </c>
      <c r="M649" s="3">
        <v>20</v>
      </c>
    </row>
    <row r="650" spans="1:13" x14ac:dyDescent="0.3">
      <c r="A650" s="3" t="s">
        <v>160</v>
      </c>
      <c r="B650" s="3">
        <v>315580</v>
      </c>
      <c r="C650" s="3" t="s">
        <v>160</v>
      </c>
      <c r="D650" s="3" t="s">
        <v>37</v>
      </c>
      <c r="E650" s="3" t="s">
        <v>160</v>
      </c>
      <c r="F650" s="3" t="s">
        <v>717</v>
      </c>
      <c r="G650" s="3">
        <v>50</v>
      </c>
      <c r="H650" s="3">
        <v>36</v>
      </c>
      <c r="I650" s="3">
        <v>37</v>
      </c>
      <c r="J650" s="3">
        <v>24</v>
      </c>
      <c r="K650" s="3">
        <v>33</v>
      </c>
      <c r="L650" s="3">
        <v>94</v>
      </c>
      <c r="M650" s="3">
        <v>28</v>
      </c>
    </row>
    <row r="651" spans="1:13" x14ac:dyDescent="0.3">
      <c r="A651" s="3" t="s">
        <v>62</v>
      </c>
      <c r="B651" s="3">
        <v>315590</v>
      </c>
      <c r="C651" s="3" t="s">
        <v>62</v>
      </c>
      <c r="D651" s="3" t="s">
        <v>37</v>
      </c>
      <c r="E651" s="3" t="s">
        <v>62</v>
      </c>
      <c r="F651" s="3" t="s">
        <v>718</v>
      </c>
      <c r="G651" s="3" t="s">
        <v>3</v>
      </c>
      <c r="H651" s="3" t="s">
        <v>3</v>
      </c>
      <c r="I651" s="3" t="s">
        <v>3</v>
      </c>
      <c r="J651" s="3" t="s">
        <v>3</v>
      </c>
      <c r="K651" s="3" t="s">
        <v>3</v>
      </c>
      <c r="L651" s="3" t="s">
        <v>3</v>
      </c>
      <c r="M651" s="3" t="s">
        <v>3</v>
      </c>
    </row>
    <row r="652" spans="1:13" x14ac:dyDescent="0.3">
      <c r="A652" s="3" t="s">
        <v>227</v>
      </c>
      <c r="B652" s="3">
        <v>315600</v>
      </c>
      <c r="C652" s="3" t="s">
        <v>227</v>
      </c>
      <c r="D652" s="3" t="s">
        <v>4</v>
      </c>
      <c r="E652" s="3" t="s">
        <v>227</v>
      </c>
      <c r="F652" s="3" t="s">
        <v>719</v>
      </c>
      <c r="G652" s="3" t="s">
        <v>3</v>
      </c>
      <c r="H652" s="3" t="s">
        <v>3</v>
      </c>
      <c r="I652" s="3" t="s">
        <v>3</v>
      </c>
      <c r="J652" s="3" t="s">
        <v>3</v>
      </c>
      <c r="K652" s="3" t="s">
        <v>3</v>
      </c>
      <c r="L652" s="3" t="s">
        <v>3</v>
      </c>
      <c r="M652" s="3" t="s">
        <v>3</v>
      </c>
    </row>
    <row r="653" spans="1:13" x14ac:dyDescent="0.3">
      <c r="A653" s="3" t="s">
        <v>114</v>
      </c>
      <c r="B653" s="3">
        <v>315610</v>
      </c>
      <c r="C653" s="3" t="s">
        <v>114</v>
      </c>
      <c r="D653" s="3" t="s">
        <v>42</v>
      </c>
      <c r="E653" s="3" t="s">
        <v>114</v>
      </c>
      <c r="F653" s="3" t="s">
        <v>720</v>
      </c>
      <c r="G653" s="3" t="s">
        <v>3</v>
      </c>
      <c r="H653" s="3" t="s">
        <v>3</v>
      </c>
      <c r="I653" s="3" t="s">
        <v>3</v>
      </c>
      <c r="J653" s="3" t="s">
        <v>3</v>
      </c>
      <c r="K653" s="3" t="s">
        <v>3</v>
      </c>
      <c r="L653" s="3" t="s">
        <v>3</v>
      </c>
      <c r="M653" s="3" t="s">
        <v>3</v>
      </c>
    </row>
    <row r="654" spans="1:13" x14ac:dyDescent="0.3">
      <c r="A654" s="3" t="s">
        <v>131</v>
      </c>
      <c r="B654" s="3">
        <v>315620</v>
      </c>
      <c r="C654" s="3" t="s">
        <v>131</v>
      </c>
      <c r="D654" s="3" t="s">
        <v>37</v>
      </c>
      <c r="E654" s="3" t="s">
        <v>131</v>
      </c>
      <c r="F654" s="3" t="s">
        <v>721</v>
      </c>
      <c r="G654" s="3" t="s">
        <v>3</v>
      </c>
      <c r="H654" s="3" t="s">
        <v>3</v>
      </c>
      <c r="I654" s="3" t="s">
        <v>3</v>
      </c>
      <c r="J654" s="3" t="s">
        <v>3</v>
      </c>
      <c r="K654" s="3" t="s">
        <v>3</v>
      </c>
      <c r="L654" s="3" t="s">
        <v>3</v>
      </c>
      <c r="M654" s="3" t="s">
        <v>3</v>
      </c>
    </row>
    <row r="655" spans="1:13" x14ac:dyDescent="0.3">
      <c r="A655" s="3" t="s">
        <v>160</v>
      </c>
      <c r="B655" s="3">
        <v>315630</v>
      </c>
      <c r="C655" s="3" t="s">
        <v>160</v>
      </c>
      <c r="D655" s="3" t="s">
        <v>37</v>
      </c>
      <c r="E655" s="3" t="s">
        <v>160</v>
      </c>
      <c r="F655" s="3" t="s">
        <v>722</v>
      </c>
      <c r="G655" s="3" t="s">
        <v>3</v>
      </c>
      <c r="H655" s="3" t="s">
        <v>3</v>
      </c>
      <c r="I655" s="3" t="s">
        <v>3</v>
      </c>
      <c r="J655" s="3" t="s">
        <v>3</v>
      </c>
      <c r="K655" s="3" t="s">
        <v>3</v>
      </c>
      <c r="L655" s="3" t="s">
        <v>3</v>
      </c>
      <c r="M655" s="3" t="s">
        <v>3</v>
      </c>
    </row>
    <row r="656" spans="1:13" x14ac:dyDescent="0.3">
      <c r="A656" s="3" t="s">
        <v>1</v>
      </c>
      <c r="B656" s="3">
        <v>315640</v>
      </c>
      <c r="C656" s="3" t="s">
        <v>1</v>
      </c>
      <c r="D656" s="3" t="s">
        <v>0</v>
      </c>
      <c r="E656" s="3" t="s">
        <v>1</v>
      </c>
      <c r="F656" s="3" t="s">
        <v>723</v>
      </c>
      <c r="G656" s="3" t="s">
        <v>3</v>
      </c>
      <c r="H656" s="3" t="s">
        <v>3</v>
      </c>
      <c r="I656" s="3" t="s">
        <v>3</v>
      </c>
      <c r="J656" s="3" t="s">
        <v>3</v>
      </c>
      <c r="K656" s="3" t="s">
        <v>3</v>
      </c>
      <c r="L656" s="3" t="s">
        <v>3</v>
      </c>
      <c r="M656" s="3" t="s">
        <v>3</v>
      </c>
    </row>
    <row r="657" spans="1:13" x14ac:dyDescent="0.3">
      <c r="A657" s="3" t="s">
        <v>69</v>
      </c>
      <c r="B657" s="3">
        <v>315645</v>
      </c>
      <c r="C657" s="3" t="s">
        <v>69</v>
      </c>
      <c r="D657" s="3" t="s">
        <v>37</v>
      </c>
      <c r="E657" s="3" t="s">
        <v>69</v>
      </c>
      <c r="F657" s="3" t="s">
        <v>724</v>
      </c>
      <c r="G657" s="3" t="s">
        <v>3</v>
      </c>
      <c r="H657" s="3" t="s">
        <v>3</v>
      </c>
      <c r="I657" s="3" t="s">
        <v>3</v>
      </c>
      <c r="J657" s="3" t="s">
        <v>3</v>
      </c>
      <c r="K657" s="3" t="s">
        <v>3</v>
      </c>
      <c r="L657" s="3" t="s">
        <v>3</v>
      </c>
      <c r="M657" s="3" t="s">
        <v>3</v>
      </c>
    </row>
    <row r="658" spans="1:13" x14ac:dyDescent="0.3">
      <c r="A658" s="3" t="s">
        <v>390</v>
      </c>
      <c r="B658" s="3">
        <v>315650</v>
      </c>
      <c r="C658" s="3" t="s">
        <v>390</v>
      </c>
      <c r="D658" s="3" t="s">
        <v>126</v>
      </c>
      <c r="E658" s="3" t="s">
        <v>390</v>
      </c>
      <c r="F658" s="3" t="s">
        <v>725</v>
      </c>
      <c r="G658" s="3" t="s">
        <v>3</v>
      </c>
      <c r="H658" s="3" t="s">
        <v>3</v>
      </c>
      <c r="I658" s="3" t="s">
        <v>3</v>
      </c>
      <c r="J658" s="3" t="s">
        <v>3</v>
      </c>
      <c r="K658" s="3" t="s">
        <v>3</v>
      </c>
      <c r="L658" s="3" t="s">
        <v>3</v>
      </c>
      <c r="M658" s="3" t="s">
        <v>3</v>
      </c>
    </row>
    <row r="659" spans="1:13" x14ac:dyDescent="0.3">
      <c r="A659" s="3" t="s">
        <v>45</v>
      </c>
      <c r="B659" s="3">
        <v>315660</v>
      </c>
      <c r="C659" s="3" t="s">
        <v>45</v>
      </c>
      <c r="D659" s="3" t="s">
        <v>24</v>
      </c>
      <c r="E659" s="3" t="s">
        <v>45</v>
      </c>
      <c r="F659" s="3" t="s">
        <v>726</v>
      </c>
      <c r="G659" s="3">
        <v>20</v>
      </c>
      <c r="H659" s="3">
        <v>3</v>
      </c>
      <c r="I659" s="3">
        <v>2</v>
      </c>
      <c r="J659" s="3">
        <v>6</v>
      </c>
      <c r="K659" s="3">
        <v>35</v>
      </c>
      <c r="L659" s="3">
        <v>41</v>
      </c>
      <c r="M659" s="3">
        <v>24</v>
      </c>
    </row>
    <row r="660" spans="1:13" x14ac:dyDescent="0.3">
      <c r="A660" s="3" t="s">
        <v>120</v>
      </c>
      <c r="B660" s="3">
        <v>315670</v>
      </c>
      <c r="C660" s="3" t="s">
        <v>120</v>
      </c>
      <c r="D660" s="3" t="s">
        <v>4</v>
      </c>
      <c r="E660" s="3" t="s">
        <v>120</v>
      </c>
      <c r="F660" s="3" t="s">
        <v>727</v>
      </c>
      <c r="G660" s="3">
        <v>155</v>
      </c>
      <c r="H660" s="3">
        <v>94</v>
      </c>
      <c r="I660" s="3">
        <v>11</v>
      </c>
      <c r="J660" s="3" t="s">
        <v>3</v>
      </c>
      <c r="K660" s="3">
        <v>10</v>
      </c>
      <c r="L660" s="3" t="s">
        <v>3</v>
      </c>
      <c r="M660" s="3" t="s">
        <v>3</v>
      </c>
    </row>
    <row r="661" spans="1:13" x14ac:dyDescent="0.3">
      <c r="A661" s="3" t="s">
        <v>227</v>
      </c>
      <c r="B661" s="3">
        <v>315680</v>
      </c>
      <c r="C661" s="3" t="s">
        <v>227</v>
      </c>
      <c r="D661" s="3" t="s">
        <v>4</v>
      </c>
      <c r="E661" s="3" t="s">
        <v>227</v>
      </c>
      <c r="F661" s="3" t="s">
        <v>728</v>
      </c>
      <c r="G661" s="3">
        <v>30</v>
      </c>
      <c r="H661" s="3">
        <v>2</v>
      </c>
      <c r="I661" s="3">
        <v>1</v>
      </c>
      <c r="J661" s="3">
        <v>13</v>
      </c>
      <c r="K661" s="3">
        <v>9</v>
      </c>
      <c r="L661" s="3">
        <v>10</v>
      </c>
      <c r="M661" s="3">
        <v>99</v>
      </c>
    </row>
    <row r="662" spans="1:13" x14ac:dyDescent="0.3">
      <c r="A662" s="3" t="s">
        <v>19</v>
      </c>
      <c r="B662" s="3">
        <v>315690</v>
      </c>
      <c r="C662" s="3" t="s">
        <v>19</v>
      </c>
      <c r="D662" s="3" t="s">
        <v>18</v>
      </c>
      <c r="E662" s="3" t="s">
        <v>19</v>
      </c>
      <c r="F662" s="3" t="s">
        <v>729</v>
      </c>
      <c r="G662" s="3">
        <v>82</v>
      </c>
      <c r="H662" s="3">
        <v>75</v>
      </c>
      <c r="I662" s="3">
        <v>28</v>
      </c>
      <c r="J662" s="3">
        <v>26</v>
      </c>
      <c r="K662" s="3">
        <v>51</v>
      </c>
      <c r="L662" s="3">
        <v>84</v>
      </c>
      <c r="M662" s="3">
        <v>99</v>
      </c>
    </row>
    <row r="663" spans="1:13" x14ac:dyDescent="0.3">
      <c r="A663" s="3" t="s">
        <v>390</v>
      </c>
      <c r="B663" s="3">
        <v>315700</v>
      </c>
      <c r="C663" s="3" t="s">
        <v>390</v>
      </c>
      <c r="D663" s="3" t="s">
        <v>126</v>
      </c>
      <c r="E663" s="3" t="s">
        <v>390</v>
      </c>
      <c r="F663" s="3" t="s">
        <v>390</v>
      </c>
      <c r="G663" s="3">
        <v>190</v>
      </c>
      <c r="H663" s="3">
        <v>185</v>
      </c>
      <c r="I663" s="3">
        <v>67</v>
      </c>
      <c r="J663" s="3">
        <v>97</v>
      </c>
      <c r="K663" s="3">
        <v>229</v>
      </c>
      <c r="L663" s="3">
        <v>225</v>
      </c>
      <c r="M663" s="3">
        <v>191</v>
      </c>
    </row>
    <row r="664" spans="1:13" x14ac:dyDescent="0.3">
      <c r="A664" s="3" t="s">
        <v>45</v>
      </c>
      <c r="B664" s="3">
        <v>315710</v>
      </c>
      <c r="C664" s="3" t="s">
        <v>45</v>
      </c>
      <c r="D664" s="3" t="s">
        <v>24</v>
      </c>
      <c r="E664" s="3" t="s">
        <v>45</v>
      </c>
      <c r="F664" s="3" t="s">
        <v>730</v>
      </c>
      <c r="G664" s="3" t="s">
        <v>3</v>
      </c>
      <c r="H664" s="3" t="s">
        <v>3</v>
      </c>
      <c r="I664" s="3" t="s">
        <v>3</v>
      </c>
      <c r="J664" s="3" t="s">
        <v>3</v>
      </c>
      <c r="K664" s="3" t="s">
        <v>3</v>
      </c>
      <c r="L664" s="3" t="s">
        <v>3</v>
      </c>
      <c r="M664" s="3" t="s">
        <v>3</v>
      </c>
    </row>
    <row r="665" spans="1:13" x14ac:dyDescent="0.3">
      <c r="A665" s="3" t="s">
        <v>110</v>
      </c>
      <c r="B665" s="3">
        <v>315720</v>
      </c>
      <c r="C665" s="3" t="s">
        <v>110</v>
      </c>
      <c r="D665" s="3" t="s">
        <v>4</v>
      </c>
      <c r="E665" s="3" t="s">
        <v>110</v>
      </c>
      <c r="F665" s="3" t="s">
        <v>731</v>
      </c>
      <c r="G665" s="3">
        <v>87</v>
      </c>
      <c r="H665" s="3">
        <v>45</v>
      </c>
      <c r="I665" s="3">
        <v>29</v>
      </c>
      <c r="J665" s="3">
        <v>20</v>
      </c>
      <c r="K665" s="3">
        <v>43</v>
      </c>
      <c r="L665" s="3">
        <v>50</v>
      </c>
      <c r="M665" s="3">
        <v>58</v>
      </c>
    </row>
    <row r="666" spans="1:13" x14ac:dyDescent="0.3">
      <c r="A666" s="3" t="s">
        <v>143</v>
      </c>
      <c r="B666" s="3">
        <v>315725</v>
      </c>
      <c r="C666" s="3" t="s">
        <v>143</v>
      </c>
      <c r="D666" s="3" t="s">
        <v>12</v>
      </c>
      <c r="E666" s="3" t="s">
        <v>143</v>
      </c>
      <c r="F666" s="3" t="s">
        <v>732</v>
      </c>
      <c r="G666" s="3" t="s">
        <v>3</v>
      </c>
      <c r="H666" s="3" t="s">
        <v>3</v>
      </c>
      <c r="I666" s="3" t="s">
        <v>3</v>
      </c>
      <c r="J666" s="3" t="s">
        <v>3</v>
      </c>
      <c r="K666" s="3" t="s">
        <v>3</v>
      </c>
      <c r="L666" s="3" t="s">
        <v>3</v>
      </c>
      <c r="M666" s="3" t="s">
        <v>3</v>
      </c>
    </row>
    <row r="667" spans="1:13" x14ac:dyDescent="0.3">
      <c r="A667" s="3" t="s">
        <v>62</v>
      </c>
      <c r="B667" s="3">
        <v>315727</v>
      </c>
      <c r="C667" s="3" t="s">
        <v>62</v>
      </c>
      <c r="D667" s="3" t="s">
        <v>37</v>
      </c>
      <c r="E667" s="3" t="s">
        <v>62</v>
      </c>
      <c r="F667" s="3" t="s">
        <v>733</v>
      </c>
      <c r="G667" s="3" t="s">
        <v>3</v>
      </c>
      <c r="H667" s="3" t="s">
        <v>3</v>
      </c>
      <c r="I667" s="3" t="s">
        <v>3</v>
      </c>
      <c r="J667" s="3" t="s">
        <v>3</v>
      </c>
      <c r="K667" s="3" t="s">
        <v>3</v>
      </c>
      <c r="L667" s="3" t="s">
        <v>3</v>
      </c>
      <c r="M667" s="3" t="s">
        <v>3</v>
      </c>
    </row>
    <row r="668" spans="1:13" x14ac:dyDescent="0.3">
      <c r="A668" s="3" t="s">
        <v>43</v>
      </c>
      <c r="B668" s="3">
        <v>315730</v>
      </c>
      <c r="C668" s="3" t="s">
        <v>43</v>
      </c>
      <c r="D668" s="3" t="s">
        <v>42</v>
      </c>
      <c r="E668" s="3" t="s">
        <v>43</v>
      </c>
      <c r="F668" s="3" t="s">
        <v>734</v>
      </c>
      <c r="G668" s="3" t="s">
        <v>3</v>
      </c>
      <c r="H668" s="3" t="s">
        <v>3</v>
      </c>
      <c r="I668" s="3" t="s">
        <v>3</v>
      </c>
      <c r="J668" s="3" t="s">
        <v>3</v>
      </c>
      <c r="K668" s="3" t="s">
        <v>3</v>
      </c>
      <c r="L668" s="3" t="s">
        <v>3</v>
      </c>
      <c r="M668" s="3" t="s">
        <v>3</v>
      </c>
    </row>
    <row r="669" spans="1:13" x14ac:dyDescent="0.3">
      <c r="A669" s="3" t="s">
        <v>114</v>
      </c>
      <c r="B669" s="3">
        <v>315733</v>
      </c>
      <c r="C669" s="3" t="s">
        <v>114</v>
      </c>
      <c r="D669" s="3" t="s">
        <v>42</v>
      </c>
      <c r="E669" s="3" t="s">
        <v>114</v>
      </c>
      <c r="F669" s="3" t="s">
        <v>735</v>
      </c>
      <c r="G669" s="3" t="s">
        <v>3</v>
      </c>
      <c r="H669" s="3" t="s">
        <v>3</v>
      </c>
      <c r="I669" s="3" t="s">
        <v>3</v>
      </c>
      <c r="J669" s="3" t="s">
        <v>3</v>
      </c>
      <c r="K669" s="3" t="s">
        <v>3</v>
      </c>
      <c r="L669" s="3" t="s">
        <v>3</v>
      </c>
      <c r="M669" s="3" t="s">
        <v>3</v>
      </c>
    </row>
    <row r="670" spans="1:13" x14ac:dyDescent="0.3">
      <c r="A670" s="3" t="s">
        <v>390</v>
      </c>
      <c r="B670" s="3">
        <v>315737</v>
      </c>
      <c r="C670" s="3" t="s">
        <v>390</v>
      </c>
      <c r="D670" s="3" t="s">
        <v>126</v>
      </c>
      <c r="E670" s="3" t="s">
        <v>390</v>
      </c>
      <c r="F670" s="3" t="s">
        <v>736</v>
      </c>
      <c r="G670" s="3" t="s">
        <v>3</v>
      </c>
      <c r="H670" s="3" t="s">
        <v>3</v>
      </c>
      <c r="I670" s="3" t="s">
        <v>3</v>
      </c>
      <c r="J670" s="3" t="s">
        <v>3</v>
      </c>
      <c r="K670" s="3" t="s">
        <v>3</v>
      </c>
      <c r="L670" s="3" t="s">
        <v>3</v>
      </c>
      <c r="M670" s="3" t="s">
        <v>3</v>
      </c>
    </row>
    <row r="671" spans="1:13" x14ac:dyDescent="0.3">
      <c r="A671" s="3" t="s">
        <v>10</v>
      </c>
      <c r="B671" s="3">
        <v>315740</v>
      </c>
      <c r="C671" s="3" t="s">
        <v>10</v>
      </c>
      <c r="D671" s="3" t="s">
        <v>7</v>
      </c>
      <c r="E671" s="3" t="s">
        <v>10</v>
      </c>
      <c r="F671" s="3" t="s">
        <v>737</v>
      </c>
      <c r="G671" s="3" t="s">
        <v>3</v>
      </c>
      <c r="H671" s="3" t="s">
        <v>3</v>
      </c>
      <c r="I671" s="3" t="s">
        <v>3</v>
      </c>
      <c r="J671" s="3" t="s">
        <v>3</v>
      </c>
      <c r="K671" s="3" t="s">
        <v>3</v>
      </c>
      <c r="L671" s="3" t="s">
        <v>3</v>
      </c>
      <c r="M671" s="3" t="s">
        <v>3</v>
      </c>
    </row>
    <row r="672" spans="1:13" x14ac:dyDescent="0.3">
      <c r="A672" s="3" t="s">
        <v>47</v>
      </c>
      <c r="B672" s="3">
        <v>315750</v>
      </c>
      <c r="C672" s="3" t="s">
        <v>47</v>
      </c>
      <c r="D672" s="3" t="s">
        <v>15</v>
      </c>
      <c r="E672" s="3" t="s">
        <v>47</v>
      </c>
      <c r="F672" s="3" t="s">
        <v>738</v>
      </c>
      <c r="G672" s="3" t="s">
        <v>3</v>
      </c>
      <c r="H672" s="3" t="s">
        <v>3</v>
      </c>
      <c r="I672" s="3" t="s">
        <v>3</v>
      </c>
      <c r="J672" s="3" t="s">
        <v>3</v>
      </c>
      <c r="K672" s="3" t="s">
        <v>3</v>
      </c>
      <c r="L672" s="3" t="s">
        <v>3</v>
      </c>
      <c r="M672" s="3" t="s">
        <v>3</v>
      </c>
    </row>
    <row r="673" spans="1:13" x14ac:dyDescent="0.3">
      <c r="A673" s="3" t="s">
        <v>170</v>
      </c>
      <c r="B673" s="3">
        <v>315760</v>
      </c>
      <c r="C673" s="3" t="s">
        <v>170</v>
      </c>
      <c r="D673" s="3" t="s">
        <v>126</v>
      </c>
      <c r="E673" s="3" t="s">
        <v>170</v>
      </c>
      <c r="F673" s="3" t="s">
        <v>739</v>
      </c>
      <c r="G673" s="3" t="s">
        <v>3</v>
      </c>
      <c r="H673" s="3" t="s">
        <v>3</v>
      </c>
      <c r="I673" s="3" t="s">
        <v>3</v>
      </c>
      <c r="J673" s="3" t="s">
        <v>3</v>
      </c>
      <c r="K673" s="3" t="s">
        <v>3</v>
      </c>
      <c r="L673" s="3" t="s">
        <v>3</v>
      </c>
      <c r="M673" s="3" t="s">
        <v>3</v>
      </c>
    </row>
    <row r="674" spans="1:13" x14ac:dyDescent="0.3">
      <c r="A674" s="3" t="s">
        <v>25</v>
      </c>
      <c r="B674" s="3">
        <v>315765</v>
      </c>
      <c r="C674" s="3" t="s">
        <v>25</v>
      </c>
      <c r="D674" s="3" t="s">
        <v>24</v>
      </c>
      <c r="E674" s="3" t="s">
        <v>25</v>
      </c>
      <c r="F674" s="3" t="s">
        <v>740</v>
      </c>
      <c r="G674" s="3" t="s">
        <v>3</v>
      </c>
      <c r="H674" s="3" t="s">
        <v>3</v>
      </c>
      <c r="I674" s="3" t="s">
        <v>3</v>
      </c>
      <c r="J674" s="3" t="s">
        <v>3</v>
      </c>
      <c r="K674" s="3" t="s">
        <v>3</v>
      </c>
      <c r="L674" s="3" t="s">
        <v>3</v>
      </c>
      <c r="M674" s="3" t="s">
        <v>3</v>
      </c>
    </row>
    <row r="675" spans="1:13" x14ac:dyDescent="0.3">
      <c r="A675" s="3" t="s">
        <v>87</v>
      </c>
      <c r="B675" s="3">
        <v>315770</v>
      </c>
      <c r="C675" s="3" t="s">
        <v>87</v>
      </c>
      <c r="D675" s="3" t="s">
        <v>18</v>
      </c>
      <c r="E675" s="3" t="s">
        <v>87</v>
      </c>
      <c r="F675" s="3" t="s">
        <v>741</v>
      </c>
      <c r="G675" s="3">
        <v>2</v>
      </c>
      <c r="H675" s="3">
        <v>16</v>
      </c>
      <c r="I675" s="3">
        <v>5</v>
      </c>
      <c r="J675" s="3" t="s">
        <v>3</v>
      </c>
      <c r="K675" s="3">
        <v>17</v>
      </c>
      <c r="L675" s="3" t="s">
        <v>3</v>
      </c>
      <c r="M675" s="3" t="s">
        <v>3</v>
      </c>
    </row>
    <row r="676" spans="1:13" x14ac:dyDescent="0.3">
      <c r="A676" s="3" t="s">
        <v>120</v>
      </c>
      <c r="B676" s="3">
        <v>315780</v>
      </c>
      <c r="C676" s="3" t="s">
        <v>120</v>
      </c>
      <c r="D676" s="3" t="s">
        <v>4</v>
      </c>
      <c r="E676" s="3" t="s">
        <v>120</v>
      </c>
      <c r="F676" s="3" t="s">
        <v>742</v>
      </c>
      <c r="G676" s="3">
        <v>70</v>
      </c>
      <c r="H676" s="3" t="s">
        <v>3</v>
      </c>
      <c r="I676" s="3">
        <v>32</v>
      </c>
      <c r="J676" s="3">
        <v>137</v>
      </c>
      <c r="K676" s="3">
        <v>381</v>
      </c>
      <c r="L676" s="3">
        <v>630</v>
      </c>
      <c r="M676" s="3">
        <v>387</v>
      </c>
    </row>
    <row r="677" spans="1:13" x14ac:dyDescent="0.3">
      <c r="A677" s="3" t="s">
        <v>8</v>
      </c>
      <c r="B677" s="3">
        <v>315790</v>
      </c>
      <c r="C677" s="3" t="s">
        <v>8</v>
      </c>
      <c r="D677" s="3" t="s">
        <v>7</v>
      </c>
      <c r="E677" s="3" t="s">
        <v>8</v>
      </c>
      <c r="F677" s="3" t="s">
        <v>743</v>
      </c>
      <c r="G677" s="3">
        <v>212</v>
      </c>
      <c r="H677" s="3">
        <v>95</v>
      </c>
      <c r="I677" s="3">
        <v>68</v>
      </c>
      <c r="J677" s="3">
        <v>105</v>
      </c>
      <c r="K677" s="3">
        <v>103</v>
      </c>
      <c r="L677" s="3">
        <v>84</v>
      </c>
      <c r="M677" s="3">
        <v>59</v>
      </c>
    </row>
    <row r="678" spans="1:13" x14ac:dyDescent="0.3">
      <c r="A678" s="3" t="s">
        <v>110</v>
      </c>
      <c r="B678" s="3">
        <v>315800</v>
      </c>
      <c r="C678" s="3" t="s">
        <v>110</v>
      </c>
      <c r="D678" s="3" t="s">
        <v>4</v>
      </c>
      <c r="E678" s="3" t="s">
        <v>110</v>
      </c>
      <c r="F678" s="3" t="s">
        <v>744</v>
      </c>
      <c r="G678" s="3" t="s">
        <v>3</v>
      </c>
      <c r="H678" s="3" t="s">
        <v>3</v>
      </c>
      <c r="I678" s="3" t="s">
        <v>3</v>
      </c>
      <c r="J678" s="3" t="s">
        <v>3</v>
      </c>
      <c r="K678" s="3" t="s">
        <v>3</v>
      </c>
      <c r="L678" s="3" t="s">
        <v>3</v>
      </c>
      <c r="M678" s="3" t="s">
        <v>3</v>
      </c>
    </row>
    <row r="679" spans="1:13" x14ac:dyDescent="0.3">
      <c r="A679" s="3" t="s">
        <v>45</v>
      </c>
      <c r="B679" s="3">
        <v>315810</v>
      </c>
      <c r="C679" s="3" t="s">
        <v>45</v>
      </c>
      <c r="D679" s="3" t="s">
        <v>24</v>
      </c>
      <c r="E679" s="3" t="s">
        <v>45</v>
      </c>
      <c r="F679" s="3" t="s">
        <v>745</v>
      </c>
      <c r="G679" s="3" t="s">
        <v>3</v>
      </c>
      <c r="H679" s="3" t="s">
        <v>3</v>
      </c>
      <c r="I679" s="3" t="s">
        <v>3</v>
      </c>
      <c r="J679" s="3" t="s">
        <v>3</v>
      </c>
      <c r="K679" s="3" t="s">
        <v>3</v>
      </c>
      <c r="L679" s="3" t="s">
        <v>3</v>
      </c>
      <c r="M679" s="3" t="s">
        <v>3</v>
      </c>
    </row>
    <row r="680" spans="1:13" x14ac:dyDescent="0.3">
      <c r="A680" s="3" t="s">
        <v>16</v>
      </c>
      <c r="B680" s="3">
        <v>315820</v>
      </c>
      <c r="C680" s="3" t="s">
        <v>16</v>
      </c>
      <c r="D680" s="3" t="s">
        <v>15</v>
      </c>
      <c r="E680" s="3" t="s">
        <v>16</v>
      </c>
      <c r="F680" s="3" t="s">
        <v>746</v>
      </c>
      <c r="G680" s="3">
        <v>51</v>
      </c>
      <c r="H680" s="3">
        <v>43</v>
      </c>
      <c r="I680" s="3">
        <v>78</v>
      </c>
      <c r="J680" s="3">
        <v>76</v>
      </c>
      <c r="K680" s="3">
        <v>73</v>
      </c>
      <c r="L680" s="3">
        <v>67</v>
      </c>
      <c r="M680" s="3">
        <v>87</v>
      </c>
    </row>
    <row r="681" spans="1:13" x14ac:dyDescent="0.3">
      <c r="A681" s="3" t="s">
        <v>134</v>
      </c>
      <c r="B681" s="3">
        <v>315830</v>
      </c>
      <c r="C681" s="3" t="s">
        <v>134</v>
      </c>
      <c r="D681" s="3" t="s">
        <v>31</v>
      </c>
      <c r="E681" s="3" t="s">
        <v>134</v>
      </c>
      <c r="F681" s="3" t="s">
        <v>747</v>
      </c>
      <c r="G681" s="3" t="s">
        <v>3</v>
      </c>
      <c r="H681" s="3" t="s">
        <v>3</v>
      </c>
      <c r="I681" s="3" t="s">
        <v>3</v>
      </c>
      <c r="J681" s="3" t="s">
        <v>3</v>
      </c>
      <c r="K681" s="3" t="s">
        <v>3</v>
      </c>
      <c r="L681" s="3" t="s">
        <v>3</v>
      </c>
      <c r="M681" s="3" t="s">
        <v>3</v>
      </c>
    </row>
    <row r="682" spans="1:13" x14ac:dyDescent="0.3">
      <c r="A682" s="3" t="s">
        <v>94</v>
      </c>
      <c r="B682" s="3">
        <v>315840</v>
      </c>
      <c r="C682" s="3" t="s">
        <v>94</v>
      </c>
      <c r="D682" s="3" t="s">
        <v>37</v>
      </c>
      <c r="E682" s="3" t="s">
        <v>94</v>
      </c>
      <c r="F682" s="3" t="s">
        <v>748</v>
      </c>
      <c r="G682" s="3" t="s">
        <v>3</v>
      </c>
      <c r="H682" s="3" t="s">
        <v>3</v>
      </c>
      <c r="I682" s="3" t="s">
        <v>3</v>
      </c>
      <c r="J682" s="3" t="s">
        <v>3</v>
      </c>
      <c r="K682" s="3" t="s">
        <v>3</v>
      </c>
      <c r="L682" s="3" t="s">
        <v>3</v>
      </c>
      <c r="M682" s="3" t="s">
        <v>3</v>
      </c>
    </row>
    <row r="683" spans="1:13" x14ac:dyDescent="0.3">
      <c r="A683" s="3" t="s">
        <v>5</v>
      </c>
      <c r="B683" s="3">
        <v>315850</v>
      </c>
      <c r="C683" s="3" t="s">
        <v>5</v>
      </c>
      <c r="D683" s="3" t="s">
        <v>4</v>
      </c>
      <c r="E683" s="3" t="s">
        <v>5</v>
      </c>
      <c r="F683" s="3" t="s">
        <v>749</v>
      </c>
      <c r="G683" s="3" t="s">
        <v>3</v>
      </c>
      <c r="H683" s="3" t="s">
        <v>3</v>
      </c>
      <c r="I683" s="3" t="s">
        <v>3</v>
      </c>
      <c r="J683" s="3" t="s">
        <v>3</v>
      </c>
      <c r="K683" s="3" t="s">
        <v>3</v>
      </c>
      <c r="L683" s="3" t="s">
        <v>3</v>
      </c>
      <c r="M683" s="3" t="s">
        <v>3</v>
      </c>
    </row>
    <row r="684" spans="1:13" x14ac:dyDescent="0.3">
      <c r="A684" s="3" t="s">
        <v>118</v>
      </c>
      <c r="B684" s="3">
        <v>315860</v>
      </c>
      <c r="C684" s="3" t="s">
        <v>118</v>
      </c>
      <c r="D684" s="3" t="s">
        <v>37</v>
      </c>
      <c r="E684" s="3" t="s">
        <v>118</v>
      </c>
      <c r="F684" s="3" t="s">
        <v>750</v>
      </c>
      <c r="G684" s="3" t="s">
        <v>3</v>
      </c>
      <c r="H684" s="3" t="s">
        <v>3</v>
      </c>
      <c r="I684" s="3" t="s">
        <v>3</v>
      </c>
      <c r="J684" s="3" t="s">
        <v>3</v>
      </c>
      <c r="K684" s="3" t="s">
        <v>3</v>
      </c>
      <c r="L684" s="3" t="s">
        <v>3</v>
      </c>
      <c r="M684" s="3" t="s">
        <v>3</v>
      </c>
    </row>
    <row r="685" spans="1:13" x14ac:dyDescent="0.3">
      <c r="A685" s="3" t="s">
        <v>43</v>
      </c>
      <c r="B685" s="3">
        <v>315870</v>
      </c>
      <c r="C685" s="3" t="s">
        <v>43</v>
      </c>
      <c r="D685" s="3" t="s">
        <v>42</v>
      </c>
      <c r="E685" s="3" t="s">
        <v>43</v>
      </c>
      <c r="F685" s="3" t="s">
        <v>751</v>
      </c>
      <c r="G685" s="3" t="s">
        <v>3</v>
      </c>
      <c r="H685" s="3" t="s">
        <v>3</v>
      </c>
      <c r="I685" s="3" t="s">
        <v>3</v>
      </c>
      <c r="J685" s="3" t="s">
        <v>3</v>
      </c>
      <c r="K685" s="3" t="s">
        <v>3</v>
      </c>
      <c r="L685" s="3" t="s">
        <v>3</v>
      </c>
      <c r="M685" s="3" t="s">
        <v>3</v>
      </c>
    </row>
    <row r="686" spans="1:13" x14ac:dyDescent="0.3">
      <c r="A686" s="3" t="s">
        <v>22</v>
      </c>
      <c r="B686" s="3">
        <v>315880</v>
      </c>
      <c r="C686" s="3" t="s">
        <v>22</v>
      </c>
      <c r="D686" s="3" t="s">
        <v>21</v>
      </c>
      <c r="E686" s="3" t="s">
        <v>22</v>
      </c>
      <c r="F686" s="3" t="s">
        <v>752</v>
      </c>
      <c r="G686" s="3" t="s">
        <v>3</v>
      </c>
      <c r="H686" s="3" t="s">
        <v>3</v>
      </c>
      <c r="I686" s="3" t="s">
        <v>3</v>
      </c>
      <c r="J686" s="3" t="s">
        <v>3</v>
      </c>
      <c r="K686" s="3" t="s">
        <v>3</v>
      </c>
      <c r="L686" s="3" t="s">
        <v>3</v>
      </c>
      <c r="M686" s="3" t="s">
        <v>3</v>
      </c>
    </row>
    <row r="687" spans="1:13" x14ac:dyDescent="0.3">
      <c r="A687" s="3" t="s">
        <v>8</v>
      </c>
      <c r="B687" s="3">
        <v>315890</v>
      </c>
      <c r="C687" s="3" t="s">
        <v>8</v>
      </c>
      <c r="D687" s="3" t="s">
        <v>7</v>
      </c>
      <c r="E687" s="3" t="s">
        <v>8</v>
      </c>
      <c r="F687" s="3" t="s">
        <v>753</v>
      </c>
      <c r="G687" s="3" t="s">
        <v>3</v>
      </c>
      <c r="H687" s="3" t="s">
        <v>3</v>
      </c>
      <c r="I687" s="3" t="s">
        <v>3</v>
      </c>
      <c r="J687" s="3" t="s">
        <v>3</v>
      </c>
      <c r="K687" s="3" t="s">
        <v>3</v>
      </c>
      <c r="L687" s="3" t="s">
        <v>3</v>
      </c>
      <c r="M687" s="3" t="s">
        <v>3</v>
      </c>
    </row>
    <row r="688" spans="1:13" x14ac:dyDescent="0.3">
      <c r="A688" s="3" t="s">
        <v>13</v>
      </c>
      <c r="B688" s="3">
        <v>315895</v>
      </c>
      <c r="C688" s="3" t="s">
        <v>13</v>
      </c>
      <c r="D688" s="3" t="s">
        <v>12</v>
      </c>
      <c r="E688" s="3" t="s">
        <v>13</v>
      </c>
      <c r="F688" s="3" t="s">
        <v>754</v>
      </c>
      <c r="G688" s="3" t="s">
        <v>3</v>
      </c>
      <c r="H688" s="3" t="s">
        <v>3</v>
      </c>
      <c r="I688" s="3" t="s">
        <v>3</v>
      </c>
      <c r="J688" s="3" t="s">
        <v>3</v>
      </c>
      <c r="K688" s="3" t="s">
        <v>3</v>
      </c>
      <c r="L688" s="3" t="s">
        <v>3</v>
      </c>
      <c r="M688" s="3" t="s">
        <v>3</v>
      </c>
    </row>
    <row r="689" spans="1:13" x14ac:dyDescent="0.3">
      <c r="A689" s="3" t="s">
        <v>283</v>
      </c>
      <c r="B689" s="3">
        <v>315900</v>
      </c>
      <c r="C689" s="3" t="s">
        <v>283</v>
      </c>
      <c r="D689" s="3" t="s">
        <v>4</v>
      </c>
      <c r="E689" s="3" t="s">
        <v>283</v>
      </c>
      <c r="F689" s="3" t="s">
        <v>755</v>
      </c>
      <c r="G689" s="3" t="s">
        <v>3</v>
      </c>
      <c r="H689" s="3" t="s">
        <v>3</v>
      </c>
      <c r="I689" s="3" t="s">
        <v>3</v>
      </c>
      <c r="J689" s="3" t="s">
        <v>3</v>
      </c>
      <c r="K689" s="3" t="s">
        <v>3</v>
      </c>
      <c r="L689" s="3" t="s">
        <v>3</v>
      </c>
      <c r="M689" s="3" t="s">
        <v>3</v>
      </c>
    </row>
    <row r="690" spans="1:13" x14ac:dyDescent="0.3">
      <c r="A690" s="3" t="s">
        <v>219</v>
      </c>
      <c r="B690" s="3">
        <v>315910</v>
      </c>
      <c r="C690" s="3" t="s">
        <v>219</v>
      </c>
      <c r="D690" s="3" t="s">
        <v>42</v>
      </c>
      <c r="E690" s="3" t="s">
        <v>219</v>
      </c>
      <c r="F690" s="3" t="s">
        <v>756</v>
      </c>
      <c r="G690" s="3" t="s">
        <v>3</v>
      </c>
      <c r="H690" s="3" t="s">
        <v>3</v>
      </c>
      <c r="I690" s="3" t="s">
        <v>3</v>
      </c>
      <c r="J690" s="3" t="s">
        <v>3</v>
      </c>
      <c r="K690" s="3" t="s">
        <v>3</v>
      </c>
      <c r="L690" s="3" t="s">
        <v>3</v>
      </c>
      <c r="M690" s="3" t="s">
        <v>3</v>
      </c>
    </row>
    <row r="691" spans="1:13" x14ac:dyDescent="0.3">
      <c r="A691" s="3" t="s">
        <v>35</v>
      </c>
      <c r="B691" s="3">
        <v>315920</v>
      </c>
      <c r="C691" s="3" t="s">
        <v>35</v>
      </c>
      <c r="D691" s="3" t="s">
        <v>31</v>
      </c>
      <c r="E691" s="3" t="s">
        <v>35</v>
      </c>
      <c r="F691" s="3" t="s">
        <v>757</v>
      </c>
      <c r="G691" s="3" t="s">
        <v>3</v>
      </c>
      <c r="H691" s="3" t="s">
        <v>3</v>
      </c>
      <c r="I691" s="3" t="s">
        <v>3</v>
      </c>
      <c r="J691" s="3" t="s">
        <v>3</v>
      </c>
      <c r="K691" s="3" t="s">
        <v>3</v>
      </c>
      <c r="L691" s="3" t="s">
        <v>3</v>
      </c>
      <c r="M691" s="3" t="s">
        <v>3</v>
      </c>
    </row>
    <row r="692" spans="1:13" x14ac:dyDescent="0.3">
      <c r="A692" s="3" t="s">
        <v>62</v>
      </c>
      <c r="B692" s="3">
        <v>315930</v>
      </c>
      <c r="C692" s="3" t="s">
        <v>62</v>
      </c>
      <c r="D692" s="3" t="s">
        <v>37</v>
      </c>
      <c r="E692" s="3" t="s">
        <v>62</v>
      </c>
      <c r="F692" s="3" t="s">
        <v>758</v>
      </c>
      <c r="G692" s="3" t="s">
        <v>3</v>
      </c>
      <c r="H692" s="3" t="s">
        <v>3</v>
      </c>
      <c r="I692" s="3" t="s">
        <v>3</v>
      </c>
      <c r="J692" s="3" t="s">
        <v>3</v>
      </c>
      <c r="K692" s="3" t="s">
        <v>3</v>
      </c>
      <c r="L692" s="3" t="s">
        <v>3</v>
      </c>
      <c r="M692" s="3" t="s">
        <v>3</v>
      </c>
    </row>
    <row r="693" spans="1:13" x14ac:dyDescent="0.3">
      <c r="A693" s="3" t="s">
        <v>143</v>
      </c>
      <c r="B693" s="3">
        <v>315935</v>
      </c>
      <c r="C693" s="3" t="s">
        <v>143</v>
      </c>
      <c r="D693" s="3" t="s">
        <v>12</v>
      </c>
      <c r="E693" s="3" t="s">
        <v>143</v>
      </c>
      <c r="F693" s="3" t="s">
        <v>759</v>
      </c>
      <c r="G693" s="3" t="s">
        <v>3</v>
      </c>
      <c r="H693" s="3" t="s">
        <v>3</v>
      </c>
      <c r="I693" s="3" t="s">
        <v>3</v>
      </c>
      <c r="J693" s="3" t="s">
        <v>3</v>
      </c>
      <c r="K693" s="3" t="s">
        <v>3</v>
      </c>
      <c r="L693" s="3" t="s">
        <v>3</v>
      </c>
      <c r="M693" s="3" t="s">
        <v>3</v>
      </c>
    </row>
    <row r="694" spans="1:13" x14ac:dyDescent="0.3">
      <c r="A694" s="3" t="s">
        <v>43</v>
      </c>
      <c r="B694" s="3">
        <v>315940</v>
      </c>
      <c r="C694" s="3" t="s">
        <v>43</v>
      </c>
      <c r="D694" s="3" t="s">
        <v>42</v>
      </c>
      <c r="E694" s="3" t="s">
        <v>43</v>
      </c>
      <c r="F694" s="3" t="s">
        <v>760</v>
      </c>
      <c r="G694" s="3" t="s">
        <v>3</v>
      </c>
      <c r="H694" s="3" t="s">
        <v>3</v>
      </c>
      <c r="I694" s="3" t="s">
        <v>3</v>
      </c>
      <c r="J694" s="3" t="s">
        <v>3</v>
      </c>
      <c r="K694" s="3" t="s">
        <v>3</v>
      </c>
      <c r="L694" s="3" t="s">
        <v>3</v>
      </c>
      <c r="M694" s="3" t="s">
        <v>3</v>
      </c>
    </row>
    <row r="695" spans="1:13" x14ac:dyDescent="0.3">
      <c r="A695" s="3" t="s">
        <v>29</v>
      </c>
      <c r="B695" s="3">
        <v>315950</v>
      </c>
      <c r="C695" s="3" t="s">
        <v>29</v>
      </c>
      <c r="D695" s="3" t="s">
        <v>15</v>
      </c>
      <c r="E695" s="3" t="s">
        <v>29</v>
      </c>
      <c r="F695" s="3" t="s">
        <v>761</v>
      </c>
      <c r="G695" s="3" t="s">
        <v>3</v>
      </c>
      <c r="H695" s="3" t="s">
        <v>3</v>
      </c>
      <c r="I695" s="3" t="s">
        <v>3</v>
      </c>
      <c r="J695" s="3" t="s">
        <v>3</v>
      </c>
      <c r="K695" s="3" t="s">
        <v>3</v>
      </c>
      <c r="L695" s="3" t="s">
        <v>3</v>
      </c>
      <c r="M695" s="3" t="s">
        <v>3</v>
      </c>
    </row>
    <row r="696" spans="1:13" x14ac:dyDescent="0.3">
      <c r="A696" s="3" t="s">
        <v>145</v>
      </c>
      <c r="B696" s="3">
        <v>315960</v>
      </c>
      <c r="C696" s="3" t="s">
        <v>145</v>
      </c>
      <c r="D696" s="3" t="s">
        <v>31</v>
      </c>
      <c r="E696" s="3" t="s">
        <v>145</v>
      </c>
      <c r="F696" s="3" t="s">
        <v>762</v>
      </c>
      <c r="G696" s="3">
        <v>31</v>
      </c>
      <c r="H696" s="3">
        <v>55</v>
      </c>
      <c r="I696" s="3">
        <v>17</v>
      </c>
      <c r="J696" s="3">
        <v>12</v>
      </c>
      <c r="K696" s="3">
        <v>54</v>
      </c>
      <c r="L696" s="3">
        <v>45</v>
      </c>
      <c r="M696" s="3">
        <v>130</v>
      </c>
    </row>
    <row r="697" spans="1:13" x14ac:dyDescent="0.3">
      <c r="A697" s="3" t="s">
        <v>83</v>
      </c>
      <c r="B697" s="3">
        <v>315970</v>
      </c>
      <c r="C697" s="3" t="s">
        <v>83</v>
      </c>
      <c r="D697" s="3" t="s">
        <v>82</v>
      </c>
      <c r="E697" s="3" t="s">
        <v>83</v>
      </c>
      <c r="F697" s="3" t="s">
        <v>763</v>
      </c>
      <c r="G697" s="3" t="s">
        <v>3</v>
      </c>
      <c r="H697" s="3" t="s">
        <v>3</v>
      </c>
      <c r="I697" s="3" t="s">
        <v>3</v>
      </c>
      <c r="J697" s="3" t="s">
        <v>3</v>
      </c>
      <c r="K697" s="3" t="s">
        <v>3</v>
      </c>
      <c r="L697" s="3" t="s">
        <v>3</v>
      </c>
      <c r="M697" s="3" t="s">
        <v>3</v>
      </c>
    </row>
    <row r="698" spans="1:13" x14ac:dyDescent="0.3">
      <c r="A698" s="3" t="s">
        <v>176</v>
      </c>
      <c r="B698" s="3">
        <v>315980</v>
      </c>
      <c r="C698" s="3" t="s">
        <v>176</v>
      </c>
      <c r="D698" s="3" t="s">
        <v>0</v>
      </c>
      <c r="E698" s="3" t="s">
        <v>176</v>
      </c>
      <c r="F698" s="3" t="s">
        <v>764</v>
      </c>
      <c r="G698" s="3">
        <v>68</v>
      </c>
      <c r="H698" s="3">
        <v>44</v>
      </c>
      <c r="I698" s="3">
        <v>44</v>
      </c>
      <c r="J698" s="3">
        <v>59</v>
      </c>
      <c r="K698" s="3">
        <v>66</v>
      </c>
      <c r="L698" s="3">
        <v>79</v>
      </c>
      <c r="M698" s="3">
        <v>95</v>
      </c>
    </row>
    <row r="699" spans="1:13" x14ac:dyDescent="0.3">
      <c r="A699" s="3" t="s">
        <v>230</v>
      </c>
      <c r="B699" s="3">
        <v>315990</v>
      </c>
      <c r="C699" s="3" t="s">
        <v>230</v>
      </c>
      <c r="D699" s="3" t="s">
        <v>21</v>
      </c>
      <c r="E699" s="3" t="s">
        <v>230</v>
      </c>
      <c r="F699" s="3" t="s">
        <v>765</v>
      </c>
      <c r="G699" s="3">
        <v>81</v>
      </c>
      <c r="H699" s="3">
        <v>86</v>
      </c>
      <c r="I699" s="3">
        <v>35</v>
      </c>
      <c r="J699" s="3">
        <v>41</v>
      </c>
      <c r="K699" s="3">
        <v>86</v>
      </c>
      <c r="L699" s="3">
        <v>132</v>
      </c>
      <c r="M699" s="3">
        <v>177</v>
      </c>
    </row>
    <row r="700" spans="1:13" x14ac:dyDescent="0.3">
      <c r="A700" s="3" t="s">
        <v>38</v>
      </c>
      <c r="B700" s="3">
        <v>316000</v>
      </c>
      <c r="C700" s="3" t="s">
        <v>38</v>
      </c>
      <c r="D700" s="3" t="s">
        <v>37</v>
      </c>
      <c r="E700" s="3" t="s">
        <v>38</v>
      </c>
      <c r="F700" s="3" t="s">
        <v>766</v>
      </c>
      <c r="G700" s="3" t="s">
        <v>3</v>
      </c>
      <c r="H700" s="3" t="s">
        <v>3</v>
      </c>
      <c r="I700" s="3" t="s">
        <v>3</v>
      </c>
      <c r="J700" s="3" t="s">
        <v>3</v>
      </c>
      <c r="K700" s="3" t="s">
        <v>3</v>
      </c>
      <c r="L700" s="3" t="s">
        <v>3</v>
      </c>
      <c r="M700" s="3" t="s">
        <v>3</v>
      </c>
    </row>
    <row r="701" spans="1:13" x14ac:dyDescent="0.3">
      <c r="A701" s="3" t="s">
        <v>10</v>
      </c>
      <c r="B701" s="3">
        <v>316010</v>
      </c>
      <c r="C701" s="3" t="s">
        <v>10</v>
      </c>
      <c r="D701" s="3" t="s">
        <v>7</v>
      </c>
      <c r="E701" s="3" t="s">
        <v>10</v>
      </c>
      <c r="F701" s="3" t="s">
        <v>767</v>
      </c>
      <c r="G701" s="3" t="s">
        <v>3</v>
      </c>
      <c r="H701" s="3" t="s">
        <v>3</v>
      </c>
      <c r="I701" s="3" t="s">
        <v>3</v>
      </c>
      <c r="J701" s="3" t="s">
        <v>3</v>
      </c>
      <c r="K701" s="3" t="s">
        <v>3</v>
      </c>
      <c r="L701" s="3" t="s">
        <v>3</v>
      </c>
      <c r="M701" s="3" t="s">
        <v>3</v>
      </c>
    </row>
    <row r="702" spans="1:13" x14ac:dyDescent="0.3">
      <c r="A702" s="3" t="s">
        <v>57</v>
      </c>
      <c r="B702" s="3">
        <v>316020</v>
      </c>
      <c r="C702" s="3" t="s">
        <v>57</v>
      </c>
      <c r="D702" s="3" t="s">
        <v>56</v>
      </c>
      <c r="E702" s="3" t="s">
        <v>57</v>
      </c>
      <c r="F702" s="3" t="s">
        <v>768</v>
      </c>
      <c r="G702" s="3" t="s">
        <v>3</v>
      </c>
      <c r="H702" s="3" t="s">
        <v>3</v>
      </c>
      <c r="I702" s="3" t="s">
        <v>3</v>
      </c>
      <c r="J702" s="3" t="s">
        <v>3</v>
      </c>
      <c r="K702" s="3" t="s">
        <v>3</v>
      </c>
      <c r="L702" s="3" t="s">
        <v>3</v>
      </c>
      <c r="M702" s="3" t="s">
        <v>3</v>
      </c>
    </row>
    <row r="703" spans="1:13" x14ac:dyDescent="0.3">
      <c r="A703" s="3" t="s">
        <v>45</v>
      </c>
      <c r="B703" s="3">
        <v>316030</v>
      </c>
      <c r="C703" s="3" t="s">
        <v>45</v>
      </c>
      <c r="D703" s="3" t="s">
        <v>24</v>
      </c>
      <c r="E703" s="3" t="s">
        <v>45</v>
      </c>
      <c r="F703" s="3" t="s">
        <v>769</v>
      </c>
      <c r="G703" s="3" t="s">
        <v>3</v>
      </c>
      <c r="H703" s="3" t="s">
        <v>3</v>
      </c>
      <c r="I703" s="3" t="s">
        <v>3</v>
      </c>
      <c r="J703" s="3" t="s">
        <v>3</v>
      </c>
      <c r="K703" s="3" t="s">
        <v>3</v>
      </c>
      <c r="L703" s="3" t="s">
        <v>3</v>
      </c>
      <c r="M703" s="3" t="s">
        <v>3</v>
      </c>
    </row>
    <row r="704" spans="1:13" x14ac:dyDescent="0.3">
      <c r="A704" s="3" t="s">
        <v>91</v>
      </c>
      <c r="B704" s="3">
        <v>316040</v>
      </c>
      <c r="C704" s="3" t="s">
        <v>91</v>
      </c>
      <c r="D704" s="3" t="s">
        <v>21</v>
      </c>
      <c r="E704" s="3" t="s">
        <v>91</v>
      </c>
      <c r="F704" s="3" t="s">
        <v>770</v>
      </c>
      <c r="G704" s="3">
        <v>20</v>
      </c>
      <c r="H704" s="3">
        <v>21</v>
      </c>
      <c r="I704" s="3">
        <v>5</v>
      </c>
      <c r="J704" s="3" t="s">
        <v>3</v>
      </c>
      <c r="K704" s="3">
        <v>12</v>
      </c>
      <c r="L704" s="3">
        <v>44</v>
      </c>
      <c r="M704" s="3">
        <v>154</v>
      </c>
    </row>
    <row r="705" spans="1:13" x14ac:dyDescent="0.3">
      <c r="A705" s="3" t="s">
        <v>127</v>
      </c>
      <c r="B705" s="3">
        <v>316045</v>
      </c>
      <c r="C705" s="3" t="s">
        <v>127</v>
      </c>
      <c r="D705" s="3" t="s">
        <v>126</v>
      </c>
      <c r="E705" s="3" t="s">
        <v>127</v>
      </c>
      <c r="F705" s="3" t="s">
        <v>771</v>
      </c>
      <c r="G705" s="3" t="s">
        <v>3</v>
      </c>
      <c r="H705" s="3" t="s">
        <v>3</v>
      </c>
      <c r="I705" s="3" t="s">
        <v>3</v>
      </c>
      <c r="J705" s="3" t="s">
        <v>3</v>
      </c>
      <c r="K705" s="3" t="s">
        <v>3</v>
      </c>
      <c r="L705" s="3" t="s">
        <v>3</v>
      </c>
      <c r="M705" s="3" t="s">
        <v>3</v>
      </c>
    </row>
    <row r="706" spans="1:13" x14ac:dyDescent="0.3">
      <c r="A706" s="3" t="s">
        <v>110</v>
      </c>
      <c r="B706" s="3">
        <v>316050</v>
      </c>
      <c r="C706" s="3" t="s">
        <v>110</v>
      </c>
      <c r="D706" s="3" t="s">
        <v>4</v>
      </c>
      <c r="E706" s="3" t="s">
        <v>110</v>
      </c>
      <c r="F706" s="3" t="s">
        <v>772</v>
      </c>
      <c r="G706" s="3" t="s">
        <v>3</v>
      </c>
      <c r="H706" s="3" t="s">
        <v>3</v>
      </c>
      <c r="I706" s="3" t="s">
        <v>3</v>
      </c>
      <c r="J706" s="3" t="s">
        <v>3</v>
      </c>
      <c r="K706" s="3" t="s">
        <v>3</v>
      </c>
      <c r="L706" s="3" t="s">
        <v>3</v>
      </c>
      <c r="M706" s="3" t="s">
        <v>3</v>
      </c>
    </row>
    <row r="707" spans="1:13" x14ac:dyDescent="0.3">
      <c r="A707" s="3" t="s">
        <v>102</v>
      </c>
      <c r="B707" s="3">
        <v>316060</v>
      </c>
      <c r="C707" s="3" t="s">
        <v>102</v>
      </c>
      <c r="D707" s="3" t="s">
        <v>4</v>
      </c>
      <c r="E707" s="3" t="s">
        <v>102</v>
      </c>
      <c r="F707" s="3" t="s">
        <v>773</v>
      </c>
      <c r="G707" s="3" t="s">
        <v>3</v>
      </c>
      <c r="H707" s="3" t="s">
        <v>3</v>
      </c>
      <c r="I707" s="3" t="s">
        <v>3</v>
      </c>
      <c r="J707" s="3" t="s">
        <v>3</v>
      </c>
      <c r="K707" s="3" t="s">
        <v>3</v>
      </c>
      <c r="L707" s="3" t="s">
        <v>3</v>
      </c>
      <c r="M707" s="3" t="s">
        <v>3</v>
      </c>
    </row>
    <row r="708" spans="1:13" x14ac:dyDescent="0.3">
      <c r="A708" s="3" t="s">
        <v>72</v>
      </c>
      <c r="B708" s="3">
        <v>316070</v>
      </c>
      <c r="C708" s="3" t="s">
        <v>72</v>
      </c>
      <c r="D708" s="3" t="s">
        <v>37</v>
      </c>
      <c r="E708" s="3" t="s">
        <v>72</v>
      </c>
      <c r="F708" s="3" t="s">
        <v>72</v>
      </c>
      <c r="G708" s="3">
        <v>38</v>
      </c>
      <c r="H708" s="3">
        <v>34</v>
      </c>
      <c r="I708" s="3">
        <v>23</v>
      </c>
      <c r="J708" s="3">
        <v>44</v>
      </c>
      <c r="K708" s="3">
        <v>55</v>
      </c>
      <c r="L708" s="3">
        <v>67</v>
      </c>
      <c r="M708" s="3">
        <v>77</v>
      </c>
    </row>
    <row r="709" spans="1:13" x14ac:dyDescent="0.3">
      <c r="A709" s="3" t="s">
        <v>187</v>
      </c>
      <c r="B709" s="3">
        <v>316080</v>
      </c>
      <c r="C709" s="3" t="s">
        <v>187</v>
      </c>
      <c r="D709" s="3" t="s">
        <v>31</v>
      </c>
      <c r="E709" s="3" t="s">
        <v>187</v>
      </c>
      <c r="F709" s="3" t="s">
        <v>774</v>
      </c>
      <c r="G709" s="3" t="s">
        <v>3</v>
      </c>
      <c r="H709" s="3" t="s">
        <v>3</v>
      </c>
      <c r="I709" s="3" t="s">
        <v>3</v>
      </c>
      <c r="J709" s="3" t="s">
        <v>3</v>
      </c>
      <c r="K709" s="3" t="s">
        <v>3</v>
      </c>
      <c r="L709" s="3" t="s">
        <v>3</v>
      </c>
      <c r="M709" s="3" t="s">
        <v>3</v>
      </c>
    </row>
    <row r="710" spans="1:13" x14ac:dyDescent="0.3">
      <c r="A710" s="3" t="s">
        <v>286</v>
      </c>
      <c r="B710" s="3">
        <v>316090</v>
      </c>
      <c r="C710" s="3" t="s">
        <v>286</v>
      </c>
      <c r="D710" s="3" t="s">
        <v>42</v>
      </c>
      <c r="E710" s="3" t="s">
        <v>286</v>
      </c>
      <c r="F710" s="3" t="s">
        <v>775</v>
      </c>
      <c r="G710" s="3" t="s">
        <v>3</v>
      </c>
      <c r="H710" s="3" t="s">
        <v>3</v>
      </c>
      <c r="I710" s="3" t="s">
        <v>3</v>
      </c>
      <c r="J710" s="3" t="s">
        <v>3</v>
      </c>
      <c r="K710" s="3" t="s">
        <v>3</v>
      </c>
      <c r="L710" s="3" t="s">
        <v>3</v>
      </c>
      <c r="M710" s="3" t="s">
        <v>3</v>
      </c>
    </row>
    <row r="711" spans="1:13" x14ac:dyDescent="0.3">
      <c r="A711" s="3" t="s">
        <v>143</v>
      </c>
      <c r="B711" s="3">
        <v>316095</v>
      </c>
      <c r="C711" s="3" t="s">
        <v>143</v>
      </c>
      <c r="D711" s="3" t="s">
        <v>12</v>
      </c>
      <c r="E711" s="3" t="s">
        <v>143</v>
      </c>
      <c r="F711" s="3" t="s">
        <v>776</v>
      </c>
      <c r="G711" s="3" t="s">
        <v>3</v>
      </c>
      <c r="H711" s="3" t="s">
        <v>3</v>
      </c>
      <c r="I711" s="3" t="s">
        <v>3</v>
      </c>
      <c r="J711" s="3" t="s">
        <v>3</v>
      </c>
      <c r="K711" s="3" t="s">
        <v>3</v>
      </c>
      <c r="L711" s="3" t="s">
        <v>3</v>
      </c>
      <c r="M711" s="3" t="s">
        <v>3</v>
      </c>
    </row>
    <row r="712" spans="1:13" x14ac:dyDescent="0.3">
      <c r="A712" s="3" t="s">
        <v>62</v>
      </c>
      <c r="B712" s="3">
        <v>316100</v>
      </c>
      <c r="C712" s="3" t="s">
        <v>62</v>
      </c>
      <c r="D712" s="3" t="s">
        <v>37</v>
      </c>
      <c r="E712" s="3" t="s">
        <v>62</v>
      </c>
      <c r="F712" s="3" t="s">
        <v>777</v>
      </c>
      <c r="G712" s="3">
        <v>21</v>
      </c>
      <c r="H712" s="3">
        <v>16</v>
      </c>
      <c r="I712" s="3">
        <v>7</v>
      </c>
      <c r="J712" s="3">
        <v>8</v>
      </c>
      <c r="K712" s="3">
        <v>26</v>
      </c>
      <c r="L712" s="3">
        <v>25</v>
      </c>
      <c r="M712" s="3">
        <v>22</v>
      </c>
    </row>
    <row r="713" spans="1:13" x14ac:dyDescent="0.3">
      <c r="A713" s="3" t="s">
        <v>255</v>
      </c>
      <c r="B713" s="3">
        <v>316105</v>
      </c>
      <c r="C713" s="3" t="s">
        <v>255</v>
      </c>
      <c r="D713" s="3" t="s">
        <v>15</v>
      </c>
      <c r="E713" s="3" t="s">
        <v>255</v>
      </c>
      <c r="F713" s="3" t="s">
        <v>778</v>
      </c>
      <c r="G713" s="3" t="s">
        <v>3</v>
      </c>
      <c r="H713" s="3" t="s">
        <v>3</v>
      </c>
      <c r="I713" s="3" t="s">
        <v>3</v>
      </c>
      <c r="J713" s="3" t="s">
        <v>3</v>
      </c>
      <c r="K713" s="3" t="s">
        <v>3</v>
      </c>
      <c r="L713" s="3" t="s">
        <v>3</v>
      </c>
      <c r="M713" s="3" t="s">
        <v>3</v>
      </c>
    </row>
    <row r="714" spans="1:13" x14ac:dyDescent="0.3">
      <c r="A714" s="3" t="s">
        <v>158</v>
      </c>
      <c r="B714" s="3">
        <v>316110</v>
      </c>
      <c r="C714" s="3" t="s">
        <v>158</v>
      </c>
      <c r="D714" s="3" t="s">
        <v>126</v>
      </c>
      <c r="E714" s="3" t="s">
        <v>158</v>
      </c>
      <c r="F714" s="3" t="s">
        <v>779</v>
      </c>
      <c r="G714" s="3">
        <v>66</v>
      </c>
      <c r="H714" s="3">
        <v>51</v>
      </c>
      <c r="I714" s="3">
        <v>55</v>
      </c>
      <c r="J714" s="3">
        <v>68</v>
      </c>
      <c r="K714" s="3">
        <v>100</v>
      </c>
      <c r="L714" s="3">
        <v>131</v>
      </c>
      <c r="M714" s="3">
        <v>80</v>
      </c>
    </row>
    <row r="715" spans="1:13" x14ac:dyDescent="0.3">
      <c r="A715" s="3" t="s">
        <v>230</v>
      </c>
      <c r="B715" s="3">
        <v>316120</v>
      </c>
      <c r="C715" s="3" t="s">
        <v>230</v>
      </c>
      <c r="D715" s="3" t="s">
        <v>21</v>
      </c>
      <c r="E715" s="3" t="s">
        <v>230</v>
      </c>
      <c r="F715" s="3" t="s">
        <v>780</v>
      </c>
      <c r="G715" s="3" t="s">
        <v>3</v>
      </c>
      <c r="H715" s="3" t="s">
        <v>3</v>
      </c>
      <c r="I715" s="3" t="s">
        <v>3</v>
      </c>
      <c r="J715" s="3" t="s">
        <v>3</v>
      </c>
      <c r="K715" s="3" t="s">
        <v>3</v>
      </c>
      <c r="L715" s="3" t="s">
        <v>3</v>
      </c>
      <c r="M715" s="3" t="s">
        <v>3</v>
      </c>
    </row>
    <row r="716" spans="1:13" x14ac:dyDescent="0.3">
      <c r="A716" s="3" t="s">
        <v>237</v>
      </c>
      <c r="B716" s="3">
        <v>316130</v>
      </c>
      <c r="C716" s="3" t="s">
        <v>237</v>
      </c>
      <c r="D716" s="3" t="s">
        <v>18</v>
      </c>
      <c r="E716" s="3" t="s">
        <v>237</v>
      </c>
      <c r="F716" s="3" t="s">
        <v>781</v>
      </c>
      <c r="G716" s="3" t="s">
        <v>3</v>
      </c>
      <c r="H716" s="3" t="s">
        <v>3</v>
      </c>
      <c r="I716" s="3" t="s">
        <v>3</v>
      </c>
      <c r="J716" s="3" t="s">
        <v>3</v>
      </c>
      <c r="K716" s="3" t="s">
        <v>3</v>
      </c>
      <c r="L716" s="3" t="s">
        <v>3</v>
      </c>
      <c r="M716" s="3" t="s">
        <v>3</v>
      </c>
    </row>
    <row r="717" spans="1:13" x14ac:dyDescent="0.3">
      <c r="A717" s="3" t="s">
        <v>69</v>
      </c>
      <c r="B717" s="3">
        <v>316140</v>
      </c>
      <c r="C717" s="3" t="s">
        <v>69</v>
      </c>
      <c r="D717" s="3" t="s">
        <v>37</v>
      </c>
      <c r="E717" s="3" t="s">
        <v>69</v>
      </c>
      <c r="F717" s="3" t="s">
        <v>782</v>
      </c>
      <c r="G717" s="3" t="s">
        <v>3</v>
      </c>
      <c r="H717" s="3" t="s">
        <v>3</v>
      </c>
      <c r="I717" s="3" t="s">
        <v>3</v>
      </c>
      <c r="J717" s="3" t="s">
        <v>3</v>
      </c>
      <c r="K717" s="3" t="s">
        <v>3</v>
      </c>
      <c r="L717" s="3" t="s">
        <v>3</v>
      </c>
      <c r="M717" s="3" t="s">
        <v>3</v>
      </c>
    </row>
    <row r="718" spans="1:13" x14ac:dyDescent="0.3">
      <c r="A718" s="3" t="s">
        <v>160</v>
      </c>
      <c r="B718" s="3">
        <v>316150</v>
      </c>
      <c r="C718" s="3" t="s">
        <v>160</v>
      </c>
      <c r="D718" s="3" t="s">
        <v>37</v>
      </c>
      <c r="E718" s="3" t="s">
        <v>160</v>
      </c>
      <c r="F718" s="3" t="s">
        <v>783</v>
      </c>
      <c r="G718" s="3" t="s">
        <v>3</v>
      </c>
      <c r="H718" s="3" t="s">
        <v>3</v>
      </c>
      <c r="I718" s="3" t="s">
        <v>3</v>
      </c>
      <c r="J718" s="3" t="s">
        <v>3</v>
      </c>
      <c r="K718" s="3" t="s">
        <v>3</v>
      </c>
      <c r="L718" s="3" t="s">
        <v>3</v>
      </c>
      <c r="M718" s="3" t="s">
        <v>3</v>
      </c>
    </row>
    <row r="719" spans="1:13" x14ac:dyDescent="0.3">
      <c r="A719" s="3" t="s">
        <v>47</v>
      </c>
      <c r="B719" s="3">
        <v>316160</v>
      </c>
      <c r="C719" s="3" t="s">
        <v>47</v>
      </c>
      <c r="D719" s="3" t="s">
        <v>15</v>
      </c>
      <c r="E719" s="3" t="s">
        <v>47</v>
      </c>
      <c r="F719" s="3" t="s">
        <v>784</v>
      </c>
      <c r="G719" s="3" t="s">
        <v>3</v>
      </c>
      <c r="H719" s="3" t="s">
        <v>3</v>
      </c>
      <c r="I719" s="3" t="s">
        <v>3</v>
      </c>
      <c r="J719" s="3" t="s">
        <v>3</v>
      </c>
      <c r="K719" s="3" t="s">
        <v>3</v>
      </c>
      <c r="L719" s="3" t="s">
        <v>3</v>
      </c>
      <c r="M719" s="3" t="s">
        <v>3</v>
      </c>
    </row>
    <row r="720" spans="1:13" x14ac:dyDescent="0.3">
      <c r="A720" s="3" t="s">
        <v>47</v>
      </c>
      <c r="B720" s="3">
        <v>316165</v>
      </c>
      <c r="C720" s="3" t="s">
        <v>47</v>
      </c>
      <c r="D720" s="3" t="s">
        <v>15</v>
      </c>
      <c r="E720" s="3" t="s">
        <v>47</v>
      </c>
      <c r="F720" s="3" t="s">
        <v>785</v>
      </c>
      <c r="G720" s="3" t="s">
        <v>3</v>
      </c>
      <c r="H720" s="3" t="s">
        <v>3</v>
      </c>
      <c r="I720" s="3" t="s">
        <v>3</v>
      </c>
      <c r="J720" s="3" t="s">
        <v>3</v>
      </c>
      <c r="K720" s="3" t="s">
        <v>3</v>
      </c>
      <c r="L720" s="3" t="s">
        <v>3</v>
      </c>
      <c r="M720" s="3" t="s">
        <v>3</v>
      </c>
    </row>
    <row r="721" spans="1:13" x14ac:dyDescent="0.3">
      <c r="A721" s="3" t="s">
        <v>316</v>
      </c>
      <c r="B721" s="3">
        <v>316170</v>
      </c>
      <c r="C721" s="3" t="s">
        <v>316</v>
      </c>
      <c r="D721" s="3" t="s">
        <v>82</v>
      </c>
      <c r="E721" s="3" t="s">
        <v>316</v>
      </c>
      <c r="F721" s="3" t="s">
        <v>786</v>
      </c>
      <c r="G721" s="3" t="s">
        <v>3</v>
      </c>
      <c r="H721" s="3" t="s">
        <v>3</v>
      </c>
      <c r="I721" s="3" t="s">
        <v>3</v>
      </c>
      <c r="J721" s="3" t="s">
        <v>3</v>
      </c>
      <c r="K721" s="3" t="s">
        <v>3</v>
      </c>
      <c r="L721" s="3" t="s">
        <v>3</v>
      </c>
      <c r="M721" s="3" t="s">
        <v>3</v>
      </c>
    </row>
    <row r="722" spans="1:13" x14ac:dyDescent="0.3">
      <c r="A722" s="3" t="s">
        <v>85</v>
      </c>
      <c r="B722" s="3">
        <v>316180</v>
      </c>
      <c r="C722" s="3" t="s">
        <v>85</v>
      </c>
      <c r="D722" s="3" t="s">
        <v>21</v>
      </c>
      <c r="E722" s="3" t="s">
        <v>85</v>
      </c>
      <c r="F722" s="3" t="s">
        <v>787</v>
      </c>
      <c r="G722" s="3" t="s">
        <v>3</v>
      </c>
      <c r="H722" s="3" t="s">
        <v>3</v>
      </c>
      <c r="I722" s="3" t="s">
        <v>3</v>
      </c>
      <c r="J722" s="3" t="s">
        <v>3</v>
      </c>
      <c r="K722" s="3" t="s">
        <v>3</v>
      </c>
      <c r="L722" s="3" t="s">
        <v>3</v>
      </c>
      <c r="M722" s="3" t="s">
        <v>3</v>
      </c>
    </row>
    <row r="723" spans="1:13" x14ac:dyDescent="0.3">
      <c r="A723" s="3" t="s">
        <v>110</v>
      </c>
      <c r="B723" s="3">
        <v>316190</v>
      </c>
      <c r="C723" s="3" t="s">
        <v>110</v>
      </c>
      <c r="D723" s="3" t="s">
        <v>4</v>
      </c>
      <c r="E723" s="3" t="s">
        <v>110</v>
      </c>
      <c r="F723" s="3" t="s">
        <v>788</v>
      </c>
      <c r="G723" s="3" t="s">
        <v>3</v>
      </c>
      <c r="H723" s="3" t="s">
        <v>3</v>
      </c>
      <c r="I723" s="3" t="s">
        <v>3</v>
      </c>
      <c r="J723" s="3" t="s">
        <v>3</v>
      </c>
      <c r="K723" s="3" t="s">
        <v>3</v>
      </c>
      <c r="L723" s="3" t="s">
        <v>3</v>
      </c>
      <c r="M723" s="3" t="s">
        <v>3</v>
      </c>
    </row>
    <row r="724" spans="1:13" x14ac:dyDescent="0.3">
      <c r="A724" s="3" t="s">
        <v>296</v>
      </c>
      <c r="B724" s="3">
        <v>316200</v>
      </c>
      <c r="C724" s="3" t="s">
        <v>296</v>
      </c>
      <c r="D724" s="3" t="s">
        <v>31</v>
      </c>
      <c r="E724" s="3" t="s">
        <v>296</v>
      </c>
      <c r="F724" s="3" t="s">
        <v>789</v>
      </c>
      <c r="G724" s="3">
        <v>7</v>
      </c>
      <c r="H724" s="3">
        <v>5</v>
      </c>
      <c r="I724" s="3">
        <v>3</v>
      </c>
      <c r="J724" s="3">
        <v>4</v>
      </c>
      <c r="K724" s="3">
        <v>5</v>
      </c>
      <c r="L724" s="3">
        <v>2</v>
      </c>
      <c r="M724" s="3">
        <v>2</v>
      </c>
    </row>
    <row r="725" spans="1:13" x14ac:dyDescent="0.3">
      <c r="A725" s="3" t="s">
        <v>83</v>
      </c>
      <c r="B725" s="3">
        <v>316210</v>
      </c>
      <c r="C725" s="3" t="s">
        <v>83</v>
      </c>
      <c r="D725" s="3" t="s">
        <v>82</v>
      </c>
      <c r="E725" s="3" t="s">
        <v>83</v>
      </c>
      <c r="F725" s="3" t="s">
        <v>790</v>
      </c>
      <c r="G725" s="3">
        <v>191</v>
      </c>
      <c r="H725" s="3">
        <v>214</v>
      </c>
      <c r="I725" s="3">
        <v>88</v>
      </c>
      <c r="J725" s="3">
        <v>59</v>
      </c>
      <c r="K725" s="3">
        <v>178</v>
      </c>
      <c r="L725" s="3">
        <v>191</v>
      </c>
      <c r="M725" s="3">
        <v>202</v>
      </c>
    </row>
    <row r="726" spans="1:13" x14ac:dyDescent="0.3">
      <c r="A726" s="3" t="s">
        <v>49</v>
      </c>
      <c r="B726" s="3">
        <v>316220</v>
      </c>
      <c r="C726" s="3" t="s">
        <v>49</v>
      </c>
      <c r="D726" s="3" t="s">
        <v>31</v>
      </c>
      <c r="E726" s="3" t="s">
        <v>49</v>
      </c>
      <c r="F726" s="3" t="s">
        <v>791</v>
      </c>
      <c r="G726" s="3" t="s">
        <v>3</v>
      </c>
      <c r="H726" s="3" t="s">
        <v>3</v>
      </c>
      <c r="I726" s="3" t="s">
        <v>3</v>
      </c>
      <c r="J726" s="3" t="s">
        <v>3</v>
      </c>
      <c r="K726" s="3" t="s">
        <v>3</v>
      </c>
      <c r="L726" s="3" t="s">
        <v>3</v>
      </c>
      <c r="M726" s="3" t="s">
        <v>3</v>
      </c>
    </row>
    <row r="727" spans="1:13" x14ac:dyDescent="0.3">
      <c r="A727" s="3" t="s">
        <v>293</v>
      </c>
      <c r="B727" s="3">
        <v>316225</v>
      </c>
      <c r="C727" s="3" t="s">
        <v>293</v>
      </c>
      <c r="D727" s="3" t="s">
        <v>126</v>
      </c>
      <c r="E727" s="3" t="s">
        <v>293</v>
      </c>
      <c r="F727" s="3" t="s">
        <v>792</v>
      </c>
      <c r="G727" s="3" t="s">
        <v>3</v>
      </c>
      <c r="H727" s="3" t="s">
        <v>3</v>
      </c>
      <c r="I727" s="3" t="s">
        <v>3</v>
      </c>
      <c r="J727" s="3" t="s">
        <v>3</v>
      </c>
      <c r="K727" s="3" t="s">
        <v>3</v>
      </c>
      <c r="L727" s="3" t="s">
        <v>3</v>
      </c>
      <c r="M727" s="3" t="s">
        <v>3</v>
      </c>
    </row>
    <row r="728" spans="1:13" x14ac:dyDescent="0.3">
      <c r="A728" s="3" t="s">
        <v>145</v>
      </c>
      <c r="B728" s="3">
        <v>316230</v>
      </c>
      <c r="C728" s="3" t="s">
        <v>145</v>
      </c>
      <c r="D728" s="3" t="s">
        <v>31</v>
      </c>
      <c r="E728" s="3" t="s">
        <v>145</v>
      </c>
      <c r="F728" s="3" t="s">
        <v>793</v>
      </c>
      <c r="G728" s="3" t="s">
        <v>3</v>
      </c>
      <c r="H728" s="3" t="s">
        <v>3</v>
      </c>
      <c r="I728" s="3" t="s">
        <v>3</v>
      </c>
      <c r="J728" s="3" t="s">
        <v>3</v>
      </c>
      <c r="K728" s="3" t="s">
        <v>3</v>
      </c>
      <c r="L728" s="3" t="s">
        <v>3</v>
      </c>
      <c r="M728" s="3" t="s">
        <v>3</v>
      </c>
    </row>
    <row r="729" spans="1:13" x14ac:dyDescent="0.3">
      <c r="A729" s="3" t="s">
        <v>158</v>
      </c>
      <c r="B729" s="3">
        <v>316240</v>
      </c>
      <c r="C729" s="3" t="s">
        <v>158</v>
      </c>
      <c r="D729" s="3" t="s">
        <v>126</v>
      </c>
      <c r="E729" s="3" t="s">
        <v>158</v>
      </c>
      <c r="F729" s="3" t="s">
        <v>794</v>
      </c>
      <c r="G729" s="3" t="s">
        <v>3</v>
      </c>
      <c r="H729" s="3">
        <v>32</v>
      </c>
      <c r="I729" s="3">
        <v>26</v>
      </c>
      <c r="J729" s="3">
        <v>58</v>
      </c>
      <c r="K729" s="3">
        <v>70</v>
      </c>
      <c r="L729" s="3">
        <v>101</v>
      </c>
      <c r="M729" s="3">
        <v>78</v>
      </c>
    </row>
    <row r="730" spans="1:13" x14ac:dyDescent="0.3">
      <c r="A730" s="3" t="s">
        <v>505</v>
      </c>
      <c r="B730" s="3">
        <v>316245</v>
      </c>
      <c r="C730" s="3" t="s">
        <v>505</v>
      </c>
      <c r="D730" s="3" t="s">
        <v>126</v>
      </c>
      <c r="E730" s="3" t="s">
        <v>505</v>
      </c>
      <c r="F730" s="3" t="s">
        <v>795</v>
      </c>
      <c r="G730" s="3" t="s">
        <v>3</v>
      </c>
      <c r="H730" s="3" t="s">
        <v>3</v>
      </c>
      <c r="I730" s="3" t="s">
        <v>3</v>
      </c>
      <c r="J730" s="3" t="s">
        <v>3</v>
      </c>
      <c r="K730" s="3" t="s">
        <v>3</v>
      </c>
      <c r="L730" s="3" t="s">
        <v>3</v>
      </c>
      <c r="M730" s="3" t="s">
        <v>3</v>
      </c>
    </row>
    <row r="731" spans="1:13" x14ac:dyDescent="0.3">
      <c r="A731" s="3" t="s">
        <v>114</v>
      </c>
      <c r="B731" s="3">
        <v>316250</v>
      </c>
      <c r="C731" s="3" t="s">
        <v>114</v>
      </c>
      <c r="D731" s="3" t="s">
        <v>42</v>
      </c>
      <c r="E731" s="3" t="s">
        <v>114</v>
      </c>
      <c r="F731" s="3" t="s">
        <v>796</v>
      </c>
      <c r="G731" s="3">
        <v>64</v>
      </c>
      <c r="H731" s="3">
        <v>107</v>
      </c>
      <c r="I731" s="3">
        <v>68</v>
      </c>
      <c r="J731" s="3">
        <v>65</v>
      </c>
      <c r="K731" s="3">
        <v>86</v>
      </c>
      <c r="L731" s="3">
        <v>109</v>
      </c>
      <c r="M731" s="3">
        <v>92</v>
      </c>
    </row>
    <row r="732" spans="1:13" x14ac:dyDescent="0.3">
      <c r="A732" s="3" t="s">
        <v>8</v>
      </c>
      <c r="B732" s="3">
        <v>316255</v>
      </c>
      <c r="C732" s="3" t="s">
        <v>8</v>
      </c>
      <c r="D732" s="3" t="s">
        <v>7</v>
      </c>
      <c r="E732" s="3" t="s">
        <v>8</v>
      </c>
      <c r="F732" s="3" t="s">
        <v>797</v>
      </c>
      <c r="G732" s="3" t="s">
        <v>3</v>
      </c>
      <c r="H732" s="3" t="s">
        <v>3</v>
      </c>
      <c r="I732" s="3" t="s">
        <v>3</v>
      </c>
      <c r="J732" s="3" t="s">
        <v>3</v>
      </c>
      <c r="K732" s="3" t="s">
        <v>3</v>
      </c>
      <c r="L732" s="3" t="s">
        <v>3</v>
      </c>
      <c r="M732" s="3" t="s">
        <v>3</v>
      </c>
    </row>
    <row r="733" spans="1:13" x14ac:dyDescent="0.3">
      <c r="A733" s="3" t="s">
        <v>255</v>
      </c>
      <c r="B733" s="3">
        <v>316257</v>
      </c>
      <c r="C733" s="3" t="s">
        <v>255</v>
      </c>
      <c r="D733" s="3" t="s">
        <v>15</v>
      </c>
      <c r="E733" s="3" t="s">
        <v>255</v>
      </c>
      <c r="F733" s="3" t="s">
        <v>798</v>
      </c>
      <c r="G733" s="3" t="s">
        <v>3</v>
      </c>
      <c r="H733" s="3" t="s">
        <v>3</v>
      </c>
      <c r="I733" s="3" t="s">
        <v>3</v>
      </c>
      <c r="J733" s="3" t="s">
        <v>3</v>
      </c>
      <c r="K733" s="3" t="s">
        <v>3</v>
      </c>
      <c r="L733" s="3" t="s">
        <v>3</v>
      </c>
      <c r="M733" s="3" t="s">
        <v>3</v>
      </c>
    </row>
    <row r="734" spans="1:13" x14ac:dyDescent="0.3">
      <c r="A734" s="3" t="s">
        <v>13</v>
      </c>
      <c r="B734" s="3">
        <v>316260</v>
      </c>
      <c r="C734" s="3" t="s">
        <v>13</v>
      </c>
      <c r="D734" s="3" t="s">
        <v>12</v>
      </c>
      <c r="E734" s="3" t="s">
        <v>13</v>
      </c>
      <c r="F734" s="3" t="s">
        <v>799</v>
      </c>
      <c r="G734" s="3" t="s">
        <v>3</v>
      </c>
      <c r="H734" s="3" t="s">
        <v>3</v>
      </c>
      <c r="I734" s="3" t="s">
        <v>3</v>
      </c>
      <c r="J734" s="3" t="s">
        <v>3</v>
      </c>
      <c r="K734" s="3" t="s">
        <v>3</v>
      </c>
      <c r="L734" s="3" t="s">
        <v>3</v>
      </c>
      <c r="M734" s="3" t="s">
        <v>3</v>
      </c>
    </row>
    <row r="735" spans="1:13" x14ac:dyDescent="0.3">
      <c r="A735" s="3" t="s">
        <v>293</v>
      </c>
      <c r="B735" s="3">
        <v>316265</v>
      </c>
      <c r="C735" s="3" t="s">
        <v>293</v>
      </c>
      <c r="D735" s="3" t="s">
        <v>126</v>
      </c>
      <c r="E735" s="3" t="s">
        <v>293</v>
      </c>
      <c r="F735" s="3" t="s">
        <v>800</v>
      </c>
      <c r="G735" s="3" t="s">
        <v>3</v>
      </c>
      <c r="H735" s="3" t="s">
        <v>3</v>
      </c>
      <c r="I735" s="3" t="s">
        <v>3</v>
      </c>
      <c r="J735" s="3" t="s">
        <v>3</v>
      </c>
      <c r="K735" s="3" t="s">
        <v>3</v>
      </c>
      <c r="L735" s="3" t="s">
        <v>3</v>
      </c>
      <c r="M735" s="3" t="s">
        <v>3</v>
      </c>
    </row>
    <row r="736" spans="1:13" x14ac:dyDescent="0.3">
      <c r="A736" s="3" t="s">
        <v>127</v>
      </c>
      <c r="B736" s="3">
        <v>316270</v>
      </c>
      <c r="C736" s="3" t="s">
        <v>127</v>
      </c>
      <c r="D736" s="3" t="s">
        <v>126</v>
      </c>
      <c r="E736" s="3" t="s">
        <v>127</v>
      </c>
      <c r="F736" s="3" t="s">
        <v>801</v>
      </c>
      <c r="G736" s="3">
        <v>9</v>
      </c>
      <c r="H736" s="3">
        <v>7</v>
      </c>
      <c r="I736" s="3" t="s">
        <v>3</v>
      </c>
      <c r="J736" s="3" t="s">
        <v>3</v>
      </c>
      <c r="K736" s="3">
        <v>9</v>
      </c>
      <c r="L736" s="3">
        <v>48</v>
      </c>
      <c r="M736" s="3">
        <v>41</v>
      </c>
    </row>
    <row r="737" spans="1:13" x14ac:dyDescent="0.3">
      <c r="A737" s="3" t="s">
        <v>203</v>
      </c>
      <c r="B737" s="3">
        <v>316280</v>
      </c>
      <c r="C737" s="3" t="s">
        <v>203</v>
      </c>
      <c r="D737" s="3" t="s">
        <v>15</v>
      </c>
      <c r="E737" s="3" t="s">
        <v>203</v>
      </c>
      <c r="F737" s="3" t="s">
        <v>802</v>
      </c>
      <c r="G737" s="3">
        <v>52</v>
      </c>
      <c r="H737" s="3">
        <v>53</v>
      </c>
      <c r="I737" s="3">
        <v>21</v>
      </c>
      <c r="J737" s="3">
        <v>32</v>
      </c>
      <c r="K737" s="3">
        <v>105</v>
      </c>
      <c r="L737" s="3">
        <v>99</v>
      </c>
      <c r="M737" s="3">
        <v>135</v>
      </c>
    </row>
    <row r="738" spans="1:13" x14ac:dyDescent="0.3">
      <c r="A738" s="3" t="s">
        <v>131</v>
      </c>
      <c r="B738" s="3">
        <v>316290</v>
      </c>
      <c r="C738" s="3" t="s">
        <v>131</v>
      </c>
      <c r="D738" s="3" t="s">
        <v>37</v>
      </c>
      <c r="E738" s="3" t="s">
        <v>131</v>
      </c>
      <c r="F738" s="3" t="s">
        <v>803</v>
      </c>
      <c r="G738" s="3">
        <v>7</v>
      </c>
      <c r="H738" s="3">
        <v>11</v>
      </c>
      <c r="I738" s="3">
        <v>5</v>
      </c>
      <c r="J738" s="3">
        <v>2</v>
      </c>
      <c r="K738" s="3">
        <v>33</v>
      </c>
      <c r="L738" s="3">
        <v>47</v>
      </c>
      <c r="M738" s="3">
        <v>56</v>
      </c>
    </row>
    <row r="739" spans="1:13" x14ac:dyDescent="0.3">
      <c r="A739" s="3" t="s">
        <v>129</v>
      </c>
      <c r="B739" s="3">
        <v>316292</v>
      </c>
      <c r="C739" s="3" t="s">
        <v>129</v>
      </c>
      <c r="D739" s="3" t="s">
        <v>4</v>
      </c>
      <c r="E739" s="3" t="s">
        <v>129</v>
      </c>
      <c r="F739" s="3" t="s">
        <v>804</v>
      </c>
      <c r="G739" s="3" t="s">
        <v>3</v>
      </c>
      <c r="H739" s="3" t="s">
        <v>3</v>
      </c>
      <c r="I739" s="3" t="s">
        <v>3</v>
      </c>
      <c r="J739" s="3" t="s">
        <v>3</v>
      </c>
      <c r="K739" s="3" t="s">
        <v>3</v>
      </c>
      <c r="L739" s="3" t="s">
        <v>3</v>
      </c>
      <c r="M739" s="3" t="s">
        <v>3</v>
      </c>
    </row>
    <row r="740" spans="1:13" x14ac:dyDescent="0.3">
      <c r="A740" s="3" t="s">
        <v>49</v>
      </c>
      <c r="B740" s="3">
        <v>316294</v>
      </c>
      <c r="C740" s="3" t="s">
        <v>49</v>
      </c>
      <c r="D740" s="3" t="s">
        <v>31</v>
      </c>
      <c r="E740" s="3" t="s">
        <v>49</v>
      </c>
      <c r="F740" s="3" t="s">
        <v>805</v>
      </c>
      <c r="G740" s="3" t="s">
        <v>3</v>
      </c>
      <c r="H740" s="3" t="s">
        <v>3</v>
      </c>
      <c r="I740" s="3" t="s">
        <v>3</v>
      </c>
      <c r="J740" s="3" t="s">
        <v>3</v>
      </c>
      <c r="K740" s="3" t="s">
        <v>3</v>
      </c>
      <c r="L740" s="3" t="s">
        <v>3</v>
      </c>
      <c r="M740" s="3" t="s">
        <v>3</v>
      </c>
    </row>
    <row r="741" spans="1:13" x14ac:dyDescent="0.3">
      <c r="A741" s="3" t="s">
        <v>283</v>
      </c>
      <c r="B741" s="3">
        <v>316295</v>
      </c>
      <c r="C741" s="3" t="s">
        <v>283</v>
      </c>
      <c r="D741" s="3" t="s">
        <v>4</v>
      </c>
      <c r="E741" s="3" t="s">
        <v>283</v>
      </c>
      <c r="F741" s="3" t="s">
        <v>806</v>
      </c>
      <c r="G741" s="3" t="s">
        <v>3</v>
      </c>
      <c r="H741" s="3" t="s">
        <v>3</v>
      </c>
      <c r="I741" s="3" t="s">
        <v>3</v>
      </c>
      <c r="J741" s="3" t="s">
        <v>3</v>
      </c>
      <c r="K741" s="3" t="s">
        <v>3</v>
      </c>
      <c r="L741" s="3" t="s">
        <v>3</v>
      </c>
      <c r="M741" s="3" t="s">
        <v>3</v>
      </c>
    </row>
    <row r="742" spans="1:13" x14ac:dyDescent="0.3">
      <c r="A742" s="3" t="s">
        <v>47</v>
      </c>
      <c r="B742" s="3">
        <v>316300</v>
      </c>
      <c r="C742" s="3" t="s">
        <v>47</v>
      </c>
      <c r="D742" s="3" t="s">
        <v>15</v>
      </c>
      <c r="E742" s="3" t="s">
        <v>47</v>
      </c>
      <c r="F742" s="3" t="s">
        <v>807</v>
      </c>
      <c r="G742" s="3" t="s">
        <v>3</v>
      </c>
      <c r="H742" s="3" t="s">
        <v>3</v>
      </c>
      <c r="I742" s="3" t="s">
        <v>3</v>
      </c>
      <c r="J742" s="3" t="s">
        <v>3</v>
      </c>
      <c r="K742" s="3" t="s">
        <v>3</v>
      </c>
      <c r="L742" s="3" t="s">
        <v>3</v>
      </c>
      <c r="M742" s="3" t="s">
        <v>3</v>
      </c>
    </row>
    <row r="743" spans="1:13" x14ac:dyDescent="0.3">
      <c r="A743" s="3" t="s">
        <v>278</v>
      </c>
      <c r="B743" s="3">
        <v>316310</v>
      </c>
      <c r="C743" s="3" t="s">
        <v>278</v>
      </c>
      <c r="D743" s="3" t="s">
        <v>21</v>
      </c>
      <c r="E743" s="3" t="s">
        <v>278</v>
      </c>
      <c r="F743" s="3" t="s">
        <v>808</v>
      </c>
      <c r="G743" s="3" t="s">
        <v>3</v>
      </c>
      <c r="H743" s="3" t="s">
        <v>3</v>
      </c>
      <c r="I743" s="3" t="s">
        <v>3</v>
      </c>
      <c r="J743" s="3" t="s">
        <v>3</v>
      </c>
      <c r="K743" s="3" t="s">
        <v>3</v>
      </c>
      <c r="L743" s="3" t="s">
        <v>3</v>
      </c>
      <c r="M743" s="3" t="s">
        <v>3</v>
      </c>
    </row>
    <row r="744" spans="1:13" x14ac:dyDescent="0.3">
      <c r="A744" s="3" t="s">
        <v>163</v>
      </c>
      <c r="B744" s="3">
        <v>316320</v>
      </c>
      <c r="C744" s="3" t="s">
        <v>163</v>
      </c>
      <c r="D744" s="3" t="s">
        <v>31</v>
      </c>
      <c r="E744" s="3" t="s">
        <v>163</v>
      </c>
      <c r="F744" s="3" t="s">
        <v>809</v>
      </c>
      <c r="G744" s="3" t="s">
        <v>3</v>
      </c>
      <c r="H744" s="3" t="s">
        <v>3</v>
      </c>
      <c r="I744" s="3" t="s">
        <v>3</v>
      </c>
      <c r="J744" s="3" t="s">
        <v>3</v>
      </c>
      <c r="K744" s="3" t="s">
        <v>3</v>
      </c>
      <c r="L744" s="3" t="s">
        <v>3</v>
      </c>
      <c r="M744" s="3" t="s">
        <v>3</v>
      </c>
    </row>
    <row r="745" spans="1:13" x14ac:dyDescent="0.3">
      <c r="A745" s="3" t="s">
        <v>189</v>
      </c>
      <c r="B745" s="3">
        <v>316330</v>
      </c>
      <c r="C745" s="3" t="s">
        <v>189</v>
      </c>
      <c r="D745" s="3" t="s">
        <v>24</v>
      </c>
      <c r="E745" s="3" t="s">
        <v>189</v>
      </c>
      <c r="F745" s="3" t="s">
        <v>810</v>
      </c>
      <c r="G745" s="3" t="s">
        <v>3</v>
      </c>
      <c r="H745" s="3" t="s">
        <v>3</v>
      </c>
      <c r="I745" s="3" t="s">
        <v>3</v>
      </c>
      <c r="J745" s="3" t="s">
        <v>3</v>
      </c>
      <c r="K745" s="3" t="s">
        <v>3</v>
      </c>
      <c r="L745" s="3" t="s">
        <v>3</v>
      </c>
      <c r="M745" s="3" t="s">
        <v>3</v>
      </c>
    </row>
    <row r="746" spans="1:13" x14ac:dyDescent="0.3">
      <c r="A746" s="3" t="s">
        <v>10</v>
      </c>
      <c r="B746" s="3">
        <v>316340</v>
      </c>
      <c r="C746" s="3" t="s">
        <v>10</v>
      </c>
      <c r="D746" s="3" t="s">
        <v>7</v>
      </c>
      <c r="E746" s="3" t="s">
        <v>10</v>
      </c>
      <c r="F746" s="3" t="s">
        <v>811</v>
      </c>
      <c r="G746" s="3" t="s">
        <v>3</v>
      </c>
      <c r="H746" s="3" t="s">
        <v>3</v>
      </c>
      <c r="I746" s="3" t="s">
        <v>3</v>
      </c>
      <c r="J746" s="3" t="s">
        <v>3</v>
      </c>
      <c r="K746" s="3" t="s">
        <v>3</v>
      </c>
      <c r="L746" s="3" t="s">
        <v>3</v>
      </c>
      <c r="M746" s="3" t="s">
        <v>3</v>
      </c>
    </row>
    <row r="747" spans="1:13" x14ac:dyDescent="0.3">
      <c r="A747" s="3" t="s">
        <v>203</v>
      </c>
      <c r="B747" s="3">
        <v>316350</v>
      </c>
      <c r="C747" s="3" t="s">
        <v>203</v>
      </c>
      <c r="D747" s="3" t="s">
        <v>15</v>
      </c>
      <c r="E747" s="3" t="s">
        <v>203</v>
      </c>
      <c r="F747" s="3" t="s">
        <v>812</v>
      </c>
      <c r="G747" s="3" t="s">
        <v>3</v>
      </c>
      <c r="H747" s="3" t="s">
        <v>3</v>
      </c>
      <c r="I747" s="3" t="s">
        <v>3</v>
      </c>
      <c r="J747" s="3" t="s">
        <v>3</v>
      </c>
      <c r="K747" s="3" t="s">
        <v>3</v>
      </c>
      <c r="L747" s="3" t="s">
        <v>3</v>
      </c>
      <c r="M747" s="3" t="s">
        <v>3</v>
      </c>
    </row>
    <row r="748" spans="1:13" x14ac:dyDescent="0.3">
      <c r="A748" s="3" t="s">
        <v>8</v>
      </c>
      <c r="B748" s="3">
        <v>316360</v>
      </c>
      <c r="C748" s="3" t="s">
        <v>8</v>
      </c>
      <c r="D748" s="3" t="s">
        <v>7</v>
      </c>
      <c r="E748" s="3" t="s">
        <v>8</v>
      </c>
      <c r="F748" s="3" t="s">
        <v>813</v>
      </c>
      <c r="G748" s="3" t="s">
        <v>3</v>
      </c>
      <c r="H748" s="3" t="s">
        <v>3</v>
      </c>
      <c r="I748" s="3" t="s">
        <v>3</v>
      </c>
      <c r="J748" s="3" t="s">
        <v>3</v>
      </c>
      <c r="K748" s="3" t="s">
        <v>3</v>
      </c>
      <c r="L748" s="3" t="s">
        <v>3</v>
      </c>
      <c r="M748" s="3" t="s">
        <v>3</v>
      </c>
    </row>
    <row r="749" spans="1:13" x14ac:dyDescent="0.3">
      <c r="A749" s="3" t="s">
        <v>32</v>
      </c>
      <c r="B749" s="3">
        <v>316370</v>
      </c>
      <c r="C749" s="3" t="s">
        <v>32</v>
      </c>
      <c r="D749" s="3" t="s">
        <v>31</v>
      </c>
      <c r="E749" s="3" t="s">
        <v>32</v>
      </c>
      <c r="F749" s="3" t="s">
        <v>814</v>
      </c>
      <c r="G749" s="3">
        <v>165</v>
      </c>
      <c r="H749" s="3">
        <v>198</v>
      </c>
      <c r="I749" s="3">
        <v>120</v>
      </c>
      <c r="J749" s="3">
        <v>67</v>
      </c>
      <c r="K749" s="3">
        <v>201</v>
      </c>
      <c r="L749" s="3">
        <v>226</v>
      </c>
      <c r="M749" s="3">
        <v>397</v>
      </c>
    </row>
    <row r="750" spans="1:13" x14ac:dyDescent="0.3">
      <c r="A750" s="3" t="s">
        <v>79</v>
      </c>
      <c r="B750" s="3">
        <v>316380</v>
      </c>
      <c r="C750" s="3" t="s">
        <v>79</v>
      </c>
      <c r="D750" s="3" t="s">
        <v>7</v>
      </c>
      <c r="E750" s="3" t="s">
        <v>79</v>
      </c>
      <c r="F750" s="3" t="s">
        <v>815</v>
      </c>
      <c r="G750" s="3" t="s">
        <v>3</v>
      </c>
      <c r="H750" s="3" t="s">
        <v>3</v>
      </c>
      <c r="I750" s="3" t="s">
        <v>3</v>
      </c>
      <c r="J750" s="3" t="s">
        <v>3</v>
      </c>
      <c r="K750" s="3" t="s">
        <v>3</v>
      </c>
      <c r="L750" s="3" t="s">
        <v>3</v>
      </c>
      <c r="M750" s="3" t="s">
        <v>3</v>
      </c>
    </row>
    <row r="751" spans="1:13" x14ac:dyDescent="0.3">
      <c r="A751" s="3" t="s">
        <v>89</v>
      </c>
      <c r="B751" s="3">
        <v>316390</v>
      </c>
      <c r="C751" s="3" t="s">
        <v>89</v>
      </c>
      <c r="D751" s="3" t="s">
        <v>31</v>
      </c>
      <c r="E751" s="3" t="s">
        <v>89</v>
      </c>
      <c r="F751" s="3" t="s">
        <v>816</v>
      </c>
      <c r="G751" s="3" t="s">
        <v>3</v>
      </c>
      <c r="H751" s="3" t="s">
        <v>3</v>
      </c>
      <c r="I751" s="3" t="s">
        <v>3</v>
      </c>
      <c r="J751" s="3" t="s">
        <v>3</v>
      </c>
      <c r="K751" s="3" t="s">
        <v>3</v>
      </c>
      <c r="L751" s="3" t="s">
        <v>3</v>
      </c>
      <c r="M751" s="3" t="s">
        <v>3</v>
      </c>
    </row>
    <row r="752" spans="1:13" x14ac:dyDescent="0.3">
      <c r="A752" s="3" t="s">
        <v>10</v>
      </c>
      <c r="B752" s="3">
        <v>316400</v>
      </c>
      <c r="C752" s="3" t="s">
        <v>10</v>
      </c>
      <c r="D752" s="3" t="s">
        <v>7</v>
      </c>
      <c r="E752" s="3" t="s">
        <v>10</v>
      </c>
      <c r="F752" s="3" t="s">
        <v>817</v>
      </c>
      <c r="G752" s="3" t="s">
        <v>3</v>
      </c>
      <c r="H752" s="3" t="s">
        <v>3</v>
      </c>
      <c r="I752" s="3" t="s">
        <v>3</v>
      </c>
      <c r="J752" s="3" t="s">
        <v>3</v>
      </c>
      <c r="K752" s="3" t="s">
        <v>3</v>
      </c>
      <c r="L752" s="3" t="s">
        <v>3</v>
      </c>
      <c r="M752" s="3" t="s">
        <v>3</v>
      </c>
    </row>
    <row r="753" spans="1:13" x14ac:dyDescent="0.3">
      <c r="A753" s="3" t="s">
        <v>203</v>
      </c>
      <c r="B753" s="3">
        <v>316410</v>
      </c>
      <c r="C753" s="3" t="s">
        <v>203</v>
      </c>
      <c r="D753" s="3" t="s">
        <v>15</v>
      </c>
      <c r="E753" s="3" t="s">
        <v>203</v>
      </c>
      <c r="F753" s="3" t="s">
        <v>818</v>
      </c>
      <c r="G753" s="3" t="s">
        <v>3</v>
      </c>
      <c r="H753" s="3" t="s">
        <v>3</v>
      </c>
      <c r="I753" s="3" t="s">
        <v>3</v>
      </c>
      <c r="J753" s="3" t="s">
        <v>3</v>
      </c>
      <c r="K753" s="3" t="s">
        <v>3</v>
      </c>
      <c r="L753" s="3" t="s">
        <v>3</v>
      </c>
      <c r="M753" s="3" t="s">
        <v>3</v>
      </c>
    </row>
    <row r="754" spans="1:13" x14ac:dyDescent="0.3">
      <c r="A754" s="3" t="s">
        <v>158</v>
      </c>
      <c r="B754" s="3">
        <v>316420</v>
      </c>
      <c r="C754" s="3" t="s">
        <v>158</v>
      </c>
      <c r="D754" s="3" t="s">
        <v>126</v>
      </c>
      <c r="E754" s="3" t="s">
        <v>158</v>
      </c>
      <c r="F754" s="3" t="s">
        <v>819</v>
      </c>
      <c r="G754" s="3" t="s">
        <v>3</v>
      </c>
      <c r="H754" s="3" t="s">
        <v>3</v>
      </c>
      <c r="I754" s="3" t="s">
        <v>3</v>
      </c>
      <c r="J754" s="3" t="s">
        <v>3</v>
      </c>
      <c r="K754" s="3" t="s">
        <v>3</v>
      </c>
      <c r="L754" s="3" t="s">
        <v>3</v>
      </c>
      <c r="M754" s="3" t="s">
        <v>3</v>
      </c>
    </row>
    <row r="755" spans="1:13" x14ac:dyDescent="0.3">
      <c r="A755" s="3" t="s">
        <v>214</v>
      </c>
      <c r="B755" s="3">
        <v>316430</v>
      </c>
      <c r="C755" s="3" t="s">
        <v>214</v>
      </c>
      <c r="D755" s="3" t="s">
        <v>31</v>
      </c>
      <c r="E755" s="3" t="s">
        <v>214</v>
      </c>
      <c r="F755" s="3" t="s">
        <v>820</v>
      </c>
      <c r="G755" s="3" t="s">
        <v>3</v>
      </c>
      <c r="H755" s="3" t="s">
        <v>3</v>
      </c>
      <c r="I755" s="3" t="s">
        <v>3</v>
      </c>
      <c r="J755" s="3" t="s">
        <v>3</v>
      </c>
      <c r="K755" s="3" t="s">
        <v>3</v>
      </c>
      <c r="L755" s="3" t="s">
        <v>3</v>
      </c>
      <c r="M755" s="3" t="s">
        <v>3</v>
      </c>
    </row>
    <row r="756" spans="1:13" x14ac:dyDescent="0.3">
      <c r="A756" s="3" t="s">
        <v>145</v>
      </c>
      <c r="B756" s="3">
        <v>316440</v>
      </c>
      <c r="C756" s="3" t="s">
        <v>145</v>
      </c>
      <c r="D756" s="3" t="s">
        <v>31</v>
      </c>
      <c r="E756" s="3" t="s">
        <v>145</v>
      </c>
      <c r="F756" s="3" t="s">
        <v>821</v>
      </c>
      <c r="G756" s="3" t="s">
        <v>3</v>
      </c>
      <c r="H756" s="3" t="s">
        <v>3</v>
      </c>
      <c r="I756" s="3" t="s">
        <v>3</v>
      </c>
      <c r="J756" s="3" t="s">
        <v>3</v>
      </c>
      <c r="K756" s="3" t="s">
        <v>3</v>
      </c>
      <c r="L756" s="3" t="s">
        <v>3</v>
      </c>
      <c r="M756" s="3" t="s">
        <v>3</v>
      </c>
    </row>
    <row r="757" spans="1:13" x14ac:dyDescent="0.3">
      <c r="A757" s="3" t="s">
        <v>69</v>
      </c>
      <c r="B757" s="3">
        <v>316443</v>
      </c>
      <c r="C757" s="3" t="s">
        <v>69</v>
      </c>
      <c r="D757" s="3" t="s">
        <v>37</v>
      </c>
      <c r="E757" s="3" t="s">
        <v>69</v>
      </c>
      <c r="F757" s="3" t="s">
        <v>822</v>
      </c>
      <c r="G757" s="3" t="s">
        <v>3</v>
      </c>
      <c r="H757" s="3" t="s">
        <v>3</v>
      </c>
      <c r="I757" s="3" t="s">
        <v>3</v>
      </c>
      <c r="J757" s="3" t="s">
        <v>3</v>
      </c>
      <c r="K757" s="3" t="s">
        <v>3</v>
      </c>
      <c r="L757" s="3" t="s">
        <v>3</v>
      </c>
      <c r="M757" s="3" t="s">
        <v>3</v>
      </c>
    </row>
    <row r="758" spans="1:13" x14ac:dyDescent="0.3">
      <c r="A758" s="3" t="s">
        <v>143</v>
      </c>
      <c r="B758" s="3">
        <v>316447</v>
      </c>
      <c r="C758" s="3" t="s">
        <v>143</v>
      </c>
      <c r="D758" s="3" t="s">
        <v>12</v>
      </c>
      <c r="E758" s="3" t="s">
        <v>143</v>
      </c>
      <c r="F758" s="3" t="s">
        <v>823</v>
      </c>
      <c r="G758" s="3" t="s">
        <v>3</v>
      </c>
      <c r="H758" s="3" t="s">
        <v>3</v>
      </c>
      <c r="I758" s="3" t="s">
        <v>3</v>
      </c>
      <c r="J758" s="3" t="s">
        <v>3</v>
      </c>
      <c r="K758" s="3" t="s">
        <v>3</v>
      </c>
      <c r="L758" s="3" t="s">
        <v>3</v>
      </c>
      <c r="M758" s="3" t="s">
        <v>3</v>
      </c>
    </row>
    <row r="759" spans="1:13" x14ac:dyDescent="0.3">
      <c r="A759" s="3" t="s">
        <v>16</v>
      </c>
      <c r="B759" s="3">
        <v>316450</v>
      </c>
      <c r="C759" s="3" t="s">
        <v>16</v>
      </c>
      <c r="D759" s="3" t="s">
        <v>15</v>
      </c>
      <c r="E759" s="3" t="s">
        <v>16</v>
      </c>
      <c r="F759" s="3" t="s">
        <v>824</v>
      </c>
      <c r="G759" s="3" t="s">
        <v>3</v>
      </c>
      <c r="H759" s="3" t="s">
        <v>3</v>
      </c>
      <c r="I759" s="3" t="s">
        <v>3</v>
      </c>
      <c r="J759" s="3" t="s">
        <v>3</v>
      </c>
      <c r="K759" s="3" t="s">
        <v>3</v>
      </c>
      <c r="L759" s="3" t="s">
        <v>3</v>
      </c>
      <c r="M759" s="3" t="s">
        <v>3</v>
      </c>
    </row>
    <row r="760" spans="1:13" x14ac:dyDescent="0.3">
      <c r="A760" s="3" t="s">
        <v>85</v>
      </c>
      <c r="B760" s="3">
        <v>316460</v>
      </c>
      <c r="C760" s="3" t="s">
        <v>85</v>
      </c>
      <c r="D760" s="3" t="s">
        <v>21</v>
      </c>
      <c r="E760" s="3" t="s">
        <v>85</v>
      </c>
      <c r="F760" s="3" t="s">
        <v>825</v>
      </c>
      <c r="G760" s="3" t="s">
        <v>3</v>
      </c>
      <c r="H760" s="3" t="s">
        <v>3</v>
      </c>
      <c r="I760" s="3" t="s">
        <v>3</v>
      </c>
      <c r="J760" s="3" t="s">
        <v>3</v>
      </c>
      <c r="K760" s="3" t="s">
        <v>3</v>
      </c>
      <c r="L760" s="3" t="s">
        <v>3</v>
      </c>
      <c r="M760" s="3" t="s">
        <v>3</v>
      </c>
    </row>
    <row r="761" spans="1:13" x14ac:dyDescent="0.3">
      <c r="A761" s="3" t="s">
        <v>458</v>
      </c>
      <c r="B761" s="3">
        <v>316470</v>
      </c>
      <c r="C761" s="3" t="s">
        <v>458</v>
      </c>
      <c r="D761" s="3" t="s">
        <v>31</v>
      </c>
      <c r="E761" s="3" t="s">
        <v>458</v>
      </c>
      <c r="F761" s="3" t="s">
        <v>826</v>
      </c>
      <c r="G761" s="3">
        <v>38</v>
      </c>
      <c r="H761" s="3">
        <v>60</v>
      </c>
      <c r="I761" s="3">
        <v>34</v>
      </c>
      <c r="J761" s="3">
        <v>59</v>
      </c>
      <c r="K761" s="3">
        <v>89</v>
      </c>
      <c r="L761" s="3">
        <v>149</v>
      </c>
      <c r="M761" s="3">
        <v>137</v>
      </c>
    </row>
    <row r="762" spans="1:13" x14ac:dyDescent="0.3">
      <c r="A762" s="3" t="s">
        <v>110</v>
      </c>
      <c r="B762" s="3">
        <v>316480</v>
      </c>
      <c r="C762" s="3" t="s">
        <v>110</v>
      </c>
      <c r="D762" s="3" t="s">
        <v>4</v>
      </c>
      <c r="E762" s="3" t="s">
        <v>110</v>
      </c>
      <c r="F762" s="3" t="s">
        <v>827</v>
      </c>
      <c r="G762" s="3" t="s">
        <v>3</v>
      </c>
      <c r="H762" s="3" t="s">
        <v>3</v>
      </c>
      <c r="I762" s="3" t="s">
        <v>3</v>
      </c>
      <c r="J762" s="3" t="s">
        <v>3</v>
      </c>
      <c r="K762" s="3" t="s">
        <v>3</v>
      </c>
      <c r="L762" s="3" t="s">
        <v>3</v>
      </c>
      <c r="M762" s="3" t="s">
        <v>3</v>
      </c>
    </row>
    <row r="763" spans="1:13" x14ac:dyDescent="0.3">
      <c r="A763" s="3" t="s">
        <v>32</v>
      </c>
      <c r="B763" s="3">
        <v>316490</v>
      </c>
      <c r="C763" s="3" t="s">
        <v>32</v>
      </c>
      <c r="D763" s="3" t="s">
        <v>31</v>
      </c>
      <c r="E763" s="3" t="s">
        <v>32</v>
      </c>
      <c r="F763" s="3" t="s">
        <v>828</v>
      </c>
      <c r="G763" s="3" t="s">
        <v>3</v>
      </c>
      <c r="H763" s="3" t="s">
        <v>3</v>
      </c>
      <c r="I763" s="3" t="s">
        <v>3</v>
      </c>
      <c r="J763" s="3" t="s">
        <v>3</v>
      </c>
      <c r="K763" s="3" t="s">
        <v>3</v>
      </c>
      <c r="L763" s="3" t="s">
        <v>3</v>
      </c>
      <c r="M763" s="3" t="s">
        <v>3</v>
      </c>
    </row>
    <row r="764" spans="1:13" x14ac:dyDescent="0.3">
      <c r="A764" s="3" t="s">
        <v>114</v>
      </c>
      <c r="B764" s="3">
        <v>316500</v>
      </c>
      <c r="C764" s="3" t="s">
        <v>114</v>
      </c>
      <c r="D764" s="3" t="s">
        <v>42</v>
      </c>
      <c r="E764" s="3" t="s">
        <v>114</v>
      </c>
      <c r="F764" s="3" t="s">
        <v>829</v>
      </c>
      <c r="G764" s="3" t="s">
        <v>3</v>
      </c>
      <c r="H764" s="3" t="s">
        <v>3</v>
      </c>
      <c r="I764" s="3" t="s">
        <v>3</v>
      </c>
      <c r="J764" s="3" t="s">
        <v>3</v>
      </c>
      <c r="K764" s="3" t="s">
        <v>3</v>
      </c>
      <c r="L764" s="3" t="s">
        <v>3</v>
      </c>
      <c r="M764" s="3" t="s">
        <v>3</v>
      </c>
    </row>
    <row r="765" spans="1:13" x14ac:dyDescent="0.3">
      <c r="A765" s="3" t="s">
        <v>458</v>
      </c>
      <c r="B765" s="3">
        <v>316510</v>
      </c>
      <c r="C765" s="3" t="s">
        <v>458</v>
      </c>
      <c r="D765" s="3" t="s">
        <v>31</v>
      </c>
      <c r="E765" s="3" t="s">
        <v>458</v>
      </c>
      <c r="F765" s="3" t="s">
        <v>830</v>
      </c>
      <c r="G765" s="3" t="s">
        <v>3</v>
      </c>
      <c r="H765" s="3" t="s">
        <v>3</v>
      </c>
      <c r="I765" s="3" t="s">
        <v>3</v>
      </c>
      <c r="J765" s="3" t="s">
        <v>3</v>
      </c>
      <c r="K765" s="3" t="s">
        <v>3</v>
      </c>
      <c r="L765" s="3" t="s">
        <v>3</v>
      </c>
      <c r="M765" s="3" t="s">
        <v>3</v>
      </c>
    </row>
    <row r="766" spans="1:13" x14ac:dyDescent="0.3">
      <c r="A766" s="3" t="s">
        <v>187</v>
      </c>
      <c r="B766" s="3">
        <v>316520</v>
      </c>
      <c r="C766" s="3" t="s">
        <v>187</v>
      </c>
      <c r="D766" s="3" t="s">
        <v>31</v>
      </c>
      <c r="E766" s="3" t="s">
        <v>187</v>
      </c>
      <c r="F766" s="3" t="s">
        <v>831</v>
      </c>
      <c r="G766" s="3" t="s">
        <v>3</v>
      </c>
      <c r="H766" s="3" t="s">
        <v>3</v>
      </c>
      <c r="I766" s="3" t="s">
        <v>3</v>
      </c>
      <c r="J766" s="3" t="s">
        <v>3</v>
      </c>
      <c r="K766" s="3" t="s">
        <v>3</v>
      </c>
      <c r="L766" s="3" t="s">
        <v>3</v>
      </c>
      <c r="M766" s="3" t="s">
        <v>3</v>
      </c>
    </row>
    <row r="767" spans="1:13" x14ac:dyDescent="0.3">
      <c r="A767" s="3" t="s">
        <v>114</v>
      </c>
      <c r="B767" s="3">
        <v>316530</v>
      </c>
      <c r="C767" s="3" t="s">
        <v>114</v>
      </c>
      <c r="D767" s="3" t="s">
        <v>42</v>
      </c>
      <c r="E767" s="3" t="s">
        <v>114</v>
      </c>
      <c r="F767" s="3" t="s">
        <v>832</v>
      </c>
      <c r="G767" s="3">
        <v>10</v>
      </c>
      <c r="H767" s="3">
        <v>14</v>
      </c>
      <c r="I767" s="3">
        <v>14</v>
      </c>
      <c r="J767" s="3">
        <v>11</v>
      </c>
      <c r="K767" s="3">
        <v>6</v>
      </c>
      <c r="L767" s="3">
        <v>8</v>
      </c>
      <c r="M767" s="3">
        <v>19</v>
      </c>
    </row>
    <row r="768" spans="1:13" x14ac:dyDescent="0.3">
      <c r="A768" s="3" t="s">
        <v>163</v>
      </c>
      <c r="B768" s="3">
        <v>316540</v>
      </c>
      <c r="C768" s="3" t="s">
        <v>163</v>
      </c>
      <c r="D768" s="3" t="s">
        <v>31</v>
      </c>
      <c r="E768" s="3" t="s">
        <v>163</v>
      </c>
      <c r="F768" s="3" t="s">
        <v>833</v>
      </c>
      <c r="G768" s="3" t="s">
        <v>3</v>
      </c>
      <c r="H768" s="3" t="s">
        <v>3</v>
      </c>
      <c r="I768" s="3" t="s">
        <v>3</v>
      </c>
      <c r="J768" s="3" t="s">
        <v>3</v>
      </c>
      <c r="K768" s="3" t="s">
        <v>3</v>
      </c>
      <c r="L768" s="3" t="s">
        <v>3</v>
      </c>
      <c r="M768" s="3" t="s">
        <v>3</v>
      </c>
    </row>
    <row r="769" spans="1:13" x14ac:dyDescent="0.3">
      <c r="A769" s="3" t="s">
        <v>47</v>
      </c>
      <c r="B769" s="3">
        <v>316550</v>
      </c>
      <c r="C769" s="3" t="s">
        <v>47</v>
      </c>
      <c r="D769" s="3" t="s">
        <v>15</v>
      </c>
      <c r="E769" s="3" t="s">
        <v>47</v>
      </c>
      <c r="F769" s="3" t="s">
        <v>834</v>
      </c>
      <c r="G769" s="3" t="s">
        <v>3</v>
      </c>
      <c r="H769" s="3" t="s">
        <v>3</v>
      </c>
      <c r="I769" s="3" t="s">
        <v>3</v>
      </c>
      <c r="J769" s="3" t="s">
        <v>3</v>
      </c>
      <c r="K769" s="3" t="s">
        <v>3</v>
      </c>
      <c r="L769" s="3" t="s">
        <v>3</v>
      </c>
      <c r="M769" s="3" t="s">
        <v>3</v>
      </c>
    </row>
    <row r="770" spans="1:13" x14ac:dyDescent="0.3">
      <c r="A770" s="3" t="s">
        <v>291</v>
      </c>
      <c r="B770" s="3">
        <v>316553</v>
      </c>
      <c r="C770" s="3" t="s">
        <v>291</v>
      </c>
      <c r="D770" s="3" t="s">
        <v>4</v>
      </c>
      <c r="E770" s="3" t="s">
        <v>291</v>
      </c>
      <c r="F770" s="3" t="s">
        <v>835</v>
      </c>
      <c r="G770" s="3" t="s">
        <v>3</v>
      </c>
      <c r="H770" s="3" t="s">
        <v>3</v>
      </c>
      <c r="I770" s="3" t="s">
        <v>3</v>
      </c>
      <c r="J770" s="3" t="s">
        <v>3</v>
      </c>
      <c r="K770" s="3" t="s">
        <v>3</v>
      </c>
      <c r="L770" s="3" t="s">
        <v>3</v>
      </c>
      <c r="M770" s="3" t="s">
        <v>3</v>
      </c>
    </row>
    <row r="771" spans="1:13" x14ac:dyDescent="0.3">
      <c r="A771" s="3" t="s">
        <v>64</v>
      </c>
      <c r="B771" s="3">
        <v>316555</v>
      </c>
      <c r="C771" s="3" t="s">
        <v>64</v>
      </c>
      <c r="D771" s="3" t="s">
        <v>24</v>
      </c>
      <c r="E771" s="3" t="s">
        <v>64</v>
      </c>
      <c r="F771" s="3" t="s">
        <v>836</v>
      </c>
      <c r="G771" s="3" t="s">
        <v>3</v>
      </c>
      <c r="H771" s="3" t="s">
        <v>3</v>
      </c>
      <c r="I771" s="3" t="s">
        <v>3</v>
      </c>
      <c r="J771" s="3" t="s">
        <v>3</v>
      </c>
      <c r="K771" s="3" t="s">
        <v>3</v>
      </c>
      <c r="L771" s="3" t="s">
        <v>3</v>
      </c>
      <c r="M771" s="3" t="s">
        <v>3</v>
      </c>
    </row>
    <row r="772" spans="1:13" x14ac:dyDescent="0.3">
      <c r="A772" s="3" t="s">
        <v>10</v>
      </c>
      <c r="B772" s="3">
        <v>316556</v>
      </c>
      <c r="C772" s="3" t="s">
        <v>10</v>
      </c>
      <c r="D772" s="3" t="s">
        <v>7</v>
      </c>
      <c r="E772" s="3" t="s">
        <v>10</v>
      </c>
      <c r="F772" s="3" t="s">
        <v>837</v>
      </c>
      <c r="G772" s="3" t="s">
        <v>3</v>
      </c>
      <c r="H772" s="3" t="s">
        <v>3</v>
      </c>
      <c r="I772" s="3" t="s">
        <v>3</v>
      </c>
      <c r="J772" s="3" t="s">
        <v>3</v>
      </c>
      <c r="K772" s="3" t="s">
        <v>3</v>
      </c>
      <c r="L772" s="3" t="s">
        <v>3</v>
      </c>
      <c r="M772" s="3" t="s">
        <v>3</v>
      </c>
    </row>
    <row r="773" spans="1:13" x14ac:dyDescent="0.3">
      <c r="A773" s="3" t="s">
        <v>145</v>
      </c>
      <c r="B773" s="3">
        <v>316557</v>
      </c>
      <c r="C773" s="3" t="s">
        <v>145</v>
      </c>
      <c r="D773" s="3" t="s">
        <v>31</v>
      </c>
      <c r="E773" s="3" t="s">
        <v>145</v>
      </c>
      <c r="F773" s="3" t="s">
        <v>838</v>
      </c>
      <c r="G773" s="3" t="s">
        <v>3</v>
      </c>
      <c r="H773" s="3" t="s">
        <v>3</v>
      </c>
      <c r="I773" s="3" t="s">
        <v>3</v>
      </c>
      <c r="J773" s="3" t="s">
        <v>3</v>
      </c>
      <c r="K773" s="3" t="s">
        <v>3</v>
      </c>
      <c r="L773" s="3" t="s">
        <v>3</v>
      </c>
      <c r="M773" s="3" t="s">
        <v>3</v>
      </c>
    </row>
    <row r="774" spans="1:13" x14ac:dyDescent="0.3">
      <c r="A774" s="3" t="s">
        <v>131</v>
      </c>
      <c r="B774" s="3">
        <v>316560</v>
      </c>
      <c r="C774" s="3" t="s">
        <v>131</v>
      </c>
      <c r="D774" s="3" t="s">
        <v>37</v>
      </c>
      <c r="E774" s="3" t="s">
        <v>131</v>
      </c>
      <c r="F774" s="3" t="s">
        <v>839</v>
      </c>
      <c r="G774" s="3" t="s">
        <v>3</v>
      </c>
      <c r="H774" s="3" t="s">
        <v>3</v>
      </c>
      <c r="I774" s="3" t="s">
        <v>3</v>
      </c>
      <c r="J774" s="3" t="s">
        <v>3</v>
      </c>
      <c r="K774" s="3" t="s">
        <v>3</v>
      </c>
      <c r="L774" s="3" t="s">
        <v>3</v>
      </c>
      <c r="M774" s="3" t="s">
        <v>3</v>
      </c>
    </row>
    <row r="775" spans="1:13" x14ac:dyDescent="0.3">
      <c r="A775" s="3" t="s">
        <v>160</v>
      </c>
      <c r="B775" s="3">
        <v>316570</v>
      </c>
      <c r="C775" s="3" t="s">
        <v>160</v>
      </c>
      <c r="D775" s="3" t="s">
        <v>37</v>
      </c>
      <c r="E775" s="3" t="s">
        <v>160</v>
      </c>
      <c r="F775" s="3" t="s">
        <v>840</v>
      </c>
      <c r="G775" s="3" t="s">
        <v>3</v>
      </c>
      <c r="H775" s="3" t="s">
        <v>3</v>
      </c>
      <c r="I775" s="3" t="s">
        <v>3</v>
      </c>
      <c r="J775" s="3" t="s">
        <v>3</v>
      </c>
      <c r="K775" s="3" t="s">
        <v>3</v>
      </c>
      <c r="L775" s="3" t="s">
        <v>3</v>
      </c>
      <c r="M775" s="3" t="s">
        <v>3</v>
      </c>
    </row>
    <row r="776" spans="1:13" x14ac:dyDescent="0.3">
      <c r="A776" s="3" t="s">
        <v>145</v>
      </c>
      <c r="B776" s="3">
        <v>316580</v>
      </c>
      <c r="C776" s="3" t="s">
        <v>145</v>
      </c>
      <c r="D776" s="3" t="s">
        <v>31</v>
      </c>
      <c r="E776" s="3" t="s">
        <v>145</v>
      </c>
      <c r="F776" s="3" t="s">
        <v>841</v>
      </c>
      <c r="G776" s="3" t="s">
        <v>3</v>
      </c>
      <c r="H776" s="3" t="s">
        <v>3</v>
      </c>
      <c r="I776" s="3" t="s">
        <v>3</v>
      </c>
      <c r="J776" s="3" t="s">
        <v>3</v>
      </c>
      <c r="K776" s="3" t="s">
        <v>3</v>
      </c>
      <c r="L776" s="3" t="s">
        <v>3</v>
      </c>
      <c r="M776" s="3" t="s">
        <v>3</v>
      </c>
    </row>
    <row r="777" spans="1:13" x14ac:dyDescent="0.3">
      <c r="A777" s="3" t="s">
        <v>222</v>
      </c>
      <c r="B777" s="3">
        <v>316590</v>
      </c>
      <c r="C777" s="3" t="s">
        <v>222</v>
      </c>
      <c r="D777" s="3" t="s">
        <v>56</v>
      </c>
      <c r="E777" s="3" t="s">
        <v>222</v>
      </c>
      <c r="F777" s="3" t="s">
        <v>842</v>
      </c>
      <c r="G777" s="3" t="s">
        <v>3</v>
      </c>
      <c r="H777" s="3" t="s">
        <v>3</v>
      </c>
      <c r="I777" s="3" t="s">
        <v>3</v>
      </c>
      <c r="J777" s="3" t="s">
        <v>3</v>
      </c>
      <c r="K777" s="3" t="s">
        <v>3</v>
      </c>
      <c r="L777" s="3" t="s">
        <v>3</v>
      </c>
      <c r="M777" s="3" t="s">
        <v>3</v>
      </c>
    </row>
    <row r="778" spans="1:13" x14ac:dyDescent="0.3">
      <c r="A778" s="3" t="s">
        <v>219</v>
      </c>
      <c r="B778" s="3">
        <v>316600</v>
      </c>
      <c r="C778" s="3" t="s">
        <v>219</v>
      </c>
      <c r="D778" s="3" t="s">
        <v>42</v>
      </c>
      <c r="E778" s="3" t="s">
        <v>219</v>
      </c>
      <c r="F778" s="3" t="s">
        <v>843</v>
      </c>
      <c r="G778" s="3" t="s">
        <v>3</v>
      </c>
      <c r="H778" s="3" t="s">
        <v>3</v>
      </c>
      <c r="I778" s="3" t="s">
        <v>3</v>
      </c>
      <c r="J778" s="3" t="s">
        <v>3</v>
      </c>
      <c r="K778" s="3" t="s">
        <v>3</v>
      </c>
      <c r="L778" s="3" t="s">
        <v>3</v>
      </c>
      <c r="M778" s="3" t="s">
        <v>3</v>
      </c>
    </row>
    <row r="779" spans="1:13" x14ac:dyDescent="0.3">
      <c r="A779" s="3" t="s">
        <v>227</v>
      </c>
      <c r="B779" s="3">
        <v>316610</v>
      </c>
      <c r="C779" s="3" t="s">
        <v>227</v>
      </c>
      <c r="D779" s="3" t="s">
        <v>4</v>
      </c>
      <c r="E779" s="3" t="s">
        <v>227</v>
      </c>
      <c r="F779" s="3" t="s">
        <v>844</v>
      </c>
      <c r="G779" s="3" t="s">
        <v>3</v>
      </c>
      <c r="H779" s="3" t="s">
        <v>3</v>
      </c>
      <c r="I779" s="3" t="s">
        <v>3</v>
      </c>
      <c r="J779" s="3" t="s">
        <v>3</v>
      </c>
      <c r="K779" s="3" t="s">
        <v>3</v>
      </c>
      <c r="L779" s="3" t="s">
        <v>3</v>
      </c>
      <c r="M779" s="3" t="s">
        <v>3</v>
      </c>
    </row>
    <row r="780" spans="1:13" x14ac:dyDescent="0.3">
      <c r="A780" s="3" t="s">
        <v>43</v>
      </c>
      <c r="B780" s="3">
        <v>316620</v>
      </c>
      <c r="C780" s="3" t="s">
        <v>43</v>
      </c>
      <c r="D780" s="3" t="s">
        <v>42</v>
      </c>
      <c r="E780" s="3" t="s">
        <v>43</v>
      </c>
      <c r="F780" s="3" t="s">
        <v>845</v>
      </c>
      <c r="G780" s="3" t="s">
        <v>3</v>
      </c>
      <c r="H780" s="3" t="s">
        <v>3</v>
      </c>
      <c r="I780" s="3" t="s">
        <v>3</v>
      </c>
      <c r="J780" s="3" t="s">
        <v>3</v>
      </c>
      <c r="K780" s="3" t="s">
        <v>3</v>
      </c>
      <c r="L780" s="3" t="s">
        <v>3</v>
      </c>
      <c r="M780" s="3" t="s">
        <v>3</v>
      </c>
    </row>
    <row r="781" spans="1:13" x14ac:dyDescent="0.3">
      <c r="A781" s="3" t="s">
        <v>10</v>
      </c>
      <c r="B781" s="3">
        <v>316630</v>
      </c>
      <c r="C781" s="3" t="s">
        <v>10</v>
      </c>
      <c r="D781" s="3" t="s">
        <v>7</v>
      </c>
      <c r="E781" s="3" t="s">
        <v>10</v>
      </c>
      <c r="F781" s="3" t="s">
        <v>846</v>
      </c>
      <c r="G781" s="3" t="s">
        <v>3</v>
      </c>
      <c r="H781" s="3" t="s">
        <v>3</v>
      </c>
      <c r="I781" s="3" t="s">
        <v>3</v>
      </c>
      <c r="J781" s="3" t="s">
        <v>3</v>
      </c>
      <c r="K781" s="3" t="s">
        <v>3</v>
      </c>
      <c r="L781" s="3" t="s">
        <v>3</v>
      </c>
      <c r="M781" s="3" t="s">
        <v>3</v>
      </c>
    </row>
    <row r="782" spans="1:13" x14ac:dyDescent="0.3">
      <c r="A782" s="3" t="s">
        <v>32</v>
      </c>
      <c r="B782" s="3">
        <v>316640</v>
      </c>
      <c r="C782" s="3" t="s">
        <v>32</v>
      </c>
      <c r="D782" s="3" t="s">
        <v>31</v>
      </c>
      <c r="E782" s="3" t="s">
        <v>32</v>
      </c>
      <c r="F782" s="3" t="s">
        <v>847</v>
      </c>
      <c r="G782" s="3" t="s">
        <v>3</v>
      </c>
      <c r="H782" s="3" t="s">
        <v>3</v>
      </c>
      <c r="I782" s="3" t="s">
        <v>3</v>
      </c>
      <c r="J782" s="3" t="s">
        <v>3</v>
      </c>
      <c r="K782" s="3" t="s">
        <v>3</v>
      </c>
      <c r="L782" s="3" t="s">
        <v>3</v>
      </c>
      <c r="M782" s="3" t="s">
        <v>3</v>
      </c>
    </row>
    <row r="783" spans="1:13" x14ac:dyDescent="0.3">
      <c r="A783" s="3" t="s">
        <v>57</v>
      </c>
      <c r="B783" s="3">
        <v>316650</v>
      </c>
      <c r="C783" s="3" t="s">
        <v>57</v>
      </c>
      <c r="D783" s="3" t="s">
        <v>56</v>
      </c>
      <c r="E783" s="3" t="s">
        <v>57</v>
      </c>
      <c r="F783" s="3" t="s">
        <v>848</v>
      </c>
      <c r="G783" s="3" t="s">
        <v>3</v>
      </c>
      <c r="H783" s="3" t="s">
        <v>3</v>
      </c>
      <c r="I783" s="3" t="s">
        <v>3</v>
      </c>
      <c r="J783" s="3" t="s">
        <v>3</v>
      </c>
      <c r="K783" s="3" t="s">
        <v>3</v>
      </c>
      <c r="L783" s="3" t="s">
        <v>3</v>
      </c>
      <c r="M783" s="3" t="s">
        <v>3</v>
      </c>
    </row>
    <row r="784" spans="1:13" x14ac:dyDescent="0.3">
      <c r="A784" s="3" t="s">
        <v>139</v>
      </c>
      <c r="B784" s="3">
        <v>316660</v>
      </c>
      <c r="C784" s="3" t="s">
        <v>139</v>
      </c>
      <c r="D784" s="3" t="s">
        <v>21</v>
      </c>
      <c r="E784" s="3" t="s">
        <v>139</v>
      </c>
      <c r="F784" s="3" t="s">
        <v>849</v>
      </c>
      <c r="G784" s="3" t="s">
        <v>3</v>
      </c>
      <c r="H784" s="3" t="s">
        <v>3</v>
      </c>
      <c r="I784" s="3" t="s">
        <v>3</v>
      </c>
      <c r="J784" s="3" t="s">
        <v>3</v>
      </c>
      <c r="K784" s="3" t="s">
        <v>3</v>
      </c>
      <c r="L784" s="3" t="s">
        <v>3</v>
      </c>
      <c r="M784" s="3" t="s">
        <v>3</v>
      </c>
    </row>
    <row r="785" spans="1:13" x14ac:dyDescent="0.3">
      <c r="A785" s="3" t="s">
        <v>225</v>
      </c>
      <c r="B785" s="3">
        <v>316670</v>
      </c>
      <c r="C785" s="3" t="s">
        <v>225</v>
      </c>
      <c r="D785" s="3" t="s">
        <v>24</v>
      </c>
      <c r="E785" s="3" t="s">
        <v>225</v>
      </c>
      <c r="F785" s="3" t="s">
        <v>850</v>
      </c>
      <c r="G785" s="3" t="s">
        <v>3</v>
      </c>
      <c r="H785" s="3" t="s">
        <v>3</v>
      </c>
      <c r="I785" s="3" t="s">
        <v>3</v>
      </c>
      <c r="J785" s="3" t="s">
        <v>3</v>
      </c>
      <c r="K785" s="3" t="s">
        <v>3</v>
      </c>
      <c r="L785" s="3" t="s">
        <v>3</v>
      </c>
      <c r="M785" s="3" t="s">
        <v>3</v>
      </c>
    </row>
    <row r="786" spans="1:13" x14ac:dyDescent="0.3">
      <c r="A786" s="3" t="s">
        <v>316</v>
      </c>
      <c r="B786" s="3">
        <v>316680</v>
      </c>
      <c r="C786" s="3" t="s">
        <v>316</v>
      </c>
      <c r="D786" s="3" t="s">
        <v>82</v>
      </c>
      <c r="E786" s="3" t="s">
        <v>316</v>
      </c>
      <c r="F786" s="3" t="s">
        <v>851</v>
      </c>
      <c r="G786" s="3" t="s">
        <v>3</v>
      </c>
      <c r="H786" s="3" t="s">
        <v>3</v>
      </c>
      <c r="I786" s="3">
        <v>6</v>
      </c>
      <c r="J786" s="3">
        <v>9</v>
      </c>
      <c r="K786" s="3">
        <v>32</v>
      </c>
      <c r="L786" s="3">
        <v>67</v>
      </c>
      <c r="M786" s="3">
        <v>73</v>
      </c>
    </row>
    <row r="787" spans="1:13" x14ac:dyDescent="0.3">
      <c r="A787" s="3" t="s">
        <v>40</v>
      </c>
      <c r="B787" s="3">
        <v>316690</v>
      </c>
      <c r="C787" s="3" t="s">
        <v>40</v>
      </c>
      <c r="D787" s="3" t="s">
        <v>31</v>
      </c>
      <c r="E787" s="3" t="s">
        <v>40</v>
      </c>
      <c r="F787" s="3" t="s">
        <v>852</v>
      </c>
      <c r="G787" s="3" t="s">
        <v>3</v>
      </c>
      <c r="H787" s="3" t="s">
        <v>3</v>
      </c>
      <c r="I787" s="3" t="s">
        <v>3</v>
      </c>
      <c r="J787" s="3" t="s">
        <v>3</v>
      </c>
      <c r="K787" s="3" t="s">
        <v>3</v>
      </c>
      <c r="L787" s="3" t="s">
        <v>3</v>
      </c>
      <c r="M787" s="3" t="s">
        <v>3</v>
      </c>
    </row>
    <row r="788" spans="1:13" x14ac:dyDescent="0.3">
      <c r="A788" s="3" t="s">
        <v>251</v>
      </c>
      <c r="B788" s="3">
        <v>316695</v>
      </c>
      <c r="C788" s="3" t="s">
        <v>251</v>
      </c>
      <c r="D788" s="3" t="s">
        <v>126</v>
      </c>
      <c r="E788" s="3" t="s">
        <v>251</v>
      </c>
      <c r="F788" s="3" t="s">
        <v>853</v>
      </c>
      <c r="G788" s="3" t="s">
        <v>3</v>
      </c>
      <c r="H788" s="3" t="s">
        <v>3</v>
      </c>
      <c r="I788" s="3" t="s">
        <v>3</v>
      </c>
      <c r="J788" s="3" t="s">
        <v>3</v>
      </c>
      <c r="K788" s="3" t="s">
        <v>3</v>
      </c>
      <c r="L788" s="3" t="s">
        <v>3</v>
      </c>
      <c r="M788" s="3" t="s">
        <v>3</v>
      </c>
    </row>
    <row r="789" spans="1:13" x14ac:dyDescent="0.3">
      <c r="A789" s="3" t="s">
        <v>32</v>
      </c>
      <c r="B789" s="3">
        <v>316700</v>
      </c>
      <c r="C789" s="3" t="s">
        <v>32</v>
      </c>
      <c r="D789" s="3" t="s">
        <v>31</v>
      </c>
      <c r="E789" s="3" t="s">
        <v>32</v>
      </c>
      <c r="F789" s="3" t="s">
        <v>854</v>
      </c>
      <c r="G789" s="3" t="s">
        <v>3</v>
      </c>
      <c r="H789" s="3" t="s">
        <v>3</v>
      </c>
      <c r="I789" s="3" t="s">
        <v>3</v>
      </c>
      <c r="J789" s="3" t="s">
        <v>3</v>
      </c>
      <c r="K789" s="3" t="s">
        <v>3</v>
      </c>
      <c r="L789" s="3" t="s">
        <v>3</v>
      </c>
      <c r="M789" s="3" t="s">
        <v>3</v>
      </c>
    </row>
    <row r="790" spans="1:13" x14ac:dyDescent="0.3">
      <c r="A790" s="3" t="s">
        <v>57</v>
      </c>
      <c r="B790" s="3">
        <v>316710</v>
      </c>
      <c r="C790" s="3" t="s">
        <v>57</v>
      </c>
      <c r="D790" s="3" t="s">
        <v>56</v>
      </c>
      <c r="E790" s="3" t="s">
        <v>57</v>
      </c>
      <c r="F790" s="3" t="s">
        <v>57</v>
      </c>
      <c r="G790" s="3">
        <v>69</v>
      </c>
      <c r="H790" s="3">
        <v>82</v>
      </c>
      <c r="I790" s="3">
        <v>31</v>
      </c>
      <c r="J790" s="3">
        <v>30</v>
      </c>
      <c r="K790" s="3">
        <v>81</v>
      </c>
      <c r="L790" s="3">
        <v>84</v>
      </c>
      <c r="M790" s="3">
        <v>149</v>
      </c>
    </row>
    <row r="791" spans="1:13" x14ac:dyDescent="0.3">
      <c r="A791" s="3" t="s">
        <v>5</v>
      </c>
      <c r="B791" s="3">
        <v>316720</v>
      </c>
      <c r="C791" s="3" t="s">
        <v>5</v>
      </c>
      <c r="D791" s="3" t="s">
        <v>4</v>
      </c>
      <c r="E791" s="3" t="s">
        <v>5</v>
      </c>
      <c r="F791" s="3" t="s">
        <v>5</v>
      </c>
      <c r="G791" s="3">
        <v>253</v>
      </c>
      <c r="H791" s="3">
        <v>331</v>
      </c>
      <c r="I791" s="3">
        <v>403</v>
      </c>
      <c r="J791" s="3">
        <v>161</v>
      </c>
      <c r="K791" s="3">
        <v>643</v>
      </c>
      <c r="L791" s="3">
        <v>503</v>
      </c>
      <c r="M791" s="3">
        <v>991</v>
      </c>
    </row>
    <row r="792" spans="1:13" x14ac:dyDescent="0.3">
      <c r="A792" s="3" t="s">
        <v>160</v>
      </c>
      <c r="B792" s="3">
        <v>316730</v>
      </c>
      <c r="C792" s="3" t="s">
        <v>160</v>
      </c>
      <c r="D792" s="3" t="s">
        <v>37</v>
      </c>
      <c r="E792" s="3" t="s">
        <v>160</v>
      </c>
      <c r="F792" s="3" t="s">
        <v>855</v>
      </c>
      <c r="G792" s="3" t="s">
        <v>3</v>
      </c>
      <c r="H792" s="3" t="s">
        <v>3</v>
      </c>
      <c r="I792" s="3" t="s">
        <v>3</v>
      </c>
      <c r="J792" s="3" t="s">
        <v>3</v>
      </c>
      <c r="K792" s="3" t="s">
        <v>3</v>
      </c>
      <c r="L792" s="3" t="s">
        <v>3</v>
      </c>
      <c r="M792" s="3" t="s">
        <v>3</v>
      </c>
    </row>
    <row r="793" spans="1:13" x14ac:dyDescent="0.3">
      <c r="A793" s="3" t="s">
        <v>145</v>
      </c>
      <c r="B793" s="3">
        <v>316740</v>
      </c>
      <c r="C793" s="3" t="s">
        <v>145</v>
      </c>
      <c r="D793" s="3" t="s">
        <v>31</v>
      </c>
      <c r="E793" s="3" t="s">
        <v>145</v>
      </c>
      <c r="F793" s="3" t="s">
        <v>856</v>
      </c>
      <c r="G793" s="3" t="s">
        <v>3</v>
      </c>
      <c r="H793" s="3" t="s">
        <v>3</v>
      </c>
      <c r="I793" s="3" t="s">
        <v>3</v>
      </c>
      <c r="J793" s="3" t="s">
        <v>3</v>
      </c>
      <c r="K793" s="3" t="s">
        <v>3</v>
      </c>
      <c r="L793" s="3" t="s">
        <v>3</v>
      </c>
      <c r="M793" s="3" t="s">
        <v>3</v>
      </c>
    </row>
    <row r="794" spans="1:13" x14ac:dyDescent="0.3">
      <c r="A794" s="3" t="s">
        <v>118</v>
      </c>
      <c r="B794" s="3">
        <v>316750</v>
      </c>
      <c r="C794" s="3" t="s">
        <v>118</v>
      </c>
      <c r="D794" s="3" t="s">
        <v>37</v>
      </c>
      <c r="E794" s="3" t="s">
        <v>118</v>
      </c>
      <c r="F794" s="3" t="s">
        <v>857</v>
      </c>
      <c r="G794" s="3" t="s">
        <v>3</v>
      </c>
      <c r="H794" s="3" t="s">
        <v>3</v>
      </c>
      <c r="I794" s="3" t="s">
        <v>3</v>
      </c>
      <c r="J794" s="3" t="s">
        <v>3</v>
      </c>
      <c r="K794" s="3" t="s">
        <v>3</v>
      </c>
      <c r="L794" s="3" t="s">
        <v>3</v>
      </c>
      <c r="M794" s="3" t="s">
        <v>3</v>
      </c>
    </row>
    <row r="795" spans="1:13" x14ac:dyDescent="0.3">
      <c r="A795" s="3" t="s">
        <v>8</v>
      </c>
      <c r="B795" s="3">
        <v>316760</v>
      </c>
      <c r="C795" s="3" t="s">
        <v>8</v>
      </c>
      <c r="D795" s="3" t="s">
        <v>7</v>
      </c>
      <c r="E795" s="3" t="s">
        <v>8</v>
      </c>
      <c r="F795" s="3" t="s">
        <v>858</v>
      </c>
      <c r="G795" s="3" t="s">
        <v>3</v>
      </c>
      <c r="H795" s="3" t="s">
        <v>3</v>
      </c>
      <c r="I795" s="3" t="s">
        <v>3</v>
      </c>
      <c r="J795" s="3" t="s">
        <v>3</v>
      </c>
      <c r="K795" s="3" t="s">
        <v>3</v>
      </c>
      <c r="L795" s="3" t="s">
        <v>3</v>
      </c>
      <c r="M795" s="3" t="s">
        <v>3</v>
      </c>
    </row>
    <row r="796" spans="1:13" x14ac:dyDescent="0.3">
      <c r="A796" s="3" t="s">
        <v>47</v>
      </c>
      <c r="B796" s="3">
        <v>316770</v>
      </c>
      <c r="C796" s="3" t="s">
        <v>47</v>
      </c>
      <c r="D796" s="3" t="s">
        <v>15</v>
      </c>
      <c r="E796" s="3" t="s">
        <v>47</v>
      </c>
      <c r="F796" s="3" t="s">
        <v>859</v>
      </c>
      <c r="G796" s="3" t="s">
        <v>3</v>
      </c>
      <c r="H796" s="3" t="s">
        <v>3</v>
      </c>
      <c r="I796" s="3" t="s">
        <v>3</v>
      </c>
      <c r="J796" s="3" t="s">
        <v>3</v>
      </c>
      <c r="K796" s="3" t="s">
        <v>3</v>
      </c>
      <c r="L796" s="3" t="s">
        <v>3</v>
      </c>
      <c r="M796" s="3" t="s">
        <v>3</v>
      </c>
    </row>
    <row r="797" spans="1:13" x14ac:dyDescent="0.3">
      <c r="A797" s="3" t="s">
        <v>32</v>
      </c>
      <c r="B797" s="3">
        <v>316780</v>
      </c>
      <c r="C797" s="3" t="s">
        <v>32</v>
      </c>
      <c r="D797" s="3" t="s">
        <v>31</v>
      </c>
      <c r="E797" s="3" t="s">
        <v>32</v>
      </c>
      <c r="F797" s="3" t="s">
        <v>860</v>
      </c>
      <c r="G797" s="3" t="s">
        <v>3</v>
      </c>
      <c r="H797" s="3" t="s">
        <v>3</v>
      </c>
      <c r="I797" s="3" t="s">
        <v>3</v>
      </c>
      <c r="J797" s="3" t="s">
        <v>3</v>
      </c>
      <c r="K797" s="3" t="s">
        <v>3</v>
      </c>
      <c r="L797" s="3" t="s">
        <v>3</v>
      </c>
      <c r="M797" s="3" t="s">
        <v>3</v>
      </c>
    </row>
    <row r="798" spans="1:13" x14ac:dyDescent="0.3">
      <c r="A798" s="3" t="s">
        <v>160</v>
      </c>
      <c r="B798" s="3">
        <v>316790</v>
      </c>
      <c r="C798" s="3" t="s">
        <v>160</v>
      </c>
      <c r="D798" s="3" t="s">
        <v>37</v>
      </c>
      <c r="E798" s="3" t="s">
        <v>160</v>
      </c>
      <c r="F798" s="3" t="s">
        <v>861</v>
      </c>
      <c r="G798" s="3" t="s">
        <v>3</v>
      </c>
      <c r="H798" s="3" t="s">
        <v>3</v>
      </c>
      <c r="I798" s="3" t="s">
        <v>3</v>
      </c>
      <c r="J798" s="3" t="s">
        <v>3</v>
      </c>
      <c r="K798" s="3" t="s">
        <v>3</v>
      </c>
      <c r="L798" s="3" t="s">
        <v>3</v>
      </c>
      <c r="M798" s="3" t="s">
        <v>3</v>
      </c>
    </row>
    <row r="799" spans="1:13" x14ac:dyDescent="0.3">
      <c r="A799" s="3" t="s">
        <v>127</v>
      </c>
      <c r="B799" s="3">
        <v>316800</v>
      </c>
      <c r="C799" s="3" t="s">
        <v>127</v>
      </c>
      <c r="D799" s="3" t="s">
        <v>126</v>
      </c>
      <c r="E799" s="3" t="s">
        <v>127</v>
      </c>
      <c r="F799" s="3" t="s">
        <v>127</v>
      </c>
      <c r="G799" s="3">
        <v>113</v>
      </c>
      <c r="H799" s="3">
        <v>140</v>
      </c>
      <c r="I799" s="3">
        <v>97</v>
      </c>
      <c r="J799" s="3">
        <v>86</v>
      </c>
      <c r="K799" s="3">
        <v>133</v>
      </c>
      <c r="L799" s="3">
        <v>131</v>
      </c>
      <c r="M799" s="3">
        <v>217</v>
      </c>
    </row>
    <row r="800" spans="1:13" x14ac:dyDescent="0.3">
      <c r="A800" s="3" t="s">
        <v>8</v>
      </c>
      <c r="B800" s="3">
        <v>316805</v>
      </c>
      <c r="C800" s="3" t="s">
        <v>8</v>
      </c>
      <c r="D800" s="3" t="s">
        <v>7</v>
      </c>
      <c r="E800" s="3" t="s">
        <v>8</v>
      </c>
      <c r="F800" s="3" t="s">
        <v>862</v>
      </c>
      <c r="G800" s="3" t="s">
        <v>3</v>
      </c>
      <c r="H800" s="3" t="s">
        <v>3</v>
      </c>
      <c r="I800" s="3" t="s">
        <v>3</v>
      </c>
      <c r="J800" s="3" t="s">
        <v>3</v>
      </c>
      <c r="K800" s="3" t="s">
        <v>3</v>
      </c>
      <c r="L800" s="3" t="s">
        <v>3</v>
      </c>
      <c r="M800" s="3" t="s">
        <v>3</v>
      </c>
    </row>
    <row r="801" spans="1:13" x14ac:dyDescent="0.3">
      <c r="A801" s="3" t="s">
        <v>87</v>
      </c>
      <c r="B801" s="3">
        <v>316810</v>
      </c>
      <c r="C801" s="3" t="s">
        <v>87</v>
      </c>
      <c r="D801" s="3" t="s">
        <v>18</v>
      </c>
      <c r="E801" s="3" t="s">
        <v>87</v>
      </c>
      <c r="F801" s="3" t="s">
        <v>863</v>
      </c>
      <c r="G801" s="3" t="s">
        <v>3</v>
      </c>
      <c r="H801" s="3" t="s">
        <v>3</v>
      </c>
      <c r="I801" s="3" t="s">
        <v>3</v>
      </c>
      <c r="J801" s="3" t="s">
        <v>3</v>
      </c>
      <c r="K801" s="3" t="s">
        <v>3</v>
      </c>
      <c r="L801" s="3" t="s">
        <v>3</v>
      </c>
      <c r="M801" s="3" t="s">
        <v>3</v>
      </c>
    </row>
    <row r="802" spans="1:13" x14ac:dyDescent="0.3">
      <c r="A802" s="3" t="s">
        <v>106</v>
      </c>
      <c r="B802" s="3">
        <v>316820</v>
      </c>
      <c r="C802" s="3" t="s">
        <v>106</v>
      </c>
      <c r="D802" s="3" t="s">
        <v>21</v>
      </c>
      <c r="E802" s="3" t="s">
        <v>106</v>
      </c>
      <c r="F802" s="3" t="s">
        <v>864</v>
      </c>
      <c r="G802" s="3" t="s">
        <v>3</v>
      </c>
      <c r="H802" s="3" t="s">
        <v>3</v>
      </c>
      <c r="I802" s="3" t="s">
        <v>3</v>
      </c>
      <c r="J802" s="3" t="s">
        <v>3</v>
      </c>
      <c r="K802" s="3" t="s">
        <v>3</v>
      </c>
      <c r="L802" s="3" t="s">
        <v>3</v>
      </c>
      <c r="M802" s="3" t="s">
        <v>3</v>
      </c>
    </row>
    <row r="803" spans="1:13" x14ac:dyDescent="0.3">
      <c r="A803" s="3" t="s">
        <v>120</v>
      </c>
      <c r="B803" s="3">
        <v>316830</v>
      </c>
      <c r="C803" s="3" t="s">
        <v>120</v>
      </c>
      <c r="D803" s="3" t="s">
        <v>4</v>
      </c>
      <c r="E803" s="3" t="s">
        <v>120</v>
      </c>
      <c r="F803" s="3" t="s">
        <v>865</v>
      </c>
      <c r="G803" s="3" t="s">
        <v>3</v>
      </c>
      <c r="H803" s="3" t="s">
        <v>3</v>
      </c>
      <c r="I803" s="3" t="s">
        <v>3</v>
      </c>
      <c r="J803" s="3" t="s">
        <v>3</v>
      </c>
      <c r="K803" s="3" t="s">
        <v>3</v>
      </c>
      <c r="L803" s="3" t="s">
        <v>3</v>
      </c>
      <c r="M803" s="3" t="s">
        <v>3</v>
      </c>
    </row>
    <row r="804" spans="1:13" x14ac:dyDescent="0.3">
      <c r="A804" s="3" t="s">
        <v>47</v>
      </c>
      <c r="B804" s="3">
        <v>316840</v>
      </c>
      <c r="C804" s="3" t="s">
        <v>47</v>
      </c>
      <c r="D804" s="3" t="s">
        <v>15</v>
      </c>
      <c r="E804" s="3" t="s">
        <v>47</v>
      </c>
      <c r="F804" s="3" t="s">
        <v>866</v>
      </c>
      <c r="G804" s="3">
        <v>27</v>
      </c>
      <c r="H804" s="3">
        <v>1</v>
      </c>
      <c r="I804" s="3">
        <v>4</v>
      </c>
      <c r="J804" s="3">
        <v>1</v>
      </c>
      <c r="K804" s="3">
        <v>16</v>
      </c>
      <c r="L804" s="3">
        <v>218</v>
      </c>
      <c r="M804" s="3">
        <v>195</v>
      </c>
    </row>
    <row r="805" spans="1:13" x14ac:dyDescent="0.3">
      <c r="A805" s="3" t="s">
        <v>79</v>
      </c>
      <c r="B805" s="3">
        <v>316850</v>
      </c>
      <c r="C805" s="3" t="s">
        <v>79</v>
      </c>
      <c r="D805" s="3" t="s">
        <v>7</v>
      </c>
      <c r="E805" s="3" t="s">
        <v>79</v>
      </c>
      <c r="F805" s="3" t="s">
        <v>867</v>
      </c>
      <c r="G805" s="3" t="s">
        <v>3</v>
      </c>
      <c r="H805" s="3" t="s">
        <v>3</v>
      </c>
      <c r="I805" s="3" t="s">
        <v>3</v>
      </c>
      <c r="J805" s="3" t="s">
        <v>3</v>
      </c>
      <c r="K805" s="3" t="s">
        <v>3</v>
      </c>
      <c r="L805" s="3" t="s">
        <v>3</v>
      </c>
      <c r="M805" s="3" t="s">
        <v>3</v>
      </c>
    </row>
    <row r="806" spans="1:13" x14ac:dyDescent="0.3">
      <c r="A806" s="3" t="s">
        <v>64</v>
      </c>
      <c r="B806" s="3">
        <v>316860</v>
      </c>
      <c r="C806" s="3" t="s">
        <v>64</v>
      </c>
      <c r="D806" s="3" t="s">
        <v>24</v>
      </c>
      <c r="E806" s="3" t="s">
        <v>64</v>
      </c>
      <c r="F806" s="3" t="s">
        <v>868</v>
      </c>
      <c r="G806" s="3">
        <v>319</v>
      </c>
      <c r="H806" s="3">
        <v>300</v>
      </c>
      <c r="I806" s="3">
        <v>132</v>
      </c>
      <c r="J806" s="3">
        <v>173</v>
      </c>
      <c r="K806" s="3">
        <v>383</v>
      </c>
      <c r="L806" s="3">
        <v>469</v>
      </c>
      <c r="M806" s="3">
        <v>1016</v>
      </c>
    </row>
    <row r="807" spans="1:13" x14ac:dyDescent="0.3">
      <c r="A807" s="3" t="s">
        <v>67</v>
      </c>
      <c r="B807" s="3">
        <v>316870</v>
      </c>
      <c r="C807" s="3" t="s">
        <v>67</v>
      </c>
      <c r="D807" s="3" t="s">
        <v>12</v>
      </c>
      <c r="E807" s="3" t="s">
        <v>67</v>
      </c>
      <c r="F807" s="3" t="s">
        <v>869</v>
      </c>
      <c r="G807" s="3">
        <v>39</v>
      </c>
      <c r="H807" s="3">
        <v>52</v>
      </c>
      <c r="I807" s="3">
        <v>15</v>
      </c>
      <c r="J807" s="3">
        <v>11</v>
      </c>
      <c r="K807" s="3">
        <v>29</v>
      </c>
      <c r="L807" s="3">
        <v>21</v>
      </c>
      <c r="M807" s="3">
        <v>189</v>
      </c>
    </row>
    <row r="808" spans="1:13" x14ac:dyDescent="0.3">
      <c r="A808" s="3" t="s">
        <v>114</v>
      </c>
      <c r="B808" s="3">
        <v>316880</v>
      </c>
      <c r="C808" s="3" t="s">
        <v>114</v>
      </c>
      <c r="D808" s="3" t="s">
        <v>42</v>
      </c>
      <c r="E808" s="3" t="s">
        <v>114</v>
      </c>
      <c r="F808" s="3" t="s">
        <v>870</v>
      </c>
      <c r="G808" s="3" t="s">
        <v>3</v>
      </c>
      <c r="H808" s="3" t="s">
        <v>3</v>
      </c>
      <c r="I808" s="3" t="s">
        <v>3</v>
      </c>
      <c r="J808" s="3" t="s">
        <v>3</v>
      </c>
      <c r="K808" s="3" t="s">
        <v>3</v>
      </c>
      <c r="L808" s="3" t="s">
        <v>3</v>
      </c>
      <c r="M808" s="3" t="s">
        <v>3</v>
      </c>
    </row>
    <row r="809" spans="1:13" x14ac:dyDescent="0.3">
      <c r="A809" s="3" t="s">
        <v>83</v>
      </c>
      <c r="B809" s="3">
        <v>316890</v>
      </c>
      <c r="C809" s="3" t="s">
        <v>83</v>
      </c>
      <c r="D809" s="3" t="s">
        <v>82</v>
      </c>
      <c r="E809" s="3" t="s">
        <v>83</v>
      </c>
      <c r="F809" s="3" t="s">
        <v>871</v>
      </c>
      <c r="G809" s="3" t="s">
        <v>3</v>
      </c>
      <c r="H809" s="3" t="s">
        <v>3</v>
      </c>
      <c r="I809" s="3" t="s">
        <v>3</v>
      </c>
      <c r="J809" s="3" t="s">
        <v>3</v>
      </c>
      <c r="K809" s="3" t="s">
        <v>3</v>
      </c>
      <c r="L809" s="3" t="s">
        <v>3</v>
      </c>
      <c r="M809" s="3" t="s">
        <v>3</v>
      </c>
    </row>
    <row r="810" spans="1:13" x14ac:dyDescent="0.3">
      <c r="A810" s="3" t="s">
        <v>160</v>
      </c>
      <c r="B810" s="3">
        <v>316900</v>
      </c>
      <c r="C810" s="3" t="s">
        <v>160</v>
      </c>
      <c r="D810" s="3" t="s">
        <v>37</v>
      </c>
      <c r="E810" s="3" t="s">
        <v>160</v>
      </c>
      <c r="F810" s="3" t="s">
        <v>872</v>
      </c>
      <c r="G810" s="3" t="s">
        <v>3</v>
      </c>
      <c r="H810" s="3" t="s">
        <v>3</v>
      </c>
      <c r="I810" s="3" t="s">
        <v>3</v>
      </c>
      <c r="J810" s="3" t="s">
        <v>3</v>
      </c>
      <c r="K810" s="3" t="s">
        <v>3</v>
      </c>
      <c r="L810" s="3" t="s">
        <v>3</v>
      </c>
      <c r="M810" s="3" t="s">
        <v>3</v>
      </c>
    </row>
    <row r="811" spans="1:13" x14ac:dyDescent="0.3">
      <c r="A811" s="3" t="s">
        <v>145</v>
      </c>
      <c r="B811" s="3">
        <v>316905</v>
      </c>
      <c r="C811" s="3" t="s">
        <v>145</v>
      </c>
      <c r="D811" s="3" t="s">
        <v>31</v>
      </c>
      <c r="E811" s="3" t="s">
        <v>145</v>
      </c>
      <c r="F811" s="3" t="s">
        <v>873</v>
      </c>
      <c r="G811" s="3" t="s">
        <v>3</v>
      </c>
      <c r="H811" s="3" t="s">
        <v>3</v>
      </c>
      <c r="I811" s="3" t="s">
        <v>3</v>
      </c>
      <c r="J811" s="3" t="s">
        <v>3</v>
      </c>
      <c r="K811" s="3" t="s">
        <v>3</v>
      </c>
      <c r="L811" s="3" t="s">
        <v>3</v>
      </c>
      <c r="M811" s="3" t="s">
        <v>3</v>
      </c>
    </row>
    <row r="812" spans="1:13" x14ac:dyDescent="0.3">
      <c r="A812" s="3" t="s">
        <v>145</v>
      </c>
      <c r="B812" s="3">
        <v>316910</v>
      </c>
      <c r="C812" s="3" t="s">
        <v>145</v>
      </c>
      <c r="D812" s="3" t="s">
        <v>31</v>
      </c>
      <c r="E812" s="3" t="s">
        <v>145</v>
      </c>
      <c r="F812" s="3" t="s">
        <v>874</v>
      </c>
      <c r="G812" s="3" t="s">
        <v>3</v>
      </c>
      <c r="H812" s="3" t="s">
        <v>3</v>
      </c>
      <c r="I812" s="3" t="s">
        <v>3</v>
      </c>
      <c r="J812" s="3" t="s">
        <v>3</v>
      </c>
      <c r="K812" s="3" t="s">
        <v>3</v>
      </c>
      <c r="L812" s="3" t="s">
        <v>3</v>
      </c>
      <c r="M812" s="3" t="s">
        <v>3</v>
      </c>
    </row>
    <row r="813" spans="1:13" x14ac:dyDescent="0.3">
      <c r="A813" s="3" t="s">
        <v>180</v>
      </c>
      <c r="B813" s="3">
        <v>316920</v>
      </c>
      <c r="C813" s="3" t="s">
        <v>180</v>
      </c>
      <c r="D813" s="3" t="s">
        <v>37</v>
      </c>
      <c r="E813" s="3" t="s">
        <v>180</v>
      </c>
      <c r="F813" s="3" t="s">
        <v>875</v>
      </c>
      <c r="G813" s="3" t="s">
        <v>3</v>
      </c>
      <c r="H813" s="3" t="s">
        <v>3</v>
      </c>
      <c r="I813" s="3" t="s">
        <v>3</v>
      </c>
      <c r="J813" s="3" t="s">
        <v>3</v>
      </c>
      <c r="K813" s="3" t="s">
        <v>3</v>
      </c>
      <c r="L813" s="3" t="s">
        <v>3</v>
      </c>
      <c r="M813" s="3" t="s">
        <v>3</v>
      </c>
    </row>
    <row r="814" spans="1:13" x14ac:dyDescent="0.3">
      <c r="A814" s="3" t="s">
        <v>187</v>
      </c>
      <c r="B814" s="3">
        <v>316930</v>
      </c>
      <c r="C814" s="3" t="s">
        <v>187</v>
      </c>
      <c r="D814" s="3" t="s">
        <v>31</v>
      </c>
      <c r="E814" s="3" t="s">
        <v>187</v>
      </c>
      <c r="F814" s="3" t="s">
        <v>876</v>
      </c>
      <c r="G814" s="3">
        <v>101</v>
      </c>
      <c r="H814" s="3">
        <v>78</v>
      </c>
      <c r="I814" s="3">
        <v>49</v>
      </c>
      <c r="J814" s="3">
        <v>31</v>
      </c>
      <c r="K814" s="3">
        <v>84</v>
      </c>
      <c r="L814" s="3">
        <v>115</v>
      </c>
      <c r="M814" s="3">
        <v>58</v>
      </c>
    </row>
    <row r="815" spans="1:13" x14ac:dyDescent="0.3">
      <c r="A815" s="3" t="s">
        <v>102</v>
      </c>
      <c r="B815" s="3">
        <v>316935</v>
      </c>
      <c r="C815" s="3" t="s">
        <v>102</v>
      </c>
      <c r="D815" s="3" t="s">
        <v>4</v>
      </c>
      <c r="E815" s="3" t="s">
        <v>102</v>
      </c>
      <c r="F815" s="3" t="s">
        <v>877</v>
      </c>
      <c r="G815" s="3">
        <v>50</v>
      </c>
      <c r="H815" s="3">
        <v>53</v>
      </c>
      <c r="I815" s="3">
        <v>15</v>
      </c>
      <c r="J815" s="3">
        <v>8</v>
      </c>
      <c r="K815" s="3">
        <v>33</v>
      </c>
      <c r="L815" s="3">
        <v>55</v>
      </c>
      <c r="M815" s="3">
        <v>43</v>
      </c>
    </row>
    <row r="816" spans="1:13" x14ac:dyDescent="0.3">
      <c r="A816" s="3" t="s">
        <v>134</v>
      </c>
      <c r="B816" s="3">
        <v>316940</v>
      </c>
      <c r="C816" s="3" t="s">
        <v>134</v>
      </c>
      <c r="D816" s="3" t="s">
        <v>31</v>
      </c>
      <c r="E816" s="3" t="s">
        <v>134</v>
      </c>
      <c r="F816" s="3" t="s">
        <v>878</v>
      </c>
      <c r="G816" s="3">
        <v>40</v>
      </c>
      <c r="H816" s="3">
        <v>43</v>
      </c>
      <c r="I816" s="3">
        <v>48</v>
      </c>
      <c r="J816" s="3">
        <v>46</v>
      </c>
      <c r="K816" s="3">
        <v>47</v>
      </c>
      <c r="L816" s="3">
        <v>79</v>
      </c>
      <c r="M816" s="3">
        <v>97</v>
      </c>
    </row>
    <row r="817" spans="1:13" x14ac:dyDescent="0.3">
      <c r="A817" s="3" t="s">
        <v>47</v>
      </c>
      <c r="B817" s="3">
        <v>316950</v>
      </c>
      <c r="C817" s="3" t="s">
        <v>47</v>
      </c>
      <c r="D817" s="3" t="s">
        <v>15</v>
      </c>
      <c r="E817" s="3" t="s">
        <v>47</v>
      </c>
      <c r="F817" s="3" t="s">
        <v>879</v>
      </c>
      <c r="G817" s="3" t="s">
        <v>3</v>
      </c>
      <c r="H817" s="3" t="s">
        <v>3</v>
      </c>
      <c r="I817" s="3" t="s">
        <v>3</v>
      </c>
      <c r="J817" s="3" t="s">
        <v>3</v>
      </c>
      <c r="K817" s="3" t="s">
        <v>3</v>
      </c>
      <c r="L817" s="3" t="s">
        <v>3</v>
      </c>
      <c r="M817" s="3" t="s">
        <v>3</v>
      </c>
    </row>
    <row r="818" spans="1:13" x14ac:dyDescent="0.3">
      <c r="A818" s="3" t="s">
        <v>76</v>
      </c>
      <c r="B818" s="3">
        <v>316960</v>
      </c>
      <c r="C818" s="3" t="s">
        <v>76</v>
      </c>
      <c r="D818" s="3" t="s">
        <v>0</v>
      </c>
      <c r="E818" s="3" t="s">
        <v>76</v>
      </c>
      <c r="F818" s="3" t="s">
        <v>880</v>
      </c>
      <c r="G818" s="3" t="s">
        <v>3</v>
      </c>
      <c r="H818" s="3" t="s">
        <v>3</v>
      </c>
      <c r="I818" s="3" t="s">
        <v>3</v>
      </c>
      <c r="J818" s="3" t="s">
        <v>3</v>
      </c>
      <c r="K818" s="3" t="s">
        <v>3</v>
      </c>
      <c r="L818" s="3">
        <v>32</v>
      </c>
      <c r="M818" s="3">
        <v>47</v>
      </c>
    </row>
    <row r="819" spans="1:13" x14ac:dyDescent="0.3">
      <c r="A819" s="3" t="s">
        <v>96</v>
      </c>
      <c r="B819" s="3">
        <v>316970</v>
      </c>
      <c r="C819" s="3" t="s">
        <v>96</v>
      </c>
      <c r="D819" s="3" t="s">
        <v>56</v>
      </c>
      <c r="E819" s="3" t="s">
        <v>96</v>
      </c>
      <c r="F819" s="3" t="s">
        <v>881</v>
      </c>
      <c r="G819" s="3">
        <v>43</v>
      </c>
      <c r="H819" s="3">
        <v>44</v>
      </c>
      <c r="I819" s="3">
        <v>29</v>
      </c>
      <c r="J819" s="3">
        <v>67</v>
      </c>
      <c r="K819" s="3">
        <v>144</v>
      </c>
      <c r="L819" s="3">
        <v>205</v>
      </c>
      <c r="M819" s="3">
        <v>197</v>
      </c>
    </row>
    <row r="820" spans="1:13" x14ac:dyDescent="0.3">
      <c r="A820" s="3" t="s">
        <v>145</v>
      </c>
      <c r="B820" s="3">
        <v>316980</v>
      </c>
      <c r="C820" s="3" t="s">
        <v>145</v>
      </c>
      <c r="D820" s="3" t="s">
        <v>31</v>
      </c>
      <c r="E820" s="3" t="s">
        <v>145</v>
      </c>
      <c r="F820" s="3" t="s">
        <v>882</v>
      </c>
      <c r="G820" s="3" t="s">
        <v>3</v>
      </c>
      <c r="H820" s="3" t="s">
        <v>3</v>
      </c>
      <c r="I820" s="3" t="s">
        <v>3</v>
      </c>
      <c r="J820" s="3" t="s">
        <v>3</v>
      </c>
      <c r="K820" s="3" t="s">
        <v>3</v>
      </c>
      <c r="L820" s="3" t="s">
        <v>3</v>
      </c>
      <c r="M820" s="3" t="s">
        <v>3</v>
      </c>
    </row>
    <row r="821" spans="1:13" x14ac:dyDescent="0.3">
      <c r="A821" s="3" t="s">
        <v>160</v>
      </c>
      <c r="B821" s="3">
        <v>316990</v>
      </c>
      <c r="C821" s="3" t="s">
        <v>160</v>
      </c>
      <c r="D821" s="3" t="s">
        <v>37</v>
      </c>
      <c r="E821" s="3" t="s">
        <v>160</v>
      </c>
      <c r="F821" s="3" t="s">
        <v>883</v>
      </c>
      <c r="G821" s="3">
        <v>209</v>
      </c>
      <c r="H821" s="3">
        <v>121</v>
      </c>
      <c r="I821" s="3">
        <v>53</v>
      </c>
      <c r="J821" s="3">
        <v>78</v>
      </c>
      <c r="K821" s="3">
        <v>165</v>
      </c>
      <c r="L821" s="3">
        <v>206</v>
      </c>
      <c r="M821" s="3">
        <v>177</v>
      </c>
    </row>
    <row r="822" spans="1:13" x14ac:dyDescent="0.3">
      <c r="A822" s="3" t="s">
        <v>158</v>
      </c>
      <c r="B822" s="3">
        <v>317000</v>
      </c>
      <c r="C822" s="3" t="s">
        <v>158</v>
      </c>
      <c r="D822" s="3" t="s">
        <v>126</v>
      </c>
      <c r="E822" s="3" t="s">
        <v>158</v>
      </c>
      <c r="F822" s="3" t="s">
        <v>884</v>
      </c>
      <c r="G822" s="3" t="s">
        <v>3</v>
      </c>
      <c r="H822" s="3" t="s">
        <v>3</v>
      </c>
      <c r="I822" s="3" t="s">
        <v>3</v>
      </c>
      <c r="J822" s="3" t="s">
        <v>3</v>
      </c>
      <c r="K822" s="3" t="s">
        <v>3</v>
      </c>
      <c r="L822" s="3" t="s">
        <v>3</v>
      </c>
      <c r="M822" s="3" t="s">
        <v>3</v>
      </c>
    </row>
    <row r="823" spans="1:13" x14ac:dyDescent="0.3">
      <c r="A823" s="3" t="s">
        <v>143</v>
      </c>
      <c r="B823" s="3">
        <v>317005</v>
      </c>
      <c r="C823" s="3" t="s">
        <v>143</v>
      </c>
      <c r="D823" s="3" t="s">
        <v>12</v>
      </c>
      <c r="E823" s="3" t="s">
        <v>143</v>
      </c>
      <c r="F823" s="3" t="s">
        <v>885</v>
      </c>
      <c r="G823" s="3" t="s">
        <v>3</v>
      </c>
      <c r="H823" s="3" t="s">
        <v>3</v>
      </c>
      <c r="I823" s="3" t="s">
        <v>3</v>
      </c>
      <c r="J823" s="3" t="s">
        <v>3</v>
      </c>
      <c r="K823" s="3" t="s">
        <v>3</v>
      </c>
      <c r="L823" s="3" t="s">
        <v>3</v>
      </c>
      <c r="M823" s="3" t="s">
        <v>3</v>
      </c>
    </row>
    <row r="824" spans="1:13" x14ac:dyDescent="0.3">
      <c r="A824" s="3" t="s">
        <v>19</v>
      </c>
      <c r="B824" s="3">
        <v>317010</v>
      </c>
      <c r="C824" s="3" t="s">
        <v>19</v>
      </c>
      <c r="D824" s="3" t="s">
        <v>18</v>
      </c>
      <c r="E824" s="3" t="s">
        <v>19</v>
      </c>
      <c r="F824" s="3" t="s">
        <v>19</v>
      </c>
      <c r="G824" s="3">
        <v>414</v>
      </c>
      <c r="H824" s="3">
        <v>366</v>
      </c>
      <c r="I824" s="3">
        <v>222</v>
      </c>
      <c r="J824" s="3">
        <v>194</v>
      </c>
      <c r="K824" s="3">
        <v>333</v>
      </c>
      <c r="L824" s="3">
        <v>489</v>
      </c>
      <c r="M824" s="3">
        <v>507</v>
      </c>
    </row>
    <row r="825" spans="1:13" x14ac:dyDescent="0.3">
      <c r="A825" s="3" t="s">
        <v>76</v>
      </c>
      <c r="B825" s="3">
        <v>317020</v>
      </c>
      <c r="C825" s="3" t="s">
        <v>76</v>
      </c>
      <c r="D825" s="3" t="s">
        <v>0</v>
      </c>
      <c r="E825" s="3" t="s">
        <v>76</v>
      </c>
      <c r="F825" s="3" t="s">
        <v>886</v>
      </c>
      <c r="G825" s="3">
        <v>1292</v>
      </c>
      <c r="H825" s="3">
        <v>1367</v>
      </c>
      <c r="I825" s="3">
        <v>519</v>
      </c>
      <c r="J825" s="3">
        <v>586</v>
      </c>
      <c r="K825" s="3">
        <v>908</v>
      </c>
      <c r="L825" s="3">
        <v>1069</v>
      </c>
      <c r="M825" s="3">
        <v>1648</v>
      </c>
    </row>
    <row r="826" spans="1:13" x14ac:dyDescent="0.3">
      <c r="A826" s="3" t="s">
        <v>25</v>
      </c>
      <c r="B826" s="3">
        <v>317030</v>
      </c>
      <c r="C826" s="3" t="s">
        <v>25</v>
      </c>
      <c r="D826" s="3" t="s">
        <v>24</v>
      </c>
      <c r="E826" s="3" t="s">
        <v>25</v>
      </c>
      <c r="F826" s="3" t="s">
        <v>887</v>
      </c>
      <c r="G826" s="3" t="s">
        <v>3</v>
      </c>
      <c r="H826" s="3" t="s">
        <v>3</v>
      </c>
      <c r="I826" s="3" t="s">
        <v>3</v>
      </c>
      <c r="J826" s="3" t="s">
        <v>3</v>
      </c>
      <c r="K826" s="3" t="s">
        <v>3</v>
      </c>
      <c r="L826" s="3" t="s">
        <v>3</v>
      </c>
      <c r="M826" s="3" t="s">
        <v>3</v>
      </c>
    </row>
    <row r="827" spans="1:13" x14ac:dyDescent="0.3">
      <c r="A827" s="3" t="s">
        <v>98</v>
      </c>
      <c r="B827" s="3">
        <v>317040</v>
      </c>
      <c r="C827" s="3" t="s">
        <v>98</v>
      </c>
      <c r="D827" s="3" t="s">
        <v>82</v>
      </c>
      <c r="E827" s="3" t="s">
        <v>98</v>
      </c>
      <c r="F827" s="3" t="s">
        <v>888</v>
      </c>
      <c r="G827" s="3">
        <v>135</v>
      </c>
      <c r="H827" s="3">
        <v>152</v>
      </c>
      <c r="I827" s="3">
        <v>83</v>
      </c>
      <c r="J827" s="3">
        <v>31</v>
      </c>
      <c r="K827" s="3">
        <v>161</v>
      </c>
      <c r="L827" s="3">
        <v>158</v>
      </c>
      <c r="M827" s="3">
        <v>140</v>
      </c>
    </row>
    <row r="828" spans="1:13" x14ac:dyDescent="0.3">
      <c r="A828" s="3" t="s">
        <v>237</v>
      </c>
      <c r="B828" s="3">
        <v>317043</v>
      </c>
      <c r="C828" s="3" t="s">
        <v>237</v>
      </c>
      <c r="D828" s="3" t="s">
        <v>18</v>
      </c>
      <c r="E828" s="3" t="s">
        <v>237</v>
      </c>
      <c r="F828" s="3" t="s">
        <v>889</v>
      </c>
      <c r="G828" s="3">
        <v>8</v>
      </c>
      <c r="H828" s="3">
        <v>1</v>
      </c>
      <c r="I828" s="3">
        <v>4</v>
      </c>
      <c r="J828" s="3">
        <v>1</v>
      </c>
      <c r="K828" s="3" t="s">
        <v>3</v>
      </c>
      <c r="L828" s="3">
        <v>5</v>
      </c>
      <c r="M828" s="3" t="s">
        <v>3</v>
      </c>
    </row>
    <row r="829" spans="1:13" x14ac:dyDescent="0.3">
      <c r="A829" s="3" t="s">
        <v>98</v>
      </c>
      <c r="B829" s="3">
        <v>317047</v>
      </c>
      <c r="C829" s="3" t="s">
        <v>98</v>
      </c>
      <c r="D829" s="3" t="s">
        <v>82</v>
      </c>
      <c r="E829" s="3" t="s">
        <v>98</v>
      </c>
      <c r="F829" s="3" t="s">
        <v>890</v>
      </c>
      <c r="G829" s="3" t="s">
        <v>3</v>
      </c>
      <c r="H829" s="3" t="s">
        <v>3</v>
      </c>
      <c r="I829" s="3" t="s">
        <v>3</v>
      </c>
      <c r="J829" s="3" t="s">
        <v>3</v>
      </c>
      <c r="K829" s="3" t="s">
        <v>3</v>
      </c>
      <c r="L829" s="3" t="s">
        <v>3</v>
      </c>
      <c r="M829" s="3" t="s">
        <v>3</v>
      </c>
    </row>
    <row r="830" spans="1:13" x14ac:dyDescent="0.3">
      <c r="A830" s="3" t="s">
        <v>10</v>
      </c>
      <c r="B830" s="3">
        <v>317050</v>
      </c>
      <c r="C830" s="3" t="s">
        <v>10</v>
      </c>
      <c r="D830" s="3" t="s">
        <v>7</v>
      </c>
      <c r="E830" s="3" t="s">
        <v>10</v>
      </c>
      <c r="F830" s="3" t="s">
        <v>891</v>
      </c>
      <c r="G830" s="3" t="s">
        <v>3</v>
      </c>
      <c r="H830" s="3" t="s">
        <v>3</v>
      </c>
      <c r="I830" s="3" t="s">
        <v>3</v>
      </c>
      <c r="J830" s="3" t="s">
        <v>3</v>
      </c>
      <c r="K830" s="3" t="s">
        <v>3</v>
      </c>
      <c r="L830" s="3" t="s">
        <v>3</v>
      </c>
      <c r="M830" s="3" t="s">
        <v>3</v>
      </c>
    </row>
    <row r="831" spans="1:13" x14ac:dyDescent="0.3">
      <c r="A831" s="3" t="s">
        <v>158</v>
      </c>
      <c r="B831" s="3">
        <v>317052</v>
      </c>
      <c r="C831" s="3" t="s">
        <v>158</v>
      </c>
      <c r="D831" s="3" t="s">
        <v>126</v>
      </c>
      <c r="E831" s="3" t="s">
        <v>158</v>
      </c>
      <c r="F831" s="3" t="s">
        <v>892</v>
      </c>
      <c r="G831" s="3">
        <v>2</v>
      </c>
      <c r="H831" s="3">
        <v>5</v>
      </c>
      <c r="I831" s="3" t="s">
        <v>3</v>
      </c>
      <c r="J831" s="3">
        <v>26</v>
      </c>
      <c r="K831" s="3">
        <v>67</v>
      </c>
      <c r="L831" s="3">
        <v>76</v>
      </c>
      <c r="M831" s="3">
        <v>128</v>
      </c>
    </row>
    <row r="832" spans="1:13" x14ac:dyDescent="0.3">
      <c r="A832" s="3" t="s">
        <v>143</v>
      </c>
      <c r="B832" s="3">
        <v>317057</v>
      </c>
      <c r="C832" s="3" t="s">
        <v>143</v>
      </c>
      <c r="D832" s="3" t="s">
        <v>12</v>
      </c>
      <c r="E832" s="3" t="s">
        <v>143</v>
      </c>
      <c r="F832" s="3" t="s">
        <v>893</v>
      </c>
      <c r="G832" s="3" t="s">
        <v>3</v>
      </c>
      <c r="H832" s="3" t="s">
        <v>3</v>
      </c>
      <c r="I832" s="3" t="s">
        <v>3</v>
      </c>
      <c r="J832" s="3" t="s">
        <v>3</v>
      </c>
      <c r="K832" s="3" t="s">
        <v>3</v>
      </c>
      <c r="L832" s="3" t="s">
        <v>3</v>
      </c>
      <c r="M832" s="3" t="s">
        <v>3</v>
      </c>
    </row>
    <row r="833" spans="1:13" x14ac:dyDescent="0.3">
      <c r="A833" s="3" t="s">
        <v>214</v>
      </c>
      <c r="B833" s="3">
        <v>317060</v>
      </c>
      <c r="C833" s="3" t="s">
        <v>214</v>
      </c>
      <c r="D833" s="3" t="s">
        <v>31</v>
      </c>
      <c r="E833" s="3" t="s">
        <v>214</v>
      </c>
      <c r="F833" s="3" t="s">
        <v>894</v>
      </c>
      <c r="G833" s="3" t="s">
        <v>3</v>
      </c>
      <c r="H833" s="3" t="s">
        <v>3</v>
      </c>
      <c r="I833" s="3" t="s">
        <v>3</v>
      </c>
      <c r="J833" s="3" t="s">
        <v>3</v>
      </c>
      <c r="K833" s="3" t="s">
        <v>3</v>
      </c>
      <c r="L833" s="3" t="s">
        <v>3</v>
      </c>
      <c r="M833" s="3" t="s">
        <v>3</v>
      </c>
    </row>
    <row r="834" spans="1:13" x14ac:dyDescent="0.3">
      <c r="A834" s="3" t="s">
        <v>127</v>
      </c>
      <c r="B834" s="3">
        <v>317065</v>
      </c>
      <c r="C834" s="3" t="s">
        <v>127</v>
      </c>
      <c r="D834" s="3" t="s">
        <v>126</v>
      </c>
      <c r="E834" s="3" t="s">
        <v>127</v>
      </c>
      <c r="F834" s="3" t="s">
        <v>895</v>
      </c>
      <c r="G834" s="3" t="s">
        <v>3</v>
      </c>
      <c r="H834" s="3" t="s">
        <v>3</v>
      </c>
      <c r="I834" s="3" t="s">
        <v>3</v>
      </c>
      <c r="J834" s="3" t="s">
        <v>3</v>
      </c>
      <c r="K834" s="3" t="s">
        <v>3</v>
      </c>
      <c r="L834" s="3" t="s">
        <v>3</v>
      </c>
      <c r="M834" s="3" t="s">
        <v>3</v>
      </c>
    </row>
    <row r="835" spans="1:13" x14ac:dyDescent="0.3">
      <c r="A835" s="3" t="s">
        <v>296</v>
      </c>
      <c r="B835" s="3">
        <v>317070</v>
      </c>
      <c r="C835" s="3" t="s">
        <v>296</v>
      </c>
      <c r="D835" s="3" t="s">
        <v>31</v>
      </c>
      <c r="E835" s="3" t="s">
        <v>296</v>
      </c>
      <c r="F835" s="3" t="s">
        <v>296</v>
      </c>
      <c r="G835" s="3">
        <v>291</v>
      </c>
      <c r="H835" s="3">
        <v>237</v>
      </c>
      <c r="I835" s="3">
        <v>42</v>
      </c>
      <c r="J835" s="3">
        <v>50</v>
      </c>
      <c r="K835" s="3">
        <v>293</v>
      </c>
      <c r="L835" s="3">
        <v>339</v>
      </c>
      <c r="M835" s="3">
        <v>308</v>
      </c>
    </row>
    <row r="836" spans="1:13" x14ac:dyDescent="0.3">
      <c r="A836" s="3" t="s">
        <v>316</v>
      </c>
      <c r="B836" s="3">
        <v>317075</v>
      </c>
      <c r="C836" s="3" t="s">
        <v>316</v>
      </c>
      <c r="D836" s="3" t="s">
        <v>82</v>
      </c>
      <c r="E836" s="3" t="s">
        <v>316</v>
      </c>
      <c r="F836" s="3" t="s">
        <v>896</v>
      </c>
      <c r="G836" s="3" t="s">
        <v>3</v>
      </c>
      <c r="H836" s="3" t="s">
        <v>3</v>
      </c>
      <c r="I836" s="3" t="s">
        <v>3</v>
      </c>
      <c r="J836" s="3" t="s">
        <v>3</v>
      </c>
      <c r="K836" s="3" t="s">
        <v>3</v>
      </c>
      <c r="L836" s="3" t="s">
        <v>3</v>
      </c>
      <c r="M836" s="3" t="s">
        <v>3</v>
      </c>
    </row>
    <row r="837" spans="1:13" x14ac:dyDescent="0.3">
      <c r="A837" s="3" t="s">
        <v>170</v>
      </c>
      <c r="B837" s="3">
        <v>317080</v>
      </c>
      <c r="C837" s="3" t="s">
        <v>170</v>
      </c>
      <c r="D837" s="3" t="s">
        <v>126</v>
      </c>
      <c r="E837" s="3" t="s">
        <v>170</v>
      </c>
      <c r="F837" s="3" t="s">
        <v>897</v>
      </c>
      <c r="G837" s="3" t="s">
        <v>3</v>
      </c>
      <c r="H837" s="3">
        <v>144</v>
      </c>
      <c r="I837" s="3">
        <v>42</v>
      </c>
      <c r="J837" s="3">
        <v>69</v>
      </c>
      <c r="K837" s="3">
        <v>140</v>
      </c>
      <c r="L837" s="3">
        <v>184</v>
      </c>
      <c r="M837" s="3">
        <v>128</v>
      </c>
    </row>
    <row r="838" spans="1:13" x14ac:dyDescent="0.3">
      <c r="A838" s="3" t="s">
        <v>158</v>
      </c>
      <c r="B838" s="3">
        <v>317090</v>
      </c>
      <c r="C838" s="3" t="s">
        <v>158</v>
      </c>
      <c r="D838" s="3" t="s">
        <v>126</v>
      </c>
      <c r="E838" s="3" t="s">
        <v>158</v>
      </c>
      <c r="F838" s="3" t="s">
        <v>898</v>
      </c>
      <c r="G838" s="3" t="s">
        <v>3</v>
      </c>
      <c r="H838" s="3" t="s">
        <v>3</v>
      </c>
      <c r="I838" s="3" t="s">
        <v>3</v>
      </c>
      <c r="J838" s="3" t="s">
        <v>3</v>
      </c>
      <c r="K838" s="3" t="s">
        <v>3</v>
      </c>
      <c r="L838" s="3" t="s">
        <v>3</v>
      </c>
      <c r="M838" s="3" t="s">
        <v>3</v>
      </c>
    </row>
    <row r="839" spans="1:13" x14ac:dyDescent="0.3">
      <c r="A839" s="3" t="s">
        <v>316</v>
      </c>
      <c r="B839" s="3">
        <v>317100</v>
      </c>
      <c r="C839" s="3" t="s">
        <v>316</v>
      </c>
      <c r="D839" s="3" t="s">
        <v>82</v>
      </c>
      <c r="E839" s="3" t="s">
        <v>316</v>
      </c>
      <c r="F839" s="3" t="s">
        <v>899</v>
      </c>
      <c r="G839" s="3">
        <v>66</v>
      </c>
      <c r="H839" s="3">
        <v>84</v>
      </c>
      <c r="I839" s="3">
        <v>14</v>
      </c>
      <c r="J839" s="3">
        <v>28</v>
      </c>
      <c r="K839" s="3">
        <v>132</v>
      </c>
      <c r="L839" s="3">
        <v>166</v>
      </c>
      <c r="M839" s="3">
        <v>142</v>
      </c>
    </row>
    <row r="840" spans="1:13" x14ac:dyDescent="0.3">
      <c r="A840" s="3" t="s">
        <v>251</v>
      </c>
      <c r="B840" s="3">
        <v>317103</v>
      </c>
      <c r="C840" s="3" t="s">
        <v>251</v>
      </c>
      <c r="D840" s="3" t="s">
        <v>126</v>
      </c>
      <c r="E840" s="3" t="s">
        <v>251</v>
      </c>
      <c r="F840" s="3" t="s">
        <v>900</v>
      </c>
      <c r="G840" s="3" t="s">
        <v>3</v>
      </c>
      <c r="H840" s="3" t="s">
        <v>3</v>
      </c>
      <c r="I840" s="3" t="s">
        <v>3</v>
      </c>
      <c r="J840" s="3" t="s">
        <v>3</v>
      </c>
      <c r="K840" s="3" t="s">
        <v>3</v>
      </c>
      <c r="L840" s="3" t="s">
        <v>3</v>
      </c>
      <c r="M840" s="3" t="s">
        <v>3</v>
      </c>
    </row>
    <row r="841" spans="1:13" x14ac:dyDescent="0.3">
      <c r="A841" s="3" t="s">
        <v>96</v>
      </c>
      <c r="B841" s="3">
        <v>317107</v>
      </c>
      <c r="C841" s="3" t="s">
        <v>96</v>
      </c>
      <c r="D841" s="3" t="s">
        <v>56</v>
      </c>
      <c r="E841" s="3" t="s">
        <v>96</v>
      </c>
      <c r="F841" s="3" t="s">
        <v>901</v>
      </c>
      <c r="G841" s="3" t="s">
        <v>3</v>
      </c>
      <c r="H841" s="3" t="s">
        <v>3</v>
      </c>
      <c r="I841" s="3" t="s">
        <v>3</v>
      </c>
      <c r="J841" s="3" t="s">
        <v>3</v>
      </c>
      <c r="K841" s="3" t="s">
        <v>3</v>
      </c>
      <c r="L841" s="3" t="s">
        <v>3</v>
      </c>
      <c r="M841" s="3" t="s">
        <v>3</v>
      </c>
    </row>
    <row r="842" spans="1:13" x14ac:dyDescent="0.3">
      <c r="A842" s="3" t="s">
        <v>19</v>
      </c>
      <c r="B842" s="3">
        <v>317110</v>
      </c>
      <c r="C842" s="3" t="s">
        <v>19</v>
      </c>
      <c r="D842" s="3" t="s">
        <v>18</v>
      </c>
      <c r="E842" s="3" t="s">
        <v>19</v>
      </c>
      <c r="F842" s="3" t="s">
        <v>902</v>
      </c>
      <c r="G842" s="3" t="s">
        <v>3</v>
      </c>
      <c r="H842" s="3" t="s">
        <v>3</v>
      </c>
      <c r="I842" s="3" t="s">
        <v>3</v>
      </c>
      <c r="J842" s="3" t="s">
        <v>3</v>
      </c>
      <c r="K842" s="3" t="s">
        <v>3</v>
      </c>
      <c r="L842" s="3" t="s">
        <v>3</v>
      </c>
      <c r="M842" s="3" t="s">
        <v>3</v>
      </c>
    </row>
    <row r="843" spans="1:13" x14ac:dyDescent="0.3">
      <c r="A843" s="3" t="s">
        <v>143</v>
      </c>
      <c r="B843" s="3">
        <v>317115</v>
      </c>
      <c r="C843" s="3" t="s">
        <v>143</v>
      </c>
      <c r="D843" s="3" t="s">
        <v>12</v>
      </c>
      <c r="E843" s="3" t="s">
        <v>143</v>
      </c>
      <c r="F843" s="3" t="s">
        <v>903</v>
      </c>
      <c r="G843" s="3" t="s">
        <v>3</v>
      </c>
      <c r="H843" s="3" t="s">
        <v>3</v>
      </c>
      <c r="I843" s="3" t="s">
        <v>3</v>
      </c>
      <c r="J843" s="3" t="s">
        <v>3</v>
      </c>
      <c r="K843" s="3" t="s">
        <v>3</v>
      </c>
      <c r="L843" s="3" t="s">
        <v>3</v>
      </c>
      <c r="M843" s="3" t="s">
        <v>3</v>
      </c>
    </row>
    <row r="844" spans="1:13" x14ac:dyDescent="0.3">
      <c r="A844" s="3" t="s">
        <v>283</v>
      </c>
      <c r="B844" s="3">
        <v>317120</v>
      </c>
      <c r="C844" s="3" t="s">
        <v>283</v>
      </c>
      <c r="D844" s="3" t="s">
        <v>4</v>
      </c>
      <c r="E844" s="3" t="s">
        <v>283</v>
      </c>
      <c r="F844" s="3" t="s">
        <v>283</v>
      </c>
      <c r="G844" s="3">
        <v>315</v>
      </c>
      <c r="H844" s="3">
        <v>290</v>
      </c>
      <c r="I844" s="3">
        <v>181</v>
      </c>
      <c r="J844" s="3">
        <v>54</v>
      </c>
      <c r="K844" s="3">
        <v>105</v>
      </c>
      <c r="L844" s="3">
        <v>288</v>
      </c>
      <c r="M844" s="3">
        <v>187</v>
      </c>
    </row>
    <row r="845" spans="1:13" x14ac:dyDescent="0.3">
      <c r="A845" s="3" t="s">
        <v>79</v>
      </c>
      <c r="B845" s="3">
        <v>317130</v>
      </c>
      <c r="C845" s="3" t="s">
        <v>79</v>
      </c>
      <c r="D845" s="3" t="s">
        <v>7</v>
      </c>
      <c r="E845" s="3" t="s">
        <v>79</v>
      </c>
      <c r="F845" s="3" t="s">
        <v>904</v>
      </c>
      <c r="G845" s="3">
        <v>233</v>
      </c>
      <c r="H845" s="3">
        <v>194</v>
      </c>
      <c r="I845" s="3">
        <v>141</v>
      </c>
      <c r="J845" s="3">
        <v>130</v>
      </c>
      <c r="K845" s="3">
        <v>252</v>
      </c>
      <c r="L845" s="3">
        <v>259</v>
      </c>
      <c r="M845" s="3">
        <v>276</v>
      </c>
    </row>
    <row r="846" spans="1:13" x14ac:dyDescent="0.3">
      <c r="A846" s="3" t="s">
        <v>69</v>
      </c>
      <c r="B846" s="3">
        <v>317140</v>
      </c>
      <c r="C846" s="3" t="s">
        <v>69</v>
      </c>
      <c r="D846" s="3" t="s">
        <v>37</v>
      </c>
      <c r="E846" s="3" t="s">
        <v>69</v>
      </c>
      <c r="F846" s="3" t="s">
        <v>905</v>
      </c>
      <c r="G846" s="3" t="s">
        <v>3</v>
      </c>
      <c r="H846" s="3" t="s">
        <v>3</v>
      </c>
      <c r="I846" s="3" t="s">
        <v>3</v>
      </c>
      <c r="J846" s="3" t="s">
        <v>3</v>
      </c>
      <c r="K846" s="3" t="s">
        <v>3</v>
      </c>
      <c r="L846" s="3" t="s">
        <v>3</v>
      </c>
      <c r="M846" s="3" t="s">
        <v>3</v>
      </c>
    </row>
    <row r="847" spans="1:13" x14ac:dyDescent="0.3">
      <c r="A847" s="3" t="s">
        <v>47</v>
      </c>
      <c r="B847" s="3">
        <v>317150</v>
      </c>
      <c r="C847" s="3" t="s">
        <v>47</v>
      </c>
      <c r="D847" s="3" t="s">
        <v>15</v>
      </c>
      <c r="E847" s="3" t="s">
        <v>47</v>
      </c>
      <c r="F847" s="3" t="s">
        <v>906</v>
      </c>
      <c r="G847" s="3" t="s">
        <v>3</v>
      </c>
      <c r="H847" s="3" t="s">
        <v>3</v>
      </c>
      <c r="I847" s="3" t="s">
        <v>3</v>
      </c>
      <c r="J847" s="3" t="s">
        <v>3</v>
      </c>
      <c r="K847" s="3" t="s">
        <v>3</v>
      </c>
      <c r="L847" s="3" t="s">
        <v>3</v>
      </c>
      <c r="M847" s="3" t="s">
        <v>3</v>
      </c>
    </row>
    <row r="848" spans="1:13" x14ac:dyDescent="0.3">
      <c r="A848" s="3" t="s">
        <v>74</v>
      </c>
      <c r="B848" s="3">
        <v>317160</v>
      </c>
      <c r="C848" s="3" t="s">
        <v>74</v>
      </c>
      <c r="D848" s="3" t="s">
        <v>56</v>
      </c>
      <c r="E848" s="3" t="s">
        <v>74</v>
      </c>
      <c r="F848" s="3" t="s">
        <v>907</v>
      </c>
      <c r="G848" s="3">
        <v>7</v>
      </c>
      <c r="H848" s="3">
        <v>3</v>
      </c>
      <c r="I848" s="3" t="s">
        <v>3</v>
      </c>
      <c r="J848" s="3" t="s">
        <v>3</v>
      </c>
      <c r="K848" s="3" t="s">
        <v>3</v>
      </c>
      <c r="L848" s="3" t="s">
        <v>3</v>
      </c>
      <c r="M848" s="3" t="s">
        <v>3</v>
      </c>
    </row>
    <row r="849" spans="1:13" x14ac:dyDescent="0.3">
      <c r="A849" s="3" t="s">
        <v>32</v>
      </c>
      <c r="B849" s="3">
        <v>317170</v>
      </c>
      <c r="C849" s="3" t="s">
        <v>32</v>
      </c>
      <c r="D849" s="3" t="s">
        <v>31</v>
      </c>
      <c r="E849" s="3" t="s">
        <v>32</v>
      </c>
      <c r="F849" s="3" t="s">
        <v>908</v>
      </c>
      <c r="G849" s="3" t="s">
        <v>3</v>
      </c>
      <c r="H849" s="3" t="s">
        <v>3</v>
      </c>
      <c r="I849" s="3" t="s">
        <v>3</v>
      </c>
      <c r="J849" s="3" t="s">
        <v>3</v>
      </c>
      <c r="K849" s="3" t="s">
        <v>3</v>
      </c>
      <c r="L849" s="3" t="s">
        <v>3</v>
      </c>
      <c r="M849" s="3" t="s">
        <v>3</v>
      </c>
    </row>
    <row r="850" spans="1:13" x14ac:dyDescent="0.3">
      <c r="A850" s="3" t="s">
        <v>227</v>
      </c>
      <c r="B850" s="3">
        <v>317180</v>
      </c>
      <c r="C850" s="3" t="s">
        <v>227</v>
      </c>
      <c r="D850" s="3" t="s">
        <v>4</v>
      </c>
      <c r="E850" s="3" t="s">
        <v>227</v>
      </c>
      <c r="F850" s="3" t="s">
        <v>909</v>
      </c>
      <c r="G850" s="3">
        <v>36</v>
      </c>
      <c r="H850" s="3">
        <v>24</v>
      </c>
      <c r="I850" s="3">
        <v>1</v>
      </c>
      <c r="J850" s="3">
        <v>5</v>
      </c>
      <c r="K850" s="3">
        <v>37</v>
      </c>
      <c r="L850" s="3">
        <v>60</v>
      </c>
      <c r="M850" s="3">
        <v>19</v>
      </c>
    </row>
    <row r="851" spans="1:13" x14ac:dyDescent="0.3">
      <c r="A851" s="3" t="s">
        <v>47</v>
      </c>
      <c r="B851" s="3">
        <v>317190</v>
      </c>
      <c r="C851" s="3" t="s">
        <v>47</v>
      </c>
      <c r="D851" s="3" t="s">
        <v>15</v>
      </c>
      <c r="E851" s="3" t="s">
        <v>47</v>
      </c>
      <c r="F851" s="3" t="s">
        <v>910</v>
      </c>
      <c r="G851" s="3" t="s">
        <v>3</v>
      </c>
      <c r="H851" s="3" t="s">
        <v>3</v>
      </c>
      <c r="I851" s="3" t="s">
        <v>3</v>
      </c>
      <c r="J851" s="3" t="s">
        <v>3</v>
      </c>
      <c r="K851" s="3" t="s">
        <v>3</v>
      </c>
      <c r="L851" s="3" t="s">
        <v>3</v>
      </c>
      <c r="M851" s="3" t="s">
        <v>3</v>
      </c>
    </row>
    <row r="852" spans="1:13" x14ac:dyDescent="0.3">
      <c r="A852" s="3" t="s">
        <v>160</v>
      </c>
      <c r="B852" s="3">
        <v>317200</v>
      </c>
      <c r="C852" s="3" t="s">
        <v>160</v>
      </c>
      <c r="D852" s="3" t="s">
        <v>37</v>
      </c>
      <c r="E852" s="3" t="s">
        <v>160</v>
      </c>
      <c r="F852" s="3" t="s">
        <v>911</v>
      </c>
      <c r="G852" s="3">
        <v>23</v>
      </c>
      <c r="H852" s="3">
        <v>12</v>
      </c>
      <c r="I852" s="3">
        <v>16</v>
      </c>
      <c r="J852" s="3">
        <v>21</v>
      </c>
      <c r="K852" s="3">
        <v>32</v>
      </c>
      <c r="L852" s="3">
        <v>30</v>
      </c>
      <c r="M852" s="3">
        <v>35</v>
      </c>
    </row>
    <row r="853" spans="1:13" x14ac:dyDescent="0.3">
      <c r="A853" s="3" t="s">
        <v>38</v>
      </c>
      <c r="B853" s="3">
        <v>317210</v>
      </c>
      <c r="C853" s="3" t="s">
        <v>38</v>
      </c>
      <c r="D853" s="3" t="s">
        <v>37</v>
      </c>
      <c r="E853" s="3" t="s">
        <v>38</v>
      </c>
      <c r="F853" s="3" t="s">
        <v>912</v>
      </c>
      <c r="G853" s="3" t="s">
        <v>3</v>
      </c>
      <c r="H853" s="3" t="s">
        <v>3</v>
      </c>
      <c r="I853" s="3" t="s">
        <v>3</v>
      </c>
      <c r="J853" s="3" t="s">
        <v>3</v>
      </c>
      <c r="K853" s="3" t="s">
        <v>3</v>
      </c>
      <c r="L853" s="3" t="s">
        <v>3</v>
      </c>
      <c r="M853" s="3" t="s">
        <v>3</v>
      </c>
    </row>
    <row r="854" spans="1:13" x14ac:dyDescent="0.3">
      <c r="A854" s="3" t="s">
        <v>163</v>
      </c>
      <c r="B854" s="3">
        <v>317220</v>
      </c>
      <c r="C854" s="3" t="s">
        <v>163</v>
      </c>
      <c r="D854" s="3" t="s">
        <v>31</v>
      </c>
      <c r="E854" s="3" t="s">
        <v>163</v>
      </c>
      <c r="F854" s="3" t="s">
        <v>913</v>
      </c>
      <c r="G854" s="3" t="s">
        <v>3</v>
      </c>
      <c r="H854" s="3" t="s">
        <v>3</v>
      </c>
      <c r="I854" s="3" t="s">
        <v>3</v>
      </c>
      <c r="J854" s="3" t="s">
        <v>3</v>
      </c>
      <c r="K854" s="3" t="s">
        <v>3</v>
      </c>
      <c r="L854" s="3" t="s">
        <v>3</v>
      </c>
      <c r="M854" s="3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49C5-CF66-4B56-BB20-984A2EB8ED34}">
  <dimension ref="A1:E854"/>
  <sheetViews>
    <sheetView workbookViewId="0">
      <selection activeCell="C14" sqref="C14"/>
    </sheetView>
  </sheetViews>
  <sheetFormatPr defaultRowHeight="14.4" x14ac:dyDescent="0.3"/>
  <cols>
    <col min="1" max="4" width="24.5546875" style="4" customWidth="1"/>
  </cols>
  <sheetData>
    <row r="1" spans="1:5" x14ac:dyDescent="0.3">
      <c r="A1" s="4" t="s">
        <v>938</v>
      </c>
      <c r="B1" s="4" t="s">
        <v>939</v>
      </c>
      <c r="C1" s="4" t="s">
        <v>940</v>
      </c>
      <c r="D1" s="4" t="s">
        <v>941</v>
      </c>
      <c r="E1" t="s">
        <v>937</v>
      </c>
    </row>
    <row r="2" spans="1:5" x14ac:dyDescent="0.3">
      <c r="A2" s="4">
        <v>310010</v>
      </c>
      <c r="B2" s="4" t="s">
        <v>2</v>
      </c>
      <c r="C2" s="4" t="str">
        <f>VLOOKUP(População!A2,Ginecologia_dados!B:E,3,FALSE)</f>
        <v>TRIÂNGULO DO NORTE</v>
      </c>
      <c r="D2" s="4" t="str">
        <f>VLOOKUP(A2,Ginecologia_dados!B:C,2,FALSE)</f>
        <v>PATROCÍNIO/MONTE CARMELO</v>
      </c>
      <c r="E2">
        <v>3224</v>
      </c>
    </row>
    <row r="3" spans="1:5" x14ac:dyDescent="0.3">
      <c r="A3" s="4">
        <v>310020</v>
      </c>
      <c r="B3" s="4" t="s">
        <v>6</v>
      </c>
      <c r="C3" s="4" t="str">
        <f>VLOOKUP(População!A3,Ginecologia_dados!B:E,3,FALSE)</f>
        <v>CENTRO</v>
      </c>
      <c r="D3" s="4" t="str">
        <f>VLOOKUP(A3,Ginecologia_dados!B:C,2,FALSE)</f>
        <v>SETE LAGOAS</v>
      </c>
      <c r="E3">
        <v>11680</v>
      </c>
    </row>
    <row r="4" spans="1:5" x14ac:dyDescent="0.3">
      <c r="A4" s="4">
        <v>310030</v>
      </c>
      <c r="B4" s="4" t="s">
        <v>9</v>
      </c>
      <c r="C4" s="4" t="str">
        <f>VLOOKUP(População!A4,Ginecologia_dados!B:E,3,FALSE)</f>
        <v>LESTE DO SUL</v>
      </c>
      <c r="D4" s="4" t="str">
        <f>VLOOKUP(A4,Ginecologia_dados!B:C,2,FALSE)</f>
        <v>MANHUAÇU</v>
      </c>
      <c r="E4">
        <v>6954</v>
      </c>
    </row>
    <row r="5" spans="1:5" x14ac:dyDescent="0.3">
      <c r="A5" s="4">
        <v>310040</v>
      </c>
      <c r="B5" s="4" t="s">
        <v>11</v>
      </c>
      <c r="C5" s="4" t="str">
        <f>VLOOKUP(População!A5,Ginecologia_dados!B:E,3,FALSE)</f>
        <v>LESTE DO SUL</v>
      </c>
      <c r="D5" s="4" t="str">
        <f>VLOOKUP(A5,Ginecologia_dados!B:C,2,FALSE)</f>
        <v>PONTE NOVA</v>
      </c>
      <c r="E5">
        <v>2057</v>
      </c>
    </row>
    <row r="6" spans="1:5" x14ac:dyDescent="0.3">
      <c r="A6" s="4">
        <v>310050</v>
      </c>
      <c r="B6" s="4" t="s">
        <v>14</v>
      </c>
      <c r="C6" s="4" t="str">
        <f>VLOOKUP(População!A6,Ginecologia_dados!B:E,3,FALSE)</f>
        <v>VALE DO AÇO</v>
      </c>
      <c r="D6" s="4" t="str">
        <f>VLOOKUP(A6,Ginecologia_dados!B:C,2,FALSE)</f>
        <v>IPATINGA</v>
      </c>
      <c r="E6">
        <v>4640</v>
      </c>
    </row>
    <row r="7" spans="1:5" x14ac:dyDescent="0.3">
      <c r="A7" s="4">
        <v>310060</v>
      </c>
      <c r="B7" s="4" t="s">
        <v>17</v>
      </c>
      <c r="C7" s="4" t="str">
        <f>VLOOKUP(População!A7,Ginecologia_dados!B:E,3,FALSE)</f>
        <v>LESTE</v>
      </c>
      <c r="D7" s="4" t="str">
        <f>VLOOKUP(A7,Ginecologia_dados!B:C,2,FALSE)</f>
        <v>SANTA MARIA DO SUAÇUÍ</v>
      </c>
      <c r="E7">
        <v>6694</v>
      </c>
    </row>
    <row r="8" spans="1:5" x14ac:dyDescent="0.3">
      <c r="A8" s="4">
        <v>310070</v>
      </c>
      <c r="B8" s="4" t="s">
        <v>20</v>
      </c>
      <c r="C8" s="4" t="str">
        <f>VLOOKUP(População!A8,Ginecologia_dados!B:E,3,FALSE)</f>
        <v>TRIÂNGULO DO SUL</v>
      </c>
      <c r="D8" s="4" t="str">
        <f>VLOOKUP(A8,Ginecologia_dados!B:C,2,FALSE)</f>
        <v>UBERABA</v>
      </c>
      <c r="E8">
        <v>1031</v>
      </c>
    </row>
    <row r="9" spans="1:5" x14ac:dyDescent="0.3">
      <c r="A9" s="4">
        <v>310080</v>
      </c>
      <c r="B9" s="4" t="s">
        <v>23</v>
      </c>
      <c r="C9" s="4" t="str">
        <f>VLOOKUP(População!A9,Ginecologia_dados!B:E,3,FALSE)</f>
        <v>OESTE</v>
      </c>
      <c r="D9" s="4" t="str">
        <f>VLOOKUP(A9,Ginecologia_dados!B:C,2,FALSE)</f>
        <v>CAMPO BELO</v>
      </c>
      <c r="E9">
        <v>2193</v>
      </c>
    </row>
    <row r="10" spans="1:5" x14ac:dyDescent="0.3">
      <c r="A10" s="4">
        <v>310090</v>
      </c>
      <c r="B10" s="4" t="s">
        <v>26</v>
      </c>
      <c r="C10" s="4" t="str">
        <f>VLOOKUP(População!A10,Ginecologia_dados!B:E,3,FALSE)</f>
        <v>NORDESTE</v>
      </c>
      <c r="D10" s="4" t="str">
        <f>VLOOKUP(A10,Ginecologia_dados!B:C,2,FALSE)</f>
        <v>ÁGUAS FORMOSAS</v>
      </c>
      <c r="E10">
        <v>9376</v>
      </c>
    </row>
    <row r="11" spans="1:5" x14ac:dyDescent="0.3">
      <c r="A11" s="4">
        <v>310100</v>
      </c>
      <c r="B11" s="4" t="s">
        <v>28</v>
      </c>
      <c r="C11" s="4" t="str">
        <f>VLOOKUP(População!A11,Ginecologia_dados!B:E,3,FALSE)</f>
        <v>NORDESTE</v>
      </c>
      <c r="D11" s="4" t="str">
        <f>VLOOKUP(A11,Ginecologia_dados!B:C,2,FALSE)</f>
        <v>PEDRA AZUL</v>
      </c>
      <c r="E11">
        <v>6829</v>
      </c>
    </row>
    <row r="12" spans="1:5" x14ac:dyDescent="0.3">
      <c r="A12" s="4">
        <v>310110</v>
      </c>
      <c r="B12" s="4" t="s">
        <v>30</v>
      </c>
      <c r="C12" s="4" t="str">
        <f>VLOOKUP(População!A12,Ginecologia_dados!B:E,3,FALSE)</f>
        <v>LESTE</v>
      </c>
      <c r="D12" s="4" t="str">
        <f>VLOOKUP(A12,Ginecologia_dados!B:C,2,FALSE)</f>
        <v>RESPLENDOR</v>
      </c>
      <c r="E12">
        <v>13152</v>
      </c>
    </row>
    <row r="13" spans="1:5" x14ac:dyDescent="0.3">
      <c r="A13" s="4">
        <v>310120</v>
      </c>
      <c r="B13" s="4" t="s">
        <v>33</v>
      </c>
      <c r="C13" s="4" t="str">
        <f>VLOOKUP(População!A13,Ginecologia_dados!B:E,3,FALSE)</f>
        <v>SUL</v>
      </c>
      <c r="D13" s="4" t="str">
        <f>VLOOKUP(A13,Ginecologia_dados!B:C,2,FALSE)</f>
        <v>SÃO LOURENÇO</v>
      </c>
      <c r="E13">
        <v>3110</v>
      </c>
    </row>
    <row r="14" spans="1:5" x14ac:dyDescent="0.3">
      <c r="A14" s="4">
        <v>310130</v>
      </c>
      <c r="B14" s="4" t="s">
        <v>34</v>
      </c>
      <c r="C14" s="4" t="str">
        <f>VLOOKUP(População!A14,Ginecologia_dados!B:E,3,FALSE)</f>
        <v>SUL</v>
      </c>
      <c r="D14" s="4" t="str">
        <f>VLOOKUP(A14,Ginecologia_dados!B:C,2,FALSE)</f>
        <v>SÃO LOURENÇO</v>
      </c>
      <c r="E14">
        <v>1344</v>
      </c>
    </row>
    <row r="15" spans="1:5" x14ac:dyDescent="0.3">
      <c r="A15" s="4">
        <v>310140</v>
      </c>
      <c r="B15" s="4" t="s">
        <v>36</v>
      </c>
      <c r="C15" s="4" t="str">
        <f>VLOOKUP(População!A15,Ginecologia_dados!B:E,3,FALSE)</f>
        <v>SUL</v>
      </c>
      <c r="D15" s="4" t="str">
        <f>VLOOKUP(A15,Ginecologia_dados!B:C,2,FALSE)</f>
        <v>POÇOS DE CALDAS</v>
      </c>
      <c r="E15">
        <v>1461</v>
      </c>
    </row>
    <row r="16" spans="1:5" x14ac:dyDescent="0.3">
      <c r="A16" s="4">
        <v>310150</v>
      </c>
      <c r="B16" s="4" t="s">
        <v>39</v>
      </c>
      <c r="C16" s="4" t="str">
        <f>VLOOKUP(População!A16,Ginecologia_dados!B:E,3,FALSE)</f>
        <v>SUDESTE</v>
      </c>
      <c r="D16" s="4" t="str">
        <f>VLOOKUP(A16,Ginecologia_dados!B:C,2,FALSE)</f>
        <v>ALÉM PARAÍBA</v>
      </c>
      <c r="E16">
        <v>17083</v>
      </c>
    </row>
    <row r="17" spans="1:5" x14ac:dyDescent="0.3">
      <c r="A17" s="4">
        <v>310160</v>
      </c>
      <c r="B17" s="4" t="s">
        <v>41</v>
      </c>
      <c r="C17" s="4" t="str">
        <f>VLOOKUP(População!A17,Ginecologia_dados!B:E,3,FALSE)</f>
        <v>SUL</v>
      </c>
      <c r="D17" s="4" t="str">
        <f>VLOOKUP(A17,Ginecologia_dados!B:C,2,FALSE)</f>
        <v>ALFENAS/MACHADO</v>
      </c>
      <c r="E17">
        <v>40803</v>
      </c>
    </row>
    <row r="18" spans="1:5" x14ac:dyDescent="0.3">
      <c r="A18" s="4">
        <v>310163</v>
      </c>
      <c r="B18" s="4" t="s">
        <v>44</v>
      </c>
      <c r="C18" s="4" t="str">
        <f>VLOOKUP(População!A18,Ginecologia_dados!B:E,3,FALSE)</f>
        <v>CENTRO SUL</v>
      </c>
      <c r="D18" s="4" t="str">
        <f>VLOOKUP(A18,Ginecologia_dados!B:C,2,FALSE)</f>
        <v>BARBACENA</v>
      </c>
      <c r="E18">
        <v>3400</v>
      </c>
    </row>
    <row r="19" spans="1:5" x14ac:dyDescent="0.3">
      <c r="A19" s="4">
        <v>310170</v>
      </c>
      <c r="B19" s="4" t="s">
        <v>46</v>
      </c>
      <c r="C19" s="4" t="str">
        <f>VLOOKUP(População!A19,Ginecologia_dados!B:E,3,FALSE)</f>
        <v>NORDESTE</v>
      </c>
      <c r="D19" s="4" t="str">
        <f>VLOOKUP(A19,Ginecologia_dados!B:C,2,FALSE)</f>
        <v>ALMENARA/JACINTO</v>
      </c>
      <c r="E19">
        <v>20772</v>
      </c>
    </row>
    <row r="20" spans="1:5" x14ac:dyDescent="0.3">
      <c r="A20" s="4">
        <v>310180</v>
      </c>
      <c r="B20" s="4" t="s">
        <v>48</v>
      </c>
      <c r="C20" s="4" t="str">
        <f>VLOOKUP(População!A20,Ginecologia_dados!B:E,3,FALSE)</f>
        <v>LESTE</v>
      </c>
      <c r="D20" s="4" t="str">
        <f>VLOOKUP(A20,Ginecologia_dados!B:C,2,FALSE)</f>
        <v>GOVERNADOR VALADARES</v>
      </c>
      <c r="E20">
        <v>3587</v>
      </c>
    </row>
    <row r="21" spans="1:5" x14ac:dyDescent="0.3">
      <c r="A21" s="4">
        <v>310190</v>
      </c>
      <c r="B21" s="4" t="s">
        <v>50</v>
      </c>
      <c r="C21" s="4" t="str">
        <f>VLOOKUP(População!A21,Ginecologia_dados!B:E,3,FALSE)</f>
        <v>SUL</v>
      </c>
      <c r="D21" s="4" t="str">
        <f>VLOOKUP(A21,Ginecologia_dados!B:C,2,FALSE)</f>
        <v>PASSOS</v>
      </c>
      <c r="E21">
        <v>9248</v>
      </c>
    </row>
    <row r="22" spans="1:5" x14ac:dyDescent="0.3">
      <c r="A22" s="4">
        <v>310200</v>
      </c>
      <c r="B22" s="4" t="s">
        <v>51</v>
      </c>
      <c r="C22" s="4" t="str">
        <f>VLOOKUP(População!A22,Ginecologia_dados!B:E,3,FALSE)</f>
        <v>SUL</v>
      </c>
      <c r="D22" s="4" t="str">
        <f>VLOOKUP(A22,Ginecologia_dados!B:C,2,FALSE)</f>
        <v>ALFENAS/MACHADO</v>
      </c>
      <c r="E22">
        <v>7013</v>
      </c>
    </row>
    <row r="23" spans="1:5" x14ac:dyDescent="0.3">
      <c r="A23" s="4">
        <v>310205</v>
      </c>
      <c r="B23" s="4" t="s">
        <v>52</v>
      </c>
      <c r="C23" s="4" t="str">
        <f>VLOOKUP(População!A23,Ginecologia_dados!B:E,3,FALSE)</f>
        <v>LESTE DO SUL</v>
      </c>
      <c r="D23" s="4" t="str">
        <f>VLOOKUP(A23,Ginecologia_dados!B:C,2,FALSE)</f>
        <v>MANHUAÇU</v>
      </c>
      <c r="E23">
        <v>2826</v>
      </c>
    </row>
    <row r="24" spans="1:5" x14ac:dyDescent="0.3">
      <c r="A24" s="4">
        <v>310210</v>
      </c>
      <c r="B24" s="4" t="s">
        <v>53</v>
      </c>
      <c r="C24" s="4" t="str">
        <f>VLOOKUP(População!A24,Ginecologia_dados!B:E,3,FALSE)</f>
        <v>CENTRO SUL</v>
      </c>
      <c r="D24" s="4" t="str">
        <f>VLOOKUP(A24,Ginecologia_dados!B:C,2,FALSE)</f>
        <v>BARBACENA</v>
      </c>
      <c r="E24">
        <v>5659</v>
      </c>
    </row>
    <row r="25" spans="1:5" x14ac:dyDescent="0.3">
      <c r="A25" s="4">
        <v>310220</v>
      </c>
      <c r="B25" s="4" t="s">
        <v>54</v>
      </c>
      <c r="C25" s="4" t="str">
        <f>VLOOKUP(População!A25,Ginecologia_dados!B:E,3,FALSE)</f>
        <v>LESTE</v>
      </c>
      <c r="D25" s="4" t="str">
        <f>VLOOKUP(A25,Ginecologia_dados!B:C,2,FALSE)</f>
        <v>RESPLENDOR</v>
      </c>
      <c r="E25">
        <v>2095</v>
      </c>
    </row>
    <row r="26" spans="1:5" x14ac:dyDescent="0.3">
      <c r="A26" s="4">
        <v>310230</v>
      </c>
      <c r="B26" s="4" t="s">
        <v>55</v>
      </c>
      <c r="C26" s="4" t="str">
        <f>VLOOKUP(População!A26,Ginecologia_dados!B:E,3,FALSE)</f>
        <v>LESTE DO SUL</v>
      </c>
      <c r="D26" s="4" t="str">
        <f>VLOOKUP(A26,Ginecologia_dados!B:C,2,FALSE)</f>
        <v>PONTE NOVA</v>
      </c>
      <c r="E26">
        <v>7804</v>
      </c>
    </row>
    <row r="27" spans="1:5" x14ac:dyDescent="0.3">
      <c r="A27" s="4">
        <v>310240</v>
      </c>
      <c r="B27" s="4" t="s">
        <v>58</v>
      </c>
      <c r="C27" s="4" t="str">
        <f>VLOOKUP(População!A27,Ginecologia_dados!B:E,3,FALSE)</f>
        <v>JEQUITINHONHA</v>
      </c>
      <c r="D27" s="4" t="str">
        <f>VLOOKUP(A27,Ginecologia_dados!B:C,2,FALSE)</f>
        <v>SERRO</v>
      </c>
      <c r="E27">
        <v>2028</v>
      </c>
    </row>
    <row r="28" spans="1:5" x14ac:dyDescent="0.3">
      <c r="A28" s="4">
        <v>310250</v>
      </c>
      <c r="B28" s="4" t="s">
        <v>59</v>
      </c>
      <c r="C28" s="4" t="str">
        <f>VLOOKUP(População!A28,Ginecologia_dados!B:E,3,FALSE)</f>
        <v>LESTE DO SUL</v>
      </c>
      <c r="D28" s="4" t="str">
        <f>VLOOKUP(A28,Ginecologia_dados!B:C,2,FALSE)</f>
        <v>PONTE NOVA</v>
      </c>
      <c r="E28">
        <v>2406</v>
      </c>
    </row>
    <row r="29" spans="1:5" x14ac:dyDescent="0.3">
      <c r="A29" s="4">
        <v>310260</v>
      </c>
      <c r="B29" s="4" t="s">
        <v>60</v>
      </c>
      <c r="C29" s="4" t="str">
        <f>VLOOKUP(População!A29,Ginecologia_dados!B:E,3,FALSE)</f>
        <v>SUL</v>
      </c>
      <c r="D29" s="4" t="str">
        <f>VLOOKUP(A29,Ginecologia_dados!B:C,2,FALSE)</f>
        <v>POÇOS DE CALDAS</v>
      </c>
      <c r="E29">
        <v>20451</v>
      </c>
    </row>
    <row r="30" spans="1:5" x14ac:dyDescent="0.3">
      <c r="A30" s="4">
        <v>310270</v>
      </c>
      <c r="B30" s="4" t="s">
        <v>61</v>
      </c>
      <c r="C30" s="4" t="str">
        <f>VLOOKUP(População!A30,Ginecologia_dados!B:E,3,FALSE)</f>
        <v>NORDESTE</v>
      </c>
      <c r="D30" s="4" t="str">
        <f>VLOOKUP(A30,Ginecologia_dados!B:C,2,FALSE)</f>
        <v>PEDRA AZUL</v>
      </c>
      <c r="E30">
        <v>4631</v>
      </c>
    </row>
    <row r="31" spans="1:5" x14ac:dyDescent="0.3">
      <c r="A31" s="4">
        <v>310280</v>
      </c>
      <c r="B31" s="4" t="s">
        <v>63</v>
      </c>
      <c r="C31" s="4" t="str">
        <f>VLOOKUP(População!A31,Ginecologia_dados!B:E,3,FALSE)</f>
        <v>SUDESTE</v>
      </c>
      <c r="D31" s="4" t="str">
        <f>VLOOKUP(A31,Ginecologia_dados!B:C,2,FALSE)</f>
        <v>LIMA DUARTE</v>
      </c>
      <c r="E31">
        <v>6155</v>
      </c>
    </row>
    <row r="32" spans="1:5" x14ac:dyDescent="0.3">
      <c r="A32" s="4">
        <v>310285</v>
      </c>
      <c r="B32" s="4" t="s">
        <v>65</v>
      </c>
      <c r="C32" s="4" t="str">
        <f>VLOOKUP(População!A32,Ginecologia_dados!B:E,3,FALSE)</f>
        <v>NORDESTE</v>
      </c>
      <c r="D32" s="4" t="str">
        <f>VLOOKUP(A32,Ginecologia_dados!B:C,2,FALSE)</f>
        <v>TEÓFILO OTONI/MALACACHETA</v>
      </c>
      <c r="E32">
        <v>4045</v>
      </c>
    </row>
    <row r="33" spans="1:5" x14ac:dyDescent="0.3">
      <c r="A33" s="4">
        <v>310290</v>
      </c>
      <c r="B33" s="4" t="s">
        <v>66</v>
      </c>
      <c r="C33" s="4" t="str">
        <f>VLOOKUP(População!A33,Ginecologia_dados!B:E,3,FALSE)</f>
        <v>CENTRO SUL</v>
      </c>
      <c r="D33" s="4" t="str">
        <f>VLOOKUP(A33,Ginecologia_dados!B:C,2,FALSE)</f>
        <v>BARBACENA</v>
      </c>
      <c r="E33">
        <v>5639</v>
      </c>
    </row>
    <row r="34" spans="1:5" x14ac:dyDescent="0.3">
      <c r="A34" s="4">
        <v>310300</v>
      </c>
      <c r="B34" s="4" t="s">
        <v>68</v>
      </c>
      <c r="C34" s="4" t="str">
        <f>VLOOKUP(População!A34,Ginecologia_dados!B:E,3,FALSE)</f>
        <v>VALE DO AÇO</v>
      </c>
      <c r="D34" s="4" t="str">
        <f>VLOOKUP(A34,Ginecologia_dados!B:C,2,FALSE)</f>
        <v>CORONEL FABRICIANO/TIMÓTEO</v>
      </c>
      <c r="E34">
        <v>4689</v>
      </c>
    </row>
    <row r="35" spans="1:5" x14ac:dyDescent="0.3">
      <c r="A35" s="4">
        <v>310310</v>
      </c>
      <c r="B35" s="4" t="s">
        <v>70</v>
      </c>
      <c r="C35" s="4" t="str">
        <f>VLOOKUP(População!A35,Ginecologia_dados!B:E,3,FALSE)</f>
        <v>SUDESTE</v>
      </c>
      <c r="D35" s="4" t="str">
        <f>VLOOKUP(A35,Ginecologia_dados!B:C,2,FALSE)</f>
        <v>MURIAÉ</v>
      </c>
      <c r="E35">
        <v>780</v>
      </c>
    </row>
    <row r="36" spans="1:5" x14ac:dyDescent="0.3">
      <c r="A36" s="4">
        <v>310320</v>
      </c>
      <c r="B36" s="4" t="s">
        <v>71</v>
      </c>
      <c r="C36" s="4" t="str">
        <f>VLOOKUP(População!A36,Ginecologia_dados!B:E,3,FALSE)</f>
        <v>CENTRO</v>
      </c>
      <c r="D36" s="4" t="str">
        <f>VLOOKUP(A36,Ginecologia_dados!B:C,2,FALSE)</f>
        <v>SETE LAGOAS</v>
      </c>
      <c r="E36">
        <v>1141</v>
      </c>
    </row>
    <row r="37" spans="1:5" x14ac:dyDescent="0.3">
      <c r="A37" s="4">
        <v>310330</v>
      </c>
      <c r="B37" s="4" t="s">
        <v>73</v>
      </c>
      <c r="C37" s="4" t="str">
        <f>VLOOKUP(População!A37,Ginecologia_dados!B:E,3,FALSE)</f>
        <v>SUDESTE</v>
      </c>
      <c r="D37" s="4" t="str">
        <f>VLOOKUP(A37,Ginecologia_dados!B:C,2,FALSE)</f>
        <v>SANTOS DUMONT</v>
      </c>
      <c r="E37">
        <v>1058</v>
      </c>
    </row>
    <row r="38" spans="1:5" x14ac:dyDescent="0.3">
      <c r="A38" s="4">
        <v>310340</v>
      </c>
      <c r="B38" s="4" t="s">
        <v>75</v>
      </c>
      <c r="C38" s="4" t="str">
        <f>VLOOKUP(População!A38,Ginecologia_dados!B:E,3,FALSE)</f>
        <v>JEQUITINHONHA</v>
      </c>
      <c r="D38" s="4" t="str">
        <f>VLOOKUP(A38,Ginecologia_dados!B:C,2,FALSE)</f>
        <v>ARAÇUAÍ</v>
      </c>
      <c r="E38">
        <v>18292</v>
      </c>
    </row>
    <row r="39" spans="1:5" x14ac:dyDescent="0.3">
      <c r="A39" s="4">
        <v>310350</v>
      </c>
      <c r="B39" s="4" t="s">
        <v>77</v>
      </c>
      <c r="C39" s="4" t="str">
        <f>VLOOKUP(População!A39,Ginecologia_dados!B:E,3,FALSE)</f>
        <v>TRIÂNGULO DO NORTE</v>
      </c>
      <c r="D39" s="4" t="str">
        <f>VLOOKUP(A39,Ginecologia_dados!B:C,2,FALSE)</f>
        <v>UBERLÂNDIA/ARAGUARI</v>
      </c>
      <c r="E39">
        <v>60568</v>
      </c>
    </row>
    <row r="40" spans="1:5" x14ac:dyDescent="0.3">
      <c r="A40" s="4">
        <v>310360</v>
      </c>
      <c r="B40" s="4" t="s">
        <v>78</v>
      </c>
      <c r="C40" s="4" t="str">
        <f>VLOOKUP(População!A40,Ginecologia_dados!B:E,3,FALSE)</f>
        <v>SUDESTE</v>
      </c>
      <c r="D40" s="4" t="str">
        <f>VLOOKUP(A40,Ginecologia_dados!B:C,2,FALSE)</f>
        <v>LIMA DUARTE</v>
      </c>
      <c r="E40">
        <v>1469</v>
      </c>
    </row>
    <row r="41" spans="1:5" x14ac:dyDescent="0.3">
      <c r="A41" s="4">
        <v>310370</v>
      </c>
      <c r="B41" s="4" t="s">
        <v>80</v>
      </c>
      <c r="C41" s="4" t="str">
        <f>VLOOKUP(População!A41,Ginecologia_dados!B:E,3,FALSE)</f>
        <v>LESTE DO SUL</v>
      </c>
      <c r="D41" s="4" t="str">
        <f>VLOOKUP(A41,Ginecologia_dados!B:C,2,FALSE)</f>
        <v>VIÇOSA</v>
      </c>
      <c r="E41">
        <v>4019</v>
      </c>
    </row>
    <row r="42" spans="1:5" x14ac:dyDescent="0.3">
      <c r="A42" s="4">
        <v>310375</v>
      </c>
      <c r="B42" s="4" t="s">
        <v>81</v>
      </c>
      <c r="C42" s="4" t="str">
        <f>VLOOKUP(População!A42,Ginecologia_dados!B:E,3,FALSE)</f>
        <v>TRIÂNGULO DO NORTE</v>
      </c>
      <c r="D42" s="4" t="str">
        <f>VLOOKUP(A42,Ginecologia_dados!B:C,2,FALSE)</f>
        <v>UBERLÂNDIA/ARAGUARI</v>
      </c>
      <c r="E42">
        <v>3939</v>
      </c>
    </row>
    <row r="43" spans="1:5" x14ac:dyDescent="0.3">
      <c r="A43" s="4">
        <v>310380</v>
      </c>
      <c r="B43" s="4" t="s">
        <v>84</v>
      </c>
      <c r="C43" s="4" t="str">
        <f>VLOOKUP(População!A43,Ginecologia_dados!B:E,3,FALSE)</f>
        <v>NOROESTE</v>
      </c>
      <c r="D43" s="4" t="str">
        <f>VLOOKUP(A43,Ginecologia_dados!B:C,2,FALSE)</f>
        <v>SÃO GOTARDO</v>
      </c>
      <c r="E43">
        <v>1342</v>
      </c>
    </row>
    <row r="44" spans="1:5" x14ac:dyDescent="0.3">
      <c r="A44" s="4">
        <v>310390</v>
      </c>
      <c r="B44" s="4" t="s">
        <v>86</v>
      </c>
      <c r="C44" s="4" t="str">
        <f>VLOOKUP(População!A44,Ginecologia_dados!B:E,3,FALSE)</f>
        <v>OESTE</v>
      </c>
      <c r="D44" s="4" t="str">
        <f>VLOOKUP(A44,Ginecologia_dados!B:C,2,FALSE)</f>
        <v>DIVINÓPOLIS</v>
      </c>
      <c r="E44">
        <v>4447</v>
      </c>
    </row>
    <row r="45" spans="1:5" x14ac:dyDescent="0.3">
      <c r="A45" s="4">
        <v>310400</v>
      </c>
      <c r="B45" s="4" t="s">
        <v>88</v>
      </c>
      <c r="C45" s="4" t="str">
        <f>VLOOKUP(População!A45,Ginecologia_dados!B:E,3,FALSE)</f>
        <v>TRIÂNGULO DO SUL</v>
      </c>
      <c r="D45" s="4" t="str">
        <f>VLOOKUP(A45,Ginecologia_dados!B:C,2,FALSE)</f>
        <v>ARAXÁ</v>
      </c>
      <c r="E45">
        <v>55303</v>
      </c>
    </row>
    <row r="46" spans="1:5" x14ac:dyDescent="0.3">
      <c r="A46" s="4">
        <v>310410</v>
      </c>
      <c r="B46" s="4" t="s">
        <v>90</v>
      </c>
      <c r="C46" s="4" t="str">
        <f>VLOOKUP(População!A46,Ginecologia_dados!B:E,3,FALSE)</f>
        <v>SUL</v>
      </c>
      <c r="D46" s="4" t="str">
        <f>VLOOKUP(A46,Ginecologia_dados!B:C,2,FALSE)</f>
        <v>GUAXUPÉ</v>
      </c>
      <c r="E46">
        <v>4728</v>
      </c>
    </row>
    <row r="47" spans="1:5" x14ac:dyDescent="0.3">
      <c r="A47" s="4">
        <v>310420</v>
      </c>
      <c r="B47" s="4" t="s">
        <v>92</v>
      </c>
      <c r="C47" s="4" t="str">
        <f>VLOOKUP(População!A47,Ginecologia_dados!B:E,3,FALSE)</f>
        <v>OESTE</v>
      </c>
      <c r="D47" s="4" t="str">
        <f>VLOOKUP(A47,Ginecologia_dados!B:C,2,FALSE)</f>
        <v>LAGOA DA PRATA/STO ANT. DO MONTE</v>
      </c>
      <c r="E47">
        <v>20612</v>
      </c>
    </row>
    <row r="48" spans="1:5" x14ac:dyDescent="0.3">
      <c r="A48" s="4">
        <v>310430</v>
      </c>
      <c r="B48" s="4" t="s">
        <v>93</v>
      </c>
      <c r="C48" s="4" t="str">
        <f>VLOOKUP(População!A48,Ginecologia_dados!B:E,3,FALSE)</f>
        <v>SUL</v>
      </c>
      <c r="D48" s="4" t="str">
        <f>VLOOKUP(A48,Ginecologia_dados!B:C,2,FALSE)</f>
        <v>ALFENAS/MACHADO</v>
      </c>
      <c r="E48">
        <v>7104</v>
      </c>
    </row>
    <row r="49" spans="1:5" x14ac:dyDescent="0.3">
      <c r="A49" s="4">
        <v>310440</v>
      </c>
      <c r="B49" s="4" t="s">
        <v>95</v>
      </c>
      <c r="C49" s="4" t="str">
        <f>VLOOKUP(População!A49,Ginecologia_dados!B:E,3,FALSE)</f>
        <v>SUDESTE</v>
      </c>
      <c r="D49" s="4" t="str">
        <f>VLOOKUP(A49,Ginecologia_dados!B:C,2,FALSE)</f>
        <v>LEOPOLDINA/CATAGUASES</v>
      </c>
      <c r="E49">
        <v>1375</v>
      </c>
    </row>
    <row r="50" spans="1:5" x14ac:dyDescent="0.3">
      <c r="A50" s="4">
        <v>310445</v>
      </c>
      <c r="B50" s="4" t="s">
        <v>97</v>
      </c>
      <c r="C50" s="4" t="str">
        <f>VLOOKUP(População!A50,Ginecologia_dados!B:E,3,FALSE)</f>
        <v>JEQUITINHONHA</v>
      </c>
      <c r="D50" s="4" t="str">
        <f>VLOOKUP(A50,Ginecologia_dados!B:C,2,FALSE)</f>
        <v>TURMALINA/MINAS NOVAS/CAPELINHA</v>
      </c>
      <c r="E50">
        <v>2393</v>
      </c>
    </row>
    <row r="51" spans="1:5" x14ac:dyDescent="0.3">
      <c r="A51" s="4">
        <v>310450</v>
      </c>
      <c r="B51" s="4" t="s">
        <v>99</v>
      </c>
      <c r="C51" s="4" t="str">
        <f>VLOOKUP(População!A51,Ginecologia_dados!B:E,3,FALSE)</f>
        <v>NOROESTE</v>
      </c>
      <c r="D51" s="4" t="str">
        <f>VLOOKUP(A51,Ginecologia_dados!B:C,2,FALSE)</f>
        <v>UNAÍ</v>
      </c>
      <c r="E51">
        <v>8716</v>
      </c>
    </row>
    <row r="52" spans="1:5" x14ac:dyDescent="0.3">
      <c r="A52" s="4">
        <v>310460</v>
      </c>
      <c r="B52" s="4" t="s">
        <v>100</v>
      </c>
      <c r="C52" s="4" t="str">
        <f>VLOOKUP(População!A52,Ginecologia_dados!B:E,3,FALSE)</f>
        <v>SUDESTE</v>
      </c>
      <c r="D52" s="4" t="str">
        <f>VLOOKUP(A52,Ginecologia_dados!B:C,2,FALSE)</f>
        <v>LEOPOLDINA/CATAGUASES</v>
      </c>
      <c r="E52">
        <v>7030</v>
      </c>
    </row>
    <row r="53" spans="1:5" x14ac:dyDescent="0.3">
      <c r="A53" s="4">
        <v>310470</v>
      </c>
      <c r="B53" s="4" t="s">
        <v>101</v>
      </c>
      <c r="C53" s="4" t="str">
        <f>VLOOKUP(População!A53,Ginecologia_dados!B:E,3,FALSE)</f>
        <v>NORDESTE</v>
      </c>
      <c r="D53" s="4" t="str">
        <f>VLOOKUP(A53,Ginecologia_dados!B:C,2,FALSE)</f>
        <v>TEÓFILO OTONI/MALACACHETA</v>
      </c>
      <c r="E53">
        <v>6988</v>
      </c>
    </row>
    <row r="54" spans="1:5" x14ac:dyDescent="0.3">
      <c r="A54" s="4">
        <v>310480</v>
      </c>
      <c r="B54" s="4" t="s">
        <v>103</v>
      </c>
      <c r="C54" s="4" t="str">
        <f>VLOOKUP(População!A54,Ginecologia_dados!B:E,3,FALSE)</f>
        <v>CENTRO</v>
      </c>
      <c r="D54" s="4" t="str">
        <f>VLOOKUP(A54,Ginecologia_dados!B:C,2,FALSE)</f>
        <v>CURVELO</v>
      </c>
      <c r="E54">
        <v>2332</v>
      </c>
    </row>
    <row r="55" spans="1:5" x14ac:dyDescent="0.3">
      <c r="A55" s="4">
        <v>310490</v>
      </c>
      <c r="B55" s="4" t="s">
        <v>104</v>
      </c>
      <c r="C55" s="4" t="str">
        <f>VLOOKUP(População!A55,Ginecologia_dados!B:E,3,FALSE)</f>
        <v>SUL</v>
      </c>
      <c r="D55" s="4" t="str">
        <f>VLOOKUP(A55,Ginecologia_dados!B:C,2,FALSE)</f>
        <v>SÃO LOURENÇO</v>
      </c>
      <c r="E55">
        <v>9326</v>
      </c>
    </row>
    <row r="56" spans="1:5" x14ac:dyDescent="0.3">
      <c r="A56" s="4">
        <v>310500</v>
      </c>
      <c r="B56" s="4" t="s">
        <v>105</v>
      </c>
      <c r="C56" s="4" t="str">
        <f>VLOOKUP(População!A56,Ginecologia_dados!B:E,3,FALSE)</f>
        <v>CENTRO</v>
      </c>
      <c r="D56" s="4" t="str">
        <f>VLOOKUP(A56,Ginecologia_dados!B:C,2,FALSE)</f>
        <v>SETE LAGOAS</v>
      </c>
      <c r="E56">
        <v>3930</v>
      </c>
    </row>
    <row r="57" spans="1:5" x14ac:dyDescent="0.3">
      <c r="A57" s="4">
        <v>310510</v>
      </c>
      <c r="B57" s="4" t="s">
        <v>107</v>
      </c>
      <c r="C57" s="4" t="str">
        <f>VLOOKUP(População!A57,Ginecologia_dados!B:E,3,FALSE)</f>
        <v>OESTE</v>
      </c>
      <c r="D57" s="4" t="str">
        <f>VLOOKUP(A57,Ginecologia_dados!B:C,2,FALSE)</f>
        <v>FORMIGA</v>
      </c>
      <c r="E57">
        <v>12011</v>
      </c>
    </row>
    <row r="58" spans="1:5" x14ac:dyDescent="0.3">
      <c r="A58" s="4">
        <v>310520</v>
      </c>
      <c r="B58" s="4" t="s">
        <v>108</v>
      </c>
      <c r="C58" s="4" t="str">
        <f>VLOOKUP(População!A58,Ginecologia_dados!B:E,3,FALSE)</f>
        <v>NORDESTE</v>
      </c>
      <c r="D58" s="4" t="str">
        <f>VLOOKUP(A58,Ginecologia_dados!B:C,2,FALSE)</f>
        <v>ALMENARA/JACINTO</v>
      </c>
      <c r="E58">
        <v>2370</v>
      </c>
    </row>
    <row r="59" spans="1:5" x14ac:dyDescent="0.3">
      <c r="A59" s="4">
        <v>310530</v>
      </c>
      <c r="B59" s="4" t="s">
        <v>109</v>
      </c>
      <c r="C59" s="4" t="str">
        <f>VLOOKUP(População!A59,Ginecologia_dados!B:E,3,FALSE)</f>
        <v>SUL</v>
      </c>
      <c r="D59" s="4" t="str">
        <f>VLOOKUP(A59,Ginecologia_dados!B:C,2,FALSE)</f>
        <v>ALFENAS/MACHADO</v>
      </c>
      <c r="E59">
        <v>2937</v>
      </c>
    </row>
    <row r="60" spans="1:5" x14ac:dyDescent="0.3">
      <c r="A60" s="4">
        <v>310540</v>
      </c>
      <c r="B60" s="4" t="s">
        <v>111</v>
      </c>
      <c r="C60" s="4" t="str">
        <f>VLOOKUP(População!A60,Ginecologia_dados!B:E,3,FALSE)</f>
        <v>CENTRO</v>
      </c>
      <c r="D60" s="4" t="str">
        <f>VLOOKUP(A60,Ginecologia_dados!B:C,2,FALSE)</f>
        <v>ITABIRA</v>
      </c>
      <c r="E60">
        <v>15756</v>
      </c>
    </row>
    <row r="61" spans="1:5" x14ac:dyDescent="0.3">
      <c r="A61" s="4">
        <v>310550</v>
      </c>
      <c r="B61" s="4" t="s">
        <v>112</v>
      </c>
      <c r="C61" s="4" t="str">
        <f>VLOOKUP(População!A61,Ginecologia_dados!B:E,3,FALSE)</f>
        <v>SUDESTE</v>
      </c>
      <c r="D61" s="4" t="str">
        <f>VLOOKUP(A61,Ginecologia_dados!B:C,2,FALSE)</f>
        <v>MURIAÉ</v>
      </c>
      <c r="E61">
        <v>2624</v>
      </c>
    </row>
    <row r="62" spans="1:5" x14ac:dyDescent="0.3">
      <c r="A62" s="4">
        <v>310560</v>
      </c>
      <c r="B62" s="4" t="s">
        <v>43</v>
      </c>
      <c r="C62" s="4" t="str">
        <f>VLOOKUP(População!A62,Ginecologia_dados!B:E,3,FALSE)</f>
        <v>CENTRO SUL</v>
      </c>
      <c r="D62" s="4" t="str">
        <f>VLOOKUP(A62,Ginecologia_dados!B:C,2,FALSE)</f>
        <v>BARBACENA</v>
      </c>
      <c r="E62">
        <v>67927</v>
      </c>
    </row>
    <row r="63" spans="1:5" x14ac:dyDescent="0.3">
      <c r="A63" s="4">
        <v>310570</v>
      </c>
      <c r="B63" s="4" t="s">
        <v>113</v>
      </c>
      <c r="C63" s="4" t="str">
        <f>VLOOKUP(População!A63,Ginecologia_dados!B:E,3,FALSE)</f>
        <v>LESTE DO SUL</v>
      </c>
      <c r="D63" s="4" t="str">
        <f>VLOOKUP(A63,Ginecologia_dados!B:C,2,FALSE)</f>
        <v>PONTE NOVA</v>
      </c>
      <c r="E63">
        <v>2979</v>
      </c>
    </row>
    <row r="64" spans="1:5" x14ac:dyDescent="0.3">
      <c r="A64" s="4">
        <v>310590</v>
      </c>
      <c r="B64" s="4" t="s">
        <v>115</v>
      </c>
      <c r="C64" s="4" t="str">
        <f>VLOOKUP(População!A64,Ginecologia_dados!B:E,3,FALSE)</f>
        <v>CENTRO SUL</v>
      </c>
      <c r="D64" s="4" t="str">
        <f>VLOOKUP(A64,Ginecologia_dados!B:C,2,FALSE)</f>
        <v>SÃO JOÃO DEL REI</v>
      </c>
      <c r="E64">
        <v>10451</v>
      </c>
    </row>
    <row r="65" spans="1:5" x14ac:dyDescent="0.3">
      <c r="A65" s="4">
        <v>310600</v>
      </c>
      <c r="B65" s="4" t="s">
        <v>117</v>
      </c>
      <c r="C65" s="4" t="str">
        <f>VLOOKUP(População!A65,Ginecologia_dados!B:E,3,FALSE)</f>
        <v>CENTRO</v>
      </c>
      <c r="D65" s="4" t="str">
        <f>VLOOKUP(A65,Ginecologia_dados!B:C,2,FALSE)</f>
        <v>JOÃO MONLEVADE</v>
      </c>
      <c r="E65">
        <v>5395</v>
      </c>
    </row>
    <row r="66" spans="1:5" x14ac:dyDescent="0.3">
      <c r="A66" s="4">
        <v>310610</v>
      </c>
      <c r="B66" s="4" t="s">
        <v>119</v>
      </c>
      <c r="C66" s="4" t="str">
        <f>VLOOKUP(População!A66,Ginecologia_dados!B:E,3,FALSE)</f>
        <v>SUDESTE</v>
      </c>
      <c r="D66" s="4" t="str">
        <f>VLOOKUP(A66,Ginecologia_dados!B:C,2,FALSE)</f>
        <v>JUIZ DE FORA</v>
      </c>
      <c r="E66">
        <v>1672</v>
      </c>
    </row>
    <row r="67" spans="1:5" x14ac:dyDescent="0.3">
      <c r="A67" s="4">
        <v>310620</v>
      </c>
      <c r="B67" s="4" t="s">
        <v>121</v>
      </c>
      <c r="C67" s="4" t="str">
        <f>VLOOKUP(População!A67,Ginecologia_dados!B:E,3,FALSE)</f>
        <v>CENTRO</v>
      </c>
      <c r="D67" s="4" t="str">
        <f>VLOOKUP(A67,Ginecologia_dados!B:C,2,FALSE)</f>
        <v>BELO HORIZONTE/NOVA LIMA/CAETÉ</v>
      </c>
      <c r="E67">
        <v>1300299</v>
      </c>
    </row>
    <row r="68" spans="1:5" x14ac:dyDescent="0.3">
      <c r="A68" s="4">
        <v>310630</v>
      </c>
      <c r="B68" s="4" t="s">
        <v>122</v>
      </c>
      <c r="C68" s="4" t="str">
        <f>VLOOKUP(População!A68,Ginecologia_dados!B:E,3,FALSE)</f>
        <v>VALE DO AÇO</v>
      </c>
      <c r="D68" s="4" t="str">
        <f>VLOOKUP(A68,Ginecologia_dados!B:C,2,FALSE)</f>
        <v>IPATINGA</v>
      </c>
      <c r="E68">
        <v>12190</v>
      </c>
    </row>
    <row r="69" spans="1:5" x14ac:dyDescent="0.3">
      <c r="A69" s="4">
        <v>310640</v>
      </c>
      <c r="B69" s="4" t="s">
        <v>123</v>
      </c>
      <c r="C69" s="4" t="str">
        <f>VLOOKUP(População!A69,Ginecologia_dados!B:E,3,FALSE)</f>
        <v>CENTRO</v>
      </c>
      <c r="D69" s="4" t="str">
        <f>VLOOKUP(A69,Ginecologia_dados!B:C,2,FALSE)</f>
        <v>BELO HORIZONTE/NOVA LIMA/CAETÉ</v>
      </c>
      <c r="E69">
        <v>4196</v>
      </c>
    </row>
    <row r="70" spans="1:5" x14ac:dyDescent="0.3">
      <c r="A70" s="4">
        <v>310650</v>
      </c>
      <c r="B70" s="4" t="s">
        <v>124</v>
      </c>
      <c r="C70" s="4" t="str">
        <f>VLOOKUP(População!A70,Ginecologia_dados!B:E,3,FALSE)</f>
        <v>JEQUITINHONHA</v>
      </c>
      <c r="D70" s="4" t="str">
        <f>VLOOKUP(A70,Ginecologia_dados!B:C,2,FALSE)</f>
        <v>ARAÇUAÍ</v>
      </c>
      <c r="E70">
        <v>5279</v>
      </c>
    </row>
    <row r="71" spans="1:5" x14ac:dyDescent="0.3">
      <c r="A71" s="4">
        <v>310660</v>
      </c>
      <c r="B71" s="4" t="s">
        <v>125</v>
      </c>
      <c r="C71" s="4" t="str">
        <f>VLOOKUP(População!A71,Ginecologia_dados!B:E,3,FALSE)</f>
        <v>NORDESTE</v>
      </c>
      <c r="D71" s="4" t="str">
        <f>VLOOKUP(A71,Ginecologia_dados!B:C,2,FALSE)</f>
        <v>ÁGUAS FORMOSAS</v>
      </c>
      <c r="E71">
        <v>2196</v>
      </c>
    </row>
    <row r="72" spans="1:5" x14ac:dyDescent="0.3">
      <c r="A72" s="4">
        <v>310665</v>
      </c>
      <c r="B72" s="4" t="s">
        <v>128</v>
      </c>
      <c r="C72" s="4" t="str">
        <f>VLOOKUP(População!A72,Ginecologia_dados!B:E,3,FALSE)</f>
        <v>NORTE</v>
      </c>
      <c r="D72" s="4" t="str">
        <f>VLOOKUP(A72,Ginecologia_dados!B:C,2,FALSE)</f>
        <v>TAIOBEIRAS</v>
      </c>
      <c r="E72">
        <v>2165</v>
      </c>
    </row>
    <row r="73" spans="1:5" x14ac:dyDescent="0.3">
      <c r="A73" s="4">
        <v>310670</v>
      </c>
      <c r="B73" s="4" t="s">
        <v>129</v>
      </c>
      <c r="C73" s="4" t="str">
        <f>VLOOKUP(População!A73,Ginecologia_dados!B:E,3,FALSE)</f>
        <v>CENTRO</v>
      </c>
      <c r="D73" s="4" t="str">
        <f>VLOOKUP(A73,Ginecologia_dados!B:C,2,FALSE)</f>
        <v>BETIM</v>
      </c>
      <c r="E73">
        <v>212668</v>
      </c>
    </row>
    <row r="74" spans="1:5" x14ac:dyDescent="0.3">
      <c r="A74" s="4">
        <v>310680</v>
      </c>
      <c r="B74" s="4" t="s">
        <v>130</v>
      </c>
      <c r="C74" s="4" t="str">
        <f>VLOOKUP(População!A74,Ginecologia_dados!B:E,3,FALSE)</f>
        <v>SUDESTE</v>
      </c>
      <c r="D74" s="4" t="str">
        <f>VLOOKUP(A74,Ginecologia_dados!B:C,2,FALSE)</f>
        <v>LIMA DUARTE</v>
      </c>
      <c r="E74">
        <v>1681</v>
      </c>
    </row>
    <row r="75" spans="1:5" x14ac:dyDescent="0.3">
      <c r="A75" s="4">
        <v>310690</v>
      </c>
      <c r="B75" s="4" t="s">
        <v>132</v>
      </c>
      <c r="C75" s="4" t="str">
        <f>VLOOKUP(População!A75,Ginecologia_dados!B:E,3,FALSE)</f>
        <v>SUDESTE</v>
      </c>
      <c r="D75" s="4" t="str">
        <f>VLOOKUP(A75,Ginecologia_dados!B:C,2,FALSE)</f>
        <v>SÃO JOÃO NEPOMUCENO/BICAS</v>
      </c>
      <c r="E75">
        <v>7401</v>
      </c>
    </row>
    <row r="76" spans="1:5" x14ac:dyDescent="0.3">
      <c r="A76" s="4">
        <v>310700</v>
      </c>
      <c r="B76" s="4" t="s">
        <v>133</v>
      </c>
      <c r="C76" s="4" t="str">
        <f>VLOOKUP(População!A76,Ginecologia_dados!B:E,3,FALSE)</f>
        <v>CENTRO</v>
      </c>
      <c r="D76" s="4" t="str">
        <f>VLOOKUP(A76,Ginecologia_dados!B:C,2,FALSE)</f>
        <v>SETE LAGOAS</v>
      </c>
      <c r="E76">
        <v>1251</v>
      </c>
    </row>
    <row r="77" spans="1:5" x14ac:dyDescent="0.3">
      <c r="A77" s="4">
        <v>310710</v>
      </c>
      <c r="B77" s="4" t="s">
        <v>135</v>
      </c>
      <c r="C77" s="4" t="str">
        <f>VLOOKUP(População!A77,Ginecologia_dados!B:E,3,FALSE)</f>
        <v>SUL</v>
      </c>
      <c r="D77" s="4" t="str">
        <f>VLOOKUP(A77,Ginecologia_dados!B:C,2,FALSE)</f>
        <v>TRÊS PONTAS</v>
      </c>
      <c r="E77">
        <v>20435</v>
      </c>
    </row>
    <row r="78" spans="1:5" x14ac:dyDescent="0.3">
      <c r="A78" s="4">
        <v>310720</v>
      </c>
      <c r="B78" s="4" t="s">
        <v>136</v>
      </c>
      <c r="C78" s="4" t="str">
        <f>VLOOKUP(População!A78,Ginecologia_dados!B:E,3,FALSE)</f>
        <v>SUDESTE</v>
      </c>
      <c r="D78" s="4" t="str">
        <f>VLOOKUP(A78,Ginecologia_dados!B:C,2,FALSE)</f>
        <v>LIMA DUARTE</v>
      </c>
      <c r="E78">
        <v>2546</v>
      </c>
    </row>
    <row r="79" spans="1:5" x14ac:dyDescent="0.3">
      <c r="A79" s="4">
        <v>310730</v>
      </c>
      <c r="B79" s="4" t="s">
        <v>138</v>
      </c>
      <c r="C79" s="4" t="str">
        <f>VLOOKUP(População!A79,Ginecologia_dados!B:E,3,FALSE)</f>
        <v>NORTE</v>
      </c>
      <c r="D79" s="4" t="str">
        <f>VLOOKUP(A79,Ginecologia_dados!B:C,2,FALSE)</f>
        <v>BOCAIÚVA</v>
      </c>
      <c r="E79">
        <v>24659</v>
      </c>
    </row>
    <row r="80" spans="1:5" x14ac:dyDescent="0.3">
      <c r="A80" s="4">
        <v>310740</v>
      </c>
      <c r="B80" s="4" t="s">
        <v>139</v>
      </c>
      <c r="C80" s="4" t="str">
        <f>VLOOKUP(População!A80,Ginecologia_dados!B:E,3,FALSE)</f>
        <v>OESTE</v>
      </c>
      <c r="D80" s="4" t="str">
        <f>VLOOKUP(A80,Ginecologia_dados!B:C,2,FALSE)</f>
        <v>BOM DESPACHO</v>
      </c>
      <c r="E80">
        <v>25920</v>
      </c>
    </row>
    <row r="81" spans="1:5" x14ac:dyDescent="0.3">
      <c r="A81" s="4">
        <v>310750</v>
      </c>
      <c r="B81" s="4" t="s">
        <v>140</v>
      </c>
      <c r="C81" s="4" t="str">
        <f>VLOOKUP(População!A81,Ginecologia_dados!B:E,3,FALSE)</f>
        <v>SUDESTE</v>
      </c>
      <c r="D81" s="4" t="str">
        <f>VLOOKUP(A81,Ginecologia_dados!B:C,2,FALSE)</f>
        <v>LIMA DUARTE</v>
      </c>
      <c r="E81">
        <v>3443</v>
      </c>
    </row>
    <row r="82" spans="1:5" x14ac:dyDescent="0.3">
      <c r="A82" s="4">
        <v>310760</v>
      </c>
      <c r="B82" s="4" t="s">
        <v>141</v>
      </c>
      <c r="C82" s="4" t="str">
        <f>VLOOKUP(População!A82,Ginecologia_dados!B:E,3,FALSE)</f>
        <v>SUL</v>
      </c>
      <c r="D82" s="4" t="str">
        <f>VLOOKUP(A82,Ginecologia_dados!B:C,2,FALSE)</f>
        <v>PASSOS</v>
      </c>
      <c r="E82">
        <v>2144</v>
      </c>
    </row>
    <row r="83" spans="1:5" x14ac:dyDescent="0.3">
      <c r="A83" s="4">
        <v>310770</v>
      </c>
      <c r="B83" s="4" t="s">
        <v>142</v>
      </c>
      <c r="C83" s="4" t="str">
        <f>VLOOKUP(População!A83,Ginecologia_dados!B:E,3,FALSE)</f>
        <v>CENTRO</v>
      </c>
      <c r="D83" s="4" t="str">
        <f>VLOOKUP(A83,Ginecologia_dados!B:C,2,FALSE)</f>
        <v>ITABIRA</v>
      </c>
      <c r="E83">
        <v>2873</v>
      </c>
    </row>
    <row r="84" spans="1:5" x14ac:dyDescent="0.3">
      <c r="A84" s="4">
        <v>310780</v>
      </c>
      <c r="B84" s="4" t="s">
        <v>144</v>
      </c>
      <c r="C84" s="4" t="str">
        <f>VLOOKUP(População!A84,Ginecologia_dados!B:E,3,FALSE)</f>
        <v>VALE DO AÇO</v>
      </c>
      <c r="D84" s="4" t="str">
        <f>VLOOKUP(A84,Ginecologia_dados!B:C,2,FALSE)</f>
        <v>CARATINGA</v>
      </c>
      <c r="E84">
        <v>7398</v>
      </c>
    </row>
    <row r="85" spans="1:5" x14ac:dyDescent="0.3">
      <c r="A85" s="4">
        <v>310790</v>
      </c>
      <c r="B85" s="4" t="s">
        <v>146</v>
      </c>
      <c r="C85" s="4" t="str">
        <f>VLOOKUP(População!A85,Ginecologia_dados!B:E,3,FALSE)</f>
        <v>SUL</v>
      </c>
      <c r="D85" s="4" t="str">
        <f>VLOOKUP(A85,Ginecologia_dados!B:C,2,FALSE)</f>
        <v>POUSO ALEGRE</v>
      </c>
      <c r="E85">
        <v>5842</v>
      </c>
    </row>
    <row r="86" spans="1:5" x14ac:dyDescent="0.3">
      <c r="A86" s="4">
        <v>310800</v>
      </c>
      <c r="B86" s="4" t="s">
        <v>147</v>
      </c>
      <c r="C86" s="4" t="str">
        <f>VLOOKUP(População!A86,Ginecologia_dados!B:E,3,FALSE)</f>
        <v>CENTRO SUL</v>
      </c>
      <c r="D86" s="4" t="str">
        <f>VLOOKUP(A86,Ginecologia_dados!B:C,2,FALSE)</f>
        <v>SÃO JOÃO DEL REI</v>
      </c>
      <c r="E86">
        <v>8860</v>
      </c>
    </row>
    <row r="87" spans="1:5" x14ac:dyDescent="0.3">
      <c r="A87" s="4">
        <v>310810</v>
      </c>
      <c r="B87" s="4" t="s">
        <v>148</v>
      </c>
      <c r="C87" s="4" t="str">
        <f>VLOOKUP(População!A87,Ginecologia_dados!B:E,3,FALSE)</f>
        <v>CENTRO</v>
      </c>
      <c r="D87" s="4" t="str">
        <f>VLOOKUP(A87,Ginecologia_dados!B:C,2,FALSE)</f>
        <v>BETIM</v>
      </c>
      <c r="E87">
        <v>3686</v>
      </c>
    </row>
    <row r="88" spans="1:5" x14ac:dyDescent="0.3">
      <c r="A88" s="4">
        <v>310820</v>
      </c>
      <c r="B88" s="4" t="s">
        <v>149</v>
      </c>
      <c r="C88" s="4" t="str">
        <f>VLOOKUP(População!A88,Ginecologia_dados!B:E,3,FALSE)</f>
        <v>NOROESTE</v>
      </c>
      <c r="D88" s="4" t="str">
        <f>VLOOKUP(A88,Ginecologia_dados!B:C,2,FALSE)</f>
        <v>UNAÍ</v>
      </c>
      <c r="E88">
        <v>2816</v>
      </c>
    </row>
    <row r="89" spans="1:5" x14ac:dyDescent="0.3">
      <c r="A89" s="4">
        <v>310825</v>
      </c>
      <c r="B89" s="4" t="s">
        <v>151</v>
      </c>
      <c r="C89" s="4" t="str">
        <f>VLOOKUP(População!A89,Ginecologia_dados!B:E,3,FALSE)</f>
        <v>NORTE</v>
      </c>
      <c r="D89" s="4" t="str">
        <f>VLOOKUP(A89,Ginecologia_dados!B:C,2,FALSE)</f>
        <v>JANUÁRIA</v>
      </c>
      <c r="E89">
        <v>4999</v>
      </c>
    </row>
    <row r="90" spans="1:5" x14ac:dyDescent="0.3">
      <c r="A90" s="4">
        <v>310830</v>
      </c>
      <c r="B90" s="4" t="s">
        <v>152</v>
      </c>
      <c r="C90" s="4" t="str">
        <f>VLOOKUP(População!A90,Ginecologia_dados!B:E,3,FALSE)</f>
        <v>SUL</v>
      </c>
      <c r="D90" s="4" t="str">
        <f>VLOOKUP(A90,Ginecologia_dados!B:C,2,FALSE)</f>
        <v>POUSO ALEGRE</v>
      </c>
      <c r="E90">
        <v>8736</v>
      </c>
    </row>
    <row r="91" spans="1:5" x14ac:dyDescent="0.3">
      <c r="A91" s="4">
        <v>310840</v>
      </c>
      <c r="B91" s="4" t="s">
        <v>153</v>
      </c>
      <c r="C91" s="4" t="str">
        <f>VLOOKUP(População!A91,Ginecologia_dados!B:E,3,FALSE)</f>
        <v>SUL</v>
      </c>
      <c r="D91" s="4" t="str">
        <f>VLOOKUP(A91,Ginecologia_dados!B:C,2,FALSE)</f>
        <v>ALFENAS/MACHADO</v>
      </c>
      <c r="E91">
        <v>7614</v>
      </c>
    </row>
    <row r="92" spans="1:5" x14ac:dyDescent="0.3">
      <c r="A92" s="4">
        <v>310850</v>
      </c>
      <c r="B92" s="4" t="s">
        <v>155</v>
      </c>
      <c r="C92" s="4" t="str">
        <f>VLOOKUP(População!A92,Ginecologia_dados!B:E,3,FALSE)</f>
        <v>NORTE</v>
      </c>
      <c r="D92" s="4" t="str">
        <f>VLOOKUP(A92,Ginecologia_dados!B:C,2,FALSE)</f>
        <v>FRANCISCO SÁ</v>
      </c>
      <c r="E92">
        <v>2907</v>
      </c>
    </row>
    <row r="93" spans="1:5" x14ac:dyDescent="0.3">
      <c r="A93" s="4">
        <v>310855</v>
      </c>
      <c r="B93" s="4" t="s">
        <v>157</v>
      </c>
      <c r="C93" s="4" t="str">
        <f>VLOOKUP(População!A93,Ginecologia_dados!B:E,3,FALSE)</f>
        <v>NOROESTE</v>
      </c>
      <c r="D93" s="4" t="str">
        <f>VLOOKUP(A93,Ginecologia_dados!B:C,2,FALSE)</f>
        <v>JOÃO PINHEIRO</v>
      </c>
      <c r="E93">
        <v>7358</v>
      </c>
    </row>
    <row r="94" spans="1:5" x14ac:dyDescent="0.3">
      <c r="A94" s="4">
        <v>310860</v>
      </c>
      <c r="B94" s="4" t="s">
        <v>159</v>
      </c>
      <c r="C94" s="4" t="str">
        <f>VLOOKUP(População!A94,Ginecologia_dados!B:E,3,FALSE)</f>
        <v>NORTE</v>
      </c>
      <c r="D94" s="4" t="str">
        <f>VLOOKUP(A94,Ginecologia_dados!B:C,2,FALSE)</f>
        <v>BRASÍLIA DE MINAS/SÃO FRANCISCO</v>
      </c>
      <c r="E94">
        <v>16474</v>
      </c>
    </row>
    <row r="95" spans="1:5" x14ac:dyDescent="0.3">
      <c r="A95" s="4">
        <v>310870</v>
      </c>
      <c r="B95" s="4" t="s">
        <v>161</v>
      </c>
      <c r="C95" s="4" t="str">
        <f>VLOOKUP(População!A95,Ginecologia_dados!B:E,3,FALSE)</f>
        <v>SUDESTE</v>
      </c>
      <c r="D95" s="4" t="str">
        <f>VLOOKUP(A95,Ginecologia_dados!B:C,2,FALSE)</f>
        <v>UBÁ</v>
      </c>
      <c r="E95">
        <v>2237</v>
      </c>
    </row>
    <row r="96" spans="1:5" x14ac:dyDescent="0.3">
      <c r="A96" s="4">
        <v>310880</v>
      </c>
      <c r="B96" s="4" t="s">
        <v>162</v>
      </c>
      <c r="C96" s="4" t="str">
        <f>VLOOKUP(População!A96,Ginecologia_dados!B:E,3,FALSE)</f>
        <v>VALE DO AÇO</v>
      </c>
      <c r="D96" s="4" t="str">
        <f>VLOOKUP(A96,Ginecologia_dados!B:C,2,FALSE)</f>
        <v>IPATINGA</v>
      </c>
      <c r="E96">
        <v>2362</v>
      </c>
    </row>
    <row r="97" spans="1:5" x14ac:dyDescent="0.3">
      <c r="A97" s="4">
        <v>310890</v>
      </c>
      <c r="B97" s="4" t="s">
        <v>164</v>
      </c>
      <c r="C97" s="4" t="str">
        <f>VLOOKUP(População!A97,Ginecologia_dados!B:E,3,FALSE)</f>
        <v>SUL</v>
      </c>
      <c r="D97" s="4" t="str">
        <f>VLOOKUP(A97,Ginecologia_dados!B:C,2,FALSE)</f>
        <v>ITAJUBÁ</v>
      </c>
      <c r="E97">
        <v>7267</v>
      </c>
    </row>
    <row r="98" spans="1:5" x14ac:dyDescent="0.3">
      <c r="A98" s="4">
        <v>310900</v>
      </c>
      <c r="B98" s="4" t="s">
        <v>165</v>
      </c>
      <c r="C98" s="4" t="str">
        <f>VLOOKUP(População!A98,Ginecologia_dados!B:E,3,FALSE)</f>
        <v>CENTRO</v>
      </c>
      <c r="D98" s="4" t="str">
        <f>VLOOKUP(A98,Ginecologia_dados!B:C,2,FALSE)</f>
        <v>BETIM</v>
      </c>
      <c r="E98">
        <v>19225</v>
      </c>
    </row>
    <row r="99" spans="1:5" x14ac:dyDescent="0.3">
      <c r="A99" s="4">
        <v>310910</v>
      </c>
      <c r="B99" s="4" t="s">
        <v>166</v>
      </c>
      <c r="C99" s="4" t="str">
        <f>VLOOKUP(População!A99,Ginecologia_dados!B:E,3,FALSE)</f>
        <v>SUL</v>
      </c>
      <c r="D99" s="4" t="str">
        <f>VLOOKUP(A99,Ginecologia_dados!B:C,2,FALSE)</f>
        <v>POUSO ALEGRE</v>
      </c>
      <c r="E99">
        <v>5412</v>
      </c>
    </row>
    <row r="100" spans="1:5" x14ac:dyDescent="0.3">
      <c r="A100" s="4">
        <v>310920</v>
      </c>
      <c r="B100" s="4" t="s">
        <v>167</v>
      </c>
      <c r="C100" s="4" t="str">
        <f>VLOOKUP(População!A100,Ginecologia_dados!B:E,3,FALSE)</f>
        <v>CENTRO</v>
      </c>
      <c r="D100" s="4" t="str">
        <f>VLOOKUP(A100,Ginecologia_dados!B:C,2,FALSE)</f>
        <v>CURVELO</v>
      </c>
      <c r="E100">
        <v>4858</v>
      </c>
    </row>
    <row r="101" spans="1:5" x14ac:dyDescent="0.3">
      <c r="A101" s="4">
        <v>310925</v>
      </c>
      <c r="B101" s="4" t="s">
        <v>168</v>
      </c>
      <c r="C101" s="4" t="str">
        <f>VLOOKUP(População!A101,Ginecologia_dados!B:E,3,FALSE)</f>
        <v>VALE DO AÇO</v>
      </c>
      <c r="D101" s="4" t="str">
        <f>VLOOKUP(A101,Ginecologia_dados!B:C,2,FALSE)</f>
        <v>IPATINGA</v>
      </c>
      <c r="E101">
        <v>2009</v>
      </c>
    </row>
    <row r="102" spans="1:5" x14ac:dyDescent="0.3">
      <c r="A102" s="4">
        <v>310930</v>
      </c>
      <c r="B102" s="4" t="s">
        <v>169</v>
      </c>
      <c r="C102" s="4" t="str">
        <f>VLOOKUP(População!A102,Ginecologia_dados!B:E,3,FALSE)</f>
        <v>NOROESTE</v>
      </c>
      <c r="D102" s="4" t="str">
        <f>VLOOKUP(A102,Ginecologia_dados!B:C,2,FALSE)</f>
        <v>UNAÍ</v>
      </c>
      <c r="E102">
        <v>11983</v>
      </c>
    </row>
    <row r="103" spans="1:5" x14ac:dyDescent="0.3">
      <c r="A103" s="4">
        <v>310940</v>
      </c>
      <c r="B103" s="4" t="s">
        <v>171</v>
      </c>
      <c r="C103" s="4" t="str">
        <f>VLOOKUP(População!A103,Ginecologia_dados!B:E,3,FALSE)</f>
        <v>NORTE</v>
      </c>
      <c r="D103" s="4" t="str">
        <f>VLOOKUP(A103,Ginecologia_dados!B:C,2,FALSE)</f>
        <v>PIRAPORA</v>
      </c>
      <c r="E103">
        <v>12677</v>
      </c>
    </row>
    <row r="104" spans="1:5" x14ac:dyDescent="0.3">
      <c r="A104" s="4">
        <v>310945</v>
      </c>
      <c r="B104" s="4" t="s">
        <v>172</v>
      </c>
      <c r="C104" s="4" t="str">
        <f>VLOOKUP(População!A104,Ginecologia_dados!B:E,3,FALSE)</f>
        <v>NOROESTE</v>
      </c>
      <c r="D104" s="4" t="str">
        <f>VLOOKUP(A104,Ginecologia_dados!B:C,2,FALSE)</f>
        <v>UNAÍ</v>
      </c>
      <c r="E104">
        <v>3268</v>
      </c>
    </row>
    <row r="105" spans="1:5" x14ac:dyDescent="0.3">
      <c r="A105" s="4">
        <v>310950</v>
      </c>
      <c r="B105" s="4" t="s">
        <v>173</v>
      </c>
      <c r="C105" s="4" t="str">
        <f>VLOOKUP(População!A105,Ginecologia_dados!B:E,3,FALSE)</f>
        <v>SUL</v>
      </c>
      <c r="D105" s="4" t="str">
        <f>VLOOKUP(A105,Ginecologia_dados!B:C,2,FALSE)</f>
        <v>GUAXUPÉ</v>
      </c>
      <c r="E105">
        <v>5825</v>
      </c>
    </row>
    <row r="106" spans="1:5" x14ac:dyDescent="0.3">
      <c r="A106" s="4">
        <v>310960</v>
      </c>
      <c r="B106" s="4" t="s">
        <v>174</v>
      </c>
      <c r="C106" s="4" t="str">
        <f>VLOOKUP(População!A106,Ginecologia_dados!B:E,3,FALSE)</f>
        <v>CENTRO</v>
      </c>
      <c r="D106" s="4" t="str">
        <f>VLOOKUP(A106,Ginecologia_dados!B:C,2,FALSE)</f>
        <v>SETE LAGOAS</v>
      </c>
      <c r="E106">
        <v>1983</v>
      </c>
    </row>
    <row r="107" spans="1:5" x14ac:dyDescent="0.3">
      <c r="A107" s="4">
        <v>310970</v>
      </c>
      <c r="B107" s="4" t="s">
        <v>175</v>
      </c>
      <c r="C107" s="4" t="str">
        <f>VLOOKUP(População!A107,Ginecologia_dados!B:E,3,FALSE)</f>
        <v>SUL</v>
      </c>
      <c r="D107" s="4" t="str">
        <f>VLOOKUP(A107,Ginecologia_dados!B:C,2,FALSE)</f>
        <v>POUSO ALEGRE</v>
      </c>
      <c r="E107">
        <v>5776</v>
      </c>
    </row>
    <row r="108" spans="1:5" x14ac:dyDescent="0.3">
      <c r="A108" s="4">
        <v>310980</v>
      </c>
      <c r="B108" s="4" t="s">
        <v>177</v>
      </c>
      <c r="C108" s="4" t="str">
        <f>VLOOKUP(População!A108,Ginecologia_dados!B:E,3,FALSE)</f>
        <v>TRIÂNGULO DO NORTE</v>
      </c>
      <c r="D108" s="4" t="str">
        <f>VLOOKUP(A108,Ginecologia_dados!B:C,2,FALSE)</f>
        <v>ITUIUTABA</v>
      </c>
      <c r="E108">
        <v>1200</v>
      </c>
    </row>
    <row r="109" spans="1:5" x14ac:dyDescent="0.3">
      <c r="A109" s="4">
        <v>310990</v>
      </c>
      <c r="B109" s="4" t="s">
        <v>178</v>
      </c>
      <c r="C109" s="4" t="str">
        <f>VLOOKUP(População!A109,Ginecologia_dados!B:E,3,FALSE)</f>
        <v>CENTRO</v>
      </c>
      <c r="D109" s="4" t="str">
        <f>VLOOKUP(A109,Ginecologia_dados!B:C,2,FALSE)</f>
        <v>SETE LAGOAS</v>
      </c>
      <c r="E109">
        <v>5697</v>
      </c>
    </row>
    <row r="110" spans="1:5" x14ac:dyDescent="0.3">
      <c r="A110" s="4">
        <v>311000</v>
      </c>
      <c r="B110" s="4" t="s">
        <v>179</v>
      </c>
      <c r="C110" s="4" t="str">
        <f>VLOOKUP(População!A110,Ginecologia_dados!B:E,3,FALSE)</f>
        <v>CENTRO</v>
      </c>
      <c r="D110" s="4" t="str">
        <f>VLOOKUP(A110,Ginecologia_dados!B:C,2,FALSE)</f>
        <v>BELO HORIZONTE/NOVA LIMA/CAETÉ</v>
      </c>
      <c r="E110">
        <v>20902</v>
      </c>
    </row>
    <row r="111" spans="1:5" x14ac:dyDescent="0.3">
      <c r="A111" s="4">
        <v>311010</v>
      </c>
      <c r="B111" s="4" t="s">
        <v>181</v>
      </c>
      <c r="C111" s="4" t="str">
        <f>VLOOKUP(População!A111,Ginecologia_dados!B:E,3,FALSE)</f>
        <v>SUDESTE</v>
      </c>
      <c r="D111" s="4" t="str">
        <f>VLOOKUP(A111,Ginecologia_dados!B:C,2,FALSE)</f>
        <v>CARANGOLA</v>
      </c>
      <c r="E111">
        <v>2568</v>
      </c>
    </row>
    <row r="112" spans="1:5" x14ac:dyDescent="0.3">
      <c r="A112" s="4">
        <v>311020</v>
      </c>
      <c r="B112" s="4" t="s">
        <v>182</v>
      </c>
      <c r="C112" s="4" t="str">
        <f>VLOOKUP(População!A112,Ginecologia_dados!B:E,3,FALSE)</f>
        <v>LESTE DO SUL</v>
      </c>
      <c r="D112" s="4" t="str">
        <f>VLOOKUP(A112,Ginecologia_dados!B:C,2,FALSE)</f>
        <v>VIÇOSA</v>
      </c>
      <c r="E112">
        <v>2007</v>
      </c>
    </row>
    <row r="113" spans="1:5" x14ac:dyDescent="0.3">
      <c r="A113" s="4">
        <v>311030</v>
      </c>
      <c r="B113" s="4" t="s">
        <v>183</v>
      </c>
      <c r="C113" s="4" t="str">
        <f>VLOOKUP(População!A113,Ginecologia_dados!B:E,3,FALSE)</f>
        <v>SUL</v>
      </c>
      <c r="D113" s="4" t="str">
        <f>VLOOKUP(A113,Ginecologia_dados!B:C,2,FALSE)</f>
        <v>POÇOS DE CALDAS</v>
      </c>
      <c r="E113">
        <v>7038</v>
      </c>
    </row>
    <row r="114" spans="1:5" x14ac:dyDescent="0.3">
      <c r="A114" s="4">
        <v>311040</v>
      </c>
      <c r="B114" s="4" t="s">
        <v>184</v>
      </c>
      <c r="C114" s="4" t="str">
        <f>VLOOKUP(População!A114,Ginecologia_dados!B:E,3,FALSE)</f>
        <v>OESTE</v>
      </c>
      <c r="D114" s="4" t="str">
        <f>VLOOKUP(A114,Ginecologia_dados!B:C,2,FALSE)</f>
        <v>CAMPO BELO</v>
      </c>
      <c r="E114">
        <v>1403</v>
      </c>
    </row>
    <row r="115" spans="1:5" x14ac:dyDescent="0.3">
      <c r="A115" s="4">
        <v>311050</v>
      </c>
      <c r="B115" s="4" t="s">
        <v>185</v>
      </c>
      <c r="C115" s="4" t="str">
        <f>VLOOKUP(População!A115,Ginecologia_dados!B:E,3,FALSE)</f>
        <v>SUL</v>
      </c>
      <c r="D115" s="4" t="str">
        <f>VLOOKUP(A115,Ginecologia_dados!B:C,2,FALSE)</f>
        <v>POUSO ALEGRE</v>
      </c>
      <c r="E115">
        <v>12342</v>
      </c>
    </row>
    <row r="116" spans="1:5" x14ac:dyDescent="0.3">
      <c r="A116" s="4">
        <v>311060</v>
      </c>
      <c r="B116" s="4" t="s">
        <v>186</v>
      </c>
      <c r="C116" s="4" t="str">
        <f>VLOOKUP(População!A116,Ginecologia_dados!B:E,3,FALSE)</f>
        <v>SUL</v>
      </c>
      <c r="D116" s="4" t="str">
        <f>VLOOKUP(A116,Ginecologia_dados!B:C,2,FALSE)</f>
        <v>POUSO ALEGRE</v>
      </c>
      <c r="E116">
        <v>14811</v>
      </c>
    </row>
    <row r="117" spans="1:5" x14ac:dyDescent="0.3">
      <c r="A117" s="4">
        <v>311070</v>
      </c>
      <c r="B117" s="4" t="s">
        <v>188</v>
      </c>
      <c r="C117" s="4" t="str">
        <f>VLOOKUP(População!A117,Ginecologia_dados!B:E,3,FALSE)</f>
        <v>SUL</v>
      </c>
      <c r="D117" s="4" t="str">
        <f>VLOOKUP(A117,Ginecologia_dados!B:C,2,FALSE)</f>
        <v>TRÊS CORAÇÕES</v>
      </c>
      <c r="E117">
        <v>6434</v>
      </c>
    </row>
    <row r="118" spans="1:5" x14ac:dyDescent="0.3">
      <c r="A118" s="4">
        <v>311080</v>
      </c>
      <c r="B118" s="4" t="s">
        <v>190</v>
      </c>
      <c r="C118" s="4" t="str">
        <f>VLOOKUP(População!A118,Ginecologia_dados!B:E,3,FALSE)</f>
        <v>NORDESTE</v>
      </c>
      <c r="D118" s="4" t="str">
        <f>VLOOKUP(A118,Ginecologia_dados!B:C,2,FALSE)</f>
        <v>ITAMBACURI</v>
      </c>
      <c r="E118">
        <v>1635</v>
      </c>
    </row>
    <row r="119" spans="1:5" x14ac:dyDescent="0.3">
      <c r="A119" s="4">
        <v>311090</v>
      </c>
      <c r="B119" s="4" t="s">
        <v>191</v>
      </c>
      <c r="C119" s="4" t="str">
        <f>VLOOKUP(População!A119,Ginecologia_dados!B:E,3,FALSE)</f>
        <v>SUL</v>
      </c>
      <c r="D119" s="4" t="str">
        <f>VLOOKUP(A119,Ginecologia_dados!B:C,2,FALSE)</f>
        <v>TRÊS CORAÇÕES</v>
      </c>
      <c r="E119">
        <v>8044</v>
      </c>
    </row>
    <row r="120" spans="1:5" x14ac:dyDescent="0.3">
      <c r="A120" s="4">
        <v>311100</v>
      </c>
      <c r="B120" s="4" t="s">
        <v>192</v>
      </c>
      <c r="C120" s="4" t="str">
        <f>VLOOKUP(População!A120,Ginecologia_dados!B:E,3,FALSE)</f>
        <v>SUL</v>
      </c>
      <c r="D120" s="4" t="str">
        <f>VLOOKUP(A120,Ginecologia_dados!B:C,2,FALSE)</f>
        <v>ALFENAS/MACHADO</v>
      </c>
      <c r="E120">
        <v>10217</v>
      </c>
    </row>
    <row r="121" spans="1:5" x14ac:dyDescent="0.3">
      <c r="A121" s="4">
        <v>311110</v>
      </c>
      <c r="B121" s="4" t="s">
        <v>193</v>
      </c>
      <c r="C121" s="4" t="str">
        <f>VLOOKUP(População!A121,Ginecologia_dados!B:E,3,FALSE)</f>
        <v>TRIÂNGULO DO NORTE</v>
      </c>
      <c r="D121" s="4" t="str">
        <f>VLOOKUP(A121,Ginecologia_dados!B:C,2,FALSE)</f>
        <v>ITUIUTABA</v>
      </c>
      <c r="E121">
        <v>9250</v>
      </c>
    </row>
    <row r="122" spans="1:5" x14ac:dyDescent="0.3">
      <c r="A122" s="4">
        <v>311115</v>
      </c>
      <c r="B122" s="4" t="s">
        <v>194</v>
      </c>
      <c r="C122" s="4" t="str">
        <f>VLOOKUP(População!A122,Ginecologia_dados!B:E,3,FALSE)</f>
        <v>NORTE</v>
      </c>
      <c r="D122" s="4" t="str">
        <f>VLOOKUP(A122,Ginecologia_dados!B:C,2,FALSE)</f>
        <v>BRASÍLIA DE MINAS/SÃO FRANCISCO</v>
      </c>
      <c r="E122">
        <v>1863</v>
      </c>
    </row>
    <row r="123" spans="1:5" x14ac:dyDescent="0.3">
      <c r="A123" s="4">
        <v>311120</v>
      </c>
      <c r="B123" s="4" t="s">
        <v>22</v>
      </c>
      <c r="C123" s="4" t="str">
        <f>VLOOKUP(População!A123,Ginecologia_dados!B:E,3,FALSE)</f>
        <v>OESTE</v>
      </c>
      <c r="D123" s="4" t="str">
        <f>VLOOKUP(A123,Ginecologia_dados!B:C,2,FALSE)</f>
        <v>CAMPO BELO</v>
      </c>
      <c r="E123">
        <v>27460</v>
      </c>
    </row>
    <row r="124" spans="1:5" x14ac:dyDescent="0.3">
      <c r="A124" s="4">
        <v>311130</v>
      </c>
      <c r="B124" s="4" t="s">
        <v>195</v>
      </c>
      <c r="C124" s="4" t="str">
        <f>VLOOKUP(População!A124,Ginecologia_dados!B:E,3,FALSE)</f>
        <v>SUL</v>
      </c>
      <c r="D124" s="4" t="str">
        <f>VLOOKUP(A124,Ginecologia_dados!B:C,2,FALSE)</f>
        <v>ALFENAS/MACHADO</v>
      </c>
      <c r="E124">
        <v>5747</v>
      </c>
    </row>
    <row r="125" spans="1:5" x14ac:dyDescent="0.3">
      <c r="A125" s="4">
        <v>311140</v>
      </c>
      <c r="B125" s="4" t="s">
        <v>196</v>
      </c>
      <c r="C125" s="4" t="str">
        <f>VLOOKUP(População!A125,Ginecologia_dados!B:E,3,FALSE)</f>
        <v>TRIÂNGULO DO SUL</v>
      </c>
      <c r="D125" s="4" t="str">
        <f>VLOOKUP(A125,Ginecologia_dados!B:C,2,FALSE)</f>
        <v>UBERABA</v>
      </c>
      <c r="E125">
        <v>3867</v>
      </c>
    </row>
    <row r="126" spans="1:5" x14ac:dyDescent="0.3">
      <c r="A126" s="4">
        <v>311150</v>
      </c>
      <c r="B126" s="4" t="s">
        <v>197</v>
      </c>
      <c r="C126" s="4" t="str">
        <f>VLOOKUP(População!A126,Ginecologia_dados!B:E,3,FALSE)</f>
        <v>TRIÂNGULO DO SUL</v>
      </c>
      <c r="D126" s="4" t="str">
        <f>VLOOKUP(A126,Ginecologia_dados!B:C,2,FALSE)</f>
        <v>ARAXÁ</v>
      </c>
      <c r="E126">
        <v>6753</v>
      </c>
    </row>
    <row r="127" spans="1:5" x14ac:dyDescent="0.3">
      <c r="A127" s="4">
        <v>311160</v>
      </c>
      <c r="B127" s="4" t="s">
        <v>198</v>
      </c>
      <c r="C127" s="4" t="str">
        <f>VLOOKUP(População!A127,Ginecologia_dados!B:E,3,FALSE)</f>
        <v>SUL</v>
      </c>
      <c r="D127" s="4" t="str">
        <f>VLOOKUP(A127,Ginecologia_dados!B:C,2,FALSE)</f>
        <v>ALFENAS/MACHADO</v>
      </c>
      <c r="E127">
        <v>13478</v>
      </c>
    </row>
    <row r="128" spans="1:5" x14ac:dyDescent="0.3">
      <c r="A128" s="4">
        <v>311170</v>
      </c>
      <c r="B128" s="4" t="s">
        <v>199</v>
      </c>
      <c r="C128" s="4" t="str">
        <f>VLOOKUP(População!A128,Ginecologia_dados!B:E,3,FALSE)</f>
        <v>LESTE DO SUL</v>
      </c>
      <c r="D128" s="4" t="str">
        <f>VLOOKUP(A128,Ginecologia_dados!B:C,2,FALSE)</f>
        <v>VIÇOSA</v>
      </c>
      <c r="E128">
        <v>2390</v>
      </c>
    </row>
    <row r="129" spans="1:5" x14ac:dyDescent="0.3">
      <c r="A129" s="4">
        <v>311180</v>
      </c>
      <c r="B129" s="4" t="s">
        <v>200</v>
      </c>
      <c r="C129" s="4" t="str">
        <f>VLOOKUP(População!A129,Ginecologia_dados!B:E,3,FALSE)</f>
        <v>TRIÂNGULO DO NORTE</v>
      </c>
      <c r="D129" s="4" t="str">
        <f>VLOOKUP(A129,Ginecologia_dados!B:C,2,FALSE)</f>
        <v>ITUIUTABA</v>
      </c>
      <c r="E129">
        <v>5415</v>
      </c>
    </row>
    <row r="130" spans="1:5" x14ac:dyDescent="0.3">
      <c r="A130" s="4">
        <v>311190</v>
      </c>
      <c r="B130" s="4" t="s">
        <v>201</v>
      </c>
      <c r="C130" s="4" t="str">
        <f>VLOOKUP(População!A130,Ginecologia_dados!B:E,3,FALSE)</f>
        <v>OESTE</v>
      </c>
      <c r="D130" s="4" t="str">
        <f>VLOOKUP(A130,Ginecologia_dados!B:C,2,FALSE)</f>
        <v>CAMPO BELO</v>
      </c>
      <c r="E130">
        <v>2693</v>
      </c>
    </row>
    <row r="131" spans="1:5" x14ac:dyDescent="0.3">
      <c r="A131" s="4">
        <v>311200</v>
      </c>
      <c r="B131" s="4" t="s">
        <v>202</v>
      </c>
      <c r="C131" s="4" t="str">
        <f>VLOOKUP(População!A131,Ginecologia_dados!B:E,3,FALSE)</f>
        <v>OESTE</v>
      </c>
      <c r="D131" s="4" t="str">
        <f>VLOOKUP(A131,Ginecologia_dados!B:C,2,FALSE)</f>
        <v>CAMPO BELO</v>
      </c>
      <c r="E131">
        <v>7122</v>
      </c>
    </row>
    <row r="132" spans="1:5" x14ac:dyDescent="0.3">
      <c r="A132" s="4">
        <v>311205</v>
      </c>
      <c r="B132" s="4" t="s">
        <v>204</v>
      </c>
      <c r="C132" s="4" t="str">
        <f>VLOOKUP(População!A132,Ginecologia_dados!B:E,3,FALSE)</f>
        <v>LESTE</v>
      </c>
      <c r="D132" s="4" t="str">
        <f>VLOOKUP(A132,Ginecologia_dados!B:C,2,FALSE)</f>
        <v>PEÇANHA/SÃO JOÃO EVANGELISTA</v>
      </c>
      <c r="E132">
        <v>2080</v>
      </c>
    </row>
    <row r="133" spans="1:5" x14ac:dyDescent="0.3">
      <c r="A133" s="4">
        <v>311210</v>
      </c>
      <c r="B133" s="4" t="s">
        <v>205</v>
      </c>
      <c r="C133" s="4" t="str">
        <f>VLOOKUP(População!A133,Ginecologia_dados!B:E,3,FALSE)</f>
        <v>SUDESTE</v>
      </c>
      <c r="D133" s="4" t="str">
        <f>VLOOKUP(A133,Ginecologia_dados!B:C,2,FALSE)</f>
        <v>CARANGOLA</v>
      </c>
      <c r="E133">
        <v>2475</v>
      </c>
    </row>
    <row r="134" spans="1:5" x14ac:dyDescent="0.3">
      <c r="A134" s="4">
        <v>311220</v>
      </c>
      <c r="B134" s="4" t="s">
        <v>206</v>
      </c>
      <c r="C134" s="4" t="str">
        <f>VLOOKUP(População!A134,Ginecologia_dados!B:E,3,FALSE)</f>
        <v>CENTRO SUL</v>
      </c>
      <c r="D134" s="4" t="str">
        <f>VLOOKUP(A134,Ginecologia_dados!B:C,2,FALSE)</f>
        <v>BARBACENA</v>
      </c>
      <c r="E134">
        <v>2327</v>
      </c>
    </row>
    <row r="135" spans="1:5" x14ac:dyDescent="0.3">
      <c r="A135" s="4">
        <v>311230</v>
      </c>
      <c r="B135" s="4" t="s">
        <v>207</v>
      </c>
      <c r="C135" s="4" t="str">
        <f>VLOOKUP(População!A135,Ginecologia_dados!B:E,3,FALSE)</f>
        <v>JEQUITINHONHA</v>
      </c>
      <c r="D135" s="4" t="str">
        <f>VLOOKUP(A135,Ginecologia_dados!B:C,2,FALSE)</f>
        <v>TURMALINA/MINAS NOVAS/CAPELINHA</v>
      </c>
      <c r="E135">
        <v>19911</v>
      </c>
    </row>
    <row r="136" spans="1:5" x14ac:dyDescent="0.3">
      <c r="A136" s="4">
        <v>311240</v>
      </c>
      <c r="B136" s="4" t="s">
        <v>209</v>
      </c>
      <c r="C136" s="4" t="str">
        <f>VLOOKUP(População!A136,Ginecologia_dados!B:E,3,FALSE)</f>
        <v>SUL</v>
      </c>
      <c r="D136" s="4" t="str">
        <f>VLOOKUP(A136,Ginecologia_dados!B:C,2,FALSE)</f>
        <v>CÁSSIA</v>
      </c>
      <c r="E136">
        <v>3308</v>
      </c>
    </row>
    <row r="137" spans="1:5" x14ac:dyDescent="0.3">
      <c r="A137" s="4">
        <v>311250</v>
      </c>
      <c r="B137" s="4" t="s">
        <v>210</v>
      </c>
      <c r="C137" s="4" t="str">
        <f>VLOOKUP(População!A137,Ginecologia_dados!B:E,3,FALSE)</f>
        <v>CENTRO</v>
      </c>
      <c r="D137" s="4" t="str">
        <f>VLOOKUP(A137,Ginecologia_dados!B:C,2,FALSE)</f>
        <v>SETE LAGOAS</v>
      </c>
      <c r="E137">
        <v>5247</v>
      </c>
    </row>
    <row r="138" spans="1:5" x14ac:dyDescent="0.3">
      <c r="A138" s="4">
        <v>311260</v>
      </c>
      <c r="B138" s="4" t="s">
        <v>211</v>
      </c>
      <c r="C138" s="4" t="str">
        <f>VLOOKUP(População!A138,Ginecologia_dados!B:E,3,FALSE)</f>
        <v>TRIÂNGULO DO NORTE</v>
      </c>
      <c r="D138" s="4" t="str">
        <f>VLOOKUP(A138,Ginecologia_dados!B:C,2,FALSE)</f>
        <v>ITUIUTABA</v>
      </c>
      <c r="E138">
        <v>7593</v>
      </c>
    </row>
    <row r="139" spans="1:5" x14ac:dyDescent="0.3">
      <c r="A139" s="4">
        <v>311265</v>
      </c>
      <c r="B139" s="4" t="s">
        <v>212</v>
      </c>
      <c r="C139" s="4" t="str">
        <f>VLOOKUP(População!A139,Ginecologia_dados!B:E,3,FALSE)</f>
        <v>LESTE</v>
      </c>
      <c r="D139" s="4" t="str">
        <f>VLOOKUP(A139,Ginecologia_dados!B:C,2,FALSE)</f>
        <v>GOVERNADOR VALADARES</v>
      </c>
      <c r="E139">
        <v>2482</v>
      </c>
    </row>
    <row r="140" spans="1:5" x14ac:dyDescent="0.3">
      <c r="A140" s="4">
        <v>311270</v>
      </c>
      <c r="B140" s="4" t="s">
        <v>213</v>
      </c>
      <c r="C140" s="4" t="str">
        <f>VLOOKUP(População!A140,Ginecologia_dados!B:E,3,FALSE)</f>
        <v>NORTE</v>
      </c>
      <c r="D140" s="4" t="str">
        <f>VLOOKUP(A140,Ginecologia_dados!B:C,2,FALSE)</f>
        <v>FRANCISCO SÁ</v>
      </c>
      <c r="E140">
        <v>7136</v>
      </c>
    </row>
    <row r="141" spans="1:5" x14ac:dyDescent="0.3">
      <c r="A141" s="4">
        <v>311280</v>
      </c>
      <c r="B141" s="4" t="s">
        <v>215</v>
      </c>
      <c r="C141" s="4" t="str">
        <f>VLOOKUP(População!A141,Ginecologia_dados!B:E,3,FALSE)</f>
        <v>SUL</v>
      </c>
      <c r="D141" s="4" t="str">
        <f>VLOOKUP(A141,Ginecologia_dados!B:C,2,FALSE)</f>
        <v>PIUMHI</v>
      </c>
      <c r="E141">
        <v>4914</v>
      </c>
    </row>
    <row r="142" spans="1:5" x14ac:dyDescent="0.3">
      <c r="A142" s="4">
        <v>311290</v>
      </c>
      <c r="B142" s="4" t="s">
        <v>216</v>
      </c>
      <c r="C142" s="4" t="str">
        <f>VLOOKUP(População!A142,Ginecologia_dados!B:E,3,FALSE)</f>
        <v>LESTE DO SUL</v>
      </c>
      <c r="D142" s="4" t="str">
        <f>VLOOKUP(A142,Ginecologia_dados!B:C,2,FALSE)</f>
        <v>MANHUAÇU</v>
      </c>
      <c r="E142">
        <v>4520</v>
      </c>
    </row>
    <row r="143" spans="1:5" x14ac:dyDescent="0.3">
      <c r="A143" s="4">
        <v>311300</v>
      </c>
      <c r="B143" s="4" t="s">
        <v>218</v>
      </c>
      <c r="C143" s="4" t="str">
        <f>VLOOKUP(População!A143,Ginecologia_dados!B:E,3,FALSE)</f>
        <v>NORDESTE</v>
      </c>
      <c r="D143" s="4" t="str">
        <f>VLOOKUP(A143,Ginecologia_dados!B:C,2,FALSE)</f>
        <v>PADRE PARAÍSO</v>
      </c>
      <c r="E143">
        <v>10403</v>
      </c>
    </row>
    <row r="144" spans="1:5" x14ac:dyDescent="0.3">
      <c r="A144" s="4">
        <v>311310</v>
      </c>
      <c r="B144" s="4" t="s">
        <v>220</v>
      </c>
      <c r="C144" s="4" t="str">
        <f>VLOOKUP(População!A144,Ginecologia_dados!B:E,3,FALSE)</f>
        <v>CENTRO SUL</v>
      </c>
      <c r="D144" s="4" t="str">
        <f>VLOOKUP(A144,Ginecologia_dados!B:C,2,FALSE)</f>
        <v>CONSELHEIRO LAFAIETE</v>
      </c>
      <c r="E144">
        <v>1495</v>
      </c>
    </row>
    <row r="145" spans="1:5" x14ac:dyDescent="0.3">
      <c r="A145" s="4">
        <v>311320</v>
      </c>
      <c r="B145" s="4" t="s">
        <v>221</v>
      </c>
      <c r="C145" s="4" t="str">
        <f>VLOOKUP(População!A145,Ginecologia_dados!B:E,3,FALSE)</f>
        <v>CENTRO SUL</v>
      </c>
      <c r="D145" s="4" t="str">
        <f>VLOOKUP(A145,Ginecologia_dados!B:C,2,FALSE)</f>
        <v>BARBACENA</v>
      </c>
      <c r="E145">
        <v>12196</v>
      </c>
    </row>
    <row r="146" spans="1:5" x14ac:dyDescent="0.3">
      <c r="A146" s="4">
        <v>311330</v>
      </c>
      <c r="B146" s="4" t="s">
        <v>180</v>
      </c>
      <c r="C146" s="4" t="str">
        <f>VLOOKUP(População!A146,Ginecologia_dados!B:E,3,FALSE)</f>
        <v>SUDESTE</v>
      </c>
      <c r="D146" s="4" t="str">
        <f>VLOOKUP(A146,Ginecologia_dados!B:C,2,FALSE)</f>
        <v>CARANGOLA</v>
      </c>
      <c r="E146">
        <v>16738</v>
      </c>
    </row>
    <row r="147" spans="1:5" x14ac:dyDescent="0.3">
      <c r="A147" s="4">
        <v>311340</v>
      </c>
      <c r="B147" s="4" t="s">
        <v>143</v>
      </c>
      <c r="C147" s="4" t="str">
        <f>VLOOKUP(População!A147,Ginecologia_dados!B:E,3,FALSE)</f>
        <v>VALE DO AÇO</v>
      </c>
      <c r="D147" s="4" t="str">
        <f>VLOOKUP(A147,Ginecologia_dados!B:C,2,FALSE)</f>
        <v>CARATINGA</v>
      </c>
      <c r="E147">
        <v>45855</v>
      </c>
    </row>
    <row r="148" spans="1:5" x14ac:dyDescent="0.3">
      <c r="A148" s="4">
        <v>311350</v>
      </c>
      <c r="B148" s="4" t="s">
        <v>223</v>
      </c>
      <c r="C148" s="4" t="str">
        <f>VLOOKUP(População!A148,Ginecologia_dados!B:E,3,FALSE)</f>
        <v>JEQUITINHONHA</v>
      </c>
      <c r="D148" s="4" t="str">
        <f>VLOOKUP(A148,Ginecologia_dados!B:C,2,FALSE)</f>
        <v>DIAMANTINA</v>
      </c>
      <c r="E148">
        <v>4370</v>
      </c>
    </row>
    <row r="149" spans="1:5" x14ac:dyDescent="0.3">
      <c r="A149" s="4">
        <v>311360</v>
      </c>
      <c r="B149" s="4" t="s">
        <v>224</v>
      </c>
      <c r="C149" s="4" t="str">
        <f>VLOOKUP(População!A149,Ginecologia_dados!B:E,3,FALSE)</f>
        <v>SUL</v>
      </c>
      <c r="D149" s="4" t="str">
        <f>VLOOKUP(A149,Ginecologia_dados!B:C,2,FALSE)</f>
        <v>POUSO ALEGRE</v>
      </c>
      <c r="E149">
        <v>3365</v>
      </c>
    </row>
    <row r="150" spans="1:5" x14ac:dyDescent="0.3">
      <c r="A150" s="4">
        <v>311370</v>
      </c>
      <c r="B150" s="4" t="s">
        <v>226</v>
      </c>
      <c r="C150" s="4" t="str">
        <f>VLOOKUP(População!A150,Ginecologia_dados!B:E,3,FALSE)</f>
        <v>NORDESTE</v>
      </c>
      <c r="D150" s="4" t="str">
        <f>VLOOKUP(A150,Ginecologia_dados!B:C,2,FALSE)</f>
        <v>NANUQUE</v>
      </c>
      <c r="E150">
        <v>9695</v>
      </c>
    </row>
    <row r="151" spans="1:5" x14ac:dyDescent="0.3">
      <c r="A151" s="4">
        <v>311380</v>
      </c>
      <c r="B151" s="4" t="s">
        <v>228</v>
      </c>
      <c r="C151" s="4" t="str">
        <f>VLOOKUP(População!A151,Ginecologia_dados!B:E,3,FALSE)</f>
        <v>CENTRO</v>
      </c>
      <c r="D151" s="4" t="str">
        <f>VLOOKUP(A151,Ginecologia_dados!B:C,2,FALSE)</f>
        <v>GUANHÃES</v>
      </c>
      <c r="E151">
        <v>1291</v>
      </c>
    </row>
    <row r="152" spans="1:5" x14ac:dyDescent="0.3">
      <c r="A152" s="4">
        <v>311390</v>
      </c>
      <c r="B152" s="4" t="s">
        <v>229</v>
      </c>
      <c r="C152" s="4" t="str">
        <f>VLOOKUP(População!A152,Ginecologia_dados!B:E,3,FALSE)</f>
        <v>SUL</v>
      </c>
      <c r="D152" s="4" t="str">
        <f>VLOOKUP(A152,Ginecologia_dados!B:C,2,FALSE)</f>
        <v>TRÊS CORAÇÕES</v>
      </c>
      <c r="E152">
        <v>5877</v>
      </c>
    </row>
    <row r="153" spans="1:5" x14ac:dyDescent="0.3">
      <c r="A153" s="4">
        <v>311400</v>
      </c>
      <c r="B153" s="4" t="s">
        <v>231</v>
      </c>
      <c r="C153" s="4" t="str">
        <f>VLOOKUP(População!A153,Ginecologia_dados!B:E,3,FALSE)</f>
        <v>OESTE</v>
      </c>
      <c r="D153" s="4" t="str">
        <f>VLOOKUP(A153,Ginecologia_dados!B:C,2,FALSE)</f>
        <v>OLIVEIRA/SANTO ANTÔNIO DO AMPARO</v>
      </c>
      <c r="E153">
        <v>5646</v>
      </c>
    </row>
    <row r="154" spans="1:5" x14ac:dyDescent="0.3">
      <c r="A154" s="4">
        <v>311410</v>
      </c>
      <c r="B154" s="4" t="s">
        <v>232</v>
      </c>
      <c r="C154" s="4" t="str">
        <f>VLOOKUP(População!A154,Ginecologia_dados!B:E,3,FALSE)</f>
        <v>SUL</v>
      </c>
      <c r="D154" s="4" t="str">
        <f>VLOOKUP(A154,Ginecologia_dados!B:C,2,FALSE)</f>
        <v>SÃO LOURENÇO</v>
      </c>
      <c r="E154">
        <v>7033</v>
      </c>
    </row>
    <row r="155" spans="1:5" x14ac:dyDescent="0.3">
      <c r="A155" s="4">
        <v>311420</v>
      </c>
      <c r="B155" s="4" t="s">
        <v>233</v>
      </c>
      <c r="C155" s="4" t="str">
        <f>VLOOKUP(População!A155,Ginecologia_dados!B:E,3,FALSE)</f>
        <v>OESTE</v>
      </c>
      <c r="D155" s="4" t="str">
        <f>VLOOKUP(A155,Ginecologia_dados!B:C,2,FALSE)</f>
        <v>DIVINÓPOLIS</v>
      </c>
      <c r="E155">
        <v>11444</v>
      </c>
    </row>
    <row r="156" spans="1:5" x14ac:dyDescent="0.3">
      <c r="A156" s="4">
        <v>311430</v>
      </c>
      <c r="B156" s="4" t="s">
        <v>234</v>
      </c>
      <c r="C156" s="4" t="str">
        <f>VLOOKUP(População!A156,Ginecologia_dados!B:E,3,FALSE)</f>
        <v>NOROESTE</v>
      </c>
      <c r="D156" s="4" t="str">
        <f>VLOOKUP(A156,Ginecologia_dados!B:C,2,FALSE)</f>
        <v>SÃO GOTARDO</v>
      </c>
      <c r="E156">
        <v>14954</v>
      </c>
    </row>
    <row r="157" spans="1:5" x14ac:dyDescent="0.3">
      <c r="A157" s="4">
        <v>311440</v>
      </c>
      <c r="B157" s="4" t="s">
        <v>235</v>
      </c>
      <c r="C157" s="4" t="str">
        <f>VLOOKUP(População!A157,Ginecologia_dados!B:E,3,FALSE)</f>
        <v>SUL</v>
      </c>
      <c r="D157" s="4" t="str">
        <f>VLOOKUP(A157,Ginecologia_dados!B:C,2,FALSE)</f>
        <v>PASSOS</v>
      </c>
      <c r="E157">
        <v>10448</v>
      </c>
    </row>
    <row r="158" spans="1:5" x14ac:dyDescent="0.3">
      <c r="A158" s="4">
        <v>311450</v>
      </c>
      <c r="B158" s="4" t="s">
        <v>236</v>
      </c>
      <c r="C158" s="4" t="str">
        <f>VLOOKUP(População!A158,Ginecologia_dados!B:E,3,FALSE)</f>
        <v>OESTE</v>
      </c>
      <c r="D158" s="4" t="str">
        <f>VLOOKUP(A158,Ginecologia_dados!B:C,2,FALSE)</f>
        <v>OLIVEIRA/SANTO ANTÔNIO DO AMPARO</v>
      </c>
      <c r="E158">
        <v>8869</v>
      </c>
    </row>
    <row r="159" spans="1:5" x14ac:dyDescent="0.3">
      <c r="A159" s="4">
        <v>311455</v>
      </c>
      <c r="B159" s="4" t="s">
        <v>238</v>
      </c>
      <c r="C159" s="4" t="str">
        <f>VLOOKUP(População!A159,Ginecologia_dados!B:E,3,FALSE)</f>
        <v>TRIÂNGULO DO SUL</v>
      </c>
      <c r="D159" s="4" t="str">
        <f>VLOOKUP(A159,Ginecologia_dados!B:C,2,FALSE)</f>
        <v>FRUTAL/ITURAMA</v>
      </c>
      <c r="E159">
        <v>4729</v>
      </c>
    </row>
    <row r="160" spans="1:5" x14ac:dyDescent="0.3">
      <c r="A160" s="4">
        <v>311460</v>
      </c>
      <c r="B160" s="4" t="s">
        <v>240</v>
      </c>
      <c r="C160" s="4" t="str">
        <f>VLOOKUP(População!A160,Ginecologia_dados!B:E,3,FALSE)</f>
        <v>SUL</v>
      </c>
      <c r="D160" s="4" t="str">
        <f>VLOOKUP(A160,Ginecologia_dados!B:C,2,FALSE)</f>
        <v>LAVRAS</v>
      </c>
      <c r="E160">
        <v>2024</v>
      </c>
    </row>
    <row r="161" spans="1:5" x14ac:dyDescent="0.3">
      <c r="A161" s="4">
        <v>311470</v>
      </c>
      <c r="B161" s="4" t="s">
        <v>241</v>
      </c>
      <c r="C161" s="4" t="str">
        <f>VLOOKUP(População!A161,Ginecologia_dados!B:E,3,FALSE)</f>
        <v>SUL</v>
      </c>
      <c r="D161" s="4" t="str">
        <f>VLOOKUP(A161,Ginecologia_dados!B:C,2,FALSE)</f>
        <v>ALFENAS/MACHADO</v>
      </c>
      <c r="E161">
        <v>1666</v>
      </c>
    </row>
    <row r="162" spans="1:5" x14ac:dyDescent="0.3">
      <c r="A162" s="4">
        <v>311480</v>
      </c>
      <c r="B162" s="4" t="s">
        <v>242</v>
      </c>
      <c r="C162" s="4" t="str">
        <f>VLOOKUP(População!A162,Ginecologia_dados!B:E,3,FALSE)</f>
        <v>SUL</v>
      </c>
      <c r="D162" s="4" t="str">
        <f>VLOOKUP(A162,Ginecologia_dados!B:C,2,FALSE)</f>
        <v>SÃO LOURENÇO</v>
      </c>
      <c r="E162">
        <v>2228</v>
      </c>
    </row>
    <row r="163" spans="1:5" x14ac:dyDescent="0.3">
      <c r="A163" s="4">
        <v>311490</v>
      </c>
      <c r="B163" s="4" t="s">
        <v>243</v>
      </c>
      <c r="C163" s="4" t="str">
        <f>VLOOKUP(População!A163,Ginecologia_dados!B:E,3,FALSE)</f>
        <v>CENTRO SUL</v>
      </c>
      <c r="D163" s="4" t="str">
        <f>VLOOKUP(A163,Ginecologia_dados!B:C,2,FALSE)</f>
        <v>CONSELHEIRO LAFAIETE</v>
      </c>
      <c r="E163">
        <v>1097</v>
      </c>
    </row>
    <row r="164" spans="1:5" x14ac:dyDescent="0.3">
      <c r="A164" s="4">
        <v>311500</v>
      </c>
      <c r="B164" s="4" t="s">
        <v>244</v>
      </c>
      <c r="C164" s="4" t="str">
        <f>VLOOKUP(População!A164,Ginecologia_dados!B:E,3,FALSE)</f>
        <v>TRIÂNGULO DO NORTE</v>
      </c>
      <c r="D164" s="4" t="str">
        <f>VLOOKUP(A164,Ginecologia_dados!B:C,2,FALSE)</f>
        <v>UBERLÂNDIA/ARAGUARI</v>
      </c>
      <c r="E164">
        <v>1367</v>
      </c>
    </row>
    <row r="165" spans="1:5" x14ac:dyDescent="0.3">
      <c r="A165" s="4">
        <v>311510</v>
      </c>
      <c r="B165" s="4" t="s">
        <v>245</v>
      </c>
      <c r="C165" s="4" t="str">
        <f>VLOOKUP(População!A165,Ginecologia_dados!B:E,3,FALSE)</f>
        <v>SUL</v>
      </c>
      <c r="D165" s="4" t="str">
        <f>VLOOKUP(A165,Ginecologia_dados!B:C,2,FALSE)</f>
        <v>CÁSSIA</v>
      </c>
      <c r="E165">
        <v>8721</v>
      </c>
    </row>
    <row r="166" spans="1:5" x14ac:dyDescent="0.3">
      <c r="A166" s="4">
        <v>311520</v>
      </c>
      <c r="B166" s="4" t="s">
        <v>246</v>
      </c>
      <c r="C166" s="4" t="str">
        <f>VLOOKUP(População!A166,Ginecologia_dados!B:E,3,FALSE)</f>
        <v>CENTRO SUL</v>
      </c>
      <c r="D166" s="4" t="str">
        <f>VLOOKUP(A166,Ginecologia_dados!B:C,2,FALSE)</f>
        <v>SÃO JOÃO DEL REI</v>
      </c>
      <c r="E166">
        <v>1776</v>
      </c>
    </row>
    <row r="167" spans="1:5" x14ac:dyDescent="0.3">
      <c r="A167" s="4">
        <v>311530</v>
      </c>
      <c r="B167" s="4" t="s">
        <v>247</v>
      </c>
      <c r="C167" s="4" t="str">
        <f>VLOOKUP(População!A167,Ginecologia_dados!B:E,3,FALSE)</f>
        <v>SUDESTE</v>
      </c>
      <c r="D167" s="4" t="str">
        <f>VLOOKUP(A167,Ginecologia_dados!B:C,2,FALSE)</f>
        <v>LEOPOLDINA/CATAGUASES</v>
      </c>
      <c r="E167">
        <v>35579</v>
      </c>
    </row>
    <row r="168" spans="1:5" x14ac:dyDescent="0.3">
      <c r="A168" s="4">
        <v>311535</v>
      </c>
      <c r="B168" s="4" t="s">
        <v>248</v>
      </c>
      <c r="C168" s="4" t="str">
        <f>VLOOKUP(População!A168,Ginecologia_dados!B:E,3,FALSE)</f>
        <v>CENTRO</v>
      </c>
      <c r="D168" s="4" t="str">
        <f>VLOOKUP(A168,Ginecologia_dados!B:C,2,FALSE)</f>
        <v>ITABIRA</v>
      </c>
      <c r="E168">
        <v>2735</v>
      </c>
    </row>
    <row r="169" spans="1:5" x14ac:dyDescent="0.3">
      <c r="A169" s="4">
        <v>311540</v>
      </c>
      <c r="B169" s="4" t="s">
        <v>249</v>
      </c>
      <c r="C169" s="4" t="str">
        <f>VLOOKUP(População!A169,Ginecologia_dados!B:E,3,FALSE)</f>
        <v>CENTRO SUL</v>
      </c>
      <c r="D169" s="4" t="str">
        <f>VLOOKUP(A169,Ginecologia_dados!B:C,2,FALSE)</f>
        <v>CONSELHEIRO LAFAIETE</v>
      </c>
      <c r="E169">
        <v>1635</v>
      </c>
    </row>
    <row r="170" spans="1:5" x14ac:dyDescent="0.3">
      <c r="A170" s="4">
        <v>311545</v>
      </c>
      <c r="B170" s="4" t="s">
        <v>250</v>
      </c>
      <c r="C170" s="4" t="str">
        <f>VLOOKUP(População!A170,Ginecologia_dados!B:E,3,FALSE)</f>
        <v>NORDESTE</v>
      </c>
      <c r="D170" s="4" t="str">
        <f>VLOOKUP(A170,Ginecologia_dados!B:C,2,FALSE)</f>
        <v>PADRE PARAÍSO</v>
      </c>
      <c r="E170">
        <v>3588</v>
      </c>
    </row>
    <row r="171" spans="1:5" x14ac:dyDescent="0.3">
      <c r="A171" s="4">
        <v>311547</v>
      </c>
      <c r="B171" s="4" t="s">
        <v>252</v>
      </c>
      <c r="C171" s="4" t="str">
        <f>VLOOKUP(População!A171,Ginecologia_dados!B:E,3,FALSE)</f>
        <v>NORTE</v>
      </c>
      <c r="D171" s="4" t="str">
        <f>VLOOKUP(A171,Ginecologia_dados!B:C,2,FALSE)</f>
        <v>JANAÚBA/MONTE AZUL</v>
      </c>
      <c r="E171">
        <v>2429</v>
      </c>
    </row>
    <row r="172" spans="1:5" x14ac:dyDescent="0.3">
      <c r="A172" s="4">
        <v>311550</v>
      </c>
      <c r="B172" s="4" t="s">
        <v>253</v>
      </c>
      <c r="C172" s="4" t="str">
        <f>VLOOKUP(População!A172,Ginecologia_dados!B:E,3,FALSE)</f>
        <v>SUL</v>
      </c>
      <c r="D172" s="4" t="str">
        <f>VLOOKUP(A172,Ginecologia_dados!B:C,2,FALSE)</f>
        <v>SÃO LOURENÇO</v>
      </c>
      <c r="E172">
        <v>11301</v>
      </c>
    </row>
    <row r="173" spans="1:5" x14ac:dyDescent="0.3">
      <c r="A173" s="4">
        <v>311560</v>
      </c>
      <c r="B173" s="4" t="s">
        <v>254</v>
      </c>
      <c r="C173" s="4" t="str">
        <f>VLOOKUP(População!A173,Ginecologia_dados!B:E,3,FALSE)</f>
        <v>CENTRO</v>
      </c>
      <c r="D173" s="4" t="str">
        <f>VLOOKUP(A173,Ginecologia_dados!B:C,2,FALSE)</f>
        <v>SETE LAGOAS</v>
      </c>
      <c r="E173">
        <v>564</v>
      </c>
    </row>
    <row r="174" spans="1:5" x14ac:dyDescent="0.3">
      <c r="A174" s="4">
        <v>311570</v>
      </c>
      <c r="B174" s="4" t="s">
        <v>256</v>
      </c>
      <c r="C174" s="4" t="str">
        <f>VLOOKUP(População!A174,Ginecologia_dados!B:E,3,FALSE)</f>
        <v>LESTE</v>
      </c>
      <c r="D174" s="4" t="str">
        <f>VLOOKUP(A174,Ginecologia_dados!B:C,2,FALSE)</f>
        <v>MANTENA</v>
      </c>
      <c r="E174">
        <v>3288</v>
      </c>
    </row>
    <row r="175" spans="1:5" x14ac:dyDescent="0.3">
      <c r="A175" s="4">
        <v>311580</v>
      </c>
      <c r="B175" s="4" t="s">
        <v>257</v>
      </c>
      <c r="C175" s="4" t="str">
        <f>VLOOKUP(População!A175,Ginecologia_dados!B:E,3,FALSE)</f>
        <v>TRIÂNGULO DO NORTE</v>
      </c>
      <c r="D175" s="4" t="str">
        <f>VLOOKUP(A175,Ginecologia_dados!B:C,2,FALSE)</f>
        <v>ITUIUTABA</v>
      </c>
      <c r="E175">
        <v>5109</v>
      </c>
    </row>
    <row r="176" spans="1:5" x14ac:dyDescent="0.3">
      <c r="A176" s="4">
        <v>311590</v>
      </c>
      <c r="B176" s="4" t="s">
        <v>258</v>
      </c>
      <c r="C176" s="4" t="str">
        <f>VLOOKUP(População!A176,Ginecologia_dados!B:E,3,FALSE)</f>
        <v>SUDESTE</v>
      </c>
      <c r="D176" s="4" t="str">
        <f>VLOOKUP(A176,Ginecologia_dados!B:C,2,FALSE)</f>
        <v>JUIZ DE FORA</v>
      </c>
      <c r="E176">
        <v>1525</v>
      </c>
    </row>
    <row r="177" spans="1:5" x14ac:dyDescent="0.3">
      <c r="A177" s="4">
        <v>311600</v>
      </c>
      <c r="B177" s="4" t="s">
        <v>259</v>
      </c>
      <c r="C177" s="4" t="str">
        <f>VLOOKUP(População!A177,Ginecologia_dados!B:E,3,FALSE)</f>
        <v>LESTE DO SUL</v>
      </c>
      <c r="D177" s="4" t="str">
        <f>VLOOKUP(A177,Ginecologia_dados!B:C,2,FALSE)</f>
        <v>MANHUAÇU</v>
      </c>
      <c r="E177">
        <v>2985</v>
      </c>
    </row>
    <row r="178" spans="1:5" x14ac:dyDescent="0.3">
      <c r="A178" s="4">
        <v>311610</v>
      </c>
      <c r="B178" s="4" t="s">
        <v>260</v>
      </c>
      <c r="C178" s="4" t="str">
        <f>VLOOKUP(População!A178,Ginecologia_dados!B:E,3,FALSE)</f>
        <v>JEQUITINHONHA</v>
      </c>
      <c r="D178" s="4" t="str">
        <f>VLOOKUP(A178,Ginecologia_dados!B:C,2,FALSE)</f>
        <v>TURMALINA/MINAS NOVAS/CAPELINHA</v>
      </c>
      <c r="E178">
        <v>5908</v>
      </c>
    </row>
    <row r="179" spans="1:5" x14ac:dyDescent="0.3">
      <c r="A179" s="4">
        <v>311615</v>
      </c>
      <c r="B179" s="4" t="s">
        <v>261</v>
      </c>
      <c r="C179" s="4" t="str">
        <f>VLOOKUP(População!A179,Ginecologia_dados!B:E,3,FALSE)</f>
        <v>NOROESTE</v>
      </c>
      <c r="D179" s="4" t="str">
        <f>VLOOKUP(A179,Ginecologia_dados!B:C,2,FALSE)</f>
        <v>UNAÍ</v>
      </c>
      <c r="E179">
        <v>5903</v>
      </c>
    </row>
    <row r="180" spans="1:5" x14ac:dyDescent="0.3">
      <c r="A180" s="4">
        <v>311620</v>
      </c>
      <c r="B180" s="4" t="s">
        <v>262</v>
      </c>
      <c r="C180" s="4" t="str">
        <f>VLOOKUP(População!A180,Ginecologia_dados!B:E,3,FALSE)</f>
        <v>SUDESTE</v>
      </c>
      <c r="D180" s="4" t="str">
        <f>VLOOKUP(A180,Ginecologia_dados!B:C,2,FALSE)</f>
        <v>JUIZ DE FORA</v>
      </c>
      <c r="E180">
        <v>1481</v>
      </c>
    </row>
    <row r="181" spans="1:5" x14ac:dyDescent="0.3">
      <c r="A181" s="4">
        <v>311630</v>
      </c>
      <c r="B181" s="4" t="s">
        <v>263</v>
      </c>
      <c r="C181" s="4" t="str">
        <f>VLOOKUP(População!A181,Ginecologia_dados!B:E,3,FALSE)</f>
        <v>CENTRO SUL</v>
      </c>
      <c r="D181" s="4" t="str">
        <f>VLOOKUP(A181,Ginecologia_dados!B:C,2,FALSE)</f>
        <v>BARBACENA</v>
      </c>
      <c r="E181">
        <v>2957</v>
      </c>
    </row>
    <row r="182" spans="1:5" x14ac:dyDescent="0.3">
      <c r="A182" s="4">
        <v>311640</v>
      </c>
      <c r="B182" s="4" t="s">
        <v>264</v>
      </c>
      <c r="C182" s="4" t="str">
        <f>VLOOKUP(População!A182,Ginecologia_dados!B:E,3,FALSE)</f>
        <v>SUL</v>
      </c>
      <c r="D182" s="4" t="str">
        <f>VLOOKUP(A182,Ginecologia_dados!B:C,2,FALSE)</f>
        <v>CÁSSIA</v>
      </c>
      <c r="E182">
        <v>2275</v>
      </c>
    </row>
    <row r="183" spans="1:5" x14ac:dyDescent="0.3">
      <c r="A183" s="4">
        <v>311650</v>
      </c>
      <c r="B183" s="4" t="s">
        <v>266</v>
      </c>
      <c r="C183" s="4" t="str">
        <f>VLOOKUP(População!A183,Ginecologia_dados!B:E,3,FALSE)</f>
        <v>NORTE</v>
      </c>
      <c r="D183" s="4" t="str">
        <f>VLOOKUP(A183,Ginecologia_dados!B:C,2,FALSE)</f>
        <v>MONTES CLAROS</v>
      </c>
      <c r="E183">
        <v>3706</v>
      </c>
    </row>
    <row r="184" spans="1:5" x14ac:dyDescent="0.3">
      <c r="A184" s="4">
        <v>311660</v>
      </c>
      <c r="B184" s="4" t="s">
        <v>267</v>
      </c>
      <c r="C184" s="4" t="str">
        <f>VLOOKUP(População!A184,Ginecologia_dados!B:E,3,FALSE)</f>
        <v>OESTE</v>
      </c>
      <c r="D184" s="4" t="str">
        <f>VLOOKUP(A184,Ginecologia_dados!B:C,2,FALSE)</f>
        <v>DIVINÓPOLIS</v>
      </c>
      <c r="E184">
        <v>14725</v>
      </c>
    </row>
    <row r="185" spans="1:5" x14ac:dyDescent="0.3">
      <c r="A185" s="4">
        <v>311670</v>
      </c>
      <c r="B185" s="4" t="s">
        <v>268</v>
      </c>
      <c r="C185" s="4" t="str">
        <f>VLOOKUP(População!A185,Ginecologia_dados!B:E,3,FALSE)</f>
        <v>SUDESTE</v>
      </c>
      <c r="D185" s="4" t="str">
        <f>VLOOKUP(A185,Ginecologia_dados!B:C,2,FALSE)</f>
        <v>UBÁ</v>
      </c>
      <c r="E185">
        <v>3596</v>
      </c>
    </row>
    <row r="186" spans="1:5" x14ac:dyDescent="0.3">
      <c r="A186" s="4">
        <v>311680</v>
      </c>
      <c r="B186" s="4" t="s">
        <v>269</v>
      </c>
      <c r="C186" s="4" t="str">
        <f>VLOOKUP(População!A186,Ginecologia_dados!B:E,3,FALSE)</f>
        <v>JEQUITINHONHA</v>
      </c>
      <c r="D186" s="4" t="str">
        <f>VLOOKUP(A186,Ginecologia_dados!B:C,2,FALSE)</f>
        <v>DIAMANTINA</v>
      </c>
      <c r="E186">
        <v>4297</v>
      </c>
    </row>
    <row r="187" spans="1:5" x14ac:dyDescent="0.3">
      <c r="A187" s="4">
        <v>311690</v>
      </c>
      <c r="B187" s="4" t="s">
        <v>270</v>
      </c>
      <c r="C187" s="4" t="str">
        <f>VLOOKUP(População!A187,Ginecologia_dados!B:E,3,FALSE)</f>
        <v>TRIÂNGULO DO SUL</v>
      </c>
      <c r="D187" s="4" t="str">
        <f>VLOOKUP(A187,Ginecologia_dados!B:C,2,FALSE)</f>
        <v>FRUTAL/ITURAMA</v>
      </c>
      <c r="E187">
        <v>1386</v>
      </c>
    </row>
    <row r="188" spans="1:5" x14ac:dyDescent="0.3">
      <c r="A188" s="4">
        <v>311700</v>
      </c>
      <c r="B188" s="4" t="s">
        <v>272</v>
      </c>
      <c r="C188" s="4" t="str">
        <f>VLOOKUP(População!A188,Ginecologia_dados!B:E,3,FALSE)</f>
        <v>NORDESTE</v>
      </c>
      <c r="D188" s="4" t="str">
        <f>VLOOKUP(A188,Ginecologia_dados!B:C,2,FALSE)</f>
        <v>ITAOBIM</v>
      </c>
      <c r="E188">
        <v>3589</v>
      </c>
    </row>
    <row r="189" spans="1:5" x14ac:dyDescent="0.3">
      <c r="A189" s="4">
        <v>311710</v>
      </c>
      <c r="B189" s="4" t="s">
        <v>273</v>
      </c>
      <c r="C189" s="4" t="str">
        <f>VLOOKUP(População!A189,Ginecologia_dados!B:E,3,FALSE)</f>
        <v>SUL</v>
      </c>
      <c r="D189" s="4" t="str">
        <f>VLOOKUP(A189,Ginecologia_dados!B:C,2,FALSE)</f>
        <v>ALFENAS/MACHADO</v>
      </c>
      <c r="E189">
        <v>5094</v>
      </c>
    </row>
    <row r="190" spans="1:5" x14ac:dyDescent="0.3">
      <c r="A190" s="4">
        <v>311720</v>
      </c>
      <c r="B190" s="4" t="s">
        <v>274</v>
      </c>
      <c r="C190" s="4" t="str">
        <f>VLOOKUP(População!A190,Ginecologia_dados!B:E,3,FALSE)</f>
        <v>SUL</v>
      </c>
      <c r="D190" s="4" t="str">
        <f>VLOOKUP(A190,Ginecologia_dados!B:C,2,FALSE)</f>
        <v>ITAJUBÁ</v>
      </c>
      <c r="E190">
        <v>1307</v>
      </c>
    </row>
    <row r="191" spans="1:5" x14ac:dyDescent="0.3">
      <c r="A191" s="4">
        <v>311730</v>
      </c>
      <c r="B191" s="4" t="s">
        <v>275</v>
      </c>
      <c r="C191" s="4" t="str">
        <f>VLOOKUP(População!A191,Ginecologia_dados!B:E,3,FALSE)</f>
        <v>TRIÂNGULO DO SUL</v>
      </c>
      <c r="D191" s="4" t="str">
        <f>VLOOKUP(A191,Ginecologia_dados!B:C,2,FALSE)</f>
        <v>UBERABA</v>
      </c>
      <c r="E191">
        <v>13362</v>
      </c>
    </row>
    <row r="192" spans="1:5" x14ac:dyDescent="0.3">
      <c r="A192" s="4">
        <v>311740</v>
      </c>
      <c r="B192" s="4" t="s">
        <v>276</v>
      </c>
      <c r="C192" s="4" t="str">
        <f>VLOOKUP(População!A192,Ginecologia_dados!B:E,3,FALSE)</f>
        <v>LESTE DO SUL</v>
      </c>
      <c r="D192" s="4" t="str">
        <f>VLOOKUP(A192,Ginecologia_dados!B:C,2,FALSE)</f>
        <v>MANHUAÇU</v>
      </c>
      <c r="E192">
        <v>2257</v>
      </c>
    </row>
    <row r="193" spans="1:5" x14ac:dyDescent="0.3">
      <c r="A193" s="4">
        <v>311750</v>
      </c>
      <c r="B193" s="4" t="s">
        <v>277</v>
      </c>
      <c r="C193" s="4" t="str">
        <f>VLOOKUP(População!A193,Ginecologia_dados!B:E,3,FALSE)</f>
        <v>JEQUITINHONHA</v>
      </c>
      <c r="D193" s="4" t="str">
        <f>VLOOKUP(A193,Ginecologia_dados!B:C,2,FALSE)</f>
        <v>SERRO</v>
      </c>
      <c r="E193">
        <v>10806</v>
      </c>
    </row>
    <row r="194" spans="1:5" x14ac:dyDescent="0.3">
      <c r="A194" s="4">
        <v>311760</v>
      </c>
      <c r="B194" s="4" t="s">
        <v>279</v>
      </c>
      <c r="C194" s="4" t="str">
        <f>VLOOKUP(População!A194,Ginecologia_dados!B:E,3,FALSE)</f>
        <v>OESTE</v>
      </c>
      <c r="D194" s="4" t="str">
        <f>VLOOKUP(A194,Ginecologia_dados!B:C,2,FALSE)</f>
        <v>PARÁ DE MINAS</v>
      </c>
      <c r="E194">
        <v>2661</v>
      </c>
    </row>
    <row r="195" spans="1:5" x14ac:dyDescent="0.3">
      <c r="A195" s="4">
        <v>311770</v>
      </c>
      <c r="B195" s="4" t="s">
        <v>280</v>
      </c>
      <c r="C195" s="4" t="str">
        <f>VLOOKUP(População!A195,Ginecologia_dados!B:E,3,FALSE)</f>
        <v>SUL</v>
      </c>
      <c r="D195" s="4" t="str">
        <f>VLOOKUP(A195,Ginecologia_dados!B:C,2,FALSE)</f>
        <v>SÃO LOURENÇO</v>
      </c>
      <c r="E195">
        <v>6422</v>
      </c>
    </row>
    <row r="196" spans="1:5" x14ac:dyDescent="0.3">
      <c r="A196" s="4">
        <v>311780</v>
      </c>
      <c r="B196" s="4" t="s">
        <v>281</v>
      </c>
      <c r="C196" s="4" t="str">
        <f>VLOOKUP(População!A196,Ginecologia_dados!B:E,3,FALSE)</f>
        <v>SUL</v>
      </c>
      <c r="D196" s="4" t="str">
        <f>VLOOKUP(A196,Ginecologia_dados!B:C,2,FALSE)</f>
        <v>POUSO ALEGRE</v>
      </c>
      <c r="E196">
        <v>5380</v>
      </c>
    </row>
    <row r="197" spans="1:5" x14ac:dyDescent="0.3">
      <c r="A197" s="4">
        <v>311783</v>
      </c>
      <c r="B197" s="4" t="s">
        <v>282</v>
      </c>
      <c r="C197" s="4" t="str">
        <f>VLOOKUP(População!A197,Ginecologia_dados!B:E,3,FALSE)</f>
        <v>NORTE</v>
      </c>
      <c r="D197" s="4" t="str">
        <f>VLOOKUP(A197,Ginecologia_dados!B:C,2,FALSE)</f>
        <v>JANUÁRIA</v>
      </c>
      <c r="E197">
        <v>3612</v>
      </c>
    </row>
    <row r="198" spans="1:5" x14ac:dyDescent="0.3">
      <c r="A198" s="4">
        <v>311787</v>
      </c>
      <c r="B198" s="4" t="s">
        <v>284</v>
      </c>
      <c r="C198" s="4" t="str">
        <f>VLOOKUP(População!A198,Ginecologia_dados!B:E,3,FALSE)</f>
        <v>CENTRO</v>
      </c>
      <c r="D198" s="4" t="str">
        <f>VLOOKUP(A198,Ginecologia_dados!B:C,2,FALSE)</f>
        <v>VESPASIANO</v>
      </c>
      <c r="E198">
        <v>3577</v>
      </c>
    </row>
    <row r="199" spans="1:5" x14ac:dyDescent="0.3">
      <c r="A199" s="4">
        <v>311790</v>
      </c>
      <c r="B199" s="4" t="s">
        <v>285</v>
      </c>
      <c r="C199" s="4" t="str">
        <f>VLOOKUP(População!A199,Ginecologia_dados!B:E,3,FALSE)</f>
        <v>SUL</v>
      </c>
      <c r="D199" s="4" t="str">
        <f>VLOOKUP(A199,Ginecologia_dados!B:C,2,FALSE)</f>
        <v>POUSO ALEGRE</v>
      </c>
      <c r="E199">
        <v>5489</v>
      </c>
    </row>
    <row r="200" spans="1:5" x14ac:dyDescent="0.3">
      <c r="A200" s="4">
        <v>311800</v>
      </c>
      <c r="B200" s="4" t="s">
        <v>286</v>
      </c>
      <c r="C200" s="4" t="str">
        <f>VLOOKUP(População!A200,Ginecologia_dados!B:E,3,FALSE)</f>
        <v>CENTRO SUL</v>
      </c>
      <c r="D200" s="4" t="str">
        <f>VLOOKUP(A200,Ginecologia_dados!B:C,2,FALSE)</f>
        <v>CONGONHAS</v>
      </c>
      <c r="E200">
        <v>26888</v>
      </c>
    </row>
    <row r="201" spans="1:5" x14ac:dyDescent="0.3">
      <c r="A201" s="4">
        <v>311810</v>
      </c>
      <c r="B201" s="4" t="s">
        <v>287</v>
      </c>
      <c r="C201" s="4" t="str">
        <f>VLOOKUP(População!A201,Ginecologia_dados!B:E,3,FALSE)</f>
        <v>JEQUITINHONHA</v>
      </c>
      <c r="D201" s="4" t="str">
        <f>VLOOKUP(A201,Ginecologia_dados!B:C,2,FALSE)</f>
        <v>DIAMANTINA</v>
      </c>
      <c r="E201">
        <v>2464</v>
      </c>
    </row>
    <row r="202" spans="1:5" x14ac:dyDescent="0.3">
      <c r="A202" s="4">
        <v>311820</v>
      </c>
      <c r="B202" s="4" t="s">
        <v>288</v>
      </c>
      <c r="C202" s="4" t="str">
        <f>VLOOKUP(População!A202,Ginecologia_dados!B:E,3,FALSE)</f>
        <v>TRIÂNGULO DO SUL</v>
      </c>
      <c r="D202" s="4" t="str">
        <f>VLOOKUP(A202,Ginecologia_dados!B:C,2,FALSE)</f>
        <v>UBERABA</v>
      </c>
      <c r="E202">
        <v>3336</v>
      </c>
    </row>
    <row r="203" spans="1:5" x14ac:dyDescent="0.3">
      <c r="A203" s="4">
        <v>311830</v>
      </c>
      <c r="B203" s="4" t="s">
        <v>219</v>
      </c>
      <c r="C203" s="4" t="str">
        <f>VLOOKUP(População!A203,Ginecologia_dados!B:E,3,FALSE)</f>
        <v>CENTRO SUL</v>
      </c>
      <c r="D203" s="4" t="str">
        <f>VLOOKUP(A203,Ginecologia_dados!B:C,2,FALSE)</f>
        <v>CONSELHEIRO LAFAIETE</v>
      </c>
      <c r="E203">
        <v>67740</v>
      </c>
    </row>
    <row r="204" spans="1:5" x14ac:dyDescent="0.3">
      <c r="A204" s="4">
        <v>311840</v>
      </c>
      <c r="B204" s="4" t="s">
        <v>289</v>
      </c>
      <c r="C204" s="4" t="str">
        <f>VLOOKUP(População!A204,Ginecologia_dados!B:E,3,FALSE)</f>
        <v>LESTE</v>
      </c>
      <c r="D204" s="4" t="str">
        <f>VLOOKUP(A204,Ginecologia_dados!B:C,2,FALSE)</f>
        <v>RESPLENDOR</v>
      </c>
      <c r="E204">
        <v>11020</v>
      </c>
    </row>
    <row r="205" spans="1:5" x14ac:dyDescent="0.3">
      <c r="A205" s="4">
        <v>311850</v>
      </c>
      <c r="B205" s="4" t="s">
        <v>290</v>
      </c>
      <c r="C205" s="4" t="str">
        <f>VLOOKUP(População!A205,Ginecologia_dados!B:E,3,FALSE)</f>
        <v>SUL</v>
      </c>
      <c r="D205" s="4" t="str">
        <f>VLOOKUP(A205,Ginecologia_dados!B:C,2,FALSE)</f>
        <v>ITAJUBÁ</v>
      </c>
      <c r="E205">
        <v>783</v>
      </c>
    </row>
    <row r="206" spans="1:5" x14ac:dyDescent="0.3">
      <c r="A206" s="4">
        <v>311860</v>
      </c>
      <c r="B206" s="4" t="s">
        <v>291</v>
      </c>
      <c r="C206" s="4" t="str">
        <f>VLOOKUP(População!A206,Ginecologia_dados!B:E,3,FALSE)</f>
        <v>CENTRO</v>
      </c>
      <c r="D206" s="4" t="str">
        <f>VLOOKUP(A206,Ginecologia_dados!B:C,2,FALSE)</f>
        <v>CONTAGEM</v>
      </c>
      <c r="E206">
        <v>332407</v>
      </c>
    </row>
    <row r="207" spans="1:5" x14ac:dyDescent="0.3">
      <c r="A207" s="4">
        <v>311870</v>
      </c>
      <c r="B207" s="4" t="s">
        <v>292</v>
      </c>
      <c r="C207" s="4" t="str">
        <f>VLOOKUP(População!A207,Ginecologia_dados!B:E,3,FALSE)</f>
        <v>SUL</v>
      </c>
      <c r="D207" s="4" t="str">
        <f>VLOOKUP(A207,Ginecologia_dados!B:C,2,FALSE)</f>
        <v>TRÊS PONTAS</v>
      </c>
      <c r="E207">
        <v>4613</v>
      </c>
    </row>
    <row r="208" spans="1:5" x14ac:dyDescent="0.3">
      <c r="A208" s="4">
        <v>311880</v>
      </c>
      <c r="B208" s="4" t="s">
        <v>294</v>
      </c>
      <c r="C208" s="4" t="str">
        <f>VLOOKUP(População!A208,Ginecologia_dados!B:E,3,FALSE)</f>
        <v>NORTE</v>
      </c>
      <c r="D208" s="4" t="str">
        <f>VLOOKUP(A208,Ginecologia_dados!B:C,2,FALSE)</f>
        <v>CORAÇÃO DE JESUS</v>
      </c>
      <c r="E208">
        <v>13132</v>
      </c>
    </row>
    <row r="209" spans="1:5" x14ac:dyDescent="0.3">
      <c r="A209" s="4">
        <v>311890</v>
      </c>
      <c r="B209" s="4" t="s">
        <v>295</v>
      </c>
      <c r="C209" s="4" t="str">
        <f>VLOOKUP(População!A209,Ginecologia_dados!B:E,3,FALSE)</f>
        <v>CENTRO</v>
      </c>
      <c r="D209" s="4" t="str">
        <f>VLOOKUP(A209,Ginecologia_dados!B:C,2,FALSE)</f>
        <v>SETE LAGOAS</v>
      </c>
      <c r="E209">
        <v>3983</v>
      </c>
    </row>
    <row r="210" spans="1:5" x14ac:dyDescent="0.3">
      <c r="A210" s="4">
        <v>311900</v>
      </c>
      <c r="B210" s="4" t="s">
        <v>297</v>
      </c>
      <c r="C210" s="4" t="str">
        <f>VLOOKUP(População!A210,Ginecologia_dados!B:E,3,FALSE)</f>
        <v>SUL</v>
      </c>
      <c r="D210" s="4" t="str">
        <f>VLOOKUP(A210,Ginecologia_dados!B:C,2,FALSE)</f>
        <v>VARGINHA</v>
      </c>
      <c r="E210">
        <v>1617</v>
      </c>
    </row>
    <row r="211" spans="1:5" x14ac:dyDescent="0.3">
      <c r="A211" s="4">
        <v>311910</v>
      </c>
      <c r="B211" s="4" t="s">
        <v>298</v>
      </c>
      <c r="C211" s="4" t="str">
        <f>VLOOKUP(População!A211,Ginecologia_dados!B:E,3,FALSE)</f>
        <v>CENTRO</v>
      </c>
      <c r="D211" s="4" t="str">
        <f>VLOOKUP(A211,Ginecologia_dados!B:C,2,FALSE)</f>
        <v>CURVELO</v>
      </c>
      <c r="E211">
        <v>12246</v>
      </c>
    </row>
    <row r="212" spans="1:5" x14ac:dyDescent="0.3">
      <c r="A212" s="4">
        <v>311920</v>
      </c>
      <c r="B212" s="4" t="s">
        <v>299</v>
      </c>
      <c r="C212" s="4" t="str">
        <f>VLOOKUP(População!A212,Ginecologia_dados!B:E,3,FALSE)</f>
        <v>LESTE</v>
      </c>
      <c r="D212" s="4" t="str">
        <f>VLOOKUP(A212,Ginecologia_dados!B:C,2,FALSE)</f>
        <v>GOVERNADOR VALADARES</v>
      </c>
      <c r="E212">
        <v>5384</v>
      </c>
    </row>
    <row r="213" spans="1:5" x14ac:dyDescent="0.3">
      <c r="A213" s="4">
        <v>311930</v>
      </c>
      <c r="B213" s="4" t="s">
        <v>300</v>
      </c>
      <c r="C213" s="4" t="str">
        <f>VLOOKUP(População!A213,Ginecologia_dados!B:E,3,FALSE)</f>
        <v>TRIÂNGULO DO NORTE</v>
      </c>
      <c r="D213" s="4" t="str">
        <f>VLOOKUP(A213,Ginecologia_dados!B:C,2,FALSE)</f>
        <v>PATROCÍNIO/MONTE CARMELO</v>
      </c>
      <c r="E213">
        <v>14537</v>
      </c>
    </row>
    <row r="214" spans="1:5" x14ac:dyDescent="0.3">
      <c r="A214" s="4">
        <v>311940</v>
      </c>
      <c r="B214" s="4" t="s">
        <v>301</v>
      </c>
      <c r="C214" s="4" t="str">
        <f>VLOOKUP(População!A214,Ginecologia_dados!B:E,3,FALSE)</f>
        <v>VALE DO AÇO</v>
      </c>
      <c r="D214" s="4" t="str">
        <f>VLOOKUP(A214,Ginecologia_dados!B:C,2,FALSE)</f>
        <v>CORONEL FABRICIANO/TIMÓTEO</v>
      </c>
      <c r="E214">
        <v>56184</v>
      </c>
    </row>
    <row r="215" spans="1:5" x14ac:dyDescent="0.3">
      <c r="A215" s="4">
        <v>311950</v>
      </c>
      <c r="B215" s="4" t="s">
        <v>302</v>
      </c>
      <c r="C215" s="4" t="str">
        <f>VLOOKUP(População!A215,Ginecologia_dados!B:E,3,FALSE)</f>
        <v>JEQUITINHONHA</v>
      </c>
      <c r="D215" s="4" t="str">
        <f>VLOOKUP(A215,Ginecologia_dados!B:C,2,FALSE)</f>
        <v>ARAÇUAÍ</v>
      </c>
      <c r="E215">
        <v>4248</v>
      </c>
    </row>
    <row r="216" spans="1:5" x14ac:dyDescent="0.3">
      <c r="A216" s="4">
        <v>311960</v>
      </c>
      <c r="B216" s="4" t="s">
        <v>303</v>
      </c>
      <c r="C216" s="4" t="str">
        <f>VLOOKUP(População!A216,Ginecologia_dados!B:E,3,FALSE)</f>
        <v>SUDESTE</v>
      </c>
      <c r="D216" s="4" t="str">
        <f>VLOOKUP(A216,Ginecologia_dados!B:C,2,FALSE)</f>
        <v>JUIZ DE FORA</v>
      </c>
      <c r="E216">
        <v>1453</v>
      </c>
    </row>
    <row r="217" spans="1:5" x14ac:dyDescent="0.3">
      <c r="A217" s="4">
        <v>311970</v>
      </c>
      <c r="B217" s="4" t="s">
        <v>304</v>
      </c>
      <c r="C217" s="4" t="str">
        <f>VLOOKUP(População!A217,Ginecologia_dados!B:E,3,FALSE)</f>
        <v>CENTRO SUL</v>
      </c>
      <c r="D217" s="4" t="str">
        <f>VLOOKUP(A217,Ginecologia_dados!B:C,2,FALSE)</f>
        <v>SÃO JOÃO DEL REI</v>
      </c>
      <c r="E217">
        <v>1785</v>
      </c>
    </row>
    <row r="218" spans="1:5" x14ac:dyDescent="0.3">
      <c r="A218" s="4">
        <v>311980</v>
      </c>
      <c r="B218" s="4" t="s">
        <v>305</v>
      </c>
      <c r="C218" s="4" t="str">
        <f>VLOOKUP(População!A218,Ginecologia_dados!B:E,3,FALSE)</f>
        <v>OESTE</v>
      </c>
      <c r="D218" s="4" t="str">
        <f>VLOOKUP(A218,Ginecologia_dados!B:C,2,FALSE)</f>
        <v>FORMIGA</v>
      </c>
      <c r="E218">
        <v>1483</v>
      </c>
    </row>
    <row r="219" spans="1:5" x14ac:dyDescent="0.3">
      <c r="A219" s="4">
        <v>311990</v>
      </c>
      <c r="B219" s="4" t="s">
        <v>306</v>
      </c>
      <c r="C219" s="4" t="str">
        <f>VLOOKUP(População!A219,Ginecologia_dados!B:E,3,FALSE)</f>
        <v>SUL</v>
      </c>
      <c r="D219" s="4" t="str">
        <f>VLOOKUP(A219,Ginecologia_dados!B:C,2,FALSE)</f>
        <v>POUSO ALEGRE</v>
      </c>
      <c r="E219">
        <v>2031</v>
      </c>
    </row>
    <row r="220" spans="1:5" x14ac:dyDescent="0.3">
      <c r="A220" s="4">
        <v>311995</v>
      </c>
      <c r="B220" s="4" t="s">
        <v>307</v>
      </c>
      <c r="C220" s="4" t="str">
        <f>VLOOKUP(População!A220,Ginecologia_dados!B:E,3,FALSE)</f>
        <v>OESTE</v>
      </c>
      <c r="D220" s="4" t="str">
        <f>VLOOKUP(A220,Ginecologia_dados!B:C,2,FALSE)</f>
        <v>FORMIGA</v>
      </c>
      <c r="E220">
        <v>3014</v>
      </c>
    </row>
    <row r="221" spans="1:5" x14ac:dyDescent="0.3">
      <c r="A221" s="4">
        <v>312000</v>
      </c>
      <c r="B221" s="4" t="s">
        <v>308</v>
      </c>
      <c r="C221" s="4" t="str">
        <f>VLOOKUP(População!A221,Ginecologia_dados!B:E,3,FALSE)</f>
        <v>VALE DO AÇO</v>
      </c>
      <c r="D221" s="4" t="str">
        <f>VLOOKUP(A221,Ginecologia_dados!B:C,2,FALSE)</f>
        <v>CORONEL FABRICIANO/TIMÓTEO</v>
      </c>
      <c r="E221">
        <v>1495</v>
      </c>
    </row>
    <row r="222" spans="1:5" x14ac:dyDescent="0.3">
      <c r="A222" s="4">
        <v>312010</v>
      </c>
      <c r="B222" s="4" t="s">
        <v>309</v>
      </c>
      <c r="C222" s="4" t="str">
        <f>VLOOKUP(População!A222,Ginecologia_dados!B:E,3,FALSE)</f>
        <v>JEQUITINHONHA</v>
      </c>
      <c r="D222" s="4" t="str">
        <f>VLOOKUP(A222,Ginecologia_dados!B:C,2,FALSE)</f>
        <v>DIAMANTINA</v>
      </c>
      <c r="E222">
        <v>2207</v>
      </c>
    </row>
    <row r="223" spans="1:5" x14ac:dyDescent="0.3">
      <c r="A223" s="4">
        <v>312015</v>
      </c>
      <c r="B223" s="4" t="s">
        <v>310</v>
      </c>
      <c r="C223" s="4" t="str">
        <f>VLOOKUP(População!A223,Ginecologia_dados!B:E,3,FALSE)</f>
        <v>NORDESTE</v>
      </c>
      <c r="D223" s="4" t="str">
        <f>VLOOKUP(A223,Ginecologia_dados!B:C,2,FALSE)</f>
        <v>ÁGUAS FORMOSAS</v>
      </c>
      <c r="E223">
        <v>2672</v>
      </c>
    </row>
    <row r="224" spans="1:5" x14ac:dyDescent="0.3">
      <c r="A224" s="4">
        <v>312020</v>
      </c>
      <c r="B224" s="4" t="s">
        <v>311</v>
      </c>
      <c r="C224" s="4" t="str">
        <f>VLOOKUP(População!A224,Ginecologia_dados!B:E,3,FALSE)</f>
        <v>OESTE</v>
      </c>
      <c r="D224" s="4" t="str">
        <f>VLOOKUP(A224,Ginecologia_dados!B:C,2,FALSE)</f>
        <v>CAMPO BELO</v>
      </c>
      <c r="E224">
        <v>6037</v>
      </c>
    </row>
    <row r="225" spans="1:5" x14ac:dyDescent="0.3">
      <c r="A225" s="4">
        <v>312030</v>
      </c>
      <c r="B225" s="4" t="s">
        <v>312</v>
      </c>
      <c r="C225" s="4" t="str">
        <f>VLOOKUP(População!A225,Ginecologia_dados!B:E,3,FALSE)</f>
        <v>NORTE</v>
      </c>
      <c r="D225" s="4" t="str">
        <f>VLOOKUP(A225,Ginecologia_dados!B:C,2,FALSE)</f>
        <v>FRANCISCO SÁ</v>
      </c>
      <c r="E225">
        <v>2649</v>
      </c>
    </row>
    <row r="226" spans="1:5" x14ac:dyDescent="0.3">
      <c r="A226" s="4">
        <v>312040</v>
      </c>
      <c r="B226" s="4" t="s">
        <v>313</v>
      </c>
      <c r="C226" s="4" t="str">
        <f>VLOOKUP(População!A226,Ginecologia_dados!B:E,3,FALSE)</f>
        <v>CENTRO SUL</v>
      </c>
      <c r="D226" s="4" t="str">
        <f>VLOOKUP(A226,Ginecologia_dados!B:C,2,FALSE)</f>
        <v>CONSELHEIRO LAFAIETE</v>
      </c>
      <c r="E226">
        <v>2451</v>
      </c>
    </row>
    <row r="227" spans="1:5" x14ac:dyDescent="0.3">
      <c r="A227" s="4">
        <v>312050</v>
      </c>
      <c r="B227" s="4" t="s">
        <v>314</v>
      </c>
      <c r="C227" s="4" t="str">
        <f>VLOOKUP(População!A227,Ginecologia_dados!B:E,3,FALSE)</f>
        <v>SUL</v>
      </c>
      <c r="D227" s="4" t="str">
        <f>VLOOKUP(A227,Ginecologia_dados!B:C,2,FALSE)</f>
        <v>SÃO LOURENÇO</v>
      </c>
      <c r="E227">
        <v>5130</v>
      </c>
    </row>
    <row r="228" spans="1:5" x14ac:dyDescent="0.3">
      <c r="A228" s="4">
        <v>312060</v>
      </c>
      <c r="B228" s="4" t="s">
        <v>315</v>
      </c>
      <c r="C228" s="4" t="str">
        <f>VLOOKUP(População!A228,Ginecologia_dados!B:E,3,FALSE)</f>
        <v>CENTRO</v>
      </c>
      <c r="D228" s="4" t="str">
        <f>VLOOKUP(A228,Ginecologia_dados!B:C,2,FALSE)</f>
        <v>BETIM</v>
      </c>
      <c r="E228">
        <v>2649</v>
      </c>
    </row>
    <row r="229" spans="1:5" x14ac:dyDescent="0.3">
      <c r="A229" s="4">
        <v>312070</v>
      </c>
      <c r="B229" s="4" t="s">
        <v>317</v>
      </c>
      <c r="C229" s="4" t="str">
        <f>VLOOKUP(População!A229,Ginecologia_dados!B:E,3,FALSE)</f>
        <v>NOROESTE</v>
      </c>
      <c r="D229" s="4" t="str">
        <f>VLOOKUP(A229,Ginecologia_dados!B:C,2,FALSE)</f>
        <v>PATOS DE MINAS</v>
      </c>
      <c r="E229">
        <v>1729</v>
      </c>
    </row>
    <row r="230" spans="1:5" x14ac:dyDescent="0.3">
      <c r="A230" s="4">
        <v>312080</v>
      </c>
      <c r="B230" s="4" t="s">
        <v>318</v>
      </c>
      <c r="C230" s="4" t="str">
        <f>VLOOKUP(População!A230,Ginecologia_dados!B:E,3,FALSE)</f>
        <v>SUL</v>
      </c>
      <c r="D230" s="4" t="str">
        <f>VLOOKUP(A230,Ginecologia_dados!B:C,2,FALSE)</f>
        <v>SÃO LOURENÇO</v>
      </c>
      <c r="E230">
        <v>7764</v>
      </c>
    </row>
    <row r="231" spans="1:5" x14ac:dyDescent="0.3">
      <c r="A231" s="4">
        <v>312083</v>
      </c>
      <c r="B231" s="4" t="s">
        <v>319</v>
      </c>
      <c r="C231" s="4" t="str">
        <f>VLOOKUP(População!A231,Ginecologia_dados!B:E,3,FALSE)</f>
        <v>LESTE</v>
      </c>
      <c r="D231" s="4" t="str">
        <f>VLOOKUP(A231,Ginecologia_dados!B:C,2,FALSE)</f>
        <v>RESPLENDOR</v>
      </c>
      <c r="E231">
        <v>2119</v>
      </c>
    </row>
    <row r="232" spans="1:5" x14ac:dyDescent="0.3">
      <c r="A232" s="4">
        <v>312087</v>
      </c>
      <c r="B232" s="4" t="s">
        <v>320</v>
      </c>
      <c r="C232" s="4" t="str">
        <f>VLOOKUP(População!A232,Ginecologia_dados!B:E,3,FALSE)</f>
        <v>NORTE</v>
      </c>
      <c r="D232" s="4" t="str">
        <f>VLOOKUP(A232,Ginecologia_dados!B:C,2,FALSE)</f>
        <v>TAIOBEIRAS</v>
      </c>
      <c r="E232">
        <v>3684</v>
      </c>
    </row>
    <row r="233" spans="1:5" x14ac:dyDescent="0.3">
      <c r="A233" s="4">
        <v>312090</v>
      </c>
      <c r="B233" s="4" t="s">
        <v>102</v>
      </c>
      <c r="C233" s="4" t="str">
        <f>VLOOKUP(População!A233,Ginecologia_dados!B:E,3,FALSE)</f>
        <v>CENTRO</v>
      </c>
      <c r="D233" s="4" t="str">
        <f>VLOOKUP(A233,Ginecologia_dados!B:C,2,FALSE)</f>
        <v>CURVELO</v>
      </c>
      <c r="E233">
        <v>41796</v>
      </c>
    </row>
    <row r="234" spans="1:5" x14ac:dyDescent="0.3">
      <c r="A234" s="4">
        <v>312100</v>
      </c>
      <c r="B234" s="4" t="s">
        <v>321</v>
      </c>
      <c r="C234" s="4" t="str">
        <f>VLOOKUP(População!A234,Ginecologia_dados!B:E,3,FALSE)</f>
        <v>JEQUITINHONHA</v>
      </c>
      <c r="D234" s="4" t="str">
        <f>VLOOKUP(A234,Ginecologia_dados!B:C,2,FALSE)</f>
        <v>DIAMANTINA</v>
      </c>
      <c r="E234">
        <v>2815</v>
      </c>
    </row>
    <row r="235" spans="1:5" x14ac:dyDescent="0.3">
      <c r="A235" s="4">
        <v>312110</v>
      </c>
      <c r="B235" s="4" t="s">
        <v>322</v>
      </c>
      <c r="C235" s="4" t="str">
        <f>VLOOKUP(População!A235,Ginecologia_dados!B:E,3,FALSE)</f>
        <v>SUL</v>
      </c>
      <c r="D235" s="4" t="str">
        <f>VLOOKUP(A235,Ginecologia_dados!B:C,2,FALSE)</f>
        <v>ITAJUBÁ</v>
      </c>
      <c r="E235">
        <v>3896</v>
      </c>
    </row>
    <row r="236" spans="1:5" x14ac:dyDescent="0.3">
      <c r="A236" s="4">
        <v>312120</v>
      </c>
      <c r="B236" s="4" t="s">
        <v>323</v>
      </c>
      <c r="C236" s="4" t="str">
        <f>VLOOKUP(População!A236,Ginecologia_dados!B:E,3,FALSE)</f>
        <v>SUL</v>
      </c>
      <c r="D236" s="4" t="str">
        <f>VLOOKUP(A236,Ginecologia_dados!B:C,2,FALSE)</f>
        <v>CÁSSIA</v>
      </c>
      <c r="E236">
        <v>3858</v>
      </c>
    </row>
    <row r="237" spans="1:5" x14ac:dyDescent="0.3">
      <c r="A237" s="4">
        <v>312125</v>
      </c>
      <c r="B237" s="4" t="s">
        <v>324</v>
      </c>
      <c r="C237" s="4" t="str">
        <f>VLOOKUP(População!A237,Ginecologia_dados!B:E,3,FALSE)</f>
        <v>TRIÂNGULO DO SUL</v>
      </c>
      <c r="D237" s="4" t="str">
        <f>VLOOKUP(A237,Ginecologia_dados!B:C,2,FALSE)</f>
        <v>UBERABA</v>
      </c>
      <c r="E237">
        <v>4719</v>
      </c>
    </row>
    <row r="238" spans="1:5" x14ac:dyDescent="0.3">
      <c r="A238" s="4">
        <v>312130</v>
      </c>
      <c r="B238" s="4" t="s">
        <v>325</v>
      </c>
      <c r="C238" s="4" t="str">
        <f>VLOOKUP(População!A238,Ginecologia_dados!B:E,3,FALSE)</f>
        <v>SUDESTE</v>
      </c>
      <c r="D238" s="4" t="str">
        <f>VLOOKUP(A238,Ginecologia_dados!B:C,2,FALSE)</f>
        <v>SÃO JOÃO NEPOMUCENO/BICAS</v>
      </c>
      <c r="E238">
        <v>2465</v>
      </c>
    </row>
    <row r="239" spans="1:5" x14ac:dyDescent="0.3">
      <c r="A239" s="4">
        <v>312140</v>
      </c>
      <c r="B239" s="4" t="s">
        <v>326</v>
      </c>
      <c r="C239" s="4" t="str">
        <f>VLOOKUP(População!A239,Ginecologia_dados!B:E,3,FALSE)</f>
        <v>CENTRO SUL</v>
      </c>
      <c r="D239" s="4" t="str">
        <f>VLOOKUP(A239,Ginecologia_dados!B:C,2,FALSE)</f>
        <v>CONGONHAS</v>
      </c>
      <c r="E239">
        <v>3725</v>
      </c>
    </row>
    <row r="240" spans="1:5" x14ac:dyDescent="0.3">
      <c r="A240" s="4">
        <v>312150</v>
      </c>
      <c r="B240" s="4" t="s">
        <v>327</v>
      </c>
      <c r="C240" s="4" t="str">
        <f>VLOOKUP(População!A240,Ginecologia_dados!B:E,3,FALSE)</f>
        <v>CENTRO SUL</v>
      </c>
      <c r="D240" s="4" t="str">
        <f>VLOOKUP(A240,Ginecologia_dados!B:C,2,FALSE)</f>
        <v>BARBACENA</v>
      </c>
      <c r="E240">
        <v>1500</v>
      </c>
    </row>
    <row r="241" spans="1:5" x14ac:dyDescent="0.3">
      <c r="A241" s="4">
        <v>312160</v>
      </c>
      <c r="B241" s="4" t="s">
        <v>222</v>
      </c>
      <c r="C241" s="4" t="str">
        <f>VLOOKUP(População!A241,Ginecologia_dados!B:E,3,FALSE)</f>
        <v>JEQUITINHONHA</v>
      </c>
      <c r="D241" s="4" t="str">
        <f>VLOOKUP(A241,Ginecologia_dados!B:C,2,FALSE)</f>
        <v>DIAMANTINA</v>
      </c>
      <c r="E241">
        <v>24926</v>
      </c>
    </row>
    <row r="242" spans="1:5" x14ac:dyDescent="0.3">
      <c r="A242" s="4">
        <v>312170</v>
      </c>
      <c r="B242" s="4" t="s">
        <v>328</v>
      </c>
      <c r="C242" s="4" t="str">
        <f>VLOOKUP(População!A242,Ginecologia_dados!B:E,3,FALSE)</f>
        <v>LESTE DO SUL</v>
      </c>
      <c r="D242" s="4" t="str">
        <f>VLOOKUP(A242,Ginecologia_dados!B:C,2,FALSE)</f>
        <v>PONTE NOVA</v>
      </c>
      <c r="E242">
        <v>1849</v>
      </c>
    </row>
    <row r="243" spans="1:5" x14ac:dyDescent="0.3">
      <c r="A243" s="4">
        <v>312180</v>
      </c>
      <c r="B243" s="4" t="s">
        <v>329</v>
      </c>
      <c r="C243" s="4" t="str">
        <f>VLOOKUP(População!A243,Ginecologia_dados!B:E,3,FALSE)</f>
        <v>VALE DO AÇO</v>
      </c>
      <c r="D243" s="4" t="str">
        <f>VLOOKUP(A243,Ginecologia_dados!B:C,2,FALSE)</f>
        <v>CORONEL FABRICIANO/TIMÓTEO</v>
      </c>
      <c r="E243">
        <v>3805</v>
      </c>
    </row>
    <row r="244" spans="1:5" x14ac:dyDescent="0.3">
      <c r="A244" s="4">
        <v>312190</v>
      </c>
      <c r="B244" s="4" t="s">
        <v>330</v>
      </c>
      <c r="C244" s="4" t="str">
        <f>VLOOKUP(População!A244,Ginecologia_dados!B:E,3,FALSE)</f>
        <v>SUDESTE</v>
      </c>
      <c r="D244" s="4" t="str">
        <f>VLOOKUP(A244,Ginecologia_dados!B:C,2,FALSE)</f>
        <v>UBÁ</v>
      </c>
      <c r="E244">
        <v>2025</v>
      </c>
    </row>
    <row r="245" spans="1:5" x14ac:dyDescent="0.3">
      <c r="A245" s="4">
        <v>312200</v>
      </c>
      <c r="B245" s="4" t="s">
        <v>331</v>
      </c>
      <c r="C245" s="4" t="str">
        <f>VLOOKUP(População!A245,Ginecologia_dados!B:E,3,FALSE)</f>
        <v>SUDESTE</v>
      </c>
      <c r="D245" s="4" t="str">
        <f>VLOOKUP(A245,Ginecologia_dados!B:C,2,FALSE)</f>
        <v>CARANGOLA</v>
      </c>
      <c r="E245">
        <v>10176</v>
      </c>
    </row>
    <row r="246" spans="1:5" x14ac:dyDescent="0.3">
      <c r="A246" s="4">
        <v>312210</v>
      </c>
      <c r="B246" s="4" t="s">
        <v>332</v>
      </c>
      <c r="C246" s="4" t="str">
        <f>VLOOKUP(População!A246,Ginecologia_dados!B:E,3,FALSE)</f>
        <v>LESTE</v>
      </c>
      <c r="D246" s="4" t="str">
        <f>VLOOKUP(A246,Ginecologia_dados!B:C,2,FALSE)</f>
        <v>MANTENA</v>
      </c>
      <c r="E246">
        <v>2277</v>
      </c>
    </row>
    <row r="247" spans="1:5" x14ac:dyDescent="0.3">
      <c r="A247" s="4">
        <v>312220</v>
      </c>
      <c r="B247" s="4" t="s">
        <v>333</v>
      </c>
      <c r="C247" s="4" t="str">
        <f>VLOOKUP(População!A247,Ginecologia_dados!B:E,3,FALSE)</f>
        <v>LESTE</v>
      </c>
      <c r="D247" s="4" t="str">
        <f>VLOOKUP(A247,Ginecologia_dados!B:C,2,FALSE)</f>
        <v>GOVERNADOR VALADARES</v>
      </c>
      <c r="E247">
        <v>3473</v>
      </c>
    </row>
    <row r="248" spans="1:5" x14ac:dyDescent="0.3">
      <c r="A248" s="4">
        <v>312230</v>
      </c>
      <c r="B248" s="4" t="s">
        <v>334</v>
      </c>
      <c r="C248" s="4" t="str">
        <f>VLOOKUP(População!A248,Ginecologia_dados!B:E,3,FALSE)</f>
        <v>OESTE</v>
      </c>
      <c r="D248" s="4" t="str">
        <f>VLOOKUP(A248,Ginecologia_dados!B:C,2,FALSE)</f>
        <v>DIVINÓPOLIS</v>
      </c>
      <c r="E248">
        <v>120327</v>
      </c>
    </row>
    <row r="249" spans="1:5" x14ac:dyDescent="0.3">
      <c r="A249" s="4">
        <v>312235</v>
      </c>
      <c r="B249" s="4" t="s">
        <v>335</v>
      </c>
      <c r="C249" s="4" t="str">
        <f>VLOOKUP(População!A249,Ginecologia_dados!B:E,3,FALSE)</f>
        <v>NORDESTE</v>
      </c>
      <c r="D249" s="4" t="str">
        <f>VLOOKUP(A249,Ginecologia_dados!B:C,2,FALSE)</f>
        <v>PEDRA AZUL</v>
      </c>
      <c r="E249">
        <v>3247</v>
      </c>
    </row>
    <row r="250" spans="1:5" x14ac:dyDescent="0.3">
      <c r="A250" s="4">
        <v>312240</v>
      </c>
      <c r="B250" s="4" t="s">
        <v>336</v>
      </c>
      <c r="C250" s="4" t="str">
        <f>VLOOKUP(População!A250,Ginecologia_dados!B:E,3,FALSE)</f>
        <v>SUL</v>
      </c>
      <c r="D250" s="4" t="str">
        <f>VLOOKUP(A250,Ginecologia_dados!B:C,2,FALSE)</f>
        <v>ALFENAS/MACHADO</v>
      </c>
      <c r="E250">
        <v>2867</v>
      </c>
    </row>
    <row r="251" spans="1:5" x14ac:dyDescent="0.3">
      <c r="A251" s="4">
        <v>312245</v>
      </c>
      <c r="B251" s="4" t="s">
        <v>337</v>
      </c>
      <c r="C251" s="4" t="str">
        <f>VLOOKUP(População!A251,Ginecologia_dados!B:E,3,FALSE)</f>
        <v>NORDESTE</v>
      </c>
      <c r="D251" s="4" t="str">
        <f>VLOOKUP(A251,Ginecologia_dados!B:C,2,FALSE)</f>
        <v>PEDRA AZUL</v>
      </c>
      <c r="E251">
        <v>4929</v>
      </c>
    </row>
    <row r="252" spans="1:5" x14ac:dyDescent="0.3">
      <c r="A252" s="4">
        <v>312247</v>
      </c>
      <c r="B252" s="4" t="s">
        <v>338</v>
      </c>
      <c r="C252" s="4" t="str">
        <f>VLOOKUP(População!A252,Ginecologia_dados!B:E,3,FALSE)</f>
        <v>NOROESTE</v>
      </c>
      <c r="D252" s="4" t="str">
        <f>VLOOKUP(A252,Ginecologia_dados!B:C,2,FALSE)</f>
        <v>UNAÍ</v>
      </c>
      <c r="E252">
        <v>1776</v>
      </c>
    </row>
    <row r="253" spans="1:5" x14ac:dyDescent="0.3">
      <c r="A253" s="4">
        <v>312250</v>
      </c>
      <c r="B253" s="4" t="s">
        <v>339</v>
      </c>
      <c r="C253" s="4" t="str">
        <f>VLOOKUP(População!A253,Ginecologia_dados!B:E,3,FALSE)</f>
        <v>VALE DO AÇO</v>
      </c>
      <c r="D253" s="4" t="str">
        <f>VLOOKUP(A253,Ginecologia_dados!B:C,2,FALSE)</f>
        <v>IPATINGA</v>
      </c>
      <c r="E253">
        <v>2636</v>
      </c>
    </row>
    <row r="254" spans="1:5" x14ac:dyDescent="0.3">
      <c r="A254" s="4">
        <v>312260</v>
      </c>
      <c r="B254" s="4" t="s">
        <v>340</v>
      </c>
      <c r="C254" s="4" t="str">
        <f>VLOOKUP(População!A254,Ginecologia_dados!B:E,3,FALSE)</f>
        <v>CENTRO</v>
      </c>
      <c r="D254" s="4" t="str">
        <f>VLOOKUP(A254,Ginecologia_dados!B:C,2,FALSE)</f>
        <v>GUANHÃES</v>
      </c>
      <c r="E254">
        <v>2448</v>
      </c>
    </row>
    <row r="255" spans="1:5" x14ac:dyDescent="0.3">
      <c r="A255" s="4">
        <v>312270</v>
      </c>
      <c r="B255" s="4" t="s">
        <v>341</v>
      </c>
      <c r="C255" s="4" t="str">
        <f>VLOOKUP(População!A255,Ginecologia_dados!B:E,3,FALSE)</f>
        <v>LESTE DO SUL</v>
      </c>
      <c r="D255" s="4" t="str">
        <f>VLOOKUP(A255,Ginecologia_dados!B:C,2,FALSE)</f>
        <v>PONTE NOVA</v>
      </c>
      <c r="E255">
        <v>2774</v>
      </c>
    </row>
    <row r="256" spans="1:5" x14ac:dyDescent="0.3">
      <c r="A256" s="4">
        <v>312280</v>
      </c>
      <c r="B256" s="4" t="s">
        <v>342</v>
      </c>
      <c r="C256" s="4" t="str">
        <f>VLOOKUP(População!A256,Ginecologia_dados!B:E,3,FALSE)</f>
        <v>SUL</v>
      </c>
      <c r="D256" s="4" t="str">
        <f>VLOOKUP(A256,Ginecologia_dados!B:C,2,FALSE)</f>
        <v>SÃO LOURENÇO</v>
      </c>
      <c r="E256">
        <v>1533</v>
      </c>
    </row>
    <row r="257" spans="1:5" x14ac:dyDescent="0.3">
      <c r="A257" s="4">
        <v>312290</v>
      </c>
      <c r="B257" s="4" t="s">
        <v>343</v>
      </c>
      <c r="C257" s="4" t="str">
        <f>VLOOKUP(População!A257,Ginecologia_dados!B:E,3,FALSE)</f>
        <v>SUDESTE</v>
      </c>
      <c r="D257" s="4" t="str">
        <f>VLOOKUP(A257,Ginecologia_dados!B:C,2,FALSE)</f>
        <v>LEOPOLDINA/CATAGUASES</v>
      </c>
      <c r="E257">
        <v>3051</v>
      </c>
    </row>
    <row r="258" spans="1:5" x14ac:dyDescent="0.3">
      <c r="A258" s="4">
        <v>312300</v>
      </c>
      <c r="B258" s="4" t="s">
        <v>344</v>
      </c>
      <c r="C258" s="4" t="str">
        <f>VLOOKUP(População!A258,Ginecologia_dados!B:E,3,FALSE)</f>
        <v>CENTRO SUL</v>
      </c>
      <c r="D258" s="4" t="str">
        <f>VLOOKUP(A258,Ginecologia_dados!B:C,2,FALSE)</f>
        <v>SÃO JOÃO DEL REI</v>
      </c>
      <c r="E258">
        <v>5014</v>
      </c>
    </row>
    <row r="259" spans="1:5" x14ac:dyDescent="0.3">
      <c r="A259" s="4">
        <v>312310</v>
      </c>
      <c r="B259" s="4" t="s">
        <v>345</v>
      </c>
      <c r="C259" s="4" t="str">
        <f>VLOOKUP(População!A259,Ginecologia_dados!B:E,3,FALSE)</f>
        <v>CENTRO</v>
      </c>
      <c r="D259" s="4" t="str">
        <f>VLOOKUP(A259,Ginecologia_dados!B:C,2,FALSE)</f>
        <v>GUANHÃES</v>
      </c>
      <c r="E259">
        <v>2556</v>
      </c>
    </row>
    <row r="260" spans="1:5" x14ac:dyDescent="0.3">
      <c r="A260" s="4">
        <v>312320</v>
      </c>
      <c r="B260" s="4" t="s">
        <v>346</v>
      </c>
      <c r="C260" s="4" t="str">
        <f>VLOOKUP(População!A260,Ginecologia_dados!B:E,3,FALSE)</f>
        <v>OESTE</v>
      </c>
      <c r="D260" s="4" t="str">
        <f>VLOOKUP(A260,Ginecologia_dados!B:C,2,FALSE)</f>
        <v>BOM DESPACHO</v>
      </c>
      <c r="E260">
        <v>6830</v>
      </c>
    </row>
    <row r="261" spans="1:5" x14ac:dyDescent="0.3">
      <c r="A261" s="4">
        <v>312330</v>
      </c>
      <c r="B261" s="4" t="s">
        <v>347</v>
      </c>
      <c r="C261" s="4" t="str">
        <f>VLOOKUP(População!A261,Ginecologia_dados!B:E,3,FALSE)</f>
        <v>SUDESTE</v>
      </c>
      <c r="D261" s="4" t="str">
        <f>VLOOKUP(A261,Ginecologia_dados!B:C,2,FALSE)</f>
        <v>UBÁ</v>
      </c>
      <c r="E261">
        <v>2422</v>
      </c>
    </row>
    <row r="262" spans="1:5" x14ac:dyDescent="0.3">
      <c r="A262" s="4">
        <v>312340</v>
      </c>
      <c r="B262" s="4" t="s">
        <v>348</v>
      </c>
      <c r="C262" s="4" t="str">
        <f>VLOOKUP(População!A262,Ginecologia_dados!B:E,3,FALSE)</f>
        <v>SUL</v>
      </c>
      <c r="D262" s="4" t="str">
        <f>VLOOKUP(A262,Ginecologia_dados!B:C,2,FALSE)</f>
        <v>PIUMHI</v>
      </c>
      <c r="E262">
        <v>733</v>
      </c>
    </row>
    <row r="263" spans="1:5" x14ac:dyDescent="0.3">
      <c r="A263" s="4">
        <v>312350</v>
      </c>
      <c r="B263" s="4" t="s">
        <v>349</v>
      </c>
      <c r="C263" s="4" t="str">
        <f>VLOOKUP(População!A263,Ginecologia_dados!B:E,3,FALSE)</f>
        <v>TRIÂNGULO DO NORTE</v>
      </c>
      <c r="D263" s="4" t="str">
        <f>VLOOKUP(A263,Ginecologia_dados!B:C,2,FALSE)</f>
        <v>PATROCÍNIO/MONTE CARMELO</v>
      </c>
      <c r="E263">
        <v>895</v>
      </c>
    </row>
    <row r="264" spans="1:5" x14ac:dyDescent="0.3">
      <c r="A264" s="4">
        <v>312352</v>
      </c>
      <c r="B264" s="4" t="s">
        <v>350</v>
      </c>
      <c r="C264" s="4" t="str">
        <f>VLOOKUP(População!A264,Ginecologia_dados!B:E,3,FALSE)</f>
        <v>LESTE DO SUL</v>
      </c>
      <c r="D264" s="4" t="str">
        <f>VLOOKUP(A264,Ginecologia_dados!B:C,2,FALSE)</f>
        <v>MANHUAÇU</v>
      </c>
      <c r="E264">
        <v>3801</v>
      </c>
    </row>
    <row r="265" spans="1:5" x14ac:dyDescent="0.3">
      <c r="A265" s="4">
        <v>312360</v>
      </c>
      <c r="B265" s="4" t="s">
        <v>351</v>
      </c>
      <c r="C265" s="4" t="str">
        <f>VLOOKUP(População!A265,Ginecologia_dados!B:E,3,FALSE)</f>
        <v>SUL</v>
      </c>
      <c r="D265" s="4" t="str">
        <f>VLOOKUP(A265,Ginecologia_dados!B:C,2,FALSE)</f>
        <v>VARGINHA</v>
      </c>
      <c r="E265">
        <v>13640</v>
      </c>
    </row>
    <row r="266" spans="1:5" x14ac:dyDescent="0.3">
      <c r="A266" s="4">
        <v>312370</v>
      </c>
      <c r="B266" s="4" t="s">
        <v>352</v>
      </c>
      <c r="C266" s="4" t="str">
        <f>VLOOKUP(População!A266,Ginecologia_dados!B:E,3,FALSE)</f>
        <v>LESTE</v>
      </c>
      <c r="D266" s="4" t="str">
        <f>VLOOKUP(A266,Ginecologia_dados!B:C,2,FALSE)</f>
        <v>GOVERNADOR VALADARES</v>
      </c>
      <c r="E266">
        <v>6748</v>
      </c>
    </row>
    <row r="267" spans="1:5" x14ac:dyDescent="0.3">
      <c r="A267" s="4">
        <v>312380</v>
      </c>
      <c r="B267" s="4" t="s">
        <v>353</v>
      </c>
      <c r="C267" s="4" t="str">
        <f>VLOOKUP(População!A267,Ginecologia_dados!B:E,3,FALSE)</f>
        <v>NORTE</v>
      </c>
      <c r="D267" s="4" t="str">
        <f>VLOOKUP(A267,Ginecologia_dados!B:C,2,FALSE)</f>
        <v>BOCAIÚVA</v>
      </c>
      <c r="E267">
        <v>3332</v>
      </c>
    </row>
    <row r="268" spans="1:5" x14ac:dyDescent="0.3">
      <c r="A268" s="4">
        <v>312385</v>
      </c>
      <c r="B268" s="4" t="s">
        <v>354</v>
      </c>
      <c r="C268" s="4" t="str">
        <f>VLOOKUP(População!A268,Ginecologia_dados!B:E,3,FALSE)</f>
        <v>VALE DO AÇO</v>
      </c>
      <c r="D268" s="4" t="str">
        <f>VLOOKUP(A268,Ginecologia_dados!B:C,2,FALSE)</f>
        <v>CARATINGA</v>
      </c>
      <c r="E268">
        <v>2614</v>
      </c>
    </row>
    <row r="269" spans="1:5" x14ac:dyDescent="0.3">
      <c r="A269" s="4">
        <v>312390</v>
      </c>
      <c r="B269" s="4" t="s">
        <v>355</v>
      </c>
      <c r="C269" s="4" t="str">
        <f>VLOOKUP(População!A269,Ginecologia_dados!B:E,3,FALSE)</f>
        <v>CENTRO SUL</v>
      </c>
      <c r="D269" s="4" t="str">
        <f>VLOOKUP(A269,Ginecologia_dados!B:C,2,FALSE)</f>
        <v>CONGONHAS</v>
      </c>
      <c r="E269">
        <v>7582</v>
      </c>
    </row>
    <row r="270" spans="1:5" x14ac:dyDescent="0.3">
      <c r="A270" s="4">
        <v>312400</v>
      </c>
      <c r="B270" s="4" t="s">
        <v>356</v>
      </c>
      <c r="C270" s="4" t="str">
        <f>VLOOKUP(População!A270,Ginecologia_dados!B:E,3,FALSE)</f>
        <v>SUDESTE</v>
      </c>
      <c r="D270" s="4" t="str">
        <f>VLOOKUP(A270,Ginecologia_dados!B:C,2,FALSE)</f>
        <v>UBÁ</v>
      </c>
      <c r="E270">
        <v>9997</v>
      </c>
    </row>
    <row r="271" spans="1:5" x14ac:dyDescent="0.3">
      <c r="A271" s="4">
        <v>312410</v>
      </c>
      <c r="B271" s="4" t="s">
        <v>357</v>
      </c>
      <c r="C271" s="4" t="str">
        <f>VLOOKUP(População!A271,Ginecologia_dados!B:E,3,FALSE)</f>
        <v>CENTRO</v>
      </c>
      <c r="D271" s="4" t="str">
        <f>VLOOKUP(A271,Ginecologia_dados!B:C,2,FALSE)</f>
        <v>BETIM</v>
      </c>
      <c r="E271">
        <v>39493</v>
      </c>
    </row>
    <row r="272" spans="1:5" x14ac:dyDescent="0.3">
      <c r="A272" s="4">
        <v>312420</v>
      </c>
      <c r="B272" s="4" t="s">
        <v>358</v>
      </c>
      <c r="C272" s="4" t="str">
        <f>VLOOKUP(População!A272,Ginecologia_dados!B:E,3,FALSE)</f>
        <v>SUDESTE</v>
      </c>
      <c r="D272" s="4" t="str">
        <f>VLOOKUP(A272,Ginecologia_dados!B:C,2,FALSE)</f>
        <v>CARANGOLA</v>
      </c>
      <c r="E272">
        <v>12136</v>
      </c>
    </row>
    <row r="273" spans="1:5" x14ac:dyDescent="0.3">
      <c r="A273" s="4">
        <v>312430</v>
      </c>
      <c r="B273" s="4" t="s">
        <v>359</v>
      </c>
      <c r="C273" s="4" t="str">
        <f>VLOOKUP(População!A273,Ginecologia_dados!B:E,3,FALSE)</f>
        <v>NORTE</v>
      </c>
      <c r="D273" s="4" t="str">
        <f>VLOOKUP(A273,Ginecologia_dados!B:C,2,FALSE)</f>
        <v>JANAÚBA/MONTE AZUL</v>
      </c>
      <c r="E273">
        <v>16014</v>
      </c>
    </row>
    <row r="274" spans="1:5" x14ac:dyDescent="0.3">
      <c r="A274" s="4">
        <v>312440</v>
      </c>
      <c r="B274" s="4" t="s">
        <v>360</v>
      </c>
      <c r="C274" s="4" t="str">
        <f>VLOOKUP(População!A274,Ginecologia_dados!B:E,3,FALSE)</f>
        <v>SUL</v>
      </c>
      <c r="D274" s="4" t="str">
        <f>VLOOKUP(A274,Ginecologia_dados!B:C,2,FALSE)</f>
        <v>POUSO ALEGRE</v>
      </c>
      <c r="E274">
        <v>2775</v>
      </c>
    </row>
    <row r="275" spans="1:5" x14ac:dyDescent="0.3">
      <c r="A275" s="4">
        <v>312450</v>
      </c>
      <c r="B275" s="4" t="s">
        <v>361</v>
      </c>
      <c r="C275" s="4" t="str">
        <f>VLOOKUP(População!A275,Ginecologia_dados!B:E,3,FALSE)</f>
        <v>SUL</v>
      </c>
      <c r="D275" s="4" t="str">
        <f>VLOOKUP(A275,Ginecologia_dados!B:C,2,FALSE)</f>
        <v>POUSO ALEGRE</v>
      </c>
      <c r="E275">
        <v>5586</v>
      </c>
    </row>
    <row r="276" spans="1:5" x14ac:dyDescent="0.3">
      <c r="A276" s="4">
        <v>312460</v>
      </c>
      <c r="B276" s="4" t="s">
        <v>362</v>
      </c>
      <c r="C276" s="4" t="str">
        <f>VLOOKUP(População!A276,Ginecologia_dados!B:E,3,FALSE)</f>
        <v>SUDESTE</v>
      </c>
      <c r="D276" s="4" t="str">
        <f>VLOOKUP(A276,Ginecologia_dados!B:C,2,FALSE)</f>
        <v>ALÉM PARAÍBA</v>
      </c>
      <c r="E276">
        <v>1159</v>
      </c>
    </row>
    <row r="277" spans="1:5" x14ac:dyDescent="0.3">
      <c r="A277" s="4">
        <v>312470</v>
      </c>
      <c r="B277" s="4" t="s">
        <v>363</v>
      </c>
      <c r="C277" s="4" t="str">
        <f>VLOOKUP(População!A277,Ginecologia_dados!B:E,3,FALSE)</f>
        <v>OESTE</v>
      </c>
      <c r="D277" s="4" t="str">
        <f>VLOOKUP(A277,Ginecologia_dados!B:C,2,FALSE)</f>
        <v>BOM DESPACHO</v>
      </c>
      <c r="E277">
        <v>1520</v>
      </c>
    </row>
    <row r="278" spans="1:5" x14ac:dyDescent="0.3">
      <c r="A278" s="4">
        <v>312480</v>
      </c>
      <c r="B278" s="4" t="s">
        <v>364</v>
      </c>
      <c r="C278" s="4" t="str">
        <f>VLOOKUP(População!A278,Ginecologia_dados!B:E,3,FALSE)</f>
        <v>TRIÂNGULO DO NORTE</v>
      </c>
      <c r="D278" s="4" t="str">
        <f>VLOOKUP(A278,Ginecologia_dados!B:C,2,FALSE)</f>
        <v>PATROCÍNIO/MONTE CARMELO</v>
      </c>
      <c r="E278">
        <v>3393</v>
      </c>
    </row>
    <row r="279" spans="1:5" x14ac:dyDescent="0.3">
      <c r="A279" s="4">
        <v>312490</v>
      </c>
      <c r="B279" s="4" t="s">
        <v>365</v>
      </c>
      <c r="C279" s="4" t="str">
        <f>VLOOKUP(População!A279,Ginecologia_dados!B:E,3,FALSE)</f>
        <v>SUDESTE</v>
      </c>
      <c r="D279" s="4" t="str">
        <f>VLOOKUP(A279,Ginecologia_dados!B:C,2,FALSE)</f>
        <v>MURIAÉ</v>
      </c>
      <c r="E279">
        <v>5401</v>
      </c>
    </row>
    <row r="280" spans="1:5" x14ac:dyDescent="0.3">
      <c r="A280" s="4">
        <v>312500</v>
      </c>
      <c r="B280" s="4" t="s">
        <v>366</v>
      </c>
      <c r="C280" s="4" t="str">
        <f>VLOOKUP(População!A280,Ginecologia_dados!B:E,3,FALSE)</f>
        <v>SUDESTE</v>
      </c>
      <c r="D280" s="4" t="str">
        <f>VLOOKUP(A280,Ginecologia_dados!B:C,2,FALSE)</f>
        <v>JUIZ DE FORA</v>
      </c>
      <c r="E280">
        <v>1943</v>
      </c>
    </row>
    <row r="281" spans="1:5" x14ac:dyDescent="0.3">
      <c r="A281" s="4">
        <v>312510</v>
      </c>
      <c r="B281" s="4" t="s">
        <v>367</v>
      </c>
      <c r="C281" s="4" t="str">
        <f>VLOOKUP(População!A281,Ginecologia_dados!B:E,3,FALSE)</f>
        <v>SUL</v>
      </c>
      <c r="D281" s="4" t="str">
        <f>VLOOKUP(A281,Ginecologia_dados!B:C,2,FALSE)</f>
        <v>POUSO ALEGRE</v>
      </c>
      <c r="E281">
        <v>22859</v>
      </c>
    </row>
    <row r="282" spans="1:5" x14ac:dyDescent="0.3">
      <c r="A282" s="4">
        <v>312520</v>
      </c>
      <c r="B282" s="4" t="s">
        <v>368</v>
      </c>
      <c r="C282" s="4" t="str">
        <f>VLOOKUP(População!A282,Ginecologia_dados!B:E,3,FALSE)</f>
        <v>SUL</v>
      </c>
      <c r="D282" s="4" t="str">
        <f>VLOOKUP(A282,Ginecologia_dados!B:C,2,FALSE)</f>
        <v>ALFENAS/MACHADO</v>
      </c>
      <c r="E282">
        <v>1288</v>
      </c>
    </row>
    <row r="283" spans="1:5" x14ac:dyDescent="0.3">
      <c r="A283" s="4">
        <v>312530</v>
      </c>
      <c r="B283" s="4" t="s">
        <v>369</v>
      </c>
      <c r="C283" s="4" t="str">
        <f>VLOOKUP(População!A283,Ginecologia_dados!B:E,3,FALSE)</f>
        <v>SUDESTE</v>
      </c>
      <c r="D283" s="4" t="str">
        <f>VLOOKUP(A283,Ginecologia_dados!B:C,2,FALSE)</f>
        <v>CARANGOLA</v>
      </c>
      <c r="E283">
        <v>1640</v>
      </c>
    </row>
    <row r="284" spans="1:5" x14ac:dyDescent="0.3">
      <c r="A284" s="4">
        <v>312540</v>
      </c>
      <c r="B284" s="4" t="s">
        <v>370</v>
      </c>
      <c r="C284" s="4" t="str">
        <f>VLOOKUP(População!A284,Ginecologia_dados!B:E,3,FALSE)</f>
        <v>JEQUITINHONHA</v>
      </c>
      <c r="D284" s="4" t="str">
        <f>VLOOKUP(A284,Ginecologia_dados!B:C,2,FALSE)</f>
        <v>DIAMANTINA</v>
      </c>
      <c r="E284">
        <v>2646</v>
      </c>
    </row>
    <row r="285" spans="1:5" x14ac:dyDescent="0.3">
      <c r="A285" s="4">
        <v>312550</v>
      </c>
      <c r="B285" s="4" t="s">
        <v>371</v>
      </c>
      <c r="C285" s="4" t="str">
        <f>VLOOKUP(População!A285,Ginecologia_dados!B:E,3,FALSE)</f>
        <v>JEQUITINHONHA</v>
      </c>
      <c r="D285" s="4" t="str">
        <f>VLOOKUP(A285,Ginecologia_dados!B:C,2,FALSE)</f>
        <v>DIAMANTINA</v>
      </c>
      <c r="E285">
        <v>1622</v>
      </c>
    </row>
    <row r="286" spans="1:5" x14ac:dyDescent="0.3">
      <c r="A286" s="4">
        <v>312560</v>
      </c>
      <c r="B286" s="4" t="s">
        <v>372</v>
      </c>
      <c r="C286" s="4" t="str">
        <f>VLOOKUP(População!A286,Ginecologia_dados!B:E,3,FALSE)</f>
        <v>NORDESTE</v>
      </c>
      <c r="D286" s="4" t="str">
        <f>VLOOKUP(A286,Ginecologia_dados!B:C,2,FALSE)</f>
        <v>ALMENARA/JACINTO</v>
      </c>
      <c r="E286">
        <v>3289</v>
      </c>
    </row>
    <row r="287" spans="1:5" x14ac:dyDescent="0.3">
      <c r="A287" s="4">
        <v>312570</v>
      </c>
      <c r="B287" s="4" t="s">
        <v>373</v>
      </c>
      <c r="C287" s="4" t="str">
        <f>VLOOKUP(População!A287,Ginecologia_dados!B:E,3,FALSE)</f>
        <v>CENTRO</v>
      </c>
      <c r="D287" s="4" t="str">
        <f>VLOOKUP(A287,Ginecologia_dados!B:C,2,FALSE)</f>
        <v>CURVELO</v>
      </c>
      <c r="E287">
        <v>7186</v>
      </c>
    </row>
    <row r="288" spans="1:5" x14ac:dyDescent="0.3">
      <c r="A288" s="4">
        <v>312580</v>
      </c>
      <c r="B288" s="4" t="s">
        <v>374</v>
      </c>
      <c r="C288" s="4" t="str">
        <f>VLOOKUP(População!A288,Ginecologia_dados!B:E,3,FALSE)</f>
        <v>LESTE</v>
      </c>
      <c r="D288" s="4" t="str">
        <f>VLOOKUP(A288,Ginecologia_dados!B:C,2,FALSE)</f>
        <v>GOVERNADOR VALADARES</v>
      </c>
      <c r="E288">
        <v>1457</v>
      </c>
    </row>
    <row r="289" spans="1:5" x14ac:dyDescent="0.3">
      <c r="A289" s="4">
        <v>312590</v>
      </c>
      <c r="B289" s="4" t="s">
        <v>375</v>
      </c>
      <c r="C289" s="4" t="str">
        <f>VLOOKUP(População!A289,Ginecologia_dados!B:E,3,FALSE)</f>
        <v>CENTRO</v>
      </c>
      <c r="D289" s="4" t="str">
        <f>VLOOKUP(A289,Ginecologia_dados!B:C,2,FALSE)</f>
        <v>ITABIRA</v>
      </c>
      <c r="E289">
        <v>5072</v>
      </c>
    </row>
    <row r="290" spans="1:5" x14ac:dyDescent="0.3">
      <c r="A290" s="4">
        <v>312595</v>
      </c>
      <c r="B290" s="4" t="s">
        <v>376</v>
      </c>
      <c r="C290" s="4" t="str">
        <f>VLOOKUP(População!A290,Ginecologia_dados!B:E,3,FALSE)</f>
        <v>SUDESTE</v>
      </c>
      <c r="D290" s="4" t="str">
        <f>VLOOKUP(A290,Ginecologia_dados!B:C,2,FALSE)</f>
        <v>CARANGOLA</v>
      </c>
      <c r="E290">
        <v>5174</v>
      </c>
    </row>
    <row r="291" spans="1:5" x14ac:dyDescent="0.3">
      <c r="A291" s="4">
        <v>312600</v>
      </c>
      <c r="B291" s="4" t="s">
        <v>377</v>
      </c>
      <c r="C291" s="4" t="str">
        <f>VLOOKUP(População!A291,Ginecologia_dados!B:E,3,FALSE)</f>
        <v>CENTRO</v>
      </c>
      <c r="D291" s="4" t="str">
        <f>VLOOKUP(A291,Ginecologia_dados!B:C,2,FALSE)</f>
        <v>BETIM</v>
      </c>
      <c r="E291">
        <v>3936</v>
      </c>
    </row>
    <row r="292" spans="1:5" x14ac:dyDescent="0.3">
      <c r="A292" s="4">
        <v>312610</v>
      </c>
      <c r="B292" s="4" t="s">
        <v>106</v>
      </c>
      <c r="C292" s="4" t="str">
        <f>VLOOKUP(População!A292,Ginecologia_dados!B:E,3,FALSE)</f>
        <v>OESTE</v>
      </c>
      <c r="D292" s="4" t="str">
        <f>VLOOKUP(A292,Ginecologia_dados!B:C,2,FALSE)</f>
        <v>FORMIGA</v>
      </c>
      <c r="E292">
        <v>35001</v>
      </c>
    </row>
    <row r="293" spans="1:5" x14ac:dyDescent="0.3">
      <c r="A293" s="4">
        <v>312620</v>
      </c>
      <c r="B293" s="4" t="s">
        <v>378</v>
      </c>
      <c r="C293" s="4" t="str">
        <f>VLOOKUP(População!A293,Ginecologia_dados!B:E,3,FALSE)</f>
        <v>NOROESTE</v>
      </c>
      <c r="D293" s="4" t="str">
        <f>VLOOKUP(A293,Ginecologia_dados!B:C,2,FALSE)</f>
        <v>UNAÍ</v>
      </c>
      <c r="E293">
        <v>3871</v>
      </c>
    </row>
    <row r="294" spans="1:5" x14ac:dyDescent="0.3">
      <c r="A294" s="4">
        <v>312630</v>
      </c>
      <c r="B294" s="4" t="s">
        <v>379</v>
      </c>
      <c r="C294" s="4" t="str">
        <f>VLOOKUP(População!A294,Ginecologia_dados!B:E,3,FALSE)</f>
        <v>SUL</v>
      </c>
      <c r="D294" s="4" t="str">
        <f>VLOOKUP(A294,Ginecologia_dados!B:C,2,FALSE)</f>
        <v>PASSOS</v>
      </c>
      <c r="E294">
        <v>1809</v>
      </c>
    </row>
    <row r="295" spans="1:5" x14ac:dyDescent="0.3">
      <c r="A295" s="4">
        <v>312640</v>
      </c>
      <c r="B295" s="4" t="s">
        <v>380</v>
      </c>
      <c r="C295" s="4" t="str">
        <f>VLOOKUP(População!A295,Ginecologia_dados!B:E,3,FALSE)</f>
        <v>CENTRO</v>
      </c>
      <c r="D295" s="4" t="str">
        <f>VLOOKUP(A295,Ginecologia_dados!B:C,2,FALSE)</f>
        <v>SETE LAGOAS</v>
      </c>
      <c r="E295">
        <v>1515</v>
      </c>
    </row>
    <row r="296" spans="1:5" x14ac:dyDescent="0.3">
      <c r="A296" s="4">
        <v>312650</v>
      </c>
      <c r="B296" s="4" t="s">
        <v>381</v>
      </c>
      <c r="C296" s="4" t="str">
        <f>VLOOKUP(População!A296,Ginecologia_dados!B:E,3,FALSE)</f>
        <v>JEQUITINHONHA</v>
      </c>
      <c r="D296" s="4" t="str">
        <f>VLOOKUP(A296,Ginecologia_dados!B:C,2,FALSE)</f>
        <v>ARAÇUAÍ</v>
      </c>
      <c r="E296">
        <v>3960</v>
      </c>
    </row>
    <row r="297" spans="1:5" x14ac:dyDescent="0.3">
      <c r="A297" s="4">
        <v>312660</v>
      </c>
      <c r="B297" s="4" t="s">
        <v>382</v>
      </c>
      <c r="C297" s="4" t="str">
        <f>VLOOKUP(População!A297,Ginecologia_dados!B:E,3,FALSE)</f>
        <v>NORTE</v>
      </c>
      <c r="D297" s="4" t="str">
        <f>VLOOKUP(A297,Ginecologia_dados!B:C,2,FALSE)</f>
        <v>BOCAIÚVA</v>
      </c>
      <c r="E297">
        <v>2282</v>
      </c>
    </row>
    <row r="298" spans="1:5" x14ac:dyDescent="0.3">
      <c r="A298" s="4">
        <v>312670</v>
      </c>
      <c r="B298" s="4" t="s">
        <v>383</v>
      </c>
      <c r="C298" s="4" t="str">
        <f>VLOOKUP(População!A298,Ginecologia_dados!B:E,3,FALSE)</f>
        <v>NORTE</v>
      </c>
      <c r="D298" s="4" t="str">
        <f>VLOOKUP(A298,Ginecologia_dados!B:C,2,FALSE)</f>
        <v>FRANCISCO SÁ</v>
      </c>
      <c r="E298">
        <v>11837</v>
      </c>
    </row>
    <row r="299" spans="1:5" x14ac:dyDescent="0.3">
      <c r="A299" s="4">
        <v>312675</v>
      </c>
      <c r="B299" s="4" t="s">
        <v>384</v>
      </c>
      <c r="C299" s="4" t="str">
        <f>VLOOKUP(População!A299,Ginecologia_dados!B:E,3,FALSE)</f>
        <v>NORDESTE</v>
      </c>
      <c r="D299" s="4" t="str">
        <f>VLOOKUP(A299,Ginecologia_dados!B:C,2,FALSE)</f>
        <v>TEÓFILO OTONI/MALACACHETA</v>
      </c>
      <c r="E299">
        <v>2627</v>
      </c>
    </row>
    <row r="300" spans="1:5" x14ac:dyDescent="0.3">
      <c r="A300" s="4">
        <v>312680</v>
      </c>
      <c r="B300" s="4" t="s">
        <v>385</v>
      </c>
      <c r="C300" s="4" t="str">
        <f>VLOOKUP(População!A300,Ginecologia_dados!B:E,3,FALSE)</f>
        <v>NORDESTE</v>
      </c>
      <c r="D300" s="4" t="str">
        <f>VLOOKUP(A300,Ginecologia_dados!B:C,2,FALSE)</f>
        <v>ITAMBACURI</v>
      </c>
      <c r="E300">
        <v>2887</v>
      </c>
    </row>
    <row r="301" spans="1:5" x14ac:dyDescent="0.3">
      <c r="A301" s="4">
        <v>312690</v>
      </c>
      <c r="B301" s="4" t="s">
        <v>386</v>
      </c>
      <c r="C301" s="4" t="str">
        <f>VLOOKUP(População!A301,Ginecologia_dados!B:E,3,FALSE)</f>
        <v>LESTE</v>
      </c>
      <c r="D301" s="4" t="str">
        <f>VLOOKUP(A301,Ginecologia_dados!B:C,2,FALSE)</f>
        <v>GOVERNADOR VALADARES</v>
      </c>
      <c r="E301">
        <v>4415</v>
      </c>
    </row>
    <row r="302" spans="1:5" x14ac:dyDescent="0.3">
      <c r="A302" s="4">
        <v>312695</v>
      </c>
      <c r="B302" s="4" t="s">
        <v>387</v>
      </c>
      <c r="C302" s="4" t="str">
        <f>VLOOKUP(População!A302,Ginecologia_dados!B:E,3,FALSE)</f>
        <v>LESTE</v>
      </c>
      <c r="D302" s="4" t="str">
        <f>VLOOKUP(A302,Ginecologia_dados!B:C,2,FALSE)</f>
        <v>PEÇANHA/SÃO JOÃO EVANGELISTA</v>
      </c>
      <c r="E302">
        <v>1723</v>
      </c>
    </row>
    <row r="303" spans="1:5" x14ac:dyDescent="0.3">
      <c r="A303" s="4">
        <v>312700</v>
      </c>
      <c r="B303" s="4" t="s">
        <v>388</v>
      </c>
      <c r="C303" s="4" t="str">
        <f>VLOOKUP(População!A303,Ginecologia_dados!B:E,3,FALSE)</f>
        <v>TRIÂNGULO DO SUL</v>
      </c>
      <c r="D303" s="4" t="str">
        <f>VLOOKUP(A303,Ginecologia_dados!B:C,2,FALSE)</f>
        <v>FRUTAL/ITURAMA</v>
      </c>
      <c r="E303">
        <v>7305</v>
      </c>
    </row>
    <row r="304" spans="1:5" x14ac:dyDescent="0.3">
      <c r="A304" s="4">
        <v>312705</v>
      </c>
      <c r="B304" s="4" t="s">
        <v>389</v>
      </c>
      <c r="C304" s="4" t="str">
        <f>VLOOKUP(População!A304,Ginecologia_dados!B:E,3,FALSE)</f>
        <v>NORDESTE</v>
      </c>
      <c r="D304" s="4" t="str">
        <f>VLOOKUP(A304,Ginecologia_dados!B:C,2,FALSE)</f>
        <v>ÁGUAS FORMOSAS</v>
      </c>
      <c r="E304">
        <v>2254</v>
      </c>
    </row>
    <row r="305" spans="1:5" x14ac:dyDescent="0.3">
      <c r="A305" s="4">
        <v>312707</v>
      </c>
      <c r="B305" s="4" t="s">
        <v>391</v>
      </c>
      <c r="C305" s="4" t="str">
        <f>VLOOKUP(População!A305,Ginecologia_dados!B:E,3,FALSE)</f>
        <v>NORTE</v>
      </c>
      <c r="D305" s="4" t="str">
        <f>VLOOKUP(A305,Ginecologia_dados!B:C,2,FALSE)</f>
        <v>SALINAS</v>
      </c>
      <c r="E305">
        <v>2491</v>
      </c>
    </row>
    <row r="306" spans="1:5" x14ac:dyDescent="0.3">
      <c r="A306" s="4">
        <v>312710</v>
      </c>
      <c r="B306" s="4" t="s">
        <v>392</v>
      </c>
      <c r="C306" s="4" t="str">
        <f>VLOOKUP(População!A306,Ginecologia_dados!B:E,3,FALSE)</f>
        <v>TRIÂNGULO DO SUL</v>
      </c>
      <c r="D306" s="4" t="str">
        <f>VLOOKUP(A306,Ginecologia_dados!B:C,2,FALSE)</f>
        <v>FRUTAL/ITURAMA</v>
      </c>
      <c r="E306">
        <v>29209</v>
      </c>
    </row>
    <row r="307" spans="1:5" x14ac:dyDescent="0.3">
      <c r="A307" s="4">
        <v>312720</v>
      </c>
      <c r="B307" s="4" t="s">
        <v>393</v>
      </c>
      <c r="C307" s="4" t="str">
        <f>VLOOKUP(População!A307,Ginecologia_dados!B:E,3,FALSE)</f>
        <v>CENTRO</v>
      </c>
      <c r="D307" s="4" t="str">
        <f>VLOOKUP(A307,Ginecologia_dados!B:C,2,FALSE)</f>
        <v>SETE LAGOAS</v>
      </c>
      <c r="E307">
        <v>2262</v>
      </c>
    </row>
    <row r="308" spans="1:5" x14ac:dyDescent="0.3">
      <c r="A308" s="4">
        <v>312730</v>
      </c>
      <c r="B308" s="4" t="s">
        <v>394</v>
      </c>
      <c r="C308" s="4" t="str">
        <f>VLOOKUP(População!A308,Ginecologia_dados!B:E,3,FALSE)</f>
        <v>LESTE</v>
      </c>
      <c r="D308" s="4" t="str">
        <f>VLOOKUP(A308,Ginecologia_dados!B:C,2,FALSE)</f>
        <v>GOVERNADOR VALADARES</v>
      </c>
      <c r="E308">
        <v>3293</v>
      </c>
    </row>
    <row r="309" spans="1:5" x14ac:dyDescent="0.3">
      <c r="A309" s="4">
        <v>312733</v>
      </c>
      <c r="B309" s="4" t="s">
        <v>395</v>
      </c>
      <c r="C309" s="4" t="str">
        <f>VLOOKUP(População!A309,Ginecologia_dados!B:E,3,FALSE)</f>
        <v>NORTE</v>
      </c>
      <c r="D309" s="4" t="str">
        <f>VLOOKUP(A309,Ginecologia_dados!B:C,2,FALSE)</f>
        <v>JANAÚBA/MONTE AZUL</v>
      </c>
      <c r="E309">
        <v>2454</v>
      </c>
    </row>
    <row r="310" spans="1:5" x14ac:dyDescent="0.3">
      <c r="A310" s="4">
        <v>312735</v>
      </c>
      <c r="B310" s="4" t="s">
        <v>396</v>
      </c>
      <c r="C310" s="4" t="str">
        <f>VLOOKUP(População!A310,Ginecologia_dados!B:E,3,FALSE)</f>
        <v>NORTE</v>
      </c>
      <c r="D310" s="4" t="str">
        <f>VLOOKUP(A310,Ginecologia_dados!B:C,2,FALSE)</f>
        <v>MONTES CLAROS</v>
      </c>
      <c r="E310">
        <v>1519</v>
      </c>
    </row>
    <row r="311" spans="1:5" x14ac:dyDescent="0.3">
      <c r="A311" s="4">
        <v>312737</v>
      </c>
      <c r="B311" s="4" t="s">
        <v>397</v>
      </c>
      <c r="C311" s="4" t="str">
        <f>VLOOKUP(População!A311,Ginecologia_dados!B:E,3,FALSE)</f>
        <v>LESTE</v>
      </c>
      <c r="D311" s="4" t="str">
        <f>VLOOKUP(A311,Ginecologia_dados!B:C,2,FALSE)</f>
        <v>RESPLENDOR</v>
      </c>
      <c r="E311">
        <v>1524</v>
      </c>
    </row>
    <row r="312" spans="1:5" x14ac:dyDescent="0.3">
      <c r="A312" s="4">
        <v>312738</v>
      </c>
      <c r="B312" s="4" t="s">
        <v>398</v>
      </c>
      <c r="C312" s="4" t="str">
        <f>VLOOKUP(População!A312,Ginecologia_dados!B:E,3,FALSE)</f>
        <v>SUDESTE</v>
      </c>
      <c r="D312" s="4" t="str">
        <f>VLOOKUP(A312,Ginecologia_dados!B:C,2,FALSE)</f>
        <v>JUIZ DE FORA</v>
      </c>
      <c r="E312">
        <v>2034</v>
      </c>
    </row>
    <row r="313" spans="1:5" x14ac:dyDescent="0.3">
      <c r="A313" s="4">
        <v>312740</v>
      </c>
      <c r="B313" s="4" t="s">
        <v>399</v>
      </c>
      <c r="C313" s="4" t="str">
        <f>VLOOKUP(População!A313,Ginecologia_dados!B:E,3,FALSE)</f>
        <v>SUL</v>
      </c>
      <c r="D313" s="4" t="str">
        <f>VLOOKUP(A313,Ginecologia_dados!B:C,2,FALSE)</f>
        <v>ITAJUBÁ</v>
      </c>
      <c r="E313">
        <v>2263</v>
      </c>
    </row>
    <row r="314" spans="1:5" x14ac:dyDescent="0.3">
      <c r="A314" s="4">
        <v>312750</v>
      </c>
      <c r="B314" s="4" t="s">
        <v>400</v>
      </c>
      <c r="C314" s="4" t="str">
        <f>VLOOKUP(População!A314,Ginecologia_dados!B:E,3,FALSE)</f>
        <v>LESTE</v>
      </c>
      <c r="D314" s="4" t="str">
        <f>VLOOKUP(A314,Ginecologia_dados!B:C,2,FALSE)</f>
        <v>GOVERNADOR VALADARES</v>
      </c>
      <c r="E314">
        <v>2825</v>
      </c>
    </row>
    <row r="315" spans="1:5" x14ac:dyDescent="0.3">
      <c r="A315" s="4">
        <v>312760</v>
      </c>
      <c r="B315" s="4" t="s">
        <v>401</v>
      </c>
      <c r="C315" s="4" t="str">
        <f>VLOOKUP(População!A315,Ginecologia_dados!B:E,3,FALSE)</f>
        <v>JEQUITINHONHA</v>
      </c>
      <c r="D315" s="4" t="str">
        <f>VLOOKUP(A315,Ginecologia_dados!B:C,2,FALSE)</f>
        <v>DIAMANTINA</v>
      </c>
      <c r="E315">
        <v>5955</v>
      </c>
    </row>
    <row r="316" spans="1:5" x14ac:dyDescent="0.3">
      <c r="A316" s="4">
        <v>312770</v>
      </c>
      <c r="B316" s="4" t="s">
        <v>47</v>
      </c>
      <c r="C316" s="4" t="str">
        <f>VLOOKUP(População!A316,Ginecologia_dados!B:E,3,FALSE)</f>
        <v>LESTE</v>
      </c>
      <c r="D316" s="4" t="str">
        <f>VLOOKUP(A316,Ginecologia_dados!B:C,2,FALSE)</f>
        <v>GOVERNADOR VALADARES</v>
      </c>
      <c r="E316">
        <v>141064</v>
      </c>
    </row>
    <row r="317" spans="1:5" x14ac:dyDescent="0.3">
      <c r="A317" s="4">
        <v>312780</v>
      </c>
      <c r="B317" s="4" t="s">
        <v>402</v>
      </c>
      <c r="C317" s="4" t="str">
        <f>VLOOKUP(População!A317,Ginecologia_dados!B:E,3,FALSE)</f>
        <v>NORTE</v>
      </c>
      <c r="D317" s="4" t="str">
        <f>VLOOKUP(A317,Ginecologia_dados!B:C,2,FALSE)</f>
        <v>FRANCISCO SÁ</v>
      </c>
      <c r="E317">
        <v>7045</v>
      </c>
    </row>
    <row r="318" spans="1:5" x14ac:dyDescent="0.3">
      <c r="A318" s="4">
        <v>312790</v>
      </c>
      <c r="B318" s="4" t="s">
        <v>403</v>
      </c>
      <c r="C318" s="4" t="str">
        <f>VLOOKUP(População!A318,Ginecologia_dados!B:E,3,FALSE)</f>
        <v>TRIÂNGULO DO NORTE</v>
      </c>
      <c r="D318" s="4" t="str">
        <f>VLOOKUP(A318,Ginecologia_dados!B:C,2,FALSE)</f>
        <v>PATROCÍNIO/MONTE CARMELO</v>
      </c>
      <c r="E318">
        <v>693</v>
      </c>
    </row>
    <row r="319" spans="1:5" x14ac:dyDescent="0.3">
      <c r="A319" s="4">
        <v>312800</v>
      </c>
      <c r="B319" s="4" t="s">
        <v>404</v>
      </c>
      <c r="C319" s="4" t="str">
        <f>VLOOKUP(População!A319,Ginecologia_dados!B:E,3,FALSE)</f>
        <v>CENTRO</v>
      </c>
      <c r="D319" s="4" t="str">
        <f>VLOOKUP(A319,Ginecologia_dados!B:C,2,FALSE)</f>
        <v>GUANHÃES</v>
      </c>
      <c r="E319">
        <v>16865</v>
      </c>
    </row>
    <row r="320" spans="1:5" x14ac:dyDescent="0.3">
      <c r="A320" s="4">
        <v>312810</v>
      </c>
      <c r="B320" s="4" t="s">
        <v>405</v>
      </c>
      <c r="C320" s="4" t="str">
        <f>VLOOKUP(População!A320,Ginecologia_dados!B:E,3,FALSE)</f>
        <v>SUL</v>
      </c>
      <c r="D320" s="4" t="str">
        <f>VLOOKUP(A320,Ginecologia_dados!B:C,2,FALSE)</f>
        <v>PIUMHI</v>
      </c>
      <c r="E320">
        <v>6764</v>
      </c>
    </row>
    <row r="321" spans="1:5" x14ac:dyDescent="0.3">
      <c r="A321" s="4">
        <v>312820</v>
      </c>
      <c r="B321" s="4" t="s">
        <v>406</v>
      </c>
      <c r="C321" s="4" t="str">
        <f>VLOOKUP(População!A321,Ginecologia_dados!B:E,3,FALSE)</f>
        <v>LESTE DO SUL</v>
      </c>
      <c r="D321" s="4" t="str">
        <f>VLOOKUP(A321,Ginecologia_dados!B:C,2,FALSE)</f>
        <v>PONTE NOVA</v>
      </c>
      <c r="E321">
        <v>5013</v>
      </c>
    </row>
    <row r="322" spans="1:5" x14ac:dyDescent="0.3">
      <c r="A322" s="4">
        <v>312825</v>
      </c>
      <c r="B322" s="4" t="s">
        <v>407</v>
      </c>
      <c r="C322" s="4" t="str">
        <f>VLOOKUP(População!A322,Ginecologia_dados!B:E,3,FALSE)</f>
        <v>NORTE</v>
      </c>
      <c r="D322" s="4" t="str">
        <f>VLOOKUP(A322,Ginecologia_dados!B:C,2,FALSE)</f>
        <v>BOCAIÚVA</v>
      </c>
      <c r="E322">
        <v>2512</v>
      </c>
    </row>
    <row r="323" spans="1:5" x14ac:dyDescent="0.3">
      <c r="A323" s="4">
        <v>312830</v>
      </c>
      <c r="B323" s="4" t="s">
        <v>408</v>
      </c>
      <c r="C323" s="4" t="str">
        <f>VLOOKUP(População!A323,Ginecologia_dados!B:E,3,FALSE)</f>
        <v>SUL</v>
      </c>
      <c r="D323" s="4" t="str">
        <f>VLOOKUP(A323,Ginecologia_dados!B:C,2,FALSE)</f>
        <v>GUAXUPÉ</v>
      </c>
      <c r="E323">
        <v>9548</v>
      </c>
    </row>
    <row r="324" spans="1:5" x14ac:dyDescent="0.3">
      <c r="A324" s="4">
        <v>312840</v>
      </c>
      <c r="B324" s="4" t="s">
        <v>409</v>
      </c>
      <c r="C324" s="4" t="str">
        <f>VLOOKUP(População!A324,Ginecologia_dados!B:E,3,FALSE)</f>
        <v>SUDESTE</v>
      </c>
      <c r="D324" s="4" t="str">
        <f>VLOOKUP(A324,Ginecologia_dados!B:C,2,FALSE)</f>
        <v>UBÁ</v>
      </c>
      <c r="E324">
        <v>4031</v>
      </c>
    </row>
    <row r="325" spans="1:5" x14ac:dyDescent="0.3">
      <c r="A325" s="4">
        <v>312850</v>
      </c>
      <c r="B325" s="4" t="s">
        <v>410</v>
      </c>
      <c r="C325" s="4" t="str">
        <f>VLOOKUP(População!A325,Ginecologia_dados!B:E,3,FALSE)</f>
        <v>SUDESTE</v>
      </c>
      <c r="D325" s="4" t="str">
        <f>VLOOKUP(A325,Ginecologia_dados!B:C,2,FALSE)</f>
        <v>SÃO JOÃO NEPOMUCENO/BICAS</v>
      </c>
      <c r="E325">
        <v>1704</v>
      </c>
    </row>
    <row r="326" spans="1:5" x14ac:dyDescent="0.3">
      <c r="A326" s="4">
        <v>312860</v>
      </c>
      <c r="B326" s="4" t="s">
        <v>411</v>
      </c>
      <c r="C326" s="4" t="str">
        <f>VLOOKUP(População!A326,Ginecologia_dados!B:E,3,FALSE)</f>
        <v>NOROESTE</v>
      </c>
      <c r="D326" s="4" t="str">
        <f>VLOOKUP(A326,Ginecologia_dados!B:C,2,FALSE)</f>
        <v>PATOS DE MINAS</v>
      </c>
      <c r="E326">
        <v>3205</v>
      </c>
    </row>
    <row r="327" spans="1:5" x14ac:dyDescent="0.3">
      <c r="A327" s="4">
        <v>312870</v>
      </c>
      <c r="B327" s="4" t="s">
        <v>412</v>
      </c>
      <c r="C327" s="4" t="str">
        <f>VLOOKUP(População!A327,Ginecologia_dados!B:E,3,FALSE)</f>
        <v>SUL</v>
      </c>
      <c r="D327" s="4" t="str">
        <f>VLOOKUP(A327,Ginecologia_dados!B:C,2,FALSE)</f>
        <v>GUAXUPÉ</v>
      </c>
      <c r="E327">
        <v>26365</v>
      </c>
    </row>
    <row r="328" spans="1:5" x14ac:dyDescent="0.3">
      <c r="A328" s="4">
        <v>312880</v>
      </c>
      <c r="B328" s="4" t="s">
        <v>413</v>
      </c>
      <c r="C328" s="4" t="str">
        <f>VLOOKUP(População!A328,Ginecologia_dados!B:E,3,FALSE)</f>
        <v>SUDESTE</v>
      </c>
      <c r="D328" s="4" t="str">
        <f>VLOOKUP(A328,Ginecologia_dados!B:C,2,FALSE)</f>
        <v>UBÁ</v>
      </c>
      <c r="E328">
        <v>3554</v>
      </c>
    </row>
    <row r="329" spans="1:5" x14ac:dyDescent="0.3">
      <c r="A329" s="4">
        <v>312890</v>
      </c>
      <c r="B329" s="4" t="s">
        <v>414</v>
      </c>
      <c r="C329" s="4" t="str">
        <f>VLOOKUP(População!A329,Ginecologia_dados!B:E,3,FALSE)</f>
        <v>NOROESTE</v>
      </c>
      <c r="D329" s="4" t="str">
        <f>VLOOKUP(A329,Ginecologia_dados!B:C,2,FALSE)</f>
        <v>PATOS DE MINAS</v>
      </c>
      <c r="E329">
        <v>4024</v>
      </c>
    </row>
    <row r="330" spans="1:5" x14ac:dyDescent="0.3">
      <c r="A330" s="4">
        <v>312900</v>
      </c>
      <c r="B330" s="4" t="s">
        <v>415</v>
      </c>
      <c r="C330" s="4" t="str">
        <f>VLOOKUP(População!A330,Ginecologia_dados!B:E,3,FALSE)</f>
        <v>SUDESTE</v>
      </c>
      <c r="D330" s="4" t="str">
        <f>VLOOKUP(A330,Ginecologia_dados!B:C,2,FALSE)</f>
        <v>UBÁ</v>
      </c>
      <c r="E330">
        <v>4079</v>
      </c>
    </row>
    <row r="331" spans="1:5" x14ac:dyDescent="0.3">
      <c r="A331" s="4">
        <v>312910</v>
      </c>
      <c r="B331" s="4" t="s">
        <v>416</v>
      </c>
      <c r="C331" s="4" t="str">
        <f>VLOOKUP(População!A331,Ginecologia_dados!B:E,3,FALSE)</f>
        <v>TRIÂNGULO DO NORTE</v>
      </c>
      <c r="D331" s="4" t="str">
        <f>VLOOKUP(A331,Ginecologia_dados!B:C,2,FALSE)</f>
        <v>ITUIUTABA</v>
      </c>
      <c r="E331">
        <v>2639</v>
      </c>
    </row>
    <row r="332" spans="1:5" x14ac:dyDescent="0.3">
      <c r="A332" s="4">
        <v>312920</v>
      </c>
      <c r="B332" s="4" t="s">
        <v>417</v>
      </c>
      <c r="C332" s="4" t="str">
        <f>VLOOKUP(População!A332,Ginecologia_dados!B:E,3,FALSE)</f>
        <v>SUL</v>
      </c>
      <c r="D332" s="4" t="str">
        <f>VLOOKUP(A332,Ginecologia_dados!B:C,2,FALSE)</f>
        <v>POUSO ALEGRE</v>
      </c>
      <c r="E332">
        <v>3051</v>
      </c>
    </row>
    <row r="333" spans="1:5" x14ac:dyDescent="0.3">
      <c r="A333" s="4">
        <v>312930</v>
      </c>
      <c r="B333" s="4" t="s">
        <v>418</v>
      </c>
      <c r="C333" s="4" t="str">
        <f>VLOOKUP(População!A333,Ginecologia_dados!B:E,3,FALSE)</f>
        <v>VALE DO AÇO</v>
      </c>
      <c r="D333" s="4" t="str">
        <f>VLOOKUP(A333,Ginecologia_dados!B:C,2,FALSE)</f>
        <v>IPATINGA</v>
      </c>
      <c r="E333">
        <v>5864</v>
      </c>
    </row>
    <row r="334" spans="1:5" x14ac:dyDescent="0.3">
      <c r="A334" s="4">
        <v>312940</v>
      </c>
      <c r="B334" s="4" t="s">
        <v>419</v>
      </c>
      <c r="C334" s="4" t="str">
        <f>VLOOKUP(População!A334,Ginecologia_dados!B:E,3,FALSE)</f>
        <v>CENTRO SUL</v>
      </c>
      <c r="D334" s="4" t="str">
        <f>VLOOKUP(A334,Ginecologia_dados!B:C,2,FALSE)</f>
        <v>BARBACENA</v>
      </c>
      <c r="E334">
        <v>2640</v>
      </c>
    </row>
    <row r="335" spans="1:5" x14ac:dyDescent="0.3">
      <c r="A335" s="4">
        <v>312950</v>
      </c>
      <c r="B335" s="4" t="s">
        <v>420</v>
      </c>
      <c r="C335" s="4" t="str">
        <f>VLOOKUP(População!A335,Ginecologia_dados!B:E,3,FALSE)</f>
        <v>TRIÂNGULO DO SUL</v>
      </c>
      <c r="D335" s="4" t="str">
        <f>VLOOKUP(A335,Ginecologia_dados!B:C,2,FALSE)</f>
        <v>ARAXÁ</v>
      </c>
      <c r="E335">
        <v>11309</v>
      </c>
    </row>
    <row r="336" spans="1:5" x14ac:dyDescent="0.3">
      <c r="A336" s="4">
        <v>312960</v>
      </c>
      <c r="B336" s="4" t="s">
        <v>421</v>
      </c>
      <c r="C336" s="4" t="str">
        <f>VLOOKUP(População!A336,Ginecologia_dados!B:E,3,FALSE)</f>
        <v>NORTE</v>
      </c>
      <c r="D336" s="4" t="str">
        <f>VLOOKUP(A336,Ginecologia_dados!B:C,2,FALSE)</f>
        <v>PIRAPORA</v>
      </c>
      <c r="E336">
        <v>3316</v>
      </c>
    </row>
    <row r="337" spans="1:5" x14ac:dyDescent="0.3">
      <c r="A337" s="4">
        <v>312965</v>
      </c>
      <c r="B337" s="4" t="s">
        <v>422</v>
      </c>
      <c r="C337" s="4" t="str">
        <f>VLOOKUP(População!A337,Ginecologia_dados!B:E,3,FALSE)</f>
        <v>NORTE</v>
      </c>
      <c r="D337" s="4" t="str">
        <f>VLOOKUP(A337,Ginecologia_dados!B:C,2,FALSE)</f>
        <v>BRASÍLIA DE MINAS/SÃO FRANCISCO</v>
      </c>
      <c r="E337">
        <v>2560</v>
      </c>
    </row>
    <row r="338" spans="1:5" x14ac:dyDescent="0.3">
      <c r="A338" s="4">
        <v>312970</v>
      </c>
      <c r="B338" s="4" t="s">
        <v>423</v>
      </c>
      <c r="C338" s="4" t="str">
        <f>VLOOKUP(População!A338,Ginecologia_dados!B:E,3,FALSE)</f>
        <v>SUL</v>
      </c>
      <c r="D338" s="4" t="str">
        <f>VLOOKUP(A338,Ginecologia_dados!B:C,2,FALSE)</f>
        <v>CÁSSIA</v>
      </c>
      <c r="E338">
        <v>5584</v>
      </c>
    </row>
    <row r="339" spans="1:5" x14ac:dyDescent="0.3">
      <c r="A339" s="4">
        <v>312980</v>
      </c>
      <c r="B339" s="4" t="s">
        <v>424</v>
      </c>
      <c r="C339" s="4" t="str">
        <f>VLOOKUP(População!A339,Ginecologia_dados!B:E,3,FALSE)</f>
        <v>CENTRO</v>
      </c>
      <c r="D339" s="4" t="str">
        <f>VLOOKUP(A339,Ginecologia_dados!B:C,2,FALSE)</f>
        <v>CONTAGEM</v>
      </c>
      <c r="E339">
        <v>88998</v>
      </c>
    </row>
    <row r="340" spans="1:5" x14ac:dyDescent="0.3">
      <c r="A340" s="4">
        <v>312990</v>
      </c>
      <c r="B340" s="4" t="s">
        <v>425</v>
      </c>
      <c r="C340" s="4" t="str">
        <f>VLOOKUP(População!A340,Ginecologia_dados!B:E,3,FALSE)</f>
        <v>SUL</v>
      </c>
      <c r="D340" s="4" t="str">
        <f>VLOOKUP(A340,Ginecologia_dados!B:C,2,FALSE)</f>
        <v>POÇOS DE CALDAS</v>
      </c>
      <c r="E340">
        <v>1683</v>
      </c>
    </row>
    <row r="341" spans="1:5" x14ac:dyDescent="0.3">
      <c r="A341" s="4">
        <v>313000</v>
      </c>
      <c r="B341" s="4" t="s">
        <v>426</v>
      </c>
      <c r="C341" s="4" t="str">
        <f>VLOOKUP(População!A341,Ginecologia_dados!B:E,3,FALSE)</f>
        <v>CENTRO SUL</v>
      </c>
      <c r="D341" s="4" t="str">
        <f>VLOOKUP(A341,Ginecologia_dados!B:C,2,FALSE)</f>
        <v>SÃO JOÃO DEL REI</v>
      </c>
      <c r="E341">
        <v>1407</v>
      </c>
    </row>
    <row r="342" spans="1:5" x14ac:dyDescent="0.3">
      <c r="A342" s="4">
        <v>313005</v>
      </c>
      <c r="B342" s="4" t="s">
        <v>427</v>
      </c>
      <c r="C342" s="4" t="str">
        <f>VLOOKUP(População!A342,Ginecologia_dados!B:E,3,FALSE)</f>
        <v>NORTE</v>
      </c>
      <c r="D342" s="4" t="str">
        <f>VLOOKUP(A342,Ginecologia_dados!B:C,2,FALSE)</f>
        <v>BRASÍLIA DE MINAS/SÃO FRANCISCO</v>
      </c>
      <c r="E342">
        <v>5314</v>
      </c>
    </row>
    <row r="343" spans="1:5" x14ac:dyDescent="0.3">
      <c r="A343" s="4">
        <v>313010</v>
      </c>
      <c r="B343" s="4" t="s">
        <v>428</v>
      </c>
      <c r="C343" s="4" t="str">
        <f>VLOOKUP(População!A343,Ginecologia_dados!B:E,3,FALSE)</f>
        <v>CENTRO</v>
      </c>
      <c r="D343" s="4" t="str">
        <f>VLOOKUP(A343,Ginecologia_dados!B:C,2,FALSE)</f>
        <v>BETIM</v>
      </c>
      <c r="E343">
        <v>21775</v>
      </c>
    </row>
    <row r="344" spans="1:5" x14ac:dyDescent="0.3">
      <c r="A344" s="4">
        <v>313020</v>
      </c>
      <c r="B344" s="4" t="s">
        <v>429</v>
      </c>
      <c r="C344" s="4" t="str">
        <f>VLOOKUP(População!A344,Ginecologia_dados!B:E,3,FALSE)</f>
        <v>OESTE</v>
      </c>
      <c r="D344" s="4" t="str">
        <f>VLOOKUP(A344,Ginecologia_dados!B:C,2,FALSE)</f>
        <v>PARÁ DE MINAS</v>
      </c>
      <c r="E344">
        <v>5129</v>
      </c>
    </row>
    <row r="345" spans="1:5" x14ac:dyDescent="0.3">
      <c r="A345" s="4">
        <v>313030</v>
      </c>
      <c r="B345" s="4" t="s">
        <v>430</v>
      </c>
      <c r="C345" s="4" t="str">
        <f>VLOOKUP(População!A345,Ginecologia_dados!B:E,3,FALSE)</f>
        <v>OESTE</v>
      </c>
      <c r="D345" s="4" t="str">
        <f>VLOOKUP(A345,Ginecologia_dados!B:C,2,FALSE)</f>
        <v>FORMIGA</v>
      </c>
      <c r="E345">
        <v>3637</v>
      </c>
    </row>
    <row r="346" spans="1:5" x14ac:dyDescent="0.3">
      <c r="A346" s="4">
        <v>313040</v>
      </c>
      <c r="B346" s="4" t="s">
        <v>431</v>
      </c>
      <c r="C346" s="4" t="str">
        <f>VLOOKUP(População!A346,Ginecologia_dados!B:E,3,FALSE)</f>
        <v>SUL</v>
      </c>
      <c r="D346" s="4" t="str">
        <f>VLOOKUP(A346,Ginecologia_dados!B:C,2,FALSE)</f>
        <v>LAVRAS</v>
      </c>
      <c r="E346">
        <v>3361</v>
      </c>
    </row>
    <row r="347" spans="1:5" x14ac:dyDescent="0.3">
      <c r="A347" s="4">
        <v>313050</v>
      </c>
      <c r="B347" s="4" t="s">
        <v>432</v>
      </c>
      <c r="C347" s="4" t="str">
        <f>VLOOKUP(População!A347,Ginecologia_dados!B:E,3,FALSE)</f>
        <v>SUL</v>
      </c>
      <c r="D347" s="4" t="str">
        <f>VLOOKUP(A347,Ginecologia_dados!B:C,2,FALSE)</f>
        <v>TRÊS PONTAS</v>
      </c>
      <c r="E347">
        <v>6175</v>
      </c>
    </row>
    <row r="348" spans="1:5" x14ac:dyDescent="0.3">
      <c r="A348" s="4">
        <v>313055</v>
      </c>
      <c r="B348" s="4" t="s">
        <v>433</v>
      </c>
      <c r="C348" s="4" t="str">
        <f>VLOOKUP(População!A348,Ginecologia_dados!B:E,3,FALSE)</f>
        <v>VALE DO AÇO</v>
      </c>
      <c r="D348" s="4" t="str">
        <f>VLOOKUP(A348,Ginecologia_dados!B:C,2,FALSE)</f>
        <v>CARATINGA</v>
      </c>
      <c r="E348">
        <v>3403</v>
      </c>
    </row>
    <row r="349" spans="1:5" x14ac:dyDescent="0.3">
      <c r="A349" s="4">
        <v>313060</v>
      </c>
      <c r="B349" s="4" t="s">
        <v>434</v>
      </c>
      <c r="C349" s="4" t="str">
        <f>VLOOKUP(População!A349,Ginecologia_dados!B:E,3,FALSE)</f>
        <v>SUL</v>
      </c>
      <c r="D349" s="4" t="str">
        <f>VLOOKUP(A349,Ginecologia_dados!B:C,2,FALSE)</f>
        <v>POUSO ALEGRE</v>
      </c>
      <c r="E349">
        <v>3586</v>
      </c>
    </row>
    <row r="350" spans="1:5" x14ac:dyDescent="0.3">
      <c r="A350" s="4">
        <v>313065</v>
      </c>
      <c r="B350" s="4" t="s">
        <v>435</v>
      </c>
      <c r="C350" s="4" t="str">
        <f>VLOOKUP(População!A350,Ginecologia_dados!B:E,3,FALSE)</f>
        <v>NORTE</v>
      </c>
      <c r="D350" s="4" t="str">
        <f>VLOOKUP(A350,Ginecologia_dados!B:C,2,FALSE)</f>
        <v>TAIOBEIRAS</v>
      </c>
      <c r="E350">
        <v>3296</v>
      </c>
    </row>
    <row r="351" spans="1:5" x14ac:dyDescent="0.3">
      <c r="A351" s="4">
        <v>313070</v>
      </c>
      <c r="B351" s="4" t="s">
        <v>436</v>
      </c>
      <c r="C351" s="4" t="str">
        <f>VLOOKUP(População!A351,Ginecologia_dados!B:E,3,FALSE)</f>
        <v>TRIÂNGULO DO NORTE</v>
      </c>
      <c r="D351" s="4" t="str">
        <f>VLOOKUP(A351,Ginecologia_dados!B:C,2,FALSE)</f>
        <v>UBERLÂNDIA/ARAGUARI</v>
      </c>
      <c r="E351">
        <v>3005</v>
      </c>
    </row>
    <row r="352" spans="1:5" x14ac:dyDescent="0.3">
      <c r="A352" s="4">
        <v>313080</v>
      </c>
      <c r="B352" s="4" t="s">
        <v>437</v>
      </c>
      <c r="C352" s="4" t="str">
        <f>VLOOKUP(População!A352,Ginecologia_dados!B:E,3,FALSE)</f>
        <v>SUL</v>
      </c>
      <c r="D352" s="4" t="str">
        <f>VLOOKUP(A352,Ginecologia_dados!B:C,2,FALSE)</f>
        <v>LAVRAS</v>
      </c>
      <c r="E352">
        <v>1249</v>
      </c>
    </row>
    <row r="353" spans="1:5" x14ac:dyDescent="0.3">
      <c r="A353" s="4">
        <v>313090</v>
      </c>
      <c r="B353" s="4" t="s">
        <v>438</v>
      </c>
      <c r="C353" s="4" t="str">
        <f>VLOOKUP(População!A353,Ginecologia_dados!B:E,3,FALSE)</f>
        <v>VALE DO AÇO</v>
      </c>
      <c r="D353" s="4" t="str">
        <f>VLOOKUP(A353,Ginecologia_dados!B:C,2,FALSE)</f>
        <v>CARATINGA</v>
      </c>
      <c r="E353">
        <v>11771</v>
      </c>
    </row>
    <row r="354" spans="1:5" x14ac:dyDescent="0.3">
      <c r="A354" s="4">
        <v>313100</v>
      </c>
      <c r="B354" s="4" t="s">
        <v>439</v>
      </c>
      <c r="C354" s="4" t="str">
        <f>VLOOKUP(População!A354,Ginecologia_dados!B:E,3,FALSE)</f>
        <v>CENTRO</v>
      </c>
      <c r="D354" s="4" t="str">
        <f>VLOOKUP(A354,Ginecologia_dados!B:C,2,FALSE)</f>
        <v>SETE LAGOAS</v>
      </c>
      <c r="E354">
        <v>3120</v>
      </c>
    </row>
    <row r="355" spans="1:5" x14ac:dyDescent="0.3">
      <c r="A355" s="4">
        <v>313110</v>
      </c>
      <c r="B355" s="4" t="s">
        <v>440</v>
      </c>
      <c r="C355" s="4" t="str">
        <f>VLOOKUP(População!A355,Ginecologia_dados!B:E,3,FALSE)</f>
        <v>CENTRO</v>
      </c>
      <c r="D355" s="4" t="str">
        <f>VLOOKUP(A355,Ginecologia_dados!B:C,2,FALSE)</f>
        <v>CURVELO</v>
      </c>
      <c r="E355">
        <v>3729</v>
      </c>
    </row>
    <row r="356" spans="1:5" x14ac:dyDescent="0.3">
      <c r="A356" s="4">
        <v>313115</v>
      </c>
      <c r="B356" s="4" t="s">
        <v>441</v>
      </c>
      <c r="C356" s="4" t="str">
        <f>VLOOKUP(População!A356,Ginecologia_dados!B:E,3,FALSE)</f>
        <v>VALE DO AÇO</v>
      </c>
      <c r="D356" s="4" t="str">
        <f>VLOOKUP(A356,Ginecologia_dados!B:C,2,FALSE)</f>
        <v>IPATINGA</v>
      </c>
      <c r="E356">
        <v>8284</v>
      </c>
    </row>
    <row r="357" spans="1:5" x14ac:dyDescent="0.3">
      <c r="A357" s="4">
        <v>313120</v>
      </c>
      <c r="B357" s="4" t="s">
        <v>442</v>
      </c>
      <c r="C357" s="4" t="str">
        <f>VLOOKUP(População!A357,Ginecologia_dados!B:E,3,FALSE)</f>
        <v>LESTE DO SUL</v>
      </c>
      <c r="D357" s="4" t="str">
        <f>VLOOKUP(A357,Ginecologia_dados!B:C,2,FALSE)</f>
        <v>MANHUAÇU</v>
      </c>
      <c r="E357">
        <v>10026</v>
      </c>
    </row>
    <row r="358" spans="1:5" x14ac:dyDescent="0.3">
      <c r="A358" s="4">
        <v>313130</v>
      </c>
      <c r="B358" s="4" t="s">
        <v>13</v>
      </c>
      <c r="C358" s="4" t="str">
        <f>VLOOKUP(População!A358,Ginecologia_dados!B:E,3,FALSE)</f>
        <v>VALE DO AÇO</v>
      </c>
      <c r="D358" s="4" t="str">
        <f>VLOOKUP(A358,Ginecologia_dados!B:C,2,FALSE)</f>
        <v>IPATINGA</v>
      </c>
      <c r="E358">
        <v>124614</v>
      </c>
    </row>
    <row r="359" spans="1:5" x14ac:dyDescent="0.3">
      <c r="A359" s="4">
        <v>313140</v>
      </c>
      <c r="B359" s="4" t="s">
        <v>443</v>
      </c>
      <c r="C359" s="4" t="str">
        <f>VLOOKUP(População!A359,Ginecologia_dados!B:E,3,FALSE)</f>
        <v>TRIÂNGULO DO NORTE</v>
      </c>
      <c r="D359" s="4" t="str">
        <f>VLOOKUP(A359,Ginecologia_dados!B:C,2,FALSE)</f>
        <v>ITUIUTABA</v>
      </c>
      <c r="E359">
        <v>1915</v>
      </c>
    </row>
    <row r="360" spans="1:5" x14ac:dyDescent="0.3">
      <c r="A360" s="4">
        <v>313150</v>
      </c>
      <c r="B360" s="4" t="s">
        <v>444</v>
      </c>
      <c r="C360" s="4" t="str">
        <f>VLOOKUP(População!A360,Ginecologia_dados!B:E,3,FALSE)</f>
        <v>SUL</v>
      </c>
      <c r="D360" s="4" t="str">
        <f>VLOOKUP(A360,Ginecologia_dados!B:C,2,FALSE)</f>
        <v>POUSO ALEGRE</v>
      </c>
      <c r="E360">
        <v>4611</v>
      </c>
    </row>
    <row r="361" spans="1:5" x14ac:dyDescent="0.3">
      <c r="A361" s="4">
        <v>313160</v>
      </c>
      <c r="B361" s="4" t="s">
        <v>445</v>
      </c>
      <c r="C361" s="4" t="str">
        <f>VLOOKUP(População!A361,Ginecologia_dados!B:E,3,FALSE)</f>
        <v>TRIÂNGULO DO NORTE</v>
      </c>
      <c r="D361" s="4" t="str">
        <f>VLOOKUP(A361,Ginecologia_dados!B:C,2,FALSE)</f>
        <v>PATROCÍNIO/MONTE CARMELO</v>
      </c>
      <c r="E361">
        <v>3457</v>
      </c>
    </row>
    <row r="362" spans="1:5" x14ac:dyDescent="0.3">
      <c r="A362" s="4">
        <v>313170</v>
      </c>
      <c r="B362" s="4" t="s">
        <v>110</v>
      </c>
      <c r="C362" s="4" t="str">
        <f>VLOOKUP(População!A362,Ginecologia_dados!B:E,3,FALSE)</f>
        <v>CENTRO</v>
      </c>
      <c r="D362" s="4" t="str">
        <f>VLOOKUP(A362,Ginecologia_dados!B:C,2,FALSE)</f>
        <v>ITABIRA</v>
      </c>
      <c r="E362">
        <v>60680</v>
      </c>
    </row>
    <row r="363" spans="1:5" x14ac:dyDescent="0.3">
      <c r="A363" s="4">
        <v>313180</v>
      </c>
      <c r="B363" s="4" t="s">
        <v>446</v>
      </c>
      <c r="C363" s="4" t="str">
        <f>VLOOKUP(População!A363,Ginecologia_dados!B:E,3,FALSE)</f>
        <v>LESTE</v>
      </c>
      <c r="D363" s="4" t="str">
        <f>VLOOKUP(A363,Ginecologia_dados!B:C,2,FALSE)</f>
        <v>MANTENA</v>
      </c>
      <c r="E363">
        <v>5455</v>
      </c>
    </row>
    <row r="364" spans="1:5" x14ac:dyDescent="0.3">
      <c r="A364" s="4">
        <v>313190</v>
      </c>
      <c r="B364" s="4" t="s">
        <v>448</v>
      </c>
      <c r="C364" s="4" t="str">
        <f>VLOOKUP(População!A364,Ginecologia_dados!B:E,3,FALSE)</f>
        <v>CENTRO</v>
      </c>
      <c r="D364" s="4" t="str">
        <f>VLOOKUP(A364,Ginecologia_dados!B:C,2,FALSE)</f>
        <v>OURO PRETO</v>
      </c>
      <c r="E364">
        <v>26654</v>
      </c>
    </row>
    <row r="365" spans="1:5" x14ac:dyDescent="0.3">
      <c r="A365" s="4">
        <v>313200</v>
      </c>
      <c r="B365" s="4" t="s">
        <v>449</v>
      </c>
      <c r="C365" s="4" t="str">
        <f>VLOOKUP(População!A365,Ginecologia_dados!B:E,3,FALSE)</f>
        <v>NORTE</v>
      </c>
      <c r="D365" s="4" t="str">
        <f>VLOOKUP(A365,Ginecologia_dados!B:C,2,FALSE)</f>
        <v>MONTES CLAROS</v>
      </c>
      <c r="E365">
        <v>2131</v>
      </c>
    </row>
    <row r="366" spans="1:5" x14ac:dyDescent="0.3">
      <c r="A366" s="4">
        <v>313210</v>
      </c>
      <c r="B366" s="4" t="s">
        <v>450</v>
      </c>
      <c r="C366" s="4" t="str">
        <f>VLOOKUP(População!A366,Ginecologia_dados!B:E,3,FALSE)</f>
        <v>NORTE</v>
      </c>
      <c r="D366" s="4" t="str">
        <f>VLOOKUP(A366,Ginecologia_dados!B:C,2,FALSE)</f>
        <v>JANUÁRIA</v>
      </c>
      <c r="E366">
        <v>8860</v>
      </c>
    </row>
    <row r="367" spans="1:5" x14ac:dyDescent="0.3">
      <c r="A367" s="4">
        <v>313220</v>
      </c>
      <c r="B367" s="4" t="s">
        <v>452</v>
      </c>
      <c r="C367" s="4" t="str">
        <f>VLOOKUP(População!A367,Ginecologia_dados!B:E,3,FALSE)</f>
        <v>OESTE</v>
      </c>
      <c r="D367" s="4" t="str">
        <f>VLOOKUP(A367,Ginecologia_dados!B:C,2,FALSE)</f>
        <v>ITAÚNA</v>
      </c>
      <c r="E367">
        <v>6789</v>
      </c>
    </row>
    <row r="368" spans="1:5" x14ac:dyDescent="0.3">
      <c r="A368" s="4">
        <v>313230</v>
      </c>
      <c r="B368" s="4" t="s">
        <v>453</v>
      </c>
      <c r="C368" s="4" t="str">
        <f>VLOOKUP(População!A368,Ginecologia_dados!B:E,3,FALSE)</f>
        <v>NORDESTE</v>
      </c>
      <c r="D368" s="4" t="str">
        <f>VLOOKUP(A368,Ginecologia_dados!B:C,2,FALSE)</f>
        <v>PADRE PARAÍSO</v>
      </c>
      <c r="E368">
        <v>5590</v>
      </c>
    </row>
    <row r="369" spans="1:5" x14ac:dyDescent="0.3">
      <c r="A369" s="4">
        <v>313240</v>
      </c>
      <c r="B369" s="4" t="s">
        <v>454</v>
      </c>
      <c r="C369" s="4" t="str">
        <f>VLOOKUP(População!A369,Ginecologia_dados!B:E,3,FALSE)</f>
        <v>SUL</v>
      </c>
      <c r="D369" s="4" t="str">
        <f>VLOOKUP(A369,Ginecologia_dados!B:C,2,FALSE)</f>
        <v>ITAJUBÁ</v>
      </c>
      <c r="E369">
        <v>48541</v>
      </c>
    </row>
    <row r="370" spans="1:5" x14ac:dyDescent="0.3">
      <c r="A370" s="4">
        <v>313250</v>
      </c>
      <c r="B370" s="4" t="s">
        <v>455</v>
      </c>
      <c r="C370" s="4" t="str">
        <f>VLOOKUP(População!A370,Ginecologia_dados!B:E,3,FALSE)</f>
        <v>JEQUITINHONHA</v>
      </c>
      <c r="D370" s="4" t="str">
        <f>VLOOKUP(A370,Ginecologia_dados!B:C,2,FALSE)</f>
        <v>DIAMANTINA</v>
      </c>
      <c r="E370">
        <v>16854</v>
      </c>
    </row>
    <row r="371" spans="1:5" x14ac:dyDescent="0.3">
      <c r="A371" s="4">
        <v>313260</v>
      </c>
      <c r="B371" s="4" t="s">
        <v>456</v>
      </c>
      <c r="C371" s="4" t="str">
        <f>VLOOKUP(População!A371,Ginecologia_dados!B:E,3,FALSE)</f>
        <v>SUDESTE</v>
      </c>
      <c r="D371" s="4" t="str">
        <f>VLOOKUP(A371,Ginecologia_dados!B:C,2,FALSE)</f>
        <v>LEOPOLDINA/CATAGUASES</v>
      </c>
      <c r="E371">
        <v>1882</v>
      </c>
    </row>
    <row r="372" spans="1:5" x14ac:dyDescent="0.3">
      <c r="A372" s="4">
        <v>313270</v>
      </c>
      <c r="B372" s="4" t="s">
        <v>189</v>
      </c>
      <c r="C372" s="4" t="str">
        <f>VLOOKUP(População!A372,Ginecologia_dados!B:E,3,FALSE)</f>
        <v>NORDESTE</v>
      </c>
      <c r="D372" s="4" t="str">
        <f>VLOOKUP(A372,Ginecologia_dados!B:C,2,FALSE)</f>
        <v>ITAMBACURI</v>
      </c>
      <c r="E372">
        <v>11430</v>
      </c>
    </row>
    <row r="373" spans="1:5" x14ac:dyDescent="0.3">
      <c r="A373" s="4">
        <v>313280</v>
      </c>
      <c r="B373" s="4" t="s">
        <v>457</v>
      </c>
      <c r="C373" s="4" t="str">
        <f>VLOOKUP(População!A373,Ginecologia_dados!B:E,3,FALSE)</f>
        <v>CENTRO</v>
      </c>
      <c r="D373" s="4" t="str">
        <f>VLOOKUP(A373,Ginecologia_dados!B:C,2,FALSE)</f>
        <v>ITABIRA</v>
      </c>
      <c r="E373">
        <v>1128</v>
      </c>
    </row>
    <row r="374" spans="1:5" x14ac:dyDescent="0.3">
      <c r="A374" s="4">
        <v>313290</v>
      </c>
      <c r="B374" s="4" t="s">
        <v>459</v>
      </c>
      <c r="C374" s="4" t="str">
        <f>VLOOKUP(População!A374,Ginecologia_dados!B:E,3,FALSE)</f>
        <v>SUL</v>
      </c>
      <c r="D374" s="4" t="str">
        <f>VLOOKUP(A374,Ginecologia_dados!B:C,2,FALSE)</f>
        <v>SÃO SEBASTIÃO DO PARAÍSO</v>
      </c>
      <c r="E374">
        <v>5349</v>
      </c>
    </row>
    <row r="375" spans="1:5" x14ac:dyDescent="0.3">
      <c r="A375" s="4">
        <v>313300</v>
      </c>
      <c r="B375" s="4" t="s">
        <v>460</v>
      </c>
      <c r="C375" s="4" t="str">
        <f>VLOOKUP(População!A375,Ginecologia_dados!B:E,3,FALSE)</f>
        <v>SUL</v>
      </c>
      <c r="D375" s="4" t="str">
        <f>VLOOKUP(A375,Ginecologia_dados!B:C,2,FALSE)</f>
        <v>SÃO LOURENÇO</v>
      </c>
      <c r="E375">
        <v>7407</v>
      </c>
    </row>
    <row r="376" spans="1:5" x14ac:dyDescent="0.3">
      <c r="A376" s="4">
        <v>313310</v>
      </c>
      <c r="B376" s="4" t="s">
        <v>461</v>
      </c>
      <c r="C376" s="4" t="str">
        <f>VLOOKUP(População!A376,Ginecologia_dados!B:E,3,FALSE)</f>
        <v>SUL</v>
      </c>
      <c r="D376" s="4" t="str">
        <f>VLOOKUP(A376,Ginecologia_dados!B:C,2,FALSE)</f>
        <v>SÃO LOURENÇO</v>
      </c>
      <c r="E376">
        <v>7771</v>
      </c>
    </row>
    <row r="377" spans="1:5" x14ac:dyDescent="0.3">
      <c r="A377" s="4">
        <v>313320</v>
      </c>
      <c r="B377" s="4" t="s">
        <v>462</v>
      </c>
      <c r="C377" s="4" t="str">
        <f>VLOOKUP(População!A377,Ginecologia_dados!B:E,3,FALSE)</f>
        <v>LESTE</v>
      </c>
      <c r="D377" s="4" t="str">
        <f>VLOOKUP(A377,Ginecologia_dados!B:C,2,FALSE)</f>
        <v>GOVERNADOR VALADARES</v>
      </c>
      <c r="E377">
        <v>5979</v>
      </c>
    </row>
    <row r="378" spans="1:5" x14ac:dyDescent="0.3">
      <c r="A378" s="4">
        <v>313330</v>
      </c>
      <c r="B378" s="4" t="s">
        <v>271</v>
      </c>
      <c r="C378" s="4" t="str">
        <f>VLOOKUP(População!A378,Ginecologia_dados!B:E,3,FALSE)</f>
        <v>NORDESTE</v>
      </c>
      <c r="D378" s="4" t="str">
        <f>VLOOKUP(A378,Ginecologia_dados!B:C,2,FALSE)</f>
        <v>ITAOBIM</v>
      </c>
      <c r="E378">
        <v>10120</v>
      </c>
    </row>
    <row r="379" spans="1:5" x14ac:dyDescent="0.3">
      <c r="A379" s="4">
        <v>313340</v>
      </c>
      <c r="B379" s="4" t="s">
        <v>463</v>
      </c>
      <c r="C379" s="4" t="str">
        <f>VLOOKUP(População!A379,Ginecologia_dados!B:E,3,FALSE)</f>
        <v>TRIÂNGULO DO SUL</v>
      </c>
      <c r="D379" s="4" t="str">
        <f>VLOOKUP(A379,Ginecologia_dados!B:C,2,FALSE)</f>
        <v>FRUTAL/ITURAMA</v>
      </c>
      <c r="E379">
        <v>6767</v>
      </c>
    </row>
    <row r="380" spans="1:5" x14ac:dyDescent="0.3">
      <c r="A380" s="4">
        <v>313350</v>
      </c>
      <c r="B380" s="4" t="s">
        <v>464</v>
      </c>
      <c r="C380" s="4" t="str">
        <f>VLOOKUP(População!A380,Ginecologia_dados!B:E,3,FALSE)</f>
        <v>OESTE</v>
      </c>
      <c r="D380" s="4" t="str">
        <f>VLOOKUP(A380,Ginecologia_dados!B:C,2,FALSE)</f>
        <v>DIVINÓPOLIS</v>
      </c>
      <c r="E380">
        <v>10929</v>
      </c>
    </row>
    <row r="381" spans="1:5" x14ac:dyDescent="0.3">
      <c r="A381" s="4">
        <v>313360</v>
      </c>
      <c r="B381" s="4" t="s">
        <v>465</v>
      </c>
      <c r="C381" s="4" t="str">
        <f>VLOOKUP(População!A381,Ginecologia_dados!B:E,3,FALSE)</f>
        <v>SUL</v>
      </c>
      <c r="D381" s="4" t="str">
        <f>VLOOKUP(A381,Ginecologia_dados!B:C,2,FALSE)</f>
        <v>POUSO ALEGRE</v>
      </c>
      <c r="E381">
        <v>5593</v>
      </c>
    </row>
    <row r="382" spans="1:5" x14ac:dyDescent="0.3">
      <c r="A382" s="4">
        <v>313370</v>
      </c>
      <c r="B382" s="4" t="s">
        <v>466</v>
      </c>
      <c r="C382" s="4" t="str">
        <f>VLOOKUP(População!A382,Ginecologia_dados!B:E,3,FALSE)</f>
        <v>OESTE</v>
      </c>
      <c r="D382" s="4" t="str">
        <f>VLOOKUP(A382,Ginecologia_dados!B:C,2,FALSE)</f>
        <v>ITAÚNA</v>
      </c>
      <c r="E382">
        <v>6080</v>
      </c>
    </row>
    <row r="383" spans="1:5" x14ac:dyDescent="0.3">
      <c r="A383" s="4">
        <v>313375</v>
      </c>
      <c r="B383" s="4" t="s">
        <v>467</v>
      </c>
      <c r="C383" s="4" t="str">
        <f>VLOOKUP(População!A383,Ginecologia_dados!B:E,3,FALSE)</f>
        <v>SUL</v>
      </c>
      <c r="D383" s="4" t="str">
        <f>VLOOKUP(A383,Ginecologia_dados!B:C,2,FALSE)</f>
        <v>PASSOS</v>
      </c>
      <c r="E383">
        <v>7516</v>
      </c>
    </row>
    <row r="384" spans="1:5" x14ac:dyDescent="0.3">
      <c r="A384" s="4">
        <v>313380</v>
      </c>
      <c r="B384" s="4" t="s">
        <v>468</v>
      </c>
      <c r="C384" s="4" t="str">
        <f>VLOOKUP(População!A384,Ginecologia_dados!B:E,3,FALSE)</f>
        <v>OESTE</v>
      </c>
      <c r="D384" s="4" t="str">
        <f>VLOOKUP(A384,Ginecologia_dados!B:C,2,FALSE)</f>
        <v>ITAÚNA</v>
      </c>
      <c r="E384">
        <v>49037</v>
      </c>
    </row>
    <row r="385" spans="1:5" x14ac:dyDescent="0.3">
      <c r="A385" s="4">
        <v>313390</v>
      </c>
      <c r="B385" s="4" t="s">
        <v>469</v>
      </c>
      <c r="C385" s="4" t="str">
        <f>VLOOKUP(População!A385,Ginecologia_dados!B:E,3,FALSE)</f>
        <v>CENTRO SUL</v>
      </c>
      <c r="D385" s="4" t="str">
        <f>VLOOKUP(A385,Ginecologia_dados!B:C,2,FALSE)</f>
        <v>CONSELHEIRO LAFAIETE</v>
      </c>
      <c r="E385">
        <v>2817</v>
      </c>
    </row>
    <row r="386" spans="1:5" x14ac:dyDescent="0.3">
      <c r="A386" s="4">
        <v>313400</v>
      </c>
      <c r="B386" s="4" t="s">
        <v>470</v>
      </c>
      <c r="C386" s="4" t="str">
        <f>VLOOKUP(População!A386,Ginecologia_dados!B:E,3,FALSE)</f>
        <v>NORDESTE</v>
      </c>
      <c r="D386" s="4" t="str">
        <f>VLOOKUP(A386,Ginecologia_dados!B:C,2,FALSE)</f>
        <v>ITAOBIM</v>
      </c>
      <c r="E386">
        <v>7173</v>
      </c>
    </row>
    <row r="387" spans="1:5" x14ac:dyDescent="0.3">
      <c r="A387" s="4">
        <v>313410</v>
      </c>
      <c r="B387" s="4" t="s">
        <v>471</v>
      </c>
      <c r="C387" s="4" t="str">
        <f>VLOOKUP(População!A387,Ginecologia_dados!B:E,3,FALSE)</f>
        <v>LESTE</v>
      </c>
      <c r="D387" s="4" t="str">
        <f>VLOOKUP(A387,Ginecologia_dados!B:C,2,FALSE)</f>
        <v>RESPLENDOR</v>
      </c>
      <c r="E387">
        <v>3002</v>
      </c>
    </row>
    <row r="388" spans="1:5" x14ac:dyDescent="0.3">
      <c r="A388" s="4">
        <v>313420</v>
      </c>
      <c r="B388" s="4" t="s">
        <v>176</v>
      </c>
      <c r="C388" s="4" t="str">
        <f>VLOOKUP(População!A388,Ginecologia_dados!B:E,3,FALSE)</f>
        <v>TRIÂNGULO DO NORTE</v>
      </c>
      <c r="D388" s="4" t="str">
        <f>VLOOKUP(A388,Ginecologia_dados!B:C,2,FALSE)</f>
        <v>ITUIUTABA</v>
      </c>
      <c r="E388">
        <v>53593</v>
      </c>
    </row>
    <row r="389" spans="1:5" x14ac:dyDescent="0.3">
      <c r="A389" s="4">
        <v>313430</v>
      </c>
      <c r="B389" s="4" t="s">
        <v>472</v>
      </c>
      <c r="C389" s="4" t="str">
        <f>VLOOKUP(População!A389,Ginecologia_dados!B:E,3,FALSE)</f>
        <v>SUL</v>
      </c>
      <c r="D389" s="4" t="str">
        <f>VLOOKUP(A389,Ginecologia_dados!B:C,2,FALSE)</f>
        <v>LAVRAS</v>
      </c>
      <c r="E389">
        <v>3330</v>
      </c>
    </row>
    <row r="390" spans="1:5" x14ac:dyDescent="0.3">
      <c r="A390" s="4">
        <v>313440</v>
      </c>
      <c r="B390" s="4" t="s">
        <v>473</v>
      </c>
      <c r="C390" s="4" t="str">
        <f>VLOOKUP(População!A390,Ginecologia_dados!B:E,3,FALSE)</f>
        <v>TRIÂNGULO DO SUL</v>
      </c>
      <c r="D390" s="4" t="str">
        <f>VLOOKUP(A390,Ginecologia_dados!B:C,2,FALSE)</f>
        <v>FRUTAL/ITURAMA</v>
      </c>
      <c r="E390">
        <v>19162</v>
      </c>
    </row>
    <row r="391" spans="1:5" x14ac:dyDescent="0.3">
      <c r="A391" s="4">
        <v>313450</v>
      </c>
      <c r="B391" s="4" t="s">
        <v>474</v>
      </c>
      <c r="C391" s="4" t="str">
        <f>VLOOKUP(População!A391,Ginecologia_dados!B:E,3,FALSE)</f>
        <v>SUL</v>
      </c>
      <c r="D391" s="4" t="str">
        <f>VLOOKUP(A391,Ginecologia_dados!B:C,2,FALSE)</f>
        <v>LAVRAS</v>
      </c>
      <c r="E391">
        <v>2083</v>
      </c>
    </row>
    <row r="392" spans="1:5" x14ac:dyDescent="0.3">
      <c r="A392" s="4">
        <v>313460</v>
      </c>
      <c r="B392" s="4" t="s">
        <v>475</v>
      </c>
      <c r="C392" s="4" t="str">
        <f>VLOOKUP(População!A392,Ginecologia_dados!B:E,3,FALSE)</f>
        <v>CENTRO</v>
      </c>
      <c r="D392" s="4" t="str">
        <f>VLOOKUP(A392,Ginecologia_dados!B:C,2,FALSE)</f>
        <v>BELO HORIZONTE/NOVA LIMA/CAETÉ</v>
      </c>
      <c r="E392">
        <v>9755</v>
      </c>
    </row>
    <row r="393" spans="1:5" x14ac:dyDescent="0.3">
      <c r="A393" s="4">
        <v>313470</v>
      </c>
      <c r="B393" s="4" t="s">
        <v>476</v>
      </c>
      <c r="C393" s="4" t="str">
        <f>VLOOKUP(População!A393,Ginecologia_dados!B:E,3,FALSE)</f>
        <v>NORDESTE</v>
      </c>
      <c r="D393" s="4" t="str">
        <f>VLOOKUP(A393,Ginecologia_dados!B:C,2,FALSE)</f>
        <v>ALMENARA/JACINTO</v>
      </c>
      <c r="E393">
        <v>5769</v>
      </c>
    </row>
    <row r="394" spans="1:5" x14ac:dyDescent="0.3">
      <c r="A394" s="4">
        <v>313480</v>
      </c>
      <c r="B394" s="4" t="s">
        <v>477</v>
      </c>
      <c r="C394" s="4" t="str">
        <f>VLOOKUP(População!A394,Ginecologia_dados!B:E,3,FALSE)</f>
        <v>SUL</v>
      </c>
      <c r="D394" s="4" t="str">
        <f>VLOOKUP(A394,Ginecologia_dados!B:C,2,FALSE)</f>
        <v>SÃO SEBASTIÃO DO PARAÍSO</v>
      </c>
      <c r="E394">
        <v>3721</v>
      </c>
    </row>
    <row r="395" spans="1:5" x14ac:dyDescent="0.3">
      <c r="A395" s="4">
        <v>313490</v>
      </c>
      <c r="B395" s="4" t="s">
        <v>478</v>
      </c>
      <c r="C395" s="4" t="str">
        <f>VLOOKUP(População!A395,Ginecologia_dados!B:E,3,FALSE)</f>
        <v>SUL</v>
      </c>
      <c r="D395" s="4" t="str">
        <f>VLOOKUP(A395,Ginecologia_dados!B:C,2,FALSE)</f>
        <v>POUSO ALEGRE</v>
      </c>
      <c r="E395">
        <v>12819</v>
      </c>
    </row>
    <row r="396" spans="1:5" x14ac:dyDescent="0.3">
      <c r="A396" s="4">
        <v>313500</v>
      </c>
      <c r="B396" s="4" t="s">
        <v>479</v>
      </c>
      <c r="C396" s="4" t="str">
        <f>VLOOKUP(População!A396,Ginecologia_dados!B:E,3,FALSE)</f>
        <v>VALE DO AÇO</v>
      </c>
      <c r="D396" s="4" t="str">
        <f>VLOOKUP(A396,Ginecologia_dados!B:C,2,FALSE)</f>
        <v>CORONEL FABRICIANO/TIMÓTEO</v>
      </c>
      <c r="E396">
        <v>1575</v>
      </c>
    </row>
    <row r="397" spans="1:5" x14ac:dyDescent="0.3">
      <c r="A397" s="4">
        <v>313505</v>
      </c>
      <c r="B397" s="4" t="s">
        <v>480</v>
      </c>
      <c r="C397" s="4" t="str">
        <f>VLOOKUP(População!A397,Ginecologia_dados!B:E,3,FALSE)</f>
        <v>NORTE</v>
      </c>
      <c r="D397" s="4" t="str">
        <f>VLOOKUP(A397,Ginecologia_dados!B:C,2,FALSE)</f>
        <v>JANAÚBA/MONTE AZUL</v>
      </c>
      <c r="E397">
        <v>18372</v>
      </c>
    </row>
    <row r="398" spans="1:5" x14ac:dyDescent="0.3">
      <c r="A398" s="4">
        <v>313507</v>
      </c>
      <c r="B398" s="4" t="s">
        <v>481</v>
      </c>
      <c r="C398" s="4" t="str">
        <f>VLOOKUP(População!A398,Ginecologia_dados!B:E,3,FALSE)</f>
        <v>LESTE</v>
      </c>
      <c r="D398" s="4" t="str">
        <f>VLOOKUP(A398,Ginecologia_dados!B:C,2,FALSE)</f>
        <v>GOVERNADOR VALADARES</v>
      </c>
      <c r="E398">
        <v>2251</v>
      </c>
    </row>
    <row r="399" spans="1:5" x14ac:dyDescent="0.3">
      <c r="A399" s="4">
        <v>313510</v>
      </c>
      <c r="B399" s="4" t="s">
        <v>482</v>
      </c>
      <c r="C399" s="4" t="str">
        <f>VLOOKUP(População!A399,Ginecologia_dados!B:E,3,FALSE)</f>
        <v>NORTE</v>
      </c>
      <c r="D399" s="4" t="str">
        <f>VLOOKUP(A399,Ginecologia_dados!B:C,2,FALSE)</f>
        <v>JANAÚBA/MONTE AZUL</v>
      </c>
      <c r="E399">
        <v>36608</v>
      </c>
    </row>
    <row r="400" spans="1:5" x14ac:dyDescent="0.3">
      <c r="A400" s="4">
        <v>313520</v>
      </c>
      <c r="B400" s="4" t="s">
        <v>483</v>
      </c>
      <c r="C400" s="4" t="str">
        <f>VLOOKUP(População!A400,Ginecologia_dados!B:E,3,FALSE)</f>
        <v>NORTE</v>
      </c>
      <c r="D400" s="4" t="str">
        <f>VLOOKUP(A400,Ginecologia_dados!B:C,2,FALSE)</f>
        <v>JANUÁRIA</v>
      </c>
      <c r="E400">
        <v>33937</v>
      </c>
    </row>
    <row r="401" spans="1:5" x14ac:dyDescent="0.3">
      <c r="A401" s="4">
        <v>313530</v>
      </c>
      <c r="B401" s="4" t="s">
        <v>484</v>
      </c>
      <c r="C401" s="4" t="str">
        <f>VLOOKUP(População!A401,Ginecologia_dados!B:E,3,FALSE)</f>
        <v>OESTE</v>
      </c>
      <c r="D401" s="4" t="str">
        <f>VLOOKUP(A401,Ginecologia_dados!B:C,2,FALSE)</f>
        <v>LAGOA DA PRATA/STO ANT. DO MONTE</v>
      </c>
      <c r="E401">
        <v>2172</v>
      </c>
    </row>
    <row r="402" spans="1:5" x14ac:dyDescent="0.3">
      <c r="A402" s="4">
        <v>313535</v>
      </c>
      <c r="B402" s="4" t="s">
        <v>485</v>
      </c>
      <c r="C402" s="4" t="str">
        <f>VLOOKUP(População!A402,Ginecologia_dados!B:E,3,FALSE)</f>
        <v>NORTE</v>
      </c>
      <c r="D402" s="4" t="str">
        <f>VLOOKUP(A402,Ginecologia_dados!B:C,2,FALSE)</f>
        <v>BRASÍLIA DE MINAS/SÃO FRANCISCO</v>
      </c>
      <c r="E402">
        <v>4013</v>
      </c>
    </row>
    <row r="403" spans="1:5" x14ac:dyDescent="0.3">
      <c r="A403" s="4">
        <v>313540</v>
      </c>
      <c r="B403" s="4" t="s">
        <v>486</v>
      </c>
      <c r="C403" s="4" t="str">
        <f>VLOOKUP(População!A403,Ginecologia_dados!B:E,3,FALSE)</f>
        <v>CENTRO SUL</v>
      </c>
      <c r="D403" s="4" t="str">
        <f>VLOOKUP(A403,Ginecologia_dados!B:C,2,FALSE)</f>
        <v>CONGONHAS</v>
      </c>
      <c r="E403">
        <v>3032</v>
      </c>
    </row>
    <row r="404" spans="1:5" x14ac:dyDescent="0.3">
      <c r="A404" s="4">
        <v>313545</v>
      </c>
      <c r="B404" s="4" t="s">
        <v>487</v>
      </c>
      <c r="C404" s="4" t="str">
        <f>VLOOKUP(População!A404,Ginecologia_dados!B:E,3,FALSE)</f>
        <v>JEQUITINHONHA</v>
      </c>
      <c r="D404" s="4" t="str">
        <f>VLOOKUP(A404,Ginecologia_dados!B:C,2,FALSE)</f>
        <v>ARAÇUAÍ</v>
      </c>
      <c r="E404">
        <v>3265</v>
      </c>
    </row>
    <row r="405" spans="1:5" x14ac:dyDescent="0.3">
      <c r="A405" s="4">
        <v>313550</v>
      </c>
      <c r="B405" s="4" t="s">
        <v>488</v>
      </c>
      <c r="C405" s="4" t="str">
        <f>VLOOKUP(População!A405,Ginecologia_dados!B:E,3,FALSE)</f>
        <v>LESTE DO SUL</v>
      </c>
      <c r="D405" s="4" t="str">
        <f>VLOOKUP(A405,Ginecologia_dados!B:C,2,FALSE)</f>
        <v>PONTE NOVA</v>
      </c>
      <c r="E405">
        <v>6382</v>
      </c>
    </row>
    <row r="406" spans="1:5" x14ac:dyDescent="0.3">
      <c r="A406" s="4">
        <v>313560</v>
      </c>
      <c r="B406" s="4" t="s">
        <v>489</v>
      </c>
      <c r="C406" s="4" t="str">
        <f>VLOOKUP(População!A406,Ginecologia_dados!B:E,3,FALSE)</f>
        <v>NORTE</v>
      </c>
      <c r="D406" s="4" t="str">
        <f>VLOOKUP(A406,Ginecologia_dados!B:C,2,FALSE)</f>
        <v>CORAÇÃO DE JESUS</v>
      </c>
      <c r="E406">
        <v>3485</v>
      </c>
    </row>
    <row r="407" spans="1:5" x14ac:dyDescent="0.3">
      <c r="A407" s="4">
        <v>313570</v>
      </c>
      <c r="B407" s="4" t="s">
        <v>490</v>
      </c>
      <c r="C407" s="4" t="str">
        <f>VLOOKUP(População!A407,Ginecologia_dados!B:E,3,FALSE)</f>
        <v>CENTRO</v>
      </c>
      <c r="D407" s="4" t="str">
        <f>VLOOKUP(A407,Ginecologia_dados!B:C,2,FALSE)</f>
        <v>SETE LAGOAS</v>
      </c>
      <c r="E407">
        <v>2825</v>
      </c>
    </row>
    <row r="408" spans="1:5" x14ac:dyDescent="0.3">
      <c r="A408" s="4">
        <v>313580</v>
      </c>
      <c r="B408" s="4" t="s">
        <v>56</v>
      </c>
      <c r="C408" s="4" t="str">
        <f>VLOOKUP(População!A408,Ginecologia_dados!B:E,3,FALSE)</f>
        <v>NORDESTE</v>
      </c>
      <c r="D408" s="4" t="str">
        <f>VLOOKUP(A408,Ginecologia_dados!B:C,2,FALSE)</f>
        <v>ALMENARA/JACINTO</v>
      </c>
      <c r="E408">
        <v>12141</v>
      </c>
    </row>
    <row r="409" spans="1:5" x14ac:dyDescent="0.3">
      <c r="A409" s="4">
        <v>313590</v>
      </c>
      <c r="B409" s="4" t="s">
        <v>491</v>
      </c>
      <c r="C409" s="4" t="str">
        <f>VLOOKUP(População!A409,Ginecologia_dados!B:E,3,FALSE)</f>
        <v>SUL</v>
      </c>
      <c r="D409" s="4" t="str">
        <f>VLOOKUP(A409,Ginecologia_dados!B:C,2,FALSE)</f>
        <v>SÃO LOURENÇO</v>
      </c>
      <c r="E409">
        <v>2468</v>
      </c>
    </row>
    <row r="410" spans="1:5" x14ac:dyDescent="0.3">
      <c r="A410" s="4">
        <v>313600</v>
      </c>
      <c r="B410" s="4" t="s">
        <v>492</v>
      </c>
      <c r="C410" s="4" t="str">
        <f>VLOOKUP(População!A410,Ginecologia_dados!B:E,3,FALSE)</f>
        <v>NORDESTE</v>
      </c>
      <c r="D410" s="4" t="str">
        <f>VLOOKUP(A410,Ginecologia_dados!B:C,2,FALSE)</f>
        <v>ALMENARA/JACINTO</v>
      </c>
      <c r="E410">
        <v>7212</v>
      </c>
    </row>
    <row r="411" spans="1:5" x14ac:dyDescent="0.3">
      <c r="A411" s="4">
        <v>313610</v>
      </c>
      <c r="B411" s="4" t="s">
        <v>493</v>
      </c>
      <c r="C411" s="4" t="str">
        <f>VLOOKUP(População!A411,Ginecologia_dados!B:E,3,FALSE)</f>
        <v>VALE DO AÇO</v>
      </c>
      <c r="D411" s="4" t="str">
        <f>VLOOKUP(A411,Ginecologia_dados!B:C,2,FALSE)</f>
        <v>IPATINGA</v>
      </c>
      <c r="E411">
        <v>2351</v>
      </c>
    </row>
    <row r="412" spans="1:5" x14ac:dyDescent="0.3">
      <c r="A412" s="4">
        <v>313620</v>
      </c>
      <c r="B412" s="4" t="s">
        <v>494</v>
      </c>
      <c r="C412" s="4" t="str">
        <f>VLOOKUP(População!A412,Ginecologia_dados!B:E,3,FALSE)</f>
        <v>CENTRO</v>
      </c>
      <c r="D412" s="4" t="str">
        <f>VLOOKUP(A412,Ginecologia_dados!B:C,2,FALSE)</f>
        <v>JOÃO MONLEVADE</v>
      </c>
      <c r="E412">
        <v>41938</v>
      </c>
    </row>
    <row r="413" spans="1:5" x14ac:dyDescent="0.3">
      <c r="A413" s="4">
        <v>313630</v>
      </c>
      <c r="B413" s="4" t="s">
        <v>495</v>
      </c>
      <c r="C413" s="4" t="str">
        <f>VLOOKUP(População!A413,Ginecologia_dados!B:E,3,FALSE)</f>
        <v>NOROESTE</v>
      </c>
      <c r="D413" s="4" t="str">
        <f>VLOOKUP(A413,Ginecologia_dados!B:C,2,FALSE)</f>
        <v>JOÃO PINHEIRO</v>
      </c>
      <c r="E413">
        <v>23241</v>
      </c>
    </row>
    <row r="414" spans="1:5" x14ac:dyDescent="0.3">
      <c r="A414" s="4">
        <v>313640</v>
      </c>
      <c r="B414" s="4" t="s">
        <v>496</v>
      </c>
      <c r="C414" s="4" t="str">
        <f>VLOOKUP(População!A414,Ginecologia_dados!B:E,3,FALSE)</f>
        <v>NORTE</v>
      </c>
      <c r="D414" s="4" t="str">
        <f>VLOOKUP(A414,Ginecologia_dados!B:C,2,FALSE)</f>
        <v>BOCAIÚVA</v>
      </c>
      <c r="E414">
        <v>1997</v>
      </c>
    </row>
    <row r="415" spans="1:5" x14ac:dyDescent="0.3">
      <c r="A415" s="4">
        <v>313650</v>
      </c>
      <c r="B415" s="4" t="s">
        <v>497</v>
      </c>
      <c r="C415" s="4" t="str">
        <f>VLOOKUP(População!A415,Ginecologia_dados!B:E,3,FALSE)</f>
        <v>NORDESTE</v>
      </c>
      <c r="D415" s="4" t="str">
        <f>VLOOKUP(A415,Ginecologia_dados!B:C,2,FALSE)</f>
        <v>ALMENARA/JACINTO</v>
      </c>
      <c r="E415">
        <v>5159</v>
      </c>
    </row>
    <row r="416" spans="1:5" x14ac:dyDescent="0.3">
      <c r="A416" s="4">
        <v>313652</v>
      </c>
      <c r="B416" s="4" t="s">
        <v>498</v>
      </c>
      <c r="C416" s="4" t="str">
        <f>VLOOKUP(População!A416,Ginecologia_dados!B:E,3,FALSE)</f>
        <v>JEQUITINHONHA</v>
      </c>
      <c r="D416" s="4" t="str">
        <f>VLOOKUP(A416,Ginecologia_dados!B:C,2,FALSE)</f>
        <v>TURMALINA/MINAS NOVAS/CAPELINHA</v>
      </c>
      <c r="E416">
        <v>2068</v>
      </c>
    </row>
    <row r="417" spans="1:5" x14ac:dyDescent="0.3">
      <c r="A417" s="4">
        <v>313655</v>
      </c>
      <c r="B417" s="4" t="s">
        <v>499</v>
      </c>
      <c r="C417" s="4" t="str">
        <f>VLOOKUP(População!A417,Ginecologia_dados!B:E,3,FALSE)</f>
        <v>LESTE</v>
      </c>
      <c r="D417" s="4" t="str">
        <f>VLOOKUP(A417,Ginecologia_dados!B:C,2,FALSE)</f>
        <v>SANTA MARIA DO SUAÇUÍ</v>
      </c>
      <c r="E417">
        <v>2203</v>
      </c>
    </row>
    <row r="418" spans="1:5" x14ac:dyDescent="0.3">
      <c r="A418" s="4">
        <v>313657</v>
      </c>
      <c r="B418" s="4" t="s">
        <v>500</v>
      </c>
      <c r="C418" s="4" t="str">
        <f>VLOOKUP(População!A418,Ginecologia_dados!B:E,3,FALSE)</f>
        <v>NORTE</v>
      </c>
      <c r="D418" s="4" t="str">
        <f>VLOOKUP(A418,Ginecologia_dados!B:C,2,FALSE)</f>
        <v>FRANCISCO SÁ</v>
      </c>
      <c r="E418">
        <v>1930</v>
      </c>
    </row>
    <row r="419" spans="1:5" x14ac:dyDescent="0.3">
      <c r="A419" s="4">
        <v>313660</v>
      </c>
      <c r="B419" s="4" t="s">
        <v>501</v>
      </c>
      <c r="C419" s="4" t="str">
        <f>VLOOKUP(População!A419,Ginecologia_dados!B:E,3,FALSE)</f>
        <v>CENTRO</v>
      </c>
      <c r="D419" s="4" t="str">
        <f>VLOOKUP(A419,Ginecologia_dados!B:C,2,FALSE)</f>
        <v>BELO HORIZONTE/NOVA LIMA/CAETÉ</v>
      </c>
      <c r="E419">
        <v>2940</v>
      </c>
    </row>
    <row r="420" spans="1:5" x14ac:dyDescent="0.3">
      <c r="A420" s="4">
        <v>313665</v>
      </c>
      <c r="B420" s="4" t="s">
        <v>502</v>
      </c>
      <c r="C420" s="4" t="str">
        <f>VLOOKUP(População!A420,Ginecologia_dados!B:E,3,FALSE)</f>
        <v>CENTRO</v>
      </c>
      <c r="D420" s="4" t="str">
        <f>VLOOKUP(A420,Ginecologia_dados!B:C,2,FALSE)</f>
        <v>BETIM</v>
      </c>
      <c r="E420">
        <v>14276</v>
      </c>
    </row>
    <row r="421" spans="1:5" x14ac:dyDescent="0.3">
      <c r="A421" s="4">
        <v>313670</v>
      </c>
      <c r="B421" s="4" t="s">
        <v>118</v>
      </c>
      <c r="C421" s="4" t="str">
        <f>VLOOKUP(População!A421,Ginecologia_dados!B:E,3,FALSE)</f>
        <v>SUDESTE</v>
      </c>
      <c r="D421" s="4" t="str">
        <f>VLOOKUP(A421,Ginecologia_dados!B:C,2,FALSE)</f>
        <v>JUIZ DE FORA</v>
      </c>
      <c r="E421">
        <v>292344</v>
      </c>
    </row>
    <row r="422" spans="1:5" x14ac:dyDescent="0.3">
      <c r="A422" s="4">
        <v>313680</v>
      </c>
      <c r="B422" s="4" t="s">
        <v>503</v>
      </c>
      <c r="C422" s="4" t="str">
        <f>VLOOKUP(População!A422,Ginecologia_dados!B:E,3,FALSE)</f>
        <v>NORTE</v>
      </c>
      <c r="D422" s="4" t="str">
        <f>VLOOKUP(A422,Ginecologia_dados!B:C,2,FALSE)</f>
        <v>MONTES CLAROS</v>
      </c>
      <c r="E422">
        <v>1962</v>
      </c>
    </row>
    <row r="423" spans="1:5" x14ac:dyDescent="0.3">
      <c r="A423" s="4">
        <v>313690</v>
      </c>
      <c r="B423" s="4" t="s">
        <v>504</v>
      </c>
      <c r="C423" s="4" t="str">
        <f>VLOOKUP(População!A423,Ginecologia_dados!B:E,3,FALSE)</f>
        <v>SUL</v>
      </c>
      <c r="D423" s="4" t="str">
        <f>VLOOKUP(A423,Ginecologia_dados!B:C,2,FALSE)</f>
        <v>GUAXUPÉ</v>
      </c>
      <c r="E423">
        <v>5307</v>
      </c>
    </row>
    <row r="424" spans="1:5" x14ac:dyDescent="0.3">
      <c r="A424" s="4">
        <v>313695</v>
      </c>
      <c r="B424" s="4" t="s">
        <v>506</v>
      </c>
      <c r="C424" s="4" t="str">
        <f>VLOOKUP(População!A424,Ginecologia_dados!B:E,3,FALSE)</f>
        <v>NORTE</v>
      </c>
      <c r="D424" s="4" t="str">
        <f>VLOOKUP(A424,Ginecologia_dados!B:C,2,FALSE)</f>
        <v>MANGA</v>
      </c>
      <c r="E424">
        <v>2849</v>
      </c>
    </row>
    <row r="425" spans="1:5" x14ac:dyDescent="0.3">
      <c r="A425" s="4">
        <v>313700</v>
      </c>
      <c r="B425" s="4" t="s">
        <v>507</v>
      </c>
      <c r="C425" s="4" t="str">
        <f>VLOOKUP(População!A425,Ginecologia_dados!B:E,3,FALSE)</f>
        <v>NORDESTE</v>
      </c>
      <c r="D425" s="4" t="str">
        <f>VLOOKUP(A425,Ginecologia_dados!B:C,2,FALSE)</f>
        <v>TEÓFILO OTONI/MALACACHETA</v>
      </c>
      <c r="E425">
        <v>7889</v>
      </c>
    </row>
    <row r="426" spans="1:5" x14ac:dyDescent="0.3">
      <c r="A426" s="4">
        <v>313710</v>
      </c>
      <c r="B426" s="4" t="s">
        <v>508</v>
      </c>
      <c r="C426" s="4" t="str">
        <f>VLOOKUP(População!A426,Ginecologia_dados!B:E,3,FALSE)</f>
        <v>NOROESTE</v>
      </c>
      <c r="D426" s="4" t="str">
        <f>VLOOKUP(A426,Ginecologia_dados!B:C,2,FALSE)</f>
        <v>PATOS DE MINAS</v>
      </c>
      <c r="E426">
        <v>3421</v>
      </c>
    </row>
    <row r="427" spans="1:5" x14ac:dyDescent="0.3">
      <c r="A427" s="4">
        <v>313720</v>
      </c>
      <c r="B427" s="4" t="s">
        <v>509</v>
      </c>
      <c r="C427" s="4" t="str">
        <f>VLOOKUP(População!A427,Ginecologia_dados!B:E,3,FALSE)</f>
        <v>OESTE</v>
      </c>
      <c r="D427" s="4" t="str">
        <f>VLOOKUP(A427,Ginecologia_dados!B:C,2,FALSE)</f>
        <v>LAGOA DA PRATA/STO ANT. DO MONTE</v>
      </c>
      <c r="E427">
        <v>25915</v>
      </c>
    </row>
    <row r="428" spans="1:5" x14ac:dyDescent="0.3">
      <c r="A428" s="4">
        <v>313730</v>
      </c>
      <c r="B428" s="4" t="s">
        <v>510</v>
      </c>
      <c r="C428" s="4" t="str">
        <f>VLOOKUP(População!A428,Ginecologia_dados!B:E,3,FALSE)</f>
        <v>NORTE</v>
      </c>
      <c r="D428" s="4" t="str">
        <f>VLOOKUP(A428,Ginecologia_dados!B:C,2,FALSE)</f>
        <v>CORAÇÃO DE JESUS</v>
      </c>
      <c r="E428">
        <v>1730</v>
      </c>
    </row>
    <row r="429" spans="1:5" x14ac:dyDescent="0.3">
      <c r="A429" s="4">
        <v>313740</v>
      </c>
      <c r="B429" s="4" t="s">
        <v>511</v>
      </c>
      <c r="C429" s="4" t="str">
        <f>VLOOKUP(População!A429,Ginecologia_dados!B:E,3,FALSE)</f>
        <v>CENTRO SUL</v>
      </c>
      <c r="D429" s="4" t="str">
        <f>VLOOKUP(A429,Ginecologia_dados!B:C,2,FALSE)</f>
        <v>SÃO JOÃO DEL REI</v>
      </c>
      <c r="E429">
        <v>6291</v>
      </c>
    </row>
    <row r="430" spans="1:5" x14ac:dyDescent="0.3">
      <c r="A430" s="4">
        <v>313750</v>
      </c>
      <c r="B430" s="4" t="s">
        <v>512</v>
      </c>
      <c r="C430" s="4" t="str">
        <f>VLOOKUP(População!A430,Ginecologia_dados!B:E,3,FALSE)</f>
        <v>NOROESTE</v>
      </c>
      <c r="D430" s="4" t="str">
        <f>VLOOKUP(A430,Ginecologia_dados!B:C,2,FALSE)</f>
        <v>PATOS DE MINAS</v>
      </c>
      <c r="E430">
        <v>9352</v>
      </c>
    </row>
    <row r="431" spans="1:5" x14ac:dyDescent="0.3">
      <c r="A431" s="4">
        <v>313753</v>
      </c>
      <c r="B431" s="4" t="s">
        <v>513</v>
      </c>
      <c r="C431" s="4" t="str">
        <f>VLOOKUP(População!A431,Ginecologia_dados!B:E,3,FALSE)</f>
        <v>NOROESTE</v>
      </c>
      <c r="D431" s="4" t="str">
        <f>VLOOKUP(A431,Ginecologia_dados!B:C,2,FALSE)</f>
        <v>JOÃO PINHEIRO</v>
      </c>
      <c r="E431">
        <v>4353</v>
      </c>
    </row>
    <row r="432" spans="1:5" x14ac:dyDescent="0.3">
      <c r="A432" s="4">
        <v>313760</v>
      </c>
      <c r="B432" s="4" t="s">
        <v>514</v>
      </c>
      <c r="C432" s="4" t="str">
        <f>VLOOKUP(População!A432,Ginecologia_dados!B:E,3,FALSE)</f>
        <v>CENTRO</v>
      </c>
      <c r="D432" s="4" t="str">
        <f>VLOOKUP(A432,Ginecologia_dados!B:C,2,FALSE)</f>
        <v>VESPASIANO</v>
      </c>
      <c r="E432">
        <v>35744</v>
      </c>
    </row>
    <row r="433" spans="1:5" x14ac:dyDescent="0.3">
      <c r="A433" s="4">
        <v>313770</v>
      </c>
      <c r="B433" s="4" t="s">
        <v>515</v>
      </c>
      <c r="C433" s="4" t="str">
        <f>VLOOKUP(População!A433,Ginecologia_dados!B:E,3,FALSE)</f>
        <v>LESTE DO SUL</v>
      </c>
      <c r="D433" s="4" t="str">
        <f>VLOOKUP(A433,Ginecologia_dados!B:C,2,FALSE)</f>
        <v>MANHUAÇU</v>
      </c>
      <c r="E433">
        <v>10369</v>
      </c>
    </row>
    <row r="434" spans="1:5" x14ac:dyDescent="0.3">
      <c r="A434" s="4">
        <v>313780</v>
      </c>
      <c r="B434" s="4" t="s">
        <v>516</v>
      </c>
      <c r="C434" s="4" t="str">
        <f>VLOOKUP(População!A434,Ginecologia_dados!B:E,3,FALSE)</f>
        <v>SUL</v>
      </c>
      <c r="D434" s="4" t="str">
        <f>VLOOKUP(A434,Ginecologia_dados!B:C,2,FALSE)</f>
        <v>SÃO LOURENÇO</v>
      </c>
      <c r="E434">
        <v>10463</v>
      </c>
    </row>
    <row r="435" spans="1:5" x14ac:dyDescent="0.3">
      <c r="A435" s="4">
        <v>313790</v>
      </c>
      <c r="B435" s="4" t="s">
        <v>517</v>
      </c>
      <c r="C435" s="4" t="str">
        <f>VLOOKUP(População!A435,Ginecologia_dados!B:E,3,FALSE)</f>
        <v>CENTRO SUL</v>
      </c>
      <c r="D435" s="4" t="str">
        <f>VLOOKUP(A435,Ginecologia_dados!B:C,2,FALSE)</f>
        <v>CONSELHEIRO LAFAIETE</v>
      </c>
      <c r="E435">
        <v>1671</v>
      </c>
    </row>
    <row r="436" spans="1:5" x14ac:dyDescent="0.3">
      <c r="A436" s="4">
        <v>313800</v>
      </c>
      <c r="B436" s="4" t="s">
        <v>518</v>
      </c>
      <c r="C436" s="4" t="str">
        <f>VLOOKUP(População!A436,Ginecologia_dados!B:E,3,FALSE)</f>
        <v>SUDESTE</v>
      </c>
      <c r="D436" s="4" t="str">
        <f>VLOOKUP(A436,Ginecologia_dados!B:C,2,FALSE)</f>
        <v>LEOPOLDINA/CATAGUASES</v>
      </c>
      <c r="E436">
        <v>3126</v>
      </c>
    </row>
    <row r="437" spans="1:5" x14ac:dyDescent="0.3">
      <c r="A437" s="4">
        <v>313810</v>
      </c>
      <c r="B437" s="4" t="s">
        <v>519</v>
      </c>
      <c r="C437" s="4" t="str">
        <f>VLOOKUP(População!A437,Ginecologia_dados!B:E,3,FALSE)</f>
        <v>NORTE</v>
      </c>
      <c r="D437" s="4" t="str">
        <f>VLOOKUP(A437,Ginecologia_dados!B:C,2,FALSE)</f>
        <v>PIRAPORA</v>
      </c>
      <c r="E437">
        <v>3501</v>
      </c>
    </row>
    <row r="438" spans="1:5" x14ac:dyDescent="0.3">
      <c r="A438" s="4">
        <v>313820</v>
      </c>
      <c r="B438" s="4" t="s">
        <v>239</v>
      </c>
      <c r="C438" s="4" t="str">
        <f>VLOOKUP(População!A438,Ginecologia_dados!B:E,3,FALSE)</f>
        <v>SUL</v>
      </c>
      <c r="D438" s="4" t="str">
        <f>VLOOKUP(A438,Ginecologia_dados!B:C,2,FALSE)</f>
        <v>LAVRAS</v>
      </c>
      <c r="E438">
        <v>53917</v>
      </c>
    </row>
    <row r="439" spans="1:5" x14ac:dyDescent="0.3">
      <c r="A439" s="4">
        <v>313830</v>
      </c>
      <c r="B439" s="4" t="s">
        <v>520</v>
      </c>
      <c r="C439" s="4" t="str">
        <f>VLOOKUP(População!A439,Ginecologia_dados!B:E,3,FALSE)</f>
        <v>OESTE</v>
      </c>
      <c r="D439" s="4" t="str">
        <f>VLOOKUP(A439,Ginecologia_dados!B:C,2,FALSE)</f>
        <v>PARÁ DE MINAS</v>
      </c>
      <c r="E439">
        <v>1609</v>
      </c>
    </row>
    <row r="440" spans="1:5" x14ac:dyDescent="0.3">
      <c r="A440" s="4">
        <v>313835</v>
      </c>
      <c r="B440" s="4" t="s">
        <v>521</v>
      </c>
      <c r="C440" s="4" t="str">
        <f>VLOOKUP(População!A440,Ginecologia_dados!B:E,3,FALSE)</f>
        <v>JEQUITINHONHA</v>
      </c>
      <c r="D440" s="4" t="str">
        <f>VLOOKUP(A440,Ginecologia_dados!B:C,2,FALSE)</f>
        <v>TURMALINA/MINAS NOVAS/CAPELINHA</v>
      </c>
      <c r="E440">
        <v>2305</v>
      </c>
    </row>
    <row r="441" spans="1:5" x14ac:dyDescent="0.3">
      <c r="A441" s="4">
        <v>313840</v>
      </c>
      <c r="B441" s="4" t="s">
        <v>522</v>
      </c>
      <c r="C441" s="4" t="str">
        <f>VLOOKUP(População!A441,Ginecologia_dados!B:E,3,FALSE)</f>
        <v>SUDESTE</v>
      </c>
      <c r="D441" s="4" t="str">
        <f>VLOOKUP(A441,Ginecologia_dados!B:C,2,FALSE)</f>
        <v>LEOPOLDINA/CATAGUASES</v>
      </c>
      <c r="E441">
        <v>27349</v>
      </c>
    </row>
    <row r="442" spans="1:5" x14ac:dyDescent="0.3">
      <c r="A442" s="4">
        <v>313850</v>
      </c>
      <c r="B442" s="4" t="s">
        <v>523</v>
      </c>
      <c r="C442" s="4" t="str">
        <f>VLOOKUP(População!A442,Ginecologia_dados!B:E,3,FALSE)</f>
        <v>SUDESTE</v>
      </c>
      <c r="D442" s="4" t="str">
        <f>VLOOKUP(A442,Ginecologia_dados!B:C,2,FALSE)</f>
        <v>LIMA DUARTE</v>
      </c>
      <c r="E442">
        <v>2462</v>
      </c>
    </row>
    <row r="443" spans="1:5" x14ac:dyDescent="0.3">
      <c r="A443" s="4">
        <v>313860</v>
      </c>
      <c r="B443" s="4" t="s">
        <v>62</v>
      </c>
      <c r="C443" s="4" t="str">
        <f>VLOOKUP(População!A443,Ginecologia_dados!B:E,3,FALSE)</f>
        <v>SUDESTE</v>
      </c>
      <c r="D443" s="4" t="str">
        <f>VLOOKUP(A443,Ginecologia_dados!B:C,2,FALSE)</f>
        <v>LIMA DUARTE</v>
      </c>
      <c r="E443">
        <v>8639</v>
      </c>
    </row>
    <row r="444" spans="1:5" x14ac:dyDescent="0.3">
      <c r="A444" s="4">
        <v>313862</v>
      </c>
      <c r="B444" s="4" t="s">
        <v>524</v>
      </c>
      <c r="C444" s="4" t="str">
        <f>VLOOKUP(População!A444,Ginecologia_dados!B:E,3,FALSE)</f>
        <v>TRIÂNGULO DO SUL</v>
      </c>
      <c r="D444" s="4" t="str">
        <f>VLOOKUP(A444,Ginecologia_dados!B:C,2,FALSE)</f>
        <v>FRUTAL/ITURAMA</v>
      </c>
      <c r="E444">
        <v>4051</v>
      </c>
    </row>
    <row r="445" spans="1:5" x14ac:dyDescent="0.3">
      <c r="A445" s="4">
        <v>313865</v>
      </c>
      <c r="B445" s="4" t="s">
        <v>525</v>
      </c>
      <c r="C445" s="4" t="str">
        <f>VLOOKUP(População!A445,Ginecologia_dados!B:E,3,FALSE)</f>
        <v>NORTE</v>
      </c>
      <c r="D445" s="4" t="str">
        <f>VLOOKUP(A445,Ginecologia_dados!B:C,2,FALSE)</f>
        <v>BRASÍLIA DE MINAS/SÃO FRANCISCO</v>
      </c>
      <c r="E445">
        <v>4433</v>
      </c>
    </row>
    <row r="446" spans="1:5" x14ac:dyDescent="0.3">
      <c r="A446" s="4">
        <v>313867</v>
      </c>
      <c r="B446" s="4" t="s">
        <v>526</v>
      </c>
      <c r="C446" s="4" t="str">
        <f>VLOOKUP(População!A446,Ginecologia_dados!B:E,3,FALSE)</f>
        <v>LESTE DO SUL</v>
      </c>
      <c r="D446" s="4" t="str">
        <f>VLOOKUP(A446,Ginecologia_dados!B:C,2,FALSE)</f>
        <v>MANHUAÇU</v>
      </c>
      <c r="E446">
        <v>3324</v>
      </c>
    </row>
    <row r="447" spans="1:5" x14ac:dyDescent="0.3">
      <c r="A447" s="4">
        <v>313868</v>
      </c>
      <c r="B447" s="4" t="s">
        <v>527</v>
      </c>
      <c r="C447" s="4" t="str">
        <f>VLOOKUP(População!A447,Ginecologia_dados!B:E,3,FALSE)</f>
        <v>NORTE</v>
      </c>
      <c r="D447" s="4" t="str">
        <f>VLOOKUP(A447,Ginecologia_dados!B:C,2,FALSE)</f>
        <v>BRASÍLIA DE MINAS/SÃO FRANCISCO</v>
      </c>
      <c r="E447">
        <v>3149</v>
      </c>
    </row>
    <row r="448" spans="1:5" x14ac:dyDescent="0.3">
      <c r="A448" s="4">
        <v>313870</v>
      </c>
      <c r="B448" s="4" t="s">
        <v>528</v>
      </c>
      <c r="C448" s="4" t="str">
        <f>VLOOKUP(População!A448,Ginecologia_dados!B:E,3,FALSE)</f>
        <v>SUL</v>
      </c>
      <c r="D448" s="4" t="str">
        <f>VLOOKUP(A448,Ginecologia_dados!B:C,2,FALSE)</f>
        <v>LAVRAS</v>
      </c>
      <c r="E448">
        <v>2745</v>
      </c>
    </row>
    <row r="449" spans="1:5" x14ac:dyDescent="0.3">
      <c r="A449" s="4">
        <v>313880</v>
      </c>
      <c r="B449" s="4" t="s">
        <v>529</v>
      </c>
      <c r="C449" s="4" t="str">
        <f>VLOOKUP(População!A449,Ginecologia_dados!B:E,3,FALSE)</f>
        <v>OESTE</v>
      </c>
      <c r="D449" s="4" t="str">
        <f>VLOOKUP(A449,Ginecologia_dados!B:C,2,FALSE)</f>
        <v>BOM DESPACHO</v>
      </c>
      <c r="E449">
        <v>9147</v>
      </c>
    </row>
    <row r="450" spans="1:5" x14ac:dyDescent="0.3">
      <c r="A450" s="4">
        <v>313890</v>
      </c>
      <c r="B450" s="4" t="s">
        <v>530</v>
      </c>
      <c r="C450" s="4" t="str">
        <f>VLOOKUP(População!A450,Ginecologia_dados!B:E,3,FALSE)</f>
        <v>NORDESTE</v>
      </c>
      <c r="D450" s="4" t="str">
        <f>VLOOKUP(A450,Ginecologia_dados!B:C,2,FALSE)</f>
        <v>ÁGUAS FORMOSAS</v>
      </c>
      <c r="E450">
        <v>3352</v>
      </c>
    </row>
    <row r="451" spans="1:5" x14ac:dyDescent="0.3">
      <c r="A451" s="4">
        <v>313900</v>
      </c>
      <c r="B451" s="4" t="s">
        <v>531</v>
      </c>
      <c r="C451" s="4" t="str">
        <f>VLOOKUP(População!A451,Ginecologia_dados!B:E,3,FALSE)</f>
        <v>SUL</v>
      </c>
      <c r="D451" s="4" t="str">
        <f>VLOOKUP(A451,Ginecologia_dados!B:C,2,FALSE)</f>
        <v>ALFENAS/MACHADO</v>
      </c>
      <c r="E451">
        <v>19783</v>
      </c>
    </row>
    <row r="452" spans="1:5" x14ac:dyDescent="0.3">
      <c r="A452" s="4">
        <v>313910</v>
      </c>
      <c r="B452" s="4" t="s">
        <v>532</v>
      </c>
      <c r="C452" s="4" t="str">
        <f>VLOOKUP(População!A452,Ginecologia_dados!B:E,3,FALSE)</f>
        <v>CENTRO SUL</v>
      </c>
      <c r="D452" s="4" t="str">
        <f>VLOOKUP(A452,Ginecologia_dados!B:C,2,FALSE)</f>
        <v>SÃO JOÃO DEL REI</v>
      </c>
      <c r="E452">
        <v>2601</v>
      </c>
    </row>
    <row r="453" spans="1:5" x14ac:dyDescent="0.3">
      <c r="A453" s="4">
        <v>313920</v>
      </c>
      <c r="B453" s="4" t="s">
        <v>533</v>
      </c>
      <c r="C453" s="4" t="str">
        <f>VLOOKUP(População!A453,Ginecologia_dados!B:E,3,FALSE)</f>
        <v>NORDESTE</v>
      </c>
      <c r="D453" s="4" t="str">
        <f>VLOOKUP(A453,Ginecologia_dados!B:C,2,FALSE)</f>
        <v>TEÓFILO OTONI/MALACACHETA</v>
      </c>
      <c r="E453">
        <v>9291</v>
      </c>
    </row>
    <row r="454" spans="1:5" x14ac:dyDescent="0.3">
      <c r="A454" s="4">
        <v>313925</v>
      </c>
      <c r="B454" s="4" t="s">
        <v>534</v>
      </c>
      <c r="C454" s="4" t="str">
        <f>VLOOKUP(População!A454,Ginecologia_dados!B:E,3,FALSE)</f>
        <v>NORTE</v>
      </c>
      <c r="D454" s="4" t="str">
        <f>VLOOKUP(A454,Ginecologia_dados!B:C,2,FALSE)</f>
        <v>JANAÚBA/MONTE AZUL</v>
      </c>
      <c r="E454">
        <v>3093</v>
      </c>
    </row>
    <row r="455" spans="1:5" x14ac:dyDescent="0.3">
      <c r="A455" s="4">
        <v>313930</v>
      </c>
      <c r="B455" s="4" t="s">
        <v>505</v>
      </c>
      <c r="C455" s="4" t="str">
        <f>VLOOKUP(População!A455,Ginecologia_dados!B:E,3,FALSE)</f>
        <v>NORTE</v>
      </c>
      <c r="D455" s="4" t="str">
        <f>VLOOKUP(A455,Ginecologia_dados!B:C,2,FALSE)</f>
        <v>MANGA</v>
      </c>
      <c r="E455">
        <v>9791</v>
      </c>
    </row>
    <row r="456" spans="1:5" x14ac:dyDescent="0.3">
      <c r="A456" s="4">
        <v>313940</v>
      </c>
      <c r="B456" s="4" t="s">
        <v>535</v>
      </c>
      <c r="C456" s="4" t="str">
        <f>VLOOKUP(População!A456,Ginecologia_dados!B:E,3,FALSE)</f>
        <v>LESTE DO SUL</v>
      </c>
      <c r="D456" s="4" t="str">
        <f>VLOOKUP(A456,Ginecologia_dados!B:C,2,FALSE)</f>
        <v>MANHUAÇU</v>
      </c>
      <c r="E456">
        <v>46105</v>
      </c>
    </row>
    <row r="457" spans="1:5" x14ac:dyDescent="0.3">
      <c r="A457" s="4">
        <v>313950</v>
      </c>
      <c r="B457" s="4" t="s">
        <v>536</v>
      </c>
      <c r="C457" s="4" t="str">
        <f>VLOOKUP(População!A457,Ginecologia_dados!B:E,3,FALSE)</f>
        <v>LESTE DO SUL</v>
      </c>
      <c r="D457" s="4" t="str">
        <f>VLOOKUP(A457,Ginecologia_dados!B:C,2,FALSE)</f>
        <v>MANHUAÇU</v>
      </c>
      <c r="E457">
        <v>10747</v>
      </c>
    </row>
    <row r="458" spans="1:5" x14ac:dyDescent="0.3">
      <c r="A458" s="4">
        <v>313960</v>
      </c>
      <c r="B458" s="4" t="s">
        <v>255</v>
      </c>
      <c r="C458" s="4" t="str">
        <f>VLOOKUP(População!A458,Ginecologia_dados!B:E,3,FALSE)</f>
        <v>LESTE</v>
      </c>
      <c r="D458" s="4" t="str">
        <f>VLOOKUP(A458,Ginecologia_dados!B:C,2,FALSE)</f>
        <v>MANTENA</v>
      </c>
      <c r="E458">
        <v>14190</v>
      </c>
    </row>
    <row r="459" spans="1:5" x14ac:dyDescent="0.3">
      <c r="A459" s="4">
        <v>313970</v>
      </c>
      <c r="B459" s="4" t="s">
        <v>537</v>
      </c>
      <c r="C459" s="4" t="str">
        <f>VLOOKUP(População!A459,Ginecologia_dados!B:E,3,FALSE)</f>
        <v>CENTRO</v>
      </c>
      <c r="D459" s="4" t="str">
        <f>VLOOKUP(A459,Ginecologia_dados!B:C,2,FALSE)</f>
        <v>SETE LAGOAS</v>
      </c>
      <c r="E459">
        <v>3679</v>
      </c>
    </row>
    <row r="460" spans="1:5" x14ac:dyDescent="0.3">
      <c r="A460" s="4">
        <v>313980</v>
      </c>
      <c r="B460" s="4" t="s">
        <v>538</v>
      </c>
      <c r="C460" s="4" t="str">
        <f>VLOOKUP(População!A460,Ginecologia_dados!B:E,3,FALSE)</f>
        <v>SUDESTE</v>
      </c>
      <c r="D460" s="4" t="str">
        <f>VLOOKUP(A460,Ginecologia_dados!B:C,2,FALSE)</f>
        <v>SÃO JOÃO NEPOMUCENO/BICAS</v>
      </c>
      <c r="E460">
        <v>6552</v>
      </c>
    </row>
    <row r="461" spans="1:5" x14ac:dyDescent="0.3">
      <c r="A461" s="4">
        <v>313990</v>
      </c>
      <c r="B461" s="4" t="s">
        <v>539</v>
      </c>
      <c r="C461" s="4" t="str">
        <f>VLOOKUP(População!A461,Ginecologia_dados!B:E,3,FALSE)</f>
        <v>SUL</v>
      </c>
      <c r="D461" s="4" t="str">
        <f>VLOOKUP(A461,Ginecologia_dados!B:C,2,FALSE)</f>
        <v>ITAJUBÁ</v>
      </c>
      <c r="E461">
        <v>7145</v>
      </c>
    </row>
    <row r="462" spans="1:5" x14ac:dyDescent="0.3">
      <c r="A462" s="4">
        <v>314000</v>
      </c>
      <c r="B462" s="4" t="s">
        <v>540</v>
      </c>
      <c r="C462" s="4" t="str">
        <f>VLOOKUP(População!A462,Ginecologia_dados!B:E,3,FALSE)</f>
        <v>CENTRO</v>
      </c>
      <c r="D462" s="4" t="str">
        <f>VLOOKUP(A462,Ginecologia_dados!B:C,2,FALSE)</f>
        <v>OURO PRETO</v>
      </c>
      <c r="E462">
        <v>31171</v>
      </c>
    </row>
    <row r="463" spans="1:5" x14ac:dyDescent="0.3">
      <c r="A463" s="4">
        <v>314010</v>
      </c>
      <c r="B463" s="4" t="s">
        <v>541</v>
      </c>
      <c r="C463" s="4" t="str">
        <f>VLOOKUP(População!A463,Ginecologia_dados!B:E,3,FALSE)</f>
        <v>LESTE</v>
      </c>
      <c r="D463" s="4" t="str">
        <f>VLOOKUP(A463,Ginecologia_dados!B:C,2,FALSE)</f>
        <v>GOVERNADOR VALADARES</v>
      </c>
      <c r="E463">
        <v>2208</v>
      </c>
    </row>
    <row r="464" spans="1:5" x14ac:dyDescent="0.3">
      <c r="A464" s="4">
        <v>314015</v>
      </c>
      <c r="B464" s="4" t="s">
        <v>542</v>
      </c>
      <c r="C464" s="4" t="str">
        <f>VLOOKUP(População!A464,Ginecologia_dados!B:E,3,FALSE)</f>
        <v>CENTRO</v>
      </c>
      <c r="D464" s="4" t="str">
        <f>VLOOKUP(A464,Ginecologia_dados!B:C,2,FALSE)</f>
        <v>BETIM</v>
      </c>
      <c r="E464">
        <v>7703</v>
      </c>
    </row>
    <row r="465" spans="1:5" x14ac:dyDescent="0.3">
      <c r="A465" s="4">
        <v>314020</v>
      </c>
      <c r="B465" s="4" t="s">
        <v>543</v>
      </c>
      <c r="C465" s="4" t="str">
        <f>VLOOKUP(População!A465,Ginecologia_dados!B:E,3,FALSE)</f>
        <v>SUDESTE</v>
      </c>
      <c r="D465" s="4" t="str">
        <f>VLOOKUP(A465,Ginecologia_dados!B:C,2,FALSE)</f>
        <v>SÃO JOÃO NEPOMUCENO/BICAS</v>
      </c>
      <c r="E465">
        <v>1639</v>
      </c>
    </row>
    <row r="466" spans="1:5" x14ac:dyDescent="0.3">
      <c r="A466" s="4">
        <v>314030</v>
      </c>
      <c r="B466" s="4" t="s">
        <v>544</v>
      </c>
      <c r="C466" s="4" t="str">
        <f>VLOOKUP(População!A466,Ginecologia_dados!B:E,3,FALSE)</f>
        <v>VALE DO AÇO</v>
      </c>
      <c r="D466" s="4" t="str">
        <f>VLOOKUP(A466,Ginecologia_dados!B:C,2,FALSE)</f>
        <v>CORONEL FABRICIANO/TIMÓTEO</v>
      </c>
      <c r="E466">
        <v>2259</v>
      </c>
    </row>
    <row r="467" spans="1:5" x14ac:dyDescent="0.3">
      <c r="A467" s="4">
        <v>314040</v>
      </c>
      <c r="B467" s="4" t="s">
        <v>545</v>
      </c>
      <c r="C467" s="4" t="str">
        <f>VLOOKUP(População!A467,Ginecologia_dados!B:E,3,FALSE)</f>
        <v>SUL</v>
      </c>
      <c r="D467" s="4" t="str">
        <f>VLOOKUP(A467,Ginecologia_dados!B:C,2,FALSE)</f>
        <v>ITAJUBÁ</v>
      </c>
      <c r="E467">
        <v>1562</v>
      </c>
    </row>
    <row r="468" spans="1:5" x14ac:dyDescent="0.3">
      <c r="A468" s="4">
        <v>314050</v>
      </c>
      <c r="B468" s="4" t="s">
        <v>546</v>
      </c>
      <c r="C468" s="4" t="str">
        <f>VLOOKUP(População!A468,Ginecologia_dados!B:E,3,FALSE)</f>
        <v>OESTE</v>
      </c>
      <c r="D468" s="4" t="str">
        <f>VLOOKUP(A468,Ginecologia_dados!B:C,2,FALSE)</f>
        <v>BOM DESPACHO</v>
      </c>
      <c r="E468">
        <v>6881</v>
      </c>
    </row>
    <row r="469" spans="1:5" x14ac:dyDescent="0.3">
      <c r="A469" s="4">
        <v>314053</v>
      </c>
      <c r="B469" s="4" t="s">
        <v>547</v>
      </c>
      <c r="C469" s="4" t="str">
        <f>VLOOKUP(População!A469,Ginecologia_dados!B:E,3,FALSE)</f>
        <v>LESTE DO SUL</v>
      </c>
      <c r="D469" s="4" t="str">
        <f>VLOOKUP(A469,Ginecologia_dados!B:C,2,FALSE)</f>
        <v>MANHUAÇU</v>
      </c>
      <c r="E469">
        <v>4042</v>
      </c>
    </row>
    <row r="470" spans="1:5" x14ac:dyDescent="0.3">
      <c r="A470" s="4">
        <v>314055</v>
      </c>
      <c r="B470" s="4" t="s">
        <v>548</v>
      </c>
      <c r="C470" s="4" t="str">
        <f>VLOOKUP(População!A470,Ginecologia_dados!B:E,3,FALSE)</f>
        <v>NORDESTE</v>
      </c>
      <c r="D470" s="4" t="str">
        <f>VLOOKUP(A470,Ginecologia_dados!B:C,2,FALSE)</f>
        <v>ALMENARA/JACINTO</v>
      </c>
      <c r="E470">
        <v>4459</v>
      </c>
    </row>
    <row r="471" spans="1:5" x14ac:dyDescent="0.3">
      <c r="A471" s="4">
        <v>314060</v>
      </c>
      <c r="B471" s="4" t="s">
        <v>549</v>
      </c>
      <c r="C471" s="4" t="str">
        <f>VLOOKUP(População!A471,Ginecologia_dados!B:E,3,FALSE)</f>
        <v>CENTRO</v>
      </c>
      <c r="D471" s="4" t="str">
        <f>VLOOKUP(A471,Ginecologia_dados!B:C,2,FALSE)</f>
        <v>GUANHÃES</v>
      </c>
      <c r="E471">
        <v>2140</v>
      </c>
    </row>
    <row r="472" spans="1:5" x14ac:dyDescent="0.3">
      <c r="A472" s="4">
        <v>314070</v>
      </c>
      <c r="B472" s="4" t="s">
        <v>550</v>
      </c>
      <c r="C472" s="4" t="str">
        <f>VLOOKUP(População!A472,Ginecologia_dados!B:E,3,FALSE)</f>
        <v>CENTRO</v>
      </c>
      <c r="D472" s="4" t="str">
        <f>VLOOKUP(A472,Ginecologia_dados!B:C,2,FALSE)</f>
        <v>BETIM</v>
      </c>
      <c r="E472">
        <v>17919</v>
      </c>
    </row>
    <row r="473" spans="1:5" x14ac:dyDescent="0.3">
      <c r="A473" s="4">
        <v>314080</v>
      </c>
      <c r="B473" s="4" t="s">
        <v>551</v>
      </c>
      <c r="C473" s="4" t="str">
        <f>VLOOKUP(População!A473,Ginecologia_dados!B:E,3,FALSE)</f>
        <v>SUDESTE</v>
      </c>
      <c r="D473" s="4" t="str">
        <f>VLOOKUP(A473,Ginecologia_dados!B:C,2,FALSE)</f>
        <v>JUIZ DE FORA</v>
      </c>
      <c r="E473">
        <v>7184</v>
      </c>
    </row>
    <row r="474" spans="1:5" x14ac:dyDescent="0.3">
      <c r="A474" s="4">
        <v>314085</v>
      </c>
      <c r="B474" s="4" t="s">
        <v>552</v>
      </c>
      <c r="C474" s="4" t="str">
        <f>VLOOKUP(População!A474,Ginecologia_dados!B:E,3,FALSE)</f>
        <v>NORTE</v>
      </c>
      <c r="D474" s="4" t="str">
        <f>VLOOKUP(A474,Ginecologia_dados!B:C,2,FALSE)</f>
        <v>JANAÚBA/MONTE AZUL</v>
      </c>
      <c r="E474">
        <v>4629</v>
      </c>
    </row>
    <row r="475" spans="1:5" x14ac:dyDescent="0.3">
      <c r="A475" s="4">
        <v>314090</v>
      </c>
      <c r="B475" s="4" t="s">
        <v>553</v>
      </c>
      <c r="C475" s="4" t="str">
        <f>VLOOKUP(População!A475,Ginecologia_dados!B:E,3,FALSE)</f>
        <v>LESTE DO SUL</v>
      </c>
      <c r="D475" s="4" t="str">
        <f>VLOOKUP(A475,Ginecologia_dados!B:C,2,FALSE)</f>
        <v>MANHUAÇU</v>
      </c>
      <c r="E475">
        <v>9413</v>
      </c>
    </row>
    <row r="476" spans="1:5" x14ac:dyDescent="0.3">
      <c r="A476" s="4">
        <v>314100</v>
      </c>
      <c r="B476" s="4" t="s">
        <v>554</v>
      </c>
      <c r="C476" s="4" t="str">
        <f>VLOOKUP(População!A476,Ginecologia_dados!B:E,3,FALSE)</f>
        <v>NORTE</v>
      </c>
      <c r="D476" s="4" t="str">
        <f>VLOOKUP(A476,Ginecologia_dados!B:C,2,FALSE)</f>
        <v>JANAÚBA/MONTE AZUL</v>
      </c>
      <c r="E476">
        <v>6382</v>
      </c>
    </row>
    <row r="477" spans="1:5" x14ac:dyDescent="0.3">
      <c r="A477" s="4">
        <v>314110</v>
      </c>
      <c r="B477" s="4" t="s">
        <v>555</v>
      </c>
      <c r="C477" s="4" t="str">
        <f>VLOOKUP(População!A477,Ginecologia_dados!B:E,3,FALSE)</f>
        <v>CENTRO</v>
      </c>
      <c r="D477" s="4" t="str">
        <f>VLOOKUP(A477,Ginecologia_dados!B:C,2,FALSE)</f>
        <v>VESPASIANO</v>
      </c>
      <c r="E477">
        <v>19343</v>
      </c>
    </row>
    <row r="478" spans="1:5" x14ac:dyDescent="0.3">
      <c r="A478" s="4">
        <v>314120</v>
      </c>
      <c r="B478" s="4" t="s">
        <v>556</v>
      </c>
      <c r="C478" s="4" t="str">
        <f>VLOOKUP(População!A478,Ginecologia_dados!B:E,3,FALSE)</f>
        <v>NOROESTE</v>
      </c>
      <c r="D478" s="4" t="str">
        <f>VLOOKUP(A478,Ginecologia_dados!B:C,2,FALSE)</f>
        <v>SÃO GOTARDO</v>
      </c>
      <c r="E478">
        <v>1950</v>
      </c>
    </row>
    <row r="479" spans="1:5" x14ac:dyDescent="0.3">
      <c r="A479" s="4">
        <v>314130</v>
      </c>
      <c r="B479" s="4" t="s">
        <v>557</v>
      </c>
      <c r="C479" s="4" t="str">
        <f>VLOOKUP(População!A479,Ginecologia_dados!B:E,3,FALSE)</f>
        <v>OESTE</v>
      </c>
      <c r="D479" s="4" t="str">
        <f>VLOOKUP(A479,Ginecologia_dados!B:C,2,FALSE)</f>
        <v>FORMIGA</v>
      </c>
      <c r="E479">
        <v>1819</v>
      </c>
    </row>
    <row r="480" spans="1:5" x14ac:dyDescent="0.3">
      <c r="A480" s="4">
        <v>314140</v>
      </c>
      <c r="B480" s="4" t="s">
        <v>558</v>
      </c>
      <c r="C480" s="4" t="str">
        <f>VLOOKUP(População!A480,Ginecologia_dados!B:E,3,FALSE)</f>
        <v>NORDESTE</v>
      </c>
      <c r="D480" s="4" t="str">
        <f>VLOOKUP(A480,Ginecologia_dados!B:C,2,FALSE)</f>
        <v>ITAOBIM</v>
      </c>
      <c r="E480">
        <v>10433</v>
      </c>
    </row>
    <row r="481" spans="1:5" x14ac:dyDescent="0.3">
      <c r="A481" s="4">
        <v>314150</v>
      </c>
      <c r="B481" s="4" t="s">
        <v>559</v>
      </c>
      <c r="C481" s="4" t="str">
        <f>VLOOKUP(População!A481,Ginecologia_dados!B:E,3,FALSE)</f>
        <v>LESTE</v>
      </c>
      <c r="D481" s="4" t="str">
        <f>VLOOKUP(A481,Ginecologia_dados!B:C,2,FALSE)</f>
        <v>MANTENA</v>
      </c>
      <c r="E481">
        <v>3003</v>
      </c>
    </row>
    <row r="482" spans="1:5" x14ac:dyDescent="0.3">
      <c r="A482" s="4">
        <v>314160</v>
      </c>
      <c r="B482" s="4" t="s">
        <v>560</v>
      </c>
      <c r="C482" s="4" t="str">
        <f>VLOOKUP(População!A482,Ginecologia_dados!B:E,3,FALSE)</f>
        <v>SUDESTE</v>
      </c>
      <c r="D482" s="4" t="str">
        <f>VLOOKUP(A482,Ginecologia_dados!B:C,2,FALSE)</f>
        <v>UBÁ</v>
      </c>
      <c r="E482">
        <v>5319</v>
      </c>
    </row>
    <row r="483" spans="1:5" x14ac:dyDescent="0.3">
      <c r="A483" s="4">
        <v>314170</v>
      </c>
      <c r="B483" s="4" t="s">
        <v>561</v>
      </c>
      <c r="C483" s="4" t="str">
        <f>VLOOKUP(População!A483,Ginecologia_dados!B:E,3,FALSE)</f>
        <v>VALE DO AÇO</v>
      </c>
      <c r="D483" s="4" t="str">
        <f>VLOOKUP(A483,Ginecologia_dados!B:C,2,FALSE)</f>
        <v>IPATINGA</v>
      </c>
      <c r="E483">
        <v>2693</v>
      </c>
    </row>
    <row r="484" spans="1:5" x14ac:dyDescent="0.3">
      <c r="A484" s="4">
        <v>314180</v>
      </c>
      <c r="B484" s="4" t="s">
        <v>562</v>
      </c>
      <c r="C484" s="4" t="str">
        <f>VLOOKUP(População!A484,Ginecologia_dados!B:E,3,FALSE)</f>
        <v>JEQUITINHONHA</v>
      </c>
      <c r="D484" s="4" t="str">
        <f>VLOOKUP(A484,Ginecologia_dados!B:C,2,FALSE)</f>
        <v>TURMALINA/MINAS NOVAS/CAPELINHA</v>
      </c>
      <c r="E484">
        <v>13374</v>
      </c>
    </row>
    <row r="485" spans="1:5" x14ac:dyDescent="0.3">
      <c r="A485" s="4">
        <v>314190</v>
      </c>
      <c r="B485" s="4" t="s">
        <v>563</v>
      </c>
      <c r="C485" s="4" t="str">
        <f>VLOOKUP(População!A485,Ginecologia_dados!B:E,3,FALSE)</f>
        <v>SUL</v>
      </c>
      <c r="D485" s="4" t="str">
        <f>VLOOKUP(A485,Ginecologia_dados!B:C,2,FALSE)</f>
        <v>SÃO LOURENÇO</v>
      </c>
      <c r="E485">
        <v>1923</v>
      </c>
    </row>
    <row r="486" spans="1:5" x14ac:dyDescent="0.3">
      <c r="A486" s="4">
        <v>314200</v>
      </c>
      <c r="B486" s="4" t="s">
        <v>564</v>
      </c>
      <c r="C486" s="4" t="str">
        <f>VLOOKUP(População!A486,Ginecologia_dados!B:E,3,FALSE)</f>
        <v>NORTE</v>
      </c>
      <c r="D486" s="4" t="str">
        <f>VLOOKUP(A486,Ginecologia_dados!B:C,2,FALSE)</f>
        <v>MONTES CLAROS</v>
      </c>
      <c r="E486">
        <v>6844</v>
      </c>
    </row>
    <row r="487" spans="1:5" x14ac:dyDescent="0.3">
      <c r="A487" s="4">
        <v>314210</v>
      </c>
      <c r="B487" s="4" t="s">
        <v>565</v>
      </c>
      <c r="C487" s="4" t="str">
        <f>VLOOKUP(População!A487,Ginecologia_dados!B:E,3,FALSE)</f>
        <v>SUDESTE</v>
      </c>
      <c r="D487" s="4" t="str">
        <f>VLOOKUP(A487,Ginecologia_dados!B:C,2,FALSE)</f>
        <v>MURIAÉ</v>
      </c>
      <c r="E487">
        <v>4716</v>
      </c>
    </row>
    <row r="488" spans="1:5" x14ac:dyDescent="0.3">
      <c r="A488" s="4">
        <v>314220</v>
      </c>
      <c r="B488" s="4" t="s">
        <v>566</v>
      </c>
      <c r="C488" s="4" t="str">
        <f>VLOOKUP(População!A488,Ginecologia_dados!B:E,3,FALSE)</f>
        <v>SUDESTE</v>
      </c>
      <c r="D488" s="4" t="str">
        <f>VLOOKUP(A488,Ginecologia_dados!B:C,2,FALSE)</f>
        <v>MURIAÉ</v>
      </c>
      <c r="E488">
        <v>7040</v>
      </c>
    </row>
    <row r="489" spans="1:5" x14ac:dyDescent="0.3">
      <c r="A489" s="4">
        <v>314225</v>
      </c>
      <c r="B489" s="4" t="s">
        <v>567</v>
      </c>
      <c r="C489" s="4" t="str">
        <f>VLOOKUP(População!A489,Ginecologia_dados!B:E,3,FALSE)</f>
        <v>NORTE</v>
      </c>
      <c r="D489" s="4" t="str">
        <f>VLOOKUP(A489,Ginecologia_dados!B:C,2,FALSE)</f>
        <v>MANGA</v>
      </c>
      <c r="E489">
        <v>2086</v>
      </c>
    </row>
    <row r="490" spans="1:5" x14ac:dyDescent="0.3">
      <c r="A490" s="4">
        <v>314230</v>
      </c>
      <c r="B490" s="4" t="s">
        <v>568</v>
      </c>
      <c r="C490" s="4" t="str">
        <f>VLOOKUP(População!A490,Ginecologia_dados!B:E,3,FALSE)</f>
        <v>CENTRO</v>
      </c>
      <c r="D490" s="4" t="str">
        <f>VLOOKUP(A490,Ginecologia_dados!B:C,2,FALSE)</f>
        <v>BELO HORIZONTE/NOVA LIMA/CAETÉ</v>
      </c>
      <c r="E490">
        <v>2544</v>
      </c>
    </row>
    <row r="491" spans="1:5" x14ac:dyDescent="0.3">
      <c r="A491" s="4">
        <v>314240</v>
      </c>
      <c r="B491" s="4" t="s">
        <v>569</v>
      </c>
      <c r="C491" s="4" t="str">
        <f>VLOOKUP(População!A491,Ginecologia_dados!B:E,3,FALSE)</f>
        <v>OESTE</v>
      </c>
      <c r="D491" s="4" t="str">
        <f>VLOOKUP(A491,Ginecologia_dados!B:C,2,FALSE)</f>
        <v>BOM DESPACHO</v>
      </c>
      <c r="E491">
        <v>3823</v>
      </c>
    </row>
    <row r="492" spans="1:5" x14ac:dyDescent="0.3">
      <c r="A492" s="4">
        <v>314250</v>
      </c>
      <c r="B492" s="4" t="s">
        <v>570</v>
      </c>
      <c r="C492" s="4" t="str">
        <f>VLOOKUP(População!A492,Ginecologia_dados!B:E,3,FALSE)</f>
        <v>CENTRO</v>
      </c>
      <c r="D492" s="4" t="str">
        <f>VLOOKUP(A492,Ginecologia_dados!B:C,2,FALSE)</f>
        <v>CURVELO</v>
      </c>
      <c r="E492">
        <v>1135</v>
      </c>
    </row>
    <row r="493" spans="1:5" x14ac:dyDescent="0.3">
      <c r="A493" s="4">
        <v>314260</v>
      </c>
      <c r="B493" s="4" t="s">
        <v>571</v>
      </c>
      <c r="C493" s="4" t="str">
        <f>VLOOKUP(População!A493,Ginecologia_dados!B:E,3,FALSE)</f>
        <v>SUL</v>
      </c>
      <c r="D493" s="4" t="str">
        <f>VLOOKUP(A493,Ginecologia_dados!B:C,2,FALSE)</f>
        <v>VARGINHA</v>
      </c>
      <c r="E493">
        <v>4145</v>
      </c>
    </row>
    <row r="494" spans="1:5" x14ac:dyDescent="0.3">
      <c r="A494" s="4">
        <v>314270</v>
      </c>
      <c r="B494" s="4" t="s">
        <v>572</v>
      </c>
      <c r="C494" s="4" t="str">
        <f>VLOOKUP(População!A494,Ginecologia_dados!B:E,3,FALSE)</f>
        <v>NORTE</v>
      </c>
      <c r="D494" s="4" t="str">
        <f>VLOOKUP(A494,Ginecologia_dados!B:C,2,FALSE)</f>
        <v>MANGA</v>
      </c>
      <c r="E494">
        <v>7393</v>
      </c>
    </row>
    <row r="495" spans="1:5" x14ac:dyDescent="0.3">
      <c r="A495" s="4">
        <v>314280</v>
      </c>
      <c r="B495" s="4" t="s">
        <v>573</v>
      </c>
      <c r="C495" s="4" t="str">
        <f>VLOOKUP(População!A495,Ginecologia_dados!B:E,3,FALSE)</f>
        <v>TRIÂNGULO DO NORTE</v>
      </c>
      <c r="D495" s="4" t="str">
        <f>VLOOKUP(A495,Ginecologia_dados!B:C,2,FALSE)</f>
        <v>UBERLÂNDIA/ARAGUARI</v>
      </c>
      <c r="E495">
        <v>10106</v>
      </c>
    </row>
    <row r="496" spans="1:5" x14ac:dyDescent="0.3">
      <c r="A496" s="4">
        <v>314290</v>
      </c>
      <c r="B496" s="4" t="s">
        <v>574</v>
      </c>
      <c r="C496" s="4" t="str">
        <f>VLOOKUP(População!A496,Ginecologia_dados!B:E,3,FALSE)</f>
        <v>NORTE</v>
      </c>
      <c r="D496" s="4" t="str">
        <f>VLOOKUP(A496,Ginecologia_dados!B:C,2,FALSE)</f>
        <v>JANAÚBA/MONTE AZUL</v>
      </c>
      <c r="E496">
        <v>10682</v>
      </c>
    </row>
    <row r="497" spans="1:5" x14ac:dyDescent="0.3">
      <c r="A497" s="4">
        <v>314300</v>
      </c>
      <c r="B497" s="4" t="s">
        <v>575</v>
      </c>
      <c r="C497" s="4" t="str">
        <f>VLOOKUP(População!A497,Ginecologia_dados!B:E,3,FALSE)</f>
        <v>SUL</v>
      </c>
      <c r="D497" s="4" t="str">
        <f>VLOOKUP(A497,Ginecologia_dados!B:C,2,FALSE)</f>
        <v>GUAXUPÉ</v>
      </c>
      <c r="E497">
        <v>6484</v>
      </c>
    </row>
    <row r="498" spans="1:5" x14ac:dyDescent="0.3">
      <c r="A498" s="4">
        <v>314310</v>
      </c>
      <c r="B498" s="4" t="s">
        <v>576</v>
      </c>
      <c r="C498" s="4" t="str">
        <f>VLOOKUP(População!A498,Ginecologia_dados!B:E,3,FALSE)</f>
        <v>TRIÂNGULO DO NORTE</v>
      </c>
      <c r="D498" s="4" t="str">
        <f>VLOOKUP(A498,Ginecologia_dados!B:C,2,FALSE)</f>
        <v>PATROCÍNIO/MONTE CARMELO</v>
      </c>
      <c r="E498">
        <v>24105</v>
      </c>
    </row>
    <row r="499" spans="1:5" x14ac:dyDescent="0.3">
      <c r="A499" s="4">
        <v>314315</v>
      </c>
      <c r="B499" s="4" t="s">
        <v>577</v>
      </c>
      <c r="C499" s="4" t="str">
        <f>VLOOKUP(População!A499,Ginecologia_dados!B:E,3,FALSE)</f>
        <v>NORDESTE</v>
      </c>
      <c r="D499" s="4" t="str">
        <f>VLOOKUP(A499,Ginecologia_dados!B:C,2,FALSE)</f>
        <v>ITAOBIM</v>
      </c>
      <c r="E499">
        <v>2193</v>
      </c>
    </row>
    <row r="500" spans="1:5" x14ac:dyDescent="0.3">
      <c r="A500" s="4">
        <v>314320</v>
      </c>
      <c r="B500" s="4" t="s">
        <v>578</v>
      </c>
      <c r="C500" s="4" t="str">
        <f>VLOOKUP(População!A500,Ginecologia_dados!B:E,3,FALSE)</f>
        <v>SUL</v>
      </c>
      <c r="D500" s="4" t="str">
        <f>VLOOKUP(A500,Ginecologia_dados!B:C,2,FALSE)</f>
        <v>SÃO SEBASTIÃO DO PARAÍSO</v>
      </c>
      <c r="E500">
        <v>10640</v>
      </c>
    </row>
    <row r="501" spans="1:5" x14ac:dyDescent="0.3">
      <c r="A501" s="4">
        <v>314330</v>
      </c>
      <c r="B501" s="4" t="s">
        <v>265</v>
      </c>
      <c r="C501" s="4" t="str">
        <f>VLOOKUP(População!A501,Ginecologia_dados!B:E,3,FALSE)</f>
        <v>NORTE</v>
      </c>
      <c r="D501" s="4" t="str">
        <f>VLOOKUP(A501,Ginecologia_dados!B:C,2,FALSE)</f>
        <v>MONTES CLAROS</v>
      </c>
      <c r="E501">
        <v>213724</v>
      </c>
    </row>
    <row r="502" spans="1:5" x14ac:dyDescent="0.3">
      <c r="A502" s="4">
        <v>314340</v>
      </c>
      <c r="B502" s="4" t="s">
        <v>579</v>
      </c>
      <c r="C502" s="4" t="str">
        <f>VLOOKUP(População!A502,Ginecologia_dados!B:E,3,FALSE)</f>
        <v>SUL</v>
      </c>
      <c r="D502" s="4" t="str">
        <f>VLOOKUP(A502,Ginecologia_dados!B:C,2,FALSE)</f>
        <v>POUSO ALEGRE</v>
      </c>
      <c r="E502">
        <v>11903</v>
      </c>
    </row>
    <row r="503" spans="1:5" x14ac:dyDescent="0.3">
      <c r="A503" s="4">
        <v>314345</v>
      </c>
      <c r="B503" s="4" t="s">
        <v>580</v>
      </c>
      <c r="C503" s="4" t="str">
        <f>VLOOKUP(População!A503,Ginecologia_dados!B:E,3,FALSE)</f>
        <v>NORTE</v>
      </c>
      <c r="D503" s="4" t="str">
        <f>VLOOKUP(A503,Ginecologia_dados!B:C,2,FALSE)</f>
        <v>TAIOBEIRAS</v>
      </c>
      <c r="E503">
        <v>3600</v>
      </c>
    </row>
    <row r="504" spans="1:5" x14ac:dyDescent="0.3">
      <c r="A504" s="4">
        <v>314350</v>
      </c>
      <c r="B504" s="4" t="s">
        <v>581</v>
      </c>
      <c r="C504" s="4" t="str">
        <f>VLOOKUP(População!A504,Ginecologia_dados!B:E,3,FALSE)</f>
        <v>CENTRO</v>
      </c>
      <c r="D504" s="4" t="str">
        <f>VLOOKUP(A504,Ginecologia_dados!B:C,2,FALSE)</f>
        <v>SETE LAGOAS</v>
      </c>
      <c r="E504">
        <v>4381</v>
      </c>
    </row>
    <row r="505" spans="1:5" x14ac:dyDescent="0.3">
      <c r="A505" s="4">
        <v>314360</v>
      </c>
      <c r="B505" s="4" t="s">
        <v>582</v>
      </c>
      <c r="C505" s="4" t="str">
        <f>VLOOKUP(População!A505,Ginecologia_dados!B:E,3,FALSE)</f>
        <v>CENTRO</v>
      </c>
      <c r="D505" s="4" t="str">
        <f>VLOOKUP(A505,Ginecologia_dados!B:C,2,FALSE)</f>
        <v>CURVELO</v>
      </c>
      <c r="E505">
        <v>1217</v>
      </c>
    </row>
    <row r="506" spans="1:5" x14ac:dyDescent="0.3">
      <c r="A506" s="4">
        <v>314370</v>
      </c>
      <c r="B506" s="4" t="s">
        <v>583</v>
      </c>
      <c r="C506" s="4" t="str">
        <f>VLOOKUP(População!A506,Ginecologia_dados!B:E,3,FALSE)</f>
        <v>CENTRO</v>
      </c>
      <c r="D506" s="4" t="str">
        <f>VLOOKUP(A506,Ginecologia_dados!B:C,2,FALSE)</f>
        <v>ITABIRA</v>
      </c>
      <c r="E506">
        <v>1653</v>
      </c>
    </row>
    <row r="507" spans="1:5" x14ac:dyDescent="0.3">
      <c r="A507" s="4">
        <v>314380</v>
      </c>
      <c r="B507" s="4" t="s">
        <v>584</v>
      </c>
      <c r="C507" s="4" t="str">
        <f>VLOOKUP(População!A507,Ginecologia_dados!B:E,3,FALSE)</f>
        <v>SUL</v>
      </c>
      <c r="D507" s="4" t="str">
        <f>VLOOKUP(A507,Ginecologia_dados!B:C,2,FALSE)</f>
        <v>POUSO ALEGRE</v>
      </c>
      <c r="E507">
        <v>3502</v>
      </c>
    </row>
    <row r="508" spans="1:5" x14ac:dyDescent="0.3">
      <c r="A508" s="4">
        <v>314390</v>
      </c>
      <c r="B508" s="4" t="s">
        <v>585</v>
      </c>
      <c r="C508" s="4" t="str">
        <f>VLOOKUP(População!A508,Ginecologia_dados!B:E,3,FALSE)</f>
        <v>SUDESTE</v>
      </c>
      <c r="D508" s="4" t="str">
        <f>VLOOKUP(A508,Ginecologia_dados!B:C,2,FALSE)</f>
        <v>MURIAÉ</v>
      </c>
      <c r="E508">
        <v>55131</v>
      </c>
    </row>
    <row r="509" spans="1:5" x14ac:dyDescent="0.3">
      <c r="A509" s="4">
        <v>314400</v>
      </c>
      <c r="B509" s="4" t="s">
        <v>586</v>
      </c>
      <c r="C509" s="4" t="str">
        <f>VLOOKUP(População!A509,Ginecologia_dados!B:E,3,FALSE)</f>
        <v>LESTE DO SUL</v>
      </c>
      <c r="D509" s="4" t="str">
        <f>VLOOKUP(A509,Ginecologia_dados!B:C,2,FALSE)</f>
        <v>MANHUAÇU</v>
      </c>
      <c r="E509">
        <v>13879</v>
      </c>
    </row>
    <row r="510" spans="1:5" x14ac:dyDescent="0.3">
      <c r="A510" s="4">
        <v>314410</v>
      </c>
      <c r="B510" s="4" t="s">
        <v>587</v>
      </c>
      <c r="C510" s="4" t="str">
        <f>VLOOKUP(População!A510,Ginecologia_dados!B:E,3,FALSE)</f>
        <v>SUL</v>
      </c>
      <c r="D510" s="4" t="str">
        <f>VLOOKUP(A510,Ginecologia_dados!B:C,2,FALSE)</f>
        <v>GUAXUPÉ</v>
      </c>
      <c r="E510">
        <v>10960</v>
      </c>
    </row>
    <row r="511" spans="1:5" x14ac:dyDescent="0.3">
      <c r="A511" s="4">
        <v>314420</v>
      </c>
      <c r="B511" s="4" t="s">
        <v>588</v>
      </c>
      <c r="C511" s="4" t="str">
        <f>VLOOKUP(População!A511,Ginecologia_dados!B:E,3,FALSE)</f>
        <v>LESTE</v>
      </c>
      <c r="D511" s="4" t="str">
        <f>VLOOKUP(A511,Ginecologia_dados!B:C,2,FALSE)</f>
        <v>GOVERNADOR VALADARES</v>
      </c>
      <c r="E511">
        <v>1353</v>
      </c>
    </row>
    <row r="512" spans="1:5" x14ac:dyDescent="0.3">
      <c r="A512" s="4">
        <v>314430</v>
      </c>
      <c r="B512" s="4" t="s">
        <v>225</v>
      </c>
      <c r="C512" s="4" t="str">
        <f>VLOOKUP(População!A512,Ginecologia_dados!B:E,3,FALSE)</f>
        <v>NORDESTE</v>
      </c>
      <c r="D512" s="4" t="str">
        <f>VLOOKUP(A512,Ginecologia_dados!B:C,2,FALSE)</f>
        <v>NANUQUE</v>
      </c>
      <c r="E512">
        <v>19548</v>
      </c>
    </row>
    <row r="513" spans="1:5" x14ac:dyDescent="0.3">
      <c r="A513" s="4">
        <v>314435</v>
      </c>
      <c r="B513" s="4" t="s">
        <v>589</v>
      </c>
      <c r="C513" s="4" t="str">
        <f>VLOOKUP(População!A513,Ginecologia_dados!B:E,3,FALSE)</f>
        <v>VALE DO AÇO</v>
      </c>
      <c r="D513" s="4" t="str">
        <f>VLOOKUP(A513,Ginecologia_dados!B:C,2,FALSE)</f>
        <v>IPATINGA</v>
      </c>
      <c r="E513">
        <v>3233</v>
      </c>
    </row>
    <row r="514" spans="1:5" x14ac:dyDescent="0.3">
      <c r="A514" s="4">
        <v>314437</v>
      </c>
      <c r="B514" s="4" t="s">
        <v>590</v>
      </c>
      <c r="C514" s="4" t="str">
        <f>VLOOKUP(População!A514,Ginecologia_dados!B:E,3,FALSE)</f>
        <v>NOROESTE</v>
      </c>
      <c r="D514" s="4" t="str">
        <f>VLOOKUP(A514,Ginecologia_dados!B:C,2,FALSE)</f>
        <v>UNAÍ</v>
      </c>
      <c r="E514">
        <v>1697</v>
      </c>
    </row>
    <row r="515" spans="1:5" x14ac:dyDescent="0.3">
      <c r="A515" s="4">
        <v>314440</v>
      </c>
      <c r="B515" s="4" t="s">
        <v>591</v>
      </c>
      <c r="C515" s="4" t="str">
        <f>VLOOKUP(População!A515,Ginecologia_dados!B:E,3,FALSE)</f>
        <v>SUL</v>
      </c>
      <c r="D515" s="4" t="str">
        <f>VLOOKUP(A515,Ginecologia_dados!B:C,2,FALSE)</f>
        <v>POUSO ALEGRE</v>
      </c>
      <c r="E515">
        <v>2323</v>
      </c>
    </row>
    <row r="516" spans="1:5" x14ac:dyDescent="0.3">
      <c r="A516" s="4">
        <v>314450</v>
      </c>
      <c r="B516" s="4" t="s">
        <v>592</v>
      </c>
      <c r="C516" s="4" t="str">
        <f>VLOOKUP(População!A516,Ginecologia_dados!B:E,3,FALSE)</f>
        <v>CENTRO SUL</v>
      </c>
      <c r="D516" s="4" t="str">
        <f>VLOOKUP(A516,Ginecologia_dados!B:C,2,FALSE)</f>
        <v>SÃO JOÃO DEL REI</v>
      </c>
      <c r="E516">
        <v>4027</v>
      </c>
    </row>
    <row r="517" spans="1:5" x14ac:dyDescent="0.3">
      <c r="A517" s="4">
        <v>314460</v>
      </c>
      <c r="B517" s="4" t="s">
        <v>593</v>
      </c>
      <c r="C517" s="4" t="str">
        <f>VLOOKUP(População!A517,Ginecologia_dados!B:E,3,FALSE)</f>
        <v>SUL</v>
      </c>
      <c r="D517" s="4" t="str">
        <f>VLOOKUP(A517,Ginecologia_dados!B:C,2,FALSE)</f>
        <v>LAVRAS</v>
      </c>
      <c r="E517">
        <v>13140</v>
      </c>
    </row>
    <row r="518" spans="1:5" x14ac:dyDescent="0.3">
      <c r="A518" s="4">
        <v>314465</v>
      </c>
      <c r="B518" s="4" t="s">
        <v>594</v>
      </c>
      <c r="C518" s="4" t="str">
        <f>VLOOKUP(População!A518,Ginecologia_dados!B:E,3,FALSE)</f>
        <v>NORTE</v>
      </c>
      <c r="D518" s="4" t="str">
        <f>VLOOKUP(A518,Ginecologia_dados!B:C,2,FALSE)</f>
        <v>TAIOBEIRAS</v>
      </c>
      <c r="E518">
        <v>5149</v>
      </c>
    </row>
    <row r="519" spans="1:5" x14ac:dyDescent="0.3">
      <c r="A519" s="4">
        <v>314467</v>
      </c>
      <c r="B519" s="4" t="s">
        <v>595</v>
      </c>
      <c r="C519" s="4" t="str">
        <f>VLOOKUP(População!A519,Ginecologia_dados!B:E,3,FALSE)</f>
        <v>LESTE</v>
      </c>
      <c r="D519" s="4" t="str">
        <f>VLOOKUP(A519,Ginecologia_dados!B:C,2,FALSE)</f>
        <v>MANTENA</v>
      </c>
      <c r="E519">
        <v>1632</v>
      </c>
    </row>
    <row r="520" spans="1:5" x14ac:dyDescent="0.3">
      <c r="A520" s="4">
        <v>314470</v>
      </c>
      <c r="B520" s="4" t="s">
        <v>596</v>
      </c>
      <c r="C520" s="4" t="str">
        <f>VLOOKUP(População!A520,Ginecologia_dados!B:E,3,FALSE)</f>
        <v>CENTRO</v>
      </c>
      <c r="D520" s="4" t="str">
        <f>VLOOKUP(A520,Ginecologia_dados!B:C,2,FALSE)</f>
        <v>JOÃO MONLEVADE</v>
      </c>
      <c r="E520">
        <v>9295</v>
      </c>
    </row>
    <row r="521" spans="1:5" x14ac:dyDescent="0.3">
      <c r="A521" s="4">
        <v>314480</v>
      </c>
      <c r="B521" s="4" t="s">
        <v>597</v>
      </c>
      <c r="C521" s="4" t="str">
        <f>VLOOKUP(População!A521,Ginecologia_dados!B:E,3,FALSE)</f>
        <v>CENTRO</v>
      </c>
      <c r="D521" s="4" t="str">
        <f>VLOOKUP(A521,Ginecologia_dados!B:C,2,FALSE)</f>
        <v>BELO HORIZONTE/NOVA LIMA/CAETÉ</v>
      </c>
      <c r="E521">
        <v>53636</v>
      </c>
    </row>
    <row r="522" spans="1:5" x14ac:dyDescent="0.3">
      <c r="A522" s="4">
        <v>314490</v>
      </c>
      <c r="B522" s="4" t="s">
        <v>598</v>
      </c>
      <c r="C522" s="4" t="str">
        <f>VLOOKUP(População!A522,Ginecologia_dados!B:E,3,FALSE)</f>
        <v>NORDESTE</v>
      </c>
      <c r="D522" s="4" t="str">
        <f>VLOOKUP(A522,Ginecologia_dados!B:C,2,FALSE)</f>
        <v>ITAMBACURI</v>
      </c>
      <c r="E522">
        <v>1894</v>
      </c>
    </row>
    <row r="523" spans="1:5" x14ac:dyDescent="0.3">
      <c r="A523" s="4">
        <v>314500</v>
      </c>
      <c r="B523" s="4" t="s">
        <v>599</v>
      </c>
      <c r="C523" s="4" t="str">
        <f>VLOOKUP(População!A523,Ginecologia_dados!B:E,3,FALSE)</f>
        <v>TRIÂNGULO DO NORTE</v>
      </c>
      <c r="D523" s="4" t="str">
        <f>VLOOKUP(A523,Ginecologia_dados!B:C,2,FALSE)</f>
        <v>UBERLÂNDIA/ARAGUARI</v>
      </c>
      <c r="E523">
        <v>7003</v>
      </c>
    </row>
    <row r="524" spans="1:5" x14ac:dyDescent="0.3">
      <c r="A524" s="4">
        <v>314505</v>
      </c>
      <c r="B524" s="4" t="s">
        <v>600</v>
      </c>
      <c r="C524" s="4" t="str">
        <f>VLOOKUP(População!A524,Ginecologia_dados!B:E,3,FALSE)</f>
        <v>NORTE</v>
      </c>
      <c r="D524" s="4" t="str">
        <f>VLOOKUP(A524,Ginecologia_dados!B:C,2,FALSE)</f>
        <v>JANAÚBA/MONTE AZUL</v>
      </c>
      <c r="E524">
        <v>3464</v>
      </c>
    </row>
    <row r="525" spans="1:5" x14ac:dyDescent="0.3">
      <c r="A525" s="4">
        <v>314510</v>
      </c>
      <c r="B525" s="4" t="s">
        <v>601</v>
      </c>
      <c r="C525" s="4" t="str">
        <f>VLOOKUP(População!A525,Ginecologia_dados!B:E,3,FALSE)</f>
        <v>SUL</v>
      </c>
      <c r="D525" s="4" t="str">
        <f>VLOOKUP(A525,Ginecologia_dados!B:C,2,FALSE)</f>
        <v>PASSOS</v>
      </c>
      <c r="E525">
        <v>7882</v>
      </c>
    </row>
    <row r="526" spans="1:5" x14ac:dyDescent="0.3">
      <c r="A526" s="4">
        <v>314520</v>
      </c>
      <c r="B526" s="4" t="s">
        <v>602</v>
      </c>
      <c r="C526" s="4" t="str">
        <f>VLOOKUP(População!A526,Ginecologia_dados!B:E,3,FALSE)</f>
        <v>OESTE</v>
      </c>
      <c r="D526" s="4" t="str">
        <f>VLOOKUP(A526,Ginecologia_dados!B:C,2,FALSE)</f>
        <v>PARÁ DE MINAS</v>
      </c>
      <c r="E526">
        <v>48275</v>
      </c>
    </row>
    <row r="527" spans="1:5" x14ac:dyDescent="0.3">
      <c r="A527" s="4">
        <v>314530</v>
      </c>
      <c r="B527" s="4" t="s">
        <v>603</v>
      </c>
      <c r="C527" s="4" t="str">
        <f>VLOOKUP(População!A527,Ginecologia_dados!B:E,3,FALSE)</f>
        <v>NORDESTE</v>
      </c>
      <c r="D527" s="4" t="str">
        <f>VLOOKUP(A527,Ginecologia_dados!B:C,2,FALSE)</f>
        <v>TEÓFILO OTONI/MALACACHETA</v>
      </c>
      <c r="E527">
        <v>14621</v>
      </c>
    </row>
    <row r="528" spans="1:5" x14ac:dyDescent="0.3">
      <c r="A528" s="4">
        <v>314535</v>
      </c>
      <c r="B528" s="4" t="s">
        <v>604</v>
      </c>
      <c r="C528" s="4" t="str">
        <f>VLOOKUP(População!A528,Ginecologia_dados!B:E,3,FALSE)</f>
        <v>NORDESTE</v>
      </c>
      <c r="D528" s="4" t="str">
        <f>VLOOKUP(A528,Ginecologia_dados!B:C,2,FALSE)</f>
        <v>TEÓFILO OTONI/MALACACHETA</v>
      </c>
      <c r="E528">
        <v>5176</v>
      </c>
    </row>
    <row r="529" spans="1:5" x14ac:dyDescent="0.3">
      <c r="A529" s="4">
        <v>314537</v>
      </c>
      <c r="B529" s="4" t="s">
        <v>605</v>
      </c>
      <c r="C529" s="4" t="str">
        <f>VLOOKUP(População!A529,Ginecologia_dados!B:E,3,FALSE)</f>
        <v>NORTE</v>
      </c>
      <c r="D529" s="4" t="str">
        <f>VLOOKUP(A529,Ginecologia_dados!B:C,2,FALSE)</f>
        <v>SALINAS</v>
      </c>
      <c r="E529">
        <v>2383</v>
      </c>
    </row>
    <row r="530" spans="1:5" x14ac:dyDescent="0.3">
      <c r="A530" s="4">
        <v>314540</v>
      </c>
      <c r="B530" s="4" t="s">
        <v>606</v>
      </c>
      <c r="C530" s="4" t="str">
        <f>VLOOKUP(População!A530,Ginecologia_dados!B:E,3,FALSE)</f>
        <v>SUDESTE</v>
      </c>
      <c r="D530" s="4" t="str">
        <f>VLOOKUP(A530,Ginecologia_dados!B:C,2,FALSE)</f>
        <v>LIMA DUARTE</v>
      </c>
      <c r="E530">
        <v>944</v>
      </c>
    </row>
    <row r="531" spans="1:5" x14ac:dyDescent="0.3">
      <c r="A531" s="4">
        <v>314545</v>
      </c>
      <c r="B531" s="4" t="s">
        <v>607</v>
      </c>
      <c r="C531" s="4" t="str">
        <f>VLOOKUP(População!A531,Ginecologia_dados!B:E,3,FALSE)</f>
        <v>NORTE</v>
      </c>
      <c r="D531" s="4" t="str">
        <f>VLOOKUP(A531,Ginecologia_dados!B:C,2,FALSE)</f>
        <v>BOCAIÚVA</v>
      </c>
      <c r="E531">
        <v>2626</v>
      </c>
    </row>
    <row r="532" spans="1:5" x14ac:dyDescent="0.3">
      <c r="A532" s="4">
        <v>314550</v>
      </c>
      <c r="B532" s="4" t="s">
        <v>608</v>
      </c>
      <c r="C532" s="4" t="str">
        <f>VLOOKUP(População!A532,Ginecologia_dados!B:E,3,FALSE)</f>
        <v>SUL</v>
      </c>
      <c r="D532" s="4" t="str">
        <f>VLOOKUP(A532,Ginecologia_dados!B:C,2,FALSE)</f>
        <v>SÃO LOURENÇO</v>
      </c>
      <c r="E532">
        <v>1289</v>
      </c>
    </row>
    <row r="533" spans="1:5" x14ac:dyDescent="0.3">
      <c r="A533" s="4">
        <v>314560</v>
      </c>
      <c r="B533" s="4" t="s">
        <v>609</v>
      </c>
      <c r="C533" s="4" t="str">
        <f>VLOOKUP(População!A533,Ginecologia_dados!B:E,3,FALSE)</f>
        <v>OESTE</v>
      </c>
      <c r="D533" s="4" t="str">
        <f>VLOOKUP(A533,Ginecologia_dados!B:C,2,FALSE)</f>
        <v>OLIVEIRA/SANTO ANTÔNIO DO AMPARO</v>
      </c>
      <c r="E533">
        <v>20810</v>
      </c>
    </row>
    <row r="534" spans="1:5" x14ac:dyDescent="0.3">
      <c r="A534" s="4">
        <v>314570</v>
      </c>
      <c r="B534" s="4" t="s">
        <v>610</v>
      </c>
      <c r="C534" s="4" t="str">
        <f>VLOOKUP(População!A534,Ginecologia_dados!B:E,3,FALSE)</f>
        <v>SUDESTE</v>
      </c>
      <c r="D534" s="4" t="str">
        <f>VLOOKUP(A534,Ginecologia_dados!B:C,2,FALSE)</f>
        <v>SANTOS DUMONT</v>
      </c>
      <c r="E534">
        <v>1046</v>
      </c>
    </row>
    <row r="535" spans="1:5" x14ac:dyDescent="0.3">
      <c r="A535" s="4">
        <v>314580</v>
      </c>
      <c r="B535" s="4" t="s">
        <v>611</v>
      </c>
      <c r="C535" s="4" t="str">
        <f>VLOOKUP(População!A535,Ginecologia_dados!B:E,3,FALSE)</f>
        <v>OESTE</v>
      </c>
      <c r="D535" s="4" t="str">
        <f>VLOOKUP(A535,Ginecologia_dados!B:C,2,FALSE)</f>
        <v>PARÁ DE MINAS</v>
      </c>
      <c r="E535">
        <v>1493</v>
      </c>
    </row>
    <row r="536" spans="1:5" x14ac:dyDescent="0.3">
      <c r="A536" s="4">
        <v>314585</v>
      </c>
      <c r="B536" s="4" t="s">
        <v>612</v>
      </c>
      <c r="C536" s="4" t="str">
        <f>VLOOKUP(População!A536,Ginecologia_dados!B:E,3,FALSE)</f>
        <v>LESTE DO SUL</v>
      </c>
      <c r="D536" s="4" t="str">
        <f>VLOOKUP(A536,Ginecologia_dados!B:C,2,FALSE)</f>
        <v>PONTE NOVA</v>
      </c>
      <c r="E536">
        <v>2442</v>
      </c>
    </row>
    <row r="537" spans="1:5" x14ac:dyDescent="0.3">
      <c r="A537" s="4">
        <v>314587</v>
      </c>
      <c r="B537" s="4" t="s">
        <v>613</v>
      </c>
      <c r="C537" s="4" t="str">
        <f>VLOOKUP(População!A537,Ginecologia_dados!B:E,3,FALSE)</f>
        <v>SUDESTE</v>
      </c>
      <c r="D537" s="4" t="str">
        <f>VLOOKUP(A537,Ginecologia_dados!B:C,2,FALSE)</f>
        <v>CARANGOLA</v>
      </c>
      <c r="E537">
        <v>4064</v>
      </c>
    </row>
    <row r="538" spans="1:5" x14ac:dyDescent="0.3">
      <c r="A538" s="4">
        <v>314590</v>
      </c>
      <c r="B538" s="4" t="s">
        <v>614</v>
      </c>
      <c r="C538" s="4" t="str">
        <f>VLOOKUP(População!A538,Ginecologia_dados!B:E,3,FALSE)</f>
        <v>CENTRO SUL</v>
      </c>
      <c r="D538" s="4" t="str">
        <f>VLOOKUP(A538,Ginecologia_dados!B:C,2,FALSE)</f>
        <v>CONGONHAS</v>
      </c>
      <c r="E538">
        <v>19599</v>
      </c>
    </row>
    <row r="539" spans="1:5" x14ac:dyDescent="0.3">
      <c r="A539" s="4">
        <v>314600</v>
      </c>
      <c r="B539" s="4" t="s">
        <v>615</v>
      </c>
      <c r="C539" s="4" t="str">
        <f>VLOOKUP(População!A539,Ginecologia_dados!B:E,3,FALSE)</f>
        <v>SUL</v>
      </c>
      <c r="D539" s="4" t="str">
        <f>VLOOKUP(A539,Ginecologia_dados!B:C,2,FALSE)</f>
        <v>POUSO ALEGRE</v>
      </c>
      <c r="E539">
        <v>16519</v>
      </c>
    </row>
    <row r="540" spans="1:5" x14ac:dyDescent="0.3">
      <c r="A540" s="4">
        <v>314610</v>
      </c>
      <c r="B540" s="4" t="s">
        <v>447</v>
      </c>
      <c r="C540" s="4" t="str">
        <f>VLOOKUP(População!A540,Ginecologia_dados!B:E,3,FALSE)</f>
        <v>CENTRO</v>
      </c>
      <c r="D540" s="4" t="str">
        <f>VLOOKUP(A540,Ginecologia_dados!B:C,2,FALSE)</f>
        <v>OURO PRETO</v>
      </c>
      <c r="E540">
        <v>38708</v>
      </c>
    </row>
    <row r="541" spans="1:5" x14ac:dyDescent="0.3">
      <c r="A541" s="4">
        <v>314620</v>
      </c>
      <c r="B541" s="4" t="s">
        <v>616</v>
      </c>
      <c r="C541" s="4" t="str">
        <f>VLOOKUP(População!A541,Ginecologia_dados!B:E,3,FALSE)</f>
        <v>NORDESTE</v>
      </c>
      <c r="D541" s="4" t="str">
        <f>VLOOKUP(A541,Ginecologia_dados!B:C,2,FALSE)</f>
        <v>TEÓFILO OTONI/MALACACHETA</v>
      </c>
      <c r="E541">
        <v>2975</v>
      </c>
    </row>
    <row r="542" spans="1:5" x14ac:dyDescent="0.3">
      <c r="A542" s="4">
        <v>314625</v>
      </c>
      <c r="B542" s="4" t="s">
        <v>617</v>
      </c>
      <c r="C542" s="4" t="str">
        <f>VLOOKUP(População!A542,Ginecologia_dados!B:E,3,FALSE)</f>
        <v>NORTE</v>
      </c>
      <c r="D542" s="4" t="str">
        <f>VLOOKUP(A542,Ginecologia_dados!B:C,2,FALSE)</f>
        <v>SALINAS</v>
      </c>
      <c r="E542">
        <v>2721</v>
      </c>
    </row>
    <row r="543" spans="1:5" x14ac:dyDescent="0.3">
      <c r="A543" s="4">
        <v>314630</v>
      </c>
      <c r="B543" s="4" t="s">
        <v>618</v>
      </c>
      <c r="C543" s="4" t="str">
        <f>VLOOKUP(População!A543,Ginecologia_dados!B:E,3,FALSE)</f>
        <v>NORDESTE</v>
      </c>
      <c r="D543" s="4" t="str">
        <f>VLOOKUP(A543,Ginecologia_dados!B:C,2,FALSE)</f>
        <v>PADRE PARAÍSO</v>
      </c>
      <c r="E543">
        <v>9147</v>
      </c>
    </row>
    <row r="544" spans="1:5" x14ac:dyDescent="0.3">
      <c r="A544" s="4">
        <v>314640</v>
      </c>
      <c r="B544" s="4" t="s">
        <v>619</v>
      </c>
      <c r="C544" s="4" t="str">
        <f>VLOOKUP(População!A544,Ginecologia_dados!B:E,3,FALSE)</f>
        <v>CENTRO</v>
      </c>
      <c r="D544" s="4" t="str">
        <f>VLOOKUP(A544,Ginecologia_dados!B:C,2,FALSE)</f>
        <v>SETE LAGOAS</v>
      </c>
      <c r="E544">
        <v>2208</v>
      </c>
    </row>
    <row r="545" spans="1:5" x14ac:dyDescent="0.3">
      <c r="A545" s="4">
        <v>314650</v>
      </c>
      <c r="B545" s="4" t="s">
        <v>620</v>
      </c>
      <c r="C545" s="4" t="str">
        <f>VLOOKUP(População!A545,Ginecologia_dados!B:E,3,FALSE)</f>
        <v>OESTE</v>
      </c>
      <c r="D545" s="4" t="str">
        <f>VLOOKUP(A545,Ginecologia_dados!B:C,2,FALSE)</f>
        <v>FORMIGA</v>
      </c>
      <c r="E545">
        <v>4132</v>
      </c>
    </row>
    <row r="546" spans="1:5" x14ac:dyDescent="0.3">
      <c r="A546" s="4">
        <v>314655</v>
      </c>
      <c r="B546" s="4" t="s">
        <v>621</v>
      </c>
      <c r="C546" s="4" t="str">
        <f>VLOOKUP(População!A546,Ginecologia_dados!B:E,3,FALSE)</f>
        <v>NORTE</v>
      </c>
      <c r="D546" s="4" t="str">
        <f>VLOOKUP(A546,Ginecologia_dados!B:C,2,FALSE)</f>
        <v>JANAÚBA/MONTE AZUL</v>
      </c>
      <c r="E546">
        <v>2846</v>
      </c>
    </row>
    <row r="547" spans="1:5" x14ac:dyDescent="0.3">
      <c r="A547" s="4">
        <v>314660</v>
      </c>
      <c r="B547" s="4" t="s">
        <v>622</v>
      </c>
      <c r="C547" s="4" t="str">
        <f>VLOOKUP(População!A547,Ginecologia_dados!B:E,3,FALSE)</f>
        <v>CENTRO SUL</v>
      </c>
      <c r="D547" s="4" t="str">
        <f>VLOOKUP(A547,Ginecologia_dados!B:C,2,FALSE)</f>
        <v>BARBACENA</v>
      </c>
      <c r="E547">
        <v>748</v>
      </c>
    </row>
    <row r="548" spans="1:5" x14ac:dyDescent="0.3">
      <c r="A548" s="4">
        <v>314670</v>
      </c>
      <c r="B548" s="4" t="s">
        <v>623</v>
      </c>
      <c r="C548" s="4" t="str">
        <f>VLOOKUP(População!A548,Ginecologia_dados!B:E,3,FALSE)</f>
        <v>SUDESTE</v>
      </c>
      <c r="D548" s="4" t="str">
        <f>VLOOKUP(A548,Ginecologia_dados!B:C,2,FALSE)</f>
        <v>LEOPOLDINA/CATAGUASES</v>
      </c>
      <c r="E548">
        <v>2994</v>
      </c>
    </row>
    <row r="549" spans="1:5" x14ac:dyDescent="0.3">
      <c r="A549" s="4">
        <v>314675</v>
      </c>
      <c r="B549" s="4" t="s">
        <v>624</v>
      </c>
      <c r="C549" s="4" t="str">
        <f>VLOOKUP(População!A549,Ginecologia_dados!B:E,3,FALSE)</f>
        <v>NORDESTE</v>
      </c>
      <c r="D549" s="4" t="str">
        <f>VLOOKUP(A549,Ginecologia_dados!B:C,2,FALSE)</f>
        <v>ALMENARA/JACINTO</v>
      </c>
      <c r="E549">
        <v>3217</v>
      </c>
    </row>
    <row r="550" spans="1:5" x14ac:dyDescent="0.3">
      <c r="A550" s="4">
        <v>314690</v>
      </c>
      <c r="B550" s="4" t="s">
        <v>625</v>
      </c>
      <c r="C550" s="4" t="str">
        <f>VLOOKUP(População!A550,Ginecologia_dados!B:E,3,FALSE)</f>
        <v>CENTRO</v>
      </c>
      <c r="D550" s="4" t="str">
        <f>VLOOKUP(A550,Ginecologia_dados!B:C,2,FALSE)</f>
        <v>SETE LAGOAS</v>
      </c>
      <c r="E550">
        <v>7117</v>
      </c>
    </row>
    <row r="551" spans="1:5" x14ac:dyDescent="0.3">
      <c r="A551" s="4">
        <v>314700</v>
      </c>
      <c r="B551" s="4" t="s">
        <v>626</v>
      </c>
      <c r="C551" s="4" t="str">
        <f>VLOOKUP(População!A551,Ginecologia_dados!B:E,3,FALSE)</f>
        <v>NOROESTE</v>
      </c>
      <c r="D551" s="4" t="str">
        <f>VLOOKUP(A551,Ginecologia_dados!B:C,2,FALSE)</f>
        <v>UNAÍ</v>
      </c>
      <c r="E551">
        <v>47179</v>
      </c>
    </row>
    <row r="552" spans="1:5" x14ac:dyDescent="0.3">
      <c r="A552" s="4">
        <v>314710</v>
      </c>
      <c r="B552" s="4" t="s">
        <v>627</v>
      </c>
      <c r="C552" s="4" t="str">
        <f>VLOOKUP(População!A552,Ginecologia_dados!B:E,3,FALSE)</f>
        <v>OESTE</v>
      </c>
      <c r="D552" s="4" t="str">
        <f>VLOOKUP(A552,Ginecologia_dados!B:C,2,FALSE)</f>
        <v>PARÁ DE MINAS</v>
      </c>
      <c r="E552">
        <v>48723</v>
      </c>
    </row>
    <row r="553" spans="1:5" x14ac:dyDescent="0.3">
      <c r="A553" s="4">
        <v>314720</v>
      </c>
      <c r="B553" s="4" t="s">
        <v>628</v>
      </c>
      <c r="C553" s="4" t="str">
        <f>VLOOKUP(População!A553,Ginecologia_dados!B:E,3,FALSE)</f>
        <v>SUL</v>
      </c>
      <c r="D553" s="4" t="str">
        <f>VLOOKUP(A553,Ginecologia_dados!B:C,2,FALSE)</f>
        <v>ALFENAS/MACHADO</v>
      </c>
      <c r="E553">
        <v>10809</v>
      </c>
    </row>
    <row r="554" spans="1:5" x14ac:dyDescent="0.3">
      <c r="A554" s="4">
        <v>314730</v>
      </c>
      <c r="B554" s="4" t="s">
        <v>629</v>
      </c>
      <c r="C554" s="4" t="str">
        <f>VLOOKUP(População!A554,Ginecologia_dados!B:E,3,FALSE)</f>
        <v>SUL</v>
      </c>
      <c r="D554" s="4" t="str">
        <f>VLOOKUP(A554,Ginecologia_dados!B:C,2,FALSE)</f>
        <v>ITAJUBÁ</v>
      </c>
      <c r="E554">
        <v>10307</v>
      </c>
    </row>
    <row r="555" spans="1:5" x14ac:dyDescent="0.3">
      <c r="A555" s="4">
        <v>314740</v>
      </c>
      <c r="B555" s="4" t="s">
        <v>630</v>
      </c>
      <c r="C555" s="4" t="str">
        <f>VLOOKUP(População!A555,Ginecologia_dados!B:E,3,FALSE)</f>
        <v>CENTRO</v>
      </c>
      <c r="D555" s="4" t="str">
        <f>VLOOKUP(A555,Ginecologia_dados!B:C,2,FALSE)</f>
        <v>SETE LAGOAS</v>
      </c>
      <c r="E555">
        <v>12326</v>
      </c>
    </row>
    <row r="556" spans="1:5" x14ac:dyDescent="0.3">
      <c r="A556" s="4">
        <v>314750</v>
      </c>
      <c r="B556" s="4" t="s">
        <v>631</v>
      </c>
      <c r="C556" s="4" t="str">
        <f>VLOOKUP(População!A556,Ginecologia_dados!B:E,3,FALSE)</f>
        <v>CENTRO</v>
      </c>
      <c r="D556" s="4" t="str">
        <f>VLOOKUP(A556,Ginecologia_dados!B:C,2,FALSE)</f>
        <v>ITABIRA</v>
      </c>
      <c r="E556">
        <v>866</v>
      </c>
    </row>
    <row r="557" spans="1:5" x14ac:dyDescent="0.3">
      <c r="A557" s="4">
        <v>314760</v>
      </c>
      <c r="B557" s="4" t="s">
        <v>632</v>
      </c>
      <c r="C557" s="4" t="str">
        <f>VLOOKUP(População!A557,Ginecologia_dados!B:E,3,FALSE)</f>
        <v>SUL</v>
      </c>
      <c r="D557" s="4" t="str">
        <f>VLOOKUP(A557,Ginecologia_dados!B:C,2,FALSE)</f>
        <v>SÃO LOURENÇO</v>
      </c>
      <c r="E557">
        <v>8044</v>
      </c>
    </row>
    <row r="558" spans="1:5" x14ac:dyDescent="0.3">
      <c r="A558" s="4">
        <v>314770</v>
      </c>
      <c r="B558" s="4" t="s">
        <v>633</v>
      </c>
      <c r="C558" s="4" t="str">
        <f>VLOOKUP(População!A558,Ginecologia_dados!B:E,3,FALSE)</f>
        <v>OESTE</v>
      </c>
      <c r="D558" s="4" t="str">
        <f>VLOOKUP(A558,Ginecologia_dados!B:C,2,FALSE)</f>
        <v>OLIVEIRA/SANTO ANTÔNIO DO AMPARO</v>
      </c>
      <c r="E558">
        <v>4281</v>
      </c>
    </row>
    <row r="559" spans="1:5" x14ac:dyDescent="0.3">
      <c r="A559" s="4">
        <v>314780</v>
      </c>
      <c r="B559" s="4" t="s">
        <v>634</v>
      </c>
      <c r="C559" s="4" t="str">
        <f>VLOOKUP(População!A559,Ginecologia_dados!B:E,3,FALSE)</f>
        <v>SUDESTE</v>
      </c>
      <c r="D559" s="4" t="str">
        <f>VLOOKUP(A559,Ginecologia_dados!B:C,2,FALSE)</f>
        <v>LIMA DUARTE</v>
      </c>
      <c r="E559">
        <v>1078</v>
      </c>
    </row>
    <row r="560" spans="1:5" x14ac:dyDescent="0.3">
      <c r="A560" s="4">
        <v>314790</v>
      </c>
      <c r="B560" s="4" t="s">
        <v>49</v>
      </c>
      <c r="C560" s="4" t="str">
        <f>VLOOKUP(População!A560,Ginecologia_dados!B:E,3,FALSE)</f>
        <v>SUL</v>
      </c>
      <c r="D560" s="4" t="str">
        <f>VLOOKUP(A560,Ginecologia_dados!B:C,2,FALSE)</f>
        <v>PASSOS</v>
      </c>
      <c r="E560">
        <v>57988</v>
      </c>
    </row>
    <row r="561" spans="1:5" x14ac:dyDescent="0.3">
      <c r="A561" s="4">
        <v>314795</v>
      </c>
      <c r="B561" s="4" t="s">
        <v>635</v>
      </c>
      <c r="C561" s="4" t="str">
        <f>VLOOKUP(População!A561,Ginecologia_dados!B:E,3,FALSE)</f>
        <v>NORTE</v>
      </c>
      <c r="D561" s="4" t="str">
        <f>VLOOKUP(A561,Ginecologia_dados!B:C,2,FALSE)</f>
        <v>BRASÍLIA DE MINAS/SÃO FRANCISCO</v>
      </c>
      <c r="E561">
        <v>2508</v>
      </c>
    </row>
    <row r="562" spans="1:5" x14ac:dyDescent="0.3">
      <c r="A562" s="4">
        <v>314800</v>
      </c>
      <c r="B562" s="4" t="s">
        <v>316</v>
      </c>
      <c r="C562" s="4" t="str">
        <f>VLOOKUP(População!A562,Ginecologia_dados!B:E,3,FALSE)</f>
        <v>NOROESTE</v>
      </c>
      <c r="D562" s="4" t="str">
        <f>VLOOKUP(A562,Ginecologia_dados!B:C,2,FALSE)</f>
        <v>PATOS DE MINAS</v>
      </c>
      <c r="E562">
        <v>80885</v>
      </c>
    </row>
    <row r="563" spans="1:5" x14ac:dyDescent="0.3">
      <c r="A563" s="4">
        <v>314810</v>
      </c>
      <c r="B563" s="4" t="s">
        <v>636</v>
      </c>
      <c r="C563" s="4" t="str">
        <f>VLOOKUP(População!A563,Ginecologia_dados!B:E,3,FALSE)</f>
        <v>TRIÂNGULO DO NORTE</v>
      </c>
      <c r="D563" s="4" t="str">
        <f>VLOOKUP(A563,Ginecologia_dados!B:C,2,FALSE)</f>
        <v>PATROCÍNIO/MONTE CARMELO</v>
      </c>
      <c r="E563">
        <v>44716</v>
      </c>
    </row>
    <row r="564" spans="1:5" x14ac:dyDescent="0.3">
      <c r="A564" s="4">
        <v>314820</v>
      </c>
      <c r="B564" s="4" t="s">
        <v>637</v>
      </c>
      <c r="C564" s="4" t="str">
        <f>VLOOKUP(População!A564,Ginecologia_dados!B:E,3,FALSE)</f>
        <v>SUDESTE</v>
      </c>
      <c r="D564" s="4" t="str">
        <f>VLOOKUP(A564,Ginecologia_dados!B:C,2,FALSE)</f>
        <v>MURIAÉ</v>
      </c>
      <c r="E564">
        <v>2816</v>
      </c>
    </row>
    <row r="565" spans="1:5" x14ac:dyDescent="0.3">
      <c r="A565" s="4">
        <v>314830</v>
      </c>
      <c r="B565" s="4" t="s">
        <v>638</v>
      </c>
      <c r="C565" s="4" t="str">
        <f>VLOOKUP(População!A565,Ginecologia_dados!B:E,3,FALSE)</f>
        <v>LESTE DO SUL</v>
      </c>
      <c r="D565" s="4" t="str">
        <f>VLOOKUP(A565,Ginecologia_dados!B:C,2,FALSE)</f>
        <v>VIÇOSA</v>
      </c>
      <c r="E565">
        <v>4404</v>
      </c>
    </row>
    <row r="566" spans="1:5" x14ac:dyDescent="0.3">
      <c r="A566" s="4">
        <v>314840</v>
      </c>
      <c r="B566" s="4" t="s">
        <v>639</v>
      </c>
      <c r="C566" s="4" t="str">
        <f>VLOOKUP(População!A566,Ginecologia_dados!B:E,3,FALSE)</f>
        <v>LESTE</v>
      </c>
      <c r="D566" s="4" t="str">
        <f>VLOOKUP(A566,Ginecologia_dados!B:C,2,FALSE)</f>
        <v>PEÇANHA/SÃO JOÃO EVANGELISTA</v>
      </c>
      <c r="E566">
        <v>2370</v>
      </c>
    </row>
    <row r="567" spans="1:5" x14ac:dyDescent="0.3">
      <c r="A567" s="4">
        <v>314850</v>
      </c>
      <c r="B567" s="4" t="s">
        <v>640</v>
      </c>
      <c r="C567" s="4" t="str">
        <f>VLOOKUP(População!A567,Ginecologia_dados!B:E,3,FALSE)</f>
        <v>NORDESTE</v>
      </c>
      <c r="D567" s="4" t="str">
        <f>VLOOKUP(A567,Ginecologia_dados!B:C,2,FALSE)</f>
        <v>ÁGUAS FORMOSAS</v>
      </c>
      <c r="E567">
        <v>4181</v>
      </c>
    </row>
    <row r="568" spans="1:5" x14ac:dyDescent="0.3">
      <c r="A568" s="4">
        <v>314860</v>
      </c>
      <c r="B568" s="4" t="s">
        <v>641</v>
      </c>
      <c r="C568" s="4" t="str">
        <f>VLOOKUP(População!A568,Ginecologia_dados!B:E,3,FALSE)</f>
        <v>LESTE</v>
      </c>
      <c r="D568" s="4" t="str">
        <f>VLOOKUP(A568,Ginecologia_dados!B:C,2,FALSE)</f>
        <v>PEÇANHA/SÃO JOÃO EVANGELISTA</v>
      </c>
      <c r="E568">
        <v>8959</v>
      </c>
    </row>
    <row r="569" spans="1:5" x14ac:dyDescent="0.3">
      <c r="A569" s="4">
        <v>314870</v>
      </c>
      <c r="B569" s="4" t="s">
        <v>27</v>
      </c>
      <c r="C569" s="4" t="str">
        <f>VLOOKUP(População!A569,Ginecologia_dados!B:E,3,FALSE)</f>
        <v>NORDESTE</v>
      </c>
      <c r="D569" s="4" t="str">
        <f>VLOOKUP(A569,Ginecologia_dados!B:C,2,FALSE)</f>
        <v>PEDRA AZUL</v>
      </c>
      <c r="E569">
        <v>12659</v>
      </c>
    </row>
    <row r="570" spans="1:5" x14ac:dyDescent="0.3">
      <c r="A570" s="4">
        <v>314875</v>
      </c>
      <c r="B570" s="4" t="s">
        <v>642</v>
      </c>
      <c r="C570" s="4" t="str">
        <f>VLOOKUP(População!A570,Ginecologia_dados!B:E,3,FALSE)</f>
        <v>SUDESTE</v>
      </c>
      <c r="D570" s="4" t="str">
        <f>VLOOKUP(A570,Ginecologia_dados!B:C,2,FALSE)</f>
        <v>CARANGOLA</v>
      </c>
      <c r="E570">
        <v>3513</v>
      </c>
    </row>
    <row r="571" spans="1:5" x14ac:dyDescent="0.3">
      <c r="A571" s="4">
        <v>314880</v>
      </c>
      <c r="B571" s="4" t="s">
        <v>643</v>
      </c>
      <c r="C571" s="4" t="str">
        <f>VLOOKUP(População!A571,Ginecologia_dados!B:E,3,FALSE)</f>
        <v>LESTE DO SUL</v>
      </c>
      <c r="D571" s="4" t="str">
        <f>VLOOKUP(A571,Ginecologia_dados!B:C,2,FALSE)</f>
        <v>VIÇOSA</v>
      </c>
      <c r="E571">
        <v>1718</v>
      </c>
    </row>
    <row r="572" spans="1:5" x14ac:dyDescent="0.3">
      <c r="A572" s="4">
        <v>314890</v>
      </c>
      <c r="B572" s="4" t="s">
        <v>644</v>
      </c>
      <c r="C572" s="4" t="str">
        <f>VLOOKUP(População!A572,Ginecologia_dados!B:E,3,FALSE)</f>
        <v>OESTE</v>
      </c>
      <c r="D572" s="4" t="str">
        <f>VLOOKUP(A572,Ginecologia_dados!B:C,2,FALSE)</f>
        <v>LAGOA DA PRATA/STO ANT. DO MONTE</v>
      </c>
      <c r="E572">
        <v>1991</v>
      </c>
    </row>
    <row r="573" spans="1:5" x14ac:dyDescent="0.3">
      <c r="A573" s="4">
        <v>314900</v>
      </c>
      <c r="B573" s="4" t="s">
        <v>645</v>
      </c>
      <c r="C573" s="4" t="str">
        <f>VLOOKUP(População!A573,Ginecologia_dados!B:E,3,FALSE)</f>
        <v>SUDESTE</v>
      </c>
      <c r="D573" s="4" t="str">
        <f>VLOOKUP(A573,Ginecologia_dados!B:C,2,FALSE)</f>
        <v>CARANGOLA</v>
      </c>
      <c r="E573">
        <v>1327</v>
      </c>
    </row>
    <row r="574" spans="1:5" x14ac:dyDescent="0.3">
      <c r="A574" s="4">
        <v>314910</v>
      </c>
      <c r="B574" s="4" t="s">
        <v>646</v>
      </c>
      <c r="C574" s="4" t="str">
        <f>VLOOKUP(População!A574,Ginecologia_dados!B:E,3,FALSE)</f>
        <v>SUL</v>
      </c>
      <c r="D574" s="4" t="str">
        <f>VLOOKUP(A574,Ginecologia_dados!B:C,2,FALSE)</f>
        <v>ITAJUBÁ</v>
      </c>
      <c r="E574">
        <v>5490</v>
      </c>
    </row>
    <row r="575" spans="1:5" x14ac:dyDescent="0.3">
      <c r="A575" s="4">
        <v>314915</v>
      </c>
      <c r="B575" s="4" t="s">
        <v>647</v>
      </c>
      <c r="C575" s="4" t="str">
        <f>VLOOKUP(População!A575,Ginecologia_dados!B:E,3,FALSE)</f>
        <v>NORTE</v>
      </c>
      <c r="D575" s="4" t="str">
        <f>VLOOKUP(A575,Ginecologia_dados!B:C,2,FALSE)</f>
        <v>JANUÁRIA</v>
      </c>
      <c r="E575">
        <v>5230</v>
      </c>
    </row>
    <row r="576" spans="1:5" x14ac:dyDescent="0.3">
      <c r="A576" s="4">
        <v>314920</v>
      </c>
      <c r="B576" s="4" t="s">
        <v>648</v>
      </c>
      <c r="C576" s="4" t="str">
        <f>VLOOKUP(População!A576,Ginecologia_dados!B:E,3,FALSE)</f>
        <v>TRIÂNGULO DO SUL</v>
      </c>
      <c r="D576" s="4" t="str">
        <f>VLOOKUP(A576,Ginecologia_dados!B:C,2,FALSE)</f>
        <v>ARAXÁ</v>
      </c>
      <c r="E576">
        <v>1656</v>
      </c>
    </row>
    <row r="577" spans="1:5" x14ac:dyDescent="0.3">
      <c r="A577" s="4">
        <v>314930</v>
      </c>
      <c r="B577" s="4" t="s">
        <v>649</v>
      </c>
      <c r="C577" s="4" t="str">
        <f>VLOOKUP(População!A577,Ginecologia_dados!B:E,3,FALSE)</f>
        <v>CENTRO</v>
      </c>
      <c r="D577" s="4" t="str">
        <f>VLOOKUP(A577,Ginecologia_dados!B:C,2,FALSE)</f>
        <v>VESPASIANO</v>
      </c>
      <c r="E577">
        <v>32699</v>
      </c>
    </row>
    <row r="578" spans="1:5" x14ac:dyDescent="0.3">
      <c r="A578" s="4">
        <v>314940</v>
      </c>
      <c r="B578" s="4" t="s">
        <v>650</v>
      </c>
      <c r="C578" s="4" t="str">
        <f>VLOOKUP(População!A578,Ginecologia_dados!B:E,3,FALSE)</f>
        <v>SUDESTE</v>
      </c>
      <c r="D578" s="4" t="str">
        <f>VLOOKUP(A578,Ginecologia_dados!B:C,2,FALSE)</f>
        <v>LIMA DUARTE</v>
      </c>
      <c r="E578">
        <v>886</v>
      </c>
    </row>
    <row r="579" spans="1:5" x14ac:dyDescent="0.3">
      <c r="A579" s="4">
        <v>314950</v>
      </c>
      <c r="B579" s="4" t="s">
        <v>651</v>
      </c>
      <c r="C579" s="4" t="str">
        <f>VLOOKUP(População!A579,Ginecologia_dados!B:E,3,FALSE)</f>
        <v>SUDESTE</v>
      </c>
      <c r="D579" s="4" t="str">
        <f>VLOOKUP(A579,Ginecologia_dados!B:C,2,FALSE)</f>
        <v>SÃO JOÃO NEPOMUCENO/BICAS</v>
      </c>
      <c r="E579">
        <v>1747</v>
      </c>
    </row>
    <row r="580" spans="1:5" x14ac:dyDescent="0.3">
      <c r="A580" s="4">
        <v>314960</v>
      </c>
      <c r="B580" s="4" t="s">
        <v>652</v>
      </c>
      <c r="C580" s="4" t="str">
        <f>VLOOKUP(População!A580,Ginecologia_dados!B:E,3,FALSE)</f>
        <v>CENTRO</v>
      </c>
      <c r="D580" s="4" t="str">
        <f>VLOOKUP(A580,Ginecologia_dados!B:C,2,FALSE)</f>
        <v>SETE LAGOAS</v>
      </c>
      <c r="E580">
        <v>2087</v>
      </c>
    </row>
    <row r="581" spans="1:5" x14ac:dyDescent="0.3">
      <c r="A581" s="4">
        <v>314970</v>
      </c>
      <c r="B581" s="4" t="s">
        <v>653</v>
      </c>
      <c r="C581" s="4" t="str">
        <f>VLOOKUP(População!A581,Ginecologia_dados!B:E,3,FALSE)</f>
        <v>OESTE</v>
      </c>
      <c r="D581" s="4" t="str">
        <f>VLOOKUP(A581,Ginecologia_dados!B:C,2,FALSE)</f>
        <v>DIVINÓPOLIS</v>
      </c>
      <c r="E581">
        <v>5607</v>
      </c>
    </row>
    <row r="582" spans="1:5" x14ac:dyDescent="0.3">
      <c r="A582" s="4">
        <v>314980</v>
      </c>
      <c r="B582" s="4" t="s">
        <v>654</v>
      </c>
      <c r="C582" s="4" t="str">
        <f>VLOOKUP(População!A582,Ginecologia_dados!B:E,3,FALSE)</f>
        <v>TRIÂNGULO DO SUL</v>
      </c>
      <c r="D582" s="4" t="str">
        <f>VLOOKUP(A582,Ginecologia_dados!B:C,2,FALSE)</f>
        <v>ARAXÁ</v>
      </c>
      <c r="E582">
        <v>7975</v>
      </c>
    </row>
    <row r="583" spans="1:5" x14ac:dyDescent="0.3">
      <c r="A583" s="4">
        <v>314990</v>
      </c>
      <c r="B583" s="4" t="s">
        <v>655</v>
      </c>
      <c r="C583" s="4" t="str">
        <f>VLOOKUP(População!A583,Ginecologia_dados!B:E,3,FALSE)</f>
        <v>SUL</v>
      </c>
      <c r="D583" s="4" t="str">
        <f>VLOOKUP(A583,Ginecologia_dados!B:C,2,FALSE)</f>
        <v>LAVRAS</v>
      </c>
      <c r="E583">
        <v>10848</v>
      </c>
    </row>
    <row r="584" spans="1:5" x14ac:dyDescent="0.3">
      <c r="A584" s="4">
        <v>314995</v>
      </c>
      <c r="B584" s="4" t="s">
        <v>656</v>
      </c>
      <c r="C584" s="4" t="str">
        <f>VLOOKUP(População!A584,Ginecologia_dados!B:E,3,FALSE)</f>
        <v>VALE DO AÇO</v>
      </c>
      <c r="D584" s="4" t="str">
        <f>VLOOKUP(A584,Ginecologia_dados!B:C,2,FALSE)</f>
        <v>IPATINGA</v>
      </c>
      <c r="E584">
        <v>3470</v>
      </c>
    </row>
    <row r="585" spans="1:5" x14ac:dyDescent="0.3">
      <c r="A585" s="4">
        <v>315000</v>
      </c>
      <c r="B585" s="4" t="s">
        <v>657</v>
      </c>
      <c r="C585" s="4" t="str">
        <f>VLOOKUP(População!A585,Ginecologia_dados!B:E,3,FALSE)</f>
        <v>NORDESTE</v>
      </c>
      <c r="D585" s="4" t="str">
        <f>VLOOKUP(A585,Ginecologia_dados!B:C,2,FALSE)</f>
        <v>ITAMBACURI</v>
      </c>
      <c r="E585">
        <v>1918</v>
      </c>
    </row>
    <row r="586" spans="1:5" x14ac:dyDescent="0.3">
      <c r="A586" s="4">
        <v>315010</v>
      </c>
      <c r="B586" s="4" t="s">
        <v>658</v>
      </c>
      <c r="C586" s="4" t="str">
        <f>VLOOKUP(População!A586,Ginecologia_dados!B:E,3,FALSE)</f>
        <v>SUDESTE</v>
      </c>
      <c r="D586" s="4" t="str">
        <f>VLOOKUP(A586,Ginecologia_dados!B:C,2,FALSE)</f>
        <v>JUIZ DE FORA</v>
      </c>
      <c r="E586">
        <v>1399</v>
      </c>
    </row>
    <row r="587" spans="1:5" x14ac:dyDescent="0.3">
      <c r="A587" s="4">
        <v>315015</v>
      </c>
      <c r="B587" s="4" t="s">
        <v>659</v>
      </c>
      <c r="C587" s="4" t="str">
        <f>VLOOKUP(População!A587,Ginecologia_dados!B:E,3,FALSE)</f>
        <v>VALE DO AÇO</v>
      </c>
      <c r="D587" s="4" t="str">
        <f>VLOOKUP(A587,Ginecologia_dados!B:C,2,FALSE)</f>
        <v>CARATINGA</v>
      </c>
      <c r="E587">
        <v>4057</v>
      </c>
    </row>
    <row r="588" spans="1:5" x14ac:dyDescent="0.3">
      <c r="A588" s="4">
        <v>315020</v>
      </c>
      <c r="B588" s="4" t="s">
        <v>660</v>
      </c>
      <c r="C588" s="4" t="str">
        <f>VLOOKUP(População!A588,Ginecologia_dados!B:E,3,FALSE)</f>
        <v>LESTE DO SUL</v>
      </c>
      <c r="D588" s="4" t="str">
        <f>VLOOKUP(A588,Ginecologia_dados!B:C,2,FALSE)</f>
        <v>PONTE NOVA</v>
      </c>
      <c r="E588">
        <v>2036</v>
      </c>
    </row>
    <row r="589" spans="1:5" x14ac:dyDescent="0.3">
      <c r="A589" s="4">
        <v>315030</v>
      </c>
      <c r="B589" s="4" t="s">
        <v>661</v>
      </c>
      <c r="C589" s="4" t="str">
        <f>VLOOKUP(População!A589,Ginecologia_dados!B:E,3,FALSE)</f>
        <v>CENTRO SUL</v>
      </c>
      <c r="D589" s="4" t="str">
        <f>VLOOKUP(A589,Ginecologia_dados!B:C,2,FALSE)</f>
        <v>SÃO JOÃO DEL REI</v>
      </c>
      <c r="E589">
        <v>2314</v>
      </c>
    </row>
    <row r="590" spans="1:5" x14ac:dyDescent="0.3">
      <c r="A590" s="4">
        <v>315040</v>
      </c>
      <c r="B590" s="4" t="s">
        <v>662</v>
      </c>
      <c r="C590" s="4" t="str">
        <f>VLOOKUP(População!A590,Ginecologia_dados!B:E,3,FALSE)</f>
        <v>CENTRO</v>
      </c>
      <c r="D590" s="4" t="str">
        <f>VLOOKUP(A590,Ginecologia_dados!B:C,2,FALSE)</f>
        <v>BETIM</v>
      </c>
      <c r="E590">
        <v>2441</v>
      </c>
    </row>
    <row r="591" spans="1:5" x14ac:dyDescent="0.3">
      <c r="A591" s="4">
        <v>315050</v>
      </c>
      <c r="B591" s="4" t="s">
        <v>663</v>
      </c>
      <c r="C591" s="4" t="str">
        <f>VLOOKUP(População!A591,Ginecologia_dados!B:E,3,FALSE)</f>
        <v>SUL</v>
      </c>
      <c r="D591" s="4" t="str">
        <f>VLOOKUP(A591,Ginecologia_dados!B:C,2,FALSE)</f>
        <v>PIUMHI</v>
      </c>
      <c r="E591">
        <v>4264</v>
      </c>
    </row>
    <row r="592" spans="1:5" x14ac:dyDescent="0.3">
      <c r="A592" s="4">
        <v>315053</v>
      </c>
      <c r="B592" s="4" t="s">
        <v>664</v>
      </c>
      <c r="C592" s="4" t="str">
        <f>VLOOKUP(População!A592,Ginecologia_dados!B:E,3,FALSE)</f>
        <v>VALE DO AÇO</v>
      </c>
      <c r="D592" s="4" t="str">
        <f>VLOOKUP(A592,Ginecologia_dados!B:C,2,FALSE)</f>
        <v>CORONEL FABRICIANO/TIMÓTEO</v>
      </c>
      <c r="E592">
        <v>2402</v>
      </c>
    </row>
    <row r="593" spans="1:5" x14ac:dyDescent="0.3">
      <c r="A593" s="4">
        <v>315057</v>
      </c>
      <c r="B593" s="4" t="s">
        <v>665</v>
      </c>
      <c r="C593" s="4" t="str">
        <f>VLOOKUP(População!A593,Ginecologia_dados!B:E,3,FALSE)</f>
        <v>NORTE</v>
      </c>
      <c r="D593" s="4" t="str">
        <f>VLOOKUP(A593,Ginecologia_dados!B:C,2,FALSE)</f>
        <v>BRASÍLIA DE MINAS/SÃO FRANCISCO</v>
      </c>
      <c r="E593">
        <v>3562</v>
      </c>
    </row>
    <row r="594" spans="1:5" x14ac:dyDescent="0.3">
      <c r="A594" s="4">
        <v>315060</v>
      </c>
      <c r="B594" s="4" t="s">
        <v>666</v>
      </c>
      <c r="C594" s="4" t="str">
        <f>VLOOKUP(População!A594,Ginecologia_dados!B:E,3,FALSE)</f>
        <v>OESTE</v>
      </c>
      <c r="D594" s="4" t="str">
        <f>VLOOKUP(A594,Ginecologia_dados!B:C,2,FALSE)</f>
        <v>ITAÚNA</v>
      </c>
      <c r="E594">
        <v>3364</v>
      </c>
    </row>
    <row r="595" spans="1:5" x14ac:dyDescent="0.3">
      <c r="A595" s="4">
        <v>315070</v>
      </c>
      <c r="B595" s="4" t="s">
        <v>667</v>
      </c>
      <c r="C595" s="4" t="str">
        <f>VLOOKUP(População!A595,Ginecologia_dados!B:E,3,FALSE)</f>
        <v>TRIÂNGULO DO SUL</v>
      </c>
      <c r="D595" s="4" t="str">
        <f>VLOOKUP(A595,Ginecologia_dados!B:C,2,FALSE)</f>
        <v>FRUTAL/ITURAMA</v>
      </c>
      <c r="E595">
        <v>2572</v>
      </c>
    </row>
    <row r="596" spans="1:5" x14ac:dyDescent="0.3">
      <c r="A596" s="4">
        <v>315080</v>
      </c>
      <c r="B596" s="4" t="s">
        <v>668</v>
      </c>
      <c r="C596" s="4" t="str">
        <f>VLOOKUP(População!A596,Ginecologia_dados!B:E,3,FALSE)</f>
        <v>CENTRO SUL</v>
      </c>
      <c r="D596" s="4" t="str">
        <f>VLOOKUP(A596,Ginecologia_dados!B:C,2,FALSE)</f>
        <v>CONSELHEIRO LAFAIETE</v>
      </c>
      <c r="E596">
        <v>8650</v>
      </c>
    </row>
    <row r="597" spans="1:5" x14ac:dyDescent="0.3">
      <c r="A597" s="4">
        <v>315090</v>
      </c>
      <c r="B597" s="4" t="s">
        <v>669</v>
      </c>
      <c r="C597" s="4" t="str">
        <f>VLOOKUP(População!A597,Ginecologia_dados!B:E,3,FALSE)</f>
        <v>SUL</v>
      </c>
      <c r="D597" s="4" t="str">
        <f>VLOOKUP(A597,Ginecologia_dados!B:C,2,FALSE)</f>
        <v>ITAJUBÁ</v>
      </c>
      <c r="E597">
        <v>2860</v>
      </c>
    </row>
    <row r="598" spans="1:5" x14ac:dyDescent="0.3">
      <c r="A598" s="4">
        <v>315100</v>
      </c>
      <c r="B598" s="4" t="s">
        <v>670</v>
      </c>
      <c r="C598" s="4" t="str">
        <f>VLOOKUP(População!A598,Ginecologia_dados!B:E,3,FALSE)</f>
        <v>SUL</v>
      </c>
      <c r="D598" s="4" t="str">
        <f>VLOOKUP(A598,Ginecologia_dados!B:C,2,FALSE)</f>
        <v>ITAJUBÁ</v>
      </c>
      <c r="E598">
        <v>4368</v>
      </c>
    </row>
    <row r="599" spans="1:5" x14ac:dyDescent="0.3">
      <c r="A599" s="4">
        <v>315110</v>
      </c>
      <c r="B599" s="4" t="s">
        <v>671</v>
      </c>
      <c r="C599" s="4" t="str">
        <f>VLOOKUP(População!A599,Ginecologia_dados!B:E,3,FALSE)</f>
        <v>SUDESTE</v>
      </c>
      <c r="D599" s="4" t="str">
        <f>VLOOKUP(A599,Ginecologia_dados!B:C,2,FALSE)</f>
        <v>ALÉM PARAÍBA</v>
      </c>
      <c r="E599">
        <v>5672</v>
      </c>
    </row>
    <row r="600" spans="1:5" x14ac:dyDescent="0.3">
      <c r="A600" s="4">
        <v>315120</v>
      </c>
      <c r="B600" s="4" t="s">
        <v>170</v>
      </c>
      <c r="C600" s="4" t="str">
        <f>VLOOKUP(População!A600,Ginecologia_dados!B:E,3,FALSE)</f>
        <v>NORTE</v>
      </c>
      <c r="D600" s="4" t="str">
        <f>VLOOKUP(A600,Ginecologia_dados!B:C,2,FALSE)</f>
        <v>PIRAPORA</v>
      </c>
      <c r="E600">
        <v>28904</v>
      </c>
    </row>
    <row r="601" spans="1:5" x14ac:dyDescent="0.3">
      <c r="A601" s="4">
        <v>315130</v>
      </c>
      <c r="B601" s="4" t="s">
        <v>672</v>
      </c>
      <c r="C601" s="4" t="str">
        <f>VLOOKUP(População!A601,Ginecologia_dados!B:E,3,FALSE)</f>
        <v>SUDESTE</v>
      </c>
      <c r="D601" s="4" t="str">
        <f>VLOOKUP(A601,Ginecologia_dados!B:C,2,FALSE)</f>
        <v>UBÁ</v>
      </c>
      <c r="E601">
        <v>5855</v>
      </c>
    </row>
    <row r="602" spans="1:5" x14ac:dyDescent="0.3">
      <c r="A602" s="4">
        <v>315140</v>
      </c>
      <c r="B602" s="4" t="s">
        <v>673</v>
      </c>
      <c r="C602" s="4" t="str">
        <f>VLOOKUP(População!A602,Ginecologia_dados!B:E,3,FALSE)</f>
        <v>OESTE</v>
      </c>
      <c r="D602" s="4" t="str">
        <f>VLOOKUP(A602,Ginecologia_dados!B:C,2,FALSE)</f>
        <v>PARÁ DE MINAS</v>
      </c>
      <c r="E602">
        <v>13772</v>
      </c>
    </row>
    <row r="603" spans="1:5" x14ac:dyDescent="0.3">
      <c r="A603" s="4">
        <v>315150</v>
      </c>
      <c r="B603" s="4" t="s">
        <v>214</v>
      </c>
      <c r="C603" s="4" t="str">
        <f>VLOOKUP(População!A603,Ginecologia_dados!B:E,3,FALSE)</f>
        <v>SUL</v>
      </c>
      <c r="D603" s="4" t="str">
        <f>VLOOKUP(A603,Ginecologia_dados!B:C,2,FALSE)</f>
        <v>PIUMHI</v>
      </c>
      <c r="E603">
        <v>18089</v>
      </c>
    </row>
    <row r="604" spans="1:5" x14ac:dyDescent="0.3">
      <c r="A604" s="4">
        <v>315160</v>
      </c>
      <c r="B604" s="4" t="s">
        <v>674</v>
      </c>
      <c r="C604" s="4" t="str">
        <f>VLOOKUP(População!A604,Ginecologia_dados!B:E,3,FALSE)</f>
        <v>TRIÂNGULO DO SUL</v>
      </c>
      <c r="D604" s="4" t="str">
        <f>VLOOKUP(A604,Ginecologia_dados!B:C,2,FALSE)</f>
        <v>FRUTAL/ITURAMA</v>
      </c>
      <c r="E604">
        <v>5472</v>
      </c>
    </row>
    <row r="605" spans="1:5" x14ac:dyDescent="0.3">
      <c r="A605" s="4">
        <v>315170</v>
      </c>
      <c r="B605" s="4" t="s">
        <v>675</v>
      </c>
      <c r="C605" s="4" t="str">
        <f>VLOOKUP(População!A605,Ginecologia_dados!B:E,3,FALSE)</f>
        <v>SUL</v>
      </c>
      <c r="D605" s="4" t="str">
        <f>VLOOKUP(A605,Ginecologia_dados!B:C,2,FALSE)</f>
        <v>ALFENAS/MACHADO</v>
      </c>
      <c r="E605">
        <v>8210</v>
      </c>
    </row>
    <row r="606" spans="1:5" x14ac:dyDescent="0.3">
      <c r="A606" s="4">
        <v>315180</v>
      </c>
      <c r="B606" s="4" t="s">
        <v>676</v>
      </c>
      <c r="C606" s="4" t="str">
        <f>VLOOKUP(População!A606,Ginecologia_dados!B:E,3,FALSE)</f>
        <v>SUL</v>
      </c>
      <c r="D606" s="4" t="str">
        <f>VLOOKUP(A606,Ginecologia_dados!B:C,2,FALSE)</f>
        <v>POÇOS DE CALDAS</v>
      </c>
      <c r="E606">
        <v>86532</v>
      </c>
    </row>
    <row r="607" spans="1:5" x14ac:dyDescent="0.3">
      <c r="A607" s="4">
        <v>315190</v>
      </c>
      <c r="B607" s="4" t="s">
        <v>677</v>
      </c>
      <c r="C607" s="4" t="str">
        <f>VLOOKUP(População!A607,Ginecologia_dados!B:E,3,FALSE)</f>
        <v>LESTE DO SUL</v>
      </c>
      <c r="D607" s="4" t="str">
        <f>VLOOKUP(A607,Ginecologia_dados!B:C,2,FALSE)</f>
        <v>MANHUAÇU</v>
      </c>
      <c r="E607">
        <v>4345</v>
      </c>
    </row>
    <row r="608" spans="1:5" x14ac:dyDescent="0.3">
      <c r="A608" s="4">
        <v>315200</v>
      </c>
      <c r="B608" s="4" t="s">
        <v>678</v>
      </c>
      <c r="C608" s="4" t="str">
        <f>VLOOKUP(População!A608,Ginecologia_dados!B:E,3,FALSE)</f>
        <v>CENTRO</v>
      </c>
      <c r="D608" s="4" t="str">
        <f>VLOOKUP(A608,Ginecologia_dados!B:C,2,FALSE)</f>
        <v>SETE LAGOAS</v>
      </c>
      <c r="E608">
        <v>15773</v>
      </c>
    </row>
    <row r="609" spans="1:5" x14ac:dyDescent="0.3">
      <c r="A609" s="4">
        <v>315210</v>
      </c>
      <c r="B609" s="4" t="s">
        <v>10</v>
      </c>
      <c r="C609" s="4" t="str">
        <f>VLOOKUP(População!A609,Ginecologia_dados!B:E,3,FALSE)</f>
        <v>LESTE DO SUL</v>
      </c>
      <c r="D609" s="4" t="str">
        <f>VLOOKUP(A609,Ginecologia_dados!B:C,2,FALSE)</f>
        <v>PONTE NOVA</v>
      </c>
      <c r="E609">
        <v>30930</v>
      </c>
    </row>
    <row r="610" spans="1:5" x14ac:dyDescent="0.3">
      <c r="A610" s="4">
        <v>315213</v>
      </c>
      <c r="B610" s="4" t="s">
        <v>679</v>
      </c>
      <c r="C610" s="4" t="str">
        <f>VLOOKUP(População!A610,Ginecologia_dados!B:E,3,FALSE)</f>
        <v>NORTE</v>
      </c>
      <c r="D610" s="4" t="str">
        <f>VLOOKUP(A610,Ginecologia_dados!B:C,2,FALSE)</f>
        <v>PIRAPORA</v>
      </c>
      <c r="E610">
        <v>1895</v>
      </c>
    </row>
    <row r="611" spans="1:5" x14ac:dyDescent="0.3">
      <c r="A611" s="4">
        <v>315217</v>
      </c>
      <c r="B611" s="4" t="s">
        <v>680</v>
      </c>
      <c r="C611" s="4" t="str">
        <f>VLOOKUP(População!A611,Ginecologia_dados!B:E,3,FALSE)</f>
        <v>NORDESTE</v>
      </c>
      <c r="D611" s="4" t="str">
        <f>VLOOKUP(A611,Ginecologia_dados!B:C,2,FALSE)</f>
        <v>ITAOBIM</v>
      </c>
      <c r="E611">
        <v>5566</v>
      </c>
    </row>
    <row r="612" spans="1:5" x14ac:dyDescent="0.3">
      <c r="A612" s="4">
        <v>315220</v>
      </c>
      <c r="B612" s="4" t="s">
        <v>681</v>
      </c>
      <c r="C612" s="4" t="str">
        <f>VLOOKUP(População!A612,Ginecologia_dados!B:E,3,FALSE)</f>
        <v>NORTE</v>
      </c>
      <c r="D612" s="4" t="str">
        <f>VLOOKUP(A612,Ginecologia_dados!B:C,2,FALSE)</f>
        <v>JANAÚBA/MONTE AZUL</v>
      </c>
      <c r="E612">
        <v>19484</v>
      </c>
    </row>
    <row r="613" spans="1:5" x14ac:dyDescent="0.3">
      <c r="A613" s="4">
        <v>315230</v>
      </c>
      <c r="B613" s="4" t="s">
        <v>682</v>
      </c>
      <c r="C613" s="4" t="str">
        <f>VLOOKUP(População!A613,Ginecologia_dados!B:E,3,FALSE)</f>
        <v>LESTE DO SUL</v>
      </c>
      <c r="D613" s="4" t="str">
        <f>VLOOKUP(A613,Ginecologia_dados!B:C,2,FALSE)</f>
        <v>VIÇOSA</v>
      </c>
      <c r="E613">
        <v>5342</v>
      </c>
    </row>
    <row r="614" spans="1:5" x14ac:dyDescent="0.3">
      <c r="A614" s="4">
        <v>315240</v>
      </c>
      <c r="B614" s="4" t="s">
        <v>683</v>
      </c>
      <c r="C614" s="4" t="str">
        <f>VLOOKUP(População!A614,Ginecologia_dados!B:E,3,FALSE)</f>
        <v>NORDESTE</v>
      </c>
      <c r="D614" s="4" t="str">
        <f>VLOOKUP(A614,Ginecologia_dados!B:C,2,FALSE)</f>
        <v>TEÓFILO OTONI/MALACACHETA</v>
      </c>
      <c r="E614">
        <v>7450</v>
      </c>
    </row>
    <row r="615" spans="1:5" x14ac:dyDescent="0.3">
      <c r="A615" s="4">
        <v>315250</v>
      </c>
      <c r="B615" s="4" t="s">
        <v>145</v>
      </c>
      <c r="C615" s="4" t="str">
        <f>VLOOKUP(População!A615,Ginecologia_dados!B:E,3,FALSE)</f>
        <v>SUL</v>
      </c>
      <c r="D615" s="4" t="str">
        <f>VLOOKUP(A615,Ginecologia_dados!B:C,2,FALSE)</f>
        <v>POUSO ALEGRE</v>
      </c>
      <c r="E615">
        <v>76197</v>
      </c>
    </row>
    <row r="616" spans="1:5" x14ac:dyDescent="0.3">
      <c r="A616" s="4">
        <v>315260</v>
      </c>
      <c r="B616" s="4" t="s">
        <v>684</v>
      </c>
      <c r="C616" s="4" t="str">
        <f>VLOOKUP(População!A616,Ginecologia_dados!B:E,3,FALSE)</f>
        <v>SUL</v>
      </c>
      <c r="D616" s="4" t="str">
        <f>VLOOKUP(A616,Ginecologia_dados!B:C,2,FALSE)</f>
        <v>SÃO LOURENÇO</v>
      </c>
      <c r="E616">
        <v>3273</v>
      </c>
    </row>
    <row r="617" spans="1:5" x14ac:dyDescent="0.3">
      <c r="A617" s="4">
        <v>315270</v>
      </c>
      <c r="B617" s="4" t="s">
        <v>685</v>
      </c>
      <c r="C617" s="4" t="str">
        <f>VLOOKUP(População!A617,Ginecologia_dados!B:E,3,FALSE)</f>
        <v>CENTRO SUL</v>
      </c>
      <c r="D617" s="4" t="str">
        <f>VLOOKUP(A617,Ginecologia_dados!B:C,2,FALSE)</f>
        <v>SÃO JOÃO DEL REI</v>
      </c>
      <c r="E617">
        <v>4528</v>
      </c>
    </row>
    <row r="618" spans="1:5" x14ac:dyDescent="0.3">
      <c r="A618" s="4">
        <v>315280</v>
      </c>
      <c r="B618" s="4" t="s">
        <v>686</v>
      </c>
      <c r="C618" s="4" t="str">
        <f>VLOOKUP(População!A618,Ginecologia_dados!B:E,3,FALSE)</f>
        <v>TRIÂNGULO DO NORTE</v>
      </c>
      <c r="D618" s="4" t="str">
        <f>VLOOKUP(A618,Ginecologia_dados!B:C,2,FALSE)</f>
        <v>UBERLÂNDIA/ARAGUARI</v>
      </c>
      <c r="E618">
        <v>13962</v>
      </c>
    </row>
    <row r="619" spans="1:5" x14ac:dyDescent="0.3">
      <c r="A619" s="4">
        <v>315290</v>
      </c>
      <c r="B619" s="4" t="s">
        <v>687</v>
      </c>
      <c r="C619" s="4" t="str">
        <f>VLOOKUP(População!A619,Ginecologia_dados!B:E,3,FALSE)</f>
        <v>SUL</v>
      </c>
      <c r="D619" s="4" t="str">
        <f>VLOOKUP(A619,Ginecologia_dados!B:C,2,FALSE)</f>
        <v>SÃO SEBASTIÃO DO PARAÍSO</v>
      </c>
      <c r="E619">
        <v>4332</v>
      </c>
    </row>
    <row r="620" spans="1:5" x14ac:dyDescent="0.3">
      <c r="A620" s="4">
        <v>315300</v>
      </c>
      <c r="B620" s="4" t="s">
        <v>688</v>
      </c>
      <c r="C620" s="4" t="str">
        <f>VLOOKUP(População!A620,Ginecologia_dados!B:E,3,FALSE)</f>
        <v>TRIÂNGULO DO SUL</v>
      </c>
      <c r="D620" s="4" t="str">
        <f>VLOOKUP(A620,Ginecologia_dados!B:C,2,FALSE)</f>
        <v>ARAXÁ</v>
      </c>
      <c r="E620">
        <v>1668</v>
      </c>
    </row>
    <row r="621" spans="1:5" x14ac:dyDescent="0.3">
      <c r="A621" s="4">
        <v>315310</v>
      </c>
      <c r="B621" s="4" t="s">
        <v>689</v>
      </c>
      <c r="C621" s="4" t="str">
        <f>VLOOKUP(População!A621,Ginecologia_dados!B:E,3,FALSE)</f>
        <v>SUDESTE</v>
      </c>
      <c r="D621" s="4" t="str">
        <f>VLOOKUP(A621,Ginecologia_dados!B:C,2,FALSE)</f>
        <v>UBÁ</v>
      </c>
      <c r="E621">
        <v>2548</v>
      </c>
    </row>
    <row r="622" spans="1:5" x14ac:dyDescent="0.3">
      <c r="A622" s="4">
        <v>315320</v>
      </c>
      <c r="B622" s="4" t="s">
        <v>690</v>
      </c>
      <c r="C622" s="4" t="str">
        <f>VLOOKUP(População!A622,Ginecologia_dados!B:E,3,FALSE)</f>
        <v>CENTRO</v>
      </c>
      <c r="D622" s="4" t="str">
        <f>VLOOKUP(A622,Ginecologia_dados!B:C,2,FALSE)</f>
        <v>CURVELO</v>
      </c>
      <c r="E622">
        <v>1786</v>
      </c>
    </row>
    <row r="623" spans="1:5" x14ac:dyDescent="0.3">
      <c r="A623" s="4">
        <v>315330</v>
      </c>
      <c r="B623" s="4" t="s">
        <v>691</v>
      </c>
      <c r="C623" s="4" t="str">
        <f>VLOOKUP(População!A623,Ginecologia_dados!B:E,3,FALSE)</f>
        <v>JEQUITINHONHA</v>
      </c>
      <c r="D623" s="4" t="str">
        <f>VLOOKUP(A623,Ginecologia_dados!B:C,2,FALSE)</f>
        <v>DIAMANTINA</v>
      </c>
      <c r="E623">
        <v>1579</v>
      </c>
    </row>
    <row r="624" spans="1:5" x14ac:dyDescent="0.3">
      <c r="A624" s="4">
        <v>315340</v>
      </c>
      <c r="B624" s="4" t="s">
        <v>692</v>
      </c>
      <c r="C624" s="4" t="str">
        <f>VLOOKUP(População!A624,Ginecologia_dados!B:E,3,FALSE)</f>
        <v>NOROESTE</v>
      </c>
      <c r="D624" s="4" t="str">
        <f>VLOOKUP(A624,Ginecologia_dados!B:C,2,FALSE)</f>
        <v>PATOS DE MINAS</v>
      </c>
      <c r="E624">
        <v>9289</v>
      </c>
    </row>
    <row r="625" spans="1:5" x14ac:dyDescent="0.3">
      <c r="A625" s="4">
        <v>315350</v>
      </c>
      <c r="B625" s="4" t="s">
        <v>693</v>
      </c>
      <c r="C625" s="4" t="str">
        <f>VLOOKUP(População!A625,Ginecologia_dados!B:E,3,FALSE)</f>
        <v>LESTE DO SUL</v>
      </c>
      <c r="D625" s="4" t="str">
        <f>VLOOKUP(A625,Ginecologia_dados!B:C,2,FALSE)</f>
        <v>MANHUAÇU</v>
      </c>
      <c r="E625">
        <v>4173</v>
      </c>
    </row>
    <row r="626" spans="1:5" x14ac:dyDescent="0.3">
      <c r="A626" s="4">
        <v>315360</v>
      </c>
      <c r="B626" s="4" t="s">
        <v>694</v>
      </c>
      <c r="C626" s="4" t="str">
        <f>VLOOKUP(População!A626,Ginecologia_dados!B:E,3,FALSE)</f>
        <v>CENTRO</v>
      </c>
      <c r="D626" s="4" t="str">
        <f>VLOOKUP(A626,Ginecologia_dados!B:C,2,FALSE)</f>
        <v>SETE LAGOAS</v>
      </c>
      <c r="E626">
        <v>5638</v>
      </c>
    </row>
    <row r="627" spans="1:5" x14ac:dyDescent="0.3">
      <c r="A627" s="4">
        <v>315370</v>
      </c>
      <c r="B627" s="4" t="s">
        <v>695</v>
      </c>
      <c r="C627" s="4" t="str">
        <f>VLOOKUP(População!A627,Ginecologia_dados!B:E,3,FALSE)</f>
        <v>CENTRO</v>
      </c>
      <c r="D627" s="4" t="str">
        <f>VLOOKUP(A627,Ginecologia_dados!B:C,2,FALSE)</f>
        <v>SETE LAGOAS</v>
      </c>
      <c r="E627">
        <v>1616</v>
      </c>
    </row>
    <row r="628" spans="1:5" x14ac:dyDescent="0.3">
      <c r="A628" s="4">
        <v>315380</v>
      </c>
      <c r="B628" s="4" t="s">
        <v>696</v>
      </c>
      <c r="C628" s="4" t="str">
        <f>VLOOKUP(População!A628,Ginecologia_dados!B:E,3,FALSE)</f>
        <v>CENTRO SUL</v>
      </c>
      <c r="D628" s="4" t="str">
        <f>VLOOKUP(A628,Ginecologia_dados!B:C,2,FALSE)</f>
        <v>CONSELHEIRO LAFAIETE</v>
      </c>
      <c r="E628">
        <v>886</v>
      </c>
    </row>
    <row r="629" spans="1:5" x14ac:dyDescent="0.3">
      <c r="A629" s="4">
        <v>315390</v>
      </c>
      <c r="B629" s="4" t="s">
        <v>697</v>
      </c>
      <c r="C629" s="4" t="str">
        <f>VLOOKUP(População!A629,Ginecologia_dados!B:E,3,FALSE)</f>
        <v>CENTRO</v>
      </c>
      <c r="D629" s="4" t="str">
        <f>VLOOKUP(A629,Ginecologia_dados!B:C,2,FALSE)</f>
        <v>BELO HORIZONTE/NOVA LIMA/CAETÉ</v>
      </c>
      <c r="E629">
        <v>8463</v>
      </c>
    </row>
    <row r="630" spans="1:5" x14ac:dyDescent="0.3">
      <c r="A630" s="4">
        <v>315400</v>
      </c>
      <c r="B630" s="4" t="s">
        <v>698</v>
      </c>
      <c r="C630" s="4" t="str">
        <f>VLOOKUP(População!A630,Ginecologia_dados!B:E,3,FALSE)</f>
        <v>LESTE DO SUL</v>
      </c>
      <c r="D630" s="4" t="str">
        <f>VLOOKUP(A630,Ginecologia_dados!B:C,2,FALSE)</f>
        <v>PONTE NOVA</v>
      </c>
      <c r="E630">
        <v>12138</v>
      </c>
    </row>
    <row r="631" spans="1:5" x14ac:dyDescent="0.3">
      <c r="A631" s="4">
        <v>315410</v>
      </c>
      <c r="B631" s="4" t="s">
        <v>699</v>
      </c>
      <c r="C631" s="4" t="str">
        <f>VLOOKUP(População!A631,Ginecologia_dados!B:E,3,FALSE)</f>
        <v>SUDESTE</v>
      </c>
      <c r="D631" s="4" t="str">
        <f>VLOOKUP(A631,Ginecologia_dados!B:C,2,FALSE)</f>
        <v>LEOPOLDINA/CATAGUASES</v>
      </c>
      <c r="E631">
        <v>5692</v>
      </c>
    </row>
    <row r="632" spans="1:5" x14ac:dyDescent="0.3">
      <c r="A632" s="4">
        <v>315415</v>
      </c>
      <c r="B632" s="4" t="s">
        <v>700</v>
      </c>
      <c r="C632" s="4" t="str">
        <f>VLOOKUP(População!A632,Ginecologia_dados!B:E,3,FALSE)</f>
        <v>LESTE DO SUL</v>
      </c>
      <c r="D632" s="4" t="str">
        <f>VLOOKUP(A632,Ginecologia_dados!B:C,2,FALSE)</f>
        <v>MANHUAÇU</v>
      </c>
      <c r="E632">
        <v>3733</v>
      </c>
    </row>
    <row r="633" spans="1:5" x14ac:dyDescent="0.3">
      <c r="A633" s="4">
        <v>315420</v>
      </c>
      <c r="B633" s="4" t="s">
        <v>701</v>
      </c>
      <c r="C633" s="4" t="str">
        <f>VLOOKUP(População!A633,Ginecologia_dados!B:E,3,FALSE)</f>
        <v>CENTRO SUL</v>
      </c>
      <c r="D633" s="4" t="str">
        <f>VLOOKUP(A633,Ginecologia_dados!B:C,2,FALSE)</f>
        <v>SÃO JOÃO DEL REI</v>
      </c>
      <c r="E633">
        <v>5805</v>
      </c>
    </row>
    <row r="634" spans="1:5" x14ac:dyDescent="0.3">
      <c r="A634" s="4">
        <v>315430</v>
      </c>
      <c r="B634" s="4" t="s">
        <v>29</v>
      </c>
      <c r="C634" s="4" t="str">
        <f>VLOOKUP(População!A634,Ginecologia_dados!B:E,3,FALSE)</f>
        <v>LESTE</v>
      </c>
      <c r="D634" s="4" t="str">
        <f>VLOOKUP(A634,Ginecologia_dados!B:C,2,FALSE)</f>
        <v>RESPLENDOR</v>
      </c>
      <c r="E634">
        <v>8932</v>
      </c>
    </row>
    <row r="635" spans="1:5" x14ac:dyDescent="0.3">
      <c r="A635" s="4">
        <v>315440</v>
      </c>
      <c r="B635" s="4" t="s">
        <v>702</v>
      </c>
      <c r="C635" s="4" t="str">
        <f>VLOOKUP(População!A635,Ginecologia_dados!B:E,3,FALSE)</f>
        <v>CENTRO SUL</v>
      </c>
      <c r="D635" s="4" t="str">
        <f>VLOOKUP(A635,Ginecologia_dados!B:C,2,FALSE)</f>
        <v>BARBACENA</v>
      </c>
      <c r="E635">
        <v>2320</v>
      </c>
    </row>
    <row r="636" spans="1:5" x14ac:dyDescent="0.3">
      <c r="A636" s="4">
        <v>315445</v>
      </c>
      <c r="B636" s="4" t="s">
        <v>703</v>
      </c>
      <c r="C636" s="4" t="str">
        <f>VLOOKUP(População!A636,Ginecologia_dados!B:E,3,FALSE)</f>
        <v>NOROESTE</v>
      </c>
      <c r="D636" s="4" t="str">
        <f>VLOOKUP(A636,Ginecologia_dados!B:C,2,FALSE)</f>
        <v>UNAÍ</v>
      </c>
      <c r="E636">
        <v>3525</v>
      </c>
    </row>
    <row r="637" spans="1:5" x14ac:dyDescent="0.3">
      <c r="A637" s="4">
        <v>315450</v>
      </c>
      <c r="B637" s="4" t="s">
        <v>704</v>
      </c>
      <c r="C637" s="4" t="str">
        <f>VLOOKUP(População!A637,Ginecologia_dados!B:E,3,FALSE)</f>
        <v>NORTE</v>
      </c>
      <c r="D637" s="4" t="str">
        <f>VLOOKUP(A637,Ginecologia_dados!B:C,2,FALSE)</f>
        <v>JANAÚBA/MONTE AZUL</v>
      </c>
      <c r="E637">
        <v>4493</v>
      </c>
    </row>
    <row r="638" spans="1:5" x14ac:dyDescent="0.3">
      <c r="A638" s="4">
        <v>315460</v>
      </c>
      <c r="B638" s="4" t="s">
        <v>705</v>
      </c>
      <c r="C638" s="4" t="str">
        <f>VLOOKUP(População!A638,Ginecologia_dados!B:E,3,FALSE)</f>
        <v>CENTRO</v>
      </c>
      <c r="D638" s="4" t="str">
        <f>VLOOKUP(A638,Ginecologia_dados!B:C,2,FALSE)</f>
        <v>BELO HORIZONTE/NOVA LIMA/CAETÉ</v>
      </c>
      <c r="E638">
        <v>166401</v>
      </c>
    </row>
    <row r="639" spans="1:5" x14ac:dyDescent="0.3">
      <c r="A639" s="4">
        <v>315470</v>
      </c>
      <c r="B639" s="4" t="s">
        <v>706</v>
      </c>
      <c r="C639" s="4" t="str">
        <f>VLOOKUP(População!A639,Ginecologia_dados!B:E,3,FALSE)</f>
        <v>SUL</v>
      </c>
      <c r="D639" s="4" t="str">
        <f>VLOOKUP(A639,Ginecologia_dados!B:C,2,FALSE)</f>
        <v>LAVRAS</v>
      </c>
      <c r="E639">
        <v>2083</v>
      </c>
    </row>
    <row r="640" spans="1:5" x14ac:dyDescent="0.3">
      <c r="A640" s="4">
        <v>315480</v>
      </c>
      <c r="B640" s="4" t="s">
        <v>707</v>
      </c>
      <c r="C640" s="4" t="str">
        <f>VLOOKUP(População!A640,Ginecologia_dados!B:E,3,FALSE)</f>
        <v>CENTRO</v>
      </c>
      <c r="D640" s="4" t="str">
        <f>VLOOKUP(A640,Ginecologia_dados!B:C,2,FALSE)</f>
        <v>BELO HORIZONTE/NOVA LIMA/CAETÉ</v>
      </c>
      <c r="E640">
        <v>5184</v>
      </c>
    </row>
    <row r="641" spans="1:5" x14ac:dyDescent="0.3">
      <c r="A641" s="4">
        <v>315490</v>
      </c>
      <c r="B641" s="4" t="s">
        <v>708</v>
      </c>
      <c r="C641" s="4" t="str">
        <f>VLOOKUP(População!A641,Ginecologia_dados!B:E,3,FALSE)</f>
        <v>LESTE DO SUL</v>
      </c>
      <c r="D641" s="4" t="str">
        <f>VLOOKUP(A641,Ginecologia_dados!B:C,2,FALSE)</f>
        <v>PONTE NOVA</v>
      </c>
      <c r="E641">
        <v>6964</v>
      </c>
    </row>
    <row r="642" spans="1:5" x14ac:dyDescent="0.3">
      <c r="A642" s="4">
        <v>315500</v>
      </c>
      <c r="B642" s="4" t="s">
        <v>709</v>
      </c>
      <c r="C642" s="4" t="str">
        <f>VLOOKUP(População!A642,Ginecologia_dados!B:E,3,FALSE)</f>
        <v>LESTE DO SUL</v>
      </c>
      <c r="D642" s="4" t="str">
        <f>VLOOKUP(A642,Ginecologia_dados!B:C,2,FALSE)</f>
        <v>PONTE NOVA</v>
      </c>
      <c r="E642">
        <v>1271</v>
      </c>
    </row>
    <row r="643" spans="1:5" x14ac:dyDescent="0.3">
      <c r="A643" s="4">
        <v>315510</v>
      </c>
      <c r="B643" s="4" t="s">
        <v>710</v>
      </c>
      <c r="C643" s="4" t="str">
        <f>VLOOKUP(População!A643,Ginecologia_dados!B:E,3,FALSE)</f>
        <v>NORDESTE</v>
      </c>
      <c r="D643" s="4" t="str">
        <f>VLOOKUP(A643,Ginecologia_dados!B:C,2,FALSE)</f>
        <v>ALMENARA/JACINTO</v>
      </c>
      <c r="E643">
        <v>2358</v>
      </c>
    </row>
    <row r="644" spans="1:5" x14ac:dyDescent="0.3">
      <c r="A644" s="4">
        <v>315520</v>
      </c>
      <c r="B644" s="4" t="s">
        <v>711</v>
      </c>
      <c r="C644" s="4" t="str">
        <f>VLOOKUP(População!A644,Ginecologia_dados!B:E,3,FALSE)</f>
        <v>CENTRO SUL</v>
      </c>
      <c r="D644" s="4" t="str">
        <f>VLOOKUP(A644,Ginecologia_dados!B:C,2,FALSE)</f>
        <v>CONSELHEIRO LAFAIETE</v>
      </c>
      <c r="E644">
        <v>2796</v>
      </c>
    </row>
    <row r="645" spans="1:5" x14ac:dyDescent="0.3">
      <c r="A645" s="4">
        <v>315530</v>
      </c>
      <c r="B645" s="4" t="s">
        <v>712</v>
      </c>
      <c r="C645" s="4" t="str">
        <f>VLOOKUP(População!A645,Ginecologia_dados!B:E,3,FALSE)</f>
        <v>CENTRO</v>
      </c>
      <c r="D645" s="4" t="str">
        <f>VLOOKUP(A645,Ginecologia_dados!B:C,2,FALSE)</f>
        <v>BETIM</v>
      </c>
      <c r="E645">
        <v>2734</v>
      </c>
    </row>
    <row r="646" spans="1:5" x14ac:dyDescent="0.3">
      <c r="A646" s="4">
        <v>315540</v>
      </c>
      <c r="B646" s="4" t="s">
        <v>713</v>
      </c>
      <c r="C646" s="4" t="str">
        <f>VLOOKUP(População!A646,Ginecologia_dados!B:E,3,FALSE)</f>
        <v>SUDESTE</v>
      </c>
      <c r="D646" s="4" t="str">
        <f>VLOOKUP(A646,Ginecologia_dados!B:C,2,FALSE)</f>
        <v>JUIZ DE FORA</v>
      </c>
      <c r="E646">
        <v>4398</v>
      </c>
    </row>
    <row r="647" spans="1:5" x14ac:dyDescent="0.3">
      <c r="A647" s="4">
        <v>315550</v>
      </c>
      <c r="B647" s="4" t="s">
        <v>714</v>
      </c>
      <c r="C647" s="4" t="str">
        <f>VLOOKUP(População!A647,Ginecologia_dados!B:E,3,FALSE)</f>
        <v>NOROESTE</v>
      </c>
      <c r="D647" s="4" t="str">
        <f>VLOOKUP(A647,Ginecologia_dados!B:C,2,FALSE)</f>
        <v>SÃO GOTARDO</v>
      </c>
      <c r="E647">
        <v>6875</v>
      </c>
    </row>
    <row r="648" spans="1:5" x14ac:dyDescent="0.3">
      <c r="A648" s="4">
        <v>315560</v>
      </c>
      <c r="B648" s="4" t="s">
        <v>715</v>
      </c>
      <c r="C648" s="4" t="str">
        <f>VLOOKUP(População!A648,Ginecologia_dados!B:E,3,FALSE)</f>
        <v>NORTE</v>
      </c>
      <c r="D648" s="4" t="str">
        <f>VLOOKUP(A648,Ginecologia_dados!B:C,2,FALSE)</f>
        <v>TAIOBEIRAS</v>
      </c>
      <c r="E648">
        <v>14399</v>
      </c>
    </row>
    <row r="649" spans="1:5" x14ac:dyDescent="0.3">
      <c r="A649" s="4">
        <v>315570</v>
      </c>
      <c r="B649" s="4" t="s">
        <v>716</v>
      </c>
      <c r="C649" s="4" t="str">
        <f>VLOOKUP(População!A649,Ginecologia_dados!B:E,3,FALSE)</f>
        <v>CENTRO</v>
      </c>
      <c r="D649" s="4" t="str">
        <f>VLOOKUP(A649,Ginecologia_dados!B:C,2,FALSE)</f>
        <v>JOÃO MONLEVADE</v>
      </c>
      <c r="E649">
        <v>7574</v>
      </c>
    </row>
    <row r="650" spans="1:5" x14ac:dyDescent="0.3">
      <c r="A650" s="4">
        <v>315580</v>
      </c>
      <c r="B650" s="4" t="s">
        <v>717</v>
      </c>
      <c r="C650" s="4" t="str">
        <f>VLOOKUP(População!A650,Ginecologia_dados!B:E,3,FALSE)</f>
        <v>SUDESTE</v>
      </c>
      <c r="D650" s="4" t="str">
        <f>VLOOKUP(A650,Ginecologia_dados!B:C,2,FALSE)</f>
        <v>UBÁ</v>
      </c>
      <c r="E650">
        <v>8974</v>
      </c>
    </row>
    <row r="651" spans="1:5" x14ac:dyDescent="0.3">
      <c r="A651" s="4">
        <v>315590</v>
      </c>
      <c r="B651" s="4" t="s">
        <v>718</v>
      </c>
      <c r="C651" s="4" t="str">
        <f>VLOOKUP(População!A651,Ginecologia_dados!B:E,3,FALSE)</f>
        <v>SUDESTE</v>
      </c>
      <c r="D651" s="4" t="str">
        <f>VLOOKUP(A651,Ginecologia_dados!B:C,2,FALSE)</f>
        <v>LIMA DUARTE</v>
      </c>
      <c r="E651">
        <v>2651</v>
      </c>
    </row>
    <row r="652" spans="1:5" x14ac:dyDescent="0.3">
      <c r="A652" s="4">
        <v>315600</v>
      </c>
      <c r="B652" s="4" t="s">
        <v>719</v>
      </c>
      <c r="C652" s="4" t="str">
        <f>VLOOKUP(População!A652,Ginecologia_dados!B:E,3,FALSE)</f>
        <v>CENTRO</v>
      </c>
      <c r="D652" s="4" t="str">
        <f>VLOOKUP(A652,Ginecologia_dados!B:C,2,FALSE)</f>
        <v>GUANHÃES</v>
      </c>
      <c r="E652">
        <v>6652</v>
      </c>
    </row>
    <row r="653" spans="1:5" x14ac:dyDescent="0.3">
      <c r="A653" s="4">
        <v>315610</v>
      </c>
      <c r="B653" s="4" t="s">
        <v>720</v>
      </c>
      <c r="C653" s="4" t="str">
        <f>VLOOKUP(População!A653,Ginecologia_dados!B:E,3,FALSE)</f>
        <v>CENTRO SUL</v>
      </c>
      <c r="D653" s="4" t="str">
        <f>VLOOKUP(A653,Ginecologia_dados!B:C,2,FALSE)</f>
        <v>SÃO JOÃO DEL REI</v>
      </c>
      <c r="E653">
        <v>2574</v>
      </c>
    </row>
    <row r="654" spans="1:5" x14ac:dyDescent="0.3">
      <c r="A654" s="4">
        <v>315620</v>
      </c>
      <c r="B654" s="4" t="s">
        <v>721</v>
      </c>
      <c r="C654" s="4" t="str">
        <f>VLOOKUP(População!A654,Ginecologia_dados!B:E,3,FALSE)</f>
        <v>SUDESTE</v>
      </c>
      <c r="D654" s="4" t="str">
        <f>VLOOKUP(A654,Ginecologia_dados!B:C,2,FALSE)</f>
        <v>SÃO JOÃO NEPOMUCENO/BICAS</v>
      </c>
      <c r="E654">
        <v>1113</v>
      </c>
    </row>
    <row r="655" spans="1:5" x14ac:dyDescent="0.3">
      <c r="A655" s="4">
        <v>315630</v>
      </c>
      <c r="B655" s="4" t="s">
        <v>722</v>
      </c>
      <c r="C655" s="4" t="str">
        <f>VLOOKUP(População!A655,Ginecologia_dados!B:E,3,FALSE)</f>
        <v>SUDESTE</v>
      </c>
      <c r="D655" s="4" t="str">
        <f>VLOOKUP(A655,Ginecologia_dados!B:C,2,FALSE)</f>
        <v>UBÁ</v>
      </c>
      <c r="E655">
        <v>4129</v>
      </c>
    </row>
    <row r="656" spans="1:5" x14ac:dyDescent="0.3">
      <c r="A656" s="4">
        <v>315640</v>
      </c>
      <c r="B656" s="4" t="s">
        <v>723</v>
      </c>
      <c r="C656" s="4" t="str">
        <f>VLOOKUP(População!A656,Ginecologia_dados!B:E,3,FALSE)</f>
        <v>TRIÂNGULO DO NORTE</v>
      </c>
      <c r="D656" s="4" t="str">
        <f>VLOOKUP(A656,Ginecologia_dados!B:C,2,FALSE)</f>
        <v>PATROCÍNIO/MONTE CARMELO</v>
      </c>
      <c r="E656">
        <v>1690</v>
      </c>
    </row>
    <row r="657" spans="1:5" x14ac:dyDescent="0.3">
      <c r="A657" s="4">
        <v>315645</v>
      </c>
      <c r="B657" s="4" t="s">
        <v>724</v>
      </c>
      <c r="C657" s="4" t="str">
        <f>VLOOKUP(População!A657,Ginecologia_dados!B:E,3,FALSE)</f>
        <v>SUDESTE</v>
      </c>
      <c r="D657" s="4" t="str">
        <f>VLOOKUP(A657,Ginecologia_dados!B:C,2,FALSE)</f>
        <v>MURIAÉ</v>
      </c>
      <c r="E657">
        <v>2299</v>
      </c>
    </row>
    <row r="658" spans="1:5" x14ac:dyDescent="0.3">
      <c r="A658" s="4">
        <v>315650</v>
      </c>
      <c r="B658" s="4" t="s">
        <v>725</v>
      </c>
      <c r="C658" s="4" t="str">
        <f>VLOOKUP(População!A658,Ginecologia_dados!B:E,3,FALSE)</f>
        <v>NORTE</v>
      </c>
      <c r="D658" s="4" t="str">
        <f>VLOOKUP(A658,Ginecologia_dados!B:C,2,FALSE)</f>
        <v>SALINAS</v>
      </c>
      <c r="E658">
        <v>3040</v>
      </c>
    </row>
    <row r="659" spans="1:5" x14ac:dyDescent="0.3">
      <c r="A659" s="4">
        <v>315660</v>
      </c>
      <c r="B659" s="4" t="s">
        <v>726</v>
      </c>
      <c r="C659" s="4" t="str">
        <f>VLOOKUP(População!A659,Ginecologia_dados!B:E,3,FALSE)</f>
        <v>NORDESTE</v>
      </c>
      <c r="D659" s="4" t="str">
        <f>VLOOKUP(A659,Ginecologia_dados!B:C,2,FALSE)</f>
        <v>ALMENARA/JACINTO</v>
      </c>
      <c r="E659">
        <v>5179</v>
      </c>
    </row>
    <row r="660" spans="1:5" x14ac:dyDescent="0.3">
      <c r="A660" s="4">
        <v>315670</v>
      </c>
      <c r="B660" s="4" t="s">
        <v>727</v>
      </c>
      <c r="C660" s="4" t="str">
        <f>VLOOKUP(População!A660,Ginecologia_dados!B:E,3,FALSE)</f>
        <v>CENTRO</v>
      </c>
      <c r="D660" s="4" t="str">
        <f>VLOOKUP(A660,Ginecologia_dados!B:C,2,FALSE)</f>
        <v>BELO HORIZONTE/NOVA LIMA/CAETÉ</v>
      </c>
      <c r="E660">
        <v>69253</v>
      </c>
    </row>
    <row r="661" spans="1:5" x14ac:dyDescent="0.3">
      <c r="A661" s="4">
        <v>315680</v>
      </c>
      <c r="B661" s="4" t="s">
        <v>728</v>
      </c>
      <c r="C661" s="4" t="str">
        <f>VLOOKUP(População!A661,Ginecologia_dados!B:E,3,FALSE)</f>
        <v>CENTRO</v>
      </c>
      <c r="D661" s="4" t="str">
        <f>VLOOKUP(A661,Ginecologia_dados!B:C,2,FALSE)</f>
        <v>GUANHÃES</v>
      </c>
      <c r="E661">
        <v>7607</v>
      </c>
    </row>
    <row r="662" spans="1:5" x14ac:dyDescent="0.3">
      <c r="A662" s="4">
        <v>315690</v>
      </c>
      <c r="B662" s="4" t="s">
        <v>729</v>
      </c>
      <c r="C662" s="4" t="str">
        <f>VLOOKUP(População!A662,Ginecologia_dados!B:E,3,FALSE)</f>
        <v>TRIÂNGULO DO SUL</v>
      </c>
      <c r="D662" s="4" t="str">
        <f>VLOOKUP(A662,Ginecologia_dados!B:C,2,FALSE)</f>
        <v>UBERABA</v>
      </c>
      <c r="E662">
        <v>13151</v>
      </c>
    </row>
    <row r="663" spans="1:5" x14ac:dyDescent="0.3">
      <c r="A663" s="4">
        <v>315700</v>
      </c>
      <c r="B663" s="4" t="s">
        <v>390</v>
      </c>
      <c r="C663" s="4" t="str">
        <f>VLOOKUP(População!A663,Ginecologia_dados!B:E,3,FALSE)</f>
        <v>NORTE</v>
      </c>
      <c r="D663" s="4" t="str">
        <f>VLOOKUP(A663,Ginecologia_dados!B:C,2,FALSE)</f>
        <v>SALINAS</v>
      </c>
      <c r="E663">
        <v>20964</v>
      </c>
    </row>
    <row r="664" spans="1:5" x14ac:dyDescent="0.3">
      <c r="A664" s="4">
        <v>315710</v>
      </c>
      <c r="B664" s="4" t="s">
        <v>730</v>
      </c>
      <c r="C664" s="4" t="str">
        <f>VLOOKUP(População!A664,Ginecologia_dados!B:E,3,FALSE)</f>
        <v>NORDESTE</v>
      </c>
      <c r="D664" s="4" t="str">
        <f>VLOOKUP(A664,Ginecologia_dados!B:C,2,FALSE)</f>
        <v>ALMENARA/JACINTO</v>
      </c>
      <c r="E664">
        <v>3240</v>
      </c>
    </row>
    <row r="665" spans="1:5" x14ac:dyDescent="0.3">
      <c r="A665" s="4">
        <v>315720</v>
      </c>
      <c r="B665" s="4" t="s">
        <v>731</v>
      </c>
      <c r="C665" s="4" t="str">
        <f>VLOOKUP(População!A665,Ginecologia_dados!B:E,3,FALSE)</f>
        <v>CENTRO</v>
      </c>
      <c r="D665" s="4" t="str">
        <f>VLOOKUP(A665,Ginecologia_dados!B:C,2,FALSE)</f>
        <v>ITABIRA</v>
      </c>
      <c r="E665">
        <v>15706</v>
      </c>
    </row>
    <row r="666" spans="1:5" x14ac:dyDescent="0.3">
      <c r="A666" s="4">
        <v>315725</v>
      </c>
      <c r="B666" s="4" t="s">
        <v>732</v>
      </c>
      <c r="C666" s="4" t="str">
        <f>VLOOKUP(População!A666,Ginecologia_dados!B:E,3,FALSE)</f>
        <v>VALE DO AÇO</v>
      </c>
      <c r="D666" s="4" t="str">
        <f>VLOOKUP(A666,Ginecologia_dados!B:C,2,FALSE)</f>
        <v>CARATINGA</v>
      </c>
      <c r="E666">
        <v>4115</v>
      </c>
    </row>
    <row r="667" spans="1:5" x14ac:dyDescent="0.3">
      <c r="A667" s="4">
        <v>315727</v>
      </c>
      <c r="B667" s="4" t="s">
        <v>733</v>
      </c>
      <c r="C667" s="4" t="str">
        <f>VLOOKUP(População!A667,Ginecologia_dados!B:E,3,FALSE)</f>
        <v>SUDESTE</v>
      </c>
      <c r="D667" s="4" t="str">
        <f>VLOOKUP(A667,Ginecologia_dados!B:C,2,FALSE)</f>
        <v>LIMA DUARTE</v>
      </c>
      <c r="E667">
        <v>1496</v>
      </c>
    </row>
    <row r="668" spans="1:5" x14ac:dyDescent="0.3">
      <c r="A668" s="4">
        <v>315730</v>
      </c>
      <c r="B668" s="4" t="s">
        <v>734</v>
      </c>
      <c r="C668" s="4" t="str">
        <f>VLOOKUP(População!A668,Ginecologia_dados!B:E,3,FALSE)</f>
        <v>CENTRO SUL</v>
      </c>
      <c r="D668" s="4" t="str">
        <f>VLOOKUP(A668,Ginecologia_dados!B:C,2,FALSE)</f>
        <v>BARBACENA</v>
      </c>
      <c r="E668">
        <v>2164</v>
      </c>
    </row>
    <row r="669" spans="1:5" x14ac:dyDescent="0.3">
      <c r="A669" s="4">
        <v>315733</v>
      </c>
      <c r="B669" s="4" t="s">
        <v>735</v>
      </c>
      <c r="C669" s="4" t="str">
        <f>VLOOKUP(População!A669,Ginecologia_dados!B:E,3,FALSE)</f>
        <v>CENTRO SUL</v>
      </c>
      <c r="D669" s="4" t="str">
        <f>VLOOKUP(A669,Ginecologia_dados!B:C,2,FALSE)</f>
        <v>SÃO JOÃO DEL REI</v>
      </c>
      <c r="E669">
        <v>4195</v>
      </c>
    </row>
    <row r="670" spans="1:5" x14ac:dyDescent="0.3">
      <c r="A670" s="4">
        <v>315737</v>
      </c>
      <c r="B670" s="4" t="s">
        <v>736</v>
      </c>
      <c r="C670" s="4" t="str">
        <f>VLOOKUP(População!A670,Ginecologia_dados!B:E,3,FALSE)</f>
        <v>NORTE</v>
      </c>
      <c r="D670" s="4" t="str">
        <f>VLOOKUP(A670,Ginecologia_dados!B:C,2,FALSE)</f>
        <v>SALINAS</v>
      </c>
      <c r="E670">
        <v>2032</v>
      </c>
    </row>
    <row r="671" spans="1:5" x14ac:dyDescent="0.3">
      <c r="A671" s="4">
        <v>315740</v>
      </c>
      <c r="B671" s="4" t="s">
        <v>737</v>
      </c>
      <c r="C671" s="4" t="str">
        <f>VLOOKUP(População!A671,Ginecologia_dados!B:E,3,FALSE)</f>
        <v>LESTE DO SUL</v>
      </c>
      <c r="D671" s="4" t="str">
        <f>VLOOKUP(A671,Ginecologia_dados!B:C,2,FALSE)</f>
        <v>PONTE NOVA</v>
      </c>
      <c r="E671">
        <v>2402</v>
      </c>
    </row>
    <row r="672" spans="1:5" x14ac:dyDescent="0.3">
      <c r="A672" s="4">
        <v>315750</v>
      </c>
      <c r="B672" s="4" t="s">
        <v>738</v>
      </c>
      <c r="C672" s="4" t="str">
        <f>VLOOKUP(População!A672,Ginecologia_dados!B:E,3,FALSE)</f>
        <v>LESTE</v>
      </c>
      <c r="D672" s="4" t="str">
        <f>VLOOKUP(A672,Ginecologia_dados!B:C,2,FALSE)</f>
        <v>GOVERNADOR VALADARES</v>
      </c>
      <c r="E672">
        <v>2166</v>
      </c>
    </row>
    <row r="673" spans="1:5" x14ac:dyDescent="0.3">
      <c r="A673" s="4">
        <v>315760</v>
      </c>
      <c r="B673" s="4" t="s">
        <v>739</v>
      </c>
      <c r="C673" s="4" t="str">
        <f>VLOOKUP(População!A673,Ginecologia_dados!B:E,3,FALSE)</f>
        <v>NORTE</v>
      </c>
      <c r="D673" s="4" t="str">
        <f>VLOOKUP(A673,Ginecologia_dados!B:C,2,FALSE)</f>
        <v>PIRAPORA</v>
      </c>
      <c r="E673">
        <v>1762</v>
      </c>
    </row>
    <row r="674" spans="1:5" x14ac:dyDescent="0.3">
      <c r="A674" s="4">
        <v>315765</v>
      </c>
      <c r="B674" s="4" t="s">
        <v>740</v>
      </c>
      <c r="C674" s="4" t="str">
        <f>VLOOKUP(População!A674,Ginecologia_dados!B:E,3,FALSE)</f>
        <v>NORDESTE</v>
      </c>
      <c r="D674" s="4" t="str">
        <f>VLOOKUP(A674,Ginecologia_dados!B:C,2,FALSE)</f>
        <v>ÁGUAS FORMOSAS</v>
      </c>
      <c r="E674">
        <v>3087</v>
      </c>
    </row>
    <row r="675" spans="1:5" x14ac:dyDescent="0.3">
      <c r="A675" s="4">
        <v>315770</v>
      </c>
      <c r="B675" s="4" t="s">
        <v>741</v>
      </c>
      <c r="C675" s="4" t="str">
        <f>VLOOKUP(População!A675,Ginecologia_dados!B:E,3,FALSE)</f>
        <v>TRIÂNGULO DO SUL</v>
      </c>
      <c r="D675" s="4" t="str">
        <f>VLOOKUP(A675,Ginecologia_dados!B:C,2,FALSE)</f>
        <v>ARAXÁ</v>
      </c>
      <c r="E675">
        <v>7030</v>
      </c>
    </row>
    <row r="676" spans="1:5" x14ac:dyDescent="0.3">
      <c r="A676" s="4">
        <v>315780</v>
      </c>
      <c r="B676" s="4" t="s">
        <v>742</v>
      </c>
      <c r="C676" s="4" t="str">
        <f>VLOOKUP(População!A676,Ginecologia_dados!B:E,3,FALSE)</f>
        <v>CENTRO</v>
      </c>
      <c r="D676" s="4" t="str">
        <f>VLOOKUP(A676,Ginecologia_dados!B:C,2,FALSE)</f>
        <v>BELO HORIZONTE/NOVA LIMA/CAETÉ</v>
      </c>
      <c r="E676">
        <v>115400</v>
      </c>
    </row>
    <row r="677" spans="1:5" x14ac:dyDescent="0.3">
      <c r="A677" s="4">
        <v>315790</v>
      </c>
      <c r="B677" s="4" t="s">
        <v>743</v>
      </c>
      <c r="C677" s="4" t="str">
        <f>VLOOKUP(População!A677,Ginecologia_dados!B:E,3,FALSE)</f>
        <v>LESTE DO SUL</v>
      </c>
      <c r="D677" s="4" t="str">
        <f>VLOOKUP(A677,Ginecologia_dados!B:C,2,FALSE)</f>
        <v>MANHUAÇU</v>
      </c>
      <c r="E677">
        <v>8029</v>
      </c>
    </row>
    <row r="678" spans="1:5" x14ac:dyDescent="0.3">
      <c r="A678" s="4">
        <v>315800</v>
      </c>
      <c r="B678" s="4" t="s">
        <v>744</v>
      </c>
      <c r="C678" s="4" t="str">
        <f>VLOOKUP(População!A678,Ginecologia_dados!B:E,3,FALSE)</f>
        <v>CENTRO</v>
      </c>
      <c r="D678" s="4" t="str">
        <f>VLOOKUP(A678,Ginecologia_dados!B:C,2,FALSE)</f>
        <v>ITABIRA</v>
      </c>
      <c r="E678">
        <v>5435</v>
      </c>
    </row>
    <row r="679" spans="1:5" x14ac:dyDescent="0.3">
      <c r="A679" s="4">
        <v>315810</v>
      </c>
      <c r="B679" s="4" t="s">
        <v>745</v>
      </c>
      <c r="C679" s="4" t="str">
        <f>VLOOKUP(População!A679,Ginecologia_dados!B:E,3,FALSE)</f>
        <v>NORDESTE</v>
      </c>
      <c r="D679" s="4" t="str">
        <f>VLOOKUP(A679,Ginecologia_dados!B:C,2,FALSE)</f>
        <v>ALMENARA/JACINTO</v>
      </c>
      <c r="E679">
        <v>2463</v>
      </c>
    </row>
    <row r="680" spans="1:5" x14ac:dyDescent="0.3">
      <c r="A680" s="4">
        <v>315820</v>
      </c>
      <c r="B680" s="4" t="s">
        <v>746</v>
      </c>
      <c r="C680" s="4" t="str">
        <f>VLOOKUP(População!A680,Ginecologia_dados!B:E,3,FALSE)</f>
        <v>LESTE</v>
      </c>
      <c r="D680" s="4" t="str">
        <f>VLOOKUP(A680,Ginecologia_dados!B:C,2,FALSE)</f>
        <v>SANTA MARIA DO SUAÇUÍ</v>
      </c>
      <c r="E680">
        <v>6783</v>
      </c>
    </row>
    <row r="681" spans="1:5" x14ac:dyDescent="0.3">
      <c r="A681" s="4">
        <v>315830</v>
      </c>
      <c r="B681" s="4" t="s">
        <v>747</v>
      </c>
      <c r="C681" s="4" t="str">
        <f>VLOOKUP(População!A681,Ginecologia_dados!B:E,3,FALSE)</f>
        <v>SUL</v>
      </c>
      <c r="D681" s="4" t="str">
        <f>VLOOKUP(A681,Ginecologia_dados!B:C,2,FALSE)</f>
        <v>TRÊS PONTAS</v>
      </c>
      <c r="E681">
        <v>3483</v>
      </c>
    </row>
    <row r="682" spans="1:5" x14ac:dyDescent="0.3">
      <c r="A682" s="4">
        <v>315840</v>
      </c>
      <c r="B682" s="4" t="s">
        <v>748</v>
      </c>
      <c r="C682" s="4" t="str">
        <f>VLOOKUP(População!A682,Ginecologia_dados!B:E,3,FALSE)</f>
        <v>SUDESTE</v>
      </c>
      <c r="D682" s="4" t="str">
        <f>VLOOKUP(A682,Ginecologia_dados!B:C,2,FALSE)</f>
        <v>LEOPOLDINA/CATAGUASES</v>
      </c>
      <c r="E682">
        <v>1790</v>
      </c>
    </row>
    <row r="683" spans="1:5" x14ac:dyDescent="0.3">
      <c r="A683" s="4">
        <v>315850</v>
      </c>
      <c r="B683" s="4" t="s">
        <v>749</v>
      </c>
      <c r="C683" s="4" t="str">
        <f>VLOOKUP(População!A683,Ginecologia_dados!B:E,3,FALSE)</f>
        <v>CENTRO</v>
      </c>
      <c r="D683" s="4" t="str">
        <f>VLOOKUP(A683,Ginecologia_dados!B:C,2,FALSE)</f>
        <v>SETE LAGOAS</v>
      </c>
      <c r="E683">
        <v>3605</v>
      </c>
    </row>
    <row r="684" spans="1:5" x14ac:dyDescent="0.3">
      <c r="A684" s="4">
        <v>315860</v>
      </c>
      <c r="B684" s="4" t="s">
        <v>750</v>
      </c>
      <c r="C684" s="4" t="str">
        <f>VLOOKUP(População!A684,Ginecologia_dados!B:E,3,FALSE)</f>
        <v>SUDESTE</v>
      </c>
      <c r="D684" s="4" t="str">
        <f>VLOOKUP(A684,Ginecologia_dados!B:C,2,FALSE)</f>
        <v>JUIZ DE FORA</v>
      </c>
      <c r="E684">
        <v>1933</v>
      </c>
    </row>
    <row r="685" spans="1:5" x14ac:dyDescent="0.3">
      <c r="A685" s="4">
        <v>315870</v>
      </c>
      <c r="B685" s="4" t="s">
        <v>751</v>
      </c>
      <c r="C685" s="4" t="str">
        <f>VLOOKUP(População!A685,Ginecologia_dados!B:E,3,FALSE)</f>
        <v>CENTRO SUL</v>
      </c>
      <c r="D685" s="4" t="str">
        <f>VLOOKUP(A685,Ginecologia_dados!B:C,2,FALSE)</f>
        <v>BARBACENA</v>
      </c>
      <c r="E685">
        <v>1076</v>
      </c>
    </row>
    <row r="686" spans="1:5" x14ac:dyDescent="0.3">
      <c r="A686" s="4">
        <v>315880</v>
      </c>
      <c r="B686" s="4" t="s">
        <v>752</v>
      </c>
      <c r="C686" s="4" t="str">
        <f>VLOOKUP(População!A686,Ginecologia_dados!B:E,3,FALSE)</f>
        <v>OESTE</v>
      </c>
      <c r="D686" s="4" t="str">
        <f>VLOOKUP(A686,Ginecologia_dados!B:C,2,FALSE)</f>
        <v>CAMPO BELO</v>
      </c>
      <c r="E686">
        <v>2170</v>
      </c>
    </row>
    <row r="687" spans="1:5" x14ac:dyDescent="0.3">
      <c r="A687" s="4">
        <v>315890</v>
      </c>
      <c r="B687" s="4" t="s">
        <v>753</v>
      </c>
      <c r="C687" s="4" t="str">
        <f>VLOOKUP(População!A687,Ginecologia_dados!B:E,3,FALSE)</f>
        <v>LESTE DO SUL</v>
      </c>
      <c r="D687" s="4" t="str">
        <f>VLOOKUP(A687,Ginecologia_dados!B:C,2,FALSE)</f>
        <v>MANHUAÇU</v>
      </c>
      <c r="E687">
        <v>4391</v>
      </c>
    </row>
    <row r="688" spans="1:5" x14ac:dyDescent="0.3">
      <c r="A688" s="4">
        <v>315895</v>
      </c>
      <c r="B688" s="4" t="s">
        <v>754</v>
      </c>
      <c r="C688" s="4" t="str">
        <f>VLOOKUP(População!A688,Ginecologia_dados!B:E,3,FALSE)</f>
        <v>VALE DO AÇO</v>
      </c>
      <c r="D688" s="4" t="str">
        <f>VLOOKUP(A688,Ginecologia_dados!B:C,2,FALSE)</f>
        <v>IPATINGA</v>
      </c>
      <c r="E688">
        <v>20354</v>
      </c>
    </row>
    <row r="689" spans="1:5" x14ac:dyDescent="0.3">
      <c r="A689" s="4">
        <v>315900</v>
      </c>
      <c r="B689" s="4" t="s">
        <v>755</v>
      </c>
      <c r="C689" s="4" t="str">
        <f>VLOOKUP(População!A689,Ginecologia_dados!B:E,3,FALSE)</f>
        <v>CENTRO</v>
      </c>
      <c r="D689" s="4" t="str">
        <f>VLOOKUP(A689,Ginecologia_dados!B:C,2,FALSE)</f>
        <v>VESPASIANO</v>
      </c>
      <c r="E689">
        <v>2484</v>
      </c>
    </row>
    <row r="690" spans="1:5" x14ac:dyDescent="0.3">
      <c r="A690" s="4">
        <v>315910</v>
      </c>
      <c r="B690" s="4" t="s">
        <v>756</v>
      </c>
      <c r="C690" s="4" t="str">
        <f>VLOOKUP(População!A690,Ginecologia_dados!B:E,3,FALSE)</f>
        <v>CENTRO SUL</v>
      </c>
      <c r="D690" s="4" t="str">
        <f>VLOOKUP(A690,Ginecologia_dados!B:C,2,FALSE)</f>
        <v>CONSELHEIRO LAFAIETE</v>
      </c>
      <c r="E690">
        <v>1766</v>
      </c>
    </row>
    <row r="691" spans="1:5" x14ac:dyDescent="0.3">
      <c r="A691" s="4">
        <v>315920</v>
      </c>
      <c r="B691" s="4" t="s">
        <v>757</v>
      </c>
      <c r="C691" s="4" t="str">
        <f>VLOOKUP(População!A691,Ginecologia_dados!B:E,3,FALSE)</f>
        <v>SUL</v>
      </c>
      <c r="D691" s="4" t="str">
        <f>VLOOKUP(A691,Ginecologia_dados!B:C,2,FALSE)</f>
        <v>POÇOS DE CALDAS</v>
      </c>
      <c r="E691">
        <v>4313</v>
      </c>
    </row>
    <row r="692" spans="1:5" x14ac:dyDescent="0.3">
      <c r="A692" s="4">
        <v>315930</v>
      </c>
      <c r="B692" s="4" t="s">
        <v>758</v>
      </c>
      <c r="C692" s="4" t="str">
        <f>VLOOKUP(População!A692,Ginecologia_dados!B:E,3,FALSE)</f>
        <v>SUDESTE</v>
      </c>
      <c r="D692" s="4" t="str">
        <f>VLOOKUP(A692,Ginecologia_dados!B:C,2,FALSE)</f>
        <v>LIMA DUARTE</v>
      </c>
      <c r="E692">
        <v>2437</v>
      </c>
    </row>
    <row r="693" spans="1:5" x14ac:dyDescent="0.3">
      <c r="A693" s="4">
        <v>315935</v>
      </c>
      <c r="B693" s="4" t="s">
        <v>759</v>
      </c>
      <c r="C693" s="4" t="str">
        <f>VLOOKUP(População!A693,Ginecologia_dados!B:E,3,FALSE)</f>
        <v>VALE DO AÇO</v>
      </c>
      <c r="D693" s="4" t="str">
        <f>VLOOKUP(A693,Ginecologia_dados!B:C,2,FALSE)</f>
        <v>CARATINGA</v>
      </c>
      <c r="E693">
        <v>3388</v>
      </c>
    </row>
    <row r="694" spans="1:5" x14ac:dyDescent="0.3">
      <c r="A694" s="4">
        <v>315940</v>
      </c>
      <c r="B694" s="4" t="s">
        <v>760</v>
      </c>
      <c r="C694" s="4" t="str">
        <f>VLOOKUP(População!A694,Ginecologia_dados!B:E,3,FALSE)</f>
        <v>CENTRO SUL</v>
      </c>
      <c r="D694" s="4" t="str">
        <f>VLOOKUP(A694,Ginecologia_dados!B:C,2,FALSE)</f>
        <v>BARBACENA</v>
      </c>
      <c r="E694">
        <v>1639</v>
      </c>
    </row>
    <row r="695" spans="1:5" x14ac:dyDescent="0.3">
      <c r="A695" s="4">
        <v>315950</v>
      </c>
      <c r="B695" s="4" t="s">
        <v>761</v>
      </c>
      <c r="C695" s="4" t="str">
        <f>VLOOKUP(População!A695,Ginecologia_dados!B:E,3,FALSE)</f>
        <v>LESTE</v>
      </c>
      <c r="D695" s="4" t="str">
        <f>VLOOKUP(A695,Ginecologia_dados!B:C,2,FALSE)</f>
        <v>RESPLENDOR</v>
      </c>
      <c r="E695">
        <v>2917</v>
      </c>
    </row>
    <row r="696" spans="1:5" x14ac:dyDescent="0.3">
      <c r="A696" s="4">
        <v>315960</v>
      </c>
      <c r="B696" s="4" t="s">
        <v>762</v>
      </c>
      <c r="C696" s="4" t="str">
        <f>VLOOKUP(População!A696,Ginecologia_dados!B:E,3,FALSE)</f>
        <v>SUL</v>
      </c>
      <c r="D696" s="4" t="str">
        <f>VLOOKUP(A696,Ginecologia_dados!B:C,2,FALSE)</f>
        <v>POUSO ALEGRE</v>
      </c>
      <c r="E696">
        <v>20616</v>
      </c>
    </row>
    <row r="697" spans="1:5" x14ac:dyDescent="0.3">
      <c r="A697" s="4">
        <v>315970</v>
      </c>
      <c r="B697" s="4" t="s">
        <v>763</v>
      </c>
      <c r="C697" s="4" t="str">
        <f>VLOOKUP(População!A697,Ginecologia_dados!B:E,3,FALSE)</f>
        <v>NOROESTE</v>
      </c>
      <c r="D697" s="4" t="str">
        <f>VLOOKUP(A697,Ginecologia_dados!B:C,2,FALSE)</f>
        <v>SÃO GOTARDO</v>
      </c>
      <c r="E697">
        <v>1625</v>
      </c>
    </row>
    <row r="698" spans="1:5" x14ac:dyDescent="0.3">
      <c r="A698" s="4">
        <v>315980</v>
      </c>
      <c r="B698" s="4" t="s">
        <v>764</v>
      </c>
      <c r="C698" s="4" t="str">
        <f>VLOOKUP(População!A698,Ginecologia_dados!B:E,3,FALSE)</f>
        <v>TRIÂNGULO DO NORTE</v>
      </c>
      <c r="D698" s="4" t="str">
        <f>VLOOKUP(A698,Ginecologia_dados!B:C,2,FALSE)</f>
        <v>ITUIUTABA</v>
      </c>
      <c r="E698">
        <v>10152</v>
      </c>
    </row>
    <row r="699" spans="1:5" x14ac:dyDescent="0.3">
      <c r="A699" s="4">
        <v>315990</v>
      </c>
      <c r="B699" s="4" t="s">
        <v>765</v>
      </c>
      <c r="C699" s="4" t="str">
        <f>VLOOKUP(População!A699,Ginecologia_dados!B:E,3,FALSE)</f>
        <v>OESTE</v>
      </c>
      <c r="D699" s="4" t="str">
        <f>VLOOKUP(A699,Ginecologia_dados!B:C,2,FALSE)</f>
        <v>OLIVEIRA/SANTO ANTÔNIO DO AMPARO</v>
      </c>
      <c r="E699">
        <v>8889</v>
      </c>
    </row>
    <row r="700" spans="1:5" x14ac:dyDescent="0.3">
      <c r="A700" s="4">
        <v>316000</v>
      </c>
      <c r="B700" s="4" t="s">
        <v>766</v>
      </c>
      <c r="C700" s="4" t="str">
        <f>VLOOKUP(População!A700,Ginecologia_dados!B:E,3,FALSE)</f>
        <v>SUDESTE</v>
      </c>
      <c r="D700" s="4" t="str">
        <f>VLOOKUP(A700,Ginecologia_dados!B:C,2,FALSE)</f>
        <v>ALÉM PARAÍBA</v>
      </c>
      <c r="E700">
        <v>1883</v>
      </c>
    </row>
    <row r="701" spans="1:5" x14ac:dyDescent="0.3">
      <c r="A701" s="4">
        <v>316010</v>
      </c>
      <c r="B701" s="4" t="s">
        <v>767</v>
      </c>
      <c r="C701" s="4" t="str">
        <f>VLOOKUP(População!A701,Ginecologia_dados!B:E,3,FALSE)</f>
        <v>LESTE DO SUL</v>
      </c>
      <c r="D701" s="4" t="str">
        <f>VLOOKUP(A701,Ginecologia_dados!B:C,2,FALSE)</f>
        <v>PONTE NOVA</v>
      </c>
      <c r="E701">
        <v>2129</v>
      </c>
    </row>
    <row r="702" spans="1:5" x14ac:dyDescent="0.3">
      <c r="A702" s="4">
        <v>316020</v>
      </c>
      <c r="B702" s="4" t="s">
        <v>768</v>
      </c>
      <c r="C702" s="4" t="str">
        <f>VLOOKUP(População!A702,Ginecologia_dados!B:E,3,FALSE)</f>
        <v>JEQUITINHONHA</v>
      </c>
      <c r="D702" s="4" t="str">
        <f>VLOOKUP(A702,Ginecologia_dados!B:C,2,FALSE)</f>
        <v>SERRO</v>
      </c>
      <c r="E702">
        <v>2046</v>
      </c>
    </row>
    <row r="703" spans="1:5" x14ac:dyDescent="0.3">
      <c r="A703" s="4">
        <v>316030</v>
      </c>
      <c r="B703" s="4" t="s">
        <v>769</v>
      </c>
      <c r="C703" s="4" t="str">
        <f>VLOOKUP(População!A703,Ginecologia_dados!B:E,3,FALSE)</f>
        <v>NORDESTE</v>
      </c>
      <c r="D703" s="4" t="str">
        <f>VLOOKUP(A703,Ginecologia_dados!B:C,2,FALSE)</f>
        <v>ALMENARA/JACINTO</v>
      </c>
      <c r="E703">
        <v>5427</v>
      </c>
    </row>
    <row r="704" spans="1:5" x14ac:dyDescent="0.3">
      <c r="A704" s="4">
        <v>316040</v>
      </c>
      <c r="B704" s="4" t="s">
        <v>770</v>
      </c>
      <c r="C704" s="4" t="str">
        <f>VLOOKUP(População!A704,Ginecologia_dados!B:E,3,FALSE)</f>
        <v>OESTE</v>
      </c>
      <c r="D704" s="4" t="str">
        <f>VLOOKUP(A704,Ginecologia_dados!B:C,2,FALSE)</f>
        <v>LAGOA DA PRATA/STO ANT. DO MONTE</v>
      </c>
      <c r="E704">
        <v>13889</v>
      </c>
    </row>
    <row r="705" spans="1:5" x14ac:dyDescent="0.3">
      <c r="A705" s="4">
        <v>316045</v>
      </c>
      <c r="B705" s="4" t="s">
        <v>771</v>
      </c>
      <c r="C705" s="4" t="str">
        <f>VLOOKUP(População!A705,Ginecologia_dados!B:E,3,FALSE)</f>
        <v>NORTE</v>
      </c>
      <c r="D705" s="4" t="str">
        <f>VLOOKUP(A705,Ginecologia_dados!B:C,2,FALSE)</f>
        <v>TAIOBEIRAS</v>
      </c>
      <c r="E705">
        <v>3408</v>
      </c>
    </row>
    <row r="706" spans="1:5" x14ac:dyDescent="0.3">
      <c r="A706" s="4">
        <v>316050</v>
      </c>
      <c r="B706" s="4" t="s">
        <v>772</v>
      </c>
      <c r="C706" s="4" t="str">
        <f>VLOOKUP(População!A706,Ginecologia_dados!B:E,3,FALSE)</f>
        <v>CENTRO</v>
      </c>
      <c r="D706" s="4" t="str">
        <f>VLOOKUP(A706,Ginecologia_dados!B:C,2,FALSE)</f>
        <v>ITABIRA</v>
      </c>
      <c r="E706">
        <v>928</v>
      </c>
    </row>
    <row r="707" spans="1:5" x14ac:dyDescent="0.3">
      <c r="A707" s="4">
        <v>316060</v>
      </c>
      <c r="B707" s="4" t="s">
        <v>773</v>
      </c>
      <c r="C707" s="4" t="str">
        <f>VLOOKUP(População!A707,Ginecologia_dados!B:E,3,FALSE)</f>
        <v>CENTRO</v>
      </c>
      <c r="D707" s="4" t="str">
        <f>VLOOKUP(A707,Ginecologia_dados!B:C,2,FALSE)</f>
        <v>CURVELO</v>
      </c>
      <c r="E707">
        <v>1454</v>
      </c>
    </row>
    <row r="708" spans="1:5" x14ac:dyDescent="0.3">
      <c r="A708" s="4">
        <v>316070</v>
      </c>
      <c r="B708" s="4" t="s">
        <v>72</v>
      </c>
      <c r="C708" s="4" t="str">
        <f>VLOOKUP(População!A708,Ginecologia_dados!B:E,3,FALSE)</f>
        <v>SUDESTE</v>
      </c>
      <c r="D708" s="4" t="str">
        <f>VLOOKUP(A708,Ginecologia_dados!B:C,2,FALSE)</f>
        <v>SANTOS DUMONT</v>
      </c>
      <c r="E708">
        <v>23176</v>
      </c>
    </row>
    <row r="709" spans="1:5" x14ac:dyDescent="0.3">
      <c r="A709" s="4">
        <v>316080</v>
      </c>
      <c r="B709" s="4" t="s">
        <v>774</v>
      </c>
      <c r="C709" s="4" t="str">
        <f>VLOOKUP(População!A709,Ginecologia_dados!B:E,3,FALSE)</f>
        <v>SUL</v>
      </c>
      <c r="D709" s="4" t="str">
        <f>VLOOKUP(A709,Ginecologia_dados!B:C,2,FALSE)</f>
        <v>TRÊS CORAÇÕES</v>
      </c>
      <c r="E709">
        <v>2308</v>
      </c>
    </row>
    <row r="710" spans="1:5" x14ac:dyDescent="0.3">
      <c r="A710" s="4">
        <v>316090</v>
      </c>
      <c r="B710" s="4" t="s">
        <v>775</v>
      </c>
      <c r="C710" s="4" t="str">
        <f>VLOOKUP(População!A710,Ginecologia_dados!B:E,3,FALSE)</f>
        <v>CENTRO SUL</v>
      </c>
      <c r="D710" s="4" t="str">
        <f>VLOOKUP(A710,Ginecologia_dados!B:C,2,FALSE)</f>
        <v>CONGONHAS</v>
      </c>
      <c r="E710">
        <v>2008</v>
      </c>
    </row>
    <row r="711" spans="1:5" x14ac:dyDescent="0.3">
      <c r="A711" s="4">
        <v>316095</v>
      </c>
      <c r="B711" s="4" t="s">
        <v>776</v>
      </c>
      <c r="C711" s="4" t="str">
        <f>VLOOKUP(População!A711,Ginecologia_dados!B:E,3,FALSE)</f>
        <v>VALE DO AÇO</v>
      </c>
      <c r="D711" s="4" t="str">
        <f>VLOOKUP(A711,Ginecologia_dados!B:C,2,FALSE)</f>
        <v>CARATINGA</v>
      </c>
      <c r="E711">
        <v>2816</v>
      </c>
    </row>
    <row r="712" spans="1:5" x14ac:dyDescent="0.3">
      <c r="A712" s="4">
        <v>316100</v>
      </c>
      <c r="B712" s="4" t="s">
        <v>777</v>
      </c>
      <c r="C712" s="4" t="str">
        <f>VLOOKUP(População!A712,Ginecologia_dados!B:E,3,FALSE)</f>
        <v>SUDESTE</v>
      </c>
      <c r="D712" s="4" t="str">
        <f>VLOOKUP(A712,Ginecologia_dados!B:C,2,FALSE)</f>
        <v>LIMA DUARTE</v>
      </c>
      <c r="E712">
        <v>9086</v>
      </c>
    </row>
    <row r="713" spans="1:5" x14ac:dyDescent="0.3">
      <c r="A713" s="4">
        <v>316105</v>
      </c>
      <c r="B713" s="4" t="s">
        <v>778</v>
      </c>
      <c r="C713" s="4" t="str">
        <f>VLOOKUP(População!A713,Ginecologia_dados!B:E,3,FALSE)</f>
        <v>LESTE</v>
      </c>
      <c r="D713" s="4" t="str">
        <f>VLOOKUP(A713,Ginecologia_dados!B:C,2,FALSE)</f>
        <v>MANTENA</v>
      </c>
      <c r="E713">
        <v>1630</v>
      </c>
    </row>
    <row r="714" spans="1:5" x14ac:dyDescent="0.3">
      <c r="A714" s="4">
        <v>316110</v>
      </c>
      <c r="B714" s="4" t="s">
        <v>779</v>
      </c>
      <c r="C714" s="4" t="str">
        <f>VLOOKUP(População!A714,Ginecologia_dados!B:E,3,FALSE)</f>
        <v>NORTE</v>
      </c>
      <c r="D714" s="4" t="str">
        <f>VLOOKUP(A714,Ginecologia_dados!B:C,2,FALSE)</f>
        <v>BRASÍLIA DE MINAS/SÃO FRANCISCO</v>
      </c>
      <c r="E714">
        <v>27020</v>
      </c>
    </row>
    <row r="715" spans="1:5" x14ac:dyDescent="0.3">
      <c r="A715" s="4">
        <v>316120</v>
      </c>
      <c r="B715" s="4" t="s">
        <v>780</v>
      </c>
      <c r="C715" s="4" t="str">
        <f>VLOOKUP(População!A715,Ginecologia_dados!B:E,3,FALSE)</f>
        <v>OESTE</v>
      </c>
      <c r="D715" s="4" t="str">
        <f>VLOOKUP(A715,Ginecologia_dados!B:C,2,FALSE)</f>
        <v>OLIVEIRA/SANTO ANTÔNIO DO AMPARO</v>
      </c>
      <c r="E715">
        <v>3168</v>
      </c>
    </row>
    <row r="716" spans="1:5" x14ac:dyDescent="0.3">
      <c r="A716" s="4">
        <v>316130</v>
      </c>
      <c r="B716" s="4" t="s">
        <v>781</v>
      </c>
      <c r="C716" s="4" t="str">
        <f>VLOOKUP(População!A716,Ginecologia_dados!B:E,3,FALSE)</f>
        <v>TRIÂNGULO DO SUL</v>
      </c>
      <c r="D716" s="4" t="str">
        <f>VLOOKUP(A716,Ginecologia_dados!B:C,2,FALSE)</f>
        <v>FRUTAL/ITURAMA</v>
      </c>
      <c r="E716">
        <v>2852</v>
      </c>
    </row>
    <row r="717" spans="1:5" x14ac:dyDescent="0.3">
      <c r="A717" s="4">
        <v>316140</v>
      </c>
      <c r="B717" s="4" t="s">
        <v>782</v>
      </c>
      <c r="C717" s="4" t="str">
        <f>VLOOKUP(População!A717,Ginecologia_dados!B:E,3,FALSE)</f>
        <v>SUDESTE</v>
      </c>
      <c r="D717" s="4" t="str">
        <f>VLOOKUP(A717,Ginecologia_dados!B:C,2,FALSE)</f>
        <v>MURIAÉ</v>
      </c>
      <c r="E717">
        <v>2424</v>
      </c>
    </row>
    <row r="718" spans="1:5" x14ac:dyDescent="0.3">
      <c r="A718" s="4">
        <v>316150</v>
      </c>
      <c r="B718" s="4" t="s">
        <v>783</v>
      </c>
      <c r="C718" s="4" t="str">
        <f>VLOOKUP(População!A718,Ginecologia_dados!B:E,3,FALSE)</f>
        <v>SUDESTE</v>
      </c>
      <c r="D718" s="4" t="str">
        <f>VLOOKUP(A718,Ginecologia_dados!B:C,2,FALSE)</f>
        <v>UBÁ</v>
      </c>
      <c r="E718">
        <v>5223</v>
      </c>
    </row>
    <row r="719" spans="1:5" x14ac:dyDescent="0.3">
      <c r="A719" s="4">
        <v>316160</v>
      </c>
      <c r="B719" s="4" t="s">
        <v>784</v>
      </c>
      <c r="C719" s="4" t="str">
        <f>VLOOKUP(População!A719,Ginecologia_dados!B:E,3,FALSE)</f>
        <v>LESTE</v>
      </c>
      <c r="D719" s="4" t="str">
        <f>VLOOKUP(A719,Ginecologia_dados!B:C,2,FALSE)</f>
        <v>GOVERNADOR VALADARES</v>
      </c>
      <c r="E719">
        <v>1885</v>
      </c>
    </row>
    <row r="720" spans="1:5" x14ac:dyDescent="0.3">
      <c r="A720" s="4">
        <v>316165</v>
      </c>
      <c r="B720" s="4" t="s">
        <v>785</v>
      </c>
      <c r="C720" s="4" t="str">
        <f>VLOOKUP(População!A720,Ginecologia_dados!B:E,3,FALSE)</f>
        <v>LESTE</v>
      </c>
      <c r="D720" s="4" t="str">
        <f>VLOOKUP(A720,Ginecologia_dados!B:C,2,FALSE)</f>
        <v>GOVERNADOR VALADARES</v>
      </c>
      <c r="E720">
        <v>1683</v>
      </c>
    </row>
    <row r="721" spans="1:5" x14ac:dyDescent="0.3">
      <c r="A721" s="4">
        <v>316170</v>
      </c>
      <c r="B721" s="4" t="s">
        <v>786</v>
      </c>
      <c r="C721" s="4" t="str">
        <f>VLOOKUP(População!A721,Ginecologia_dados!B:E,3,FALSE)</f>
        <v>NOROESTE</v>
      </c>
      <c r="D721" s="4" t="str">
        <f>VLOOKUP(A721,Ginecologia_dados!B:C,2,FALSE)</f>
        <v>PATOS DE MINAS</v>
      </c>
      <c r="E721">
        <v>3683</v>
      </c>
    </row>
    <row r="722" spans="1:5" x14ac:dyDescent="0.3">
      <c r="A722" s="4">
        <v>316180</v>
      </c>
      <c r="B722" s="4" t="s">
        <v>787</v>
      </c>
      <c r="C722" s="4" t="str">
        <f>VLOOKUP(População!A722,Ginecologia_dados!B:E,3,FALSE)</f>
        <v>OESTE</v>
      </c>
      <c r="D722" s="4" t="str">
        <f>VLOOKUP(A722,Ginecologia_dados!B:C,2,FALSE)</f>
        <v>DIVINÓPOLIS</v>
      </c>
      <c r="E722">
        <v>5775</v>
      </c>
    </row>
    <row r="723" spans="1:5" x14ac:dyDescent="0.3">
      <c r="A723" s="4">
        <v>316190</v>
      </c>
      <c r="B723" s="4" t="s">
        <v>788</v>
      </c>
      <c r="C723" s="4" t="str">
        <f>VLOOKUP(População!A723,Ginecologia_dados!B:E,3,FALSE)</f>
        <v>CENTRO</v>
      </c>
      <c r="D723" s="4" t="str">
        <f>VLOOKUP(A723,Ginecologia_dados!B:C,2,FALSE)</f>
        <v>ITABIRA</v>
      </c>
      <c r="E723">
        <v>5813</v>
      </c>
    </row>
    <row r="724" spans="1:5" x14ac:dyDescent="0.3">
      <c r="A724" s="4">
        <v>316200</v>
      </c>
      <c r="B724" s="4" t="s">
        <v>789</v>
      </c>
      <c r="C724" s="4" t="str">
        <f>VLOOKUP(População!A724,Ginecologia_dados!B:E,3,FALSE)</f>
        <v>SUL</v>
      </c>
      <c r="D724" s="4" t="str">
        <f>VLOOKUP(A724,Ginecologia_dados!B:C,2,FALSE)</f>
        <v>VARGINHA</v>
      </c>
      <c r="E724">
        <v>12202</v>
      </c>
    </row>
    <row r="725" spans="1:5" x14ac:dyDescent="0.3">
      <c r="A725" s="4">
        <v>316210</v>
      </c>
      <c r="B725" s="4" t="s">
        <v>790</v>
      </c>
      <c r="C725" s="4" t="str">
        <f>VLOOKUP(População!A725,Ginecologia_dados!B:E,3,FALSE)</f>
        <v>NOROESTE</v>
      </c>
      <c r="D725" s="4" t="str">
        <f>VLOOKUP(A725,Ginecologia_dados!B:C,2,FALSE)</f>
        <v>SÃO GOTARDO</v>
      </c>
      <c r="E725">
        <v>19252</v>
      </c>
    </row>
    <row r="726" spans="1:5" x14ac:dyDescent="0.3">
      <c r="A726" s="4">
        <v>316220</v>
      </c>
      <c r="B726" s="4" t="s">
        <v>791</v>
      </c>
      <c r="C726" s="4" t="str">
        <f>VLOOKUP(População!A726,Ginecologia_dados!B:E,3,FALSE)</f>
        <v>SUL</v>
      </c>
      <c r="D726" s="4" t="str">
        <f>VLOOKUP(A726,Ginecologia_dados!B:C,2,FALSE)</f>
        <v>PASSOS</v>
      </c>
      <c r="E726">
        <v>3735</v>
      </c>
    </row>
    <row r="727" spans="1:5" x14ac:dyDescent="0.3">
      <c r="A727" s="4">
        <v>316225</v>
      </c>
      <c r="B727" s="4" t="s">
        <v>792</v>
      </c>
      <c r="C727" s="4" t="str">
        <f>VLOOKUP(População!A727,Ginecologia_dados!B:E,3,FALSE)</f>
        <v>NORTE</v>
      </c>
      <c r="D727" s="4" t="str">
        <f>VLOOKUP(A727,Ginecologia_dados!B:C,2,FALSE)</f>
        <v>CORAÇÃO DE JESUS</v>
      </c>
      <c r="E727">
        <v>2320</v>
      </c>
    </row>
    <row r="728" spans="1:5" x14ac:dyDescent="0.3">
      <c r="A728" s="4">
        <v>316230</v>
      </c>
      <c r="B728" s="4" t="s">
        <v>793</v>
      </c>
      <c r="C728" s="4" t="str">
        <f>VLOOKUP(População!A728,Ginecologia_dados!B:E,3,FALSE)</f>
        <v>SUL</v>
      </c>
      <c r="D728" s="4" t="str">
        <f>VLOOKUP(A728,Ginecologia_dados!B:C,2,FALSE)</f>
        <v>POUSO ALEGRE</v>
      </c>
      <c r="E728">
        <v>1403</v>
      </c>
    </row>
    <row r="729" spans="1:5" x14ac:dyDescent="0.3">
      <c r="A729" s="4">
        <v>316240</v>
      </c>
      <c r="B729" s="4" t="s">
        <v>794</v>
      </c>
      <c r="C729" s="4" t="str">
        <f>VLOOKUP(População!A729,Ginecologia_dados!B:E,3,FALSE)</f>
        <v>NORTE</v>
      </c>
      <c r="D729" s="4" t="str">
        <f>VLOOKUP(A729,Ginecologia_dados!B:C,2,FALSE)</f>
        <v>BRASÍLIA DE MINAS/SÃO FRANCISCO</v>
      </c>
      <c r="E729">
        <v>12005</v>
      </c>
    </row>
    <row r="730" spans="1:5" x14ac:dyDescent="0.3">
      <c r="A730" s="4">
        <v>316245</v>
      </c>
      <c r="B730" s="4" t="s">
        <v>795</v>
      </c>
      <c r="C730" s="4" t="str">
        <f>VLOOKUP(População!A730,Ginecologia_dados!B:E,3,FALSE)</f>
        <v>NORTE</v>
      </c>
      <c r="D730" s="4" t="str">
        <f>VLOOKUP(A730,Ginecologia_dados!B:C,2,FALSE)</f>
        <v>MANGA</v>
      </c>
      <c r="E730">
        <v>6361</v>
      </c>
    </row>
    <row r="731" spans="1:5" x14ac:dyDescent="0.3">
      <c r="A731" s="4">
        <v>316250</v>
      </c>
      <c r="B731" s="4" t="s">
        <v>796</v>
      </c>
      <c r="C731" s="4" t="str">
        <f>VLOOKUP(População!A731,Ginecologia_dados!B:E,3,FALSE)</f>
        <v>CENTRO SUL</v>
      </c>
      <c r="D731" s="4" t="str">
        <f>VLOOKUP(A731,Ginecologia_dados!B:C,2,FALSE)</f>
        <v>SÃO JOÃO DEL REI</v>
      </c>
      <c r="E731">
        <v>47247</v>
      </c>
    </row>
    <row r="732" spans="1:5" x14ac:dyDescent="0.3">
      <c r="A732" s="4">
        <v>316255</v>
      </c>
      <c r="B732" s="4" t="s">
        <v>797</v>
      </c>
      <c r="C732" s="4" t="str">
        <f>VLOOKUP(População!A732,Ginecologia_dados!B:E,3,FALSE)</f>
        <v>LESTE DO SUL</v>
      </c>
      <c r="D732" s="4" t="str">
        <f>VLOOKUP(A732,Ginecologia_dados!B:C,2,FALSE)</f>
        <v>MANHUAÇU</v>
      </c>
      <c r="E732">
        <v>5489</v>
      </c>
    </row>
    <row r="733" spans="1:5" x14ac:dyDescent="0.3">
      <c r="A733" s="4">
        <v>316257</v>
      </c>
      <c r="B733" s="4" t="s">
        <v>798</v>
      </c>
      <c r="C733" s="4" t="str">
        <f>VLOOKUP(População!A733,Ginecologia_dados!B:E,3,FALSE)</f>
        <v>LESTE</v>
      </c>
      <c r="D733" s="4" t="str">
        <f>VLOOKUP(A733,Ginecologia_dados!B:C,2,FALSE)</f>
        <v>MANTENA</v>
      </c>
      <c r="E733">
        <v>2757</v>
      </c>
    </row>
    <row r="734" spans="1:5" x14ac:dyDescent="0.3">
      <c r="A734" s="4">
        <v>316260</v>
      </c>
      <c r="B734" s="4" t="s">
        <v>799</v>
      </c>
      <c r="C734" s="4" t="str">
        <f>VLOOKUP(População!A734,Ginecologia_dados!B:E,3,FALSE)</f>
        <v>VALE DO AÇO</v>
      </c>
      <c r="D734" s="4" t="str">
        <f>VLOOKUP(A734,Ginecologia_dados!B:C,2,FALSE)</f>
        <v>IPATINGA</v>
      </c>
      <c r="E734">
        <v>3759</v>
      </c>
    </row>
    <row r="735" spans="1:5" x14ac:dyDescent="0.3">
      <c r="A735" s="4">
        <v>316265</v>
      </c>
      <c r="B735" s="4" t="s">
        <v>800</v>
      </c>
      <c r="C735" s="4" t="str">
        <f>VLOOKUP(População!A735,Ginecologia_dados!B:E,3,FALSE)</f>
        <v>NORTE</v>
      </c>
      <c r="D735" s="4" t="str">
        <f>VLOOKUP(A735,Ginecologia_dados!B:C,2,FALSE)</f>
        <v>CORAÇÃO DE JESUS</v>
      </c>
      <c r="E735">
        <v>1983</v>
      </c>
    </row>
    <row r="736" spans="1:5" x14ac:dyDescent="0.3">
      <c r="A736" s="4">
        <v>316270</v>
      </c>
      <c r="B736" s="4" t="s">
        <v>801</v>
      </c>
      <c r="C736" s="4" t="str">
        <f>VLOOKUP(População!A736,Ginecologia_dados!B:E,3,FALSE)</f>
        <v>NORTE</v>
      </c>
      <c r="D736" s="4" t="str">
        <f>VLOOKUP(A736,Ginecologia_dados!B:C,2,FALSE)</f>
        <v>TAIOBEIRAS</v>
      </c>
      <c r="E736">
        <v>12038</v>
      </c>
    </row>
    <row r="737" spans="1:5" x14ac:dyDescent="0.3">
      <c r="A737" s="4">
        <v>316280</v>
      </c>
      <c r="B737" s="4" t="s">
        <v>802</v>
      </c>
      <c r="C737" s="4" t="str">
        <f>VLOOKUP(População!A737,Ginecologia_dados!B:E,3,FALSE)</f>
        <v>LESTE</v>
      </c>
      <c r="D737" s="4" t="str">
        <f>VLOOKUP(A737,Ginecologia_dados!B:C,2,FALSE)</f>
        <v>PEÇANHA/SÃO JOÃO EVANGELISTA</v>
      </c>
      <c r="E737">
        <v>7919</v>
      </c>
    </row>
    <row r="738" spans="1:5" x14ac:dyDescent="0.3">
      <c r="A738" s="4">
        <v>316290</v>
      </c>
      <c r="B738" s="4" t="s">
        <v>803</v>
      </c>
      <c r="C738" s="4" t="str">
        <f>VLOOKUP(População!A738,Ginecologia_dados!B:E,3,FALSE)</f>
        <v>SUDESTE</v>
      </c>
      <c r="D738" s="4" t="str">
        <f>VLOOKUP(A738,Ginecologia_dados!B:C,2,FALSE)</f>
        <v>SÃO JOÃO NEPOMUCENO/BICAS</v>
      </c>
      <c r="E738">
        <v>13509</v>
      </c>
    </row>
    <row r="739" spans="1:5" x14ac:dyDescent="0.3">
      <c r="A739" s="4">
        <v>316292</v>
      </c>
      <c r="B739" s="4" t="s">
        <v>804</v>
      </c>
      <c r="C739" s="4" t="str">
        <f>VLOOKUP(População!A739,Ginecologia_dados!B:E,3,FALSE)</f>
        <v>CENTRO</v>
      </c>
      <c r="D739" s="4" t="str">
        <f>VLOOKUP(A739,Ginecologia_dados!B:C,2,FALSE)</f>
        <v>BETIM</v>
      </c>
      <c r="E739">
        <v>15070</v>
      </c>
    </row>
    <row r="740" spans="1:5" x14ac:dyDescent="0.3">
      <c r="A740" s="4">
        <v>316294</v>
      </c>
      <c r="B740" s="4" t="s">
        <v>805</v>
      </c>
      <c r="C740" s="4" t="str">
        <f>VLOOKUP(População!A740,Ginecologia_dados!B:E,3,FALSE)</f>
        <v>SUL</v>
      </c>
      <c r="D740" s="4" t="str">
        <f>VLOOKUP(A740,Ginecologia_dados!B:C,2,FALSE)</f>
        <v>PASSOS</v>
      </c>
      <c r="E740">
        <v>3733</v>
      </c>
    </row>
    <row r="741" spans="1:5" x14ac:dyDescent="0.3">
      <c r="A741" s="4">
        <v>316295</v>
      </c>
      <c r="B741" s="4" t="s">
        <v>806</v>
      </c>
      <c r="C741" s="4" t="str">
        <f>VLOOKUP(População!A741,Ginecologia_dados!B:E,3,FALSE)</f>
        <v>CENTRO</v>
      </c>
      <c r="D741" s="4" t="str">
        <f>VLOOKUP(A741,Ginecologia_dados!B:C,2,FALSE)</f>
        <v>VESPASIANO</v>
      </c>
      <c r="E741">
        <v>12550</v>
      </c>
    </row>
    <row r="742" spans="1:5" x14ac:dyDescent="0.3">
      <c r="A742" s="4">
        <v>316300</v>
      </c>
      <c r="B742" s="4" t="s">
        <v>807</v>
      </c>
      <c r="C742" s="4" t="str">
        <f>VLOOKUP(População!A742,Ginecologia_dados!B:E,3,FALSE)</f>
        <v>LESTE</v>
      </c>
      <c r="D742" s="4" t="str">
        <f>VLOOKUP(A742,Ginecologia_dados!B:C,2,FALSE)</f>
        <v>GOVERNADOR VALADARES</v>
      </c>
      <c r="E742">
        <v>1970</v>
      </c>
    </row>
    <row r="743" spans="1:5" x14ac:dyDescent="0.3">
      <c r="A743" s="4">
        <v>316310</v>
      </c>
      <c r="B743" s="4" t="s">
        <v>808</v>
      </c>
      <c r="C743" s="4" t="str">
        <f>VLOOKUP(População!A743,Ginecologia_dados!B:E,3,FALSE)</f>
        <v>OESTE</v>
      </c>
      <c r="D743" s="4" t="str">
        <f>VLOOKUP(A743,Ginecologia_dados!B:C,2,FALSE)</f>
        <v>PARÁ DE MINAS</v>
      </c>
      <c r="E743">
        <v>2185</v>
      </c>
    </row>
    <row r="744" spans="1:5" x14ac:dyDescent="0.3">
      <c r="A744" s="4">
        <v>316320</v>
      </c>
      <c r="B744" s="4" t="s">
        <v>809</v>
      </c>
      <c r="C744" s="4" t="str">
        <f>VLOOKUP(População!A744,Ginecologia_dados!B:E,3,FALSE)</f>
        <v>SUL</v>
      </c>
      <c r="D744" s="4" t="str">
        <f>VLOOKUP(A744,Ginecologia_dados!B:C,2,FALSE)</f>
        <v>ITAJUBÁ</v>
      </c>
      <c r="E744">
        <v>2048</v>
      </c>
    </row>
    <row r="745" spans="1:5" x14ac:dyDescent="0.3">
      <c r="A745" s="4">
        <v>316330</v>
      </c>
      <c r="B745" s="4" t="s">
        <v>810</v>
      </c>
      <c r="C745" s="4" t="str">
        <f>VLOOKUP(População!A745,Ginecologia_dados!B:E,3,FALSE)</f>
        <v>NORDESTE</v>
      </c>
      <c r="D745" s="4" t="str">
        <f>VLOOKUP(A745,Ginecologia_dados!B:C,2,FALSE)</f>
        <v>ITAMBACURI</v>
      </c>
      <c r="E745">
        <v>1871</v>
      </c>
    </row>
    <row r="746" spans="1:5" x14ac:dyDescent="0.3">
      <c r="A746" s="4">
        <v>316340</v>
      </c>
      <c r="B746" s="4" t="s">
        <v>811</v>
      </c>
      <c r="C746" s="4" t="str">
        <f>VLOOKUP(População!A746,Ginecologia_dados!B:E,3,FALSE)</f>
        <v>LESTE DO SUL</v>
      </c>
      <c r="D746" s="4" t="str">
        <f>VLOOKUP(A746,Ginecologia_dados!B:C,2,FALSE)</f>
        <v>PONTE NOVA</v>
      </c>
      <c r="E746">
        <v>2847</v>
      </c>
    </row>
    <row r="747" spans="1:5" x14ac:dyDescent="0.3">
      <c r="A747" s="4">
        <v>316350</v>
      </c>
      <c r="B747" s="4" t="s">
        <v>812</v>
      </c>
      <c r="C747" s="4" t="str">
        <f>VLOOKUP(População!A747,Ginecologia_dados!B:E,3,FALSE)</f>
        <v>LESTE</v>
      </c>
      <c r="D747" s="4" t="str">
        <f>VLOOKUP(A747,Ginecologia_dados!B:C,2,FALSE)</f>
        <v>PEÇANHA/SÃO JOÃO EVANGELISTA</v>
      </c>
      <c r="E747">
        <v>3179</v>
      </c>
    </row>
    <row r="748" spans="1:5" x14ac:dyDescent="0.3">
      <c r="A748" s="4">
        <v>316360</v>
      </c>
      <c r="B748" s="4" t="s">
        <v>813</v>
      </c>
      <c r="C748" s="4" t="str">
        <f>VLOOKUP(População!A748,Ginecologia_dados!B:E,3,FALSE)</f>
        <v>LESTE DO SUL</v>
      </c>
      <c r="D748" s="4" t="str">
        <f>VLOOKUP(A748,Ginecologia_dados!B:C,2,FALSE)</f>
        <v>MANHUAÇU</v>
      </c>
      <c r="E748">
        <v>1369</v>
      </c>
    </row>
    <row r="749" spans="1:5" x14ac:dyDescent="0.3">
      <c r="A749" s="4">
        <v>316370</v>
      </c>
      <c r="B749" s="4" t="s">
        <v>814</v>
      </c>
      <c r="C749" s="4" t="str">
        <f>VLOOKUP(População!A749,Ginecologia_dados!B:E,3,FALSE)</f>
        <v>SUL</v>
      </c>
      <c r="D749" s="4" t="str">
        <f>VLOOKUP(A749,Ginecologia_dados!B:C,2,FALSE)</f>
        <v>SÃO LOURENÇO</v>
      </c>
      <c r="E749">
        <v>23687</v>
      </c>
    </row>
    <row r="750" spans="1:5" x14ac:dyDescent="0.3">
      <c r="A750" s="4">
        <v>316380</v>
      </c>
      <c r="B750" s="4" t="s">
        <v>815</v>
      </c>
      <c r="C750" s="4" t="str">
        <f>VLOOKUP(População!A750,Ginecologia_dados!B:E,3,FALSE)</f>
        <v>LESTE DO SUL</v>
      </c>
      <c r="D750" s="4" t="str">
        <f>VLOOKUP(A750,Ginecologia_dados!B:C,2,FALSE)</f>
        <v>VIÇOSA</v>
      </c>
      <c r="E750">
        <v>3248</v>
      </c>
    </row>
    <row r="751" spans="1:5" x14ac:dyDescent="0.3">
      <c r="A751" s="4">
        <v>316390</v>
      </c>
      <c r="B751" s="4" t="s">
        <v>816</v>
      </c>
      <c r="C751" s="4" t="str">
        <f>VLOOKUP(População!A751,Ginecologia_dados!B:E,3,FALSE)</f>
        <v>SUL</v>
      </c>
      <c r="D751" s="4" t="str">
        <f>VLOOKUP(A751,Ginecologia_dados!B:C,2,FALSE)</f>
        <v>GUAXUPÉ</v>
      </c>
      <c r="E751">
        <v>2422</v>
      </c>
    </row>
    <row r="752" spans="1:5" x14ac:dyDescent="0.3">
      <c r="A752" s="4">
        <v>316400</v>
      </c>
      <c r="B752" s="4" t="s">
        <v>817</v>
      </c>
      <c r="C752" s="4" t="str">
        <f>VLOOKUP(População!A752,Ginecologia_dados!B:E,3,FALSE)</f>
        <v>LESTE DO SUL</v>
      </c>
      <c r="D752" s="4" t="str">
        <f>VLOOKUP(A752,Ginecologia_dados!B:C,2,FALSE)</f>
        <v>PONTE NOVA</v>
      </c>
      <c r="E752">
        <v>3896</v>
      </c>
    </row>
    <row r="753" spans="1:5" x14ac:dyDescent="0.3">
      <c r="A753" s="4">
        <v>316410</v>
      </c>
      <c r="B753" s="4" t="s">
        <v>818</v>
      </c>
      <c r="C753" s="4" t="str">
        <f>VLOOKUP(População!A753,Ginecologia_dados!B:E,3,FALSE)</f>
        <v>LESTE</v>
      </c>
      <c r="D753" s="4" t="str">
        <f>VLOOKUP(A753,Ginecologia_dados!B:C,2,FALSE)</f>
        <v>PEÇANHA/SÃO JOÃO EVANGELISTA</v>
      </c>
      <c r="E753">
        <v>2699</v>
      </c>
    </row>
    <row r="754" spans="1:5" x14ac:dyDescent="0.3">
      <c r="A754" s="4">
        <v>316420</v>
      </c>
      <c r="B754" s="4" t="s">
        <v>819</v>
      </c>
      <c r="C754" s="4" t="str">
        <f>VLOOKUP(População!A754,Ginecologia_dados!B:E,3,FALSE)</f>
        <v>NORTE</v>
      </c>
      <c r="D754" s="4" t="str">
        <f>VLOOKUP(A754,Ginecologia_dados!B:C,2,FALSE)</f>
        <v>BRASÍLIA DE MINAS/SÃO FRANCISCO</v>
      </c>
      <c r="E754">
        <v>5178</v>
      </c>
    </row>
    <row r="755" spans="1:5" x14ac:dyDescent="0.3">
      <c r="A755" s="4">
        <v>316430</v>
      </c>
      <c r="B755" s="4" t="s">
        <v>820</v>
      </c>
      <c r="C755" s="4" t="str">
        <f>VLOOKUP(População!A755,Ginecologia_dados!B:E,3,FALSE)</f>
        <v>SUL</v>
      </c>
      <c r="D755" s="4" t="str">
        <f>VLOOKUP(A755,Ginecologia_dados!B:C,2,FALSE)</f>
        <v>PIUMHI</v>
      </c>
      <c r="E755">
        <v>3469</v>
      </c>
    </row>
    <row r="756" spans="1:5" x14ac:dyDescent="0.3">
      <c r="A756" s="4">
        <v>316440</v>
      </c>
      <c r="B756" s="4" t="s">
        <v>821</v>
      </c>
      <c r="C756" s="4" t="str">
        <f>VLOOKUP(População!A756,Ginecologia_dados!B:E,3,FALSE)</f>
        <v>SUL</v>
      </c>
      <c r="D756" s="4" t="str">
        <f>VLOOKUP(A756,Ginecologia_dados!B:C,2,FALSE)</f>
        <v>POUSO ALEGRE</v>
      </c>
      <c r="E756">
        <v>2934</v>
      </c>
    </row>
    <row r="757" spans="1:5" x14ac:dyDescent="0.3">
      <c r="A757" s="4">
        <v>316443</v>
      </c>
      <c r="B757" s="4" t="s">
        <v>822</v>
      </c>
      <c r="C757" s="4" t="str">
        <f>VLOOKUP(População!A757,Ginecologia_dados!B:E,3,FALSE)</f>
        <v>SUDESTE</v>
      </c>
      <c r="D757" s="4" t="str">
        <f>VLOOKUP(A757,Ginecologia_dados!B:C,2,FALSE)</f>
        <v>MURIAÉ</v>
      </c>
      <c r="E757">
        <v>1499</v>
      </c>
    </row>
    <row r="758" spans="1:5" x14ac:dyDescent="0.3">
      <c r="A758" s="4">
        <v>316447</v>
      </c>
      <c r="B758" s="4" t="s">
        <v>823</v>
      </c>
      <c r="C758" s="4" t="str">
        <f>VLOOKUP(População!A758,Ginecologia_dados!B:E,3,FALSE)</f>
        <v>VALE DO AÇO</v>
      </c>
      <c r="D758" s="4" t="str">
        <f>VLOOKUP(A758,Ginecologia_dados!B:C,2,FALSE)</f>
        <v>CARATINGA</v>
      </c>
      <c r="E758">
        <v>3093</v>
      </c>
    </row>
    <row r="759" spans="1:5" x14ac:dyDescent="0.3">
      <c r="A759" s="4">
        <v>316450</v>
      </c>
      <c r="B759" s="4" t="s">
        <v>824</v>
      </c>
      <c r="C759" s="4" t="str">
        <f>VLOOKUP(População!A759,Ginecologia_dados!B:E,3,FALSE)</f>
        <v>LESTE</v>
      </c>
      <c r="D759" s="4" t="str">
        <f>VLOOKUP(A759,Ginecologia_dados!B:C,2,FALSE)</f>
        <v>SANTA MARIA DO SUAÇUÍ</v>
      </c>
      <c r="E759">
        <v>5094</v>
      </c>
    </row>
    <row r="760" spans="1:5" x14ac:dyDescent="0.3">
      <c r="A760" s="4">
        <v>316460</v>
      </c>
      <c r="B760" s="4" t="s">
        <v>825</v>
      </c>
      <c r="C760" s="4" t="str">
        <f>VLOOKUP(População!A760,Ginecologia_dados!B:E,3,FALSE)</f>
        <v>OESTE</v>
      </c>
      <c r="D760" s="4" t="str">
        <f>VLOOKUP(A760,Ginecologia_dados!B:C,2,FALSE)</f>
        <v>DIVINÓPOLIS</v>
      </c>
      <c r="E760">
        <v>3787</v>
      </c>
    </row>
    <row r="761" spans="1:5" x14ac:dyDescent="0.3">
      <c r="A761" s="4">
        <v>316470</v>
      </c>
      <c r="B761" s="4" t="s">
        <v>826</v>
      </c>
      <c r="C761" s="4" t="str">
        <f>VLOOKUP(População!A761,Ginecologia_dados!B:E,3,FALSE)</f>
        <v>SUL</v>
      </c>
      <c r="D761" s="4" t="str">
        <f>VLOOKUP(A761,Ginecologia_dados!B:C,2,FALSE)</f>
        <v>SÃO SEBASTIÃO DO PARAÍSO</v>
      </c>
      <c r="E761">
        <v>36368</v>
      </c>
    </row>
    <row r="762" spans="1:5" x14ac:dyDescent="0.3">
      <c r="A762" s="4">
        <v>316480</v>
      </c>
      <c r="B762" s="4" t="s">
        <v>827</v>
      </c>
      <c r="C762" s="4" t="str">
        <f>VLOOKUP(População!A762,Ginecologia_dados!B:E,3,FALSE)</f>
        <v>CENTRO</v>
      </c>
      <c r="D762" s="4" t="str">
        <f>VLOOKUP(A762,Ginecologia_dados!B:C,2,FALSE)</f>
        <v>ITABIRA</v>
      </c>
      <c r="E762">
        <v>719</v>
      </c>
    </row>
    <row r="763" spans="1:5" x14ac:dyDescent="0.3">
      <c r="A763" s="4">
        <v>316490</v>
      </c>
      <c r="B763" s="4" t="s">
        <v>828</v>
      </c>
      <c r="C763" s="4" t="str">
        <f>VLOOKUP(População!A763,Ginecologia_dados!B:E,3,FALSE)</f>
        <v>SUL</v>
      </c>
      <c r="D763" s="4" t="str">
        <f>VLOOKUP(A763,Ginecologia_dados!B:C,2,FALSE)</f>
        <v>SÃO LOURENÇO</v>
      </c>
      <c r="E763">
        <v>1123</v>
      </c>
    </row>
    <row r="764" spans="1:5" x14ac:dyDescent="0.3">
      <c r="A764" s="4">
        <v>316500</v>
      </c>
      <c r="B764" s="4" t="s">
        <v>829</v>
      </c>
      <c r="C764" s="4" t="str">
        <f>VLOOKUP(População!A764,Ginecologia_dados!B:E,3,FALSE)</f>
        <v>CENTRO SUL</v>
      </c>
      <c r="D764" s="4" t="str">
        <f>VLOOKUP(A764,Ginecologia_dados!B:C,2,FALSE)</f>
        <v>SÃO JOÃO DEL REI</v>
      </c>
      <c r="E764">
        <v>5553</v>
      </c>
    </row>
    <row r="765" spans="1:5" x14ac:dyDescent="0.3">
      <c r="A765" s="4">
        <v>316510</v>
      </c>
      <c r="B765" s="4" t="s">
        <v>830</v>
      </c>
      <c r="C765" s="4" t="str">
        <f>VLOOKUP(População!A765,Ginecologia_dados!B:E,3,FALSE)</f>
        <v>SUL</v>
      </c>
      <c r="D765" s="4" t="str">
        <f>VLOOKUP(A765,Ginecologia_dados!B:C,2,FALSE)</f>
        <v>SÃO SEBASTIÃO DO PARAÍSO</v>
      </c>
      <c r="E765">
        <v>3463</v>
      </c>
    </row>
    <row r="766" spans="1:5" x14ac:dyDescent="0.3">
      <c r="A766" s="4">
        <v>316520</v>
      </c>
      <c r="B766" s="4" t="s">
        <v>831</v>
      </c>
      <c r="C766" s="4" t="str">
        <f>VLOOKUP(População!A766,Ginecologia_dados!B:E,3,FALSE)</f>
        <v>SUL</v>
      </c>
      <c r="D766" s="4" t="str">
        <f>VLOOKUP(A766,Ginecologia_dados!B:C,2,FALSE)</f>
        <v>TRÊS CORAÇÕES</v>
      </c>
      <c r="E766">
        <v>3327</v>
      </c>
    </row>
    <row r="767" spans="1:5" x14ac:dyDescent="0.3">
      <c r="A767" s="4">
        <v>316530</v>
      </c>
      <c r="B767" s="4" t="s">
        <v>832</v>
      </c>
      <c r="C767" s="4" t="str">
        <f>VLOOKUP(População!A767,Ginecologia_dados!B:E,3,FALSE)</f>
        <v>CENTRO SUL</v>
      </c>
      <c r="D767" s="4" t="str">
        <f>VLOOKUP(A767,Ginecologia_dados!B:C,2,FALSE)</f>
        <v>SÃO JOÃO DEL REI</v>
      </c>
      <c r="E767">
        <v>3562</v>
      </c>
    </row>
    <row r="768" spans="1:5" x14ac:dyDescent="0.3">
      <c r="A768" s="4">
        <v>316540</v>
      </c>
      <c r="B768" s="4" t="s">
        <v>833</v>
      </c>
      <c r="C768" s="4" t="str">
        <f>VLOOKUP(População!A768,Ginecologia_dados!B:E,3,FALSE)</f>
        <v>SUL</v>
      </c>
      <c r="D768" s="4" t="str">
        <f>VLOOKUP(A768,Ginecologia_dados!B:C,2,FALSE)</f>
        <v>ITAJUBÁ</v>
      </c>
      <c r="E768">
        <v>3116</v>
      </c>
    </row>
    <row r="769" spans="1:5" x14ac:dyDescent="0.3">
      <c r="A769" s="4">
        <v>316550</v>
      </c>
      <c r="B769" s="4" t="s">
        <v>834</v>
      </c>
      <c r="C769" s="4" t="str">
        <f>VLOOKUP(População!A769,Ginecologia_dados!B:E,3,FALSE)</f>
        <v>LESTE</v>
      </c>
      <c r="D769" s="4" t="str">
        <f>VLOOKUP(A769,Ginecologia_dados!B:C,2,FALSE)</f>
        <v>GOVERNADOR VALADARES</v>
      </c>
      <c r="E769">
        <v>2667</v>
      </c>
    </row>
    <row r="770" spans="1:5" x14ac:dyDescent="0.3">
      <c r="A770" s="4">
        <v>316553</v>
      </c>
      <c r="B770" s="4" t="s">
        <v>835</v>
      </c>
      <c r="C770" s="4" t="str">
        <f>VLOOKUP(População!A770,Ginecologia_dados!B:E,3,FALSE)</f>
        <v>CENTRO</v>
      </c>
      <c r="D770" s="4" t="str">
        <f>VLOOKUP(A770,Ginecologia_dados!B:C,2,FALSE)</f>
        <v>CONTAGEM</v>
      </c>
      <c r="E770">
        <v>17213</v>
      </c>
    </row>
    <row r="771" spans="1:5" x14ac:dyDescent="0.3">
      <c r="A771" s="4">
        <v>316555</v>
      </c>
      <c r="B771" s="4" t="s">
        <v>836</v>
      </c>
      <c r="C771" s="4" t="str">
        <f>VLOOKUP(População!A771,Ginecologia_dados!B:E,3,FALSE)</f>
        <v>NORDESTE</v>
      </c>
      <c r="D771" s="4" t="str">
        <f>VLOOKUP(A771,Ginecologia_dados!B:C,2,FALSE)</f>
        <v>TEÓFILO OTONI/MALACACHETA</v>
      </c>
      <c r="E771">
        <v>5318</v>
      </c>
    </row>
    <row r="772" spans="1:5" x14ac:dyDescent="0.3">
      <c r="A772" s="4">
        <v>316556</v>
      </c>
      <c r="B772" s="4" t="s">
        <v>837</v>
      </c>
      <c r="C772" s="4" t="str">
        <f>VLOOKUP(População!A772,Ginecologia_dados!B:E,3,FALSE)</f>
        <v>LESTE DO SUL</v>
      </c>
      <c r="D772" s="4" t="str">
        <f>VLOOKUP(A772,Ginecologia_dados!B:C,2,FALSE)</f>
        <v>PONTE NOVA</v>
      </c>
      <c r="E772">
        <v>1325</v>
      </c>
    </row>
    <row r="773" spans="1:5" x14ac:dyDescent="0.3">
      <c r="A773" s="4">
        <v>316557</v>
      </c>
      <c r="B773" s="4" t="s">
        <v>838</v>
      </c>
      <c r="C773" s="4" t="str">
        <f>VLOOKUP(População!A773,Ginecologia_dados!B:E,3,FALSE)</f>
        <v>SUL</v>
      </c>
      <c r="D773" s="4" t="str">
        <f>VLOOKUP(A773,Ginecologia_dados!B:C,2,FALSE)</f>
        <v>POUSO ALEGRE</v>
      </c>
      <c r="E773">
        <v>2857</v>
      </c>
    </row>
    <row r="774" spans="1:5" x14ac:dyDescent="0.3">
      <c r="A774" s="4">
        <v>316560</v>
      </c>
      <c r="B774" s="4" t="s">
        <v>839</v>
      </c>
      <c r="C774" s="4" t="str">
        <f>VLOOKUP(População!A774,Ginecologia_dados!B:E,3,FALSE)</f>
        <v>SUDESTE</v>
      </c>
      <c r="D774" s="4" t="str">
        <f>VLOOKUP(A774,Ginecologia_dados!B:C,2,FALSE)</f>
        <v>SÃO JOÃO NEPOMUCENO/BICAS</v>
      </c>
      <c r="E774">
        <v>1098</v>
      </c>
    </row>
    <row r="775" spans="1:5" x14ac:dyDescent="0.3">
      <c r="A775" s="4">
        <v>316570</v>
      </c>
      <c r="B775" s="4" t="s">
        <v>840</v>
      </c>
      <c r="C775" s="4" t="str">
        <f>VLOOKUP(População!A775,Ginecologia_dados!B:E,3,FALSE)</f>
        <v>SUDESTE</v>
      </c>
      <c r="D775" s="4" t="str">
        <f>VLOOKUP(A775,Ginecologia_dados!B:C,2,FALSE)</f>
        <v>UBÁ</v>
      </c>
      <c r="E775">
        <v>3848</v>
      </c>
    </row>
    <row r="776" spans="1:5" x14ac:dyDescent="0.3">
      <c r="A776" s="4">
        <v>316580</v>
      </c>
      <c r="B776" s="4" t="s">
        <v>841</v>
      </c>
      <c r="C776" s="4" t="str">
        <f>VLOOKUP(População!A776,Ginecologia_dados!B:E,3,FALSE)</f>
        <v>SUL</v>
      </c>
      <c r="D776" s="4" t="str">
        <f>VLOOKUP(A776,Ginecologia_dados!B:C,2,FALSE)</f>
        <v>POUSO ALEGRE</v>
      </c>
      <c r="E776">
        <v>968</v>
      </c>
    </row>
    <row r="777" spans="1:5" x14ac:dyDescent="0.3">
      <c r="A777" s="4">
        <v>316590</v>
      </c>
      <c r="B777" s="4" t="s">
        <v>842</v>
      </c>
      <c r="C777" s="4" t="str">
        <f>VLOOKUP(População!A777,Ginecologia_dados!B:E,3,FALSE)</f>
        <v>JEQUITINHONHA</v>
      </c>
      <c r="D777" s="4" t="str">
        <f>VLOOKUP(A777,Ginecologia_dados!B:C,2,FALSE)</f>
        <v>DIAMANTINA</v>
      </c>
      <c r="E777">
        <v>2112</v>
      </c>
    </row>
    <row r="778" spans="1:5" x14ac:dyDescent="0.3">
      <c r="A778" s="4">
        <v>316600</v>
      </c>
      <c r="B778" s="4" t="s">
        <v>843</v>
      </c>
      <c r="C778" s="4" t="str">
        <f>VLOOKUP(População!A778,Ginecologia_dados!B:E,3,FALSE)</f>
        <v>CENTRO SUL</v>
      </c>
      <c r="D778" s="4" t="str">
        <f>VLOOKUP(A778,Ginecologia_dados!B:C,2,FALSE)</f>
        <v>CONSELHEIRO LAFAIETE</v>
      </c>
      <c r="E778">
        <v>2884</v>
      </c>
    </row>
    <row r="779" spans="1:5" x14ac:dyDescent="0.3">
      <c r="A779" s="4">
        <v>316610</v>
      </c>
      <c r="B779" s="4" t="s">
        <v>844</v>
      </c>
      <c r="C779" s="4" t="str">
        <f>VLOOKUP(População!A779,Ginecologia_dados!B:E,3,FALSE)</f>
        <v>CENTRO</v>
      </c>
      <c r="D779" s="4" t="str">
        <f>VLOOKUP(A779,Ginecologia_dados!B:C,2,FALSE)</f>
        <v>GUANHÃES</v>
      </c>
      <c r="E779">
        <v>1637</v>
      </c>
    </row>
    <row r="780" spans="1:5" x14ac:dyDescent="0.3">
      <c r="A780" s="4">
        <v>316620</v>
      </c>
      <c r="B780" s="4" t="s">
        <v>845</v>
      </c>
      <c r="C780" s="4" t="str">
        <f>VLOOKUP(População!A780,Ginecologia_dados!B:E,3,FALSE)</f>
        <v>CENTRO SUL</v>
      </c>
      <c r="D780" s="4" t="str">
        <f>VLOOKUP(A780,Ginecologia_dados!B:C,2,FALSE)</f>
        <v>BARBACENA</v>
      </c>
      <c r="E780">
        <v>5222</v>
      </c>
    </row>
    <row r="781" spans="1:5" x14ac:dyDescent="0.3">
      <c r="A781" s="4">
        <v>316630</v>
      </c>
      <c r="B781" s="4" t="s">
        <v>846</v>
      </c>
      <c r="C781" s="4" t="str">
        <f>VLOOKUP(População!A781,Ginecologia_dados!B:E,3,FALSE)</f>
        <v>LESTE DO SUL</v>
      </c>
      <c r="D781" s="4" t="str">
        <f>VLOOKUP(A781,Ginecologia_dados!B:C,2,FALSE)</f>
        <v>PONTE NOVA</v>
      </c>
      <c r="E781">
        <v>3621</v>
      </c>
    </row>
    <row r="782" spans="1:5" x14ac:dyDescent="0.3">
      <c r="A782" s="4">
        <v>316640</v>
      </c>
      <c r="B782" s="4" t="s">
        <v>847</v>
      </c>
      <c r="C782" s="4" t="str">
        <f>VLOOKUP(População!A782,Ginecologia_dados!B:E,3,FALSE)</f>
        <v>SUL</v>
      </c>
      <c r="D782" s="4" t="str">
        <f>VLOOKUP(A782,Ginecologia_dados!B:C,2,FALSE)</f>
        <v>SÃO LOURENÇO</v>
      </c>
      <c r="E782">
        <v>919</v>
      </c>
    </row>
    <row r="783" spans="1:5" x14ac:dyDescent="0.3">
      <c r="A783" s="4">
        <v>316650</v>
      </c>
      <c r="B783" s="4" t="s">
        <v>848</v>
      </c>
      <c r="C783" s="4" t="str">
        <f>VLOOKUP(População!A783,Ginecologia_dados!B:E,3,FALSE)</f>
        <v>JEQUITINHONHA</v>
      </c>
      <c r="D783" s="4" t="str">
        <f>VLOOKUP(A783,Ginecologia_dados!B:C,2,FALSE)</f>
        <v>SERRO</v>
      </c>
      <c r="E783">
        <v>2023</v>
      </c>
    </row>
    <row r="784" spans="1:5" x14ac:dyDescent="0.3">
      <c r="A784" s="4">
        <v>316660</v>
      </c>
      <c r="B784" s="4" t="s">
        <v>849</v>
      </c>
      <c r="C784" s="4" t="str">
        <f>VLOOKUP(População!A784,Ginecologia_dados!B:E,3,FALSE)</f>
        <v>OESTE</v>
      </c>
      <c r="D784" s="4" t="str">
        <f>VLOOKUP(A784,Ginecologia_dados!B:C,2,FALSE)</f>
        <v>BOM DESPACHO</v>
      </c>
      <c r="E784">
        <v>401</v>
      </c>
    </row>
    <row r="785" spans="1:5" x14ac:dyDescent="0.3">
      <c r="A785" s="4">
        <v>316670</v>
      </c>
      <c r="B785" s="4" t="s">
        <v>850</v>
      </c>
      <c r="C785" s="4" t="str">
        <f>VLOOKUP(População!A785,Ginecologia_dados!B:E,3,FALSE)</f>
        <v>NORDESTE</v>
      </c>
      <c r="D785" s="4" t="str">
        <f>VLOOKUP(A785,Ginecologia_dados!B:C,2,FALSE)</f>
        <v>NANUQUE</v>
      </c>
      <c r="E785">
        <v>3807</v>
      </c>
    </row>
    <row r="786" spans="1:5" x14ac:dyDescent="0.3">
      <c r="A786" s="4">
        <v>316680</v>
      </c>
      <c r="B786" s="4" t="s">
        <v>851</v>
      </c>
      <c r="C786" s="4" t="str">
        <f>VLOOKUP(População!A786,Ginecologia_dados!B:E,3,FALSE)</f>
        <v>NOROESTE</v>
      </c>
      <c r="D786" s="4" t="str">
        <f>VLOOKUP(A786,Ginecologia_dados!B:C,2,FALSE)</f>
        <v>PATOS DE MINAS</v>
      </c>
      <c r="E786">
        <v>5712</v>
      </c>
    </row>
    <row r="787" spans="1:5" x14ac:dyDescent="0.3">
      <c r="A787" s="4">
        <v>316690</v>
      </c>
      <c r="B787" s="4" t="s">
        <v>852</v>
      </c>
      <c r="C787" s="4" t="str">
        <f>VLOOKUP(População!A787,Ginecologia_dados!B:E,3,FALSE)</f>
        <v>SUL</v>
      </c>
      <c r="D787" s="4" t="str">
        <f>VLOOKUP(A787,Ginecologia_dados!B:C,2,FALSE)</f>
        <v>ALFENAS/MACHADO</v>
      </c>
      <c r="E787">
        <v>3873</v>
      </c>
    </row>
    <row r="788" spans="1:5" x14ac:dyDescent="0.3">
      <c r="A788" s="4">
        <v>316695</v>
      </c>
      <c r="B788" s="4" t="s">
        <v>853</v>
      </c>
      <c r="C788" s="4" t="str">
        <f>VLOOKUP(População!A788,Ginecologia_dados!B:E,3,FALSE)</f>
        <v>NORTE</v>
      </c>
      <c r="D788" s="4" t="str">
        <f>VLOOKUP(A788,Ginecologia_dados!B:C,2,FALSE)</f>
        <v>JANAÚBA/MONTE AZUL</v>
      </c>
      <c r="E788">
        <v>2261</v>
      </c>
    </row>
    <row r="789" spans="1:5" x14ac:dyDescent="0.3">
      <c r="A789" s="4">
        <v>316700</v>
      </c>
      <c r="B789" s="4" t="s">
        <v>854</v>
      </c>
      <c r="C789" s="4" t="str">
        <f>VLOOKUP(População!A789,Ginecologia_dados!B:E,3,FALSE)</f>
        <v>SUL</v>
      </c>
      <c r="D789" s="4" t="str">
        <f>VLOOKUP(A789,Ginecologia_dados!B:C,2,FALSE)</f>
        <v>SÃO LOURENÇO</v>
      </c>
      <c r="E789">
        <v>1003</v>
      </c>
    </row>
    <row r="790" spans="1:5" x14ac:dyDescent="0.3">
      <c r="A790" s="4">
        <v>316710</v>
      </c>
      <c r="B790" s="4" t="s">
        <v>57</v>
      </c>
      <c r="C790" s="4" t="str">
        <f>VLOOKUP(População!A790,Ginecologia_dados!B:E,3,FALSE)</f>
        <v>JEQUITINHONHA</v>
      </c>
      <c r="D790" s="4" t="str">
        <f>VLOOKUP(A790,Ginecologia_dados!B:C,2,FALSE)</f>
        <v>SERRO</v>
      </c>
      <c r="E790">
        <v>11027</v>
      </c>
    </row>
    <row r="791" spans="1:5" x14ac:dyDescent="0.3">
      <c r="A791" s="4">
        <v>316720</v>
      </c>
      <c r="B791" s="4" t="s">
        <v>5</v>
      </c>
      <c r="C791" s="4" t="str">
        <f>VLOOKUP(População!A791,Ginecologia_dados!B:E,3,FALSE)</f>
        <v>CENTRO</v>
      </c>
      <c r="D791" s="4" t="str">
        <f>VLOOKUP(A791,Ginecologia_dados!B:C,2,FALSE)</f>
        <v>SETE LAGOAS</v>
      </c>
      <c r="E791">
        <v>120068</v>
      </c>
    </row>
    <row r="792" spans="1:5" x14ac:dyDescent="0.3">
      <c r="A792" s="4">
        <v>316730</v>
      </c>
      <c r="B792" s="4" t="s">
        <v>855</v>
      </c>
      <c r="C792" s="4" t="str">
        <f>VLOOKUP(População!A792,Ginecologia_dados!B:E,3,FALSE)</f>
        <v>SUDESTE</v>
      </c>
      <c r="D792" s="4" t="str">
        <f>VLOOKUP(A792,Ginecologia_dados!B:C,2,FALSE)</f>
        <v>UBÁ</v>
      </c>
      <c r="E792">
        <v>1118</v>
      </c>
    </row>
    <row r="793" spans="1:5" x14ac:dyDescent="0.3">
      <c r="A793" s="4">
        <v>316740</v>
      </c>
      <c r="B793" s="4" t="s">
        <v>856</v>
      </c>
      <c r="C793" s="4" t="str">
        <f>VLOOKUP(População!A793,Ginecologia_dados!B:E,3,FALSE)</f>
        <v>SUL</v>
      </c>
      <c r="D793" s="4" t="str">
        <f>VLOOKUP(A793,Ginecologia_dados!B:C,2,FALSE)</f>
        <v>POUSO ALEGRE</v>
      </c>
      <c r="E793">
        <v>3055</v>
      </c>
    </row>
    <row r="794" spans="1:5" x14ac:dyDescent="0.3">
      <c r="A794" s="4">
        <v>316750</v>
      </c>
      <c r="B794" s="4" t="s">
        <v>857</v>
      </c>
      <c r="C794" s="4" t="str">
        <f>VLOOKUP(População!A794,Ginecologia_dados!B:E,3,FALSE)</f>
        <v>SUDESTE</v>
      </c>
      <c r="D794" s="4" t="str">
        <f>VLOOKUP(A794,Ginecologia_dados!B:C,2,FALSE)</f>
        <v>JUIZ DE FORA</v>
      </c>
      <c r="E794">
        <v>1454</v>
      </c>
    </row>
    <row r="795" spans="1:5" x14ac:dyDescent="0.3">
      <c r="A795" s="4">
        <v>316760</v>
      </c>
      <c r="B795" s="4" t="s">
        <v>858</v>
      </c>
      <c r="C795" s="4" t="str">
        <f>VLOOKUP(População!A795,Ginecologia_dados!B:E,3,FALSE)</f>
        <v>LESTE DO SUL</v>
      </c>
      <c r="D795" s="4" t="str">
        <f>VLOOKUP(A795,Ginecologia_dados!B:C,2,FALSE)</f>
        <v>MANHUAÇU</v>
      </c>
      <c r="E795">
        <v>9538</v>
      </c>
    </row>
    <row r="796" spans="1:5" x14ac:dyDescent="0.3">
      <c r="A796" s="4">
        <v>316770</v>
      </c>
      <c r="B796" s="4" t="s">
        <v>859</v>
      </c>
      <c r="C796" s="4" t="str">
        <f>VLOOKUP(População!A796,Ginecologia_dados!B:E,3,FALSE)</f>
        <v>LESTE</v>
      </c>
      <c r="D796" s="4" t="str">
        <f>VLOOKUP(A796,Ginecologia_dados!B:C,2,FALSE)</f>
        <v>GOVERNADOR VALADARES</v>
      </c>
      <c r="E796">
        <v>2737</v>
      </c>
    </row>
    <row r="797" spans="1:5" x14ac:dyDescent="0.3">
      <c r="A797" s="4">
        <v>316780</v>
      </c>
      <c r="B797" s="4" t="s">
        <v>860</v>
      </c>
      <c r="C797" s="4" t="str">
        <f>VLOOKUP(População!A797,Ginecologia_dados!B:E,3,FALSE)</f>
        <v>SUL</v>
      </c>
      <c r="D797" s="4" t="str">
        <f>VLOOKUP(A797,Ginecologia_dados!B:C,2,FALSE)</f>
        <v>SÃO LOURENÇO</v>
      </c>
      <c r="E797">
        <v>2918</v>
      </c>
    </row>
    <row r="798" spans="1:5" x14ac:dyDescent="0.3">
      <c r="A798" s="4">
        <v>316790</v>
      </c>
      <c r="B798" s="4" t="s">
        <v>861</v>
      </c>
      <c r="C798" s="4" t="str">
        <f>VLOOKUP(População!A798,Ginecologia_dados!B:E,3,FALSE)</f>
        <v>SUDESTE</v>
      </c>
      <c r="D798" s="4" t="str">
        <f>VLOOKUP(A798,Ginecologia_dados!B:C,2,FALSE)</f>
        <v>UBÁ</v>
      </c>
      <c r="E798">
        <v>2070</v>
      </c>
    </row>
    <row r="799" spans="1:5" x14ac:dyDescent="0.3">
      <c r="A799" s="4">
        <v>316800</v>
      </c>
      <c r="B799" s="4" t="s">
        <v>127</v>
      </c>
      <c r="C799" s="4" t="str">
        <f>VLOOKUP(População!A799,Ginecologia_dados!B:E,3,FALSE)</f>
        <v>NORTE</v>
      </c>
      <c r="D799" s="4" t="str">
        <f>VLOOKUP(A799,Ginecologia_dados!B:C,2,FALSE)</f>
        <v>TAIOBEIRAS</v>
      </c>
      <c r="E799">
        <v>17084</v>
      </c>
    </row>
    <row r="800" spans="1:5" x14ac:dyDescent="0.3">
      <c r="A800" s="4">
        <v>316805</v>
      </c>
      <c r="B800" s="4" t="s">
        <v>862</v>
      </c>
      <c r="C800" s="4" t="str">
        <f>VLOOKUP(População!A800,Ginecologia_dados!B:E,3,FALSE)</f>
        <v>LESTE DO SUL</v>
      </c>
      <c r="D800" s="4" t="str">
        <f>VLOOKUP(A800,Ginecologia_dados!B:C,2,FALSE)</f>
        <v>MANHUAÇU</v>
      </c>
      <c r="E800">
        <v>1684</v>
      </c>
    </row>
    <row r="801" spans="1:5" x14ac:dyDescent="0.3">
      <c r="A801" s="4">
        <v>316810</v>
      </c>
      <c r="B801" s="4" t="s">
        <v>863</v>
      </c>
      <c r="C801" s="4" t="str">
        <f>VLOOKUP(População!A801,Ginecologia_dados!B:E,3,FALSE)</f>
        <v>TRIÂNGULO DO SUL</v>
      </c>
      <c r="D801" s="4" t="str">
        <f>VLOOKUP(A801,Ginecologia_dados!B:C,2,FALSE)</f>
        <v>ARAXÁ</v>
      </c>
      <c r="E801">
        <v>1970</v>
      </c>
    </row>
    <row r="802" spans="1:5" x14ac:dyDescent="0.3">
      <c r="A802" s="4">
        <v>316820</v>
      </c>
      <c r="B802" s="4" t="s">
        <v>864</v>
      </c>
      <c r="C802" s="4" t="str">
        <f>VLOOKUP(População!A802,Ginecologia_dados!B:E,3,FALSE)</f>
        <v>OESTE</v>
      </c>
      <c r="D802" s="4" t="str">
        <f>VLOOKUP(A802,Ginecologia_dados!B:C,2,FALSE)</f>
        <v>FORMIGA</v>
      </c>
      <c r="E802">
        <v>821</v>
      </c>
    </row>
    <row r="803" spans="1:5" x14ac:dyDescent="0.3">
      <c r="A803" s="4">
        <v>316830</v>
      </c>
      <c r="B803" s="4" t="s">
        <v>865</v>
      </c>
      <c r="C803" s="4" t="str">
        <f>VLOOKUP(População!A803,Ginecologia_dados!B:E,3,FALSE)</f>
        <v>CENTRO</v>
      </c>
      <c r="D803" s="4" t="str">
        <f>VLOOKUP(A803,Ginecologia_dados!B:C,2,FALSE)</f>
        <v>BELO HORIZONTE/NOVA LIMA/CAETÉ</v>
      </c>
      <c r="E803">
        <v>1990</v>
      </c>
    </row>
    <row r="804" spans="1:5" x14ac:dyDescent="0.3">
      <c r="A804" s="4">
        <v>316840</v>
      </c>
      <c r="B804" s="4" t="s">
        <v>866</v>
      </c>
      <c r="C804" s="4" t="str">
        <f>VLOOKUP(População!A804,Ginecologia_dados!B:E,3,FALSE)</f>
        <v>LESTE</v>
      </c>
      <c r="D804" s="4" t="str">
        <f>VLOOKUP(A804,Ginecologia_dados!B:C,2,FALSE)</f>
        <v>GOVERNADOR VALADARES</v>
      </c>
      <c r="E804">
        <v>7538</v>
      </c>
    </row>
    <row r="805" spans="1:5" x14ac:dyDescent="0.3">
      <c r="A805" s="4">
        <v>316850</v>
      </c>
      <c r="B805" s="4" t="s">
        <v>867</v>
      </c>
      <c r="C805" s="4" t="str">
        <f>VLOOKUP(População!A805,Ginecologia_dados!B:E,3,FALSE)</f>
        <v>LESTE DO SUL</v>
      </c>
      <c r="D805" s="4" t="str">
        <f>VLOOKUP(A805,Ginecologia_dados!B:C,2,FALSE)</f>
        <v>VIÇOSA</v>
      </c>
      <c r="E805">
        <v>6275</v>
      </c>
    </row>
    <row r="806" spans="1:5" x14ac:dyDescent="0.3">
      <c r="A806" s="4">
        <v>316860</v>
      </c>
      <c r="B806" s="4" t="s">
        <v>868</v>
      </c>
      <c r="C806" s="4" t="str">
        <f>VLOOKUP(População!A806,Ginecologia_dados!B:E,3,FALSE)</f>
        <v>NORDESTE</v>
      </c>
      <c r="D806" s="4" t="str">
        <f>VLOOKUP(A806,Ginecologia_dados!B:C,2,FALSE)</f>
        <v>TEÓFILO OTONI/MALACACHETA</v>
      </c>
      <c r="E806">
        <v>73612</v>
      </c>
    </row>
    <row r="807" spans="1:5" x14ac:dyDescent="0.3">
      <c r="A807" s="4">
        <v>316870</v>
      </c>
      <c r="B807" s="4" t="s">
        <v>869</v>
      </c>
      <c r="C807" s="4" t="str">
        <f>VLOOKUP(População!A807,Ginecologia_dados!B:E,3,FALSE)</f>
        <v>VALE DO AÇO</v>
      </c>
      <c r="D807" s="4" t="str">
        <f>VLOOKUP(A807,Ginecologia_dados!B:C,2,FALSE)</f>
        <v>CORONEL FABRICIANO/TIMÓTEO</v>
      </c>
      <c r="E807">
        <v>43699</v>
      </c>
    </row>
    <row r="808" spans="1:5" x14ac:dyDescent="0.3">
      <c r="A808" s="4">
        <v>316880</v>
      </c>
      <c r="B808" s="4" t="s">
        <v>870</v>
      </c>
      <c r="C808" s="4" t="str">
        <f>VLOOKUP(População!A808,Ginecologia_dados!B:E,3,FALSE)</f>
        <v>CENTRO SUL</v>
      </c>
      <c r="D808" s="4" t="str">
        <f>VLOOKUP(A808,Ginecologia_dados!B:C,2,FALSE)</f>
        <v>SÃO JOÃO DEL REI</v>
      </c>
      <c r="E808">
        <v>3925</v>
      </c>
    </row>
    <row r="809" spans="1:5" x14ac:dyDescent="0.3">
      <c r="A809" s="4">
        <v>316890</v>
      </c>
      <c r="B809" s="4" t="s">
        <v>871</v>
      </c>
      <c r="C809" s="4" t="str">
        <f>VLOOKUP(População!A809,Ginecologia_dados!B:E,3,FALSE)</f>
        <v>NOROESTE</v>
      </c>
      <c r="D809" s="4" t="str">
        <f>VLOOKUP(A809,Ginecologia_dados!B:C,2,FALSE)</f>
        <v>SÃO GOTARDO</v>
      </c>
      <c r="E809">
        <v>3781</v>
      </c>
    </row>
    <row r="810" spans="1:5" x14ac:dyDescent="0.3">
      <c r="A810" s="4">
        <v>316900</v>
      </c>
      <c r="B810" s="4" t="s">
        <v>872</v>
      </c>
      <c r="C810" s="4" t="str">
        <f>VLOOKUP(População!A810,Ginecologia_dados!B:E,3,FALSE)</f>
        <v>SUDESTE</v>
      </c>
      <c r="D810" s="4" t="str">
        <f>VLOOKUP(A810,Ginecologia_dados!B:C,2,FALSE)</f>
        <v>UBÁ</v>
      </c>
      <c r="E810">
        <v>8251</v>
      </c>
    </row>
    <row r="811" spans="1:5" x14ac:dyDescent="0.3">
      <c r="A811" s="4">
        <v>316905</v>
      </c>
      <c r="B811" s="4" t="s">
        <v>873</v>
      </c>
      <c r="C811" s="4" t="str">
        <f>VLOOKUP(População!A811,Ginecologia_dados!B:E,3,FALSE)</f>
        <v>SUL</v>
      </c>
      <c r="D811" s="4" t="str">
        <f>VLOOKUP(A811,Ginecologia_dados!B:C,2,FALSE)</f>
        <v>POUSO ALEGRE</v>
      </c>
      <c r="E811">
        <v>1821</v>
      </c>
    </row>
    <row r="812" spans="1:5" x14ac:dyDescent="0.3">
      <c r="A812" s="4">
        <v>316910</v>
      </c>
      <c r="B812" s="4" t="s">
        <v>874</v>
      </c>
      <c r="C812" s="4" t="str">
        <f>VLOOKUP(População!A812,Ginecologia_dados!B:E,3,FALSE)</f>
        <v>SUL</v>
      </c>
      <c r="D812" s="4" t="str">
        <f>VLOOKUP(A812,Ginecologia_dados!B:C,2,FALSE)</f>
        <v>POUSO ALEGRE</v>
      </c>
      <c r="E812">
        <v>3305</v>
      </c>
    </row>
    <row r="813" spans="1:5" x14ac:dyDescent="0.3">
      <c r="A813" s="4">
        <v>316920</v>
      </c>
      <c r="B813" s="4" t="s">
        <v>875</v>
      </c>
      <c r="C813" s="4" t="str">
        <f>VLOOKUP(População!A813,Ginecologia_dados!B:E,3,FALSE)</f>
        <v>SUDESTE</v>
      </c>
      <c r="D813" s="4" t="str">
        <f>VLOOKUP(A813,Ginecologia_dados!B:C,2,FALSE)</f>
        <v>CARANGOLA</v>
      </c>
      <c r="E813">
        <v>4573</v>
      </c>
    </row>
    <row r="814" spans="1:5" x14ac:dyDescent="0.3">
      <c r="A814" s="4">
        <v>316930</v>
      </c>
      <c r="B814" s="4" t="s">
        <v>876</v>
      </c>
      <c r="C814" s="4" t="str">
        <f>VLOOKUP(População!A814,Ginecologia_dados!B:E,3,FALSE)</f>
        <v>SUL</v>
      </c>
      <c r="D814" s="4" t="str">
        <f>VLOOKUP(A814,Ginecologia_dados!B:C,2,FALSE)</f>
        <v>TRÊS CORAÇÕES</v>
      </c>
      <c r="E814">
        <v>38858</v>
      </c>
    </row>
    <row r="815" spans="1:5" x14ac:dyDescent="0.3">
      <c r="A815" s="4">
        <v>316935</v>
      </c>
      <c r="B815" s="4" t="s">
        <v>877</v>
      </c>
      <c r="C815" s="4" t="str">
        <f>VLOOKUP(População!A815,Ginecologia_dados!B:E,3,FALSE)</f>
        <v>CENTRO</v>
      </c>
      <c r="D815" s="4" t="str">
        <f>VLOOKUP(A815,Ginecologia_dados!B:C,2,FALSE)</f>
        <v>CURVELO</v>
      </c>
      <c r="E815">
        <v>15059</v>
      </c>
    </row>
    <row r="816" spans="1:5" x14ac:dyDescent="0.3">
      <c r="A816" s="4">
        <v>316940</v>
      </c>
      <c r="B816" s="4" t="s">
        <v>878</v>
      </c>
      <c r="C816" s="4" t="str">
        <f>VLOOKUP(População!A816,Ginecologia_dados!B:E,3,FALSE)</f>
        <v>SUL</v>
      </c>
      <c r="D816" s="4" t="str">
        <f>VLOOKUP(A816,Ginecologia_dados!B:C,2,FALSE)</f>
        <v>TRÊS PONTAS</v>
      </c>
      <c r="E816">
        <v>28697</v>
      </c>
    </row>
    <row r="817" spans="1:5" x14ac:dyDescent="0.3">
      <c r="A817" s="4">
        <v>316950</v>
      </c>
      <c r="B817" s="4" t="s">
        <v>879</v>
      </c>
      <c r="C817" s="4" t="str">
        <f>VLOOKUP(População!A817,Ginecologia_dados!B:E,3,FALSE)</f>
        <v>LESTE</v>
      </c>
      <c r="D817" s="4" t="str">
        <f>VLOOKUP(A817,Ginecologia_dados!B:C,2,FALSE)</f>
        <v>GOVERNADOR VALADARES</v>
      </c>
      <c r="E817">
        <v>3053</v>
      </c>
    </row>
    <row r="818" spans="1:5" x14ac:dyDescent="0.3">
      <c r="A818" s="4">
        <v>316960</v>
      </c>
      <c r="B818" s="4" t="s">
        <v>880</v>
      </c>
      <c r="C818" s="4" t="str">
        <f>VLOOKUP(População!A818,Ginecologia_dados!B:E,3,FALSE)</f>
        <v>TRIÂNGULO DO NORTE</v>
      </c>
      <c r="D818" s="4" t="str">
        <f>VLOOKUP(A818,Ginecologia_dados!B:C,2,FALSE)</f>
        <v>UBERLÂNDIA/ARAGUARI</v>
      </c>
      <c r="E818">
        <v>12956</v>
      </c>
    </row>
    <row r="819" spans="1:5" x14ac:dyDescent="0.3">
      <c r="A819" s="4">
        <v>316970</v>
      </c>
      <c r="B819" s="4" t="s">
        <v>881</v>
      </c>
      <c r="C819" s="4" t="str">
        <f>VLOOKUP(População!A819,Ginecologia_dados!B:E,3,FALSE)</f>
        <v>JEQUITINHONHA</v>
      </c>
      <c r="D819" s="4" t="str">
        <f>VLOOKUP(A819,Ginecologia_dados!B:C,2,FALSE)</f>
        <v>TURMALINA/MINAS NOVAS/CAPELINHA</v>
      </c>
      <c r="E819">
        <v>9862</v>
      </c>
    </row>
    <row r="820" spans="1:5" x14ac:dyDescent="0.3">
      <c r="A820" s="4">
        <v>316980</v>
      </c>
      <c r="B820" s="4" t="s">
        <v>882</v>
      </c>
      <c r="C820" s="4" t="str">
        <f>VLOOKUP(População!A820,Ginecologia_dados!B:E,3,FALSE)</f>
        <v>SUL</v>
      </c>
      <c r="D820" s="4" t="str">
        <f>VLOOKUP(A820,Ginecologia_dados!B:C,2,FALSE)</f>
        <v>POUSO ALEGRE</v>
      </c>
      <c r="E820">
        <v>2363</v>
      </c>
    </row>
    <row r="821" spans="1:5" x14ac:dyDescent="0.3">
      <c r="A821" s="4">
        <v>316990</v>
      </c>
      <c r="B821" s="4" t="s">
        <v>883</v>
      </c>
      <c r="C821" s="4" t="str">
        <f>VLOOKUP(População!A821,Ginecologia_dados!B:E,3,FALSE)</f>
        <v>SUDESTE</v>
      </c>
      <c r="D821" s="4" t="str">
        <f>VLOOKUP(A821,Ginecologia_dados!B:C,2,FALSE)</f>
        <v>UBÁ</v>
      </c>
      <c r="E821">
        <v>54112</v>
      </c>
    </row>
    <row r="822" spans="1:5" x14ac:dyDescent="0.3">
      <c r="A822" s="4">
        <v>317000</v>
      </c>
      <c r="B822" s="4" t="s">
        <v>884</v>
      </c>
      <c r="C822" s="4" t="str">
        <f>VLOOKUP(População!A822,Ginecologia_dados!B:E,3,FALSE)</f>
        <v>NORTE</v>
      </c>
      <c r="D822" s="4" t="str">
        <f>VLOOKUP(A822,Ginecologia_dados!B:C,2,FALSE)</f>
        <v>BRASÍLIA DE MINAS/SÃO FRANCISCO</v>
      </c>
      <c r="E822">
        <v>5929</v>
      </c>
    </row>
    <row r="823" spans="1:5" x14ac:dyDescent="0.3">
      <c r="A823" s="4">
        <v>317005</v>
      </c>
      <c r="B823" s="4" t="s">
        <v>885</v>
      </c>
      <c r="C823" s="4" t="str">
        <f>VLOOKUP(População!A823,Ginecologia_dados!B:E,3,FALSE)</f>
        <v>VALE DO AÇO</v>
      </c>
      <c r="D823" s="4" t="str">
        <f>VLOOKUP(A823,Ginecologia_dados!B:C,2,FALSE)</f>
        <v>CARATINGA</v>
      </c>
      <c r="E823">
        <v>6440</v>
      </c>
    </row>
    <row r="824" spans="1:5" x14ac:dyDescent="0.3">
      <c r="A824" s="4">
        <v>317010</v>
      </c>
      <c r="B824" s="4" t="s">
        <v>19</v>
      </c>
      <c r="C824" s="4" t="str">
        <f>VLOOKUP(População!A824,Ginecologia_dados!B:E,3,FALSE)</f>
        <v>TRIÂNGULO DO SUL</v>
      </c>
      <c r="D824" s="4" t="str">
        <f>VLOOKUP(A824,Ginecologia_dados!B:C,2,FALSE)</f>
        <v>UBERABA</v>
      </c>
      <c r="E824">
        <v>172618</v>
      </c>
    </row>
    <row r="825" spans="1:5" x14ac:dyDescent="0.3">
      <c r="A825" s="4">
        <v>317020</v>
      </c>
      <c r="B825" s="4" t="s">
        <v>886</v>
      </c>
      <c r="C825" s="4" t="str">
        <f>VLOOKUP(População!A825,Ginecologia_dados!B:E,3,FALSE)</f>
        <v>TRIÂNGULO DO NORTE</v>
      </c>
      <c r="D825" s="4" t="str">
        <f>VLOOKUP(A825,Ginecologia_dados!B:C,2,FALSE)</f>
        <v>UBERLÂNDIA/ARAGUARI</v>
      </c>
      <c r="E825">
        <v>362508</v>
      </c>
    </row>
    <row r="826" spans="1:5" x14ac:dyDescent="0.3">
      <c r="A826" s="4">
        <v>317030</v>
      </c>
      <c r="B826" s="4" t="s">
        <v>887</v>
      </c>
      <c r="C826" s="4" t="str">
        <f>VLOOKUP(População!A826,Ginecologia_dados!B:E,3,FALSE)</f>
        <v>NORDESTE</v>
      </c>
      <c r="D826" s="4" t="str">
        <f>VLOOKUP(A826,Ginecologia_dados!B:C,2,FALSE)</f>
        <v>ÁGUAS FORMOSAS</v>
      </c>
      <c r="E826">
        <v>1334</v>
      </c>
    </row>
    <row r="827" spans="1:5" x14ac:dyDescent="0.3">
      <c r="A827" s="4">
        <v>317040</v>
      </c>
      <c r="B827" s="4" t="s">
        <v>888</v>
      </c>
      <c r="C827" s="4" t="str">
        <f>VLOOKUP(População!A827,Ginecologia_dados!B:E,3,FALSE)</f>
        <v>NOROESTE</v>
      </c>
      <c r="D827" s="4" t="str">
        <f>VLOOKUP(A827,Ginecologia_dados!B:C,2,FALSE)</f>
        <v>UNAÍ</v>
      </c>
      <c r="E827">
        <v>42907</v>
      </c>
    </row>
    <row r="828" spans="1:5" x14ac:dyDescent="0.3">
      <c r="A828" s="4">
        <v>317043</v>
      </c>
      <c r="B828" s="4" t="s">
        <v>889</v>
      </c>
      <c r="C828" s="4" t="str">
        <f>VLOOKUP(População!A828,Ginecologia_dados!B:E,3,FALSE)</f>
        <v>TRIÂNGULO DO SUL</v>
      </c>
      <c r="D828" s="4" t="str">
        <f>VLOOKUP(A828,Ginecologia_dados!B:C,2,FALSE)</f>
        <v>FRUTAL/ITURAMA</v>
      </c>
      <c r="E828">
        <v>1910</v>
      </c>
    </row>
    <row r="829" spans="1:5" x14ac:dyDescent="0.3">
      <c r="A829" s="4">
        <v>317047</v>
      </c>
      <c r="B829" s="4" t="s">
        <v>890</v>
      </c>
      <c r="C829" s="4" t="str">
        <f>VLOOKUP(População!A829,Ginecologia_dados!B:E,3,FALSE)</f>
        <v>NOROESTE</v>
      </c>
      <c r="D829" s="4" t="str">
        <f>VLOOKUP(A829,Ginecologia_dados!B:C,2,FALSE)</f>
        <v>UNAÍ</v>
      </c>
      <c r="E829">
        <v>1671</v>
      </c>
    </row>
    <row r="830" spans="1:5" x14ac:dyDescent="0.3">
      <c r="A830" s="4">
        <v>317050</v>
      </c>
      <c r="B830" s="4" t="s">
        <v>891</v>
      </c>
      <c r="C830" s="4" t="str">
        <f>VLOOKUP(População!A830,Ginecologia_dados!B:E,3,FALSE)</f>
        <v>LESTE DO SUL</v>
      </c>
      <c r="D830" s="4" t="str">
        <f>VLOOKUP(A830,Ginecologia_dados!B:C,2,FALSE)</f>
        <v>PONTE NOVA</v>
      </c>
      <c r="E830">
        <v>5382</v>
      </c>
    </row>
    <row r="831" spans="1:5" x14ac:dyDescent="0.3">
      <c r="A831" s="4">
        <v>317052</v>
      </c>
      <c r="B831" s="4" t="s">
        <v>892</v>
      </c>
      <c r="C831" s="4" t="str">
        <f>VLOOKUP(População!A831,Ginecologia_dados!B:E,3,FALSE)</f>
        <v>NORTE</v>
      </c>
      <c r="D831" s="4" t="str">
        <f>VLOOKUP(A831,Ginecologia_dados!B:C,2,FALSE)</f>
        <v>BRASÍLIA DE MINAS/SÃO FRANCISCO</v>
      </c>
      <c r="E831">
        <v>8138</v>
      </c>
    </row>
    <row r="832" spans="1:5" x14ac:dyDescent="0.3">
      <c r="A832" s="4">
        <v>317057</v>
      </c>
      <c r="B832" s="4" t="s">
        <v>893</v>
      </c>
      <c r="C832" s="4" t="str">
        <f>VLOOKUP(População!A832,Ginecologia_dados!B:E,3,FALSE)</f>
        <v>VALE DO AÇO</v>
      </c>
      <c r="D832" s="4" t="str">
        <f>VLOOKUP(A832,Ginecologia_dados!B:C,2,FALSE)</f>
        <v>CARATINGA</v>
      </c>
      <c r="E832">
        <v>3045</v>
      </c>
    </row>
    <row r="833" spans="1:5" x14ac:dyDescent="0.3">
      <c r="A833" s="4">
        <v>317060</v>
      </c>
      <c r="B833" s="4" t="s">
        <v>894</v>
      </c>
      <c r="C833" s="4" t="str">
        <f>VLOOKUP(População!A833,Ginecologia_dados!B:E,3,FALSE)</f>
        <v>SUL</v>
      </c>
      <c r="D833" s="4" t="str">
        <f>VLOOKUP(A833,Ginecologia_dados!B:C,2,FALSE)</f>
        <v>PIUMHI</v>
      </c>
      <c r="E833">
        <v>1028</v>
      </c>
    </row>
    <row r="834" spans="1:5" x14ac:dyDescent="0.3">
      <c r="A834" s="4">
        <v>317065</v>
      </c>
      <c r="B834" s="4" t="s">
        <v>895</v>
      </c>
      <c r="C834" s="4" t="str">
        <f>VLOOKUP(População!A834,Ginecologia_dados!B:E,3,FALSE)</f>
        <v>NORTE</v>
      </c>
      <c r="D834" s="4" t="str">
        <f>VLOOKUP(A834,Ginecologia_dados!B:C,2,FALSE)</f>
        <v>TAIOBEIRAS</v>
      </c>
      <c r="E834">
        <v>2283</v>
      </c>
    </row>
    <row r="835" spans="1:5" x14ac:dyDescent="0.3">
      <c r="A835" s="4">
        <v>317070</v>
      </c>
      <c r="B835" s="4" t="s">
        <v>296</v>
      </c>
      <c r="C835" s="4" t="str">
        <f>VLOOKUP(População!A835,Ginecologia_dados!B:E,3,FALSE)</f>
        <v>SUL</v>
      </c>
      <c r="D835" s="4" t="str">
        <f>VLOOKUP(A835,Ginecologia_dados!B:C,2,FALSE)</f>
        <v>VARGINHA</v>
      </c>
      <c r="E835">
        <v>70069</v>
      </c>
    </row>
    <row r="836" spans="1:5" x14ac:dyDescent="0.3">
      <c r="A836" s="4">
        <v>317075</v>
      </c>
      <c r="B836" s="4" t="s">
        <v>896</v>
      </c>
      <c r="C836" s="4" t="str">
        <f>VLOOKUP(População!A836,Ginecologia_dados!B:E,3,FALSE)</f>
        <v>NOROESTE</v>
      </c>
      <c r="D836" s="4" t="str">
        <f>VLOOKUP(A836,Ginecologia_dados!B:C,2,FALSE)</f>
        <v>PATOS DE MINAS</v>
      </c>
      <c r="E836">
        <v>3261</v>
      </c>
    </row>
    <row r="837" spans="1:5" x14ac:dyDescent="0.3">
      <c r="A837" s="4">
        <v>317080</v>
      </c>
      <c r="B837" s="4" t="s">
        <v>897</v>
      </c>
      <c r="C837" s="4" t="str">
        <f>VLOOKUP(População!A837,Ginecologia_dados!B:E,3,FALSE)</f>
        <v>NORTE</v>
      </c>
      <c r="D837" s="4" t="str">
        <f>VLOOKUP(A837,Ginecologia_dados!B:C,2,FALSE)</f>
        <v>PIRAPORA</v>
      </c>
      <c r="E837">
        <v>17645</v>
      </c>
    </row>
    <row r="838" spans="1:5" x14ac:dyDescent="0.3">
      <c r="A838" s="4">
        <v>317090</v>
      </c>
      <c r="B838" s="4" t="s">
        <v>898</v>
      </c>
      <c r="C838" s="4" t="str">
        <f>VLOOKUP(População!A838,Ginecologia_dados!B:E,3,FALSE)</f>
        <v>NORTE</v>
      </c>
      <c r="D838" s="4" t="str">
        <f>VLOOKUP(A838,Ginecologia_dados!B:C,2,FALSE)</f>
        <v>BRASÍLIA DE MINAS/SÃO FRANCISCO</v>
      </c>
      <c r="E838">
        <v>9520</v>
      </c>
    </row>
    <row r="839" spans="1:5" x14ac:dyDescent="0.3">
      <c r="A839" s="4">
        <v>317100</v>
      </c>
      <c r="B839" s="4" t="s">
        <v>899</v>
      </c>
      <c r="C839" s="4" t="str">
        <f>VLOOKUP(População!A839,Ginecologia_dados!B:E,3,FALSE)</f>
        <v>NOROESTE</v>
      </c>
      <c r="D839" s="4" t="str">
        <f>VLOOKUP(A839,Ginecologia_dados!B:C,2,FALSE)</f>
        <v>PATOS DE MINAS</v>
      </c>
      <c r="E839">
        <v>10113</v>
      </c>
    </row>
    <row r="840" spans="1:5" x14ac:dyDescent="0.3">
      <c r="A840" s="4">
        <v>317103</v>
      </c>
      <c r="B840" s="4" t="s">
        <v>900</v>
      </c>
      <c r="C840" s="4" t="str">
        <f>VLOOKUP(População!A840,Ginecologia_dados!B:E,3,FALSE)</f>
        <v>NORTE</v>
      </c>
      <c r="D840" s="4" t="str">
        <f>VLOOKUP(A840,Ginecologia_dados!B:C,2,FALSE)</f>
        <v>JANAÚBA/MONTE AZUL</v>
      </c>
      <c r="E840">
        <v>3925</v>
      </c>
    </row>
    <row r="841" spans="1:5" x14ac:dyDescent="0.3">
      <c r="A841" s="4">
        <v>317107</v>
      </c>
      <c r="B841" s="4" t="s">
        <v>901</v>
      </c>
      <c r="C841" s="4" t="str">
        <f>VLOOKUP(População!A841,Ginecologia_dados!B:E,3,FALSE)</f>
        <v>JEQUITINHONHA</v>
      </c>
      <c r="D841" s="4" t="str">
        <f>VLOOKUP(A841,Ginecologia_dados!B:C,2,FALSE)</f>
        <v>TURMALINA/MINAS NOVAS/CAPELINHA</v>
      </c>
      <c r="E841">
        <v>2620</v>
      </c>
    </row>
    <row r="842" spans="1:5" x14ac:dyDescent="0.3">
      <c r="A842" s="4">
        <v>317110</v>
      </c>
      <c r="B842" s="4" t="s">
        <v>902</v>
      </c>
      <c r="C842" s="4" t="str">
        <f>VLOOKUP(População!A842,Ginecologia_dados!B:E,3,FALSE)</f>
        <v>TRIÂNGULO DO SUL</v>
      </c>
      <c r="D842" s="4" t="str">
        <f>VLOOKUP(A842,Ginecologia_dados!B:C,2,FALSE)</f>
        <v>UBERABA</v>
      </c>
      <c r="E842">
        <v>1671</v>
      </c>
    </row>
    <row r="843" spans="1:5" x14ac:dyDescent="0.3">
      <c r="A843" s="4">
        <v>317115</v>
      </c>
      <c r="B843" s="4" t="s">
        <v>903</v>
      </c>
      <c r="C843" s="4" t="str">
        <f>VLOOKUP(População!A843,Ginecologia_dados!B:E,3,FALSE)</f>
        <v>VALE DO AÇO</v>
      </c>
      <c r="D843" s="4" t="str">
        <f>VLOOKUP(A843,Ginecologia_dados!B:C,2,FALSE)</f>
        <v>CARATINGA</v>
      </c>
      <c r="E843">
        <v>2408</v>
      </c>
    </row>
    <row r="844" spans="1:5" x14ac:dyDescent="0.3">
      <c r="A844" s="4">
        <v>317120</v>
      </c>
      <c r="B844" s="4" t="s">
        <v>283</v>
      </c>
      <c r="C844" s="4" t="str">
        <f>VLOOKUP(População!A844,Ginecologia_dados!B:E,3,FALSE)</f>
        <v>CENTRO</v>
      </c>
      <c r="D844" s="4" t="str">
        <f>VLOOKUP(A844,Ginecologia_dados!B:C,2,FALSE)</f>
        <v>VESPASIANO</v>
      </c>
      <c r="E844">
        <v>64468</v>
      </c>
    </row>
    <row r="845" spans="1:5" x14ac:dyDescent="0.3">
      <c r="A845" s="4">
        <v>317130</v>
      </c>
      <c r="B845" s="4" t="s">
        <v>904</v>
      </c>
      <c r="C845" s="4" t="str">
        <f>VLOOKUP(População!A845,Ginecologia_dados!B:E,3,FALSE)</f>
        <v>LESTE DO SUL</v>
      </c>
      <c r="D845" s="4" t="str">
        <f>VLOOKUP(A845,Ginecologia_dados!B:C,2,FALSE)</f>
        <v>VIÇOSA</v>
      </c>
      <c r="E845">
        <v>40072</v>
      </c>
    </row>
    <row r="846" spans="1:5" x14ac:dyDescent="0.3">
      <c r="A846" s="4">
        <v>317140</v>
      </c>
      <c r="B846" s="4" t="s">
        <v>905</v>
      </c>
      <c r="C846" s="4" t="str">
        <f>VLOOKUP(População!A846,Ginecologia_dados!B:E,3,FALSE)</f>
        <v>SUDESTE</v>
      </c>
      <c r="D846" s="4" t="str">
        <f>VLOOKUP(A846,Ginecologia_dados!B:C,2,FALSE)</f>
        <v>MURIAÉ</v>
      </c>
      <c r="E846">
        <v>1861</v>
      </c>
    </row>
    <row r="847" spans="1:5" x14ac:dyDescent="0.3">
      <c r="A847" s="4">
        <v>317150</v>
      </c>
      <c r="B847" s="4" t="s">
        <v>906</v>
      </c>
      <c r="C847" s="4" t="str">
        <f>VLOOKUP(População!A847,Ginecologia_dados!B:E,3,FALSE)</f>
        <v>LESTE</v>
      </c>
      <c r="D847" s="4" t="str">
        <f>VLOOKUP(A847,Ginecologia_dados!B:C,2,FALSE)</f>
        <v>GOVERNADOR VALADARES</v>
      </c>
      <c r="E847">
        <v>1615</v>
      </c>
    </row>
    <row r="848" spans="1:5" x14ac:dyDescent="0.3">
      <c r="A848" s="4">
        <v>317160</v>
      </c>
      <c r="B848" s="4" t="s">
        <v>907</v>
      </c>
      <c r="C848" s="4" t="str">
        <f>VLOOKUP(População!A848,Ginecologia_dados!B:E,3,FALSE)</f>
        <v>JEQUITINHONHA</v>
      </c>
      <c r="D848" s="4" t="str">
        <f>VLOOKUP(A848,Ginecologia_dados!B:C,2,FALSE)</f>
        <v>ARAÇUAÍ</v>
      </c>
      <c r="E848">
        <v>6337</v>
      </c>
    </row>
    <row r="849" spans="1:5" x14ac:dyDescent="0.3">
      <c r="A849" s="4">
        <v>317170</v>
      </c>
      <c r="B849" s="4" t="s">
        <v>908</v>
      </c>
      <c r="C849" s="4" t="str">
        <f>VLOOKUP(População!A849,Ginecologia_dados!B:E,3,FALSE)</f>
        <v>SUL</v>
      </c>
      <c r="D849" s="4" t="str">
        <f>VLOOKUP(A849,Ginecologia_dados!B:C,2,FALSE)</f>
        <v>SÃO LOURENÇO</v>
      </c>
      <c r="E849">
        <v>4496</v>
      </c>
    </row>
    <row r="850" spans="1:5" x14ac:dyDescent="0.3">
      <c r="A850" s="4">
        <v>317180</v>
      </c>
      <c r="B850" s="4" t="s">
        <v>909</v>
      </c>
      <c r="C850" s="4" t="str">
        <f>VLOOKUP(População!A850,Ginecologia_dados!B:E,3,FALSE)</f>
        <v>CENTRO</v>
      </c>
      <c r="D850" s="4" t="str">
        <f>VLOOKUP(A850,Ginecologia_dados!B:C,2,FALSE)</f>
        <v>GUANHÃES</v>
      </c>
      <c r="E850">
        <v>5399</v>
      </c>
    </row>
    <row r="851" spans="1:5" x14ac:dyDescent="0.3">
      <c r="A851" s="4">
        <v>317190</v>
      </c>
      <c r="B851" s="4" t="s">
        <v>910</v>
      </c>
      <c r="C851" s="4" t="str">
        <f>VLOOKUP(População!A851,Ginecologia_dados!B:E,3,FALSE)</f>
        <v>LESTE</v>
      </c>
      <c r="D851" s="4" t="str">
        <f>VLOOKUP(A851,Ginecologia_dados!B:C,2,FALSE)</f>
        <v>GOVERNADOR VALADARES</v>
      </c>
      <c r="E851">
        <v>2508</v>
      </c>
    </row>
    <row r="852" spans="1:5" x14ac:dyDescent="0.3">
      <c r="A852" s="4">
        <v>317200</v>
      </c>
      <c r="B852" s="4" t="s">
        <v>911</v>
      </c>
      <c r="C852" s="4" t="str">
        <f>VLOOKUP(População!A852,Ginecologia_dados!B:E,3,FALSE)</f>
        <v>SUDESTE</v>
      </c>
      <c r="D852" s="4" t="str">
        <f>VLOOKUP(A852,Ginecologia_dados!B:C,2,FALSE)</f>
        <v>UBÁ</v>
      </c>
      <c r="E852">
        <v>20369</v>
      </c>
    </row>
    <row r="853" spans="1:5" x14ac:dyDescent="0.3">
      <c r="A853" s="4">
        <v>317210</v>
      </c>
      <c r="B853" s="4" t="s">
        <v>912</v>
      </c>
      <c r="C853" s="4" t="str">
        <f>VLOOKUP(População!A853,Ginecologia_dados!B:E,3,FALSE)</f>
        <v>SUDESTE</v>
      </c>
      <c r="D853" s="4" t="str">
        <f>VLOOKUP(A853,Ginecologia_dados!B:C,2,FALSE)</f>
        <v>ALÉM PARAÍBA</v>
      </c>
      <c r="E853">
        <v>2399</v>
      </c>
    </row>
    <row r="854" spans="1:5" x14ac:dyDescent="0.3">
      <c r="A854" s="4">
        <v>317220</v>
      </c>
      <c r="B854" s="4" t="s">
        <v>913</v>
      </c>
      <c r="C854" s="4" t="str">
        <f>VLOOKUP(População!A854,Ginecologia_dados!B:E,3,FALSE)</f>
        <v>SUL</v>
      </c>
      <c r="D854" s="4" t="str">
        <f>VLOOKUP(A854,Ginecologia_dados!B:C,2,FALSE)</f>
        <v>ITAJUBÁ</v>
      </c>
      <c r="E854">
        <v>1224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0580-2C6E-4E9A-B62F-B7660146CB4B}">
  <dimension ref="A1:I17"/>
  <sheetViews>
    <sheetView workbookViewId="0">
      <selection activeCell="B22" sqref="B22"/>
    </sheetView>
  </sheetViews>
  <sheetFormatPr defaultRowHeight="14.4" x14ac:dyDescent="0.3"/>
  <cols>
    <col min="1" max="1" width="15.21875" customWidth="1"/>
    <col min="2" max="2" width="21.5546875" style="4" customWidth="1"/>
  </cols>
  <sheetData>
    <row r="1" spans="1:9" x14ac:dyDescent="0.3">
      <c r="A1" s="5" t="s">
        <v>919</v>
      </c>
      <c r="B1" s="1" t="s">
        <v>942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">
      <c r="A2" s="2" t="s">
        <v>4</v>
      </c>
      <c r="B2" s="3">
        <v>3377209</v>
      </c>
      <c r="C2" s="3">
        <v>8679</v>
      </c>
      <c r="D2" s="3">
        <v>8276</v>
      </c>
      <c r="E2" s="3">
        <v>4178</v>
      </c>
      <c r="F2" s="3">
        <v>4354</v>
      </c>
      <c r="G2" s="3">
        <v>10881</v>
      </c>
      <c r="H2" s="3">
        <v>12553</v>
      </c>
      <c r="I2" s="3">
        <v>12109</v>
      </c>
    </row>
    <row r="3" spans="1:9" x14ac:dyDescent="0.3">
      <c r="A3" s="2" t="s">
        <v>42</v>
      </c>
      <c r="B3" s="3">
        <v>398051</v>
      </c>
      <c r="C3" s="3">
        <v>746</v>
      </c>
      <c r="D3" s="3">
        <v>861</v>
      </c>
      <c r="E3" s="3">
        <v>438</v>
      </c>
      <c r="F3" s="3">
        <v>450</v>
      </c>
      <c r="G3" s="3">
        <v>1018</v>
      </c>
      <c r="H3" s="3">
        <v>897</v>
      </c>
      <c r="I3" s="3">
        <v>1225</v>
      </c>
    </row>
    <row r="4" spans="1:9" x14ac:dyDescent="0.3">
      <c r="A4" s="2" t="s">
        <v>56</v>
      </c>
      <c r="B4" s="3">
        <v>199599</v>
      </c>
      <c r="C4" s="3">
        <v>603</v>
      </c>
      <c r="D4" s="3">
        <v>694</v>
      </c>
      <c r="E4" s="3">
        <v>291</v>
      </c>
      <c r="F4" s="3">
        <v>315</v>
      </c>
      <c r="G4" s="3">
        <v>830</v>
      </c>
      <c r="H4" s="3">
        <v>1209</v>
      </c>
      <c r="I4" s="3">
        <v>1365</v>
      </c>
    </row>
    <row r="5" spans="1:9" x14ac:dyDescent="0.3">
      <c r="A5" s="2" t="s">
        <v>15</v>
      </c>
      <c r="B5" s="3">
        <v>343037</v>
      </c>
      <c r="C5" s="3">
        <v>843</v>
      </c>
      <c r="D5" s="3">
        <v>684</v>
      </c>
      <c r="E5" s="3">
        <v>371</v>
      </c>
      <c r="F5" s="3">
        <v>364</v>
      </c>
      <c r="G5" s="3">
        <v>856</v>
      </c>
      <c r="H5" s="3">
        <v>1313</v>
      </c>
      <c r="I5" s="3">
        <v>1638</v>
      </c>
    </row>
    <row r="6" spans="1:9" x14ac:dyDescent="0.3">
      <c r="A6" s="2" t="s">
        <v>7</v>
      </c>
      <c r="B6" s="3">
        <v>352121</v>
      </c>
      <c r="C6" s="3">
        <v>1119</v>
      </c>
      <c r="D6" s="3">
        <v>1057</v>
      </c>
      <c r="E6" s="3">
        <v>640</v>
      </c>
      <c r="F6" s="3">
        <v>707</v>
      </c>
      <c r="G6" s="3">
        <v>996</v>
      </c>
      <c r="H6" s="3">
        <v>996</v>
      </c>
      <c r="I6" s="3">
        <v>1093</v>
      </c>
    </row>
    <row r="7" spans="1:9" x14ac:dyDescent="0.3">
      <c r="A7" s="2" t="s">
        <v>24</v>
      </c>
      <c r="B7" s="3">
        <v>406281</v>
      </c>
      <c r="C7" s="3">
        <v>1070</v>
      </c>
      <c r="D7" s="3">
        <v>1104</v>
      </c>
      <c r="E7" s="3">
        <v>422</v>
      </c>
      <c r="F7" s="3">
        <v>587</v>
      </c>
      <c r="G7" s="3">
        <v>1560</v>
      </c>
      <c r="H7" s="3">
        <v>1949</v>
      </c>
      <c r="I7" s="3">
        <v>2711</v>
      </c>
    </row>
    <row r="8" spans="1:9" x14ac:dyDescent="0.3">
      <c r="A8" s="2" t="s">
        <v>82</v>
      </c>
      <c r="B8" s="3">
        <v>354717</v>
      </c>
      <c r="C8" s="3">
        <v>1084</v>
      </c>
      <c r="D8" s="3">
        <v>1087</v>
      </c>
      <c r="E8" s="3">
        <v>499</v>
      </c>
      <c r="F8" s="3">
        <v>443</v>
      </c>
      <c r="G8" s="3">
        <v>1216</v>
      </c>
      <c r="H8" s="3">
        <v>1542</v>
      </c>
      <c r="I8" s="3">
        <v>1454</v>
      </c>
    </row>
    <row r="9" spans="1:9" x14ac:dyDescent="0.3">
      <c r="A9" s="2" t="s">
        <v>126</v>
      </c>
      <c r="B9" s="3">
        <v>827805</v>
      </c>
      <c r="C9" s="3">
        <v>2614</v>
      </c>
      <c r="D9" s="3">
        <v>2613</v>
      </c>
      <c r="E9" s="3">
        <v>1077</v>
      </c>
      <c r="F9" s="3">
        <v>1312</v>
      </c>
      <c r="G9" s="3">
        <v>3277</v>
      </c>
      <c r="H9" s="3">
        <v>5926</v>
      </c>
      <c r="I9" s="3">
        <v>5467</v>
      </c>
    </row>
    <row r="10" spans="1:9" x14ac:dyDescent="0.3">
      <c r="A10" s="2" t="s">
        <v>21</v>
      </c>
      <c r="B10" s="3">
        <v>647918</v>
      </c>
      <c r="C10" s="3">
        <v>1279</v>
      </c>
      <c r="D10" s="3">
        <v>1192</v>
      </c>
      <c r="E10" s="3">
        <v>708</v>
      </c>
      <c r="F10" s="3">
        <v>736</v>
      </c>
      <c r="G10" s="3">
        <v>1768</v>
      </c>
      <c r="H10" s="3">
        <v>2103</v>
      </c>
      <c r="I10" s="3">
        <v>2429</v>
      </c>
    </row>
    <row r="11" spans="1:9" x14ac:dyDescent="0.3">
      <c r="A11" s="2" t="s">
        <v>37</v>
      </c>
      <c r="B11" s="3">
        <v>849097</v>
      </c>
      <c r="C11" s="3">
        <v>1873</v>
      </c>
      <c r="D11" s="3">
        <v>1634</v>
      </c>
      <c r="E11" s="3">
        <v>776</v>
      </c>
      <c r="F11" s="3">
        <v>996</v>
      </c>
      <c r="G11" s="3">
        <v>1639</v>
      </c>
      <c r="H11" s="3">
        <v>2032</v>
      </c>
      <c r="I11" s="3">
        <v>2065</v>
      </c>
    </row>
    <row r="12" spans="1:9" x14ac:dyDescent="0.3">
      <c r="A12" s="2" t="s">
        <v>31</v>
      </c>
      <c r="B12" s="3">
        <v>1411689</v>
      </c>
      <c r="C12" s="3">
        <v>2760</v>
      </c>
      <c r="D12" s="3">
        <v>2663</v>
      </c>
      <c r="E12" s="3">
        <v>1610</v>
      </c>
      <c r="F12" s="3">
        <v>1512</v>
      </c>
      <c r="G12" s="3">
        <v>2814</v>
      </c>
      <c r="H12" s="3">
        <v>4026</v>
      </c>
      <c r="I12" s="3">
        <v>4513</v>
      </c>
    </row>
    <row r="13" spans="1:9" x14ac:dyDescent="0.3">
      <c r="A13" s="2" t="s">
        <v>0</v>
      </c>
      <c r="B13" s="3">
        <v>668990</v>
      </c>
      <c r="C13" s="3">
        <v>2070</v>
      </c>
      <c r="D13" s="3">
        <v>2206</v>
      </c>
      <c r="E13" s="3">
        <v>1088</v>
      </c>
      <c r="F13" s="3">
        <v>1196</v>
      </c>
      <c r="G13" s="3">
        <v>1694</v>
      </c>
      <c r="H13" s="3">
        <v>2212</v>
      </c>
      <c r="I13" s="3">
        <v>3036</v>
      </c>
    </row>
    <row r="14" spans="1:9" x14ac:dyDescent="0.3">
      <c r="A14" s="2" t="s">
        <v>18</v>
      </c>
      <c r="B14" s="3">
        <v>392834</v>
      </c>
      <c r="C14" s="3">
        <v>781</v>
      </c>
      <c r="D14" s="3">
        <v>766</v>
      </c>
      <c r="E14" s="3">
        <v>393</v>
      </c>
      <c r="F14" s="3">
        <v>313</v>
      </c>
      <c r="G14" s="3">
        <v>558</v>
      </c>
      <c r="H14" s="3">
        <v>848</v>
      </c>
      <c r="I14" s="3">
        <v>957</v>
      </c>
    </row>
    <row r="15" spans="1:9" x14ac:dyDescent="0.3">
      <c r="A15" s="2" t="s">
        <v>12</v>
      </c>
      <c r="B15" s="3">
        <v>414970</v>
      </c>
      <c r="C15" s="3">
        <v>656</v>
      </c>
      <c r="D15" s="3">
        <v>493</v>
      </c>
      <c r="E15" s="3">
        <v>298</v>
      </c>
      <c r="F15" s="3">
        <v>364</v>
      </c>
      <c r="G15" s="3">
        <v>773</v>
      </c>
      <c r="H15" s="3">
        <v>1193</v>
      </c>
      <c r="I15" s="3">
        <v>1378</v>
      </c>
    </row>
    <row r="16" spans="1:9" x14ac:dyDescent="0.3">
      <c r="A16" s="2" t="s">
        <v>918</v>
      </c>
      <c r="B16" s="3">
        <f>SUM(B2:B15)</f>
        <v>10644318</v>
      </c>
      <c r="C16" s="3">
        <v>26177</v>
      </c>
      <c r="D16" s="3">
        <v>25330</v>
      </c>
      <c r="E16" s="3">
        <v>12789</v>
      </c>
      <c r="F16" s="3">
        <v>13649</v>
      </c>
      <c r="G16" s="3">
        <v>29880</v>
      </c>
      <c r="H16" s="3">
        <v>38799</v>
      </c>
      <c r="I16" s="3">
        <v>41440</v>
      </c>
    </row>
    <row r="17" spans="3:9" x14ac:dyDescent="0.3">
      <c r="C17" s="4"/>
      <c r="D17" s="4"/>
      <c r="E17" s="4"/>
      <c r="F17" s="4"/>
      <c r="G17" s="4"/>
      <c r="H17" s="4"/>
      <c r="I17" s="4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10AE-6FF4-477C-AF65-65DAA36DA45E}">
  <dimension ref="A1:N18"/>
  <sheetViews>
    <sheetView tabSelected="1" workbookViewId="0">
      <selection activeCell="A11" sqref="A11"/>
    </sheetView>
  </sheetViews>
  <sheetFormatPr defaultRowHeight="14.4" x14ac:dyDescent="0.3"/>
  <cols>
    <col min="1" max="1" width="20.5546875" customWidth="1"/>
    <col min="4" max="4" width="10.44140625" customWidth="1"/>
    <col min="5" max="5" width="7.6640625" customWidth="1"/>
    <col min="6" max="6" width="12.88671875" customWidth="1"/>
    <col min="8" max="8" width="11.44140625" customWidth="1"/>
    <col min="10" max="10" width="13" customWidth="1"/>
    <col min="12" max="12" width="12.88671875" customWidth="1"/>
    <col min="14" max="14" width="15.109375" customWidth="1"/>
  </cols>
  <sheetData>
    <row r="1" spans="1:14" x14ac:dyDescent="0.3">
      <c r="A1" s="13" t="s">
        <v>923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5" t="s">
        <v>919</v>
      </c>
      <c r="B2" s="1">
        <v>2018</v>
      </c>
      <c r="C2" s="1">
        <v>2019</v>
      </c>
      <c r="D2" s="6" t="s">
        <v>924</v>
      </c>
      <c r="E2" s="1">
        <v>2020</v>
      </c>
      <c r="F2" s="6" t="s">
        <v>925</v>
      </c>
      <c r="G2" s="1">
        <v>2021</v>
      </c>
      <c r="H2" s="6" t="s">
        <v>926</v>
      </c>
      <c r="I2" s="1">
        <v>2022</v>
      </c>
      <c r="J2" s="6" t="s">
        <v>927</v>
      </c>
      <c r="K2" s="1">
        <v>2023</v>
      </c>
      <c r="L2" s="6" t="s">
        <v>928</v>
      </c>
      <c r="M2" s="1">
        <v>2024</v>
      </c>
      <c r="N2" s="6" t="s">
        <v>929</v>
      </c>
    </row>
    <row r="3" spans="1:14" x14ac:dyDescent="0.3">
      <c r="A3" s="2" t="s">
        <v>4</v>
      </c>
      <c r="B3" s="3">
        <v>8679</v>
      </c>
      <c r="C3" s="3">
        <v>8276</v>
      </c>
      <c r="D3" s="7">
        <f>(C3-B3)/B3*100</f>
        <v>-4.6433920958635788</v>
      </c>
      <c r="E3" s="3">
        <v>4178</v>
      </c>
      <c r="F3" s="7">
        <f>(E3-C3)/C3*100</f>
        <v>-49.51667472208797</v>
      </c>
      <c r="G3" s="3">
        <v>4354</v>
      </c>
      <c r="H3" s="7">
        <f>(G3-E3)/E3*100</f>
        <v>4.2125418860698902</v>
      </c>
      <c r="I3" s="3">
        <v>10881</v>
      </c>
      <c r="J3" s="7">
        <f>(I3-G3)/G3*100</f>
        <v>149.90813045475423</v>
      </c>
      <c r="K3" s="3">
        <v>12553</v>
      </c>
      <c r="L3" s="7">
        <f>(K3-I3)/I3*100</f>
        <v>15.366234721073429</v>
      </c>
      <c r="M3" s="3">
        <v>12109</v>
      </c>
      <c r="N3" s="7">
        <f>(M3-K3)/K3*100</f>
        <v>-3.5370031068270533</v>
      </c>
    </row>
    <row r="4" spans="1:14" x14ac:dyDescent="0.3">
      <c r="A4" s="2" t="s">
        <v>42</v>
      </c>
      <c r="B4" s="3">
        <v>746</v>
      </c>
      <c r="C4" s="3">
        <v>861</v>
      </c>
      <c r="D4" s="7">
        <f t="shared" ref="D4:D17" si="0">(C4-B4)/B4*100</f>
        <v>15.415549597855227</v>
      </c>
      <c r="E4" s="3">
        <v>438</v>
      </c>
      <c r="F4" s="7">
        <f t="shared" ref="F4:F17" si="1">(E4-C4)/C4*100</f>
        <v>-49.128919860627178</v>
      </c>
      <c r="G4" s="3">
        <v>450</v>
      </c>
      <c r="H4" s="7">
        <f t="shared" ref="H4:H17" si="2">(G4-E4)/E4*100</f>
        <v>2.7397260273972601</v>
      </c>
      <c r="I4" s="3">
        <v>1018</v>
      </c>
      <c r="J4" s="7">
        <f t="shared" ref="J4:J17" si="3">(I4-G4)/G4*100</f>
        <v>126.22222222222221</v>
      </c>
      <c r="K4" s="3">
        <v>897</v>
      </c>
      <c r="L4" s="7">
        <f t="shared" ref="L4:L17" si="4">(K4-I4)/I4*100</f>
        <v>-11.886051080550098</v>
      </c>
      <c r="M4" s="3">
        <v>1225</v>
      </c>
      <c r="N4" s="7">
        <f t="shared" ref="N4:N17" si="5">(M4-K4)/K4*100</f>
        <v>36.566332218506133</v>
      </c>
    </row>
    <row r="5" spans="1:14" x14ac:dyDescent="0.3">
      <c r="A5" s="2" t="s">
        <v>56</v>
      </c>
      <c r="B5" s="3">
        <v>603</v>
      </c>
      <c r="C5" s="3">
        <v>694</v>
      </c>
      <c r="D5" s="7">
        <f t="shared" si="0"/>
        <v>15.091210613598674</v>
      </c>
      <c r="E5" s="3">
        <v>291</v>
      </c>
      <c r="F5" s="7">
        <f t="shared" si="1"/>
        <v>-58.069164265129679</v>
      </c>
      <c r="G5" s="3">
        <v>315</v>
      </c>
      <c r="H5" s="7">
        <f t="shared" si="2"/>
        <v>8.2474226804123703</v>
      </c>
      <c r="I5" s="3">
        <v>830</v>
      </c>
      <c r="J5" s="7">
        <f t="shared" si="3"/>
        <v>163.49206349206349</v>
      </c>
      <c r="K5" s="3">
        <v>1209</v>
      </c>
      <c r="L5" s="7">
        <f t="shared" si="4"/>
        <v>45.662650602409641</v>
      </c>
      <c r="M5" s="3">
        <v>1365</v>
      </c>
      <c r="N5" s="7">
        <f t="shared" si="5"/>
        <v>12.903225806451612</v>
      </c>
    </row>
    <row r="6" spans="1:14" x14ac:dyDescent="0.3">
      <c r="A6" s="2" t="s">
        <v>15</v>
      </c>
      <c r="B6" s="3">
        <v>843</v>
      </c>
      <c r="C6" s="3">
        <v>684</v>
      </c>
      <c r="D6" s="7">
        <f t="shared" si="0"/>
        <v>-18.861209964412812</v>
      </c>
      <c r="E6" s="3">
        <v>371</v>
      </c>
      <c r="F6" s="7">
        <f t="shared" si="1"/>
        <v>-45.760233918128655</v>
      </c>
      <c r="G6" s="3">
        <v>364</v>
      </c>
      <c r="H6" s="7">
        <f t="shared" si="2"/>
        <v>-1.8867924528301887</v>
      </c>
      <c r="I6" s="3">
        <v>856</v>
      </c>
      <c r="J6" s="7">
        <f t="shared" si="3"/>
        <v>135.16483516483518</v>
      </c>
      <c r="K6" s="3">
        <v>1313</v>
      </c>
      <c r="L6" s="7">
        <f t="shared" si="4"/>
        <v>53.387850467289724</v>
      </c>
      <c r="M6" s="3">
        <v>1638</v>
      </c>
      <c r="N6" s="7">
        <f t="shared" si="5"/>
        <v>24.752475247524753</v>
      </c>
    </row>
    <row r="7" spans="1:14" x14ac:dyDescent="0.3">
      <c r="A7" s="2" t="s">
        <v>7</v>
      </c>
      <c r="B7" s="3">
        <v>1119</v>
      </c>
      <c r="C7" s="3">
        <v>1057</v>
      </c>
      <c r="D7" s="7">
        <f t="shared" si="0"/>
        <v>-5.5406613047363713</v>
      </c>
      <c r="E7" s="3">
        <v>640</v>
      </c>
      <c r="F7" s="7">
        <f t="shared" si="1"/>
        <v>-39.451277199621572</v>
      </c>
      <c r="G7" s="3">
        <v>707</v>
      </c>
      <c r="H7" s="7">
        <f t="shared" si="2"/>
        <v>10.46875</v>
      </c>
      <c r="I7" s="3">
        <v>996</v>
      </c>
      <c r="J7" s="7">
        <f t="shared" si="3"/>
        <v>40.876944837340879</v>
      </c>
      <c r="K7" s="3">
        <v>996</v>
      </c>
      <c r="L7" s="7">
        <f t="shared" si="4"/>
        <v>0</v>
      </c>
      <c r="M7" s="3">
        <v>1093</v>
      </c>
      <c r="N7" s="7">
        <f t="shared" si="5"/>
        <v>9.738955823293173</v>
      </c>
    </row>
    <row r="8" spans="1:14" x14ac:dyDescent="0.3">
      <c r="A8" s="2" t="s">
        <v>24</v>
      </c>
      <c r="B8" s="3">
        <v>1070</v>
      </c>
      <c r="C8" s="3">
        <v>1104</v>
      </c>
      <c r="D8" s="7">
        <f t="shared" si="0"/>
        <v>3.1775700934579438</v>
      </c>
      <c r="E8" s="3">
        <v>422</v>
      </c>
      <c r="F8" s="7">
        <f t="shared" si="1"/>
        <v>-61.775362318840578</v>
      </c>
      <c r="G8" s="3">
        <v>587</v>
      </c>
      <c r="H8" s="7">
        <f t="shared" si="2"/>
        <v>39.099526066350712</v>
      </c>
      <c r="I8" s="3">
        <v>1560</v>
      </c>
      <c r="J8" s="7">
        <f t="shared" si="3"/>
        <v>165.7580919931857</v>
      </c>
      <c r="K8" s="3">
        <v>1949</v>
      </c>
      <c r="L8" s="7">
        <f t="shared" si="4"/>
        <v>24.935897435897438</v>
      </c>
      <c r="M8" s="3">
        <v>2711</v>
      </c>
      <c r="N8" s="7">
        <f t="shared" si="5"/>
        <v>39.096972806567472</v>
      </c>
    </row>
    <row r="9" spans="1:14" x14ac:dyDescent="0.3">
      <c r="A9" s="2" t="s">
        <v>82</v>
      </c>
      <c r="B9" s="3">
        <v>1084</v>
      </c>
      <c r="C9" s="3">
        <v>1087</v>
      </c>
      <c r="D9" s="7">
        <f t="shared" si="0"/>
        <v>0.27675276752767525</v>
      </c>
      <c r="E9" s="3">
        <v>499</v>
      </c>
      <c r="F9" s="7">
        <f t="shared" si="1"/>
        <v>-54.09383624655014</v>
      </c>
      <c r="G9" s="3">
        <v>443</v>
      </c>
      <c r="H9" s="7">
        <f t="shared" si="2"/>
        <v>-11.22244488977956</v>
      </c>
      <c r="I9" s="3">
        <v>1216</v>
      </c>
      <c r="J9" s="7">
        <f t="shared" si="3"/>
        <v>174.49209932279911</v>
      </c>
      <c r="K9" s="3">
        <v>1542</v>
      </c>
      <c r="L9" s="7">
        <f t="shared" si="4"/>
        <v>26.809210526315791</v>
      </c>
      <c r="M9" s="3">
        <v>1454</v>
      </c>
      <c r="N9" s="7">
        <f t="shared" si="5"/>
        <v>-5.7068741893644619</v>
      </c>
    </row>
    <row r="10" spans="1:14" x14ac:dyDescent="0.3">
      <c r="A10" s="2" t="s">
        <v>126</v>
      </c>
      <c r="B10" s="3">
        <v>2614</v>
      </c>
      <c r="C10" s="3">
        <v>2613</v>
      </c>
      <c r="D10" s="7">
        <f t="shared" si="0"/>
        <v>-3.8255547054322873E-2</v>
      </c>
      <c r="E10" s="3">
        <v>1077</v>
      </c>
      <c r="F10" s="7">
        <f t="shared" si="1"/>
        <v>-58.783008036739382</v>
      </c>
      <c r="G10" s="3">
        <v>1312</v>
      </c>
      <c r="H10" s="7">
        <f t="shared" si="2"/>
        <v>21.819870009285051</v>
      </c>
      <c r="I10" s="3">
        <v>3277</v>
      </c>
      <c r="J10" s="7">
        <f t="shared" si="3"/>
        <v>149.77134146341464</v>
      </c>
      <c r="K10" s="3">
        <v>5926</v>
      </c>
      <c r="L10" s="7">
        <f t="shared" si="4"/>
        <v>80.836130607262731</v>
      </c>
      <c r="M10" s="3">
        <v>5467</v>
      </c>
      <c r="N10" s="7">
        <f t="shared" si="5"/>
        <v>-7.7455281808977388</v>
      </c>
    </row>
    <row r="11" spans="1:14" x14ac:dyDescent="0.3">
      <c r="A11" s="2" t="s">
        <v>21</v>
      </c>
      <c r="B11" s="3">
        <v>1279</v>
      </c>
      <c r="C11" s="3">
        <v>1192</v>
      </c>
      <c r="D11" s="7">
        <f t="shared" si="0"/>
        <v>-6.8021892103205621</v>
      </c>
      <c r="E11" s="3">
        <v>708</v>
      </c>
      <c r="F11" s="7">
        <f t="shared" si="1"/>
        <v>-40.604026845637584</v>
      </c>
      <c r="G11" s="3">
        <v>736</v>
      </c>
      <c r="H11" s="7">
        <f t="shared" si="2"/>
        <v>3.9548022598870061</v>
      </c>
      <c r="I11" s="3">
        <v>1768</v>
      </c>
      <c r="J11" s="7">
        <f t="shared" si="3"/>
        <v>140.21739130434781</v>
      </c>
      <c r="K11" s="3">
        <v>2103</v>
      </c>
      <c r="L11" s="7">
        <f t="shared" si="4"/>
        <v>18.947963800904976</v>
      </c>
      <c r="M11" s="3">
        <v>2429</v>
      </c>
      <c r="N11" s="7">
        <f t="shared" si="5"/>
        <v>15.501664289110796</v>
      </c>
    </row>
    <row r="12" spans="1:14" x14ac:dyDescent="0.3">
      <c r="A12" s="2" t="s">
        <v>37</v>
      </c>
      <c r="B12" s="3">
        <v>1873</v>
      </c>
      <c r="C12" s="3">
        <v>1634</v>
      </c>
      <c r="D12" s="7">
        <f t="shared" si="0"/>
        <v>-12.760277629471437</v>
      </c>
      <c r="E12" s="3">
        <v>776</v>
      </c>
      <c r="F12" s="7">
        <f t="shared" si="1"/>
        <v>-52.509179926560591</v>
      </c>
      <c r="G12" s="3">
        <v>996</v>
      </c>
      <c r="H12" s="7">
        <f t="shared" si="2"/>
        <v>28.350515463917525</v>
      </c>
      <c r="I12" s="3">
        <v>1639</v>
      </c>
      <c r="J12" s="7">
        <f t="shared" si="3"/>
        <v>64.558232931726906</v>
      </c>
      <c r="K12" s="3">
        <v>2032</v>
      </c>
      <c r="L12" s="7">
        <f t="shared" si="4"/>
        <v>23.978035387431358</v>
      </c>
      <c r="M12" s="3">
        <v>2065</v>
      </c>
      <c r="N12" s="7">
        <f t="shared" si="5"/>
        <v>1.6240157480314958</v>
      </c>
    </row>
    <row r="13" spans="1:14" x14ac:dyDescent="0.3">
      <c r="A13" s="2" t="s">
        <v>31</v>
      </c>
      <c r="B13" s="3">
        <v>2760</v>
      </c>
      <c r="C13" s="3">
        <v>2663</v>
      </c>
      <c r="D13" s="7">
        <f t="shared" si="0"/>
        <v>-3.5144927536231885</v>
      </c>
      <c r="E13" s="3">
        <v>1610</v>
      </c>
      <c r="F13" s="7">
        <f t="shared" si="1"/>
        <v>-39.541870071348107</v>
      </c>
      <c r="G13" s="3">
        <v>1512</v>
      </c>
      <c r="H13" s="7">
        <f t="shared" si="2"/>
        <v>-6.0869565217391308</v>
      </c>
      <c r="I13" s="3">
        <v>2814</v>
      </c>
      <c r="J13" s="7">
        <f t="shared" si="3"/>
        <v>86.111111111111114</v>
      </c>
      <c r="K13" s="3">
        <v>4026</v>
      </c>
      <c r="L13" s="7">
        <f t="shared" si="4"/>
        <v>43.070362473347544</v>
      </c>
      <c r="M13" s="3">
        <v>4513</v>
      </c>
      <c r="N13" s="7">
        <f t="shared" si="5"/>
        <v>12.096373571783408</v>
      </c>
    </row>
    <row r="14" spans="1:14" x14ac:dyDescent="0.3">
      <c r="A14" s="2" t="s">
        <v>0</v>
      </c>
      <c r="B14" s="3">
        <v>2070</v>
      </c>
      <c r="C14" s="3">
        <v>2206</v>
      </c>
      <c r="D14" s="7">
        <f t="shared" si="0"/>
        <v>6.5700483091787447</v>
      </c>
      <c r="E14" s="3">
        <v>1088</v>
      </c>
      <c r="F14" s="7">
        <f t="shared" si="1"/>
        <v>-50.679963735267449</v>
      </c>
      <c r="G14" s="3">
        <v>1196</v>
      </c>
      <c r="H14" s="7">
        <f t="shared" si="2"/>
        <v>9.9264705882352935</v>
      </c>
      <c r="I14" s="3">
        <v>1694</v>
      </c>
      <c r="J14" s="7">
        <f t="shared" si="3"/>
        <v>41.638795986622071</v>
      </c>
      <c r="K14" s="3">
        <v>2212</v>
      </c>
      <c r="L14" s="7">
        <f t="shared" si="4"/>
        <v>30.578512396694212</v>
      </c>
      <c r="M14" s="3">
        <v>3036</v>
      </c>
      <c r="N14" s="7">
        <f t="shared" si="5"/>
        <v>37.251356238698015</v>
      </c>
    </row>
    <row r="15" spans="1:14" x14ac:dyDescent="0.3">
      <c r="A15" s="2" t="s">
        <v>18</v>
      </c>
      <c r="B15" s="3">
        <v>781</v>
      </c>
      <c r="C15" s="3">
        <v>766</v>
      </c>
      <c r="D15" s="7">
        <f t="shared" si="0"/>
        <v>-1.9206145966709345</v>
      </c>
      <c r="E15" s="3">
        <v>393</v>
      </c>
      <c r="F15" s="7">
        <f t="shared" si="1"/>
        <v>-48.69451697127937</v>
      </c>
      <c r="G15" s="3">
        <v>313</v>
      </c>
      <c r="H15" s="7">
        <f t="shared" si="2"/>
        <v>-20.356234096692109</v>
      </c>
      <c r="I15" s="3">
        <v>558</v>
      </c>
      <c r="J15" s="7">
        <f t="shared" si="3"/>
        <v>78.274760383386578</v>
      </c>
      <c r="K15" s="3">
        <v>848</v>
      </c>
      <c r="L15" s="7">
        <f t="shared" si="4"/>
        <v>51.971326164874554</v>
      </c>
      <c r="M15" s="3">
        <v>957</v>
      </c>
      <c r="N15" s="7">
        <f t="shared" si="5"/>
        <v>12.853773584905662</v>
      </c>
    </row>
    <row r="16" spans="1:14" x14ac:dyDescent="0.3">
      <c r="A16" s="2" t="s">
        <v>12</v>
      </c>
      <c r="B16" s="3">
        <v>656</v>
      </c>
      <c r="C16" s="3">
        <v>493</v>
      </c>
      <c r="D16" s="7">
        <f t="shared" si="0"/>
        <v>-24.847560975609756</v>
      </c>
      <c r="E16" s="3">
        <v>298</v>
      </c>
      <c r="F16" s="7">
        <f t="shared" si="1"/>
        <v>-39.553752535496955</v>
      </c>
      <c r="G16" s="3">
        <v>364</v>
      </c>
      <c r="H16" s="7">
        <f t="shared" si="2"/>
        <v>22.14765100671141</v>
      </c>
      <c r="I16" s="3">
        <v>773</v>
      </c>
      <c r="J16" s="7">
        <f t="shared" si="3"/>
        <v>112.36263736263736</v>
      </c>
      <c r="K16" s="3">
        <v>1193</v>
      </c>
      <c r="L16" s="7">
        <f t="shared" si="4"/>
        <v>54.333764553686933</v>
      </c>
      <c r="M16" s="3">
        <v>1378</v>
      </c>
      <c r="N16" s="7">
        <f t="shared" si="5"/>
        <v>15.50712489522213</v>
      </c>
    </row>
    <row r="17" spans="1:14" x14ac:dyDescent="0.3">
      <c r="A17" s="2" t="s">
        <v>918</v>
      </c>
      <c r="B17" s="3">
        <v>26177</v>
      </c>
      <c r="C17" s="3">
        <v>25330</v>
      </c>
      <c r="D17" s="7">
        <f t="shared" si="0"/>
        <v>-3.2356648966650114</v>
      </c>
      <c r="E17" s="3">
        <v>12789</v>
      </c>
      <c r="F17" s="7">
        <f t="shared" si="1"/>
        <v>-49.510461902881957</v>
      </c>
      <c r="G17" s="3">
        <v>13649</v>
      </c>
      <c r="H17" s="7">
        <f t="shared" si="2"/>
        <v>6.7245288920165764</v>
      </c>
      <c r="I17" s="3">
        <v>29880</v>
      </c>
      <c r="J17" s="7">
        <f t="shared" si="3"/>
        <v>118.91713678657779</v>
      </c>
      <c r="K17" s="3">
        <v>38799</v>
      </c>
      <c r="L17" s="7">
        <f t="shared" si="4"/>
        <v>29.849397590361448</v>
      </c>
      <c r="M17" s="3">
        <v>41440</v>
      </c>
      <c r="N17" s="7">
        <f t="shared" si="5"/>
        <v>6.8068764658882968</v>
      </c>
    </row>
    <row r="18" spans="1:14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</sheetData>
  <mergeCells count="1">
    <mergeCell ref="A1:N1"/>
  </mergeCells>
  <conditionalFormatting sqref="D3:D17 F3:F17 H3:H17 J3:J17 L3:L17 N3:N17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theme="9"/>
      </colorScale>
    </cfRule>
    <cfRule type="colorScale" priority="3">
      <colorScale>
        <cfvo type="min"/>
        <cfvo type="max"/>
        <color rgb="FFFF0000"/>
        <color theme="9"/>
      </colorScale>
    </cfRule>
    <cfRule type="colorScale" priority="4">
      <colorScale>
        <cfvo type="min"/>
        <cfvo type="max"/>
        <color rgb="FFFF7128"/>
        <color theme="9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7352-7C14-4E83-AEE1-B30982D8177E}">
  <dimension ref="A1:D18"/>
  <sheetViews>
    <sheetView workbookViewId="0">
      <selection activeCell="C11" sqref="C11"/>
    </sheetView>
  </sheetViews>
  <sheetFormatPr defaultRowHeight="14.4" x14ac:dyDescent="0.3"/>
  <cols>
    <col min="1" max="1" width="20.5546875" customWidth="1"/>
    <col min="4" max="4" width="13" customWidth="1"/>
  </cols>
  <sheetData>
    <row r="1" spans="1:4" ht="45" customHeight="1" x14ac:dyDescent="0.3">
      <c r="A1" s="15" t="s">
        <v>933</v>
      </c>
      <c r="B1" s="16"/>
      <c r="C1" s="16"/>
      <c r="D1" s="16"/>
    </row>
    <row r="2" spans="1:4" x14ac:dyDescent="0.3">
      <c r="A2" s="5" t="s">
        <v>919</v>
      </c>
      <c r="B2" s="1">
        <v>2019</v>
      </c>
      <c r="C2" s="1">
        <v>2022</v>
      </c>
      <c r="D2" s="6" t="s">
        <v>932</v>
      </c>
    </row>
    <row r="3" spans="1:4" x14ac:dyDescent="0.3">
      <c r="A3" s="2" t="s">
        <v>4</v>
      </c>
      <c r="B3" s="3">
        <v>8276</v>
      </c>
      <c r="C3" s="3">
        <v>10881</v>
      </c>
      <c r="D3" s="7">
        <f>(C3-B3)/B3*100</f>
        <v>31.476558724021263</v>
      </c>
    </row>
    <row r="4" spans="1:4" x14ac:dyDescent="0.3">
      <c r="A4" s="2" t="s">
        <v>42</v>
      </c>
      <c r="B4" s="3">
        <v>861</v>
      </c>
      <c r="C4" s="3">
        <v>1018</v>
      </c>
      <c r="D4" s="7">
        <f t="shared" ref="D4:D17" si="0">(C4-B4)/B4*100</f>
        <v>18.234610917537747</v>
      </c>
    </row>
    <row r="5" spans="1:4" x14ac:dyDescent="0.3">
      <c r="A5" s="2" t="s">
        <v>56</v>
      </c>
      <c r="B5" s="3">
        <v>694</v>
      </c>
      <c r="C5" s="3">
        <v>830</v>
      </c>
      <c r="D5" s="7">
        <f t="shared" si="0"/>
        <v>19.596541786743515</v>
      </c>
    </row>
    <row r="6" spans="1:4" x14ac:dyDescent="0.3">
      <c r="A6" s="2" t="s">
        <v>15</v>
      </c>
      <c r="B6" s="3">
        <v>684</v>
      </c>
      <c r="C6" s="3">
        <v>856</v>
      </c>
      <c r="D6" s="7">
        <f t="shared" si="0"/>
        <v>25.146198830409354</v>
      </c>
    </row>
    <row r="7" spans="1:4" x14ac:dyDescent="0.3">
      <c r="A7" s="2" t="s">
        <v>7</v>
      </c>
      <c r="B7" s="3">
        <v>1057</v>
      </c>
      <c r="C7" s="3">
        <v>996</v>
      </c>
      <c r="D7" s="7">
        <f t="shared" si="0"/>
        <v>-5.7710501419110685</v>
      </c>
    </row>
    <row r="8" spans="1:4" x14ac:dyDescent="0.3">
      <c r="A8" s="2" t="s">
        <v>24</v>
      </c>
      <c r="B8" s="3">
        <v>1104</v>
      </c>
      <c r="C8" s="3">
        <v>1560</v>
      </c>
      <c r="D8" s="7">
        <f t="shared" si="0"/>
        <v>41.304347826086953</v>
      </c>
    </row>
    <row r="9" spans="1:4" x14ac:dyDescent="0.3">
      <c r="A9" s="2" t="s">
        <v>82</v>
      </c>
      <c r="B9" s="3">
        <v>1087</v>
      </c>
      <c r="C9" s="3">
        <v>1216</v>
      </c>
      <c r="D9" s="7">
        <f t="shared" si="0"/>
        <v>11.86752529898804</v>
      </c>
    </row>
    <row r="10" spans="1:4" x14ac:dyDescent="0.3">
      <c r="A10" s="2" t="s">
        <v>126</v>
      </c>
      <c r="B10" s="3">
        <v>2613</v>
      </c>
      <c r="C10" s="3">
        <v>3277</v>
      </c>
      <c r="D10" s="7">
        <f t="shared" si="0"/>
        <v>25.411404515882129</v>
      </c>
    </row>
    <row r="11" spans="1:4" x14ac:dyDescent="0.3">
      <c r="A11" s="2" t="s">
        <v>21</v>
      </c>
      <c r="B11" s="3">
        <v>1192</v>
      </c>
      <c r="C11" s="3">
        <v>1768</v>
      </c>
      <c r="D11" s="7">
        <f t="shared" si="0"/>
        <v>48.322147651006716</v>
      </c>
    </row>
    <row r="12" spans="1:4" x14ac:dyDescent="0.3">
      <c r="A12" s="2" t="s">
        <v>37</v>
      </c>
      <c r="B12" s="3">
        <v>1634</v>
      </c>
      <c r="C12" s="3">
        <v>1639</v>
      </c>
      <c r="D12" s="7">
        <f t="shared" si="0"/>
        <v>0.30599755201958384</v>
      </c>
    </row>
    <row r="13" spans="1:4" x14ac:dyDescent="0.3">
      <c r="A13" s="2" t="s">
        <v>31</v>
      </c>
      <c r="B13" s="3">
        <v>2663</v>
      </c>
      <c r="C13" s="3">
        <v>2814</v>
      </c>
      <c r="D13" s="7">
        <f t="shared" si="0"/>
        <v>5.6702966579046183</v>
      </c>
    </row>
    <row r="14" spans="1:4" x14ac:dyDescent="0.3">
      <c r="A14" s="2" t="s">
        <v>0</v>
      </c>
      <c r="B14" s="3">
        <v>2206</v>
      </c>
      <c r="C14" s="3">
        <v>1694</v>
      </c>
      <c r="D14" s="7">
        <f t="shared" si="0"/>
        <v>-23.209428830462375</v>
      </c>
    </row>
    <row r="15" spans="1:4" x14ac:dyDescent="0.3">
      <c r="A15" s="2" t="s">
        <v>18</v>
      </c>
      <c r="B15" s="3">
        <v>766</v>
      </c>
      <c r="C15" s="3">
        <v>558</v>
      </c>
      <c r="D15" s="7">
        <f t="shared" si="0"/>
        <v>-27.154046997389038</v>
      </c>
    </row>
    <row r="16" spans="1:4" x14ac:dyDescent="0.3">
      <c r="A16" s="2" t="s">
        <v>12</v>
      </c>
      <c r="B16" s="3">
        <v>493</v>
      </c>
      <c r="C16" s="3">
        <v>773</v>
      </c>
      <c r="D16" s="7">
        <f t="shared" si="0"/>
        <v>56.795131845841787</v>
      </c>
    </row>
    <row r="17" spans="1:4" x14ac:dyDescent="0.3">
      <c r="A17" s="2" t="s">
        <v>918</v>
      </c>
      <c r="B17" s="3">
        <v>25330</v>
      </c>
      <c r="C17" s="3">
        <v>29880</v>
      </c>
      <c r="D17" s="7">
        <f t="shared" si="0"/>
        <v>17.96288985392815</v>
      </c>
    </row>
    <row r="18" spans="1:4" x14ac:dyDescent="0.3">
      <c r="B18" s="4"/>
      <c r="C18" s="4"/>
      <c r="D18" s="4"/>
    </row>
  </sheetData>
  <mergeCells count="1">
    <mergeCell ref="A1:D1"/>
  </mergeCells>
  <conditionalFormatting sqref="D3:D17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DB51-671B-406A-A99E-726DCE629A67}">
  <dimension ref="A1:L18"/>
  <sheetViews>
    <sheetView zoomScale="78" workbookViewId="0">
      <selection activeCell="A2" sqref="A2:I17"/>
    </sheetView>
  </sheetViews>
  <sheetFormatPr defaultRowHeight="14.4" x14ac:dyDescent="0.3"/>
  <cols>
    <col min="1" max="2" width="15.21875" customWidth="1"/>
    <col min="3" max="3" width="12.88671875" customWidth="1"/>
    <col min="4" max="4" width="11.109375" customWidth="1"/>
    <col min="5" max="5" width="12" customWidth="1"/>
    <col min="6" max="8" width="12.5546875" bestFit="1" customWidth="1"/>
    <col min="9" max="9" width="8.88671875" customWidth="1"/>
  </cols>
  <sheetData>
    <row r="1" spans="1:12" x14ac:dyDescent="0.3">
      <c r="A1" s="9" t="s">
        <v>922</v>
      </c>
      <c r="B1" s="10"/>
      <c r="C1" s="10"/>
      <c r="D1" s="10"/>
      <c r="E1" s="10"/>
      <c r="F1" s="10"/>
      <c r="G1" s="10"/>
      <c r="H1" s="10"/>
      <c r="I1" s="11"/>
    </row>
    <row r="2" spans="1:12" x14ac:dyDescent="0.3">
      <c r="A2" s="5" t="s">
        <v>919</v>
      </c>
      <c r="B2" s="1" t="s">
        <v>942</v>
      </c>
      <c r="C2" s="1">
        <v>2018</v>
      </c>
      <c r="D2" s="1">
        <v>2019</v>
      </c>
      <c r="E2" s="1">
        <v>2020</v>
      </c>
      <c r="F2" s="1">
        <v>2021</v>
      </c>
      <c r="G2" s="1">
        <v>2022</v>
      </c>
      <c r="H2" s="1">
        <v>2023</v>
      </c>
      <c r="I2" s="1">
        <v>2024</v>
      </c>
      <c r="J2" s="8" t="s">
        <v>934</v>
      </c>
      <c r="K2" s="8" t="s">
        <v>935</v>
      </c>
      <c r="L2" s="8" t="s">
        <v>936</v>
      </c>
    </row>
    <row r="3" spans="1:12" x14ac:dyDescent="0.3">
      <c r="A3" s="2" t="s">
        <v>4</v>
      </c>
      <c r="B3" s="3">
        <v>3377209</v>
      </c>
      <c r="C3" s="12">
        <v>256.98735257427069</v>
      </c>
      <c r="D3" s="12">
        <v>245.05442215746791</v>
      </c>
      <c r="E3" s="12">
        <v>123.71162104566226</v>
      </c>
      <c r="F3" s="12">
        <v>128.92302490014686</v>
      </c>
      <c r="G3" s="12">
        <v>322.18912125367427</v>
      </c>
      <c r="H3" s="12">
        <v>371.69745787127772</v>
      </c>
      <c r="I3" s="12">
        <v>358.55050723837343</v>
      </c>
      <c r="J3">
        <f t="shared" ref="J3:J17" si="0">G3-D3</f>
        <v>77.134699096206361</v>
      </c>
      <c r="K3">
        <f t="shared" ref="K3:K17" si="1">H3-D3</f>
        <v>126.64303571380981</v>
      </c>
      <c r="L3">
        <f t="shared" ref="L3:L17" si="2">I3-D3</f>
        <v>113.49608508090552</v>
      </c>
    </row>
    <row r="4" spans="1:12" x14ac:dyDescent="0.3">
      <c r="A4" s="2" t="s">
        <v>42</v>
      </c>
      <c r="B4" s="3">
        <v>398051</v>
      </c>
      <c r="C4" s="12">
        <v>187.41317067410961</v>
      </c>
      <c r="D4" s="12">
        <v>216.30394095229002</v>
      </c>
      <c r="E4" s="12">
        <v>110.03615114646114</v>
      </c>
      <c r="F4" s="12">
        <v>113.05084021896691</v>
      </c>
      <c r="G4" s="12">
        <v>255.74612298424074</v>
      </c>
      <c r="H4" s="12">
        <v>225.3480081698074</v>
      </c>
      <c r="I4" s="12">
        <v>307.74950948496553</v>
      </c>
      <c r="J4">
        <f t="shared" si="0"/>
        <v>39.442182031950722</v>
      </c>
      <c r="K4">
        <f t="shared" si="1"/>
        <v>9.0440672175173802</v>
      </c>
      <c r="L4">
        <f t="shared" si="2"/>
        <v>91.445568532675509</v>
      </c>
    </row>
    <row r="5" spans="1:12" x14ac:dyDescent="0.3">
      <c r="A5" s="2" t="s">
        <v>56</v>
      </c>
      <c r="B5" s="3">
        <v>199599</v>
      </c>
      <c r="C5" s="12">
        <v>302.10572197255493</v>
      </c>
      <c r="D5" s="12">
        <v>347.69713275116607</v>
      </c>
      <c r="E5" s="12">
        <v>145.79231358874543</v>
      </c>
      <c r="F5" s="12">
        <v>157.81642192596155</v>
      </c>
      <c r="G5" s="12">
        <v>415.83374666205742</v>
      </c>
      <c r="H5" s="12">
        <v>605.71445748726194</v>
      </c>
      <c r="I5" s="12">
        <v>683.87116167916668</v>
      </c>
      <c r="J5">
        <f t="shared" si="0"/>
        <v>68.136613910891356</v>
      </c>
      <c r="K5">
        <f t="shared" si="1"/>
        <v>258.01732473609587</v>
      </c>
      <c r="L5">
        <f t="shared" si="2"/>
        <v>336.17402892800061</v>
      </c>
    </row>
    <row r="6" spans="1:12" x14ac:dyDescent="0.3">
      <c r="A6" s="2" t="s">
        <v>15</v>
      </c>
      <c r="B6" s="3">
        <v>343037</v>
      </c>
      <c r="C6" s="12">
        <v>245.74608569921031</v>
      </c>
      <c r="D6" s="12">
        <v>199.39540049615638</v>
      </c>
      <c r="E6" s="12">
        <v>108.15159880712575</v>
      </c>
      <c r="F6" s="12">
        <v>106.11100260321774</v>
      </c>
      <c r="G6" s="12">
        <v>249.53576436361095</v>
      </c>
      <c r="H6" s="12">
        <v>382.75754510446393</v>
      </c>
      <c r="I6" s="12">
        <v>477.49951171447981</v>
      </c>
      <c r="J6">
        <f t="shared" si="0"/>
        <v>50.140363867454568</v>
      </c>
      <c r="K6">
        <f t="shared" si="1"/>
        <v>183.36214460830755</v>
      </c>
      <c r="L6">
        <f t="shared" si="2"/>
        <v>278.1041112183234</v>
      </c>
    </row>
    <row r="7" spans="1:12" x14ac:dyDescent="0.3">
      <c r="A7" s="2" t="s">
        <v>7</v>
      </c>
      <c r="B7" s="3">
        <v>352121</v>
      </c>
      <c r="C7" s="12">
        <v>317.78848748015594</v>
      </c>
      <c r="D7" s="12">
        <v>300.18090372343602</v>
      </c>
      <c r="E7" s="12">
        <v>181.7557032951741</v>
      </c>
      <c r="F7" s="12">
        <v>200.78325348388765</v>
      </c>
      <c r="G7" s="12">
        <v>282.85731325311468</v>
      </c>
      <c r="H7" s="12">
        <v>282.85731325311468</v>
      </c>
      <c r="I7" s="12">
        <v>310.40466203378952</v>
      </c>
      <c r="J7">
        <f t="shared" si="0"/>
        <v>-17.323590470321335</v>
      </c>
      <c r="K7">
        <f t="shared" si="1"/>
        <v>-17.323590470321335</v>
      </c>
      <c r="L7">
        <f t="shared" si="2"/>
        <v>10.223758310353503</v>
      </c>
    </row>
    <row r="8" spans="1:12" x14ac:dyDescent="0.3">
      <c r="A8" s="2" t="s">
        <v>24</v>
      </c>
      <c r="B8" s="3">
        <v>406281</v>
      </c>
      <c r="C8" s="12">
        <v>263.36451864596177</v>
      </c>
      <c r="D8" s="12">
        <v>271.73311082723535</v>
      </c>
      <c r="E8" s="12">
        <v>103.8689970734541</v>
      </c>
      <c r="F8" s="12">
        <v>144.48128265904634</v>
      </c>
      <c r="G8" s="12">
        <v>383.970700081963</v>
      </c>
      <c r="H8" s="12">
        <v>479.7172400382986</v>
      </c>
      <c r="I8" s="12">
        <v>667.27215892448828</v>
      </c>
      <c r="J8">
        <f t="shared" si="0"/>
        <v>112.23758925472765</v>
      </c>
      <c r="K8">
        <f t="shared" si="1"/>
        <v>207.98412921106325</v>
      </c>
      <c r="L8">
        <f t="shared" si="2"/>
        <v>395.53904809725293</v>
      </c>
    </row>
    <row r="9" spans="1:12" x14ac:dyDescent="0.3">
      <c r="A9" s="2" t="s">
        <v>82</v>
      </c>
      <c r="B9" s="3">
        <v>354717</v>
      </c>
      <c r="C9" s="12">
        <v>305.59572842575909</v>
      </c>
      <c r="D9" s="12">
        <v>306.44147306162375</v>
      </c>
      <c r="E9" s="12">
        <v>140.67552443215297</v>
      </c>
      <c r="F9" s="12">
        <v>124.88829122934621</v>
      </c>
      <c r="G9" s="12">
        <v>342.8084924038036</v>
      </c>
      <c r="H9" s="12">
        <v>434.71274283442852</v>
      </c>
      <c r="I9" s="12">
        <v>409.90423351573224</v>
      </c>
      <c r="J9">
        <f t="shared" si="0"/>
        <v>36.367019342179844</v>
      </c>
      <c r="K9">
        <f t="shared" si="1"/>
        <v>128.27126977280477</v>
      </c>
      <c r="L9">
        <f t="shared" si="2"/>
        <v>103.46276045410849</v>
      </c>
    </row>
    <row r="10" spans="1:12" x14ac:dyDescent="0.3">
      <c r="A10" s="2" t="s">
        <v>126</v>
      </c>
      <c r="B10" s="3">
        <v>827805</v>
      </c>
      <c r="C10" s="12">
        <v>315.77485035727017</v>
      </c>
      <c r="D10" s="12">
        <v>315.65404896080599</v>
      </c>
      <c r="E10" s="12">
        <v>130.10310399188216</v>
      </c>
      <c r="F10" s="12">
        <v>158.49143216095578</v>
      </c>
      <c r="G10" s="12">
        <v>395.866176212997</v>
      </c>
      <c r="H10" s="12">
        <v>715.86907544651217</v>
      </c>
      <c r="I10" s="12">
        <v>660.42123446947051</v>
      </c>
      <c r="J10">
        <f t="shared" si="0"/>
        <v>80.21212725219101</v>
      </c>
      <c r="K10">
        <f t="shared" si="1"/>
        <v>400.21502648570618</v>
      </c>
      <c r="L10">
        <f t="shared" si="2"/>
        <v>344.76718550866451</v>
      </c>
    </row>
    <row r="11" spans="1:12" x14ac:dyDescent="0.3">
      <c r="A11" s="2" t="s">
        <v>21</v>
      </c>
      <c r="B11" s="3">
        <v>647918</v>
      </c>
      <c r="C11" s="12">
        <v>197.40152303223559</v>
      </c>
      <c r="D11" s="12">
        <v>183.97389793152837</v>
      </c>
      <c r="E11" s="12">
        <v>109.2730870264447</v>
      </c>
      <c r="F11" s="12">
        <v>113.59462154161483</v>
      </c>
      <c r="G11" s="12">
        <v>272.87403652931391</v>
      </c>
      <c r="H11" s="12">
        <v>324.5781101929565</v>
      </c>
      <c r="I11" s="12">
        <v>374.89311919100874</v>
      </c>
      <c r="J11">
        <f t="shared" si="0"/>
        <v>88.900138597785542</v>
      </c>
      <c r="K11">
        <f t="shared" si="1"/>
        <v>140.60421226142813</v>
      </c>
      <c r="L11">
        <f t="shared" si="2"/>
        <v>190.91922125948037</v>
      </c>
    </row>
    <row r="12" spans="1:12" x14ac:dyDescent="0.3">
      <c r="A12" s="2" t="s">
        <v>37</v>
      </c>
      <c r="B12" s="3">
        <v>849097</v>
      </c>
      <c r="C12" s="12">
        <v>220.58728272505968</v>
      </c>
      <c r="D12" s="12">
        <v>192.43973303403499</v>
      </c>
      <c r="E12" s="12">
        <v>91.391207365000696</v>
      </c>
      <c r="F12" s="12">
        <v>117.30108574167616</v>
      </c>
      <c r="G12" s="12">
        <v>193.02859390623215</v>
      </c>
      <c r="H12" s="12">
        <v>239.31305846092965</v>
      </c>
      <c r="I12" s="12">
        <v>243.19954021743101</v>
      </c>
      <c r="J12">
        <f t="shared" si="0"/>
        <v>0.58886087219715932</v>
      </c>
      <c r="K12">
        <f t="shared" si="1"/>
        <v>46.873325426894667</v>
      </c>
      <c r="L12">
        <f t="shared" si="2"/>
        <v>50.75980718339602</v>
      </c>
    </row>
    <row r="13" spans="1:12" x14ac:dyDescent="0.3">
      <c r="A13" s="2" t="s">
        <v>31</v>
      </c>
      <c r="B13" s="3">
        <v>1411689</v>
      </c>
      <c r="C13" s="12">
        <v>195.51048424971788</v>
      </c>
      <c r="D13" s="12">
        <v>188.63928244818794</v>
      </c>
      <c r="E13" s="12">
        <v>114.04778247900209</v>
      </c>
      <c r="F13" s="12">
        <v>107.10574354549763</v>
      </c>
      <c r="G13" s="12">
        <v>199.33568937634283</v>
      </c>
      <c r="H13" s="12">
        <v>285.1902933294798</v>
      </c>
      <c r="I13" s="12">
        <v>319.68797660107856</v>
      </c>
      <c r="J13">
        <f t="shared" si="0"/>
        <v>10.696406928154886</v>
      </c>
      <c r="K13">
        <f t="shared" si="1"/>
        <v>96.551010881291859</v>
      </c>
      <c r="L13">
        <f t="shared" si="2"/>
        <v>131.04869415289062</v>
      </c>
    </row>
    <row r="14" spans="1:12" x14ac:dyDescent="0.3">
      <c r="A14" s="2" t="s">
        <v>0</v>
      </c>
      <c r="B14" s="3">
        <v>668990</v>
      </c>
      <c r="C14" s="12">
        <v>309.42166549574733</v>
      </c>
      <c r="D14" s="12">
        <v>329.75081839788339</v>
      </c>
      <c r="E14" s="12">
        <v>162.63322321708844</v>
      </c>
      <c r="F14" s="12">
        <v>178.7769622864318</v>
      </c>
      <c r="G14" s="12">
        <v>253.21753688395941</v>
      </c>
      <c r="H14" s="12">
        <v>330.64769279062466</v>
      </c>
      <c r="I14" s="12">
        <v>453.81844272709606</v>
      </c>
      <c r="J14">
        <f t="shared" si="0"/>
        <v>-76.533281513923981</v>
      </c>
      <c r="K14">
        <f t="shared" si="1"/>
        <v>0.89687439274126746</v>
      </c>
      <c r="L14">
        <f t="shared" si="2"/>
        <v>124.06762432921266</v>
      </c>
    </row>
    <row r="15" spans="1:12" x14ac:dyDescent="0.3">
      <c r="A15" s="2" t="s">
        <v>18</v>
      </c>
      <c r="B15" s="3">
        <v>392834</v>
      </c>
      <c r="C15" s="12">
        <v>198.81171181720521</v>
      </c>
      <c r="D15" s="12">
        <v>194.99330506015264</v>
      </c>
      <c r="E15" s="12">
        <v>100.04225703477805</v>
      </c>
      <c r="F15" s="12">
        <v>79.677420997164191</v>
      </c>
      <c r="G15" s="12">
        <v>142.04473136235663</v>
      </c>
      <c r="H15" s="12">
        <v>215.86726199870682</v>
      </c>
      <c r="I15" s="12">
        <v>243.61435109995568</v>
      </c>
      <c r="J15">
        <f t="shared" si="0"/>
        <v>-52.948573697796007</v>
      </c>
      <c r="K15">
        <f t="shared" si="1"/>
        <v>20.873956938554187</v>
      </c>
      <c r="L15">
        <f t="shared" si="2"/>
        <v>48.621046039803048</v>
      </c>
    </row>
    <row r="16" spans="1:12" x14ac:dyDescent="0.3">
      <c r="A16" s="2" t="s">
        <v>12</v>
      </c>
      <c r="B16" s="3">
        <v>414970</v>
      </c>
      <c r="C16" s="12">
        <v>158.08371689519726</v>
      </c>
      <c r="D16" s="12">
        <v>118.80376894715282</v>
      </c>
      <c r="E16" s="12">
        <v>71.812420174952408</v>
      </c>
      <c r="F16" s="12">
        <v>87.717184374774078</v>
      </c>
      <c r="G16" s="12">
        <v>186.27852615851748</v>
      </c>
      <c r="H16" s="12">
        <v>287.49066197556448</v>
      </c>
      <c r="I16" s="12">
        <v>332.07219799021618</v>
      </c>
      <c r="J16">
        <f t="shared" si="0"/>
        <v>67.474757211364661</v>
      </c>
      <c r="K16">
        <f t="shared" si="1"/>
        <v>168.68689302841165</v>
      </c>
      <c r="L16">
        <f t="shared" si="2"/>
        <v>213.26842904306335</v>
      </c>
    </row>
    <row r="17" spans="1:12" x14ac:dyDescent="0.3">
      <c r="A17" s="2" t="s">
        <v>918</v>
      </c>
      <c r="B17" s="3">
        <f>SUM(B3:B16)</f>
        <v>10644318</v>
      </c>
      <c r="C17" s="12">
        <v>245.9246332174593</v>
      </c>
      <c r="D17" s="12">
        <v>237.96733618818979</v>
      </c>
      <c r="E17" s="12">
        <v>120.14860886343304</v>
      </c>
      <c r="F17" s="12">
        <v>128.22803677981059</v>
      </c>
      <c r="G17" s="12">
        <v>280.7131466760012</v>
      </c>
      <c r="H17" s="12">
        <v>364.5043299157353</v>
      </c>
      <c r="I17" s="12">
        <v>389.31568936591333</v>
      </c>
      <c r="J17">
        <f t="shared" si="0"/>
        <v>42.745810487811411</v>
      </c>
      <c r="K17">
        <f t="shared" si="1"/>
        <v>126.53699372754551</v>
      </c>
      <c r="L17">
        <f t="shared" si="2"/>
        <v>151.34835317772354</v>
      </c>
    </row>
    <row r="18" spans="1:12" x14ac:dyDescent="0.3">
      <c r="B18" s="4"/>
      <c r="C18" s="4"/>
      <c r="D18" s="4"/>
      <c r="E18" s="4"/>
      <c r="F18" s="4"/>
      <c r="G18" s="4"/>
      <c r="H18" s="4"/>
      <c r="I18" s="4"/>
    </row>
  </sheetData>
  <conditionalFormatting sqref="C3:I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9EB5-C5CC-42B3-8895-8F3C754A7517}">
  <dimension ref="A1:C8"/>
  <sheetViews>
    <sheetView workbookViewId="0">
      <selection activeCell="G21" sqref="G21"/>
    </sheetView>
  </sheetViews>
  <sheetFormatPr defaultRowHeight="14.4" x14ac:dyDescent="0.3"/>
  <cols>
    <col min="1" max="1" width="13.5546875" style="4" customWidth="1"/>
    <col min="2" max="2" width="17.77734375" style="4" customWidth="1"/>
    <col min="3" max="3" width="30.77734375" customWidth="1"/>
  </cols>
  <sheetData>
    <row r="1" spans="1:3" x14ac:dyDescent="0.3">
      <c r="A1" s="1" t="s">
        <v>920</v>
      </c>
      <c r="B1" s="1" t="s">
        <v>921</v>
      </c>
      <c r="C1" s="1" t="s">
        <v>930</v>
      </c>
    </row>
    <row r="2" spans="1:3" x14ac:dyDescent="0.3">
      <c r="A2" s="3">
        <v>2018</v>
      </c>
      <c r="B2" s="3">
        <v>26177</v>
      </c>
      <c r="C2" s="7" t="s">
        <v>931</v>
      </c>
    </row>
    <row r="3" spans="1:3" x14ac:dyDescent="0.3">
      <c r="A3" s="3">
        <v>2019</v>
      </c>
      <c r="B3" s="3">
        <v>25330</v>
      </c>
      <c r="C3" s="7">
        <f t="shared" ref="C3:C8" si="0">(B3-B2)/B2*100</f>
        <v>-3.2356648966650114</v>
      </c>
    </row>
    <row r="4" spans="1:3" x14ac:dyDescent="0.3">
      <c r="A4" s="3">
        <v>2020</v>
      </c>
      <c r="B4" s="3">
        <v>12789</v>
      </c>
      <c r="C4" s="7">
        <f t="shared" si="0"/>
        <v>-49.510461902881957</v>
      </c>
    </row>
    <row r="5" spans="1:3" x14ac:dyDescent="0.3">
      <c r="A5" s="3">
        <v>2021</v>
      </c>
      <c r="B5" s="3">
        <v>13649</v>
      </c>
      <c r="C5" s="7">
        <f t="shared" si="0"/>
        <v>6.7245288920165764</v>
      </c>
    </row>
    <row r="6" spans="1:3" x14ac:dyDescent="0.3">
      <c r="A6" s="3">
        <v>2022</v>
      </c>
      <c r="B6" s="3">
        <v>29880</v>
      </c>
      <c r="C6" s="7">
        <f t="shared" si="0"/>
        <v>118.91713678657779</v>
      </c>
    </row>
    <row r="7" spans="1:3" x14ac:dyDescent="0.3">
      <c r="A7" s="3">
        <v>2023</v>
      </c>
      <c r="B7" s="3">
        <v>38799</v>
      </c>
      <c r="C7" s="7">
        <f t="shared" si="0"/>
        <v>29.849397590361448</v>
      </c>
    </row>
    <row r="8" spans="1:3" x14ac:dyDescent="0.3">
      <c r="A8" s="3">
        <v>2024</v>
      </c>
      <c r="B8" s="3">
        <v>41440</v>
      </c>
      <c r="C8" s="7">
        <f t="shared" si="0"/>
        <v>6.8068764658882968</v>
      </c>
    </row>
  </sheetData>
  <conditionalFormatting sqref="C3:C8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Ginecologia_dados</vt:lpstr>
      <vt:lpstr>População</vt:lpstr>
      <vt:lpstr>Dados_Macrorregião</vt:lpstr>
      <vt:lpstr>Variação % anual</vt:lpstr>
      <vt:lpstr>Variação exceto pandemia</vt:lpstr>
      <vt:lpstr>Cirurgias por 100.000 hab</vt:lpstr>
      <vt:lpstr>Análise_Estadual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2025-10-27T18:01:43Z</dcterms:created>
  <dcterms:modified xsi:type="dcterms:W3CDTF">2025-11-24T01:58:56Z</dcterms:modified>
</cp:coreProperties>
</file>