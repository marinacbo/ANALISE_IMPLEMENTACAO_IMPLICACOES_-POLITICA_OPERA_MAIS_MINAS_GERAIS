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gineco/"/>
    </mc:Choice>
  </mc:AlternateContent>
  <xr:revisionPtr revIDLastSave="42" documentId="8_{7EBA011C-B78A-48EB-B059-0A32D12D73E7}" xr6:coauthVersionLast="47" xr6:coauthVersionMax="47" xr10:uidLastSave="{5E0763C1-DB00-4D13-9A66-D69C840C054D}"/>
  <bookViews>
    <workbookView xWindow="-108" yWindow="-108" windowWidth="23256" windowHeight="12456" xr2:uid="{4C6607B1-F288-4D7F-949D-AB00E794FD7D}"/>
  </bookViews>
  <sheets>
    <sheet name="GOVERNADOR VALADARES" sheetId="1" r:id="rId1"/>
    <sheet name="MANTENA" sheetId="2" r:id="rId2"/>
    <sheet name="PEÇANHA - SÃO JOÃO EVANGELISTA" sheetId="3" r:id="rId3"/>
    <sheet name="RESPLENDOR" sheetId="5" r:id="rId4"/>
    <sheet name="SANTA MARIA DO SUAÇUÍ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4" l="1"/>
  <c r="O8" i="4"/>
  <c r="N8" i="4"/>
  <c r="M8" i="4"/>
  <c r="L8" i="4"/>
  <c r="K8" i="4"/>
  <c r="L15" i="5"/>
  <c r="P12" i="5"/>
  <c r="O12" i="5"/>
  <c r="N12" i="5"/>
  <c r="M12" i="5"/>
  <c r="L12" i="5"/>
  <c r="K12" i="5"/>
  <c r="P11" i="3"/>
  <c r="O11" i="3"/>
  <c r="N11" i="3"/>
  <c r="M11" i="3"/>
  <c r="L11" i="3"/>
  <c r="K11" i="3"/>
  <c r="P12" i="2"/>
  <c r="O12" i="2"/>
  <c r="N12" i="2"/>
  <c r="M12" i="2"/>
  <c r="L12" i="2"/>
  <c r="K12" i="2"/>
  <c r="P28" i="1"/>
  <c r="O28" i="1"/>
  <c r="N28" i="1"/>
  <c r="M28" i="1"/>
  <c r="L28" i="1"/>
  <c r="K28" i="1"/>
  <c r="H11" i="4"/>
  <c r="G11" i="4"/>
  <c r="F11" i="4"/>
  <c r="E11" i="4"/>
  <c r="D11" i="4"/>
  <c r="C11" i="4"/>
  <c r="H10" i="4"/>
  <c r="G10" i="4"/>
  <c r="F10" i="4"/>
  <c r="E10" i="4"/>
  <c r="D10" i="4"/>
  <c r="C10" i="4"/>
  <c r="H9" i="4"/>
  <c r="G9" i="4"/>
  <c r="F9" i="4"/>
  <c r="E9" i="4"/>
  <c r="D9" i="4"/>
  <c r="C9" i="4"/>
  <c r="H8" i="4"/>
  <c r="G8" i="4"/>
  <c r="F8" i="4"/>
  <c r="E8" i="4"/>
  <c r="D8" i="4"/>
  <c r="C8" i="4"/>
  <c r="P3" i="4"/>
  <c r="P4" i="4" s="1"/>
  <c r="P5" i="4" s="1"/>
  <c r="O3" i="4"/>
  <c r="O4" i="4" s="1"/>
  <c r="O5" i="4" s="1"/>
  <c r="N3" i="4"/>
  <c r="N4" i="4" s="1"/>
  <c r="N5" i="4" s="1"/>
  <c r="M3" i="4"/>
  <c r="M4" i="4" s="1"/>
  <c r="M5" i="4" s="1"/>
  <c r="L3" i="4"/>
  <c r="L4" i="4" s="1"/>
  <c r="L5" i="4" s="1"/>
  <c r="K3" i="4"/>
  <c r="K4" i="4" s="1"/>
  <c r="K5" i="4" s="1"/>
  <c r="J3" i="4"/>
  <c r="J4" i="4" s="1"/>
  <c r="J5" i="4" s="1"/>
  <c r="H19" i="5"/>
  <c r="G19" i="5"/>
  <c r="F19" i="5"/>
  <c r="E19" i="5"/>
  <c r="D19" i="5"/>
  <c r="C19" i="5"/>
  <c r="H18" i="5"/>
  <c r="G18" i="5"/>
  <c r="F18" i="5"/>
  <c r="E18" i="5"/>
  <c r="D18" i="5"/>
  <c r="C18" i="5"/>
  <c r="H17" i="5"/>
  <c r="G17" i="5"/>
  <c r="F17" i="5"/>
  <c r="E17" i="5"/>
  <c r="D17" i="5"/>
  <c r="C17" i="5"/>
  <c r="H16" i="5"/>
  <c r="G16" i="5"/>
  <c r="F16" i="5"/>
  <c r="E16" i="5"/>
  <c r="D16" i="5"/>
  <c r="C16" i="5"/>
  <c r="H15" i="5"/>
  <c r="G15" i="5"/>
  <c r="F15" i="5"/>
  <c r="E15" i="5"/>
  <c r="D15" i="5"/>
  <c r="C15" i="5"/>
  <c r="H14" i="5"/>
  <c r="G14" i="5"/>
  <c r="F14" i="5"/>
  <c r="E14" i="5"/>
  <c r="D14" i="5"/>
  <c r="C14" i="5"/>
  <c r="H13" i="5"/>
  <c r="G13" i="5"/>
  <c r="F13" i="5"/>
  <c r="E13" i="5"/>
  <c r="D13" i="5"/>
  <c r="C13" i="5"/>
  <c r="H12" i="5"/>
  <c r="G12" i="5"/>
  <c r="F12" i="5"/>
  <c r="E12" i="5"/>
  <c r="D12" i="5"/>
  <c r="C12" i="5"/>
  <c r="P3" i="5"/>
  <c r="P4" i="5" s="1"/>
  <c r="P5" i="5" s="1"/>
  <c r="P6" i="5" s="1"/>
  <c r="P7" i="5" s="1"/>
  <c r="P8" i="5" s="1"/>
  <c r="P9" i="5" s="1"/>
  <c r="O3" i="5"/>
  <c r="O4" i="5" s="1"/>
  <c r="O5" i="5" s="1"/>
  <c r="O6" i="5" s="1"/>
  <c r="O7" i="5" s="1"/>
  <c r="O8" i="5" s="1"/>
  <c r="O9" i="5" s="1"/>
  <c r="N3" i="5"/>
  <c r="N4" i="5" s="1"/>
  <c r="N5" i="5" s="1"/>
  <c r="N6" i="5" s="1"/>
  <c r="N7" i="5" s="1"/>
  <c r="N8" i="5" s="1"/>
  <c r="N9" i="5" s="1"/>
  <c r="M3" i="5"/>
  <c r="M4" i="5" s="1"/>
  <c r="M5" i="5" s="1"/>
  <c r="M6" i="5" s="1"/>
  <c r="M7" i="5" s="1"/>
  <c r="M8" i="5" s="1"/>
  <c r="M9" i="5" s="1"/>
  <c r="L3" i="5"/>
  <c r="L4" i="5" s="1"/>
  <c r="L5" i="5" s="1"/>
  <c r="L6" i="5" s="1"/>
  <c r="L7" i="5" s="1"/>
  <c r="L8" i="5" s="1"/>
  <c r="L9" i="5" s="1"/>
  <c r="K3" i="5"/>
  <c r="K4" i="5" s="1"/>
  <c r="K5" i="5" s="1"/>
  <c r="K6" i="5" s="1"/>
  <c r="K7" i="5" s="1"/>
  <c r="K8" i="5" s="1"/>
  <c r="K9" i="5" s="1"/>
  <c r="J3" i="5"/>
  <c r="J4" i="5" s="1"/>
  <c r="J5" i="5" s="1"/>
  <c r="J6" i="5" s="1"/>
  <c r="J7" i="5" s="1"/>
  <c r="J8" i="5" s="1"/>
  <c r="J9" i="5" s="1"/>
  <c r="L19" i="5" s="1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P3" i="3"/>
  <c r="P4" i="3" s="1"/>
  <c r="P5" i="3" s="1"/>
  <c r="P6" i="3" s="1"/>
  <c r="P7" i="3" s="1"/>
  <c r="P8" i="3" s="1"/>
  <c r="O3" i="3"/>
  <c r="O4" i="3" s="1"/>
  <c r="O5" i="3" s="1"/>
  <c r="O6" i="3" s="1"/>
  <c r="O7" i="3" s="1"/>
  <c r="O8" i="3" s="1"/>
  <c r="N3" i="3"/>
  <c r="N4" i="3" s="1"/>
  <c r="N5" i="3" s="1"/>
  <c r="N6" i="3" s="1"/>
  <c r="N7" i="3" s="1"/>
  <c r="N8" i="3" s="1"/>
  <c r="M3" i="3"/>
  <c r="M4" i="3" s="1"/>
  <c r="M5" i="3" s="1"/>
  <c r="M6" i="3" s="1"/>
  <c r="M7" i="3" s="1"/>
  <c r="M8" i="3" s="1"/>
  <c r="L3" i="3"/>
  <c r="L4" i="3" s="1"/>
  <c r="L5" i="3" s="1"/>
  <c r="L6" i="3" s="1"/>
  <c r="L7" i="3" s="1"/>
  <c r="L8" i="3" s="1"/>
  <c r="K3" i="3"/>
  <c r="K4" i="3" s="1"/>
  <c r="K5" i="3" s="1"/>
  <c r="K6" i="3" s="1"/>
  <c r="K7" i="3" s="1"/>
  <c r="K8" i="3" s="1"/>
  <c r="J3" i="3"/>
  <c r="J4" i="3" s="1"/>
  <c r="J5" i="3" s="1"/>
  <c r="J6" i="3" s="1"/>
  <c r="J7" i="3" s="1"/>
  <c r="J8" i="3" s="1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P3" i="2"/>
  <c r="P4" i="2" s="1"/>
  <c r="P5" i="2" s="1"/>
  <c r="P6" i="2" s="1"/>
  <c r="P7" i="2" s="1"/>
  <c r="P8" i="2" s="1"/>
  <c r="P9" i="2" s="1"/>
  <c r="O3" i="2"/>
  <c r="O4" i="2" s="1"/>
  <c r="O5" i="2" s="1"/>
  <c r="O6" i="2" s="1"/>
  <c r="O7" i="2" s="1"/>
  <c r="O8" i="2" s="1"/>
  <c r="O9" i="2" s="1"/>
  <c r="N3" i="2"/>
  <c r="N4" i="2" s="1"/>
  <c r="N5" i="2" s="1"/>
  <c r="N6" i="2" s="1"/>
  <c r="N7" i="2" s="1"/>
  <c r="N8" i="2" s="1"/>
  <c r="N9" i="2" s="1"/>
  <c r="M3" i="2"/>
  <c r="M4" i="2" s="1"/>
  <c r="M5" i="2" s="1"/>
  <c r="M6" i="2" s="1"/>
  <c r="M7" i="2" s="1"/>
  <c r="M8" i="2" s="1"/>
  <c r="M9" i="2" s="1"/>
  <c r="L3" i="2"/>
  <c r="L4" i="2" s="1"/>
  <c r="L5" i="2" s="1"/>
  <c r="L6" i="2" s="1"/>
  <c r="L7" i="2" s="1"/>
  <c r="L8" i="2" s="1"/>
  <c r="L9" i="2" s="1"/>
  <c r="K3" i="2"/>
  <c r="K4" i="2" s="1"/>
  <c r="K5" i="2" s="1"/>
  <c r="K6" i="2" s="1"/>
  <c r="K7" i="2" s="1"/>
  <c r="K8" i="2" s="1"/>
  <c r="K9" i="2" s="1"/>
  <c r="J3" i="2"/>
  <c r="J4" i="2" s="1"/>
  <c r="J5" i="2" s="1"/>
  <c r="J6" i="2" s="1"/>
  <c r="J7" i="2" s="1"/>
  <c r="J8" i="2" s="1"/>
  <c r="J9" i="2" s="1"/>
  <c r="O19" i="2" s="1"/>
  <c r="P11" i="4" l="1"/>
  <c r="N9" i="4"/>
  <c r="K11" i="4"/>
  <c r="M9" i="4"/>
  <c r="O14" i="5"/>
  <c r="P19" i="5"/>
  <c r="K16" i="5"/>
  <c r="L16" i="5"/>
  <c r="O18" i="5"/>
  <c r="P17" i="3"/>
  <c r="O14" i="2"/>
  <c r="N14" i="2"/>
  <c r="O18" i="2"/>
  <c r="P15" i="2"/>
  <c r="K16" i="2"/>
  <c r="N18" i="2"/>
  <c r="P19" i="2"/>
  <c r="O10" i="4"/>
  <c r="O9" i="4"/>
  <c r="P9" i="4"/>
  <c r="M11" i="4"/>
  <c r="L10" i="4"/>
  <c r="N11" i="4"/>
  <c r="P10" i="4"/>
  <c r="L11" i="4"/>
  <c r="K10" i="4"/>
  <c r="K9" i="4"/>
  <c r="K12" i="4" s="1"/>
  <c r="K13" i="4" s="1"/>
  <c r="M10" i="4"/>
  <c r="O11" i="4"/>
  <c r="L9" i="4"/>
  <c r="L12" i="4" s="1"/>
  <c r="L13" i="4" s="1"/>
  <c r="N10" i="4"/>
  <c r="N12" i="4" s="1"/>
  <c r="N13" i="4" s="1"/>
  <c r="M13" i="5"/>
  <c r="N13" i="5"/>
  <c r="P14" i="5"/>
  <c r="N17" i="5"/>
  <c r="P18" i="5"/>
  <c r="O13" i="5"/>
  <c r="K15" i="5"/>
  <c r="M16" i="5"/>
  <c r="O17" i="5"/>
  <c r="K19" i="5"/>
  <c r="K14" i="5"/>
  <c r="M15" i="5"/>
  <c r="O16" i="5"/>
  <c r="K18" i="5"/>
  <c r="M19" i="5"/>
  <c r="M17" i="5"/>
  <c r="L14" i="5"/>
  <c r="N15" i="5"/>
  <c r="P16" i="5"/>
  <c r="L18" i="5"/>
  <c r="N19" i="5"/>
  <c r="P13" i="5"/>
  <c r="P17" i="5"/>
  <c r="K13" i="5"/>
  <c r="M14" i="5"/>
  <c r="O15" i="5"/>
  <c r="K17" i="5"/>
  <c r="M18" i="5"/>
  <c r="O19" i="5"/>
  <c r="N16" i="5"/>
  <c r="L13" i="5"/>
  <c r="N14" i="5"/>
  <c r="P15" i="5"/>
  <c r="L17" i="5"/>
  <c r="N18" i="5"/>
  <c r="M15" i="3"/>
  <c r="L14" i="3"/>
  <c r="P16" i="3"/>
  <c r="M14" i="3"/>
  <c r="L13" i="3"/>
  <c r="P15" i="3"/>
  <c r="K12" i="3"/>
  <c r="M13" i="3"/>
  <c r="O14" i="3"/>
  <c r="K16" i="3"/>
  <c r="M17" i="3"/>
  <c r="K14" i="3"/>
  <c r="P12" i="3"/>
  <c r="K13" i="3"/>
  <c r="K17" i="3"/>
  <c r="L17" i="3"/>
  <c r="L12" i="3"/>
  <c r="N13" i="3"/>
  <c r="P14" i="3"/>
  <c r="L16" i="3"/>
  <c r="N17" i="3"/>
  <c r="O12" i="3"/>
  <c r="O16" i="3"/>
  <c r="N15" i="3"/>
  <c r="O15" i="3"/>
  <c r="N14" i="3"/>
  <c r="M12" i="3"/>
  <c r="O13" i="3"/>
  <c r="K15" i="3"/>
  <c r="M16" i="3"/>
  <c r="O17" i="3"/>
  <c r="N12" i="3"/>
  <c r="P13" i="3"/>
  <c r="L15" i="3"/>
  <c r="N16" i="3"/>
  <c r="M13" i="2"/>
  <c r="N13" i="2"/>
  <c r="P14" i="2"/>
  <c r="N17" i="2"/>
  <c r="P18" i="2"/>
  <c r="O13" i="2"/>
  <c r="O17" i="2"/>
  <c r="P13" i="2"/>
  <c r="L15" i="2"/>
  <c r="N16" i="2"/>
  <c r="P17" i="2"/>
  <c r="L19" i="2"/>
  <c r="L13" i="2"/>
  <c r="L17" i="2"/>
  <c r="L16" i="2"/>
  <c r="K15" i="2"/>
  <c r="M16" i="2"/>
  <c r="K19" i="2"/>
  <c r="K14" i="2"/>
  <c r="M15" i="2"/>
  <c r="O16" i="2"/>
  <c r="K18" i="2"/>
  <c r="M19" i="2"/>
  <c r="M17" i="2"/>
  <c r="L14" i="2"/>
  <c r="N15" i="2"/>
  <c r="P16" i="2"/>
  <c r="L18" i="2"/>
  <c r="N19" i="2"/>
  <c r="K13" i="2"/>
  <c r="M14" i="2"/>
  <c r="O15" i="2"/>
  <c r="K17" i="2"/>
  <c r="M18" i="2"/>
  <c r="M12" i="4" l="1"/>
  <c r="M13" i="4" s="1"/>
  <c r="M20" i="5"/>
  <c r="M21" i="5" s="1"/>
  <c r="K20" i="5"/>
  <c r="K21" i="5" s="1"/>
  <c r="L20" i="5"/>
  <c r="L21" i="5" s="1"/>
  <c r="O20" i="5"/>
  <c r="O21" i="5" s="1"/>
  <c r="K18" i="3"/>
  <c r="K19" i="3" s="1"/>
  <c r="L18" i="3"/>
  <c r="L19" i="3" s="1"/>
  <c r="K20" i="2"/>
  <c r="K21" i="2" s="1"/>
  <c r="O20" i="2"/>
  <c r="O21" i="2" s="1"/>
  <c r="M20" i="2"/>
  <c r="M21" i="2" s="1"/>
  <c r="L20" i="2"/>
  <c r="L21" i="2" s="1"/>
  <c r="P20" i="2"/>
  <c r="P21" i="2" s="1"/>
  <c r="O12" i="4"/>
  <c r="O13" i="4" s="1"/>
  <c r="P12" i="4"/>
  <c r="P13" i="4" s="1"/>
  <c r="N20" i="5"/>
  <c r="N21" i="5" s="1"/>
  <c r="P20" i="5"/>
  <c r="P21" i="5" s="1"/>
  <c r="O18" i="3"/>
  <c r="O19" i="3" s="1"/>
  <c r="P18" i="3"/>
  <c r="P19" i="3" s="1"/>
  <c r="N18" i="3"/>
  <c r="N19" i="3" s="1"/>
  <c r="M18" i="3"/>
  <c r="M19" i="3" s="1"/>
  <c r="N20" i="2"/>
  <c r="N21" i="2" s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H28" i="1"/>
  <c r="G28" i="1"/>
  <c r="F28" i="1"/>
  <c r="E28" i="1"/>
  <c r="D28" i="1"/>
  <c r="C28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J3" i="1"/>
  <c r="J4" i="1" l="1"/>
  <c r="K29" i="1"/>
  <c r="N29" i="1"/>
  <c r="P29" i="1"/>
  <c r="M29" i="1"/>
  <c r="L29" i="1"/>
  <c r="O29" i="1"/>
  <c r="J5" i="1" l="1"/>
  <c r="M30" i="1"/>
  <c r="L30" i="1"/>
  <c r="O30" i="1"/>
  <c r="N30" i="1"/>
  <c r="K30" i="1"/>
  <c r="P30" i="1"/>
  <c r="J6" i="1" l="1"/>
  <c r="O31" i="1"/>
  <c r="N31" i="1"/>
  <c r="M31" i="1"/>
  <c r="L31" i="1"/>
  <c r="P31" i="1"/>
  <c r="K31" i="1"/>
  <c r="J7" i="1" l="1"/>
  <c r="P32" i="1"/>
  <c r="L32" i="1"/>
  <c r="O32" i="1"/>
  <c r="N32" i="1"/>
  <c r="K32" i="1"/>
  <c r="M32" i="1"/>
  <c r="J8" i="1" l="1"/>
  <c r="K33" i="1"/>
  <c r="M33" i="1"/>
  <c r="L33" i="1"/>
  <c r="P33" i="1"/>
  <c r="N33" i="1"/>
  <c r="O33" i="1"/>
  <c r="J9" i="1" l="1"/>
  <c r="M34" i="1"/>
  <c r="L34" i="1"/>
  <c r="P34" i="1"/>
  <c r="K34" i="1"/>
  <c r="O34" i="1"/>
  <c r="N34" i="1"/>
  <c r="J10" i="1" l="1"/>
  <c r="O35" i="1"/>
  <c r="N35" i="1"/>
  <c r="P35" i="1"/>
  <c r="M35" i="1"/>
  <c r="L35" i="1"/>
  <c r="K35" i="1"/>
  <c r="J11" i="1" l="1"/>
  <c r="P36" i="1"/>
  <c r="K36" i="1"/>
  <c r="O36" i="1"/>
  <c r="N36" i="1"/>
  <c r="L36" i="1"/>
  <c r="M36" i="1"/>
  <c r="J12" i="1" l="1"/>
  <c r="K37" i="1"/>
  <c r="N37" i="1"/>
  <c r="M37" i="1"/>
  <c r="P37" i="1"/>
  <c r="L37" i="1"/>
  <c r="O37" i="1"/>
  <c r="J13" i="1" l="1"/>
  <c r="M38" i="1"/>
  <c r="L38" i="1"/>
  <c r="N38" i="1"/>
  <c r="K38" i="1"/>
  <c r="P38" i="1"/>
  <c r="O38" i="1"/>
  <c r="J14" i="1" l="1"/>
  <c r="O39" i="1"/>
  <c r="N39" i="1"/>
  <c r="M39" i="1"/>
  <c r="L39" i="1"/>
  <c r="P39" i="1"/>
  <c r="K39" i="1"/>
  <c r="J15" i="1" l="1"/>
  <c r="P40" i="1"/>
  <c r="L40" i="1"/>
  <c r="K40" i="1"/>
  <c r="O40" i="1"/>
  <c r="N40" i="1"/>
  <c r="M40" i="1"/>
  <c r="J16" i="1" l="1"/>
  <c r="K41" i="1"/>
  <c r="L41" i="1"/>
  <c r="P41" i="1"/>
  <c r="N41" i="1"/>
  <c r="M41" i="1"/>
  <c r="O41" i="1"/>
  <c r="M42" i="1" l="1"/>
  <c r="L42" i="1"/>
  <c r="P42" i="1"/>
  <c r="O42" i="1"/>
  <c r="K42" i="1"/>
  <c r="N42" i="1"/>
  <c r="J17" i="1"/>
  <c r="O43" i="1" l="1"/>
  <c r="N43" i="1"/>
  <c r="P43" i="1"/>
  <c r="M43" i="1"/>
  <c r="L43" i="1"/>
  <c r="K43" i="1"/>
  <c r="J18" i="1"/>
  <c r="P44" i="1" l="1"/>
  <c r="O44" i="1"/>
  <c r="N44" i="1"/>
  <c r="L44" i="1"/>
  <c r="K44" i="1"/>
  <c r="M44" i="1"/>
  <c r="J19" i="1"/>
  <c r="K45" i="1" l="1"/>
  <c r="N45" i="1"/>
  <c r="M45" i="1"/>
  <c r="P45" i="1"/>
  <c r="L45" i="1"/>
  <c r="O45" i="1"/>
  <c r="J20" i="1"/>
  <c r="M46" i="1" l="1"/>
  <c r="L46" i="1"/>
  <c r="N46" i="1"/>
  <c r="K46" i="1"/>
  <c r="P46" i="1"/>
  <c r="O46" i="1"/>
  <c r="J21" i="1"/>
  <c r="O47" i="1" l="1"/>
  <c r="N47" i="1"/>
  <c r="M47" i="1"/>
  <c r="L47" i="1"/>
  <c r="P47" i="1"/>
  <c r="K47" i="1"/>
  <c r="J22" i="1"/>
  <c r="P48" i="1" l="1"/>
  <c r="L48" i="1"/>
  <c r="K48" i="1"/>
  <c r="O48" i="1"/>
  <c r="N48" i="1"/>
  <c r="M48" i="1"/>
  <c r="J23" i="1"/>
  <c r="K49" i="1" l="1"/>
  <c r="N49" i="1"/>
  <c r="M49" i="1"/>
  <c r="L49" i="1"/>
  <c r="P49" i="1"/>
  <c r="O49" i="1"/>
  <c r="J24" i="1"/>
  <c r="M50" i="1" l="1"/>
  <c r="L50" i="1"/>
  <c r="K50" i="1"/>
  <c r="P50" i="1"/>
  <c r="O50" i="1"/>
  <c r="N50" i="1"/>
  <c r="J25" i="1"/>
  <c r="O51" i="1" l="1"/>
  <c r="O52" i="1" s="1"/>
  <c r="O53" i="1" s="1"/>
  <c r="N51" i="1"/>
  <c r="N52" i="1" s="1"/>
  <c r="N53" i="1" s="1"/>
  <c r="P51" i="1"/>
  <c r="P52" i="1" s="1"/>
  <c r="P53" i="1" s="1"/>
  <c r="M51" i="1"/>
  <c r="M52" i="1" s="1"/>
  <c r="M53" i="1" s="1"/>
  <c r="L51" i="1"/>
  <c r="L52" i="1" s="1"/>
  <c r="L53" i="1" s="1"/>
  <c r="K51" i="1"/>
  <c r="K52" i="1" s="1"/>
  <c r="K53" i="1" s="1"/>
</calcChain>
</file>

<file path=xl/sharedStrings.xml><?xml version="1.0" encoding="utf-8"?>
<sst xmlns="http://schemas.openxmlformats.org/spreadsheetml/2006/main" count="309" uniqueCount="74">
  <si>
    <t>GOVERNADOR VALADARES</t>
  </si>
  <si>
    <t>ALPERCATA</t>
  </si>
  <si>
    <t>CAPITÃO ANDRADE</t>
  </si>
  <si>
    <t>COROACI</t>
  </si>
  <si>
    <t>DIVINOLÂNDIA DE MINAS</t>
  </si>
  <si>
    <t>ENGENHEIRO CALDAS</t>
  </si>
  <si>
    <t>FERNANDES TOURINHO</t>
  </si>
  <si>
    <t>FREI INOCÊNCIO</t>
  </si>
  <si>
    <t>GALILÉIA</t>
  </si>
  <si>
    <t>GONZAGA</t>
  </si>
  <si>
    <t>ITANHOMI</t>
  </si>
  <si>
    <t>JAMPRUCA</t>
  </si>
  <si>
    <t>MARILAC</t>
  </si>
  <si>
    <t>MATHIAS LOBATO</t>
  </si>
  <si>
    <t>NACIP RAYDAN</t>
  </si>
  <si>
    <t>SANTA EFIGÊNIA DE MINAS</t>
  </si>
  <si>
    <t>SÃO GERALDO DA PIEDADE</t>
  </si>
  <si>
    <t>SÃO GERALDO DO BAIXIO</t>
  </si>
  <si>
    <t>SÃO JOSÉ DA SAFIRA</t>
  </si>
  <si>
    <t>SARDOÁ</t>
  </si>
  <si>
    <t>SOBRÁLIA</t>
  </si>
  <si>
    <t>TARUMIRIM</t>
  </si>
  <si>
    <t>TUMIRITINGA</t>
  </si>
  <si>
    <t>VIRGOLÂNDIA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</si>
  <si>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</si>
  <si>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</si>
  <si>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</si>
  <si>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</si>
  <si>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</si>
  <si>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</si>
  <si>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</si>
  <si>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</si>
  <si>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</si>
  <si>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</si>
  <si>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</si>
  <si>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</si>
  <si>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</si>
  <si>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</si>
  <si>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</si>
  <si>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</si>
  <si>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</si>
  <si>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</si>
  <si>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</si>
  <si>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</si>
  <si>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</si>
  <si>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</si>
  <si>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MANTENA</t>
  </si>
  <si>
    <t>CENTRAL DE MINAS</t>
  </si>
  <si>
    <t>DIVINO DAS LARANJEIRAS</t>
  </si>
  <si>
    <t>ITABIRINHA</t>
  </si>
  <si>
    <t>MENDES PIMENTEL</t>
  </si>
  <si>
    <t>NOVA BELÉM</t>
  </si>
  <si>
    <t>SÃO FÉLIX DE MINAS</t>
  </si>
  <si>
    <t>SÃO JOÃO DO MANTENINHA</t>
  </si>
  <si>
    <t>CANTAGALO</t>
  </si>
  <si>
    <t>FREI LAGONEGRO</t>
  </si>
  <si>
    <t>PAULISTAS</t>
  </si>
  <si>
    <t>PEÇANHA</t>
  </si>
  <si>
    <t>SÃO JOÃO EVANGELISTA</t>
  </si>
  <si>
    <t>SÃO JOSÉ DO JACURI</t>
  </si>
  <si>
    <t>SÃO PEDRO DO SUAÇUÍ</t>
  </si>
  <si>
    <t>RESPLENDOR</t>
  </si>
  <si>
    <t>AIMORÉS</t>
  </si>
  <si>
    <t>ALVARENGA</t>
  </si>
  <si>
    <t>CONSELHEIRO PENA</t>
  </si>
  <si>
    <t>CUPARAQUE</t>
  </si>
  <si>
    <t>GOIABEIRA</t>
  </si>
  <si>
    <t>ITUETA</t>
  </si>
  <si>
    <t>SANTA RITA DO ITUETO</t>
  </si>
  <si>
    <t>SANTA MARIA DO SUAÇUÍ</t>
  </si>
  <si>
    <t>ÁGUA BOA</t>
  </si>
  <si>
    <t>JOSÉ RAYDAN</t>
  </si>
  <si>
    <t>SÃO SEBASTIÃO DO MARANHÃO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</si>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</sst>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0" fillId="0" borderId="1" xfId="0" applyBorder="1"/>
    <xf numFmtId="2" fontId="1" fillId="3" borderId="1" xfId="0" applyNumberFormat="1" applyFont="1" applyFill="1" applyBorder="1" applyAlignment="1">
      <alignment vertical="center" wrapText="1"/>
    </xf>
    <xf numFmtId="2" fontId="1" fillId="4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0" fillId="0" borderId="1" xfId="0" applyNumberFormat="1" applyBorder="1"/>
    <xf numFmtId="2" fontId="1" fillId="2" borderId="1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0" fontId="1" fillId="2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/>
    </xf>
    <xf numFmtId="2" fontId="0" fillId="0" borderId="2" xfId="0" applyNumberFormat="1" applyBorder="1"/>
    <xf numFmtId="0" fontId="0" fillId="0" borderId="0" xfId="0" quotePrefix="1"/>
    <xf numFmtId="2" fontId="1" fillId="7" borderId="2" xfId="0" applyNumberFormat="1" applyFont="1" applyFill="1" applyBorder="1" applyAlignment="1">
      <alignment vertical="center" wrapText="1"/>
    </xf>
    <xf numFmtId="2" fontId="1" fillId="6" borderId="2" xfId="0" applyNumberFormat="1" applyFont="1" applyFill="1" applyBorder="1" applyAlignment="1">
      <alignment vertical="center" wrapText="1"/>
    </xf>
    <xf numFmtId="2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'GOVERNADOR VALADARES'!$J$1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VALADARES'!$J$2:$J$25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4E-47A9-8EFC-23B529C19205}"/>
            </c:ext>
          </c:extLst>
        </c:ser>
        <c:ser>
          <c:idx val="1"/>
          <c:order val="1"/>
          <c:tx>
            <c:strRef>
              <c:f>'GOVERNADOR VALADARES'!$K$1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VALADARES'!$K$2:$K$25</c:f>
              <c:numCache>
                <c:formatCode>0.00</c:formatCode>
                <c:ptCount val="24"/>
                <c:pt idx="0">
                  <c:v>5.6980056980056983E-3</c:v>
                </c:pt>
                <c:pt idx="1">
                  <c:v>5.6980056980056983E-3</c:v>
                </c:pt>
                <c:pt idx="2">
                  <c:v>3.7037037037037042E-2</c:v>
                </c:pt>
                <c:pt idx="3">
                  <c:v>6.5527065527065526E-2</c:v>
                </c:pt>
                <c:pt idx="4">
                  <c:v>6.5527065527065526E-2</c:v>
                </c:pt>
                <c:pt idx="5">
                  <c:v>7.9772079772079771E-2</c:v>
                </c:pt>
                <c:pt idx="6">
                  <c:v>9.9715099715099717E-2</c:v>
                </c:pt>
                <c:pt idx="7">
                  <c:v>0.12820512820512819</c:v>
                </c:pt>
                <c:pt idx="8">
                  <c:v>0.14814814814814814</c:v>
                </c:pt>
                <c:pt idx="9">
                  <c:v>0.19658119658119658</c:v>
                </c:pt>
                <c:pt idx="10">
                  <c:v>0.20227920227920226</c:v>
                </c:pt>
                <c:pt idx="11">
                  <c:v>0.24786324786324784</c:v>
                </c:pt>
                <c:pt idx="12">
                  <c:v>0.25925925925925924</c:v>
                </c:pt>
                <c:pt idx="13">
                  <c:v>0.28490028490028491</c:v>
                </c:pt>
                <c:pt idx="14">
                  <c:v>0.29344729344729348</c:v>
                </c:pt>
                <c:pt idx="15">
                  <c:v>0.29344729344729348</c:v>
                </c:pt>
                <c:pt idx="16">
                  <c:v>0.29914529914529919</c:v>
                </c:pt>
                <c:pt idx="17">
                  <c:v>0.30769230769230776</c:v>
                </c:pt>
                <c:pt idx="18">
                  <c:v>0.31623931623931634</c:v>
                </c:pt>
                <c:pt idx="19">
                  <c:v>0.32763532763532771</c:v>
                </c:pt>
                <c:pt idx="20">
                  <c:v>0.33333333333333343</c:v>
                </c:pt>
                <c:pt idx="21">
                  <c:v>0.44159544159544167</c:v>
                </c:pt>
                <c:pt idx="22">
                  <c:v>0.44729344729344739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4E-47A9-8EFC-23B529C19205}"/>
            </c:ext>
          </c:extLst>
        </c:ser>
        <c:ser>
          <c:idx val="2"/>
          <c:order val="2"/>
          <c:tx>
            <c:strRef>
              <c:f>'GOVERNADOR VALADARES'!$L$1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VALADARES'!$L$2:$L$25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7.1428571428571426E-3</c:v>
                </c:pt>
                <c:pt idx="3">
                  <c:v>1.4285714285714285E-2</c:v>
                </c:pt>
                <c:pt idx="4">
                  <c:v>1.4285714285714285E-2</c:v>
                </c:pt>
                <c:pt idx="5">
                  <c:v>3.5714285714285712E-2</c:v>
                </c:pt>
                <c:pt idx="6">
                  <c:v>4.9999999999999996E-2</c:v>
                </c:pt>
                <c:pt idx="7">
                  <c:v>4.9999999999999996E-2</c:v>
                </c:pt>
                <c:pt idx="8">
                  <c:v>7.1428571428571425E-2</c:v>
                </c:pt>
                <c:pt idx="9">
                  <c:v>0.15</c:v>
                </c:pt>
                <c:pt idx="10">
                  <c:v>0.16428571428571428</c:v>
                </c:pt>
                <c:pt idx="11">
                  <c:v>0.22857142857142856</c:v>
                </c:pt>
                <c:pt idx="12">
                  <c:v>0.22857142857142856</c:v>
                </c:pt>
                <c:pt idx="13">
                  <c:v>0.24285714285714285</c:v>
                </c:pt>
                <c:pt idx="14">
                  <c:v>0.26428571428571429</c:v>
                </c:pt>
                <c:pt idx="15">
                  <c:v>0.26428571428571429</c:v>
                </c:pt>
                <c:pt idx="16">
                  <c:v>0.26428571428571429</c:v>
                </c:pt>
                <c:pt idx="17">
                  <c:v>0.26428571428571429</c:v>
                </c:pt>
                <c:pt idx="18">
                  <c:v>0.26428571428571429</c:v>
                </c:pt>
                <c:pt idx="19">
                  <c:v>0.27142857142857141</c:v>
                </c:pt>
                <c:pt idx="20">
                  <c:v>0.27857142857142853</c:v>
                </c:pt>
                <c:pt idx="21">
                  <c:v>0.38571428571428568</c:v>
                </c:pt>
                <c:pt idx="22">
                  <c:v>0.41428571428571426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4E-47A9-8EFC-23B529C19205}"/>
            </c:ext>
          </c:extLst>
        </c:ser>
        <c:ser>
          <c:idx val="3"/>
          <c:order val="3"/>
          <c:tx>
            <c:strRef>
              <c:f>'GOVERNADOR VALADARES'!$M$1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VALADARES'!$M$2:$M$25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2.7027027027027029E-2</c:v>
                </c:pt>
                <c:pt idx="3">
                  <c:v>2.7027027027027029E-2</c:v>
                </c:pt>
                <c:pt idx="4">
                  <c:v>3.6036036036036036E-2</c:v>
                </c:pt>
                <c:pt idx="5">
                  <c:v>3.6036036036036036E-2</c:v>
                </c:pt>
                <c:pt idx="6">
                  <c:v>3.6036036036036036E-2</c:v>
                </c:pt>
                <c:pt idx="7">
                  <c:v>3.6036036036036036E-2</c:v>
                </c:pt>
                <c:pt idx="8">
                  <c:v>5.4054054054054057E-2</c:v>
                </c:pt>
                <c:pt idx="9">
                  <c:v>0.11711711711711711</c:v>
                </c:pt>
                <c:pt idx="10">
                  <c:v>0.11711711711711711</c:v>
                </c:pt>
                <c:pt idx="11">
                  <c:v>0.13513513513513514</c:v>
                </c:pt>
                <c:pt idx="12">
                  <c:v>0.15315315315315317</c:v>
                </c:pt>
                <c:pt idx="13">
                  <c:v>0.15315315315315317</c:v>
                </c:pt>
                <c:pt idx="14">
                  <c:v>0.15315315315315317</c:v>
                </c:pt>
                <c:pt idx="15">
                  <c:v>0.1711711711711712</c:v>
                </c:pt>
                <c:pt idx="16">
                  <c:v>0.1711711711711712</c:v>
                </c:pt>
                <c:pt idx="17">
                  <c:v>0.1711711711711712</c:v>
                </c:pt>
                <c:pt idx="18">
                  <c:v>0.1801801801801802</c:v>
                </c:pt>
                <c:pt idx="19">
                  <c:v>0.1801801801801802</c:v>
                </c:pt>
                <c:pt idx="20">
                  <c:v>0.20720720720720723</c:v>
                </c:pt>
                <c:pt idx="21">
                  <c:v>0.32432432432432434</c:v>
                </c:pt>
                <c:pt idx="22">
                  <c:v>0.33333333333333337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4E-47A9-8EFC-23B529C19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566112"/>
        <c:axId val="1705445584"/>
      </c:scatterChart>
      <c:valAx>
        <c:axId val="17355661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5445584"/>
        <c:crosses val="autoZero"/>
        <c:crossBetween val="midCat"/>
      </c:valAx>
      <c:valAx>
        <c:axId val="170544558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56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'GOVERNADOR VALADARES'!$J$1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VALADARES'!$J$2:$J$25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E6-476B-A5A7-0A3AC04CE7EC}"/>
            </c:ext>
          </c:extLst>
        </c:ser>
        <c:ser>
          <c:idx val="1"/>
          <c:order val="1"/>
          <c:tx>
            <c:strRef>
              <c:f>'GOVERNADOR VALADARES'!$N$1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VALADARES'!$N$2:$N$25</c:f>
              <c:numCache>
                <c:formatCode>0.00</c:formatCode>
                <c:ptCount val="24"/>
                <c:pt idx="0">
                  <c:v>1.3513513513513514E-2</c:v>
                </c:pt>
                <c:pt idx="1">
                  <c:v>1.3513513513513514E-2</c:v>
                </c:pt>
                <c:pt idx="2">
                  <c:v>4.72972972972973E-2</c:v>
                </c:pt>
                <c:pt idx="3">
                  <c:v>0.11824324324324324</c:v>
                </c:pt>
                <c:pt idx="4">
                  <c:v>0.12162162162162163</c:v>
                </c:pt>
                <c:pt idx="5">
                  <c:v>0.1587837837837838</c:v>
                </c:pt>
                <c:pt idx="6">
                  <c:v>0.17905405405405406</c:v>
                </c:pt>
                <c:pt idx="7">
                  <c:v>0.20608108108108109</c:v>
                </c:pt>
                <c:pt idx="8">
                  <c:v>0.21621621621621623</c:v>
                </c:pt>
                <c:pt idx="9">
                  <c:v>0.22635135135135137</c:v>
                </c:pt>
                <c:pt idx="10">
                  <c:v>0.23986486486486489</c:v>
                </c:pt>
                <c:pt idx="11">
                  <c:v>0.27027027027027029</c:v>
                </c:pt>
                <c:pt idx="12">
                  <c:v>0.29729729729729731</c:v>
                </c:pt>
                <c:pt idx="13">
                  <c:v>0.30067567567567571</c:v>
                </c:pt>
                <c:pt idx="14">
                  <c:v>0.33108108108108114</c:v>
                </c:pt>
                <c:pt idx="15">
                  <c:v>0.33783783783783788</c:v>
                </c:pt>
                <c:pt idx="16">
                  <c:v>0.34121621621621628</c:v>
                </c:pt>
                <c:pt idx="17">
                  <c:v>0.34121621621621628</c:v>
                </c:pt>
                <c:pt idx="18">
                  <c:v>0.36824324324324331</c:v>
                </c:pt>
                <c:pt idx="19">
                  <c:v>0.37500000000000006</c:v>
                </c:pt>
                <c:pt idx="20">
                  <c:v>0.40202702702702708</c:v>
                </c:pt>
                <c:pt idx="21">
                  <c:v>0.53716216216216228</c:v>
                </c:pt>
                <c:pt idx="22">
                  <c:v>0.56418918918918926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E6-476B-A5A7-0A3AC04CE7EC}"/>
            </c:ext>
          </c:extLst>
        </c:ser>
        <c:ser>
          <c:idx val="2"/>
          <c:order val="2"/>
          <c:tx>
            <c:strRef>
              <c:f>'GOVERNADOR VALADARES'!$O$1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VALADARES'!$O$2:$O$25</c:f>
              <c:numCache>
                <c:formatCode>0.00</c:formatCode>
                <c:ptCount val="24"/>
                <c:pt idx="0">
                  <c:v>2.3333333333333334E-2</c:v>
                </c:pt>
                <c:pt idx="1">
                  <c:v>2.6666666666666668E-2</c:v>
                </c:pt>
                <c:pt idx="2">
                  <c:v>2.6666666666666668E-2</c:v>
                </c:pt>
                <c:pt idx="3">
                  <c:v>2.6666666666666668E-2</c:v>
                </c:pt>
                <c:pt idx="4">
                  <c:v>7.6666666666666675E-2</c:v>
                </c:pt>
                <c:pt idx="5">
                  <c:v>0.1</c:v>
                </c:pt>
                <c:pt idx="6">
                  <c:v>0.10666666666666667</c:v>
                </c:pt>
                <c:pt idx="7">
                  <c:v>0.14333333333333334</c:v>
                </c:pt>
                <c:pt idx="8">
                  <c:v>0.17666666666666667</c:v>
                </c:pt>
                <c:pt idx="9">
                  <c:v>0.19666666666666666</c:v>
                </c:pt>
                <c:pt idx="10">
                  <c:v>0.24666666666666665</c:v>
                </c:pt>
                <c:pt idx="11">
                  <c:v>0.26666666666666666</c:v>
                </c:pt>
                <c:pt idx="12">
                  <c:v>0.29333333333333333</c:v>
                </c:pt>
                <c:pt idx="13">
                  <c:v>0.29666666666666669</c:v>
                </c:pt>
                <c:pt idx="14">
                  <c:v>0.30333333333333334</c:v>
                </c:pt>
                <c:pt idx="15">
                  <c:v>0.32666666666666666</c:v>
                </c:pt>
                <c:pt idx="16">
                  <c:v>0.33666666666666667</c:v>
                </c:pt>
                <c:pt idx="17">
                  <c:v>0.45</c:v>
                </c:pt>
                <c:pt idx="18">
                  <c:v>0.50666666666666671</c:v>
                </c:pt>
                <c:pt idx="19">
                  <c:v>0.56000000000000005</c:v>
                </c:pt>
                <c:pt idx="20">
                  <c:v>0.60000000000000009</c:v>
                </c:pt>
                <c:pt idx="21">
                  <c:v>0.71333333333333337</c:v>
                </c:pt>
                <c:pt idx="22">
                  <c:v>0.76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E6-476B-A5A7-0A3AC04CE7EC}"/>
            </c:ext>
          </c:extLst>
        </c:ser>
        <c:ser>
          <c:idx val="3"/>
          <c:order val="3"/>
          <c:tx>
            <c:strRef>
              <c:f>'GOVERNADOR VALADARES'!$P$1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VALADARES'!$P$2:$P$25</c:f>
              <c:numCache>
                <c:formatCode>0.00</c:formatCode>
                <c:ptCount val="24"/>
                <c:pt idx="0">
                  <c:v>2.0833333333333332E-2</c:v>
                </c:pt>
                <c:pt idx="1">
                  <c:v>2.6041666666666664E-2</c:v>
                </c:pt>
                <c:pt idx="2">
                  <c:v>2.6041666666666664E-2</c:v>
                </c:pt>
                <c:pt idx="3">
                  <c:v>4.1666666666666664E-2</c:v>
                </c:pt>
                <c:pt idx="4">
                  <c:v>9.375E-2</c:v>
                </c:pt>
                <c:pt idx="5">
                  <c:v>0.10416666666666667</c:v>
                </c:pt>
                <c:pt idx="6">
                  <c:v>0.109375</c:v>
                </c:pt>
                <c:pt idx="7">
                  <c:v>0.140625</c:v>
                </c:pt>
                <c:pt idx="8">
                  <c:v>0.15104166666666666</c:v>
                </c:pt>
                <c:pt idx="9">
                  <c:v>0.16145833333333331</c:v>
                </c:pt>
                <c:pt idx="10">
                  <c:v>0.17708333333333331</c:v>
                </c:pt>
                <c:pt idx="11">
                  <c:v>0.21354166666666666</c:v>
                </c:pt>
                <c:pt idx="12">
                  <c:v>0.22916666666666666</c:v>
                </c:pt>
                <c:pt idx="13">
                  <c:v>0.24479166666666666</c:v>
                </c:pt>
                <c:pt idx="14">
                  <c:v>0.265625</c:v>
                </c:pt>
                <c:pt idx="15">
                  <c:v>0.27083333333333331</c:v>
                </c:pt>
                <c:pt idx="16">
                  <c:v>0.28645833333333331</c:v>
                </c:pt>
                <c:pt idx="17">
                  <c:v>0.33854166666666663</c:v>
                </c:pt>
                <c:pt idx="18">
                  <c:v>0.49479166666666663</c:v>
                </c:pt>
                <c:pt idx="19">
                  <c:v>0.53125</c:v>
                </c:pt>
                <c:pt idx="20">
                  <c:v>0.58333333333333337</c:v>
                </c:pt>
                <c:pt idx="21">
                  <c:v>0.72395833333333337</c:v>
                </c:pt>
                <c:pt idx="22">
                  <c:v>0.765625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E6-476B-A5A7-0A3AC04CE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84368"/>
        <c:axId val="154795888"/>
      </c:scatterChart>
      <c:valAx>
        <c:axId val="1547843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95888"/>
        <c:crosses val="autoZero"/>
        <c:crossBetween val="midCat"/>
      </c:valAx>
      <c:valAx>
        <c:axId val="1547958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84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MANTENA!$J$1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MANTENA!$J$2:$J$9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EC-41D3-9404-C48B076FEF60}"/>
            </c:ext>
          </c:extLst>
        </c:ser>
        <c:ser>
          <c:idx val="1"/>
          <c:order val="1"/>
          <c:tx>
            <c:strRef>
              <c:f>MANTENA!$K$1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MANTENA!$K$2:$K$9</c:f>
              <c:numCache>
                <c:formatCode>0.00</c:formatCode>
                <c:ptCount val="8"/>
                <c:pt idx="0">
                  <c:v>9.3023255813953487E-2</c:v>
                </c:pt>
                <c:pt idx="1">
                  <c:v>0.10465116279069767</c:v>
                </c:pt>
                <c:pt idx="2">
                  <c:v>0.13953488372093023</c:v>
                </c:pt>
                <c:pt idx="3">
                  <c:v>0.19767441860465115</c:v>
                </c:pt>
                <c:pt idx="4">
                  <c:v>0.19767441860465115</c:v>
                </c:pt>
                <c:pt idx="5">
                  <c:v>0.31395348837209303</c:v>
                </c:pt>
                <c:pt idx="6">
                  <c:v>0.43023255813953487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EC-41D3-9404-C48B076FEF60}"/>
            </c:ext>
          </c:extLst>
        </c:ser>
        <c:ser>
          <c:idx val="2"/>
          <c:order val="2"/>
          <c:tx>
            <c:strRef>
              <c:f>MANTENA!$L$1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MANTENA!$L$2:$L$9</c:f>
              <c:numCache>
                <c:formatCode>0.00</c:formatCode>
                <c:ptCount val="8"/>
                <c:pt idx="0">
                  <c:v>3.3898305084745763E-2</c:v>
                </c:pt>
                <c:pt idx="1">
                  <c:v>3.3898305084745763E-2</c:v>
                </c:pt>
                <c:pt idx="2">
                  <c:v>6.7796610169491525E-2</c:v>
                </c:pt>
                <c:pt idx="3">
                  <c:v>0.10169491525423729</c:v>
                </c:pt>
                <c:pt idx="4">
                  <c:v>0.11864406779661017</c:v>
                </c:pt>
                <c:pt idx="5">
                  <c:v>0.15254237288135594</c:v>
                </c:pt>
                <c:pt idx="6">
                  <c:v>0.3728813559322034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EC-41D3-9404-C48B076FEF60}"/>
            </c:ext>
          </c:extLst>
        </c:ser>
        <c:ser>
          <c:idx val="3"/>
          <c:order val="3"/>
          <c:tx>
            <c:strRef>
              <c:f>MANTENA!$M$1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MANTENA!$M$2:$M$9</c:f>
              <c:numCache>
                <c:formatCode>0.00</c:formatCode>
                <c:ptCount val="8"/>
                <c:pt idx="0">
                  <c:v>2.0408163265306121E-2</c:v>
                </c:pt>
                <c:pt idx="1">
                  <c:v>2.0408163265306121E-2</c:v>
                </c:pt>
                <c:pt idx="2">
                  <c:v>2.0408163265306121E-2</c:v>
                </c:pt>
                <c:pt idx="3">
                  <c:v>4.0816326530612242E-2</c:v>
                </c:pt>
                <c:pt idx="4">
                  <c:v>0.10204081632653061</c:v>
                </c:pt>
                <c:pt idx="5">
                  <c:v>0.16326530612244899</c:v>
                </c:pt>
                <c:pt idx="6">
                  <c:v>0.44897959183673469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EC-41D3-9404-C48B076FE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864112"/>
        <c:axId val="1942860752"/>
      </c:scatterChart>
      <c:valAx>
        <c:axId val="19428641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2860752"/>
        <c:crosses val="autoZero"/>
        <c:crossBetween val="midCat"/>
      </c:valAx>
      <c:valAx>
        <c:axId val="19428607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286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MANTENA!$J$1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MANTENA!$J$2:$J$9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69-4523-9A86-F9F163FC13CC}"/>
            </c:ext>
          </c:extLst>
        </c:ser>
        <c:ser>
          <c:idx val="1"/>
          <c:order val="1"/>
          <c:tx>
            <c:strRef>
              <c:f>MANTENA!$N$1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MANTENA!$N$2:$N$9</c:f>
              <c:numCache>
                <c:formatCode>0.00</c:formatCode>
                <c:ptCount val="8"/>
                <c:pt idx="0">
                  <c:v>4.3209876543209874E-2</c:v>
                </c:pt>
                <c:pt idx="1">
                  <c:v>4.3209876543209874E-2</c:v>
                </c:pt>
                <c:pt idx="2">
                  <c:v>9.2592592592592587E-2</c:v>
                </c:pt>
                <c:pt idx="3">
                  <c:v>0.16049382716049382</c:v>
                </c:pt>
                <c:pt idx="4">
                  <c:v>0.31481481481481477</c:v>
                </c:pt>
                <c:pt idx="5">
                  <c:v>0.4135802469135802</c:v>
                </c:pt>
                <c:pt idx="6">
                  <c:v>0.72839506172839497</c:v>
                </c:pt>
                <c:pt idx="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69-4523-9A86-F9F163FC13CC}"/>
            </c:ext>
          </c:extLst>
        </c:ser>
        <c:ser>
          <c:idx val="2"/>
          <c:order val="2"/>
          <c:tx>
            <c:strRef>
              <c:f>MANTENA!$O$1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MANTENA!$O$2:$O$9</c:f>
              <c:numCache>
                <c:formatCode>0.00</c:formatCode>
                <c:ptCount val="8"/>
                <c:pt idx="0">
                  <c:v>3.8167938931297711E-2</c:v>
                </c:pt>
                <c:pt idx="1">
                  <c:v>6.8702290076335881E-2</c:v>
                </c:pt>
                <c:pt idx="2">
                  <c:v>0.12977099236641221</c:v>
                </c:pt>
                <c:pt idx="3">
                  <c:v>0.18320610687022901</c:v>
                </c:pt>
                <c:pt idx="4">
                  <c:v>0.35114503816793896</c:v>
                </c:pt>
                <c:pt idx="5">
                  <c:v>0.48091603053435117</c:v>
                </c:pt>
                <c:pt idx="6">
                  <c:v>0.77862595419847325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69-4523-9A86-F9F163FC13CC}"/>
            </c:ext>
          </c:extLst>
        </c:ser>
        <c:ser>
          <c:idx val="3"/>
          <c:order val="3"/>
          <c:tx>
            <c:strRef>
              <c:f>MANTENA!$P$1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MANTENA!$P$2:$P$9</c:f>
              <c:numCache>
                <c:formatCode>0.00</c:formatCode>
                <c:ptCount val="8"/>
                <c:pt idx="0">
                  <c:v>4.6875E-2</c:v>
                </c:pt>
                <c:pt idx="1">
                  <c:v>0.1171875</c:v>
                </c:pt>
                <c:pt idx="2">
                  <c:v>0.15625</c:v>
                </c:pt>
                <c:pt idx="3">
                  <c:v>0.265625</c:v>
                </c:pt>
                <c:pt idx="4">
                  <c:v>0.4921875</c:v>
                </c:pt>
                <c:pt idx="5">
                  <c:v>0.5625</c:v>
                </c:pt>
                <c:pt idx="6">
                  <c:v>0.8046875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69-4523-9A86-F9F163FC1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329264"/>
        <c:axId val="2095334064"/>
      </c:scatterChart>
      <c:valAx>
        <c:axId val="2095329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5334064"/>
        <c:crosses val="autoZero"/>
        <c:crossBetween val="midCat"/>
      </c:valAx>
      <c:valAx>
        <c:axId val="20953340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532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'PEÇANHA - SÃO JOÃO EVANGELISTA'!$J$1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EVANGELISTA'!$J$2:$J$8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49-4699-8CEA-1D1448029FCF}"/>
            </c:ext>
          </c:extLst>
        </c:ser>
        <c:ser>
          <c:idx val="1"/>
          <c:order val="1"/>
          <c:tx>
            <c:strRef>
              <c:f>'PEÇANHA - SÃO JOÃO EVANGELISTA'!$K$1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EVANGELISTA'!$K$2:$K$8</c:f>
              <c:numCache>
                <c:formatCode>0.00</c:formatCode>
                <c:ptCount val="7"/>
                <c:pt idx="0">
                  <c:v>5.8139534883720929E-2</c:v>
                </c:pt>
                <c:pt idx="1">
                  <c:v>0.11627906976744186</c:v>
                </c:pt>
                <c:pt idx="2">
                  <c:v>0.26744186046511625</c:v>
                </c:pt>
                <c:pt idx="3">
                  <c:v>0.3837209302325581</c:v>
                </c:pt>
                <c:pt idx="4">
                  <c:v>0.51162790697674421</c:v>
                </c:pt>
                <c:pt idx="5">
                  <c:v>0.7441860465116279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49-4699-8CEA-1D1448029FCF}"/>
            </c:ext>
          </c:extLst>
        </c:ser>
        <c:ser>
          <c:idx val="2"/>
          <c:order val="2"/>
          <c:tx>
            <c:strRef>
              <c:f>'PEÇANHA - SÃO JOÃO EVANGELISTA'!$L$1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EVANGELISTA'!$L$2:$L$8</c:f>
              <c:numCache>
                <c:formatCode>0.00</c:formatCode>
                <c:ptCount val="7"/>
                <c:pt idx="0">
                  <c:v>6.8181818181818177E-2</c:v>
                </c:pt>
                <c:pt idx="1">
                  <c:v>9.0909090909090912E-2</c:v>
                </c:pt>
                <c:pt idx="2">
                  <c:v>0.13636363636363635</c:v>
                </c:pt>
                <c:pt idx="3">
                  <c:v>0.18181818181818182</c:v>
                </c:pt>
                <c:pt idx="4">
                  <c:v>0.22727272727272729</c:v>
                </c:pt>
                <c:pt idx="5">
                  <c:v>0.59090909090909094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49-4699-8CEA-1D1448029FCF}"/>
            </c:ext>
          </c:extLst>
        </c:ser>
        <c:ser>
          <c:idx val="3"/>
          <c:order val="3"/>
          <c:tx>
            <c:strRef>
              <c:f>'PEÇANHA - SÃO JOÃO EVANGELISTA'!$M$1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EVANGELISTA'!$M$2:$M$8</c:f>
              <c:numCache>
                <c:formatCode>0.00</c:formatCode>
                <c:ptCount val="7"/>
                <c:pt idx="0">
                  <c:v>0</c:v>
                </c:pt>
                <c:pt idx="1">
                  <c:v>3.7037037037037035E-2</c:v>
                </c:pt>
                <c:pt idx="2">
                  <c:v>7.407407407407407E-2</c:v>
                </c:pt>
                <c:pt idx="3">
                  <c:v>0.31481481481481477</c:v>
                </c:pt>
                <c:pt idx="4">
                  <c:v>0.33333333333333326</c:v>
                </c:pt>
                <c:pt idx="5">
                  <c:v>0.85185185185185175</c:v>
                </c:pt>
                <c:pt idx="6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49-4699-8CEA-1D1448029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560992"/>
        <c:axId val="318560032"/>
      </c:scatterChart>
      <c:valAx>
        <c:axId val="3185609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60032"/>
        <c:crosses val="autoZero"/>
        <c:crossBetween val="midCat"/>
      </c:valAx>
      <c:valAx>
        <c:axId val="3185600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6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'PEÇANHA - SÃO JOÃO EVANGELISTA'!$J$1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EVANGELISTA'!$J$2:$J$8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7C-488A-9FCD-E20980B8CCC6}"/>
            </c:ext>
          </c:extLst>
        </c:ser>
        <c:ser>
          <c:idx val="1"/>
          <c:order val="1"/>
          <c:tx>
            <c:strRef>
              <c:f>'PEÇANHA - SÃO JOÃO EVANGELISTA'!$N$1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EVANGELISTA'!$N$2:$N$8</c:f>
              <c:numCache>
                <c:formatCode>0.00</c:formatCode>
                <c:ptCount val="7"/>
                <c:pt idx="0">
                  <c:v>8.59375E-2</c:v>
                </c:pt>
                <c:pt idx="1">
                  <c:v>0.125</c:v>
                </c:pt>
                <c:pt idx="2">
                  <c:v>0.2109375</c:v>
                </c:pt>
                <c:pt idx="3">
                  <c:v>0.3046875</c:v>
                </c:pt>
                <c:pt idx="4">
                  <c:v>0.34375</c:v>
                </c:pt>
                <c:pt idx="5">
                  <c:v>0.8671875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7C-488A-9FCD-E20980B8CCC6}"/>
            </c:ext>
          </c:extLst>
        </c:ser>
        <c:ser>
          <c:idx val="2"/>
          <c:order val="2"/>
          <c:tx>
            <c:strRef>
              <c:f>'PEÇANHA - SÃO JOÃO EVANGELISTA'!$O$1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EVANGELISTA'!$O$2:$O$8</c:f>
              <c:numCache>
                <c:formatCode>0.00</c:formatCode>
                <c:ptCount val="7"/>
                <c:pt idx="0">
                  <c:v>3.6363636363636362E-2</c:v>
                </c:pt>
                <c:pt idx="1">
                  <c:v>9.0909090909090912E-2</c:v>
                </c:pt>
                <c:pt idx="2">
                  <c:v>0.2</c:v>
                </c:pt>
                <c:pt idx="3">
                  <c:v>0.22727272727272729</c:v>
                </c:pt>
                <c:pt idx="4">
                  <c:v>0.27272727272727276</c:v>
                </c:pt>
                <c:pt idx="5">
                  <c:v>0.67272727272727284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7C-488A-9FCD-E20980B8CCC6}"/>
            </c:ext>
          </c:extLst>
        </c:ser>
        <c:ser>
          <c:idx val="3"/>
          <c:order val="3"/>
          <c:tx>
            <c:strRef>
              <c:f>'PEÇANHA - SÃO JOÃO EVANGELISTA'!$P$1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EVANGELISTA'!$P$2:$P$8</c:f>
              <c:numCache>
                <c:formatCode>0.00</c:formatCode>
                <c:ptCount val="7"/>
                <c:pt idx="0">
                  <c:v>2.3255813953488372E-2</c:v>
                </c:pt>
                <c:pt idx="1">
                  <c:v>6.9767441860465115E-2</c:v>
                </c:pt>
                <c:pt idx="2">
                  <c:v>0.18604651162790697</c:v>
                </c:pt>
                <c:pt idx="3">
                  <c:v>0.30232558139534882</c:v>
                </c:pt>
                <c:pt idx="4">
                  <c:v>0.44186046511627908</c:v>
                </c:pt>
                <c:pt idx="5">
                  <c:v>0.72093023255813948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7C-488A-9FCD-E20980B8C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295424"/>
        <c:axId val="297295904"/>
      </c:scatterChart>
      <c:valAx>
        <c:axId val="2972954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95904"/>
        <c:crosses val="autoZero"/>
        <c:crossBetween val="midCat"/>
      </c:valAx>
      <c:valAx>
        <c:axId val="29729590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9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RESPLENDOR!$J$1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RESPLENDOR!$J$2:$J$9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34-4C74-AA16-9BCCDFBDA778}"/>
            </c:ext>
          </c:extLst>
        </c:ser>
        <c:ser>
          <c:idx val="1"/>
          <c:order val="1"/>
          <c:tx>
            <c:strRef>
              <c:f>RESPLENDOR!$K$1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RESPLENDOR!$K$2:$K$9</c:f>
              <c:numCache>
                <c:formatCode>0.00</c:formatCode>
                <c:ptCount val="8"/>
                <c:pt idx="0">
                  <c:v>0.1171875</c:v>
                </c:pt>
                <c:pt idx="1">
                  <c:v>0.125</c:v>
                </c:pt>
                <c:pt idx="2">
                  <c:v>0.1796875</c:v>
                </c:pt>
                <c:pt idx="3">
                  <c:v>0.296875</c:v>
                </c:pt>
                <c:pt idx="4">
                  <c:v>0.4609375</c:v>
                </c:pt>
                <c:pt idx="5">
                  <c:v>0.859375</c:v>
                </c:pt>
                <c:pt idx="6">
                  <c:v>0.9140625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34-4C74-AA16-9BCCDFBDA778}"/>
            </c:ext>
          </c:extLst>
        </c:ser>
        <c:ser>
          <c:idx val="2"/>
          <c:order val="2"/>
          <c:tx>
            <c:strRef>
              <c:f>RESPLENDOR!$L$1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RESPLENDOR!$L$2:$L$9</c:f>
              <c:numCache>
                <c:formatCode>0.00</c:formatCode>
                <c:ptCount val="8"/>
                <c:pt idx="0">
                  <c:v>0</c:v>
                </c:pt>
                <c:pt idx="1">
                  <c:v>1.5151515151515152E-2</c:v>
                </c:pt>
                <c:pt idx="2">
                  <c:v>0.12121212121212122</c:v>
                </c:pt>
                <c:pt idx="3">
                  <c:v>0.21212121212121213</c:v>
                </c:pt>
                <c:pt idx="4">
                  <c:v>0.31818181818181818</c:v>
                </c:pt>
                <c:pt idx="5">
                  <c:v>0.77272727272727271</c:v>
                </c:pt>
                <c:pt idx="6">
                  <c:v>0.80303030303030298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34-4C74-AA16-9BCCDFBDA778}"/>
            </c:ext>
          </c:extLst>
        </c:ser>
        <c:ser>
          <c:idx val="3"/>
          <c:order val="3"/>
          <c:tx>
            <c:strRef>
              <c:f>RESPLENDOR!$M$1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RESPLENDOR!$M$2:$M$9</c:f>
              <c:numCache>
                <c:formatCode>0.00</c:formatCode>
                <c:ptCount val="8"/>
                <c:pt idx="0">
                  <c:v>1.098901098901099E-2</c:v>
                </c:pt>
                <c:pt idx="1">
                  <c:v>1.098901098901099E-2</c:v>
                </c:pt>
                <c:pt idx="2">
                  <c:v>1.098901098901099E-2</c:v>
                </c:pt>
                <c:pt idx="3">
                  <c:v>0.17582417582417581</c:v>
                </c:pt>
                <c:pt idx="4">
                  <c:v>0.31868131868131866</c:v>
                </c:pt>
                <c:pt idx="5">
                  <c:v>0.69230769230769229</c:v>
                </c:pt>
                <c:pt idx="6">
                  <c:v>0.82417582417582413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34-4C74-AA16-9BCCDFBDA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554752"/>
        <c:axId val="318547552"/>
      </c:scatterChart>
      <c:valAx>
        <c:axId val="3185547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47552"/>
        <c:crosses val="autoZero"/>
        <c:crossBetween val="midCat"/>
      </c:valAx>
      <c:valAx>
        <c:axId val="3185475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5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RESPLENDOR!$J$1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RESPLENDOR!$J$2:$J$9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3C-4971-B279-937334820B4D}"/>
            </c:ext>
          </c:extLst>
        </c:ser>
        <c:ser>
          <c:idx val="1"/>
          <c:order val="1"/>
          <c:tx>
            <c:strRef>
              <c:f>RESPLENDOR!$N$1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RESPLENDOR!$N$2:$N$9</c:f>
              <c:numCache>
                <c:formatCode>0.00</c:formatCode>
                <c:ptCount val="8"/>
                <c:pt idx="0">
                  <c:v>2.1164021164021163E-2</c:v>
                </c:pt>
                <c:pt idx="1">
                  <c:v>2.6455026455026454E-2</c:v>
                </c:pt>
                <c:pt idx="2">
                  <c:v>5.8201058201058198E-2</c:v>
                </c:pt>
                <c:pt idx="3">
                  <c:v>0.14285714285714285</c:v>
                </c:pt>
                <c:pt idx="4">
                  <c:v>0.28042328042328041</c:v>
                </c:pt>
                <c:pt idx="5">
                  <c:v>0.53439153439153442</c:v>
                </c:pt>
                <c:pt idx="6">
                  <c:v>0.67195767195767198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3C-4971-B279-937334820B4D}"/>
            </c:ext>
          </c:extLst>
        </c:ser>
        <c:ser>
          <c:idx val="2"/>
          <c:order val="2"/>
          <c:tx>
            <c:strRef>
              <c:f>RESPLENDOR!$O$1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RESPLENDOR!$O$2:$O$9</c:f>
              <c:numCache>
                <c:formatCode>0.00</c:formatCode>
                <c:ptCount val="8"/>
                <c:pt idx="0">
                  <c:v>2.7586206896551724E-2</c:v>
                </c:pt>
                <c:pt idx="1">
                  <c:v>0.12413793103448276</c:v>
                </c:pt>
                <c:pt idx="2">
                  <c:v>0.20689655172413793</c:v>
                </c:pt>
                <c:pt idx="3">
                  <c:v>0.28275862068965518</c:v>
                </c:pt>
                <c:pt idx="4">
                  <c:v>0.34482758620689657</c:v>
                </c:pt>
                <c:pt idx="5">
                  <c:v>0.53793103448275859</c:v>
                </c:pt>
                <c:pt idx="6">
                  <c:v>0.72413793103448276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3C-4971-B279-937334820B4D}"/>
            </c:ext>
          </c:extLst>
        </c:ser>
        <c:ser>
          <c:idx val="3"/>
          <c:order val="3"/>
          <c:tx>
            <c:strRef>
              <c:f>RESPLENDOR!$P$1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RESPLENDOR!$P$2:$P$9</c:f>
              <c:numCache>
                <c:formatCode>0.00</c:formatCode>
                <c:ptCount val="8"/>
                <c:pt idx="0">
                  <c:v>7.6923076923076927E-2</c:v>
                </c:pt>
                <c:pt idx="1">
                  <c:v>0.2153846153846154</c:v>
                </c:pt>
                <c:pt idx="2">
                  <c:v>0.33846153846153848</c:v>
                </c:pt>
                <c:pt idx="3">
                  <c:v>0.4</c:v>
                </c:pt>
                <c:pt idx="4">
                  <c:v>0.46153846153846156</c:v>
                </c:pt>
                <c:pt idx="5">
                  <c:v>0.66153846153846163</c:v>
                </c:pt>
                <c:pt idx="6">
                  <c:v>0.7384615384615385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3C-4971-B279-937334820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00208"/>
        <c:axId val="154791088"/>
      </c:scatterChart>
      <c:valAx>
        <c:axId val="1548002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91088"/>
        <c:crosses val="autoZero"/>
        <c:crossBetween val="midCat"/>
      </c:valAx>
      <c:valAx>
        <c:axId val="1547910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800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'SANTA MARIA DO SUAÇUÍ'!$J$1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SUAÇUÍ'!$J$2:$J$5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34-443F-8083-577C39BEED6C}"/>
            </c:ext>
          </c:extLst>
        </c:ser>
        <c:ser>
          <c:idx val="1"/>
          <c:order val="1"/>
          <c:tx>
            <c:strRef>
              <c:f>'SANTA MARIA DO SUAÇUÍ'!$K$1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SUAÇUÍ'!$K$2:$K$5</c:f>
              <c:numCache>
                <c:formatCode>0.00</c:formatCode>
                <c:ptCount val="4"/>
                <c:pt idx="0">
                  <c:v>0.1702127659574468</c:v>
                </c:pt>
                <c:pt idx="1">
                  <c:v>0.63829787234042556</c:v>
                </c:pt>
                <c:pt idx="2">
                  <c:v>0.82978723404255317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34-443F-8083-577C39BEED6C}"/>
            </c:ext>
          </c:extLst>
        </c:ser>
        <c:ser>
          <c:idx val="2"/>
          <c:order val="2"/>
          <c:tx>
            <c:strRef>
              <c:f>'SANTA MARIA DO SUAÇUÍ'!$L$1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SUAÇUÍ'!$L$2:$L$5</c:f>
              <c:numCache>
                <c:formatCode>0.00</c:formatCode>
                <c:ptCount val="4"/>
                <c:pt idx="0">
                  <c:v>9.3333333333333338E-2</c:v>
                </c:pt>
                <c:pt idx="1">
                  <c:v>0.24</c:v>
                </c:pt>
                <c:pt idx="2">
                  <c:v>0.64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34-443F-8083-577C39BEED6C}"/>
            </c:ext>
          </c:extLst>
        </c:ser>
        <c:ser>
          <c:idx val="3"/>
          <c:order val="3"/>
          <c:tx>
            <c:strRef>
              <c:f>'SANTA MARIA DO SUAÇUÍ'!$M$1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SUAÇUÍ'!$M$2:$M$5</c:f>
              <c:numCache>
                <c:formatCode>0.00</c:formatCode>
                <c:ptCount val="4"/>
                <c:pt idx="0">
                  <c:v>0.13235294117647059</c:v>
                </c:pt>
                <c:pt idx="1">
                  <c:v>0.45588235294117652</c:v>
                </c:pt>
                <c:pt idx="2">
                  <c:v>0.61764705882352944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34-443F-8083-577C39BEE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82448"/>
        <c:axId val="154799248"/>
      </c:scatterChart>
      <c:valAx>
        <c:axId val="1547824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99248"/>
        <c:crosses val="autoZero"/>
        <c:crossBetween val="midCat"/>
      </c:valAx>
      <c:valAx>
        <c:axId val="1547992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82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'SANTA MARIA DO SUAÇUÍ'!$J$1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SUAÇUÍ'!$J$2:$J$5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57-4F6C-815A-1B52BBADBD1C}"/>
            </c:ext>
          </c:extLst>
        </c:ser>
        <c:ser>
          <c:idx val="1"/>
          <c:order val="1"/>
          <c:tx>
            <c:strRef>
              <c:f>'SANTA MARIA DO SUAÇUÍ'!$N$1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SUAÇUÍ'!$N$2:$N$5</c:f>
              <c:numCache>
                <c:formatCode>0.00</c:formatCode>
                <c:ptCount val="4"/>
                <c:pt idx="0">
                  <c:v>0.20289855072463769</c:v>
                </c:pt>
                <c:pt idx="1">
                  <c:v>0.40579710144927539</c:v>
                </c:pt>
                <c:pt idx="2">
                  <c:v>0.69565217391304346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57-4F6C-815A-1B52BBADBD1C}"/>
            </c:ext>
          </c:extLst>
        </c:ser>
        <c:ser>
          <c:idx val="2"/>
          <c:order val="2"/>
          <c:tx>
            <c:strRef>
              <c:f>'SANTA MARIA DO SUAÇUÍ'!$O$1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SUAÇUÍ'!$O$2:$O$5</c:f>
              <c:numCache>
                <c:formatCode>0.00</c:formatCode>
                <c:ptCount val="4"/>
                <c:pt idx="0">
                  <c:v>0.16949152542372881</c:v>
                </c:pt>
                <c:pt idx="1">
                  <c:v>0.5423728813559322</c:v>
                </c:pt>
                <c:pt idx="2">
                  <c:v>0.88135593220338981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57-4F6C-815A-1B52BBADBD1C}"/>
            </c:ext>
          </c:extLst>
        </c:ser>
        <c:ser>
          <c:idx val="3"/>
          <c:order val="3"/>
          <c:tx>
            <c:strRef>
              <c:f>'SANTA MARIA DO SUAÇUÍ'!$P$1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SUAÇUÍ'!$P$2:$P$5</c:f>
              <c:numCache>
                <c:formatCode>0.00</c:formatCode>
                <c:ptCount val="4"/>
                <c:pt idx="0">
                  <c:v>8.3333333333333329E-2</c:v>
                </c:pt>
                <c:pt idx="1">
                  <c:v>0.41666666666666663</c:v>
                </c:pt>
                <c:pt idx="2">
                  <c:v>0.83333333333333326</c:v>
                </c:pt>
                <c:pt idx="3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57-4F6C-815A-1B52BBADB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261712"/>
        <c:axId val="1856248752"/>
      </c:scatterChart>
      <c:valAx>
        <c:axId val="18562617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48752"/>
        <c:crosses val="autoZero"/>
        <c:crossBetween val="midCat"/>
      </c:valAx>
      <c:valAx>
        <c:axId val="18562487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61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141270</xdr:colOff>
      <xdr:row>0</xdr:row>
      <xdr:rowOff>83905</xdr:rowOff>
    </xdr:from>
    <xdr:to>
      <xdr:col>23</xdr:col>
      <xdr:colOff>458056</xdr:colOff>
      <xdr:row>14</xdr:row>
      <xdr:rowOff>27397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F480B67-122A-F4F0-3ACF-8F2A0A0A4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132709</xdr:colOff>
      <xdr:row>14</xdr:row>
      <xdr:rowOff>101029</xdr:rowOff>
    </xdr:from>
    <xdr:to>
      <xdr:col>23</xdr:col>
      <xdr:colOff>449495</xdr:colOff>
      <xdr:row>28</xdr:row>
      <xdr:rowOff>138701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54BED17-155A-4D84-8343-0D9C72C8E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206962</xdr:colOff>
      <xdr:row>0</xdr:row>
      <xdr:rowOff>72437</xdr:rowOff>
    </xdr:from>
    <xdr:to>
      <xdr:col>23</xdr:col>
      <xdr:colOff>498592</xdr:colOff>
      <xdr:row>13</xdr:row>
      <xdr:rowOff>21637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A6A7688-0CCD-CF50-4098-ECD0E5DE2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206963</xdr:colOff>
      <xdr:row>13</xdr:row>
      <xdr:rowOff>91252</xdr:rowOff>
    </xdr:from>
    <xdr:to>
      <xdr:col>23</xdr:col>
      <xdr:colOff>498593</xdr:colOff>
      <xdr:row>28</xdr:row>
      <xdr:rowOff>153341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762D030-ACCD-804A-183C-DFDFFEAC7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257175</xdr:colOff>
      <xdr:row>0</xdr:row>
      <xdr:rowOff>90488</xdr:rowOff>
    </xdr:from>
    <xdr:to>
      <xdr:col>23</xdr:col>
      <xdr:colOff>561975</xdr:colOff>
      <xdr:row>13</xdr:row>
      <xdr:rowOff>14288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4A7372-3520-FD80-1A4E-0A93A0405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247650</xdr:colOff>
      <xdr:row>13</xdr:row>
      <xdr:rowOff>61913</xdr:rowOff>
    </xdr:from>
    <xdr:to>
      <xdr:col>23</xdr:col>
      <xdr:colOff>552450</xdr:colOff>
      <xdr:row>28</xdr:row>
      <xdr:rowOff>90488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2946A23-E7A5-1537-326F-7515A18E5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516467</xdr:colOff>
      <xdr:row>0</xdr:row>
      <xdr:rowOff>110067</xdr:rowOff>
    </xdr:from>
    <xdr:to>
      <xdr:col>24</xdr:col>
      <xdr:colOff>211667</xdr:colOff>
      <xdr:row>12</xdr:row>
      <xdr:rowOff>160867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48AEF42-5603-5B5E-88CA-A4839C45E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524934</xdr:colOff>
      <xdr:row>13</xdr:row>
      <xdr:rowOff>59266</xdr:rowOff>
    </xdr:from>
    <xdr:to>
      <xdr:col>24</xdr:col>
      <xdr:colOff>220134</xdr:colOff>
      <xdr:row>28</xdr:row>
      <xdr:rowOff>8466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55248D4-29CE-8A84-F100-F4220CA3D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106680</xdr:colOff>
      <xdr:row>0</xdr:row>
      <xdr:rowOff>26670</xdr:rowOff>
    </xdr:from>
    <xdr:to>
      <xdr:col>23</xdr:col>
      <xdr:colOff>411480</xdr:colOff>
      <xdr:row>12</xdr:row>
      <xdr:rowOff>110490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9619A55-34A6-4FF4-0A14-18FC63511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121920</xdr:colOff>
      <xdr:row>13</xdr:row>
      <xdr:rowOff>3810</xdr:rowOff>
    </xdr:from>
    <xdr:to>
      <xdr:col>23</xdr:col>
      <xdr:colOff>426720</xdr:colOff>
      <xdr:row>28</xdr:row>
      <xdr:rowOff>3810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9ECE639-1FA3-ED25-3E6C-53DB73328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7D04-5F0D-41D4-A4AB-D8C331D10194}">
  <dimension ref="A1:P53"/>
  <sheetViews>
    <sheetView tabSelected="1" zoomScale="89" workbookViewId="0">
      <selection activeCell="J2" sqref="J2:P2"/>
    </sheetView>
  </sheetViews>
  <sheetFormatPr defaultRowHeight="14.4" x14ac:dyDescent="0.3"/>
  <cols>
    <col min="1" max="1" width="13.6640625" style="12" customWidth="1"/>
    <col min="11" max="16" width="12" bestFit="1" customWidth="1"/>
  </cols>
  <sheetData>
    <row r="1" spans="1:16" ht="36.6" customHeight="1" x14ac:dyDescent="0.3">
      <c r="A1" s="10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8" t="s">
        <v>26</v>
      </c>
      <c r="L1" s="8" t="s">
        <v>27</v>
      </c>
      <c r="M1" s="8" t="s">
        <v>28</v>
      </c>
      <c r="N1" s="7" t="s">
        <v>29</v>
      </c>
      <c r="O1" s="8" t="s">
        <v>30</v>
      </c>
      <c r="P1" s="8" t="s">
        <v>31</v>
      </c>
    </row>
    <row r="2" spans="1:16" x14ac:dyDescent="0.3">
      <c r="A2" s="11" t="s">
        <v>13</v>
      </c>
      <c r="B2" s="11">
        <v>7.2874587382562731E-3</v>
      </c>
      <c r="C2" s="11">
        <v>5.6980056980056983E-3</v>
      </c>
      <c r="D2" s="11">
        <v>0</v>
      </c>
      <c r="E2" s="11">
        <v>0</v>
      </c>
      <c r="F2" s="11">
        <v>1.3513513513513514E-2</v>
      </c>
      <c r="G2" s="11">
        <v>2.3333333333333334E-2</v>
      </c>
      <c r="H2" s="11">
        <v>2.0833333333333332E-2</v>
      </c>
      <c r="I2" s="9">
        <v>7.2874587382562731E-3</v>
      </c>
      <c r="J2" s="24">
        <v>7.2874587382562731E-3</v>
      </c>
      <c r="K2" s="24">
        <v>5.6980056980056983E-3</v>
      </c>
      <c r="L2" s="24">
        <v>0</v>
      </c>
      <c r="M2" s="24">
        <v>0</v>
      </c>
      <c r="N2" s="24">
        <v>1.3513513513513514E-2</v>
      </c>
      <c r="O2" s="24">
        <v>2.3333333333333334E-2</v>
      </c>
      <c r="P2" s="24">
        <v>2.0833333333333332E-2</v>
      </c>
    </row>
    <row r="3" spans="1:16" x14ac:dyDescent="0.3">
      <c r="A3" s="11" t="s">
        <v>14</v>
      </c>
      <c r="B3" s="11">
        <v>7.4351930934188964E-3</v>
      </c>
      <c r="C3" s="11">
        <v>0</v>
      </c>
      <c r="D3" s="11">
        <v>0</v>
      </c>
      <c r="E3" s="11">
        <v>0</v>
      </c>
      <c r="F3" s="11">
        <v>0</v>
      </c>
      <c r="G3" s="11">
        <v>3.3333333333333335E-3</v>
      </c>
      <c r="H3" s="11">
        <v>5.208333333333333E-3</v>
      </c>
      <c r="I3" s="9">
        <v>1.4722651831675169E-2</v>
      </c>
      <c r="J3" s="9">
        <f>J2+B3</f>
        <v>1.4722651831675169E-2</v>
      </c>
      <c r="K3" s="9">
        <f t="shared" ref="K3:P16" si="0">K2+C3</f>
        <v>5.6980056980056983E-3</v>
      </c>
      <c r="L3" s="9">
        <f t="shared" si="0"/>
        <v>0</v>
      </c>
      <c r="M3" s="9">
        <f t="shared" si="0"/>
        <v>0</v>
      </c>
      <c r="N3" s="9">
        <f t="shared" si="0"/>
        <v>1.3513513513513514E-2</v>
      </c>
      <c r="O3" s="9">
        <f t="shared" si="0"/>
        <v>2.6666666666666668E-2</v>
      </c>
      <c r="P3" s="9">
        <f t="shared" si="0"/>
        <v>2.6041666666666664E-2</v>
      </c>
    </row>
    <row r="4" spans="1:16" x14ac:dyDescent="0.3">
      <c r="A4" s="11" t="s">
        <v>6</v>
      </c>
      <c r="B4" s="11">
        <v>8.0792225479559571E-3</v>
      </c>
      <c r="C4" s="11">
        <v>3.1339031339031341E-2</v>
      </c>
      <c r="D4" s="11">
        <v>7.1428571428571426E-3</v>
      </c>
      <c r="E4" s="11">
        <v>2.7027027027027029E-2</v>
      </c>
      <c r="F4" s="11">
        <v>3.3783783783783786E-2</v>
      </c>
      <c r="G4" s="11">
        <v>0</v>
      </c>
      <c r="H4" s="11">
        <v>0</v>
      </c>
      <c r="I4" s="9">
        <v>2.2801874379631125E-2</v>
      </c>
      <c r="J4" s="9">
        <f t="shared" ref="J4:J16" si="1">J3+B4</f>
        <v>2.2801874379631125E-2</v>
      </c>
      <c r="K4" s="9">
        <f t="shared" si="0"/>
        <v>3.7037037037037042E-2</v>
      </c>
      <c r="L4" s="9">
        <f t="shared" si="0"/>
        <v>7.1428571428571426E-3</v>
      </c>
      <c r="M4" s="9">
        <f t="shared" si="0"/>
        <v>2.7027027027027029E-2</v>
      </c>
      <c r="N4" s="9">
        <f t="shared" si="0"/>
        <v>4.72972972972973E-2</v>
      </c>
      <c r="O4" s="9">
        <f t="shared" si="0"/>
        <v>2.6666666666666668E-2</v>
      </c>
      <c r="P4" s="9">
        <f t="shared" si="0"/>
        <v>2.6041666666666664E-2</v>
      </c>
    </row>
    <row r="5" spans="1:16" x14ac:dyDescent="0.3">
      <c r="A5" s="11" t="s">
        <v>16</v>
      </c>
      <c r="B5" s="11">
        <v>8.9102282957457118E-3</v>
      </c>
      <c r="C5" s="11">
        <v>2.8490028490028491E-2</v>
      </c>
      <c r="D5" s="11">
        <v>7.1428571428571426E-3</v>
      </c>
      <c r="E5" s="11">
        <v>0</v>
      </c>
      <c r="F5" s="11">
        <v>7.0945945945945943E-2</v>
      </c>
      <c r="G5" s="11">
        <v>0</v>
      </c>
      <c r="H5" s="11">
        <v>1.5625E-2</v>
      </c>
      <c r="I5" s="9">
        <v>3.1712102675376837E-2</v>
      </c>
      <c r="J5" s="9">
        <f t="shared" si="1"/>
        <v>3.1712102675376837E-2</v>
      </c>
      <c r="K5" s="9">
        <f t="shared" si="0"/>
        <v>6.5527065527065526E-2</v>
      </c>
      <c r="L5" s="9">
        <f t="shared" si="0"/>
        <v>1.4285714285714285E-2</v>
      </c>
      <c r="M5" s="9">
        <f t="shared" si="0"/>
        <v>2.7027027027027029E-2</v>
      </c>
      <c r="N5" s="9">
        <f t="shared" si="0"/>
        <v>0.11824324324324324</v>
      </c>
      <c r="O5" s="9">
        <f t="shared" si="0"/>
        <v>2.6666666666666668E-2</v>
      </c>
      <c r="P5" s="9">
        <f t="shared" si="0"/>
        <v>4.1666666666666664E-2</v>
      </c>
    </row>
    <row r="6" spans="1:16" x14ac:dyDescent="0.3">
      <c r="A6" s="11" t="s">
        <v>12</v>
      </c>
      <c r="B6" s="11">
        <v>9.4157567923178129E-3</v>
      </c>
      <c r="C6" s="11">
        <v>0</v>
      </c>
      <c r="D6" s="11">
        <v>0</v>
      </c>
      <c r="E6" s="11">
        <v>9.0090090090090089E-3</v>
      </c>
      <c r="F6" s="11">
        <v>3.3783783783783786E-3</v>
      </c>
      <c r="G6" s="11">
        <v>0.05</v>
      </c>
      <c r="H6" s="11">
        <v>5.2083333333333336E-2</v>
      </c>
      <c r="I6" s="9">
        <v>4.112785946769465E-2</v>
      </c>
      <c r="J6" s="9">
        <f t="shared" si="1"/>
        <v>4.112785946769465E-2</v>
      </c>
      <c r="K6" s="9">
        <f t="shared" si="0"/>
        <v>6.5527065527065526E-2</v>
      </c>
      <c r="L6" s="9">
        <f t="shared" si="0"/>
        <v>1.4285714285714285E-2</v>
      </c>
      <c r="M6" s="9">
        <f t="shared" si="0"/>
        <v>3.6036036036036036E-2</v>
      </c>
      <c r="N6" s="9">
        <f t="shared" si="0"/>
        <v>0.12162162162162163</v>
      </c>
      <c r="O6" s="9">
        <f t="shared" si="0"/>
        <v>7.6666666666666675E-2</v>
      </c>
      <c r="P6" s="9">
        <f t="shared" si="0"/>
        <v>9.375E-2</v>
      </c>
    </row>
    <row r="7" spans="1:16" x14ac:dyDescent="0.3">
      <c r="A7" s="11" t="s">
        <v>17</v>
      </c>
      <c r="B7" s="11">
        <v>9.4734655248032134E-3</v>
      </c>
      <c r="C7" s="11">
        <v>1.4245014245014245E-2</v>
      </c>
      <c r="D7" s="11">
        <v>2.1428571428571429E-2</v>
      </c>
      <c r="E7" s="11">
        <v>0</v>
      </c>
      <c r="F7" s="11">
        <v>3.7162162162162164E-2</v>
      </c>
      <c r="G7" s="11">
        <v>2.3333333333333334E-2</v>
      </c>
      <c r="H7" s="11">
        <v>1.0416666666666666E-2</v>
      </c>
      <c r="I7" s="9">
        <v>5.0601324992497865E-2</v>
      </c>
      <c r="J7" s="9">
        <f t="shared" si="1"/>
        <v>5.0601324992497865E-2</v>
      </c>
      <c r="K7" s="9">
        <f t="shared" si="0"/>
        <v>7.9772079772079771E-2</v>
      </c>
      <c r="L7" s="9">
        <f t="shared" si="0"/>
        <v>3.5714285714285712E-2</v>
      </c>
      <c r="M7" s="9">
        <f t="shared" si="0"/>
        <v>3.6036036036036036E-2</v>
      </c>
      <c r="N7" s="9">
        <f t="shared" si="0"/>
        <v>0.1587837837837838</v>
      </c>
      <c r="O7" s="9">
        <f t="shared" si="0"/>
        <v>0.1</v>
      </c>
      <c r="P7" s="9">
        <f t="shared" si="0"/>
        <v>0.10416666666666667</v>
      </c>
    </row>
    <row r="8" spans="1:16" x14ac:dyDescent="0.3">
      <c r="A8" s="11" t="s">
        <v>18</v>
      </c>
      <c r="B8" s="11">
        <v>9.9051268437940036E-3</v>
      </c>
      <c r="C8" s="11">
        <v>1.9943019943019943E-2</v>
      </c>
      <c r="D8" s="11">
        <v>1.4285714285714285E-2</v>
      </c>
      <c r="E8" s="11">
        <v>0</v>
      </c>
      <c r="F8" s="11">
        <v>2.0270270270270271E-2</v>
      </c>
      <c r="G8" s="11">
        <v>6.6666666666666671E-3</v>
      </c>
      <c r="H8" s="11">
        <v>5.208333333333333E-3</v>
      </c>
      <c r="I8" s="9">
        <v>6.0506451836291872E-2</v>
      </c>
      <c r="J8" s="9">
        <f t="shared" si="1"/>
        <v>6.0506451836291872E-2</v>
      </c>
      <c r="K8" s="9">
        <f t="shared" si="0"/>
        <v>9.9715099715099717E-2</v>
      </c>
      <c r="L8" s="9">
        <f t="shared" si="0"/>
        <v>4.9999999999999996E-2</v>
      </c>
      <c r="M8" s="9">
        <f t="shared" si="0"/>
        <v>3.6036036036036036E-2</v>
      </c>
      <c r="N8" s="9">
        <f t="shared" si="0"/>
        <v>0.17905405405405406</v>
      </c>
      <c r="O8" s="9">
        <f t="shared" si="0"/>
        <v>0.10666666666666667</v>
      </c>
      <c r="P8" s="9">
        <f t="shared" si="0"/>
        <v>0.109375</v>
      </c>
    </row>
    <row r="9" spans="1:16" x14ac:dyDescent="0.3">
      <c r="A9" s="11" t="s">
        <v>15</v>
      </c>
      <c r="B9" s="11">
        <v>1.005055284965721E-2</v>
      </c>
      <c r="C9" s="11">
        <v>2.8490028490028491E-2</v>
      </c>
      <c r="D9" s="11">
        <v>0</v>
      </c>
      <c r="E9" s="11">
        <v>0</v>
      </c>
      <c r="F9" s="11">
        <v>2.7027027027027029E-2</v>
      </c>
      <c r="G9" s="11">
        <v>3.6666666666666667E-2</v>
      </c>
      <c r="H9" s="11">
        <v>3.125E-2</v>
      </c>
      <c r="I9" s="9">
        <v>7.0557004685949082E-2</v>
      </c>
      <c r="J9" s="9">
        <f t="shared" si="1"/>
        <v>7.0557004685949082E-2</v>
      </c>
      <c r="K9" s="9">
        <f t="shared" si="0"/>
        <v>0.12820512820512819</v>
      </c>
      <c r="L9" s="9">
        <f t="shared" si="0"/>
        <v>4.9999999999999996E-2</v>
      </c>
      <c r="M9" s="9">
        <f t="shared" si="0"/>
        <v>3.6036036036036036E-2</v>
      </c>
      <c r="N9" s="9">
        <f t="shared" si="0"/>
        <v>0.20608108108108109</v>
      </c>
      <c r="O9" s="9">
        <f t="shared" si="0"/>
        <v>0.14333333333333334</v>
      </c>
      <c r="P9" s="9">
        <f t="shared" si="0"/>
        <v>0.140625</v>
      </c>
    </row>
    <row r="10" spans="1:16" x14ac:dyDescent="0.3">
      <c r="A10" s="11" t="s">
        <v>23</v>
      </c>
      <c r="B10" s="11">
        <v>1.2241176334802982E-2</v>
      </c>
      <c r="C10" s="11">
        <v>1.9943019943019943E-2</v>
      </c>
      <c r="D10" s="11">
        <v>2.1428571428571429E-2</v>
      </c>
      <c r="E10" s="11">
        <v>1.8018018018018018E-2</v>
      </c>
      <c r="F10" s="11">
        <v>1.0135135135135136E-2</v>
      </c>
      <c r="G10" s="11">
        <v>3.3333333333333333E-2</v>
      </c>
      <c r="H10" s="11">
        <v>1.0416666666666666E-2</v>
      </c>
      <c r="I10" s="9">
        <v>8.2798181020752065E-2</v>
      </c>
      <c r="J10" s="9">
        <f t="shared" si="1"/>
        <v>8.2798181020752065E-2</v>
      </c>
      <c r="K10" s="9">
        <f t="shared" si="0"/>
        <v>0.14814814814814814</v>
      </c>
      <c r="L10" s="9">
        <f t="shared" si="0"/>
        <v>7.1428571428571425E-2</v>
      </c>
      <c r="M10" s="9">
        <f t="shared" si="0"/>
        <v>5.4054054054054057E-2</v>
      </c>
      <c r="N10" s="9">
        <f t="shared" si="0"/>
        <v>0.21621621621621623</v>
      </c>
      <c r="O10" s="9">
        <f t="shared" si="0"/>
        <v>0.17666666666666667</v>
      </c>
      <c r="P10" s="9">
        <f t="shared" si="0"/>
        <v>0.15104166666666666</v>
      </c>
    </row>
    <row r="11" spans="1:16" x14ac:dyDescent="0.3">
      <c r="A11" s="11" t="s">
        <v>11</v>
      </c>
      <c r="B11" s="11">
        <v>1.2587428729715381E-2</v>
      </c>
      <c r="C11" s="11">
        <v>4.843304843304843E-2</v>
      </c>
      <c r="D11" s="11">
        <v>7.857142857142857E-2</v>
      </c>
      <c r="E11" s="11">
        <v>6.3063063063063057E-2</v>
      </c>
      <c r="F11" s="11">
        <v>1.0135135135135136E-2</v>
      </c>
      <c r="G11" s="11">
        <v>0.02</v>
      </c>
      <c r="H11" s="11">
        <v>1.0416666666666666E-2</v>
      </c>
      <c r="I11" s="9">
        <v>9.5385609750467448E-2</v>
      </c>
      <c r="J11" s="9">
        <f t="shared" si="1"/>
        <v>9.5385609750467448E-2</v>
      </c>
      <c r="K11" s="9">
        <f t="shared" si="0"/>
        <v>0.19658119658119658</v>
      </c>
      <c r="L11" s="9">
        <f t="shared" si="0"/>
        <v>0.15</v>
      </c>
      <c r="M11" s="9">
        <f t="shared" si="0"/>
        <v>0.11711711711711711</v>
      </c>
      <c r="N11" s="9">
        <f t="shared" si="0"/>
        <v>0.22635135135135137</v>
      </c>
      <c r="O11" s="9">
        <f t="shared" si="0"/>
        <v>0.19666666666666666</v>
      </c>
      <c r="P11" s="9">
        <f t="shared" si="0"/>
        <v>0.16145833333333331</v>
      </c>
    </row>
    <row r="12" spans="1:16" x14ac:dyDescent="0.3">
      <c r="A12" s="11" t="s">
        <v>20</v>
      </c>
      <c r="B12" s="11">
        <v>1.2640520763601948E-2</v>
      </c>
      <c r="C12" s="11">
        <v>5.6980056980056983E-3</v>
      </c>
      <c r="D12" s="11">
        <v>1.4285714285714285E-2</v>
      </c>
      <c r="E12" s="11">
        <v>0</v>
      </c>
      <c r="F12" s="11">
        <v>1.3513513513513514E-2</v>
      </c>
      <c r="G12" s="11">
        <v>0.05</v>
      </c>
      <c r="H12" s="11">
        <v>1.5625E-2</v>
      </c>
      <c r="I12" s="9">
        <v>0.1080261305140694</v>
      </c>
      <c r="J12" s="9">
        <f t="shared" si="1"/>
        <v>0.1080261305140694</v>
      </c>
      <c r="K12" s="9">
        <f t="shared" si="0"/>
        <v>0.20227920227920226</v>
      </c>
      <c r="L12" s="9">
        <f t="shared" si="0"/>
        <v>0.16428571428571428</v>
      </c>
      <c r="M12" s="9">
        <f t="shared" si="0"/>
        <v>0.11711711711711711</v>
      </c>
      <c r="N12" s="9">
        <f t="shared" si="0"/>
        <v>0.23986486486486489</v>
      </c>
      <c r="O12" s="9">
        <f t="shared" si="0"/>
        <v>0.24666666666666665</v>
      </c>
      <c r="P12" s="9">
        <f t="shared" si="0"/>
        <v>0.17708333333333331</v>
      </c>
    </row>
    <row r="13" spans="1:16" x14ac:dyDescent="0.3">
      <c r="A13" s="11" t="s">
        <v>2</v>
      </c>
      <c r="B13" s="11">
        <v>1.2832113755453475E-2</v>
      </c>
      <c r="C13" s="11">
        <v>4.5584045584045586E-2</v>
      </c>
      <c r="D13" s="11">
        <v>6.4285714285714279E-2</v>
      </c>
      <c r="E13" s="11">
        <v>1.8018018018018018E-2</v>
      </c>
      <c r="F13" s="11">
        <v>3.0405405405405407E-2</v>
      </c>
      <c r="G13" s="11">
        <v>0.02</v>
      </c>
      <c r="H13" s="11">
        <v>3.6458333333333336E-2</v>
      </c>
      <c r="I13" s="9">
        <v>0.12085824426952287</v>
      </c>
      <c r="J13" s="9">
        <f t="shared" si="1"/>
        <v>0.12085824426952287</v>
      </c>
      <c r="K13" s="9">
        <f t="shared" si="0"/>
        <v>0.24786324786324784</v>
      </c>
      <c r="L13" s="9">
        <f t="shared" si="0"/>
        <v>0.22857142857142856</v>
      </c>
      <c r="M13" s="9">
        <f t="shared" si="0"/>
        <v>0.13513513513513514</v>
      </c>
      <c r="N13" s="9">
        <f t="shared" si="0"/>
        <v>0.27027027027027029</v>
      </c>
      <c r="O13" s="9">
        <f t="shared" si="0"/>
        <v>0.26666666666666666</v>
      </c>
      <c r="P13" s="9">
        <f t="shared" si="0"/>
        <v>0.21354166666666666</v>
      </c>
    </row>
    <row r="14" spans="1:16" x14ac:dyDescent="0.3">
      <c r="A14" s="11" t="s">
        <v>9</v>
      </c>
      <c r="B14" s="11">
        <v>1.4274832067588467E-2</v>
      </c>
      <c r="C14" s="11">
        <v>1.1396011396011397E-2</v>
      </c>
      <c r="D14" s="11">
        <v>0</v>
      </c>
      <c r="E14" s="11">
        <v>1.8018018018018018E-2</v>
      </c>
      <c r="F14" s="11">
        <v>2.7027027027027029E-2</v>
      </c>
      <c r="G14" s="11">
        <v>2.6666666666666668E-2</v>
      </c>
      <c r="H14" s="11">
        <v>1.5625E-2</v>
      </c>
      <c r="I14" s="9">
        <v>0.13513307633711133</v>
      </c>
      <c r="J14" s="9">
        <f t="shared" si="1"/>
        <v>0.13513307633711133</v>
      </c>
      <c r="K14" s="9">
        <f t="shared" si="0"/>
        <v>0.25925925925925924</v>
      </c>
      <c r="L14" s="9">
        <f t="shared" si="0"/>
        <v>0.22857142857142856</v>
      </c>
      <c r="M14" s="9">
        <f t="shared" si="0"/>
        <v>0.15315315315315317</v>
      </c>
      <c r="N14" s="9">
        <f t="shared" si="0"/>
        <v>0.29729729729729731</v>
      </c>
      <c r="O14" s="9">
        <f t="shared" si="0"/>
        <v>0.29333333333333333</v>
      </c>
      <c r="P14" s="9">
        <f t="shared" si="0"/>
        <v>0.22916666666666666</v>
      </c>
    </row>
    <row r="15" spans="1:16" x14ac:dyDescent="0.3">
      <c r="A15" s="11" t="s">
        <v>19</v>
      </c>
      <c r="B15" s="11">
        <v>1.4821910851550057E-2</v>
      </c>
      <c r="C15" s="11">
        <v>2.564102564102564E-2</v>
      </c>
      <c r="D15" s="11">
        <v>1.4285714285714285E-2</v>
      </c>
      <c r="E15" s="11">
        <v>0</v>
      </c>
      <c r="F15" s="11">
        <v>3.3783783783783786E-3</v>
      </c>
      <c r="G15" s="11">
        <v>3.3333333333333335E-3</v>
      </c>
      <c r="H15" s="11">
        <v>1.5625E-2</v>
      </c>
      <c r="I15" s="9">
        <v>0.14995498718866138</v>
      </c>
      <c r="J15" s="9">
        <f t="shared" si="1"/>
        <v>0.14995498718866138</v>
      </c>
      <c r="K15" s="9">
        <f t="shared" si="0"/>
        <v>0.28490028490028491</v>
      </c>
      <c r="L15" s="9">
        <f t="shared" si="0"/>
        <v>0.24285714285714285</v>
      </c>
      <c r="M15" s="9">
        <f t="shared" si="0"/>
        <v>0.15315315315315317</v>
      </c>
      <c r="N15" s="9">
        <f t="shared" si="0"/>
        <v>0.30067567567567571</v>
      </c>
      <c r="O15" s="9">
        <f t="shared" si="0"/>
        <v>0.29666666666666669</v>
      </c>
      <c r="P15" s="9">
        <f t="shared" si="0"/>
        <v>0.24479166666666666</v>
      </c>
    </row>
    <row r="16" spans="1:16" x14ac:dyDescent="0.3">
      <c r="A16" s="11" t="s">
        <v>8</v>
      </c>
      <c r="B16" s="11">
        <v>1.561367466124974E-2</v>
      </c>
      <c r="C16" s="11">
        <v>8.5470085470085479E-3</v>
      </c>
      <c r="D16" s="11">
        <v>2.1428571428571429E-2</v>
      </c>
      <c r="E16" s="11">
        <v>0</v>
      </c>
      <c r="F16" s="11">
        <v>3.0405405405405407E-2</v>
      </c>
      <c r="G16" s="11">
        <v>6.6666666666666671E-3</v>
      </c>
      <c r="H16" s="11">
        <v>2.0833333333333332E-2</v>
      </c>
      <c r="I16" s="9">
        <v>0.16556866184991112</v>
      </c>
      <c r="J16" s="9">
        <f t="shared" si="1"/>
        <v>0.16556866184991112</v>
      </c>
      <c r="K16" s="9">
        <f t="shared" si="0"/>
        <v>0.29344729344729348</v>
      </c>
      <c r="L16" s="9">
        <f t="shared" si="0"/>
        <v>0.26428571428571429</v>
      </c>
      <c r="M16" s="9">
        <f t="shared" si="0"/>
        <v>0.15315315315315317</v>
      </c>
      <c r="N16" s="9">
        <f t="shared" si="0"/>
        <v>0.33108108108108114</v>
      </c>
      <c r="O16" s="9">
        <f t="shared" si="0"/>
        <v>0.30333333333333334</v>
      </c>
      <c r="P16" s="9">
        <f t="shared" si="0"/>
        <v>0.265625</v>
      </c>
    </row>
    <row r="17" spans="1:16" x14ac:dyDescent="0.3">
      <c r="A17" s="11" t="s">
        <v>22</v>
      </c>
      <c r="B17" s="11">
        <v>1.5689850188130468E-2</v>
      </c>
      <c r="C17" s="11">
        <v>0</v>
      </c>
      <c r="D17" s="11">
        <v>0</v>
      </c>
      <c r="E17" s="11">
        <v>1.8018018018018018E-2</v>
      </c>
      <c r="F17" s="11">
        <v>6.7567567567567571E-3</v>
      </c>
      <c r="G17" s="11">
        <v>2.3333333333333334E-2</v>
      </c>
      <c r="H17" s="11">
        <v>5.208333333333333E-3</v>
      </c>
      <c r="I17" s="9">
        <v>0.18125851203804158</v>
      </c>
      <c r="J17" s="9">
        <f t="shared" ref="J17:J25" si="2">J16+B17</f>
        <v>0.18125851203804158</v>
      </c>
      <c r="K17" s="9">
        <f t="shared" ref="K17:K25" si="3">K16+C17</f>
        <v>0.29344729344729348</v>
      </c>
      <c r="L17" s="9">
        <f t="shared" ref="L17:L25" si="4">L16+D17</f>
        <v>0.26428571428571429</v>
      </c>
      <c r="M17" s="9">
        <f t="shared" ref="M17:M25" si="5">M16+E17</f>
        <v>0.1711711711711712</v>
      </c>
      <c r="N17" s="9">
        <f t="shared" ref="N17:N25" si="6">N16+F17</f>
        <v>0.33783783783783788</v>
      </c>
      <c r="O17" s="9">
        <f t="shared" ref="O17:O25" si="7">O16+G17</f>
        <v>0.32666666666666666</v>
      </c>
      <c r="P17" s="9">
        <f t="shared" ref="P17:P25" si="8">P16+H17</f>
        <v>0.27083333333333331</v>
      </c>
    </row>
    <row r="18" spans="1:16" x14ac:dyDescent="0.3">
      <c r="A18" s="11" t="s">
        <v>1</v>
      </c>
      <c r="B18" s="11">
        <v>1.7192585582050276E-2</v>
      </c>
      <c r="C18" s="11">
        <v>5.6980056980056983E-3</v>
      </c>
      <c r="D18" s="11">
        <v>0</v>
      </c>
      <c r="E18" s="11">
        <v>0</v>
      </c>
      <c r="F18" s="11">
        <v>3.3783783783783786E-3</v>
      </c>
      <c r="G18" s="11">
        <v>0.01</v>
      </c>
      <c r="H18" s="11">
        <v>1.5625E-2</v>
      </c>
      <c r="I18" s="9">
        <v>0.19845109762009186</v>
      </c>
      <c r="J18" s="9">
        <f t="shared" si="2"/>
        <v>0.19845109762009186</v>
      </c>
      <c r="K18" s="9">
        <f t="shared" si="3"/>
        <v>0.29914529914529919</v>
      </c>
      <c r="L18" s="9">
        <f t="shared" si="4"/>
        <v>0.26428571428571429</v>
      </c>
      <c r="M18" s="9">
        <f t="shared" si="5"/>
        <v>0.1711711711711712</v>
      </c>
      <c r="N18" s="9">
        <f t="shared" si="6"/>
        <v>0.34121621621621628</v>
      </c>
      <c r="O18" s="9">
        <f t="shared" si="7"/>
        <v>0.33666666666666667</v>
      </c>
      <c r="P18" s="9">
        <f t="shared" si="8"/>
        <v>0.28645833333333331</v>
      </c>
    </row>
    <row r="19" spans="1:16" x14ac:dyDescent="0.3">
      <c r="A19" s="11" t="s">
        <v>4</v>
      </c>
      <c r="B19" s="11">
        <v>1.7670413887029387E-2</v>
      </c>
      <c r="C19" s="11">
        <v>8.5470085470085479E-3</v>
      </c>
      <c r="D19" s="11">
        <v>0</v>
      </c>
      <c r="E19" s="11">
        <v>0</v>
      </c>
      <c r="F19" s="11">
        <v>0</v>
      </c>
      <c r="G19" s="11">
        <v>0.11333333333333333</v>
      </c>
      <c r="H19" s="11">
        <v>5.2083333333333336E-2</v>
      </c>
      <c r="I19" s="9">
        <v>0.21612151150712125</v>
      </c>
      <c r="J19" s="9">
        <f t="shared" si="2"/>
        <v>0.21612151150712125</v>
      </c>
      <c r="K19" s="9">
        <f t="shared" si="3"/>
        <v>0.30769230769230776</v>
      </c>
      <c r="L19" s="9">
        <f t="shared" si="4"/>
        <v>0.26428571428571429</v>
      </c>
      <c r="M19" s="9">
        <f t="shared" si="5"/>
        <v>0.1711711711711712</v>
      </c>
      <c r="N19" s="9">
        <f t="shared" si="6"/>
        <v>0.34121621621621628</v>
      </c>
      <c r="O19" s="9">
        <f t="shared" si="7"/>
        <v>0.45</v>
      </c>
      <c r="P19" s="9">
        <f t="shared" si="8"/>
        <v>0.33854166666666663</v>
      </c>
    </row>
    <row r="20" spans="1:16" x14ac:dyDescent="0.3">
      <c r="A20" s="11" t="s">
        <v>7</v>
      </c>
      <c r="B20" s="11">
        <v>2.2427921793125735E-2</v>
      </c>
      <c r="C20" s="11">
        <v>8.5470085470085479E-3</v>
      </c>
      <c r="D20" s="11">
        <v>0</v>
      </c>
      <c r="E20" s="11">
        <v>9.0090090090090089E-3</v>
      </c>
      <c r="F20" s="11">
        <v>2.7027027027027029E-2</v>
      </c>
      <c r="G20" s="11">
        <v>5.6666666666666664E-2</v>
      </c>
      <c r="H20" s="11">
        <v>0.15625</v>
      </c>
      <c r="I20" s="9">
        <v>0.23854943330024697</v>
      </c>
      <c r="J20" s="9">
        <f t="shared" si="2"/>
        <v>0.23854943330024697</v>
      </c>
      <c r="K20" s="9">
        <f t="shared" si="3"/>
        <v>0.31623931623931634</v>
      </c>
      <c r="L20" s="9">
        <f t="shared" si="4"/>
        <v>0.26428571428571429</v>
      </c>
      <c r="M20" s="9">
        <f t="shared" si="5"/>
        <v>0.1801801801801802</v>
      </c>
      <c r="N20" s="9">
        <f t="shared" si="6"/>
        <v>0.36824324324324331</v>
      </c>
      <c r="O20" s="9">
        <f t="shared" si="7"/>
        <v>0.50666666666666671</v>
      </c>
      <c r="P20" s="9">
        <f t="shared" si="8"/>
        <v>0.49479166666666663</v>
      </c>
    </row>
    <row r="21" spans="1:16" x14ac:dyDescent="0.3">
      <c r="A21" s="11" t="s">
        <v>3</v>
      </c>
      <c r="B21" s="11">
        <v>2.2845733016320029E-2</v>
      </c>
      <c r="C21" s="11">
        <v>1.1396011396011397E-2</v>
      </c>
      <c r="D21" s="11">
        <v>7.1428571428571426E-3</v>
      </c>
      <c r="E21" s="11">
        <v>0</v>
      </c>
      <c r="F21" s="11">
        <v>6.7567567567567571E-3</v>
      </c>
      <c r="G21" s="11">
        <v>5.3333333333333337E-2</v>
      </c>
      <c r="H21" s="11">
        <v>3.6458333333333336E-2</v>
      </c>
      <c r="I21" s="9">
        <v>0.26139516631656701</v>
      </c>
      <c r="J21" s="9">
        <f t="shared" si="2"/>
        <v>0.26139516631656701</v>
      </c>
      <c r="K21" s="9">
        <f t="shared" si="3"/>
        <v>0.32763532763532771</v>
      </c>
      <c r="L21" s="9">
        <f t="shared" si="4"/>
        <v>0.27142857142857141</v>
      </c>
      <c r="M21" s="9">
        <f t="shared" si="5"/>
        <v>0.1801801801801802</v>
      </c>
      <c r="N21" s="9">
        <f t="shared" si="6"/>
        <v>0.37500000000000006</v>
      </c>
      <c r="O21" s="9">
        <f t="shared" si="7"/>
        <v>0.56000000000000005</v>
      </c>
      <c r="P21" s="9">
        <f t="shared" si="8"/>
        <v>0.53125</v>
      </c>
    </row>
    <row r="22" spans="1:16" x14ac:dyDescent="0.3">
      <c r="A22" s="11" t="s">
        <v>5</v>
      </c>
      <c r="B22" s="11">
        <v>2.601047990581935E-2</v>
      </c>
      <c r="C22" s="11">
        <v>5.6980056980056983E-3</v>
      </c>
      <c r="D22" s="11">
        <v>7.1428571428571426E-3</v>
      </c>
      <c r="E22" s="11">
        <v>2.7027027027027029E-2</v>
      </c>
      <c r="F22" s="11">
        <v>2.7027027027027029E-2</v>
      </c>
      <c r="G22" s="11">
        <v>0.04</v>
      </c>
      <c r="H22" s="11">
        <v>5.2083333333333336E-2</v>
      </c>
      <c r="I22" s="9">
        <v>0.28740564622238635</v>
      </c>
      <c r="J22" s="9">
        <f t="shared" si="2"/>
        <v>0.28740564622238635</v>
      </c>
      <c r="K22" s="9">
        <f t="shared" si="3"/>
        <v>0.33333333333333343</v>
      </c>
      <c r="L22" s="9">
        <f t="shared" si="4"/>
        <v>0.27857142857142853</v>
      </c>
      <c r="M22" s="9">
        <f t="shared" si="5"/>
        <v>0.20720720720720723</v>
      </c>
      <c r="N22" s="9">
        <f t="shared" si="6"/>
        <v>0.40202702702702708</v>
      </c>
      <c r="O22" s="9">
        <f t="shared" si="7"/>
        <v>0.60000000000000009</v>
      </c>
      <c r="P22" s="9">
        <f t="shared" si="8"/>
        <v>0.58333333333333337</v>
      </c>
    </row>
    <row r="23" spans="1:16" x14ac:dyDescent="0.3">
      <c r="A23" s="11" t="s">
        <v>10</v>
      </c>
      <c r="B23" s="11">
        <v>2.8298054061540592E-2</v>
      </c>
      <c r="C23" s="11">
        <v>0.10826210826210826</v>
      </c>
      <c r="D23" s="11">
        <v>0.10714285714285714</v>
      </c>
      <c r="E23" s="11">
        <v>0.11711711711711711</v>
      </c>
      <c r="F23" s="11">
        <v>0.13513513513513514</v>
      </c>
      <c r="G23" s="11">
        <v>0.11333333333333333</v>
      </c>
      <c r="H23" s="11">
        <v>0.140625</v>
      </c>
      <c r="I23" s="9">
        <v>0.31570370028392691</v>
      </c>
      <c r="J23" s="9">
        <f t="shared" si="2"/>
        <v>0.31570370028392691</v>
      </c>
      <c r="K23" s="9">
        <f t="shared" si="3"/>
        <v>0.44159544159544167</v>
      </c>
      <c r="L23" s="9">
        <f t="shared" si="4"/>
        <v>0.38571428571428568</v>
      </c>
      <c r="M23" s="9">
        <f t="shared" si="5"/>
        <v>0.32432432432432434</v>
      </c>
      <c r="N23" s="9">
        <f t="shared" si="6"/>
        <v>0.53716216216216228</v>
      </c>
      <c r="O23" s="9">
        <f t="shared" si="7"/>
        <v>0.71333333333333337</v>
      </c>
      <c r="P23" s="9">
        <f t="shared" si="8"/>
        <v>0.72395833333333337</v>
      </c>
    </row>
    <row r="24" spans="1:16" x14ac:dyDescent="0.3">
      <c r="A24" s="11" t="s">
        <v>21</v>
      </c>
      <c r="B24" s="11">
        <v>3.2963227995660302E-2</v>
      </c>
      <c r="C24" s="11">
        <v>5.6980056980056983E-3</v>
      </c>
      <c r="D24" s="11">
        <v>2.8571428571428571E-2</v>
      </c>
      <c r="E24" s="11">
        <v>9.0090090090090089E-3</v>
      </c>
      <c r="F24" s="11">
        <v>2.7027027027027029E-2</v>
      </c>
      <c r="G24" s="11">
        <v>4.6666666666666669E-2</v>
      </c>
      <c r="H24" s="11">
        <v>4.1666666666666664E-2</v>
      </c>
      <c r="I24" s="9">
        <v>0.34866692827958723</v>
      </c>
      <c r="J24" s="9">
        <f t="shared" si="2"/>
        <v>0.34866692827958723</v>
      </c>
      <c r="K24" s="9">
        <f t="shared" si="3"/>
        <v>0.44729344729344739</v>
      </c>
      <c r="L24" s="9">
        <f t="shared" si="4"/>
        <v>0.41428571428571426</v>
      </c>
      <c r="M24" s="9">
        <f t="shared" si="5"/>
        <v>0.33333333333333337</v>
      </c>
      <c r="N24" s="9">
        <f t="shared" si="6"/>
        <v>0.56418918918918926</v>
      </c>
      <c r="O24" s="9">
        <f t="shared" si="7"/>
        <v>0.76</v>
      </c>
      <c r="P24" s="9">
        <f t="shared" si="8"/>
        <v>0.765625</v>
      </c>
    </row>
    <row r="25" spans="1:16" x14ac:dyDescent="0.3">
      <c r="A25" s="11" t="s">
        <v>0</v>
      </c>
      <c r="B25" s="11">
        <v>0.65133307172041277</v>
      </c>
      <c r="C25" s="11">
        <v>0.55270655270655267</v>
      </c>
      <c r="D25" s="11">
        <v>0.58571428571428574</v>
      </c>
      <c r="E25" s="11">
        <v>0.66666666666666663</v>
      </c>
      <c r="F25" s="11">
        <v>0.4358108108108108</v>
      </c>
      <c r="G25" s="11">
        <v>0.24</v>
      </c>
      <c r="H25" s="11">
        <v>0.234375</v>
      </c>
      <c r="I25" s="9">
        <v>1</v>
      </c>
      <c r="J25" s="9">
        <f t="shared" si="2"/>
        <v>1</v>
      </c>
      <c r="K25" s="9">
        <f t="shared" si="3"/>
        <v>1</v>
      </c>
      <c r="L25" s="9">
        <f t="shared" si="4"/>
        <v>1</v>
      </c>
      <c r="M25" s="9">
        <f t="shared" si="5"/>
        <v>1</v>
      </c>
      <c r="N25" s="9">
        <f t="shared" si="6"/>
        <v>1</v>
      </c>
      <c r="O25" s="9">
        <f t="shared" si="7"/>
        <v>1</v>
      </c>
      <c r="P25" s="9">
        <f t="shared" si="8"/>
        <v>1</v>
      </c>
    </row>
    <row r="27" spans="1:16" ht="28.8" x14ac:dyDescent="0.3">
      <c r="B27" s="17" t="s">
        <v>24</v>
      </c>
      <c r="C27" s="18" t="s">
        <v>32</v>
      </c>
      <c r="D27" s="18" t="s">
        <v>33</v>
      </c>
      <c r="E27" s="18" t="s">
        <v>34</v>
      </c>
      <c r="F27" s="18" t="s">
        <v>35</v>
      </c>
      <c r="G27" s="18" t="s">
        <v>36</v>
      </c>
      <c r="H27" s="18" t="s">
        <v>37</v>
      </c>
      <c r="J27" s="3"/>
      <c r="K27" s="13" t="s">
        <v>38</v>
      </c>
      <c r="L27" s="13" t="s">
        <v>39</v>
      </c>
      <c r="M27" s="13" t="s">
        <v>40</v>
      </c>
      <c r="N27" s="13" t="s">
        <v>41</v>
      </c>
      <c r="O27" s="13" t="s">
        <v>42</v>
      </c>
      <c r="P27" s="13" t="s">
        <v>43</v>
      </c>
    </row>
    <row r="28" spans="1:16" x14ac:dyDescent="0.3">
      <c r="B28" s="11" t="s">
        <v>13</v>
      </c>
      <c r="C28" s="9">
        <f>C2-B2</f>
        <v>-1.5894530402505748E-3</v>
      </c>
      <c r="D28" s="9">
        <f>D2-B2</f>
        <v>-7.2874587382562731E-3</v>
      </c>
      <c r="E28" s="9">
        <f>E2-B2</f>
        <v>-7.2874587382562731E-3</v>
      </c>
      <c r="F28" s="9">
        <f>F2-B2</f>
        <v>6.2260547752572412E-3</v>
      </c>
      <c r="G28" s="9">
        <f>G2-B2</f>
        <v>1.6045874595077062E-2</v>
      </c>
      <c r="H28" s="9">
        <f>H2-B2</f>
        <v>1.354587459507706E-2</v>
      </c>
      <c r="J28" s="11" t="s">
        <v>13</v>
      </c>
      <c r="K28" s="3">
        <f>(J2-0) * ((K2+0))</f>
        <v>4.1523981414565659E-5</v>
      </c>
      <c r="L28" s="3">
        <f>(J2-0) * ((L2+0))</f>
        <v>0</v>
      </c>
      <c r="M28" s="3">
        <f>(J2-0) * ((M2+0))</f>
        <v>0</v>
      </c>
      <c r="N28" s="3">
        <f>(J2-0) * ((N2+0))</f>
        <v>9.8479172138598287E-5</v>
      </c>
      <c r="O28" s="3">
        <f>(J2-0) * ((O2+0))</f>
        <v>1.7004070389264639E-4</v>
      </c>
      <c r="P28" s="3">
        <f>(J2-0) * ((P2+0))</f>
        <v>1.5182205704700568E-4</v>
      </c>
    </row>
    <row r="29" spans="1:16" x14ac:dyDescent="0.3">
      <c r="B29" s="11" t="s">
        <v>14</v>
      </c>
      <c r="C29" s="9">
        <f t="shared" ref="C29:C51" si="9">C3-B3</f>
        <v>-7.4351930934188964E-3</v>
      </c>
      <c r="D29" s="9">
        <f t="shared" ref="D29:D51" si="10">D3-B3</f>
        <v>-7.4351930934188964E-3</v>
      </c>
      <c r="E29" s="9">
        <f t="shared" ref="E29:E51" si="11">E3-B3</f>
        <v>-7.4351930934188964E-3</v>
      </c>
      <c r="F29" s="9">
        <f t="shared" ref="F29:F51" si="12">F3-B3</f>
        <v>-7.4351930934188964E-3</v>
      </c>
      <c r="G29" s="9">
        <f t="shared" ref="G29:G51" si="13">G3-B3</f>
        <v>-4.1018597600855633E-3</v>
      </c>
      <c r="H29" s="9">
        <f t="shared" ref="H29:H51" si="14">H3-B3</f>
        <v>-2.2268597600855634E-3</v>
      </c>
      <c r="J29" s="11" t="s">
        <v>14</v>
      </c>
      <c r="K29" s="3">
        <f>(J3-J2) * ((K3+K2))</f>
        <v>8.4731545224146971E-5</v>
      </c>
      <c r="L29" s="3">
        <f>(J3-J2) * ((L3+L2))</f>
        <v>0</v>
      </c>
      <c r="M29" s="3">
        <f>(J3-J2) * ((M3+M2))</f>
        <v>0</v>
      </c>
      <c r="N29" s="3">
        <f>(J3-J2) * ((N3+N2))</f>
        <v>2.0095116468699722E-4</v>
      </c>
      <c r="O29" s="3">
        <f>(J3-J2) * ((O3+O2))</f>
        <v>3.7175965467094483E-4</v>
      </c>
      <c r="P29" s="3">
        <f>(J3-J2) * ((P3+P2))</f>
        <v>3.4852467625401076E-4</v>
      </c>
    </row>
    <row r="30" spans="1:16" x14ac:dyDescent="0.3">
      <c r="B30" s="11" t="s">
        <v>6</v>
      </c>
      <c r="C30" s="9">
        <f t="shared" si="9"/>
        <v>2.3259808791075386E-2</v>
      </c>
      <c r="D30" s="9">
        <f t="shared" si="10"/>
        <v>-9.363654050988145E-4</v>
      </c>
      <c r="E30" s="9">
        <f t="shared" si="11"/>
        <v>1.8947804479071073E-2</v>
      </c>
      <c r="F30" s="9">
        <f t="shared" si="12"/>
        <v>2.570456123582783E-2</v>
      </c>
      <c r="G30" s="9">
        <f t="shared" si="13"/>
        <v>-8.0792225479559571E-3</v>
      </c>
      <c r="H30" s="9">
        <f t="shared" si="14"/>
        <v>-8.0792225479559571E-3</v>
      </c>
      <c r="J30" s="11" t="s">
        <v>6</v>
      </c>
      <c r="K30" s="3">
        <f t="shared" ref="K30:K51" si="15">(J4-J3) * ((K4+K3))</f>
        <v>3.4526592085281868E-4</v>
      </c>
      <c r="L30" s="3">
        <f t="shared" ref="L30:L51" si="16">(J4-J3) * ((L4+L3))</f>
        <v>5.7708732485399677E-5</v>
      </c>
      <c r="M30" s="3">
        <f t="shared" ref="M30:M51" si="17">(J4-J3) * ((M4+M3))</f>
        <v>2.1835736616097179E-4</v>
      </c>
      <c r="N30" s="3">
        <f t="shared" ref="N30:N51" si="18">(J4-J3) * ((N4+N3))</f>
        <v>4.9130407386218647E-4</v>
      </c>
      <c r="O30" s="3">
        <f t="shared" ref="O30:O51" si="19">(J4-J3) * ((O4+O3))</f>
        <v>4.3089186922431766E-4</v>
      </c>
      <c r="P30" s="3">
        <f t="shared" ref="P30:P51" si="20">(J4-J3) * ((P4+P3))</f>
        <v>4.2079284103937266E-4</v>
      </c>
    </row>
    <row r="31" spans="1:16" x14ac:dyDescent="0.3">
      <c r="B31" s="11" t="s">
        <v>16</v>
      </c>
      <c r="C31" s="9">
        <f t="shared" si="9"/>
        <v>1.9579800194282779E-2</v>
      </c>
      <c r="D31" s="9">
        <f t="shared" si="10"/>
        <v>-1.7673711528885692E-3</v>
      </c>
      <c r="E31" s="9">
        <f t="shared" si="11"/>
        <v>-8.9102282957457118E-3</v>
      </c>
      <c r="F31" s="9">
        <f t="shared" si="12"/>
        <v>6.2035717650200231E-2</v>
      </c>
      <c r="G31" s="9">
        <f t="shared" si="13"/>
        <v>-8.9102282957457118E-3</v>
      </c>
      <c r="H31" s="9">
        <f t="shared" si="14"/>
        <v>6.7147717042542882E-3</v>
      </c>
      <c r="J31" s="11" t="s">
        <v>16</v>
      </c>
      <c r="K31" s="3">
        <f t="shared" si="15"/>
        <v>9.1386956879443201E-4</v>
      </c>
      <c r="L31" s="3">
        <f t="shared" si="16"/>
        <v>1.9093346348026524E-4</v>
      </c>
      <c r="M31" s="3">
        <f t="shared" si="17"/>
        <v>4.8163396193220064E-4</v>
      </c>
      <c r="N31" s="3">
        <f t="shared" si="18"/>
        <v>1.4750040084173645E-3</v>
      </c>
      <c r="O31" s="3">
        <f t="shared" si="19"/>
        <v>4.7521217577310465E-4</v>
      </c>
      <c r="P31" s="3">
        <f t="shared" si="20"/>
        <v>6.032967075244492E-4</v>
      </c>
    </row>
    <row r="32" spans="1:16" x14ac:dyDescent="0.3">
      <c r="B32" s="11" t="s">
        <v>12</v>
      </c>
      <c r="C32" s="9">
        <f t="shared" si="9"/>
        <v>-9.4157567923178129E-3</v>
      </c>
      <c r="D32" s="9">
        <f t="shared" si="10"/>
        <v>-9.4157567923178129E-3</v>
      </c>
      <c r="E32" s="9">
        <f t="shared" si="11"/>
        <v>-4.0674778330880394E-4</v>
      </c>
      <c r="F32" s="9">
        <f t="shared" si="12"/>
        <v>-6.0373784139394343E-3</v>
      </c>
      <c r="G32" s="9">
        <f t="shared" si="13"/>
        <v>4.058424320768219E-2</v>
      </c>
      <c r="H32" s="9">
        <f t="shared" si="14"/>
        <v>4.2667576541015523E-2</v>
      </c>
      <c r="J32" s="11" t="s">
        <v>12</v>
      </c>
      <c r="K32" s="3">
        <f t="shared" si="15"/>
        <v>1.2339738246342432E-3</v>
      </c>
      <c r="L32" s="3">
        <f t="shared" si="16"/>
        <v>2.6902162263765176E-4</v>
      </c>
      <c r="M32" s="3">
        <f t="shared" si="17"/>
        <v>5.9378646438040252E-4</v>
      </c>
      <c r="N32" s="3">
        <f t="shared" si="18"/>
        <v>2.2585092305897458E-3</v>
      </c>
      <c r="O32" s="3">
        <f t="shared" si="19"/>
        <v>9.7296153520617414E-4</v>
      </c>
      <c r="P32" s="3">
        <f t="shared" si="20"/>
        <v>1.2750503989597038E-3</v>
      </c>
    </row>
    <row r="33" spans="2:16" x14ac:dyDescent="0.3">
      <c r="B33" s="11" t="s">
        <v>17</v>
      </c>
      <c r="C33" s="9">
        <f t="shared" si="9"/>
        <v>4.7715487202110319E-3</v>
      </c>
      <c r="D33" s="9">
        <f t="shared" si="10"/>
        <v>1.1955105903768215E-2</v>
      </c>
      <c r="E33" s="9">
        <f t="shared" si="11"/>
        <v>-9.4734655248032134E-3</v>
      </c>
      <c r="F33" s="9">
        <f t="shared" si="12"/>
        <v>2.7688696637358949E-2</v>
      </c>
      <c r="G33" s="9">
        <f t="shared" si="13"/>
        <v>1.3859867808530121E-2</v>
      </c>
      <c r="H33" s="9">
        <f t="shared" si="14"/>
        <v>9.4320114186345269E-4</v>
      </c>
      <c r="J33" s="11" t="s">
        <v>17</v>
      </c>
      <c r="K33" s="3">
        <f t="shared" si="15"/>
        <v>1.376486443774826E-3</v>
      </c>
      <c r="L33" s="3">
        <f t="shared" si="16"/>
        <v>4.7367327624016071E-4</v>
      </c>
      <c r="M33" s="3">
        <f t="shared" si="17"/>
        <v>6.8277229007590741E-4</v>
      </c>
      <c r="N33" s="3">
        <f t="shared" si="18"/>
        <v>2.6564109410765775E-3</v>
      </c>
      <c r="O33" s="3">
        <f t="shared" si="19"/>
        <v>1.6736455760485683E-3</v>
      </c>
      <c r="P33" s="3">
        <f t="shared" si="20"/>
        <v>1.8749567184506365E-3</v>
      </c>
    </row>
    <row r="34" spans="2:16" x14ac:dyDescent="0.3">
      <c r="B34" s="11" t="s">
        <v>18</v>
      </c>
      <c r="C34" s="9">
        <f t="shared" si="9"/>
        <v>1.0037893099225939E-2</v>
      </c>
      <c r="D34" s="9">
        <f t="shared" si="10"/>
        <v>4.3805874419202816E-3</v>
      </c>
      <c r="E34" s="9">
        <f t="shared" si="11"/>
        <v>-9.9051268437940036E-3</v>
      </c>
      <c r="F34" s="9">
        <f t="shared" si="12"/>
        <v>1.0365143426476268E-2</v>
      </c>
      <c r="G34" s="9">
        <f t="shared" si="13"/>
        <v>-3.2384601771273365E-3</v>
      </c>
      <c r="H34" s="9">
        <f t="shared" si="14"/>
        <v>-4.6967935104606706E-3</v>
      </c>
      <c r="J34" s="11" t="s">
        <v>18</v>
      </c>
      <c r="K34" s="3">
        <f t="shared" si="15"/>
        <v>1.7778432796553346E-3</v>
      </c>
      <c r="L34" s="3">
        <f t="shared" si="16"/>
        <v>8.4901087232520066E-4</v>
      </c>
      <c r="M34" s="3">
        <f t="shared" si="17"/>
        <v>7.1388301576893749E-4</v>
      </c>
      <c r="N34" s="3">
        <f t="shared" si="18"/>
        <v>3.3463266364168942E-3</v>
      </c>
      <c r="O34" s="3">
        <f t="shared" si="19"/>
        <v>2.0470595477174282E-3</v>
      </c>
      <c r="P34" s="3">
        <f t="shared" si="20"/>
        <v>2.115157294768512E-3</v>
      </c>
    </row>
    <row r="35" spans="2:16" x14ac:dyDescent="0.3">
      <c r="B35" s="11" t="s">
        <v>15</v>
      </c>
      <c r="C35" s="9">
        <f t="shared" si="9"/>
        <v>1.8439475640371281E-2</v>
      </c>
      <c r="D35" s="9">
        <f t="shared" si="10"/>
        <v>-1.005055284965721E-2</v>
      </c>
      <c r="E35" s="9">
        <f t="shared" si="11"/>
        <v>-1.005055284965721E-2</v>
      </c>
      <c r="F35" s="9">
        <f t="shared" si="12"/>
        <v>1.6976474177369819E-2</v>
      </c>
      <c r="G35" s="9">
        <f t="shared" si="13"/>
        <v>2.6616113817009457E-2</v>
      </c>
      <c r="H35" s="9">
        <f t="shared" si="14"/>
        <v>2.119944715034279E-2</v>
      </c>
      <c r="J35" s="11" t="s">
        <v>15</v>
      </c>
      <c r="K35" s="3">
        <f t="shared" si="15"/>
        <v>2.2907242962181677E-3</v>
      </c>
      <c r="L35" s="3">
        <f t="shared" si="16"/>
        <v>1.0050552849657209E-3</v>
      </c>
      <c r="M35" s="3">
        <f t="shared" si="17"/>
        <v>7.2436416934466375E-4</v>
      </c>
      <c r="N35" s="3">
        <f t="shared" si="18"/>
        <v>3.8708210299355471E-3</v>
      </c>
      <c r="O35" s="3">
        <f t="shared" si="19"/>
        <v>2.5126382124143025E-3</v>
      </c>
      <c r="P35" s="3">
        <f t="shared" si="20"/>
        <v>2.5126382124143025E-3</v>
      </c>
    </row>
    <row r="36" spans="2:16" x14ac:dyDescent="0.3">
      <c r="B36" s="11" t="s">
        <v>23</v>
      </c>
      <c r="C36" s="9">
        <f t="shared" si="9"/>
        <v>7.7018436082169611E-3</v>
      </c>
      <c r="D36" s="9">
        <f t="shared" si="10"/>
        <v>9.1873950937684471E-3</v>
      </c>
      <c r="E36" s="9">
        <f t="shared" si="11"/>
        <v>5.7768416832150362E-3</v>
      </c>
      <c r="F36" s="9">
        <f t="shared" si="12"/>
        <v>-2.106041199667846E-3</v>
      </c>
      <c r="G36" s="9">
        <f t="shared" si="13"/>
        <v>2.1092156998530349E-2</v>
      </c>
      <c r="H36" s="9">
        <f t="shared" si="14"/>
        <v>-1.8245096681363156E-3</v>
      </c>
      <c r="J36" s="11" t="s">
        <v>23</v>
      </c>
      <c r="K36" s="3">
        <f t="shared" si="15"/>
        <v>3.3828891865409954E-3</v>
      </c>
      <c r="L36" s="3">
        <f t="shared" si="16"/>
        <v>1.486428554940362E-3</v>
      </c>
      <c r="M36" s="3">
        <f t="shared" si="17"/>
        <v>1.1028086788110794E-3</v>
      </c>
      <c r="N36" s="3">
        <f t="shared" si="18"/>
        <v>5.169415681926936E-3</v>
      </c>
      <c r="O36" s="3">
        <f t="shared" si="19"/>
        <v>3.9171764271369548E-3</v>
      </c>
      <c r="P36" s="3">
        <f t="shared" si="20"/>
        <v>3.5703430976508697E-3</v>
      </c>
    </row>
    <row r="37" spans="2:16" x14ac:dyDescent="0.3">
      <c r="B37" s="11" t="s">
        <v>11</v>
      </c>
      <c r="C37" s="9">
        <f t="shared" si="9"/>
        <v>3.5845619703333047E-2</v>
      </c>
      <c r="D37" s="9">
        <f t="shared" si="10"/>
        <v>6.5983999841713187E-2</v>
      </c>
      <c r="E37" s="9">
        <f t="shared" si="11"/>
        <v>5.0475634333347674E-2</v>
      </c>
      <c r="F37" s="9">
        <f t="shared" si="12"/>
        <v>-2.4522935945802456E-3</v>
      </c>
      <c r="G37" s="9">
        <f t="shared" si="13"/>
        <v>7.4125712702846191E-3</v>
      </c>
      <c r="H37" s="9">
        <f t="shared" si="14"/>
        <v>-2.1707620630487152E-3</v>
      </c>
      <c r="J37" s="11" t="s">
        <v>11</v>
      </c>
      <c r="K37" s="3">
        <f t="shared" si="15"/>
        <v>4.3392560578221114E-3</v>
      </c>
      <c r="L37" s="3">
        <f t="shared" si="16"/>
        <v>2.7872163615798346E-3</v>
      </c>
      <c r="M37" s="3">
        <f t="shared" si="17"/>
        <v>2.1546049176990297E-3</v>
      </c>
      <c r="N37" s="3">
        <f t="shared" si="18"/>
        <v>5.5707877148402545E-3</v>
      </c>
      <c r="O37" s="3">
        <f t="shared" si="19"/>
        <v>4.6993067257604096E-3</v>
      </c>
      <c r="P37" s="3">
        <f t="shared" si="20"/>
        <v>3.9335714780360572E-3</v>
      </c>
    </row>
    <row r="38" spans="2:16" x14ac:dyDescent="0.3">
      <c r="B38" s="11" t="s">
        <v>20</v>
      </c>
      <c r="C38" s="9">
        <f t="shared" si="9"/>
        <v>-6.9425150655962496E-3</v>
      </c>
      <c r="D38" s="9">
        <f t="shared" si="10"/>
        <v>1.6451935221123374E-3</v>
      </c>
      <c r="E38" s="9">
        <f t="shared" si="11"/>
        <v>-1.2640520763601948E-2</v>
      </c>
      <c r="F38" s="9">
        <f t="shared" si="12"/>
        <v>8.7299274991156639E-4</v>
      </c>
      <c r="G38" s="9">
        <f t="shared" si="13"/>
        <v>3.7359479236398055E-2</v>
      </c>
      <c r="H38" s="9">
        <f t="shared" si="14"/>
        <v>2.9844792363980521E-3</v>
      </c>
      <c r="J38" s="11" t="s">
        <v>20</v>
      </c>
      <c r="K38" s="3">
        <f t="shared" si="15"/>
        <v>5.0418031535734258E-3</v>
      </c>
      <c r="L38" s="3">
        <f t="shared" si="16"/>
        <v>3.9727350971320409E-3</v>
      </c>
      <c r="M38" s="3">
        <f t="shared" si="17"/>
        <v>2.9608427013842402E-3</v>
      </c>
      <c r="N38" s="3">
        <f t="shared" si="18"/>
        <v>5.893215761409016E-3</v>
      </c>
      <c r="O38" s="3">
        <f t="shared" si="19"/>
        <v>5.6039642051968633E-3</v>
      </c>
      <c r="P38" s="3">
        <f t="shared" si="20"/>
        <v>4.2793429668444086E-3</v>
      </c>
    </row>
    <row r="39" spans="2:16" x14ac:dyDescent="0.3">
      <c r="B39" s="11" t="s">
        <v>2</v>
      </c>
      <c r="C39" s="9">
        <f t="shared" si="9"/>
        <v>3.275193182859211E-2</v>
      </c>
      <c r="D39" s="9">
        <f t="shared" si="10"/>
        <v>5.1453600530260803E-2</v>
      </c>
      <c r="E39" s="9">
        <f t="shared" si="11"/>
        <v>5.1859042625645429E-3</v>
      </c>
      <c r="F39" s="9">
        <f t="shared" si="12"/>
        <v>1.757329164995193E-2</v>
      </c>
      <c r="G39" s="9">
        <f t="shared" si="13"/>
        <v>7.1678862445465254E-3</v>
      </c>
      <c r="H39" s="9">
        <f t="shared" si="14"/>
        <v>2.3626219577879859E-2</v>
      </c>
      <c r="J39" s="11" t="s">
        <v>2</v>
      </c>
      <c r="K39" s="3">
        <f t="shared" si="15"/>
        <v>5.7762791263864617E-3</v>
      </c>
      <c r="L39" s="3">
        <f t="shared" si="16"/>
        <v>5.0411875467852914E-3</v>
      </c>
      <c r="M39" s="3">
        <f t="shared" si="17"/>
        <v>3.2369295959702444E-3</v>
      </c>
      <c r="N39" s="3">
        <f t="shared" si="18"/>
        <v>6.5461120847076833E-3</v>
      </c>
      <c r="O39" s="3">
        <f t="shared" si="19"/>
        <v>6.5871517277994477E-3</v>
      </c>
      <c r="P39" s="3">
        <f t="shared" si="20"/>
        <v>5.0125444357240114E-3</v>
      </c>
    </row>
    <row r="40" spans="2:16" x14ac:dyDescent="0.3">
      <c r="B40" s="11" t="s">
        <v>9</v>
      </c>
      <c r="C40" s="9">
        <f t="shared" si="9"/>
        <v>-2.8788206715770707E-3</v>
      </c>
      <c r="D40" s="9">
        <f t="shared" si="10"/>
        <v>-1.4274832067588467E-2</v>
      </c>
      <c r="E40" s="9">
        <f t="shared" si="11"/>
        <v>3.7431859504295506E-3</v>
      </c>
      <c r="F40" s="9">
        <f t="shared" si="12"/>
        <v>1.2752194959438561E-2</v>
      </c>
      <c r="G40" s="9">
        <f t="shared" si="13"/>
        <v>1.2391834599078201E-2</v>
      </c>
      <c r="H40" s="9">
        <f t="shared" si="14"/>
        <v>1.3501679324115327E-3</v>
      </c>
      <c r="J40" s="11" t="s">
        <v>9</v>
      </c>
      <c r="K40" s="3">
        <f t="shared" si="15"/>
        <v>7.2390886268682226E-3</v>
      </c>
      <c r="L40" s="3">
        <f t="shared" si="16"/>
        <v>6.5256375166118687E-3</v>
      </c>
      <c r="M40" s="3">
        <f t="shared" si="17"/>
        <v>4.1152669023678465E-3</v>
      </c>
      <c r="N40" s="3">
        <f t="shared" si="18"/>
        <v>8.1019317140366958E-3</v>
      </c>
      <c r="O40" s="3">
        <f t="shared" si="19"/>
        <v>7.9939059578495401E-3</v>
      </c>
      <c r="P40" s="3">
        <f t="shared" si="20"/>
        <v>6.3195871132553094E-3</v>
      </c>
    </row>
    <row r="41" spans="2:16" x14ac:dyDescent="0.3">
      <c r="B41" s="11" t="s">
        <v>19</v>
      </c>
      <c r="C41" s="9">
        <f t="shared" si="9"/>
        <v>1.0819114789475583E-2</v>
      </c>
      <c r="D41" s="9">
        <f t="shared" si="10"/>
        <v>-5.3619656583577154E-4</v>
      </c>
      <c r="E41" s="9">
        <f t="shared" si="11"/>
        <v>-1.4821910851550057E-2</v>
      </c>
      <c r="F41" s="9">
        <f t="shared" si="12"/>
        <v>-1.1443532473171678E-2</v>
      </c>
      <c r="G41" s="9">
        <f t="shared" si="13"/>
        <v>-1.1488577518216723E-2</v>
      </c>
      <c r="H41" s="9">
        <f t="shared" si="14"/>
        <v>8.030891484499432E-4</v>
      </c>
      <c r="J41" s="11" t="s">
        <v>19</v>
      </c>
      <c r="K41" s="3">
        <f t="shared" si="15"/>
        <v>8.0654842525528739E-3</v>
      </c>
      <c r="L41" s="3">
        <f t="shared" si="16"/>
        <v>6.9874722585878792E-3</v>
      </c>
      <c r="M41" s="3">
        <f t="shared" si="17"/>
        <v>4.5400447653396545E-3</v>
      </c>
      <c r="N41" s="3">
        <f t="shared" si="18"/>
        <v>8.8631020970417508E-3</v>
      </c>
      <c r="O41" s="3">
        <f t="shared" si="19"/>
        <v>8.7449274024145283E-3</v>
      </c>
      <c r="P41" s="3">
        <f t="shared" si="20"/>
        <v>7.0249681640159071E-3</v>
      </c>
    </row>
    <row r="42" spans="2:16" x14ac:dyDescent="0.3">
      <c r="B42" s="11" t="s">
        <v>8</v>
      </c>
      <c r="C42" s="9">
        <f t="shared" si="9"/>
        <v>-7.0666661142411921E-3</v>
      </c>
      <c r="D42" s="9">
        <f t="shared" si="10"/>
        <v>5.8148967673216888E-3</v>
      </c>
      <c r="E42" s="9">
        <f t="shared" si="11"/>
        <v>-1.561367466124974E-2</v>
      </c>
      <c r="F42" s="9">
        <f t="shared" si="12"/>
        <v>1.4791730744155667E-2</v>
      </c>
      <c r="G42" s="9">
        <f t="shared" si="13"/>
        <v>-8.947007994583072E-3</v>
      </c>
      <c r="H42" s="9">
        <f t="shared" si="14"/>
        <v>5.2196586720835922E-3</v>
      </c>
      <c r="J42" s="11" t="s">
        <v>8</v>
      </c>
      <c r="K42" s="3">
        <f t="shared" si="15"/>
        <v>9.030130929440737E-3</v>
      </c>
      <c r="L42" s="3">
        <f t="shared" si="16"/>
        <v>7.9183635782052262E-3</v>
      </c>
      <c r="M42" s="3">
        <f t="shared" si="17"/>
        <v>4.782567013355778E-3</v>
      </c>
      <c r="N42" s="3">
        <f t="shared" si="18"/>
        <v>9.864044465046292E-3</v>
      </c>
      <c r="O42" s="3">
        <f t="shared" si="19"/>
        <v>9.3682047967498482E-3</v>
      </c>
      <c r="P42" s="3">
        <f t="shared" si="20"/>
        <v>7.9694797750128887E-3</v>
      </c>
    </row>
    <row r="43" spans="2:16" x14ac:dyDescent="0.3">
      <c r="B43" s="11" t="s">
        <v>22</v>
      </c>
      <c r="C43" s="9">
        <f t="shared" si="9"/>
        <v>-1.5689850188130468E-2</v>
      </c>
      <c r="D43" s="9">
        <f t="shared" si="10"/>
        <v>-1.5689850188130468E-2</v>
      </c>
      <c r="E43" s="9">
        <f t="shared" si="11"/>
        <v>2.3281678298875501E-3</v>
      </c>
      <c r="F43" s="9">
        <f t="shared" si="12"/>
        <v>-8.9330934313737106E-3</v>
      </c>
      <c r="G43" s="9">
        <f t="shared" si="13"/>
        <v>7.6434831452028666E-3</v>
      </c>
      <c r="H43" s="9">
        <f t="shared" si="14"/>
        <v>-1.0481516854797136E-2</v>
      </c>
      <c r="J43" s="11" t="s">
        <v>22</v>
      </c>
      <c r="K43" s="3">
        <f t="shared" si="15"/>
        <v>9.2082881446007847E-3</v>
      </c>
      <c r="L43" s="3">
        <f t="shared" si="16"/>
        <v>8.2932065280118157E-3</v>
      </c>
      <c r="M43" s="3">
        <f t="shared" si="17"/>
        <v>5.0886000610152853E-3</v>
      </c>
      <c r="N43" s="3">
        <f t="shared" si="18"/>
        <v>1.0495237625844027E-2</v>
      </c>
      <c r="O43" s="3">
        <f t="shared" si="19"/>
        <v>9.8846056185221912E-3</v>
      </c>
      <c r="P43" s="3">
        <f t="shared" si="20"/>
        <v>8.4169508821741526E-3</v>
      </c>
    </row>
    <row r="44" spans="2:16" x14ac:dyDescent="0.3">
      <c r="B44" s="11" t="s">
        <v>1</v>
      </c>
      <c r="C44" s="9">
        <f t="shared" si="9"/>
        <v>-1.1494579884044578E-2</v>
      </c>
      <c r="D44" s="9">
        <f t="shared" si="10"/>
        <v>-1.7192585582050276E-2</v>
      </c>
      <c r="E44" s="9">
        <f t="shared" si="11"/>
        <v>-1.7192585582050276E-2</v>
      </c>
      <c r="F44" s="9">
        <f t="shared" si="12"/>
        <v>-1.3814207203671897E-2</v>
      </c>
      <c r="G44" s="9">
        <f t="shared" si="13"/>
        <v>-7.1925855820502756E-3</v>
      </c>
      <c r="H44" s="9">
        <f t="shared" si="14"/>
        <v>-1.5675855820502758E-3</v>
      </c>
      <c r="J44" s="11" t="s">
        <v>1</v>
      </c>
      <c r="K44" s="3">
        <f t="shared" si="15"/>
        <v>1.0188198863437204E-2</v>
      </c>
      <c r="L44" s="3">
        <f t="shared" si="16"/>
        <v>9.0875095219408626E-3</v>
      </c>
      <c r="M44" s="3">
        <f t="shared" si="17"/>
        <v>5.8857500190802768E-3</v>
      </c>
      <c r="N44" s="3">
        <f t="shared" si="18"/>
        <v>1.1674694939162523E-2</v>
      </c>
      <c r="O44" s="3">
        <f t="shared" si="19"/>
        <v>1.1404415102760019E-2</v>
      </c>
      <c r="P44" s="3">
        <f t="shared" si="20"/>
        <v>9.5812846733301024E-3</v>
      </c>
    </row>
    <row r="45" spans="2:16" x14ac:dyDescent="0.3">
      <c r="B45" s="11" t="s">
        <v>4</v>
      </c>
      <c r="C45" s="9">
        <f t="shared" si="9"/>
        <v>-9.123405340020839E-3</v>
      </c>
      <c r="D45" s="9">
        <f t="shared" si="10"/>
        <v>-1.7670413887029387E-2</v>
      </c>
      <c r="E45" s="9">
        <f t="shared" si="11"/>
        <v>-1.7670413887029387E-2</v>
      </c>
      <c r="F45" s="9">
        <f t="shared" si="12"/>
        <v>-1.7670413887029387E-2</v>
      </c>
      <c r="G45" s="9">
        <f t="shared" si="13"/>
        <v>9.5662919446303937E-2</v>
      </c>
      <c r="H45" s="9">
        <f t="shared" si="14"/>
        <v>3.4412919446303952E-2</v>
      </c>
      <c r="J45" s="11" t="s">
        <v>4</v>
      </c>
      <c r="K45" s="3">
        <f t="shared" si="15"/>
        <v>1.072307167503493E-2</v>
      </c>
      <c r="L45" s="3">
        <f t="shared" si="16"/>
        <v>9.3400759117155344E-3</v>
      </c>
      <c r="M45" s="3">
        <f t="shared" si="17"/>
        <v>6.0493308802442971E-3</v>
      </c>
      <c r="N45" s="3">
        <f t="shared" si="18"/>
        <v>1.2058863531013302E-2</v>
      </c>
      <c r="O45" s="3">
        <f t="shared" si="19"/>
        <v>1.3900725591129787E-2</v>
      </c>
      <c r="P45" s="3">
        <f t="shared" si="20"/>
        <v>1.1044008679393369E-2</v>
      </c>
    </row>
    <row r="46" spans="2:16" x14ac:dyDescent="0.3">
      <c r="B46" s="11" t="s">
        <v>7</v>
      </c>
      <c r="C46" s="9">
        <f t="shared" si="9"/>
        <v>-1.3880913246117187E-2</v>
      </c>
      <c r="D46" s="9">
        <f t="shared" si="10"/>
        <v>-2.2427921793125735E-2</v>
      </c>
      <c r="E46" s="9">
        <f t="shared" si="11"/>
        <v>-1.3418912784116726E-2</v>
      </c>
      <c r="F46" s="9">
        <f t="shared" si="12"/>
        <v>4.5991052339012933E-3</v>
      </c>
      <c r="G46" s="9">
        <f t="shared" si="13"/>
        <v>3.4238744873540929E-2</v>
      </c>
      <c r="H46" s="9">
        <f t="shared" si="14"/>
        <v>0.13382207820687425</v>
      </c>
      <c r="J46" s="11" t="s">
        <v>7</v>
      </c>
      <c r="K46" s="3">
        <f t="shared" si="15"/>
        <v>1.3993489665796395E-2</v>
      </c>
      <c r="L46" s="3">
        <f t="shared" si="16"/>
        <v>1.1854758662080739E-2</v>
      </c>
      <c r="M46" s="3">
        <f t="shared" si="17"/>
        <v>7.8800806300171472E-3</v>
      </c>
      <c r="N46" s="3">
        <f t="shared" si="18"/>
        <v>1.5911701272150008E-2</v>
      </c>
      <c r="O46" s="3">
        <f t="shared" si="19"/>
        <v>2.1456045182090277E-2</v>
      </c>
      <c r="P46" s="3">
        <f t="shared" si="20"/>
        <v>1.8689934827604768E-2</v>
      </c>
    </row>
    <row r="47" spans="2:16" x14ac:dyDescent="0.3">
      <c r="B47" s="11" t="s">
        <v>3</v>
      </c>
      <c r="C47" s="9">
        <f t="shared" si="9"/>
        <v>-1.1449721620308632E-2</v>
      </c>
      <c r="D47" s="9">
        <f t="shared" si="10"/>
        <v>-1.5702875873462887E-2</v>
      </c>
      <c r="E47" s="9">
        <f t="shared" si="11"/>
        <v>-2.2845733016320029E-2</v>
      </c>
      <c r="F47" s="9">
        <f t="shared" si="12"/>
        <v>-1.6088976259563272E-2</v>
      </c>
      <c r="G47" s="9">
        <f t="shared" si="13"/>
        <v>3.0487600317013308E-2</v>
      </c>
      <c r="H47" s="9">
        <f t="shared" si="14"/>
        <v>1.3612600317013307E-2</v>
      </c>
      <c r="J47" s="11" t="s">
        <v>3</v>
      </c>
      <c r="K47" s="3">
        <f t="shared" si="15"/>
        <v>1.4709788209938263E-2</v>
      </c>
      <c r="L47" s="3">
        <f t="shared" si="16"/>
        <v>1.2238785544457162E-2</v>
      </c>
      <c r="M47" s="3">
        <f t="shared" si="17"/>
        <v>8.2326965824576718E-3</v>
      </c>
      <c r="N47" s="3">
        <f t="shared" si="18"/>
        <v>1.6979936701318948E-2</v>
      </c>
      <c r="O47" s="3">
        <f t="shared" si="19"/>
        <v>2.4368781884074708E-2</v>
      </c>
      <c r="P47" s="3">
        <f t="shared" si="20"/>
        <v>2.3440673980286701E-2</v>
      </c>
    </row>
    <row r="48" spans="2:16" x14ac:dyDescent="0.3">
      <c r="B48" s="11" t="s">
        <v>5</v>
      </c>
      <c r="C48" s="9">
        <f t="shared" si="9"/>
        <v>-2.0312474207813652E-2</v>
      </c>
      <c r="D48" s="9">
        <f t="shared" si="10"/>
        <v>-1.8867622762962208E-2</v>
      </c>
      <c r="E48" s="9">
        <f t="shared" si="11"/>
        <v>1.0165471212076789E-3</v>
      </c>
      <c r="F48" s="9">
        <f t="shared" si="12"/>
        <v>1.0165471212076789E-3</v>
      </c>
      <c r="G48" s="9">
        <f t="shared" si="13"/>
        <v>1.3989520094180651E-2</v>
      </c>
      <c r="H48" s="9">
        <f t="shared" si="14"/>
        <v>2.6072853427513986E-2</v>
      </c>
      <c r="J48" s="11" t="s">
        <v>5</v>
      </c>
      <c r="K48" s="3">
        <f t="shared" si="15"/>
        <v>1.7192112074501675E-2</v>
      </c>
      <c r="L48" s="3">
        <f t="shared" si="16"/>
        <v>1.4305763948200635E-2</v>
      </c>
      <c r="M48" s="3">
        <f t="shared" si="17"/>
        <v>1.0076131855407493E-2</v>
      </c>
      <c r="N48" s="3">
        <f t="shared" si="18"/>
        <v>2.0210845872765032E-2</v>
      </c>
      <c r="O48" s="3">
        <f t="shared" si="19"/>
        <v>3.0172156690750438E-2</v>
      </c>
      <c r="P48" s="3">
        <f t="shared" si="20"/>
        <v>2.8990847395027809E-2</v>
      </c>
    </row>
    <row r="49" spans="2:16" x14ac:dyDescent="0.3">
      <c r="B49" s="11" t="s">
        <v>10</v>
      </c>
      <c r="C49" s="9">
        <f t="shared" si="9"/>
        <v>7.9964054200567666E-2</v>
      </c>
      <c r="D49" s="9">
        <f t="shared" si="10"/>
        <v>7.8844803081316542E-2</v>
      </c>
      <c r="E49" s="9">
        <f t="shared" si="11"/>
        <v>8.8819063055576519E-2</v>
      </c>
      <c r="F49" s="9">
        <f t="shared" si="12"/>
        <v>0.10683708107359455</v>
      </c>
      <c r="G49" s="9">
        <f t="shared" si="13"/>
        <v>8.5035279271792732E-2</v>
      </c>
      <c r="H49" s="9">
        <f t="shared" si="14"/>
        <v>0.1123269459384594</v>
      </c>
      <c r="J49" s="11" t="s">
        <v>10</v>
      </c>
      <c r="K49" s="3">
        <f t="shared" si="15"/>
        <v>2.1928976366777882E-2</v>
      </c>
      <c r="L49" s="3">
        <f t="shared" si="16"/>
        <v>1.8797993055166232E-2</v>
      </c>
      <c r="M49" s="3">
        <f t="shared" si="17"/>
        <v>1.5041308014692735E-2</v>
      </c>
      <c r="N49" s="3">
        <f t="shared" si="18"/>
        <v>2.6577226449690131E-2</v>
      </c>
      <c r="O49" s="3">
        <f t="shared" si="19"/>
        <v>3.7164777667489948E-2</v>
      </c>
      <c r="P49" s="3">
        <f t="shared" si="20"/>
        <v>3.6993810257534808E-2</v>
      </c>
    </row>
    <row r="50" spans="2:16" x14ac:dyDescent="0.3">
      <c r="B50" s="11" t="s">
        <v>21</v>
      </c>
      <c r="C50" s="9">
        <f t="shared" si="9"/>
        <v>-2.7265222297654605E-2</v>
      </c>
      <c r="D50" s="9">
        <f t="shared" si="10"/>
        <v>-4.3917994242317314E-3</v>
      </c>
      <c r="E50" s="9">
        <f t="shared" si="11"/>
        <v>-2.3954218986651295E-2</v>
      </c>
      <c r="F50" s="9">
        <f t="shared" si="12"/>
        <v>-5.9362009686332734E-3</v>
      </c>
      <c r="G50" s="9">
        <f t="shared" si="13"/>
        <v>1.3703438671006367E-2</v>
      </c>
      <c r="H50" s="9">
        <f t="shared" si="14"/>
        <v>8.7034386710063624E-3</v>
      </c>
      <c r="J50" s="11" t="s">
        <v>21</v>
      </c>
      <c r="K50" s="3">
        <f t="shared" si="15"/>
        <v>2.9300647107253618E-2</v>
      </c>
      <c r="L50" s="3">
        <f t="shared" si="16"/>
        <v>2.6370582396528251E-2</v>
      </c>
      <c r="M50" s="3">
        <f t="shared" si="17"/>
        <v>2.167851931246129E-2</v>
      </c>
      <c r="N50" s="3">
        <f t="shared" si="18"/>
        <v>3.6304095697923193E-2</v>
      </c>
      <c r="O50" s="3">
        <f t="shared" si="19"/>
        <v>4.8565822580272866E-2</v>
      </c>
      <c r="P50" s="3">
        <f t="shared" si="20"/>
        <v>4.9101475035202354E-2</v>
      </c>
    </row>
    <row r="51" spans="2:16" x14ac:dyDescent="0.3">
      <c r="B51" s="11" t="s">
        <v>0</v>
      </c>
      <c r="C51" s="9">
        <f t="shared" si="9"/>
        <v>-9.8626519013860103E-2</v>
      </c>
      <c r="D51" s="9">
        <f t="shared" si="10"/>
        <v>-6.5618786006127028E-2</v>
      </c>
      <c r="E51" s="9">
        <f t="shared" si="11"/>
        <v>1.5333594946253859E-2</v>
      </c>
      <c r="F51" s="9">
        <f t="shared" si="12"/>
        <v>-0.21552226090960197</v>
      </c>
      <c r="G51" s="9">
        <f t="shared" si="13"/>
        <v>-0.41133307172041278</v>
      </c>
      <c r="H51" s="9">
        <f t="shared" si="14"/>
        <v>-0.41695807172041277</v>
      </c>
      <c r="J51" s="11" t="s">
        <v>0</v>
      </c>
      <c r="K51" s="3">
        <f t="shared" si="15"/>
        <v>0.94267008670646635</v>
      </c>
      <c r="L51" s="3">
        <f t="shared" si="16"/>
        <v>0.92117105857601222</v>
      </c>
      <c r="M51" s="3">
        <f t="shared" si="17"/>
        <v>0.86844409562721714</v>
      </c>
      <c r="N51" s="3">
        <f t="shared" si="18"/>
        <v>1.0188081493464565</v>
      </c>
      <c r="O51" s="3">
        <f t="shared" si="19"/>
        <v>1.1463462062279264</v>
      </c>
      <c r="P51" s="3">
        <f t="shared" si="20"/>
        <v>1.1500099547563538</v>
      </c>
    </row>
    <row r="52" spans="2:16" x14ac:dyDescent="0.3">
      <c r="J52" s="14" t="s">
        <v>44</v>
      </c>
      <c r="K52" s="13">
        <f>SUM(K28:K51)</f>
        <v>1.1208540090075605</v>
      </c>
      <c r="L52" s="13">
        <f t="shared" ref="L52:P52" si="21">SUM(L28:L51)</f>
        <v>1.0690241783100904</v>
      </c>
      <c r="M52" s="13">
        <f t="shared" si="21"/>
        <v>0.97468437482518433</v>
      </c>
      <c r="N52" s="13">
        <f t="shared" si="21"/>
        <v>1.2334271672124562</v>
      </c>
      <c r="O52" s="13">
        <f t="shared" si="21"/>
        <v>1.3988323830628717</v>
      </c>
      <c r="P52" s="13">
        <f t="shared" si="21"/>
        <v>1.3836810164239053</v>
      </c>
    </row>
    <row r="53" spans="2:16" x14ac:dyDescent="0.3">
      <c r="J53" s="15" t="s">
        <v>45</v>
      </c>
      <c r="K53" s="16">
        <f>1-K52</f>
        <v>-0.12085400900756049</v>
      </c>
      <c r="L53" s="16">
        <f t="shared" ref="L53:P53" si="22">1-L52</f>
        <v>-6.9024178310090445E-2</v>
      </c>
      <c r="M53" s="16">
        <f t="shared" si="22"/>
        <v>2.531562517481567E-2</v>
      </c>
      <c r="N53" s="16">
        <f t="shared" si="22"/>
        <v>-0.23342716721245615</v>
      </c>
      <c r="O53" s="16">
        <f t="shared" si="22"/>
        <v>-0.39883238306287172</v>
      </c>
      <c r="P53" s="16">
        <f t="shared" si="22"/>
        <v>-0.38368101642390529</v>
      </c>
    </row>
  </sheetData>
  <sortState xmlns:xlrd2="http://schemas.microsoft.com/office/spreadsheetml/2017/richdata2" ref="A2:P26">
    <sortCondition ref="B1:B26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D4FB-ED9C-41EC-8ACB-A55254D5BD2C}">
  <dimension ref="A1:P23"/>
  <sheetViews>
    <sheetView zoomScale="81"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0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22" t="s">
        <v>26</v>
      </c>
      <c r="L1" s="8" t="s">
        <v>27</v>
      </c>
      <c r="M1" s="8" t="s">
        <v>28</v>
      </c>
      <c r="N1" s="23" t="s">
        <v>29</v>
      </c>
      <c r="O1" s="8" t="s">
        <v>30</v>
      </c>
      <c r="P1" s="8" t="s">
        <v>31</v>
      </c>
    </row>
    <row r="2" spans="1:16" x14ac:dyDescent="0.3">
      <c r="A2" s="3" t="s">
        <v>51</v>
      </c>
      <c r="B2" s="11">
        <v>4.3715613329912487E-2</v>
      </c>
      <c r="C2" s="11">
        <v>9.3023255813953487E-2</v>
      </c>
      <c r="D2" s="11">
        <v>3.3898305084745763E-2</v>
      </c>
      <c r="E2" s="11">
        <v>2.0408163265306121E-2</v>
      </c>
      <c r="F2" s="11">
        <v>4.3209876543209874E-2</v>
      </c>
      <c r="G2" s="11">
        <v>3.8167938931297711E-2</v>
      </c>
      <c r="H2" s="11">
        <v>4.6875E-2</v>
      </c>
      <c r="I2" s="9">
        <v>4.3715613329912487E-2</v>
      </c>
      <c r="J2" s="24">
        <v>4.3715613329912487E-2</v>
      </c>
      <c r="K2" s="24">
        <v>9.3023255813953487E-2</v>
      </c>
      <c r="L2" s="24">
        <v>3.3898305084745763E-2</v>
      </c>
      <c r="M2" s="24">
        <v>2.0408163265306121E-2</v>
      </c>
      <c r="N2" s="24">
        <v>4.3209876543209874E-2</v>
      </c>
      <c r="O2" s="24">
        <v>3.8167938931297711E-2</v>
      </c>
      <c r="P2" s="24">
        <v>4.6875E-2</v>
      </c>
    </row>
    <row r="3" spans="1:16" x14ac:dyDescent="0.3">
      <c r="A3" s="3" t="s">
        <v>52</v>
      </c>
      <c r="B3" s="11">
        <v>4.7806379885401519E-2</v>
      </c>
      <c r="C3" s="11">
        <v>1.1627906976744186E-2</v>
      </c>
      <c r="D3" s="11">
        <v>0</v>
      </c>
      <c r="E3" s="11">
        <v>0</v>
      </c>
      <c r="F3" s="11">
        <v>0</v>
      </c>
      <c r="G3" s="11">
        <v>3.0534351145038167E-2</v>
      </c>
      <c r="H3" s="11">
        <v>7.03125E-2</v>
      </c>
      <c r="I3" s="9">
        <v>9.1521993215314013E-2</v>
      </c>
      <c r="J3" s="9">
        <f t="shared" ref="J3:P9" si="0">J2+B3</f>
        <v>9.1521993215314013E-2</v>
      </c>
      <c r="K3" s="20">
        <f t="shared" si="0"/>
        <v>0.10465116279069767</v>
      </c>
      <c r="L3" s="20">
        <f t="shared" si="0"/>
        <v>3.3898305084745763E-2</v>
      </c>
      <c r="M3" s="9">
        <f t="shared" si="0"/>
        <v>2.0408163265306121E-2</v>
      </c>
      <c r="N3" s="20">
        <f t="shared" si="0"/>
        <v>4.3209876543209874E-2</v>
      </c>
      <c r="O3" s="9">
        <f t="shared" si="0"/>
        <v>6.8702290076335881E-2</v>
      </c>
      <c r="P3" s="9">
        <f t="shared" si="0"/>
        <v>0.1171875</v>
      </c>
    </row>
    <row r="4" spans="1:16" x14ac:dyDescent="0.3">
      <c r="A4" s="3" t="s">
        <v>48</v>
      </c>
      <c r="B4" s="11">
        <v>7.0825850223780615E-2</v>
      </c>
      <c r="C4" s="11">
        <v>3.4883720930232558E-2</v>
      </c>
      <c r="D4" s="11">
        <v>3.3898305084745763E-2</v>
      </c>
      <c r="E4" s="11">
        <v>0</v>
      </c>
      <c r="F4" s="11">
        <v>4.9382716049382713E-2</v>
      </c>
      <c r="G4" s="11">
        <v>6.1068702290076333E-2</v>
      </c>
      <c r="H4" s="11">
        <v>3.90625E-2</v>
      </c>
      <c r="I4" s="9">
        <v>0.16234784343909464</v>
      </c>
      <c r="J4" s="9">
        <f t="shared" si="0"/>
        <v>0.16234784343909464</v>
      </c>
      <c r="K4" s="20">
        <f t="shared" si="0"/>
        <v>0.13953488372093023</v>
      </c>
      <c r="L4" s="20">
        <f t="shared" si="0"/>
        <v>6.7796610169491525E-2</v>
      </c>
      <c r="M4" s="9">
        <f t="shared" si="0"/>
        <v>2.0408163265306121E-2</v>
      </c>
      <c r="N4" s="20">
        <f t="shared" si="0"/>
        <v>9.2592592592592587E-2</v>
      </c>
      <c r="O4" s="9">
        <f t="shared" si="0"/>
        <v>0.12977099236641221</v>
      </c>
      <c r="P4" s="9">
        <f t="shared" si="0"/>
        <v>0.15625</v>
      </c>
    </row>
    <row r="5" spans="1:16" x14ac:dyDescent="0.3">
      <c r="A5" s="3" t="s">
        <v>53</v>
      </c>
      <c r="B5" s="11">
        <v>8.5164913481000026E-2</v>
      </c>
      <c r="C5" s="11">
        <v>5.8139534883720929E-2</v>
      </c>
      <c r="D5" s="11">
        <v>3.3898305084745763E-2</v>
      </c>
      <c r="E5" s="11">
        <v>2.0408163265306121E-2</v>
      </c>
      <c r="F5" s="11">
        <v>6.7901234567901231E-2</v>
      </c>
      <c r="G5" s="11">
        <v>5.3435114503816793E-2</v>
      </c>
      <c r="H5" s="11">
        <v>0.109375</v>
      </c>
      <c r="I5" s="9">
        <v>0.24751275692009467</v>
      </c>
      <c r="J5" s="9">
        <f t="shared" si="0"/>
        <v>0.24751275692009467</v>
      </c>
      <c r="K5" s="20">
        <f t="shared" si="0"/>
        <v>0.19767441860465115</v>
      </c>
      <c r="L5" s="20">
        <f t="shared" si="0"/>
        <v>0.10169491525423729</v>
      </c>
      <c r="M5" s="9">
        <f t="shared" si="0"/>
        <v>4.0816326530612242E-2</v>
      </c>
      <c r="N5" s="20">
        <f t="shared" si="0"/>
        <v>0.16049382716049382</v>
      </c>
      <c r="O5" s="9">
        <f t="shared" si="0"/>
        <v>0.18320610687022901</v>
      </c>
      <c r="P5" s="9">
        <f t="shared" si="0"/>
        <v>0.265625</v>
      </c>
    </row>
    <row r="6" spans="1:16" x14ac:dyDescent="0.3">
      <c r="A6" s="3" t="s">
        <v>50</v>
      </c>
      <c r="B6" s="11">
        <v>9.1878331765443716E-2</v>
      </c>
      <c r="C6" s="11">
        <v>0</v>
      </c>
      <c r="D6" s="11">
        <v>1.6949152542372881E-2</v>
      </c>
      <c r="E6" s="11">
        <v>6.1224489795918366E-2</v>
      </c>
      <c r="F6" s="11">
        <v>0.15432098765432098</v>
      </c>
      <c r="G6" s="11">
        <v>0.16793893129770993</v>
      </c>
      <c r="H6" s="11">
        <v>0.2265625</v>
      </c>
      <c r="I6" s="9">
        <v>0.33939108868553836</v>
      </c>
      <c r="J6" s="9">
        <f t="shared" si="0"/>
        <v>0.33939108868553836</v>
      </c>
      <c r="K6" s="20">
        <f t="shared" si="0"/>
        <v>0.19767441860465115</v>
      </c>
      <c r="L6" s="20">
        <f t="shared" si="0"/>
        <v>0.11864406779661017</v>
      </c>
      <c r="M6" s="9">
        <f t="shared" si="0"/>
        <v>0.10204081632653061</v>
      </c>
      <c r="N6" s="20">
        <f t="shared" si="0"/>
        <v>0.31481481481481477</v>
      </c>
      <c r="O6" s="9">
        <f t="shared" si="0"/>
        <v>0.35114503816793896</v>
      </c>
      <c r="P6" s="9">
        <f t="shared" si="0"/>
        <v>0.4921875</v>
      </c>
    </row>
    <row r="7" spans="1:16" x14ac:dyDescent="0.3">
      <c r="A7" s="3" t="s">
        <v>47</v>
      </c>
      <c r="B7" s="11">
        <v>0.10061575301462414</v>
      </c>
      <c r="C7" s="11">
        <v>0.11627906976744186</v>
      </c>
      <c r="D7" s="11">
        <v>3.3898305084745763E-2</v>
      </c>
      <c r="E7" s="11">
        <v>6.1224489795918366E-2</v>
      </c>
      <c r="F7" s="11">
        <v>9.8765432098765427E-2</v>
      </c>
      <c r="G7" s="11">
        <v>0.12977099236641221</v>
      </c>
      <c r="H7" s="11">
        <v>7.03125E-2</v>
      </c>
      <c r="I7" s="9">
        <v>0.44000684170016247</v>
      </c>
      <c r="J7" s="9">
        <f t="shared" si="0"/>
        <v>0.44000684170016247</v>
      </c>
      <c r="K7" s="20">
        <f t="shared" si="0"/>
        <v>0.31395348837209303</v>
      </c>
      <c r="L7" s="20">
        <f t="shared" si="0"/>
        <v>0.15254237288135594</v>
      </c>
      <c r="M7" s="9">
        <f t="shared" si="0"/>
        <v>0.16326530612244899</v>
      </c>
      <c r="N7" s="20">
        <f t="shared" si="0"/>
        <v>0.4135802469135802</v>
      </c>
      <c r="O7" s="9">
        <f t="shared" si="0"/>
        <v>0.48091603053435117</v>
      </c>
      <c r="P7" s="9">
        <f t="shared" si="0"/>
        <v>0.5625</v>
      </c>
    </row>
    <row r="8" spans="1:16" x14ac:dyDescent="0.3">
      <c r="A8" s="3" t="s">
        <v>49</v>
      </c>
      <c r="B8" s="11">
        <v>0.16586846831437613</v>
      </c>
      <c r="C8" s="11">
        <v>0.11627906976744186</v>
      </c>
      <c r="D8" s="11">
        <v>0.22033898305084745</v>
      </c>
      <c r="E8" s="11">
        <v>0.2857142857142857</v>
      </c>
      <c r="F8" s="11">
        <v>0.31481481481481483</v>
      </c>
      <c r="G8" s="11">
        <v>0.29770992366412213</v>
      </c>
      <c r="H8" s="11">
        <v>0.2421875</v>
      </c>
      <c r="I8" s="9">
        <v>0.60587531001453865</v>
      </c>
      <c r="J8" s="9">
        <f t="shared" si="0"/>
        <v>0.60587531001453865</v>
      </c>
      <c r="K8" s="20">
        <f t="shared" si="0"/>
        <v>0.43023255813953487</v>
      </c>
      <c r="L8" s="20">
        <f t="shared" si="0"/>
        <v>0.3728813559322034</v>
      </c>
      <c r="M8" s="9">
        <f t="shared" si="0"/>
        <v>0.44897959183673469</v>
      </c>
      <c r="N8" s="20">
        <f t="shared" si="0"/>
        <v>0.72839506172839497</v>
      </c>
      <c r="O8" s="9">
        <f t="shared" si="0"/>
        <v>0.77862595419847325</v>
      </c>
      <c r="P8" s="9">
        <f t="shared" si="0"/>
        <v>0.8046875</v>
      </c>
    </row>
    <row r="9" spans="1:16" x14ac:dyDescent="0.3">
      <c r="A9" s="3" t="s">
        <v>46</v>
      </c>
      <c r="B9" s="11">
        <v>0.39412468998546141</v>
      </c>
      <c r="C9" s="11">
        <v>0.56976744186046513</v>
      </c>
      <c r="D9" s="11">
        <v>0.6271186440677966</v>
      </c>
      <c r="E9" s="11">
        <v>0.55102040816326525</v>
      </c>
      <c r="F9" s="11">
        <v>0.27160493827160492</v>
      </c>
      <c r="G9" s="11">
        <v>0.22137404580152673</v>
      </c>
      <c r="H9" s="11">
        <v>0.1953125</v>
      </c>
      <c r="I9" s="9">
        <v>1</v>
      </c>
      <c r="J9" s="9">
        <f t="shared" si="0"/>
        <v>1</v>
      </c>
      <c r="K9" s="20">
        <f t="shared" si="0"/>
        <v>1</v>
      </c>
      <c r="L9" s="20">
        <f t="shared" si="0"/>
        <v>1</v>
      </c>
      <c r="M9" s="9">
        <f t="shared" si="0"/>
        <v>1</v>
      </c>
      <c r="N9" s="20">
        <f t="shared" si="0"/>
        <v>0.99999999999999989</v>
      </c>
      <c r="O9" s="9">
        <f t="shared" si="0"/>
        <v>1</v>
      </c>
      <c r="P9" s="9">
        <f t="shared" si="0"/>
        <v>1</v>
      </c>
    </row>
    <row r="11" spans="1:16" ht="28.8" x14ac:dyDescent="0.3">
      <c r="B11" s="1" t="s">
        <v>24</v>
      </c>
      <c r="C11" s="2" t="s">
        <v>32</v>
      </c>
      <c r="D11" s="2" t="s">
        <v>33</v>
      </c>
      <c r="E11" s="2" t="s">
        <v>34</v>
      </c>
      <c r="F11" s="2" t="s">
        <v>35</v>
      </c>
      <c r="G11" s="2" t="s">
        <v>36</v>
      </c>
      <c r="H11" s="2" t="s">
        <v>37</v>
      </c>
      <c r="J11" s="3"/>
      <c r="K11" s="13" t="s">
        <v>38</v>
      </c>
      <c r="L11" s="13" t="s">
        <v>39</v>
      </c>
      <c r="M11" s="13" t="s">
        <v>40</v>
      </c>
      <c r="N11" s="13" t="s">
        <v>41</v>
      </c>
      <c r="O11" s="13" t="s">
        <v>42</v>
      </c>
      <c r="P11" s="13" t="s">
        <v>43</v>
      </c>
    </row>
    <row r="12" spans="1:16" x14ac:dyDescent="0.3">
      <c r="B12" s="3" t="s">
        <v>51</v>
      </c>
      <c r="C12" s="9">
        <f>C2-B2</f>
        <v>4.9307642484041E-2</v>
      </c>
      <c r="D12" s="9">
        <f>D2-B2</f>
        <v>-9.817308245166724E-3</v>
      </c>
      <c r="E12" s="9">
        <f>E2-B2</f>
        <v>-2.3307450064606366E-2</v>
      </c>
      <c r="F12" s="9">
        <f>F2-B2</f>
        <v>-5.0573678670261246E-4</v>
      </c>
      <c r="G12" s="9">
        <f>G2-B2</f>
        <v>-5.5476743986147756E-3</v>
      </c>
      <c r="H12" s="9">
        <f>H2-B2</f>
        <v>3.1593866700875134E-3</v>
      </c>
      <c r="J12" s="3" t="s">
        <v>51</v>
      </c>
      <c r="K12" s="3">
        <f>(J2-0) * ((K2+0))</f>
        <v>4.0665686818523242E-3</v>
      </c>
      <c r="L12" s="3">
        <f>(J2-0) * ((L2+0))</f>
        <v>1.4818851976241521E-3</v>
      </c>
      <c r="M12" s="3">
        <f>(J2-0) * ((M2+0))</f>
        <v>8.9215537407984658E-4</v>
      </c>
      <c r="N12" s="3">
        <f>(J2-0) * ((N2+0))</f>
        <v>1.8889462549962184E-3</v>
      </c>
      <c r="O12" s="3">
        <f>(J2-0) * ((O2+0))</f>
        <v>1.6685348599203239E-3</v>
      </c>
      <c r="P12" s="3">
        <f>(J2-0) * ((P2+0))</f>
        <v>2.049169374839648E-3</v>
      </c>
    </row>
    <row r="13" spans="1:16" x14ac:dyDescent="0.3">
      <c r="B13" s="3" t="s">
        <v>52</v>
      </c>
      <c r="C13" s="9">
        <f t="shared" ref="C13:C19" si="1">C3-B3</f>
        <v>-3.6178472908657333E-2</v>
      </c>
      <c r="D13" s="9">
        <f t="shared" ref="D13:D19" si="2">D3-B3</f>
        <v>-4.7806379885401519E-2</v>
      </c>
      <c r="E13" s="9">
        <f t="shared" ref="E13:E19" si="3">E3-B3</f>
        <v>-4.7806379885401519E-2</v>
      </c>
      <c r="F13" s="9">
        <f t="shared" ref="F13:F19" si="4">F3-B3</f>
        <v>-4.7806379885401519E-2</v>
      </c>
      <c r="G13" s="9">
        <f t="shared" ref="G13:G19" si="5">G3-B3</f>
        <v>-1.7272028740363352E-2</v>
      </c>
      <c r="H13" s="9">
        <f t="shared" ref="H13:H19" si="6">H3-B3</f>
        <v>2.2506120114598481E-2</v>
      </c>
      <c r="J13" s="3" t="s">
        <v>52</v>
      </c>
      <c r="K13" s="3">
        <f>(J3-J2) * ((K3+K2))</f>
        <v>9.4500983494398352E-3</v>
      </c>
      <c r="L13" s="3">
        <f>(J3-J2) * ((L3+L2))</f>
        <v>3.241110500705188E-3</v>
      </c>
      <c r="M13" s="3">
        <f>(J3-J2) * ((M3+M2))</f>
        <v>1.9512808116490417E-3</v>
      </c>
      <c r="N13" s="3">
        <f>(J3-J2) * ((N3+N2))</f>
        <v>4.1314155456519839E-3</v>
      </c>
      <c r="O13" s="3">
        <f>(J3-J2) * ((O3+O2))</f>
        <v>5.1090787663787898E-3</v>
      </c>
      <c r="P13" s="3">
        <f>(J3-J2) * ((P3+P2))</f>
        <v>7.8432341999486871E-3</v>
      </c>
    </row>
    <row r="14" spans="1:16" x14ac:dyDescent="0.3">
      <c r="B14" s="3" t="s">
        <v>48</v>
      </c>
      <c r="C14" s="9">
        <f t="shared" si="1"/>
        <v>-3.5942129293548057E-2</v>
      </c>
      <c r="D14" s="9">
        <f t="shared" si="2"/>
        <v>-3.6927545139034852E-2</v>
      </c>
      <c r="E14" s="9">
        <f t="shared" si="3"/>
        <v>-7.0825850223780615E-2</v>
      </c>
      <c r="F14" s="9">
        <f t="shared" si="4"/>
        <v>-2.1443134174397901E-2</v>
      </c>
      <c r="G14" s="9">
        <f t="shared" si="5"/>
        <v>-9.7571479337042813E-3</v>
      </c>
      <c r="H14" s="9">
        <f t="shared" si="6"/>
        <v>-3.1763350223780615E-2</v>
      </c>
      <c r="J14" s="3" t="s">
        <v>48</v>
      </c>
      <c r="K14" s="3">
        <f t="shared" ref="K14:K19" si="7">(J4-J3) * ((K4+K3))</f>
        <v>1.7294684356969688E-2</v>
      </c>
      <c r="L14" s="3">
        <f t="shared" ref="L14:L19" si="8">(J4-J3) * ((L4+L3))</f>
        <v>7.2026288363166747E-3</v>
      </c>
      <c r="M14" s="3">
        <f t="shared" ref="M14:M19" si="9">(J4-J3) * ((M4+M3))</f>
        <v>2.8908510295420661E-3</v>
      </c>
      <c r="N14" s="3">
        <f t="shared" ref="N14:N19" si="10">(J4-J3) * ((N4+N3))</f>
        <v>9.6183253390319367E-3</v>
      </c>
      <c r="O14" s="3">
        <f t="shared" ref="O14:O19" si="11">(J4-J3) * ((O4+O3))</f>
        <v>1.4057038975712186E-2</v>
      </c>
      <c r="P14" s="3">
        <f t="shared" ref="P14:P19" si="12">(J4-J3) * ((P4+P3))</f>
        <v>1.9366443420565017E-2</v>
      </c>
    </row>
    <row r="15" spans="1:16" x14ac:dyDescent="0.3">
      <c r="B15" s="3" t="s">
        <v>53</v>
      </c>
      <c r="C15" s="9">
        <f t="shared" si="1"/>
        <v>-2.7025378597279097E-2</v>
      </c>
      <c r="D15" s="9">
        <f t="shared" si="2"/>
        <v>-5.1266608396254264E-2</v>
      </c>
      <c r="E15" s="9">
        <f t="shared" si="3"/>
        <v>-6.4756750215693909E-2</v>
      </c>
      <c r="F15" s="9">
        <f t="shared" si="4"/>
        <v>-1.7263678913098796E-2</v>
      </c>
      <c r="G15" s="9">
        <f t="shared" si="5"/>
        <v>-3.1729798977183234E-2</v>
      </c>
      <c r="H15" s="9">
        <f t="shared" si="6"/>
        <v>2.4210086518999974E-2</v>
      </c>
      <c r="J15" s="3" t="s">
        <v>53</v>
      </c>
      <c r="K15" s="3">
        <f t="shared" si="7"/>
        <v>2.8718401057546521E-2</v>
      </c>
      <c r="L15" s="3">
        <f t="shared" si="8"/>
        <v>1.443473109847458E-2</v>
      </c>
      <c r="M15" s="3">
        <f t="shared" si="9"/>
        <v>5.2141783763877568E-3</v>
      </c>
      <c r="N15" s="3">
        <f t="shared" si="10"/>
        <v>2.1554083041487662E-2</v>
      </c>
      <c r="O15" s="3">
        <f t="shared" si="11"/>
        <v>2.6654667578022907E-2</v>
      </c>
      <c r="P15" s="3">
        <f t="shared" si="12"/>
        <v>3.5928947874796884E-2</v>
      </c>
    </row>
    <row r="16" spans="1:16" x14ac:dyDescent="0.3">
      <c r="B16" s="3" t="s">
        <v>50</v>
      </c>
      <c r="C16" s="9">
        <f t="shared" si="1"/>
        <v>-9.1878331765443716E-2</v>
      </c>
      <c r="D16" s="9">
        <f t="shared" si="2"/>
        <v>-7.4929179223070838E-2</v>
      </c>
      <c r="E16" s="9">
        <f t="shared" si="3"/>
        <v>-3.065384196952535E-2</v>
      </c>
      <c r="F16" s="9">
        <f t="shared" si="4"/>
        <v>6.2442655888877263E-2</v>
      </c>
      <c r="G16" s="9">
        <f t="shared" si="5"/>
        <v>7.606059953226621E-2</v>
      </c>
      <c r="H16" s="9">
        <f t="shared" si="6"/>
        <v>0.13468416823455628</v>
      </c>
      <c r="J16" s="3" t="s">
        <v>50</v>
      </c>
      <c r="K16" s="3">
        <f t="shared" si="7"/>
        <v>3.6323991628198667E-2</v>
      </c>
      <c r="L16" s="3">
        <f t="shared" si="8"/>
        <v>2.0244378185606239E-2</v>
      </c>
      <c r="M16" s="3">
        <f t="shared" si="9"/>
        <v>1.3125475966491955E-2</v>
      </c>
      <c r="N16" s="3">
        <f t="shared" si="10"/>
        <v>4.3670565098389895E-2</v>
      </c>
      <c r="O16" s="3">
        <f t="shared" si="11"/>
        <v>4.9095291783061511E-2</v>
      </c>
      <c r="P16" s="3">
        <f t="shared" si="12"/>
        <v>6.962654829100029E-2</v>
      </c>
    </row>
    <row r="17" spans="2:16" x14ac:dyDescent="0.3">
      <c r="B17" s="3" t="s">
        <v>47</v>
      </c>
      <c r="C17" s="9">
        <f t="shared" si="1"/>
        <v>1.5663316752817721E-2</v>
      </c>
      <c r="D17" s="9">
        <f t="shared" si="2"/>
        <v>-6.6717447929878382E-2</v>
      </c>
      <c r="E17" s="9">
        <f t="shared" si="3"/>
        <v>-3.9391263218705772E-2</v>
      </c>
      <c r="F17" s="9">
        <f t="shared" si="4"/>
        <v>-1.8503209158587108E-3</v>
      </c>
      <c r="G17" s="9">
        <f t="shared" si="5"/>
        <v>2.915523935178807E-2</v>
      </c>
      <c r="H17" s="9">
        <f t="shared" si="6"/>
        <v>-3.0303253014624137E-2</v>
      </c>
      <c r="J17" s="3" t="s">
        <v>47</v>
      </c>
      <c r="K17" s="3">
        <f t="shared" si="7"/>
        <v>5.1477827123761172E-2</v>
      </c>
      <c r="L17" s="3">
        <f t="shared" si="8"/>
        <v>2.728562793616925E-2</v>
      </c>
      <c r="M17" s="3">
        <f t="shared" si="9"/>
        <v>2.6693975289594152E-2</v>
      </c>
      <c r="N17" s="3">
        <f t="shared" si="10"/>
        <v>7.3288017627936075E-2</v>
      </c>
      <c r="O17" s="3">
        <f t="shared" si="11"/>
        <v>8.3718450981633802E-2</v>
      </c>
      <c r="P17" s="3">
        <f t="shared" si="12"/>
        <v>0.10611817700761136</v>
      </c>
    </row>
    <row r="18" spans="2:16" x14ac:dyDescent="0.3">
      <c r="B18" s="3" t="s">
        <v>49</v>
      </c>
      <c r="C18" s="9">
        <f t="shared" si="1"/>
        <v>-4.9589398546934269E-2</v>
      </c>
      <c r="D18" s="9">
        <f t="shared" si="2"/>
        <v>5.4470514736471326E-2</v>
      </c>
      <c r="E18" s="9">
        <f t="shared" si="3"/>
        <v>0.11984581739990957</v>
      </c>
      <c r="F18" s="9">
        <f t="shared" si="4"/>
        <v>0.1489463465004387</v>
      </c>
      <c r="G18" s="9">
        <f t="shared" si="5"/>
        <v>0.13184145534974601</v>
      </c>
      <c r="H18" s="9">
        <f t="shared" si="6"/>
        <v>7.6319031685623873E-2</v>
      </c>
      <c r="J18" s="3" t="s">
        <v>49</v>
      </c>
      <c r="K18" s="3">
        <f t="shared" si="7"/>
        <v>0.12343699967581483</v>
      </c>
      <c r="L18" s="3">
        <f t="shared" si="8"/>
        <v>8.7151229114333262E-2</v>
      </c>
      <c r="M18" s="3">
        <f t="shared" si="9"/>
        <v>0.10155212345778133</v>
      </c>
      <c r="N18" s="3">
        <f t="shared" si="10"/>
        <v>0.18941769529728139</v>
      </c>
      <c r="O18" s="3">
        <f t="shared" si="11"/>
        <v>0.20891829978528298</v>
      </c>
      <c r="P18" s="3">
        <f t="shared" si="12"/>
        <v>0.22677329652356118</v>
      </c>
    </row>
    <row r="19" spans="2:16" x14ac:dyDescent="0.3">
      <c r="B19" s="3" t="s">
        <v>46</v>
      </c>
      <c r="C19" s="9">
        <f t="shared" si="1"/>
        <v>0.17564275187500372</v>
      </c>
      <c r="D19" s="9">
        <f t="shared" si="2"/>
        <v>0.2329939540823352</v>
      </c>
      <c r="E19" s="9">
        <f t="shared" si="3"/>
        <v>0.15689571817780384</v>
      </c>
      <c r="F19" s="9">
        <f t="shared" si="4"/>
        <v>-0.12251975171385648</v>
      </c>
      <c r="G19" s="9">
        <f t="shared" si="5"/>
        <v>-0.17275064418393468</v>
      </c>
      <c r="H19" s="9">
        <f t="shared" si="6"/>
        <v>-0.19881218998546141</v>
      </c>
      <c r="J19" s="3" t="s">
        <v>46</v>
      </c>
      <c r="K19" s="3">
        <f t="shared" si="7"/>
        <v>0.56368996358385748</v>
      </c>
      <c r="L19" s="3">
        <f t="shared" si="8"/>
        <v>0.54108643879359941</v>
      </c>
      <c r="M19" s="3">
        <f t="shared" si="9"/>
        <v>0.57107863242791346</v>
      </c>
      <c r="N19" s="3">
        <f t="shared" si="10"/>
        <v>0.68120316787610591</v>
      </c>
      <c r="O19" s="3">
        <f t="shared" si="11"/>
        <v>0.70100040279856868</v>
      </c>
      <c r="P19" s="3">
        <f t="shared" si="12"/>
        <v>0.71127190145813723</v>
      </c>
    </row>
    <row r="20" spans="2:16" x14ac:dyDescent="0.3">
      <c r="J20" s="13" t="s">
        <v>44</v>
      </c>
      <c r="K20" s="13">
        <f>SUM(K12:K19)</f>
        <v>0.83445853445744045</v>
      </c>
      <c r="L20" s="13">
        <f t="shared" ref="L20:P20" si="13">SUM(L12:L19)</f>
        <v>0.70212802966282872</v>
      </c>
      <c r="M20" s="13">
        <f t="shared" si="13"/>
        <v>0.72339867273343961</v>
      </c>
      <c r="N20" s="13">
        <f t="shared" si="13"/>
        <v>1.0247722160808812</v>
      </c>
      <c r="O20" s="13">
        <f t="shared" si="13"/>
        <v>1.0902217655285811</v>
      </c>
      <c r="P20" s="13">
        <f t="shared" si="13"/>
        <v>1.1789777181504604</v>
      </c>
    </row>
    <row r="21" spans="2:16" x14ac:dyDescent="0.3">
      <c r="J21" s="16" t="s">
        <v>45</v>
      </c>
      <c r="K21" s="16">
        <f>1-K20</f>
        <v>0.16554146554255955</v>
      </c>
      <c r="L21" s="16">
        <f t="shared" ref="L21:P21" si="14">1-L20</f>
        <v>0.29787197033717128</v>
      </c>
      <c r="M21" s="16">
        <f t="shared" si="14"/>
        <v>0.27660132726656039</v>
      </c>
      <c r="N21" s="16">
        <f t="shared" si="14"/>
        <v>-2.4772216080881204E-2</v>
      </c>
      <c r="O21" s="16">
        <f t="shared" si="14"/>
        <v>-9.0221765528581077E-2</v>
      </c>
      <c r="P21" s="16">
        <f t="shared" si="14"/>
        <v>-0.17897771815046037</v>
      </c>
    </row>
    <row r="23" spans="2:16" x14ac:dyDescent="0.3">
      <c r="M23" s="21" t="s">
        <v>73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7D38-4F2C-4E5B-AF5C-56F5B70CB5A2}">
  <dimension ref="A1:P19"/>
  <sheetViews>
    <sheetView zoomScale="80"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9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8" t="s">
        <v>26</v>
      </c>
      <c r="L1" s="8" t="s">
        <v>27</v>
      </c>
      <c r="M1" s="8" t="s">
        <v>28</v>
      </c>
      <c r="N1" s="7" t="s">
        <v>29</v>
      </c>
      <c r="O1" s="8" t="s">
        <v>30</v>
      </c>
      <c r="P1" s="8" t="s">
        <v>31</v>
      </c>
    </row>
    <row r="2" spans="1:16" x14ac:dyDescent="0.3">
      <c r="A2" s="3" t="s">
        <v>55</v>
      </c>
      <c r="B2" s="11">
        <v>6.055881792513295E-2</v>
      </c>
      <c r="C2" s="11">
        <v>5.8139534883720929E-2</v>
      </c>
      <c r="D2" s="11">
        <v>6.8181818181818177E-2</v>
      </c>
      <c r="E2" s="11">
        <v>0</v>
      </c>
      <c r="F2" s="11">
        <v>8.59375E-2</v>
      </c>
      <c r="G2" s="11">
        <v>3.6363636363636362E-2</v>
      </c>
      <c r="H2" s="11">
        <v>2.3255813953488372E-2</v>
      </c>
      <c r="I2" s="9">
        <v>6.055881792513295E-2</v>
      </c>
      <c r="J2" s="24">
        <v>6.055881792513295E-2</v>
      </c>
      <c r="K2" s="24">
        <v>5.8139534883720929E-2</v>
      </c>
      <c r="L2" s="24">
        <v>6.8181818181818177E-2</v>
      </c>
      <c r="M2" s="24">
        <v>0</v>
      </c>
      <c r="N2" s="24">
        <v>8.59375E-2</v>
      </c>
      <c r="O2" s="24">
        <v>3.6363636363636362E-2</v>
      </c>
      <c r="P2" s="24">
        <v>2.3255813953488372E-2</v>
      </c>
    </row>
    <row r="3" spans="1:16" x14ac:dyDescent="0.3">
      <c r="A3" s="3" t="s">
        <v>54</v>
      </c>
      <c r="B3" s="11">
        <v>7.9249597256145096E-2</v>
      </c>
      <c r="C3" s="11">
        <v>5.8139534883720929E-2</v>
      </c>
      <c r="D3" s="11">
        <v>2.2727272727272728E-2</v>
      </c>
      <c r="E3" s="11">
        <v>3.7037037037037035E-2</v>
      </c>
      <c r="F3" s="11">
        <v>3.90625E-2</v>
      </c>
      <c r="G3" s="11">
        <v>5.4545454545454543E-2</v>
      </c>
      <c r="H3" s="11">
        <v>4.6511627906976744E-2</v>
      </c>
      <c r="I3" s="9">
        <v>0.13980841518127804</v>
      </c>
      <c r="J3" s="9">
        <f>J2+B3</f>
        <v>0.13980841518127804</v>
      </c>
      <c r="K3" s="9">
        <f t="shared" ref="K3:P8" si="0">K2+C3</f>
        <v>0.11627906976744186</v>
      </c>
      <c r="L3" s="9">
        <f t="shared" si="0"/>
        <v>9.0909090909090912E-2</v>
      </c>
      <c r="M3" s="9">
        <f t="shared" si="0"/>
        <v>3.7037037037037035E-2</v>
      </c>
      <c r="N3" s="9">
        <f t="shared" si="0"/>
        <v>0.125</v>
      </c>
      <c r="O3" s="9">
        <f t="shared" si="0"/>
        <v>9.0909090909090912E-2</v>
      </c>
      <c r="P3" s="9">
        <f t="shared" si="0"/>
        <v>6.9767441860465115E-2</v>
      </c>
    </row>
    <row r="4" spans="1:16" x14ac:dyDescent="0.3">
      <c r="A4" s="3" t="s">
        <v>56</v>
      </c>
      <c r="B4" s="11">
        <v>8.3043184534635966E-2</v>
      </c>
      <c r="C4" s="11">
        <v>0.15116279069767441</v>
      </c>
      <c r="D4" s="11">
        <v>4.5454545454545456E-2</v>
      </c>
      <c r="E4" s="11">
        <v>3.7037037037037035E-2</v>
      </c>
      <c r="F4" s="11">
        <v>8.59375E-2</v>
      </c>
      <c r="G4" s="11">
        <v>0.10909090909090909</v>
      </c>
      <c r="H4" s="11">
        <v>0.11627906976744186</v>
      </c>
      <c r="I4" s="9">
        <v>0.22285159971591401</v>
      </c>
      <c r="J4" s="9">
        <f t="shared" ref="J4:J8" si="1">J3+B4</f>
        <v>0.22285159971591401</v>
      </c>
      <c r="K4" s="9">
        <f t="shared" si="0"/>
        <v>0.26744186046511625</v>
      </c>
      <c r="L4" s="9">
        <f t="shared" si="0"/>
        <v>0.13636363636363635</v>
      </c>
      <c r="M4" s="9">
        <f t="shared" si="0"/>
        <v>7.407407407407407E-2</v>
      </c>
      <c r="N4" s="9">
        <f t="shared" si="0"/>
        <v>0.2109375</v>
      </c>
      <c r="O4" s="9">
        <f t="shared" si="0"/>
        <v>0.2</v>
      </c>
      <c r="P4" s="9">
        <f t="shared" si="0"/>
        <v>0.18604651162790697</v>
      </c>
    </row>
    <row r="5" spans="1:16" x14ac:dyDescent="0.3">
      <c r="A5" s="3" t="s">
        <v>60</v>
      </c>
      <c r="B5" s="11">
        <v>8.9383152315127584E-2</v>
      </c>
      <c r="C5" s="11">
        <v>0.11627906976744186</v>
      </c>
      <c r="D5" s="11">
        <v>4.5454545454545456E-2</v>
      </c>
      <c r="E5" s="11">
        <v>0.24074074074074073</v>
      </c>
      <c r="F5" s="11">
        <v>9.375E-2</v>
      </c>
      <c r="G5" s="11">
        <v>2.7272727272727271E-2</v>
      </c>
      <c r="H5" s="11">
        <v>0.11627906976744186</v>
      </c>
      <c r="I5" s="9">
        <v>0.31223475203104156</v>
      </c>
      <c r="J5" s="9">
        <f t="shared" si="1"/>
        <v>0.31223475203104156</v>
      </c>
      <c r="K5" s="9">
        <f t="shared" si="0"/>
        <v>0.3837209302325581</v>
      </c>
      <c r="L5" s="9">
        <f t="shared" si="0"/>
        <v>0.18181818181818182</v>
      </c>
      <c r="M5" s="9">
        <f t="shared" si="0"/>
        <v>0.31481481481481477</v>
      </c>
      <c r="N5" s="9">
        <f t="shared" si="0"/>
        <v>0.3046875</v>
      </c>
      <c r="O5" s="9">
        <f t="shared" si="0"/>
        <v>0.22727272727272729</v>
      </c>
      <c r="P5" s="9">
        <f t="shared" si="0"/>
        <v>0.30232558139534882</v>
      </c>
    </row>
    <row r="6" spans="1:16" x14ac:dyDescent="0.3">
      <c r="A6" s="3" t="s">
        <v>59</v>
      </c>
      <c r="B6" s="11">
        <v>0.1110187254239637</v>
      </c>
      <c r="C6" s="11">
        <v>0.12790697674418605</v>
      </c>
      <c r="D6" s="11">
        <v>4.5454545454545456E-2</v>
      </c>
      <c r="E6" s="11">
        <v>1.8518518518518517E-2</v>
      </c>
      <c r="F6" s="11">
        <v>3.90625E-2</v>
      </c>
      <c r="G6" s="11">
        <v>4.5454545454545456E-2</v>
      </c>
      <c r="H6" s="11">
        <v>0.13953488372093023</v>
      </c>
      <c r="I6" s="9">
        <v>0.42325347745500524</v>
      </c>
      <c r="J6" s="9">
        <f t="shared" si="1"/>
        <v>0.42325347745500524</v>
      </c>
      <c r="K6" s="9">
        <f t="shared" si="0"/>
        <v>0.51162790697674421</v>
      </c>
      <c r="L6" s="9">
        <f t="shared" si="0"/>
        <v>0.22727272727272729</v>
      </c>
      <c r="M6" s="9">
        <f t="shared" si="0"/>
        <v>0.33333333333333326</v>
      </c>
      <c r="N6" s="9">
        <f t="shared" si="0"/>
        <v>0.34375</v>
      </c>
      <c r="O6" s="9">
        <f t="shared" si="0"/>
        <v>0.27272727272727276</v>
      </c>
      <c r="P6" s="9">
        <f t="shared" si="0"/>
        <v>0.44186046511627908</v>
      </c>
    </row>
    <row r="7" spans="1:16" x14ac:dyDescent="0.3">
      <c r="A7" s="3" t="s">
        <v>58</v>
      </c>
      <c r="B7" s="11">
        <v>0.27301702783696236</v>
      </c>
      <c r="C7" s="11">
        <v>0.23255813953488372</v>
      </c>
      <c r="D7" s="11">
        <v>0.36363636363636365</v>
      </c>
      <c r="E7" s="11">
        <v>0.51851851851851849</v>
      </c>
      <c r="F7" s="11">
        <v>0.5234375</v>
      </c>
      <c r="G7" s="11">
        <v>0.4</v>
      </c>
      <c r="H7" s="11">
        <v>0.27906976744186046</v>
      </c>
      <c r="I7" s="9">
        <v>0.69627050529196755</v>
      </c>
      <c r="J7" s="9">
        <f t="shared" si="1"/>
        <v>0.69627050529196755</v>
      </c>
      <c r="K7" s="9">
        <f t="shared" si="0"/>
        <v>0.7441860465116279</v>
      </c>
      <c r="L7" s="9">
        <f t="shared" si="0"/>
        <v>0.59090909090909094</v>
      </c>
      <c r="M7" s="9">
        <f t="shared" si="0"/>
        <v>0.85185185185185175</v>
      </c>
      <c r="N7" s="9">
        <f t="shared" si="0"/>
        <v>0.8671875</v>
      </c>
      <c r="O7" s="9">
        <f t="shared" si="0"/>
        <v>0.67272727272727284</v>
      </c>
      <c r="P7" s="9">
        <f t="shared" si="0"/>
        <v>0.72093023255813948</v>
      </c>
    </row>
    <row r="8" spans="1:16" x14ac:dyDescent="0.3">
      <c r="A8" s="3" t="s">
        <v>57</v>
      </c>
      <c r="B8" s="11">
        <v>0.30372949470803234</v>
      </c>
      <c r="C8" s="11">
        <v>0.2558139534883721</v>
      </c>
      <c r="D8" s="11">
        <v>0.40909090909090912</v>
      </c>
      <c r="E8" s="11">
        <v>0.14814814814814814</v>
      </c>
      <c r="F8" s="11">
        <v>0.1328125</v>
      </c>
      <c r="G8" s="11">
        <v>0.32727272727272727</v>
      </c>
      <c r="H8" s="11">
        <v>0.27906976744186046</v>
      </c>
      <c r="I8" s="9">
        <v>0.99999999999999989</v>
      </c>
      <c r="J8" s="9">
        <f t="shared" si="1"/>
        <v>0.99999999999999989</v>
      </c>
      <c r="K8" s="9">
        <f t="shared" si="0"/>
        <v>1</v>
      </c>
      <c r="L8" s="9">
        <f t="shared" si="0"/>
        <v>1</v>
      </c>
      <c r="M8" s="9">
        <f t="shared" si="0"/>
        <v>0.99999999999999989</v>
      </c>
      <c r="N8" s="9">
        <f t="shared" si="0"/>
        <v>1</v>
      </c>
      <c r="O8" s="9">
        <f t="shared" si="0"/>
        <v>1</v>
      </c>
      <c r="P8" s="9">
        <f t="shared" si="0"/>
        <v>1</v>
      </c>
    </row>
    <row r="10" spans="1:16" ht="28.8" x14ac:dyDescent="0.3">
      <c r="B10" s="1" t="s">
        <v>24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37</v>
      </c>
      <c r="J10" s="3"/>
      <c r="K10" s="13" t="s">
        <v>38</v>
      </c>
      <c r="L10" s="13" t="s">
        <v>39</v>
      </c>
      <c r="M10" s="13" t="s">
        <v>40</v>
      </c>
      <c r="N10" s="13" t="s">
        <v>41</v>
      </c>
      <c r="O10" s="13" t="s">
        <v>42</v>
      </c>
      <c r="P10" s="13" t="s">
        <v>43</v>
      </c>
    </row>
    <row r="11" spans="1:16" x14ac:dyDescent="0.3">
      <c r="B11" s="3" t="s">
        <v>55</v>
      </c>
      <c r="C11" s="9">
        <f>C2-B2</f>
        <v>-2.4192830414120209E-3</v>
      </c>
      <c r="D11" s="9">
        <f>D2-B2</f>
        <v>7.6230002566852265E-3</v>
      </c>
      <c r="E11" s="9">
        <f>E2-B2</f>
        <v>-6.055881792513295E-2</v>
      </c>
      <c r="F11" s="9">
        <f>F2-B2</f>
        <v>2.537868207486705E-2</v>
      </c>
      <c r="G11" s="9">
        <f>G2-B2</f>
        <v>-2.4195181561496588E-2</v>
      </c>
      <c r="H11" s="9">
        <f>H2-B2</f>
        <v>-3.7303003971644579E-2</v>
      </c>
      <c r="J11" s="3" t="s">
        <v>55</v>
      </c>
      <c r="K11" s="3">
        <f>(J2-0) * ((K2+0))</f>
        <v>3.5208615072751717E-3</v>
      </c>
      <c r="L11" s="3">
        <f>(J2-0) * ((L2+0))</f>
        <v>4.1290103130772462E-3</v>
      </c>
      <c r="M11" s="3">
        <f>(J2-0) * ((M2+0))</f>
        <v>0</v>
      </c>
      <c r="N11" s="3">
        <f>(J2-0) * ((N2+0))</f>
        <v>5.2042734154411126E-3</v>
      </c>
      <c r="O11" s="3">
        <f>(J2-0) * ((O2+0))</f>
        <v>2.2021388336411979E-3</v>
      </c>
      <c r="P11" s="3">
        <f>(J2-0) * ((P2+0))</f>
        <v>1.4083446029100686E-3</v>
      </c>
    </row>
    <row r="12" spans="1:16" x14ac:dyDescent="0.3">
      <c r="B12" s="3" t="s">
        <v>54</v>
      </c>
      <c r="C12" s="9">
        <f t="shared" ref="C12:C17" si="2">C3-B3</f>
        <v>-2.1110062372424167E-2</v>
      </c>
      <c r="D12" s="9">
        <f t="shared" ref="D12:D17" si="3">D3-B3</f>
        <v>-5.6522324528872368E-2</v>
      </c>
      <c r="E12" s="9">
        <f t="shared" ref="E12:E17" si="4">E3-B3</f>
        <v>-4.2212560219108061E-2</v>
      </c>
      <c r="F12" s="9">
        <f t="shared" ref="F12:F17" si="5">F3-B3</f>
        <v>-4.0187097256145096E-2</v>
      </c>
      <c r="G12" s="9">
        <f t="shared" ref="G12:G17" si="6">G3-B3</f>
        <v>-2.4704142710690553E-2</v>
      </c>
      <c r="H12" s="9">
        <f t="shared" ref="H12:H17" si="7">H3-B3</f>
        <v>-3.2737969349168353E-2</v>
      </c>
      <c r="J12" s="3" t="s">
        <v>54</v>
      </c>
      <c r="K12" s="3">
        <f>(J3-J2) * ((K3+K2))</f>
        <v>1.3822604172583445E-2</v>
      </c>
      <c r="L12" s="3">
        <f>(J3-J2) * ((L3+L2))</f>
        <v>1.2607890472568536E-2</v>
      </c>
      <c r="M12" s="3">
        <f>(J3-J2) * ((M3+M2))</f>
        <v>2.9351702687461139E-3</v>
      </c>
      <c r="N12" s="3">
        <f>(J3-J2) * ((N3+N2))</f>
        <v>1.6716711921218104E-2</v>
      </c>
      <c r="O12" s="3">
        <f>(J3-J2) * ((O3+O2))</f>
        <v>1.0086312378054827E-2</v>
      </c>
      <c r="P12" s="3">
        <f>(J3-J2) * ((P3+P2))</f>
        <v>7.37205555871117E-3</v>
      </c>
    </row>
    <row r="13" spans="1:16" x14ac:dyDescent="0.3">
      <c r="B13" s="3" t="s">
        <v>56</v>
      </c>
      <c r="C13" s="9">
        <f t="shared" si="2"/>
        <v>6.8119606163038443E-2</v>
      </c>
      <c r="D13" s="9">
        <f t="shared" si="3"/>
        <v>-3.7588639080090511E-2</v>
      </c>
      <c r="E13" s="9">
        <f t="shared" si="4"/>
        <v>-4.6006147497598932E-2</v>
      </c>
      <c r="F13" s="9">
        <f t="shared" si="5"/>
        <v>2.8943154653640335E-3</v>
      </c>
      <c r="G13" s="9">
        <f t="shared" si="6"/>
        <v>2.6047724556273119E-2</v>
      </c>
      <c r="H13" s="9">
        <f t="shared" si="7"/>
        <v>3.3235885232805892E-2</v>
      </c>
      <c r="J13" s="3" t="s">
        <v>56</v>
      </c>
      <c r="K13" s="3">
        <f t="shared" ref="K13:K17" si="8">(J4-J3) * ((K4+K3))</f>
        <v>3.1865408019104494E-2</v>
      </c>
      <c r="L13" s="3">
        <f t="shared" ref="L13:L17" si="9">(J4-J3) * ((L4+L3))</f>
        <v>1.8873451030599082E-2</v>
      </c>
      <c r="M13" s="3">
        <f t="shared" ref="M13:M17" si="10">(J4-J3) * ((M4+M3))</f>
        <v>9.2270205038484394E-3</v>
      </c>
      <c r="N13" s="3">
        <f t="shared" ref="N13:N17" si="11">(J4-J3) * ((N4+N3))</f>
        <v>2.7897319804604269E-2</v>
      </c>
      <c r="O13" s="3">
        <f t="shared" ref="O13:O17" si="12">(J4-J3) * ((O4+O3))</f>
        <v>2.4158017319166825E-2</v>
      </c>
      <c r="P13" s="3">
        <f t="shared" ref="P13:P17" si="13">(J4-J3) * ((P4+P3))</f>
        <v>2.1243605346069668E-2</v>
      </c>
    </row>
    <row r="14" spans="1:16" x14ac:dyDescent="0.3">
      <c r="B14" s="3" t="s">
        <v>60</v>
      </c>
      <c r="C14" s="9">
        <f t="shared" si="2"/>
        <v>2.6895917452314275E-2</v>
      </c>
      <c r="D14" s="9">
        <f t="shared" si="3"/>
        <v>-4.3928606860582128E-2</v>
      </c>
      <c r="E14" s="9">
        <f t="shared" si="4"/>
        <v>0.15135758842561314</v>
      </c>
      <c r="F14" s="9">
        <f t="shared" si="5"/>
        <v>4.3668476848724158E-3</v>
      </c>
      <c r="G14" s="9">
        <f t="shared" si="6"/>
        <v>-6.2110425042400316E-2</v>
      </c>
      <c r="H14" s="9">
        <f t="shared" si="7"/>
        <v>2.6895917452314275E-2</v>
      </c>
      <c r="J14" s="3" t="s">
        <v>60</v>
      </c>
      <c r="K14" s="3">
        <f t="shared" si="8"/>
        <v>5.8202982902873755E-2</v>
      </c>
      <c r="L14" s="3">
        <f t="shared" si="9"/>
        <v>2.8440093918449677E-2</v>
      </c>
      <c r="M14" s="3">
        <f t="shared" si="10"/>
        <v>3.476011478921627E-2</v>
      </c>
      <c r="N14" s="3">
        <f t="shared" si="11"/>
        <v>4.6088187912487644E-2</v>
      </c>
      <c r="O14" s="3">
        <f t="shared" si="12"/>
        <v>3.8190983261918138E-2</v>
      </c>
      <c r="P14" s="3">
        <f t="shared" si="13"/>
        <v>4.3652237177155315E-2</v>
      </c>
    </row>
    <row r="15" spans="1:16" x14ac:dyDescent="0.3">
      <c r="B15" s="3" t="s">
        <v>59</v>
      </c>
      <c r="C15" s="9">
        <f t="shared" si="2"/>
        <v>1.6888251320222356E-2</v>
      </c>
      <c r="D15" s="9">
        <f t="shared" si="3"/>
        <v>-6.556417996941824E-2</v>
      </c>
      <c r="E15" s="9">
        <f t="shared" si="4"/>
        <v>-9.2500206905445179E-2</v>
      </c>
      <c r="F15" s="9">
        <f t="shared" si="5"/>
        <v>-7.1956225423963696E-2</v>
      </c>
      <c r="G15" s="9">
        <f t="shared" si="6"/>
        <v>-6.556417996941824E-2</v>
      </c>
      <c r="H15" s="9">
        <f t="shared" si="7"/>
        <v>2.8516158296966534E-2</v>
      </c>
      <c r="J15" s="3" t="s">
        <v>59</v>
      </c>
      <c r="K15" s="3">
        <f t="shared" si="8"/>
        <v>9.9400486716804695E-2</v>
      </c>
      <c r="L15" s="3">
        <f t="shared" si="9"/>
        <v>4.5416751309803327E-2</v>
      </c>
      <c r="M15" s="3">
        <f t="shared" si="10"/>
        <v>7.1956581293309785E-2</v>
      </c>
      <c r="N15" s="3">
        <f t="shared" si="11"/>
        <v>7.1988704767101452E-2</v>
      </c>
      <c r="O15" s="3">
        <f t="shared" si="12"/>
        <v>5.5509362711981841E-2</v>
      </c>
      <c r="P15" s="3">
        <f t="shared" si="13"/>
        <v>8.2618586362019478E-2</v>
      </c>
    </row>
    <row r="16" spans="1:16" x14ac:dyDescent="0.3">
      <c r="B16" s="3" t="s">
        <v>58</v>
      </c>
      <c r="C16" s="9">
        <f t="shared" si="2"/>
        <v>-4.0458888302078638E-2</v>
      </c>
      <c r="D16" s="9">
        <f t="shared" si="3"/>
        <v>9.061933579940129E-2</v>
      </c>
      <c r="E16" s="9">
        <f t="shared" si="4"/>
        <v>0.24550149068155613</v>
      </c>
      <c r="F16" s="9">
        <f t="shared" si="5"/>
        <v>0.25042047216303764</v>
      </c>
      <c r="G16" s="9">
        <f t="shared" si="6"/>
        <v>0.12698297216303767</v>
      </c>
      <c r="H16" s="9">
        <f t="shared" si="7"/>
        <v>6.0527396048981053E-3</v>
      </c>
      <c r="J16" s="3" t="s">
        <v>58</v>
      </c>
      <c r="K16" s="3">
        <f t="shared" si="8"/>
        <v>0.34285859309758054</v>
      </c>
      <c r="L16" s="3">
        <f t="shared" si="9"/>
        <v>0.22337756823024191</v>
      </c>
      <c r="M16" s="3">
        <f t="shared" si="10"/>
        <v>0.32357573669565898</v>
      </c>
      <c r="N16" s="3">
        <f t="shared" si="11"/>
        <v>0.33060655714632153</v>
      </c>
      <c r="O16" s="3">
        <f t="shared" si="12"/>
        <v>0.25812518995494621</v>
      </c>
      <c r="P16" s="3">
        <f t="shared" si="13"/>
        <v>0.31746166027553752</v>
      </c>
    </row>
    <row r="17" spans="2:16" x14ac:dyDescent="0.3">
      <c r="B17" s="3" t="s">
        <v>57</v>
      </c>
      <c r="C17" s="9">
        <f t="shared" si="2"/>
        <v>-4.791554121966024E-2</v>
      </c>
      <c r="D17" s="9">
        <f t="shared" si="3"/>
        <v>0.10536141438287677</v>
      </c>
      <c r="E17" s="9">
        <f t="shared" si="4"/>
        <v>-0.1555813465598842</v>
      </c>
      <c r="F17" s="9">
        <f t="shared" si="5"/>
        <v>-0.17091699470803234</v>
      </c>
      <c r="G17" s="9">
        <f t="shared" si="6"/>
        <v>2.3543232564694927E-2</v>
      </c>
      <c r="H17" s="9">
        <f t="shared" si="7"/>
        <v>-2.4659727266171882E-2</v>
      </c>
      <c r="J17" s="3" t="s">
        <v>57</v>
      </c>
      <c r="K17" s="3">
        <f t="shared" si="8"/>
        <v>0.52976074658377736</v>
      </c>
      <c r="L17" s="3">
        <f t="shared" si="9"/>
        <v>0.48320601430823323</v>
      </c>
      <c r="M17" s="3">
        <f t="shared" si="10"/>
        <v>0.56246202723709682</v>
      </c>
      <c r="N17" s="3">
        <f t="shared" si="11"/>
        <v>0.56711991590015409</v>
      </c>
      <c r="O17" s="3">
        <f t="shared" si="12"/>
        <v>0.50805660932979957</v>
      </c>
      <c r="P17" s="3">
        <f t="shared" si="13"/>
        <v>0.5226972699626603</v>
      </c>
    </row>
    <row r="18" spans="2:16" x14ac:dyDescent="0.3">
      <c r="J18" s="14" t="s">
        <v>44</v>
      </c>
      <c r="K18" s="13">
        <f>SUM(K11:K17)</f>
        <v>1.0794316829999995</v>
      </c>
      <c r="L18" s="13">
        <f t="shared" ref="L18:P18" si="14">SUM(L11:L17)</f>
        <v>0.81605077958297301</v>
      </c>
      <c r="M18" s="13">
        <f t="shared" si="14"/>
        <v>1.0049166507878764</v>
      </c>
      <c r="N18" s="13">
        <f t="shared" si="14"/>
        <v>1.0656216708673281</v>
      </c>
      <c r="O18" s="13">
        <f t="shared" si="14"/>
        <v>0.89632861378950857</v>
      </c>
      <c r="P18" s="13">
        <f t="shared" si="14"/>
        <v>0.99645375928506352</v>
      </c>
    </row>
    <row r="19" spans="2:16" x14ac:dyDescent="0.3">
      <c r="J19" s="15" t="s">
        <v>45</v>
      </c>
      <c r="K19" s="16">
        <f>1-K18</f>
        <v>-7.9431682999999476E-2</v>
      </c>
      <c r="L19" s="16">
        <f t="shared" ref="L19:P19" si="15">1-L18</f>
        <v>0.18394922041702699</v>
      </c>
      <c r="M19" s="16">
        <f t="shared" si="15"/>
        <v>-4.9166507878763976E-3</v>
      </c>
      <c r="N19" s="16">
        <f t="shared" si="15"/>
        <v>-6.5621670867328064E-2</v>
      </c>
      <c r="O19" s="16">
        <f t="shared" si="15"/>
        <v>0.10367138621049143</v>
      </c>
      <c r="P19" s="16">
        <f t="shared" si="15"/>
        <v>3.5462407149364772E-3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F1AF-9E1F-4058-8B15-79030D089122}">
  <dimension ref="A1:P21"/>
  <sheetViews>
    <sheetView zoomScale="90" zoomScaleNormal="90"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9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8" t="s">
        <v>26</v>
      </c>
      <c r="L1" s="8" t="s">
        <v>27</v>
      </c>
      <c r="M1" s="8" t="s">
        <v>28</v>
      </c>
      <c r="N1" s="7" t="s">
        <v>29</v>
      </c>
      <c r="O1" s="8" t="s">
        <v>30</v>
      </c>
      <c r="P1" s="8" t="s">
        <v>31</v>
      </c>
    </row>
    <row r="2" spans="1:16" x14ac:dyDescent="0.3">
      <c r="A2" s="3" t="s">
        <v>66</v>
      </c>
      <c r="B2" s="11">
        <v>3.8139868606919439E-2</v>
      </c>
      <c r="C2" s="11">
        <v>0.1171875</v>
      </c>
      <c r="D2" s="11">
        <v>0</v>
      </c>
      <c r="E2" s="11">
        <v>1.098901098901099E-2</v>
      </c>
      <c r="F2" s="11">
        <v>2.1164021164021163E-2</v>
      </c>
      <c r="G2" s="11">
        <v>2.7586206896551724E-2</v>
      </c>
      <c r="H2" s="11">
        <v>7.6923076923076927E-2</v>
      </c>
      <c r="I2" s="9">
        <v>3.8139868606919439E-2</v>
      </c>
      <c r="J2" s="24">
        <v>3.8139868606919439E-2</v>
      </c>
      <c r="K2" s="24">
        <v>0.1171875</v>
      </c>
      <c r="L2" s="24">
        <v>0</v>
      </c>
      <c r="M2" s="24">
        <v>1.098901098901099E-2</v>
      </c>
      <c r="N2" s="24">
        <v>2.1164021164021163E-2</v>
      </c>
      <c r="O2" s="24">
        <v>2.7586206896551724E-2</v>
      </c>
      <c r="P2" s="24">
        <v>7.6923076923076927E-2</v>
      </c>
    </row>
    <row r="3" spans="1:16" x14ac:dyDescent="0.3">
      <c r="A3" s="3" t="s">
        <v>63</v>
      </c>
      <c r="B3" s="11">
        <v>4.2411264826565619E-2</v>
      </c>
      <c r="C3" s="11">
        <v>7.8125E-3</v>
      </c>
      <c r="D3" s="11">
        <v>1.5151515151515152E-2</v>
      </c>
      <c r="E3" s="11">
        <v>0</v>
      </c>
      <c r="F3" s="11">
        <v>5.2910052910052907E-3</v>
      </c>
      <c r="G3" s="11">
        <v>9.6551724137931033E-2</v>
      </c>
      <c r="H3" s="11">
        <v>0.13846153846153847</v>
      </c>
      <c r="I3" s="9">
        <v>8.055113343348505E-2</v>
      </c>
      <c r="J3" s="9">
        <f t="shared" ref="J3:P9" si="0">J2+B3</f>
        <v>8.055113343348505E-2</v>
      </c>
      <c r="K3" s="9">
        <f t="shared" si="0"/>
        <v>0.125</v>
      </c>
      <c r="L3" s="20">
        <f t="shared" si="0"/>
        <v>1.5151515151515152E-2</v>
      </c>
      <c r="M3" s="9">
        <f t="shared" si="0"/>
        <v>1.098901098901099E-2</v>
      </c>
      <c r="N3" s="9">
        <f t="shared" si="0"/>
        <v>2.6455026455026454E-2</v>
      </c>
      <c r="O3" s="9">
        <f t="shared" si="0"/>
        <v>0.12413793103448276</v>
      </c>
      <c r="P3" s="9">
        <f t="shared" si="0"/>
        <v>0.2153846153846154</v>
      </c>
    </row>
    <row r="4" spans="1:16" x14ac:dyDescent="0.3">
      <c r="A4" s="3" t="s">
        <v>65</v>
      </c>
      <c r="B4" s="11">
        <v>5.6346554855490033E-2</v>
      </c>
      <c r="C4" s="11">
        <v>5.46875E-2</v>
      </c>
      <c r="D4" s="11">
        <v>0.10606060606060606</v>
      </c>
      <c r="E4" s="11">
        <v>0</v>
      </c>
      <c r="F4" s="11">
        <v>3.1746031746031744E-2</v>
      </c>
      <c r="G4" s="11">
        <v>8.2758620689655171E-2</v>
      </c>
      <c r="H4" s="11">
        <v>0.12307692307692308</v>
      </c>
      <c r="I4" s="9">
        <v>0.13689768828897508</v>
      </c>
      <c r="J4" s="9">
        <f t="shared" si="0"/>
        <v>0.13689768828897508</v>
      </c>
      <c r="K4" s="9">
        <f t="shared" si="0"/>
        <v>0.1796875</v>
      </c>
      <c r="L4" s="20">
        <f t="shared" si="0"/>
        <v>0.12121212121212122</v>
      </c>
      <c r="M4" s="9">
        <f t="shared" si="0"/>
        <v>1.098901098901099E-2</v>
      </c>
      <c r="N4" s="9">
        <f t="shared" si="0"/>
        <v>5.8201058201058198E-2</v>
      </c>
      <c r="O4" s="9">
        <f t="shared" si="0"/>
        <v>0.20689655172413793</v>
      </c>
      <c r="P4" s="9">
        <f t="shared" si="0"/>
        <v>0.33846153846153848</v>
      </c>
    </row>
    <row r="5" spans="1:16" x14ac:dyDescent="0.3">
      <c r="A5" s="3" t="s">
        <v>68</v>
      </c>
      <c r="B5" s="11">
        <v>6.0830960335433532E-2</v>
      </c>
      <c r="C5" s="11">
        <v>0.1171875</v>
      </c>
      <c r="D5" s="11">
        <v>9.0909090909090912E-2</v>
      </c>
      <c r="E5" s="11">
        <v>0.16483516483516483</v>
      </c>
      <c r="F5" s="11">
        <v>8.4656084656084651E-2</v>
      </c>
      <c r="G5" s="11">
        <v>7.586206896551724E-2</v>
      </c>
      <c r="H5" s="11">
        <v>6.1538461538461542E-2</v>
      </c>
      <c r="I5" s="9">
        <v>0.19772864862440861</v>
      </c>
      <c r="J5" s="9">
        <f t="shared" si="0"/>
        <v>0.19772864862440861</v>
      </c>
      <c r="K5" s="9">
        <f t="shared" si="0"/>
        <v>0.296875</v>
      </c>
      <c r="L5" s="20">
        <f t="shared" si="0"/>
        <v>0.21212121212121213</v>
      </c>
      <c r="M5" s="9">
        <f t="shared" si="0"/>
        <v>0.17582417582417581</v>
      </c>
      <c r="N5" s="9">
        <f t="shared" si="0"/>
        <v>0.14285714285714285</v>
      </c>
      <c r="O5" s="9">
        <f t="shared" si="0"/>
        <v>0.28275862068965518</v>
      </c>
      <c r="P5" s="9">
        <f t="shared" si="0"/>
        <v>0.4</v>
      </c>
    </row>
    <row r="6" spans="1:16" x14ac:dyDescent="0.3">
      <c r="A6" s="3" t="s">
        <v>67</v>
      </c>
      <c r="B6" s="11">
        <v>6.8095697212941994E-2</v>
      </c>
      <c r="C6" s="11">
        <v>0.1640625</v>
      </c>
      <c r="D6" s="11">
        <v>0.10606060606060606</v>
      </c>
      <c r="E6" s="11">
        <v>0.14285714285714285</v>
      </c>
      <c r="F6" s="11">
        <v>0.13756613756613756</v>
      </c>
      <c r="G6" s="11">
        <v>6.2068965517241378E-2</v>
      </c>
      <c r="H6" s="11">
        <v>6.1538461538461542E-2</v>
      </c>
      <c r="I6" s="9">
        <v>0.2658243458373506</v>
      </c>
      <c r="J6" s="9">
        <f t="shared" si="0"/>
        <v>0.2658243458373506</v>
      </c>
      <c r="K6" s="9">
        <f t="shared" si="0"/>
        <v>0.4609375</v>
      </c>
      <c r="L6" s="20">
        <f t="shared" si="0"/>
        <v>0.31818181818181818</v>
      </c>
      <c r="M6" s="9">
        <f t="shared" si="0"/>
        <v>0.31868131868131866</v>
      </c>
      <c r="N6" s="9">
        <f t="shared" si="0"/>
        <v>0.28042328042328041</v>
      </c>
      <c r="O6" s="9">
        <f t="shared" si="0"/>
        <v>0.34482758620689657</v>
      </c>
      <c r="P6" s="9">
        <f t="shared" si="0"/>
        <v>0.46153846153846156</v>
      </c>
    </row>
    <row r="7" spans="1:16" x14ac:dyDescent="0.3">
      <c r="A7" s="3" t="s">
        <v>61</v>
      </c>
      <c r="B7" s="11">
        <v>0.19502679432274267</v>
      </c>
      <c r="C7" s="11">
        <v>0.3984375</v>
      </c>
      <c r="D7" s="11">
        <v>0.45454545454545453</v>
      </c>
      <c r="E7" s="11">
        <v>0.37362637362637363</v>
      </c>
      <c r="F7" s="11">
        <v>0.25396825396825395</v>
      </c>
      <c r="G7" s="11">
        <v>0.19310344827586207</v>
      </c>
      <c r="H7" s="11">
        <v>0.2</v>
      </c>
      <c r="I7" s="9">
        <v>0.46085114016009326</v>
      </c>
      <c r="J7" s="9">
        <f t="shared" si="0"/>
        <v>0.46085114016009326</v>
      </c>
      <c r="K7" s="9">
        <f t="shared" si="0"/>
        <v>0.859375</v>
      </c>
      <c r="L7" s="20">
        <f t="shared" si="0"/>
        <v>0.77272727272727271</v>
      </c>
      <c r="M7" s="9">
        <f t="shared" si="0"/>
        <v>0.69230769230769229</v>
      </c>
      <c r="N7" s="9">
        <f t="shared" si="0"/>
        <v>0.53439153439153442</v>
      </c>
      <c r="O7" s="9">
        <f t="shared" si="0"/>
        <v>0.53793103448275859</v>
      </c>
      <c r="P7" s="9">
        <f t="shared" si="0"/>
        <v>0.66153846153846163</v>
      </c>
    </row>
    <row r="8" spans="1:16" x14ac:dyDescent="0.3">
      <c r="A8" s="3" t="s">
        <v>64</v>
      </c>
      <c r="B8" s="11">
        <v>0.25757303975425461</v>
      </c>
      <c r="C8" s="11">
        <v>5.46875E-2</v>
      </c>
      <c r="D8" s="11">
        <v>3.0303030303030304E-2</v>
      </c>
      <c r="E8" s="11">
        <v>0.13186813186813187</v>
      </c>
      <c r="F8" s="11">
        <v>0.13756613756613756</v>
      </c>
      <c r="G8" s="11">
        <v>0.18620689655172415</v>
      </c>
      <c r="H8" s="11">
        <v>7.6923076923076927E-2</v>
      </c>
      <c r="I8" s="9">
        <v>0.71842417991434782</v>
      </c>
      <c r="J8" s="9">
        <f t="shared" si="0"/>
        <v>0.71842417991434782</v>
      </c>
      <c r="K8" s="9">
        <f t="shared" si="0"/>
        <v>0.9140625</v>
      </c>
      <c r="L8" s="20">
        <f t="shared" si="0"/>
        <v>0.80303030303030298</v>
      </c>
      <c r="M8" s="9">
        <f t="shared" si="0"/>
        <v>0.82417582417582413</v>
      </c>
      <c r="N8" s="9">
        <f t="shared" si="0"/>
        <v>0.67195767195767198</v>
      </c>
      <c r="O8" s="9">
        <f t="shared" si="0"/>
        <v>0.72413793103448276</v>
      </c>
      <c r="P8" s="9">
        <f t="shared" si="0"/>
        <v>0.7384615384615385</v>
      </c>
    </row>
    <row r="9" spans="1:16" x14ac:dyDescent="0.3">
      <c r="A9" s="3" t="s">
        <v>62</v>
      </c>
      <c r="B9" s="11">
        <v>0.28157582008565213</v>
      </c>
      <c r="C9" s="11">
        <v>8.59375E-2</v>
      </c>
      <c r="D9" s="11">
        <v>0.19696969696969696</v>
      </c>
      <c r="E9" s="11">
        <v>0.17582417582417584</v>
      </c>
      <c r="F9" s="11">
        <v>0.32804232804232802</v>
      </c>
      <c r="G9" s="11">
        <v>0.27586206896551724</v>
      </c>
      <c r="H9" s="11">
        <v>0.26153846153846155</v>
      </c>
      <c r="I9" s="9">
        <v>1</v>
      </c>
      <c r="J9" s="9">
        <f t="shared" si="0"/>
        <v>1</v>
      </c>
      <c r="K9" s="9">
        <f t="shared" si="0"/>
        <v>1</v>
      </c>
      <c r="L9" s="20">
        <f t="shared" si="0"/>
        <v>1</v>
      </c>
      <c r="M9" s="9">
        <f t="shared" si="0"/>
        <v>1</v>
      </c>
      <c r="N9" s="9">
        <f t="shared" si="0"/>
        <v>1</v>
      </c>
      <c r="O9" s="9">
        <f t="shared" si="0"/>
        <v>1</v>
      </c>
      <c r="P9" s="9">
        <f t="shared" si="0"/>
        <v>1</v>
      </c>
    </row>
    <row r="11" spans="1:16" ht="28.8" x14ac:dyDescent="0.3">
      <c r="B11" s="1" t="s">
        <v>24</v>
      </c>
      <c r="C11" s="2" t="s">
        <v>32</v>
      </c>
      <c r="D11" s="2" t="s">
        <v>33</v>
      </c>
      <c r="E11" s="2" t="s">
        <v>34</v>
      </c>
      <c r="F11" s="2" t="s">
        <v>35</v>
      </c>
      <c r="G11" s="2" t="s">
        <v>36</v>
      </c>
      <c r="H11" s="2" t="s">
        <v>37</v>
      </c>
      <c r="J11" s="3"/>
      <c r="K11" s="13" t="s">
        <v>38</v>
      </c>
      <c r="L11" s="13" t="s">
        <v>39</v>
      </c>
      <c r="M11" s="13" t="s">
        <v>40</v>
      </c>
      <c r="N11" s="13" t="s">
        <v>41</v>
      </c>
      <c r="O11" s="13" t="s">
        <v>42</v>
      </c>
      <c r="P11" s="13" t="s">
        <v>43</v>
      </c>
    </row>
    <row r="12" spans="1:16" x14ac:dyDescent="0.3">
      <c r="B12" s="3" t="s">
        <v>66</v>
      </c>
      <c r="C12" s="9">
        <f>C2-B2</f>
        <v>7.9047631393080561E-2</v>
      </c>
      <c r="D12" s="9">
        <f>D2-B2</f>
        <v>-3.8139868606919439E-2</v>
      </c>
      <c r="E12" s="9">
        <f>E2-B2</f>
        <v>-2.7150857617908447E-2</v>
      </c>
      <c r="F12" s="9">
        <f>F2-B2</f>
        <v>-1.6975847442898276E-2</v>
      </c>
      <c r="G12" s="9">
        <f>G2-B2</f>
        <v>-1.0553661710367715E-2</v>
      </c>
      <c r="H12" s="9">
        <f>H2-B2</f>
        <v>3.8783208316157489E-2</v>
      </c>
      <c r="J12" s="3" t="s">
        <v>66</v>
      </c>
      <c r="K12" s="3">
        <f>(J2-0) * ((K2+0))</f>
        <v>4.4695158523733718E-3</v>
      </c>
      <c r="L12" s="3">
        <f>(J2-0) * ((L2+0))</f>
        <v>0</v>
      </c>
      <c r="M12" s="3">
        <f>(J2-0) * ((M2+0))</f>
        <v>4.1911943524087299E-4</v>
      </c>
      <c r="N12" s="3">
        <f>(J2-0) * ((N2+0))</f>
        <v>8.0719298638982939E-4</v>
      </c>
      <c r="O12" s="3">
        <f>(J2-0) * ((O2+0))</f>
        <v>1.0521343063977775E-3</v>
      </c>
      <c r="P12" s="3">
        <f>(J2-0) * ((P2+0))</f>
        <v>2.9338360466861107E-3</v>
      </c>
    </row>
    <row r="13" spans="1:16" x14ac:dyDescent="0.3">
      <c r="B13" s="3" t="s">
        <v>63</v>
      </c>
      <c r="C13" s="9">
        <f t="shared" ref="C13:C19" si="1">C3-B3</f>
        <v>-3.4598764826565619E-2</v>
      </c>
      <c r="D13" s="9">
        <f t="shared" ref="D13:D19" si="2">D3-B3</f>
        <v>-2.7259749675050467E-2</v>
      </c>
      <c r="E13" s="9">
        <f t="shared" ref="E13:E19" si="3">E3-B3</f>
        <v>-4.2411264826565619E-2</v>
      </c>
      <c r="F13" s="9">
        <f t="shared" ref="F13:F19" si="4">F3-B3</f>
        <v>-3.7120259535560328E-2</v>
      </c>
      <c r="G13" s="9">
        <f t="shared" ref="G13:G19" si="5">G3-B3</f>
        <v>5.4140459311365415E-2</v>
      </c>
      <c r="H13" s="9">
        <f t="shared" ref="H13:H19" si="6">H3-B3</f>
        <v>9.6050273634972844E-2</v>
      </c>
      <c r="J13" s="3" t="s">
        <v>63</v>
      </c>
      <c r="K13" s="3">
        <f>(J3-J2) * ((K3+K2))</f>
        <v>1.027147820018386E-2</v>
      </c>
      <c r="L13" s="3">
        <f>(J3-J2) * ((L3+L2))</f>
        <v>6.4259492161463044E-4</v>
      </c>
      <c r="M13" s="3">
        <f>(J3-J2) * ((M3+M2))</f>
        <v>9.3211571047396955E-4</v>
      </c>
      <c r="N13" s="3">
        <f>(J3-J2) * ((N3+N2))</f>
        <v>2.0195840393602673E-3</v>
      </c>
      <c r="O13" s="3">
        <f>(J3-J2) * ((O3+O2))</f>
        <v>6.4348125943754723E-3</v>
      </c>
      <c r="P13" s="3">
        <f>(J3-J2) * ((P3+P2))</f>
        <v>1.2397138949303796E-2</v>
      </c>
    </row>
    <row r="14" spans="1:16" x14ac:dyDescent="0.3">
      <c r="B14" s="3" t="s">
        <v>65</v>
      </c>
      <c r="C14" s="9">
        <f t="shared" si="1"/>
        <v>-1.6590548554900331E-3</v>
      </c>
      <c r="D14" s="9">
        <f t="shared" si="2"/>
        <v>4.971405120511603E-2</v>
      </c>
      <c r="E14" s="9">
        <f t="shared" si="3"/>
        <v>-5.6346554855490033E-2</v>
      </c>
      <c r="F14" s="9">
        <f t="shared" si="4"/>
        <v>-2.4600523109458289E-2</v>
      </c>
      <c r="G14" s="9">
        <f t="shared" si="5"/>
        <v>2.6412065834165138E-2</v>
      </c>
      <c r="H14" s="9">
        <f t="shared" si="6"/>
        <v>6.6730368221433051E-2</v>
      </c>
      <c r="J14" s="3" t="s">
        <v>65</v>
      </c>
      <c r="K14" s="3">
        <f t="shared" ref="K14:K19" si="7">(J4-J3) * ((K4+K3))</f>
        <v>1.7168090932532118E-2</v>
      </c>
      <c r="L14" s="3">
        <f t="shared" ref="L14:L19" si="8">(J4-J3) * ((L4+L3))</f>
        <v>7.6836211166577311E-3</v>
      </c>
      <c r="M14" s="3">
        <f t="shared" ref="M14:M19" si="9">(J4-J3) * ((M4+M3))</f>
        <v>1.238385820999781E-3</v>
      </c>
      <c r="N14" s="3">
        <f t="shared" ref="N14:N19" si="10">(J4-J3) * ((N4+N3))</f>
        <v>4.7700787179250819E-3</v>
      </c>
      <c r="O14" s="3">
        <f t="shared" ref="O14:O19" si="11">(J4-J3) * ((O4+O3))</f>
        <v>1.865265264181739E-2</v>
      </c>
      <c r="P14" s="3">
        <f t="shared" ref="P14:P19" si="12">(J4-J3) * ((P4+P3))</f>
        <v>3.1207322689194482E-2</v>
      </c>
    </row>
    <row r="15" spans="1:16" x14ac:dyDescent="0.3">
      <c r="B15" s="3" t="s">
        <v>68</v>
      </c>
      <c r="C15" s="9">
        <f t="shared" si="1"/>
        <v>5.6356539664566468E-2</v>
      </c>
      <c r="D15" s="9">
        <f t="shared" si="2"/>
        <v>3.007813057365738E-2</v>
      </c>
      <c r="E15" s="9">
        <f t="shared" si="3"/>
        <v>0.1040042044997313</v>
      </c>
      <c r="F15" s="9">
        <f t="shared" si="4"/>
        <v>2.382512432065112E-2</v>
      </c>
      <c r="G15" s="9">
        <f t="shared" si="5"/>
        <v>1.5031108630083709E-2</v>
      </c>
      <c r="H15" s="9">
        <f t="shared" si="6"/>
        <v>7.0750120302801034E-4</v>
      </c>
      <c r="J15" s="3" t="s">
        <v>68</v>
      </c>
      <c r="K15" s="3">
        <f t="shared" si="7"/>
        <v>2.8989754534855042E-2</v>
      </c>
      <c r="L15" s="3">
        <f t="shared" si="8"/>
        <v>2.0276986778477845E-2</v>
      </c>
      <c r="M15" s="3">
        <f t="shared" si="9"/>
        <v>1.1364025557168899E-2</v>
      </c>
      <c r="N15" s="3">
        <f t="shared" si="10"/>
        <v>1.2230563453685048E-2</v>
      </c>
      <c r="O15" s="3">
        <f t="shared" si="11"/>
        <v>2.9786194371143312E-2</v>
      </c>
      <c r="P15" s="3">
        <f t="shared" si="12"/>
        <v>4.4921324555397074E-2</v>
      </c>
    </row>
    <row r="16" spans="1:16" x14ac:dyDescent="0.3">
      <c r="B16" s="3" t="s">
        <v>67</v>
      </c>
      <c r="C16" s="9">
        <f t="shared" si="1"/>
        <v>9.5966802787058006E-2</v>
      </c>
      <c r="D16" s="9">
        <f t="shared" si="2"/>
        <v>3.7964908847664069E-2</v>
      </c>
      <c r="E16" s="9">
        <f t="shared" si="3"/>
        <v>7.4761445644200855E-2</v>
      </c>
      <c r="F16" s="9">
        <f t="shared" si="4"/>
        <v>6.9470440353195564E-2</v>
      </c>
      <c r="G16" s="9">
        <f t="shared" si="5"/>
        <v>-6.0267316957006156E-3</v>
      </c>
      <c r="H16" s="9">
        <f t="shared" si="6"/>
        <v>-6.5572356744804522E-3</v>
      </c>
      <c r="J16" s="3" t="s">
        <v>67</v>
      </c>
      <c r="K16" s="3">
        <f t="shared" si="7"/>
        <v>5.1603770544182595E-2</v>
      </c>
      <c r="L16" s="3">
        <f t="shared" si="8"/>
        <v>3.6111354582620749E-2</v>
      </c>
      <c r="M16" s="3">
        <f t="shared" si="9"/>
        <v>3.3673696423982297E-2</v>
      </c>
      <c r="N16" s="3">
        <f t="shared" si="10"/>
        <v>2.8823575539869618E-2</v>
      </c>
      <c r="O16" s="3">
        <f t="shared" si="11"/>
        <v>4.2735920319846347E-2</v>
      </c>
      <c r="P16" s="3">
        <f t="shared" si="12"/>
        <v>5.8667062214226941E-2</v>
      </c>
    </row>
    <row r="17" spans="2:16" x14ac:dyDescent="0.3">
      <c r="B17" s="3" t="s">
        <v>61</v>
      </c>
      <c r="C17" s="9">
        <f t="shared" si="1"/>
        <v>0.20341070567725733</v>
      </c>
      <c r="D17" s="9">
        <f t="shared" si="2"/>
        <v>0.25951866022271186</v>
      </c>
      <c r="E17" s="9">
        <f t="shared" si="3"/>
        <v>0.17859957930363096</v>
      </c>
      <c r="F17" s="9">
        <f t="shared" si="4"/>
        <v>5.8941459645511285E-2</v>
      </c>
      <c r="G17" s="9">
        <f t="shared" si="5"/>
        <v>-1.923346046880603E-3</v>
      </c>
      <c r="H17" s="9">
        <f t="shared" si="6"/>
        <v>4.9732056772573419E-3</v>
      </c>
      <c r="J17" s="3" t="s">
        <v>61</v>
      </c>
      <c r="K17" s="3">
        <f t="shared" si="7"/>
        <v>0.25749631437924619</v>
      </c>
      <c r="L17" s="3">
        <f t="shared" si="8"/>
        <v>0.21275650289753745</v>
      </c>
      <c r="M17" s="3">
        <f t="shared" si="9"/>
        <v>0.19716994590870687</v>
      </c>
      <c r="N17" s="3">
        <f t="shared" si="10"/>
        <v>0.15891072130001255</v>
      </c>
      <c r="O17" s="3">
        <f t="shared" si="11"/>
        <v>0.17216158395386938</v>
      </c>
      <c r="P17" s="3">
        <f t="shared" si="12"/>
        <v>0.21903009208554178</v>
      </c>
    </row>
    <row r="18" spans="2:16" x14ac:dyDescent="0.3">
      <c r="B18" s="3" t="s">
        <v>64</v>
      </c>
      <c r="C18" s="9">
        <f t="shared" si="1"/>
        <v>-0.20288553975425461</v>
      </c>
      <c r="D18" s="9">
        <f t="shared" si="2"/>
        <v>-0.2272700094512243</v>
      </c>
      <c r="E18" s="9">
        <f t="shared" si="3"/>
        <v>-0.12570490788612274</v>
      </c>
      <c r="F18" s="9">
        <f t="shared" si="4"/>
        <v>-0.12000690218811705</v>
      </c>
      <c r="G18" s="9">
        <f t="shared" si="5"/>
        <v>-7.1366143202530458E-2</v>
      </c>
      <c r="H18" s="9">
        <f t="shared" si="6"/>
        <v>-0.18064996283117768</v>
      </c>
      <c r="J18" s="3" t="s">
        <v>64</v>
      </c>
      <c r="K18" s="3">
        <f t="shared" si="7"/>
        <v>0.45678968768918582</v>
      </c>
      <c r="L18" s="3">
        <f t="shared" si="8"/>
        <v>0.40587266870367383</v>
      </c>
      <c r="M18" s="3">
        <f t="shared" si="9"/>
        <v>0.39060526907788051</v>
      </c>
      <c r="N18" s="3">
        <f t="shared" si="10"/>
        <v>0.31072303208449759</v>
      </c>
      <c r="O18" s="3">
        <f t="shared" si="11"/>
        <v>0.32507493982778335</v>
      </c>
      <c r="P18" s="3">
        <f t="shared" si="12"/>
        <v>0.36060225565595638</v>
      </c>
    </row>
    <row r="19" spans="2:16" x14ac:dyDescent="0.3">
      <c r="B19" s="3" t="s">
        <v>62</v>
      </c>
      <c r="C19" s="9">
        <f t="shared" si="1"/>
        <v>-0.19563832008565213</v>
      </c>
      <c r="D19" s="9">
        <f t="shared" si="2"/>
        <v>-8.4606123115955167E-2</v>
      </c>
      <c r="E19" s="9">
        <f t="shared" si="3"/>
        <v>-0.10575164426147629</v>
      </c>
      <c r="F19" s="9">
        <f t="shared" si="4"/>
        <v>4.6466507956675895E-2</v>
      </c>
      <c r="G19" s="9">
        <f t="shared" si="5"/>
        <v>-5.7137511201348912E-3</v>
      </c>
      <c r="H19" s="9">
        <f t="shared" si="6"/>
        <v>-2.0037358547190576E-2</v>
      </c>
      <c r="J19" s="3" t="s">
        <v>62</v>
      </c>
      <c r="K19" s="3">
        <f t="shared" si="7"/>
        <v>0.53895371813269366</v>
      </c>
      <c r="L19" s="3">
        <f t="shared" si="8"/>
        <v>0.50768973621503954</v>
      </c>
      <c r="M19" s="3">
        <f t="shared" si="9"/>
        <v>0.51364380367272811</v>
      </c>
      <c r="N19" s="3">
        <f t="shared" si="10"/>
        <v>0.47078285262997938</v>
      </c>
      <c r="O19" s="3">
        <f t="shared" si="11"/>
        <v>0.48547555187181407</v>
      </c>
      <c r="P19" s="3">
        <f t="shared" si="12"/>
        <v>0.48950873337967227</v>
      </c>
    </row>
    <row r="20" spans="2:16" x14ac:dyDescent="0.3">
      <c r="J20" s="13" t="s">
        <v>44</v>
      </c>
      <c r="K20" s="13">
        <f>SUM(K12:K19)</f>
        <v>1.3657423302652525</v>
      </c>
      <c r="L20" s="13">
        <f t="shared" ref="L20:P20" si="13">SUM(L12:L19)</f>
        <v>1.1910334652156216</v>
      </c>
      <c r="M20" s="13">
        <f t="shared" si="13"/>
        <v>1.1490463616071813</v>
      </c>
      <c r="N20" s="13">
        <f t="shared" si="13"/>
        <v>0.9890676007517194</v>
      </c>
      <c r="O20" s="13">
        <f t="shared" si="13"/>
        <v>1.081373789887047</v>
      </c>
      <c r="P20" s="13">
        <f t="shared" si="13"/>
        <v>1.2192677655759789</v>
      </c>
    </row>
    <row r="21" spans="2:16" x14ac:dyDescent="0.3">
      <c r="J21" s="16" t="s">
        <v>45</v>
      </c>
      <c r="K21" s="16">
        <f>1-K20</f>
        <v>-0.36574233026525249</v>
      </c>
      <c r="L21" s="16">
        <f t="shared" ref="L21:P21" si="14">1-L20</f>
        <v>-0.19103346521562159</v>
      </c>
      <c r="M21" s="16">
        <f t="shared" si="14"/>
        <v>-0.14904636160718132</v>
      </c>
      <c r="N21" s="16">
        <f t="shared" si="14"/>
        <v>1.09323992482806E-2</v>
      </c>
      <c r="O21" s="16">
        <f t="shared" si="14"/>
        <v>-8.1373789887047021E-2</v>
      </c>
      <c r="P21" s="16">
        <f t="shared" si="14"/>
        <v>-0.21926776557597893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A120-D33E-4554-86DF-A1B5DC9D1568}">
  <dimension ref="A1:P13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9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8" t="s">
        <v>26</v>
      </c>
      <c r="L1" s="8" t="s">
        <v>27</v>
      </c>
      <c r="M1" s="8" t="s">
        <v>28</v>
      </c>
      <c r="N1" s="7" t="s">
        <v>29</v>
      </c>
      <c r="O1" s="8" t="s">
        <v>30</v>
      </c>
      <c r="P1" s="8" t="s">
        <v>31</v>
      </c>
    </row>
    <row r="2" spans="1:16" x14ac:dyDescent="0.3">
      <c r="A2" s="3" t="s">
        <v>71</v>
      </c>
      <c r="B2" s="11">
        <v>0.1189355455096239</v>
      </c>
      <c r="C2" s="11">
        <v>0.1702127659574468</v>
      </c>
      <c r="D2" s="11">
        <v>9.3333333333333338E-2</v>
      </c>
      <c r="E2" s="11">
        <v>0.13235294117647059</v>
      </c>
      <c r="F2" s="11">
        <v>0.20289855072463769</v>
      </c>
      <c r="G2" s="11">
        <v>0.16949152542372881</v>
      </c>
      <c r="H2" s="11">
        <v>8.3333333333333329E-2</v>
      </c>
      <c r="I2" s="9">
        <v>0.1189355455096239</v>
      </c>
      <c r="J2" s="25">
        <v>0.1189355455096239</v>
      </c>
      <c r="K2" s="25">
        <v>0.1702127659574468</v>
      </c>
      <c r="L2" s="25">
        <v>9.3333333333333338E-2</v>
      </c>
      <c r="M2" s="25">
        <v>0.13235294117647059</v>
      </c>
      <c r="N2" s="25">
        <v>0.20289855072463769</v>
      </c>
      <c r="O2" s="25">
        <v>0.16949152542372881</v>
      </c>
      <c r="P2" s="25">
        <v>8.3333333333333329E-2</v>
      </c>
    </row>
    <row r="3" spans="1:16" x14ac:dyDescent="0.3">
      <c r="A3" s="3" t="s">
        <v>72</v>
      </c>
      <c r="B3" s="11">
        <v>0.23032110733094094</v>
      </c>
      <c r="C3" s="11">
        <v>0.46808510638297873</v>
      </c>
      <c r="D3" s="11">
        <v>0.14666666666666667</v>
      </c>
      <c r="E3" s="11">
        <v>0.3235294117647059</v>
      </c>
      <c r="F3" s="11">
        <v>0.20289855072463769</v>
      </c>
      <c r="G3" s="11">
        <v>0.3728813559322034</v>
      </c>
      <c r="H3" s="11">
        <v>0.33333333333333331</v>
      </c>
      <c r="I3" s="9">
        <v>0.34925665284056484</v>
      </c>
      <c r="J3" s="9">
        <f>J2+B3</f>
        <v>0.34925665284056484</v>
      </c>
      <c r="K3" s="9">
        <f t="shared" ref="K3:P5" si="0">K2+C3</f>
        <v>0.63829787234042556</v>
      </c>
      <c r="L3" s="9">
        <f t="shared" si="0"/>
        <v>0.24</v>
      </c>
      <c r="M3" s="9">
        <f t="shared" si="0"/>
        <v>0.45588235294117652</v>
      </c>
      <c r="N3" s="9">
        <f t="shared" si="0"/>
        <v>0.40579710144927539</v>
      </c>
      <c r="O3" s="9">
        <f t="shared" si="0"/>
        <v>0.5423728813559322</v>
      </c>
      <c r="P3" s="9">
        <f t="shared" si="0"/>
        <v>0.41666666666666663</v>
      </c>
    </row>
    <row r="4" spans="1:16" x14ac:dyDescent="0.3">
      <c r="A4" s="3" t="s">
        <v>70</v>
      </c>
      <c r="B4" s="11">
        <v>0.31036491587826814</v>
      </c>
      <c r="C4" s="11">
        <v>0.19148936170212766</v>
      </c>
      <c r="D4" s="11">
        <v>0.4</v>
      </c>
      <c r="E4" s="11">
        <v>0.16176470588235295</v>
      </c>
      <c r="F4" s="11">
        <v>0.28985507246376813</v>
      </c>
      <c r="G4" s="11">
        <v>0.33898305084745761</v>
      </c>
      <c r="H4" s="11">
        <v>0.41666666666666669</v>
      </c>
      <c r="I4" s="9">
        <v>0.65962156871883293</v>
      </c>
      <c r="J4" s="9">
        <f t="shared" ref="J4:J5" si="1">J3+B4</f>
        <v>0.65962156871883293</v>
      </c>
      <c r="K4" s="9">
        <f t="shared" si="0"/>
        <v>0.82978723404255317</v>
      </c>
      <c r="L4" s="9">
        <f t="shared" si="0"/>
        <v>0.64</v>
      </c>
      <c r="M4" s="9">
        <f t="shared" si="0"/>
        <v>0.61764705882352944</v>
      </c>
      <c r="N4" s="9">
        <f t="shared" si="0"/>
        <v>0.69565217391304346</v>
      </c>
      <c r="O4" s="9">
        <f t="shared" si="0"/>
        <v>0.88135593220338981</v>
      </c>
      <c r="P4" s="9">
        <f t="shared" si="0"/>
        <v>0.83333333333333326</v>
      </c>
    </row>
    <row r="5" spans="1:16" x14ac:dyDescent="0.3">
      <c r="A5" s="3" t="s">
        <v>69</v>
      </c>
      <c r="B5" s="11">
        <v>0.34037843128116696</v>
      </c>
      <c r="C5" s="11">
        <v>0.1702127659574468</v>
      </c>
      <c r="D5" s="11">
        <v>0.36</v>
      </c>
      <c r="E5" s="11">
        <v>0.38235294117647056</v>
      </c>
      <c r="F5" s="11">
        <v>0.30434782608695654</v>
      </c>
      <c r="G5" s="11">
        <v>0.11864406779661017</v>
      </c>
      <c r="H5" s="11">
        <v>0.16666666666666666</v>
      </c>
      <c r="I5" s="9">
        <v>0.99999999999999989</v>
      </c>
      <c r="J5" s="9">
        <f t="shared" si="1"/>
        <v>0.99999999999999989</v>
      </c>
      <c r="K5" s="9">
        <f t="shared" si="0"/>
        <v>1</v>
      </c>
      <c r="L5" s="9">
        <f t="shared" si="0"/>
        <v>1</v>
      </c>
      <c r="M5" s="9">
        <f t="shared" si="0"/>
        <v>1</v>
      </c>
      <c r="N5" s="9">
        <f t="shared" si="0"/>
        <v>1</v>
      </c>
      <c r="O5" s="9">
        <f t="shared" si="0"/>
        <v>1</v>
      </c>
      <c r="P5" s="9">
        <f t="shared" si="0"/>
        <v>0.99999999999999989</v>
      </c>
    </row>
    <row r="7" spans="1:16" ht="28.8" x14ac:dyDescent="0.3">
      <c r="B7" s="1" t="s">
        <v>24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J7" s="3"/>
      <c r="K7" s="13" t="s">
        <v>38</v>
      </c>
      <c r="L7" s="13" t="s">
        <v>39</v>
      </c>
      <c r="M7" s="13" t="s">
        <v>40</v>
      </c>
      <c r="N7" s="13" t="s">
        <v>41</v>
      </c>
      <c r="O7" s="13" t="s">
        <v>42</v>
      </c>
      <c r="P7" s="13" t="s">
        <v>43</v>
      </c>
    </row>
    <row r="8" spans="1:16" x14ac:dyDescent="0.3">
      <c r="B8" s="3" t="s">
        <v>71</v>
      </c>
      <c r="C8" s="9">
        <f>C2-B2</f>
        <v>5.1277220447822902E-2</v>
      </c>
      <c r="D8" s="9">
        <f>D2-B2</f>
        <v>-2.5602212176290565E-2</v>
      </c>
      <c r="E8" s="9">
        <f>E2-B2</f>
        <v>1.3417395666846688E-2</v>
      </c>
      <c r="F8" s="9">
        <f>F2-B2</f>
        <v>8.3963005215013792E-2</v>
      </c>
      <c r="G8" s="9">
        <f>G2-B2</f>
        <v>5.0555979914104904E-2</v>
      </c>
      <c r="H8" s="9">
        <f>H2-B2</f>
        <v>-3.5602212176290574E-2</v>
      </c>
      <c r="J8" s="3" t="s">
        <v>71</v>
      </c>
      <c r="K8" s="3">
        <f>($J2-0) * ((K2+0))</f>
        <v>2.0244348171850876E-2</v>
      </c>
      <c r="L8" s="3">
        <f t="shared" ref="L8:P8" si="2">($J2-0) * ((L2+0))</f>
        <v>1.1100650914231566E-2</v>
      </c>
      <c r="M8" s="3">
        <f t="shared" si="2"/>
        <v>1.5741469258626694E-2</v>
      </c>
      <c r="N8" s="3">
        <f t="shared" si="2"/>
        <v>2.413184981354688E-2</v>
      </c>
      <c r="O8" s="3">
        <f t="shared" si="2"/>
        <v>2.0158567035529474E-2</v>
      </c>
      <c r="P8" s="3">
        <f t="shared" si="2"/>
        <v>9.911295459135324E-3</v>
      </c>
    </row>
    <row r="9" spans="1:16" x14ac:dyDescent="0.3">
      <c r="B9" s="3" t="s">
        <v>72</v>
      </c>
      <c r="C9" s="9">
        <f t="shared" ref="C9:C11" si="3">C3-B3</f>
        <v>0.23776399905203779</v>
      </c>
      <c r="D9" s="9">
        <f t="shared" ref="D9:D11" si="4">D3-B3</f>
        <v>-8.3654440664274271E-2</v>
      </c>
      <c r="E9" s="9">
        <f t="shared" ref="E9:E11" si="5">E3-B3</f>
        <v>9.320830443376496E-2</v>
      </c>
      <c r="F9" s="9">
        <f t="shared" ref="F9:F11" si="6">F3-B3</f>
        <v>-2.7422556606303244E-2</v>
      </c>
      <c r="G9" s="9">
        <f t="shared" ref="G9:G11" si="7">G3-B3</f>
        <v>0.14256024860126246</v>
      </c>
      <c r="H9" s="9">
        <f t="shared" ref="H9:H11" si="8">H3-B3</f>
        <v>0.10301222600239238</v>
      </c>
      <c r="J9" s="3" t="s">
        <v>72</v>
      </c>
      <c r="K9" s="3">
        <f>($J3-$J2) * ((K3+K2))</f>
        <v>0.18621706550161182</v>
      </c>
      <c r="L9" s="3">
        <f t="shared" ref="L9:P9" si="9">($J3-$J2) * ((L3+L2))</f>
        <v>7.6773702443646979E-2</v>
      </c>
      <c r="M9" s="3">
        <f t="shared" si="9"/>
        <v>0.13548300431231822</v>
      </c>
      <c r="N9" s="3">
        <f t="shared" si="9"/>
        <v>0.14019545663622493</v>
      </c>
      <c r="O9" s="3">
        <f t="shared" si="9"/>
        <v>0.16395739843897492</v>
      </c>
      <c r="P9" s="3">
        <f t="shared" si="9"/>
        <v>0.11516055366547046</v>
      </c>
    </row>
    <row r="10" spans="1:16" x14ac:dyDescent="0.3">
      <c r="B10" s="3" t="s">
        <v>70</v>
      </c>
      <c r="C10" s="9">
        <f t="shared" si="3"/>
        <v>-0.11887555417614049</v>
      </c>
      <c r="D10" s="9">
        <f t="shared" si="4"/>
        <v>8.9635084121731878E-2</v>
      </c>
      <c r="E10" s="9">
        <f t="shared" si="5"/>
        <v>-0.14860020999591519</v>
      </c>
      <c r="F10" s="9">
        <f t="shared" si="6"/>
        <v>-2.0509843414500017E-2</v>
      </c>
      <c r="G10" s="9">
        <f t="shared" si="7"/>
        <v>2.8618134969189468E-2</v>
      </c>
      <c r="H10" s="9">
        <f t="shared" si="8"/>
        <v>0.10630175078839854</v>
      </c>
      <c r="J10" s="3" t="s">
        <v>70</v>
      </c>
      <c r="K10" s="3">
        <f t="shared" ref="K10:P11" si="10">($J4-$J3) * ((K4+K3))</f>
        <v>0.45564211054469145</v>
      </c>
      <c r="L10" s="3">
        <f t="shared" si="10"/>
        <v>0.27312112597287591</v>
      </c>
      <c r="M10" s="3">
        <f t="shared" si="10"/>
        <v>0.33318586557519964</v>
      </c>
      <c r="N10" s="3">
        <f t="shared" si="10"/>
        <v>0.34185121169200544</v>
      </c>
      <c r="O10" s="3">
        <f t="shared" si="10"/>
        <v>0.4418754734538054</v>
      </c>
      <c r="P10" s="3">
        <f t="shared" si="10"/>
        <v>0.38795614484783514</v>
      </c>
    </row>
    <row r="11" spans="1:16" x14ac:dyDescent="0.3">
      <c r="B11" s="3" t="s">
        <v>69</v>
      </c>
      <c r="C11" s="9">
        <f t="shared" si="3"/>
        <v>-0.17016566532372016</v>
      </c>
      <c r="D11" s="9">
        <f t="shared" si="4"/>
        <v>1.9621568718833027E-2</v>
      </c>
      <c r="E11" s="9">
        <f t="shared" si="5"/>
        <v>4.1974509895303602E-2</v>
      </c>
      <c r="F11" s="9">
        <f t="shared" si="6"/>
        <v>-3.6030605194210419E-2</v>
      </c>
      <c r="G11" s="9">
        <f t="shared" si="7"/>
        <v>-0.22173436348455677</v>
      </c>
      <c r="H11" s="9">
        <f t="shared" si="8"/>
        <v>-0.1737117646145003</v>
      </c>
      <c r="J11" s="3" t="s">
        <v>69</v>
      </c>
      <c r="K11" s="3">
        <f t="shared" si="10"/>
        <v>0.62282010830170975</v>
      </c>
      <c r="L11" s="3">
        <f t="shared" si="10"/>
        <v>0.55822062730111388</v>
      </c>
      <c r="M11" s="3">
        <f t="shared" si="10"/>
        <v>0.55061216824894654</v>
      </c>
      <c r="N11" s="3">
        <f t="shared" si="10"/>
        <v>0.57716342695502221</v>
      </c>
      <c r="O11" s="3">
        <f t="shared" si="10"/>
        <v>0.64037298088490724</v>
      </c>
      <c r="P11" s="3">
        <f t="shared" si="10"/>
        <v>0.62402712401547267</v>
      </c>
    </row>
    <row r="12" spans="1:16" x14ac:dyDescent="0.3">
      <c r="J12" s="14" t="s">
        <v>44</v>
      </c>
      <c r="K12" s="13">
        <f>SUM(K8:K11)</f>
        <v>1.2849236325198639</v>
      </c>
      <c r="L12" s="13">
        <f t="shared" ref="L12:P12" si="11">SUM(L8:L11)</f>
        <v>0.91921610663186837</v>
      </c>
      <c r="M12" s="13">
        <f t="shared" si="11"/>
        <v>1.0350225073950909</v>
      </c>
      <c r="N12" s="13">
        <f t="shared" si="11"/>
        <v>1.0833419450967994</v>
      </c>
      <c r="O12" s="13">
        <f t="shared" si="11"/>
        <v>1.2663644198132169</v>
      </c>
      <c r="P12" s="13">
        <f t="shared" si="11"/>
        <v>1.1370551179879136</v>
      </c>
    </row>
    <row r="13" spans="1:16" x14ac:dyDescent="0.3">
      <c r="J13" s="15" t="s">
        <v>45</v>
      </c>
      <c r="K13" s="16">
        <f>1-K12</f>
        <v>-0.28492363251986386</v>
      </c>
      <c r="L13" s="16">
        <f t="shared" ref="L13:P13" si="12">1-L12</f>
        <v>8.0783893368131632E-2</v>
      </c>
      <c r="M13" s="16">
        <f t="shared" si="12"/>
        <v>-3.502250739509094E-2</v>
      </c>
      <c r="N13" s="16">
        <f t="shared" si="12"/>
        <v>-8.3341945096799375E-2</v>
      </c>
      <c r="O13" s="16">
        <f t="shared" si="12"/>
        <v>-0.2663644198132169</v>
      </c>
      <c r="P13" s="16">
        <f t="shared" si="12"/>
        <v>-0.13705511798791359</v>
      </c>
    </row>
  </sheetData>
  <sortState xmlns:xlrd2="http://schemas.microsoft.com/office/spreadsheetml/2017/richdata2" ref="A2:P6">
    <sortCondition ref="B1:B6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GOVERNADOR VALADARES</vt:lpstr>
      <vt:lpstr>MANTENA</vt:lpstr>
      <vt:lpstr>PEÇANHA - SÃO JOÃO EVANGELISTA</vt:lpstr>
      <vt:lpstr>RESPLENDOR</vt:lpstr>
      <vt:lpstr>SANTA MARIA DO SUAÇUÍ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2025-04-20T13:41:53Z</dcterms:created>
  <dcterms:modified xsi:type="dcterms:W3CDTF">2025-11-26T01:16:57Z</dcterms:modified>
</cp:coreProperties>
</file>