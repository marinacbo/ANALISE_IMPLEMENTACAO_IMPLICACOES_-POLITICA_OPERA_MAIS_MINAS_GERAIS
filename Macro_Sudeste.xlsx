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8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9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996cd45e3dcc699/Área de Trabalho/Dissertação/Planilhas/Distribuição_territorial/Análises_objetivo_03/analises_finais_cirurgia_geral/"/>
    </mc:Choice>
  </mc:AlternateContent>
  <xr:revisionPtr revIDLastSave="15" documentId="8_{3987F8B9-F815-43D9-A98E-21AFD3B631F4}" xr6:coauthVersionLast="47" xr6:coauthVersionMax="47" xr10:uidLastSave="{315D718E-DE78-4F10-9A98-0083E65F808B}"/>
  <bookViews>
    <workbookView xWindow="-108" yWindow="-108" windowWidth="23256" windowHeight="12456" xr2:uid="{527A2006-39EA-4F0B-B064-CF2FBDAC0A5A}"/>
  </bookViews>
  <sheets>
    <sheet name="ALÉM PARAÍBA" sheetId="1" r:id="rId1"/>
    <sheet name="CARANGOLA" sheetId="2" r:id="rId2"/>
    <sheet name="JUIZ DE FORA" sheetId="3" r:id="rId3"/>
    <sheet name="LEOPOLDINA-CATAGUASES" sheetId="4" r:id="rId4"/>
    <sheet name="LIMA DUARTE" sheetId="5" r:id="rId5"/>
    <sheet name="MURIAÉ" sheetId="6" r:id="rId6"/>
    <sheet name="SANTOS DUMONT" sheetId="7" r:id="rId7"/>
    <sheet name="SÃO JOÃO NEPOMUCENO-BICAS" sheetId="8" r:id="rId8"/>
    <sheet name="UBÁ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7" i="9" l="1"/>
  <c r="M28" i="9"/>
  <c r="N28" i="9"/>
  <c r="O29" i="9"/>
  <c r="P29" i="9"/>
  <c r="L31" i="9"/>
  <c r="O25" i="9"/>
  <c r="N25" i="9"/>
  <c r="M25" i="9"/>
  <c r="P24" i="9"/>
  <c r="O24" i="9"/>
  <c r="N24" i="9"/>
  <c r="M24" i="9"/>
  <c r="L24" i="9"/>
  <c r="K24" i="9"/>
  <c r="L21" i="8"/>
  <c r="O20" i="8"/>
  <c r="L18" i="8"/>
  <c r="K18" i="8"/>
  <c r="L17" i="8"/>
  <c r="O16" i="8"/>
  <c r="L14" i="8"/>
  <c r="K14" i="8"/>
  <c r="P13" i="8"/>
  <c r="O13" i="8"/>
  <c r="N13" i="8"/>
  <c r="M13" i="8"/>
  <c r="L13" i="8"/>
  <c r="K13" i="8"/>
  <c r="P8" i="7"/>
  <c r="O8" i="7"/>
  <c r="N8" i="7"/>
  <c r="M8" i="7"/>
  <c r="L8" i="7"/>
  <c r="K8" i="7"/>
  <c r="P16" i="6"/>
  <c r="O16" i="6"/>
  <c r="N16" i="6"/>
  <c r="M16" i="6"/>
  <c r="L16" i="6"/>
  <c r="K16" i="6"/>
  <c r="P31" i="5"/>
  <c r="O31" i="5"/>
  <c r="N31" i="5"/>
  <c r="M31" i="5"/>
  <c r="L31" i="5"/>
  <c r="K31" i="5"/>
  <c r="P30" i="5"/>
  <c r="O30" i="5"/>
  <c r="N30" i="5"/>
  <c r="M30" i="5"/>
  <c r="L30" i="5"/>
  <c r="K30" i="5"/>
  <c r="P29" i="5"/>
  <c r="O29" i="5"/>
  <c r="N29" i="5"/>
  <c r="M29" i="5"/>
  <c r="L29" i="5"/>
  <c r="K29" i="5"/>
  <c r="P28" i="5"/>
  <c r="O28" i="5"/>
  <c r="N28" i="5"/>
  <c r="M28" i="5"/>
  <c r="L28" i="5"/>
  <c r="K28" i="5"/>
  <c r="P27" i="5"/>
  <c r="O27" i="5"/>
  <c r="N27" i="5"/>
  <c r="M27" i="5"/>
  <c r="L27" i="5"/>
  <c r="K27" i="5"/>
  <c r="P26" i="5"/>
  <c r="O26" i="5"/>
  <c r="N26" i="5"/>
  <c r="M26" i="5"/>
  <c r="L26" i="5"/>
  <c r="K26" i="5"/>
  <c r="P25" i="5"/>
  <c r="O25" i="5"/>
  <c r="N25" i="5"/>
  <c r="M25" i="5"/>
  <c r="L25" i="5"/>
  <c r="K25" i="5"/>
  <c r="P24" i="5"/>
  <c r="O24" i="5"/>
  <c r="N24" i="5"/>
  <c r="M24" i="5"/>
  <c r="L24" i="5"/>
  <c r="K24" i="5"/>
  <c r="P23" i="5"/>
  <c r="O23" i="5"/>
  <c r="N23" i="5"/>
  <c r="M23" i="5"/>
  <c r="L23" i="5"/>
  <c r="K23" i="5"/>
  <c r="P22" i="5"/>
  <c r="O22" i="5"/>
  <c r="N22" i="5"/>
  <c r="M22" i="5"/>
  <c r="L22" i="5"/>
  <c r="K22" i="5"/>
  <c r="P21" i="5"/>
  <c r="O21" i="5"/>
  <c r="N21" i="5"/>
  <c r="M21" i="5"/>
  <c r="L21" i="5"/>
  <c r="K21" i="5"/>
  <c r="P20" i="5"/>
  <c r="O20" i="5"/>
  <c r="N20" i="5"/>
  <c r="M20" i="5"/>
  <c r="L20" i="5"/>
  <c r="K20" i="5"/>
  <c r="P19" i="5"/>
  <c r="O19" i="5"/>
  <c r="N19" i="5"/>
  <c r="M19" i="5"/>
  <c r="L19" i="5"/>
  <c r="K19" i="5"/>
  <c r="P18" i="5"/>
  <c r="O18" i="5"/>
  <c r="N18" i="5"/>
  <c r="M18" i="5"/>
  <c r="L18" i="5"/>
  <c r="K18" i="5"/>
  <c r="P14" i="4"/>
  <c r="O14" i="4"/>
  <c r="N14" i="4"/>
  <c r="M14" i="4"/>
  <c r="L14" i="4"/>
  <c r="K14" i="4"/>
  <c r="P16" i="3"/>
  <c r="O16" i="3"/>
  <c r="N16" i="3"/>
  <c r="M16" i="3"/>
  <c r="L16" i="3"/>
  <c r="K16" i="3"/>
  <c r="P26" i="2"/>
  <c r="O26" i="2"/>
  <c r="N26" i="2"/>
  <c r="M26" i="2"/>
  <c r="L26" i="2"/>
  <c r="K26" i="2"/>
  <c r="P25" i="2"/>
  <c r="O25" i="2"/>
  <c r="N25" i="2"/>
  <c r="M25" i="2"/>
  <c r="L25" i="2"/>
  <c r="K25" i="2"/>
  <c r="P24" i="2"/>
  <c r="O24" i="2"/>
  <c r="N24" i="2"/>
  <c r="M24" i="2"/>
  <c r="L24" i="2"/>
  <c r="K24" i="2"/>
  <c r="P23" i="2"/>
  <c r="O23" i="2"/>
  <c r="N23" i="2"/>
  <c r="M23" i="2"/>
  <c r="L23" i="2"/>
  <c r="K23" i="2"/>
  <c r="P22" i="2"/>
  <c r="O22" i="2"/>
  <c r="N22" i="2"/>
  <c r="M22" i="2"/>
  <c r="L22" i="2"/>
  <c r="K22" i="2"/>
  <c r="P21" i="2"/>
  <c r="O21" i="2"/>
  <c r="N21" i="2"/>
  <c r="M21" i="2"/>
  <c r="L21" i="2"/>
  <c r="K21" i="2"/>
  <c r="P20" i="2"/>
  <c r="O20" i="2"/>
  <c r="N20" i="2"/>
  <c r="M20" i="2"/>
  <c r="L20" i="2"/>
  <c r="K20" i="2"/>
  <c r="P19" i="2"/>
  <c r="O19" i="2"/>
  <c r="N19" i="2"/>
  <c r="M19" i="2"/>
  <c r="L19" i="2"/>
  <c r="K19" i="2"/>
  <c r="P18" i="2"/>
  <c r="O18" i="2"/>
  <c r="N18" i="2"/>
  <c r="M18" i="2"/>
  <c r="L18" i="2"/>
  <c r="K18" i="2"/>
  <c r="P17" i="2"/>
  <c r="O17" i="2"/>
  <c r="N17" i="2"/>
  <c r="M17" i="2"/>
  <c r="L17" i="2"/>
  <c r="K17" i="2"/>
  <c r="P16" i="2"/>
  <c r="O16" i="2"/>
  <c r="N16" i="2"/>
  <c r="M16" i="2"/>
  <c r="L16" i="2"/>
  <c r="K16" i="2"/>
  <c r="P9" i="1"/>
  <c r="O9" i="1"/>
  <c r="N9" i="1"/>
  <c r="M9" i="1"/>
  <c r="L9" i="1"/>
  <c r="K9" i="1"/>
  <c r="C31" i="5"/>
  <c r="D31" i="5"/>
  <c r="E31" i="5"/>
  <c r="F31" i="5"/>
  <c r="G31" i="5"/>
  <c r="H31" i="5"/>
  <c r="C25" i="9"/>
  <c r="D25" i="9"/>
  <c r="E25" i="9"/>
  <c r="F25" i="9"/>
  <c r="G25" i="9"/>
  <c r="H25" i="9"/>
  <c r="C26" i="9"/>
  <c r="D26" i="9"/>
  <c r="E26" i="9"/>
  <c r="F26" i="9"/>
  <c r="G26" i="9"/>
  <c r="H26" i="9"/>
  <c r="C27" i="9"/>
  <c r="D27" i="9"/>
  <c r="E27" i="9"/>
  <c r="F27" i="9"/>
  <c r="G27" i="9"/>
  <c r="H27" i="9"/>
  <c r="C28" i="9"/>
  <c r="D28" i="9"/>
  <c r="E28" i="9"/>
  <c r="F28" i="9"/>
  <c r="G28" i="9"/>
  <c r="H28" i="9"/>
  <c r="C29" i="9"/>
  <c r="D29" i="9"/>
  <c r="E29" i="9"/>
  <c r="F29" i="9"/>
  <c r="G29" i="9"/>
  <c r="H29" i="9"/>
  <c r="C30" i="9"/>
  <c r="D30" i="9"/>
  <c r="E30" i="9"/>
  <c r="F30" i="9"/>
  <c r="G30" i="9"/>
  <c r="H30" i="9"/>
  <c r="C31" i="9"/>
  <c r="D31" i="9"/>
  <c r="E31" i="9"/>
  <c r="F31" i="9"/>
  <c r="G31" i="9"/>
  <c r="H31" i="9"/>
  <c r="C32" i="9"/>
  <c r="D32" i="9"/>
  <c r="E32" i="9"/>
  <c r="F32" i="9"/>
  <c r="G32" i="9"/>
  <c r="H32" i="9"/>
  <c r="C33" i="9"/>
  <c r="D33" i="9"/>
  <c r="E33" i="9"/>
  <c r="F33" i="9"/>
  <c r="G33" i="9"/>
  <c r="H33" i="9"/>
  <c r="C34" i="9"/>
  <c r="D34" i="9"/>
  <c r="E34" i="9"/>
  <c r="F34" i="9"/>
  <c r="G34" i="9"/>
  <c r="H34" i="9"/>
  <c r="C35" i="9"/>
  <c r="D35" i="9"/>
  <c r="E35" i="9"/>
  <c r="F35" i="9"/>
  <c r="G35" i="9"/>
  <c r="H35" i="9"/>
  <c r="C36" i="9"/>
  <c r="D36" i="9"/>
  <c r="E36" i="9"/>
  <c r="F36" i="9"/>
  <c r="G36" i="9"/>
  <c r="H36" i="9"/>
  <c r="C37" i="9"/>
  <c r="D37" i="9"/>
  <c r="E37" i="9"/>
  <c r="F37" i="9"/>
  <c r="G37" i="9"/>
  <c r="H37" i="9"/>
  <c r="C38" i="9"/>
  <c r="D38" i="9"/>
  <c r="E38" i="9"/>
  <c r="F38" i="9"/>
  <c r="G38" i="9"/>
  <c r="H38" i="9"/>
  <c r="C39" i="9"/>
  <c r="D39" i="9"/>
  <c r="E39" i="9"/>
  <c r="F39" i="9"/>
  <c r="G39" i="9"/>
  <c r="H39" i="9"/>
  <c r="C40" i="9"/>
  <c r="D40" i="9"/>
  <c r="E40" i="9"/>
  <c r="F40" i="9"/>
  <c r="G40" i="9"/>
  <c r="H40" i="9"/>
  <c r="C41" i="9"/>
  <c r="D41" i="9"/>
  <c r="E41" i="9"/>
  <c r="F41" i="9"/>
  <c r="G41" i="9"/>
  <c r="H41" i="9"/>
  <c r="C42" i="9"/>
  <c r="D42" i="9"/>
  <c r="E42" i="9"/>
  <c r="F42" i="9"/>
  <c r="G42" i="9"/>
  <c r="H42" i="9"/>
  <c r="C43" i="9"/>
  <c r="D43" i="9"/>
  <c r="E43" i="9"/>
  <c r="F43" i="9"/>
  <c r="G43" i="9"/>
  <c r="H43" i="9"/>
  <c r="H24" i="9"/>
  <c r="G24" i="9"/>
  <c r="F24" i="9"/>
  <c r="E24" i="9"/>
  <c r="D24" i="9"/>
  <c r="C24" i="9"/>
  <c r="J11" i="9"/>
  <c r="M10" i="9"/>
  <c r="M32" i="9" s="1"/>
  <c r="N10" i="9"/>
  <c r="N11" i="9" s="1"/>
  <c r="N12" i="9" s="1"/>
  <c r="N13" i="9" s="1"/>
  <c r="N14" i="9" s="1"/>
  <c r="N15" i="9" s="1"/>
  <c r="N16" i="9" s="1"/>
  <c r="N17" i="9" s="1"/>
  <c r="N18" i="9" s="1"/>
  <c r="N19" i="9" s="1"/>
  <c r="N20" i="9" s="1"/>
  <c r="N21" i="9" s="1"/>
  <c r="O10" i="9"/>
  <c r="O11" i="9" s="1"/>
  <c r="O12" i="9" s="1"/>
  <c r="O13" i="9" s="1"/>
  <c r="O14" i="9" s="1"/>
  <c r="O15" i="9" s="1"/>
  <c r="O16" i="9" s="1"/>
  <c r="O17" i="9" s="1"/>
  <c r="O18" i="9" s="1"/>
  <c r="O19" i="9" s="1"/>
  <c r="O20" i="9" s="1"/>
  <c r="O21" i="9" s="1"/>
  <c r="P3" i="9"/>
  <c r="P4" i="9" s="1"/>
  <c r="P5" i="9" s="1"/>
  <c r="P6" i="9" s="1"/>
  <c r="P7" i="9" s="1"/>
  <c r="P8" i="9" s="1"/>
  <c r="P9" i="9" s="1"/>
  <c r="P10" i="9" s="1"/>
  <c r="P11" i="9" s="1"/>
  <c r="P12" i="9" s="1"/>
  <c r="P13" i="9" s="1"/>
  <c r="P14" i="9" s="1"/>
  <c r="P15" i="9" s="1"/>
  <c r="P16" i="9" s="1"/>
  <c r="P17" i="9" s="1"/>
  <c r="P18" i="9" s="1"/>
  <c r="P19" i="9" s="1"/>
  <c r="P20" i="9" s="1"/>
  <c r="P21" i="9" s="1"/>
  <c r="O3" i="9"/>
  <c r="O4" i="9" s="1"/>
  <c r="O5" i="9" s="1"/>
  <c r="O6" i="9" s="1"/>
  <c r="O7" i="9" s="1"/>
  <c r="O8" i="9" s="1"/>
  <c r="O9" i="9" s="1"/>
  <c r="N3" i="9"/>
  <c r="N4" i="9" s="1"/>
  <c r="N5" i="9" s="1"/>
  <c r="N6" i="9" s="1"/>
  <c r="N7" i="9" s="1"/>
  <c r="N8" i="9" s="1"/>
  <c r="N9" i="9" s="1"/>
  <c r="M3" i="9"/>
  <c r="M4" i="9" s="1"/>
  <c r="M5" i="9" s="1"/>
  <c r="M6" i="9" s="1"/>
  <c r="M7" i="9" s="1"/>
  <c r="M8" i="9" s="1"/>
  <c r="M9" i="9" s="1"/>
  <c r="L3" i="9"/>
  <c r="L4" i="9" s="1"/>
  <c r="L5" i="9" s="1"/>
  <c r="L6" i="9" s="1"/>
  <c r="L7" i="9" s="1"/>
  <c r="L8" i="9" s="1"/>
  <c r="L9" i="9" s="1"/>
  <c r="L10" i="9" s="1"/>
  <c r="L11" i="9" s="1"/>
  <c r="L12" i="9" s="1"/>
  <c r="L13" i="9" s="1"/>
  <c r="L14" i="9" s="1"/>
  <c r="L15" i="9" s="1"/>
  <c r="L16" i="9" s="1"/>
  <c r="L17" i="9" s="1"/>
  <c r="L18" i="9" s="1"/>
  <c r="L19" i="9" s="1"/>
  <c r="L20" i="9" s="1"/>
  <c r="L21" i="9" s="1"/>
  <c r="K3" i="9"/>
  <c r="K4" i="9" s="1"/>
  <c r="K5" i="9" s="1"/>
  <c r="K6" i="9" s="1"/>
  <c r="K7" i="9" s="1"/>
  <c r="K8" i="9" s="1"/>
  <c r="K9" i="9" s="1"/>
  <c r="K31" i="9" s="1"/>
  <c r="J3" i="9"/>
  <c r="J4" i="9" s="1"/>
  <c r="J5" i="9" s="1"/>
  <c r="J6" i="9" s="1"/>
  <c r="J7" i="9" s="1"/>
  <c r="J8" i="9" s="1"/>
  <c r="J9" i="9" s="1"/>
  <c r="J10" i="9" s="1"/>
  <c r="O32" i="9" s="1"/>
  <c r="H21" i="8"/>
  <c r="G21" i="8"/>
  <c r="F21" i="8"/>
  <c r="E21" i="8"/>
  <c r="D21" i="8"/>
  <c r="C21" i="8"/>
  <c r="H20" i="8"/>
  <c r="G20" i="8"/>
  <c r="F20" i="8"/>
  <c r="E20" i="8"/>
  <c r="D20" i="8"/>
  <c r="C20" i="8"/>
  <c r="H19" i="8"/>
  <c r="G19" i="8"/>
  <c r="F19" i="8"/>
  <c r="E19" i="8"/>
  <c r="D19" i="8"/>
  <c r="C19" i="8"/>
  <c r="H18" i="8"/>
  <c r="G18" i="8"/>
  <c r="F18" i="8"/>
  <c r="E18" i="8"/>
  <c r="D18" i="8"/>
  <c r="C18" i="8"/>
  <c r="H17" i="8"/>
  <c r="G17" i="8"/>
  <c r="F17" i="8"/>
  <c r="E17" i="8"/>
  <c r="D17" i="8"/>
  <c r="C17" i="8"/>
  <c r="H16" i="8"/>
  <c r="G16" i="8"/>
  <c r="F16" i="8"/>
  <c r="E16" i="8"/>
  <c r="D16" i="8"/>
  <c r="C16" i="8"/>
  <c r="H15" i="8"/>
  <c r="G15" i="8"/>
  <c r="F15" i="8"/>
  <c r="E15" i="8"/>
  <c r="D15" i="8"/>
  <c r="C15" i="8"/>
  <c r="H14" i="8"/>
  <c r="G14" i="8"/>
  <c r="F14" i="8"/>
  <c r="E14" i="8"/>
  <c r="D14" i="8"/>
  <c r="C14" i="8"/>
  <c r="H13" i="8"/>
  <c r="G13" i="8"/>
  <c r="F13" i="8"/>
  <c r="E13" i="8"/>
  <c r="D13" i="8"/>
  <c r="C13" i="8"/>
  <c r="P3" i="8"/>
  <c r="P4" i="8" s="1"/>
  <c r="P5" i="8" s="1"/>
  <c r="P6" i="8" s="1"/>
  <c r="P7" i="8" s="1"/>
  <c r="P8" i="8" s="1"/>
  <c r="P9" i="8" s="1"/>
  <c r="P10" i="8" s="1"/>
  <c r="O3" i="8"/>
  <c r="O4" i="8" s="1"/>
  <c r="O5" i="8" s="1"/>
  <c r="O6" i="8" s="1"/>
  <c r="O7" i="8" s="1"/>
  <c r="O8" i="8" s="1"/>
  <c r="O9" i="8" s="1"/>
  <c r="O10" i="8" s="1"/>
  <c r="N3" i="8"/>
  <c r="N4" i="8" s="1"/>
  <c r="N5" i="8" s="1"/>
  <c r="N6" i="8" s="1"/>
  <c r="N7" i="8" s="1"/>
  <c r="N8" i="8" s="1"/>
  <c r="N9" i="8" s="1"/>
  <c r="N10" i="8" s="1"/>
  <c r="M3" i="8"/>
  <c r="M4" i="8" s="1"/>
  <c r="M5" i="8" s="1"/>
  <c r="M6" i="8" s="1"/>
  <c r="M7" i="8" s="1"/>
  <c r="M8" i="8" s="1"/>
  <c r="M9" i="8" s="1"/>
  <c r="M10" i="8" s="1"/>
  <c r="L3" i="8"/>
  <c r="L4" i="8" s="1"/>
  <c r="L5" i="8" s="1"/>
  <c r="L6" i="8" s="1"/>
  <c r="L7" i="8" s="1"/>
  <c r="L8" i="8" s="1"/>
  <c r="L9" i="8" s="1"/>
  <c r="L10" i="8" s="1"/>
  <c r="K3" i="8"/>
  <c r="K4" i="8" s="1"/>
  <c r="K5" i="8" s="1"/>
  <c r="K6" i="8" s="1"/>
  <c r="K7" i="8" s="1"/>
  <c r="K8" i="8" s="1"/>
  <c r="K9" i="8" s="1"/>
  <c r="K10" i="8" s="1"/>
  <c r="J3" i="8"/>
  <c r="J4" i="8" s="1"/>
  <c r="J5" i="8" s="1"/>
  <c r="J6" i="8" s="1"/>
  <c r="J7" i="8" s="1"/>
  <c r="J8" i="8" s="1"/>
  <c r="J9" i="8" s="1"/>
  <c r="J10" i="8" s="1"/>
  <c r="P21" i="8" s="1"/>
  <c r="P33" i="9" l="1"/>
  <c r="N32" i="9"/>
  <c r="J12" i="9"/>
  <c r="O33" i="9"/>
  <c r="N33" i="9"/>
  <c r="P30" i="9"/>
  <c r="P26" i="9"/>
  <c r="K10" i="9"/>
  <c r="K11" i="9" s="1"/>
  <c r="K12" i="9" s="1"/>
  <c r="K13" i="9" s="1"/>
  <c r="K14" i="9" s="1"/>
  <c r="K15" i="9" s="1"/>
  <c r="K16" i="9" s="1"/>
  <c r="K17" i="9" s="1"/>
  <c r="K18" i="9" s="1"/>
  <c r="K19" i="9" s="1"/>
  <c r="K20" i="9" s="1"/>
  <c r="K21" i="9" s="1"/>
  <c r="M29" i="9"/>
  <c r="K28" i="9"/>
  <c r="L33" i="9"/>
  <c r="N30" i="9"/>
  <c r="N26" i="9"/>
  <c r="M11" i="9"/>
  <c r="M12" i="9" s="1"/>
  <c r="M13" i="9" s="1"/>
  <c r="M14" i="9" s="1"/>
  <c r="M15" i="9" s="1"/>
  <c r="M16" i="9" s="1"/>
  <c r="M17" i="9" s="1"/>
  <c r="M18" i="9" s="1"/>
  <c r="M19" i="9" s="1"/>
  <c r="M20" i="9" s="1"/>
  <c r="M21" i="9" s="1"/>
  <c r="K33" i="9"/>
  <c r="O31" i="9"/>
  <c r="M30" i="9"/>
  <c r="K29" i="9"/>
  <c r="O27" i="9"/>
  <c r="M26" i="9"/>
  <c r="K27" i="9"/>
  <c r="L32" i="9"/>
  <c r="N29" i="9"/>
  <c r="L28" i="9"/>
  <c r="P25" i="9"/>
  <c r="O30" i="9"/>
  <c r="O26" i="9"/>
  <c r="P31" i="9"/>
  <c r="L29" i="9"/>
  <c r="P27" i="9"/>
  <c r="K25" i="9"/>
  <c r="P32" i="9"/>
  <c r="N31" i="9"/>
  <c r="L30" i="9"/>
  <c r="P28" i="9"/>
  <c r="N27" i="9"/>
  <c r="L26" i="9"/>
  <c r="L25" i="9"/>
  <c r="M31" i="9"/>
  <c r="K30" i="9"/>
  <c r="O28" i="9"/>
  <c r="M27" i="9"/>
  <c r="K26" i="9"/>
  <c r="L22" i="8"/>
  <c r="L23" i="8" s="1"/>
  <c r="N15" i="8"/>
  <c r="P16" i="8"/>
  <c r="N19" i="8"/>
  <c r="P20" i="8"/>
  <c r="M14" i="8"/>
  <c r="O15" i="8"/>
  <c r="K17" i="8"/>
  <c r="M18" i="8"/>
  <c r="O19" i="8"/>
  <c r="K21" i="8"/>
  <c r="M19" i="8"/>
  <c r="N14" i="8"/>
  <c r="P15" i="8"/>
  <c r="O14" i="8"/>
  <c r="K16" i="8"/>
  <c r="M17" i="8"/>
  <c r="O18" i="8"/>
  <c r="K20" i="8"/>
  <c r="M21" i="8"/>
  <c r="P14" i="8"/>
  <c r="L16" i="8"/>
  <c r="N17" i="8"/>
  <c r="P18" i="8"/>
  <c r="L20" i="8"/>
  <c r="N21" i="8"/>
  <c r="M15" i="8"/>
  <c r="N18" i="8"/>
  <c r="K15" i="8"/>
  <c r="K22" i="8" s="1"/>
  <c r="K23" i="8" s="1"/>
  <c r="M16" i="8"/>
  <c r="O17" i="8"/>
  <c r="K19" i="8"/>
  <c r="M20" i="8"/>
  <c r="O21" i="8"/>
  <c r="P19" i="8"/>
  <c r="L15" i="8"/>
  <c r="N16" i="8"/>
  <c r="P17" i="8"/>
  <c r="L19" i="8"/>
  <c r="N20" i="8"/>
  <c r="K34" i="9" l="1"/>
  <c r="L34" i="9"/>
  <c r="N34" i="9"/>
  <c r="P34" i="9"/>
  <c r="M34" i="9"/>
  <c r="O34" i="9"/>
  <c r="J13" i="9"/>
  <c r="K32" i="9"/>
  <c r="M33" i="9"/>
  <c r="O22" i="8"/>
  <c r="O23" i="8" s="1"/>
  <c r="N22" i="8"/>
  <c r="N23" i="8" s="1"/>
  <c r="M22" i="8"/>
  <c r="M23" i="8" s="1"/>
  <c r="P22" i="8"/>
  <c r="P23" i="8" s="1"/>
  <c r="H10" i="7"/>
  <c r="G10" i="7"/>
  <c r="F10" i="7"/>
  <c r="E10" i="7"/>
  <c r="D10" i="7"/>
  <c r="C10" i="7"/>
  <c r="H9" i="7"/>
  <c r="G9" i="7"/>
  <c r="F9" i="7"/>
  <c r="E9" i="7"/>
  <c r="D9" i="7"/>
  <c r="C9" i="7"/>
  <c r="H8" i="7"/>
  <c r="G8" i="7"/>
  <c r="F8" i="7"/>
  <c r="E8" i="7"/>
  <c r="D8" i="7"/>
  <c r="C8" i="7"/>
  <c r="P3" i="7"/>
  <c r="P4" i="7" s="1"/>
  <c r="K3" i="7"/>
  <c r="K4" i="7" s="1"/>
  <c r="O3" i="7"/>
  <c r="O4" i="7" s="1"/>
  <c r="N3" i="7"/>
  <c r="N4" i="7" s="1"/>
  <c r="M3" i="7"/>
  <c r="M4" i="7" s="1"/>
  <c r="L3" i="7"/>
  <c r="L4" i="7" s="1"/>
  <c r="J3" i="7"/>
  <c r="H26" i="6"/>
  <c r="G26" i="6"/>
  <c r="F26" i="6"/>
  <c r="E26" i="6"/>
  <c r="D26" i="6"/>
  <c r="C26" i="6"/>
  <c r="H25" i="6"/>
  <c r="G25" i="6"/>
  <c r="F25" i="6"/>
  <c r="E25" i="6"/>
  <c r="D25" i="6"/>
  <c r="C25" i="6"/>
  <c r="H24" i="6"/>
  <c r="G24" i="6"/>
  <c r="F24" i="6"/>
  <c r="E24" i="6"/>
  <c r="D24" i="6"/>
  <c r="C24" i="6"/>
  <c r="H23" i="6"/>
  <c r="G23" i="6"/>
  <c r="F23" i="6"/>
  <c r="E23" i="6"/>
  <c r="D23" i="6"/>
  <c r="C23" i="6"/>
  <c r="H22" i="6"/>
  <c r="G22" i="6"/>
  <c r="F22" i="6"/>
  <c r="E22" i="6"/>
  <c r="D22" i="6"/>
  <c r="C22" i="6"/>
  <c r="H21" i="6"/>
  <c r="G21" i="6"/>
  <c r="F21" i="6"/>
  <c r="E21" i="6"/>
  <c r="D21" i="6"/>
  <c r="C21" i="6"/>
  <c r="H20" i="6"/>
  <c r="G20" i="6"/>
  <c r="F20" i="6"/>
  <c r="E20" i="6"/>
  <c r="D20" i="6"/>
  <c r="C20" i="6"/>
  <c r="H19" i="6"/>
  <c r="G19" i="6"/>
  <c r="F19" i="6"/>
  <c r="E19" i="6"/>
  <c r="D19" i="6"/>
  <c r="C19" i="6"/>
  <c r="H18" i="6"/>
  <c r="G18" i="6"/>
  <c r="F18" i="6"/>
  <c r="E18" i="6"/>
  <c r="D18" i="6"/>
  <c r="C18" i="6"/>
  <c r="H17" i="6"/>
  <c r="G17" i="6"/>
  <c r="F17" i="6"/>
  <c r="E17" i="6"/>
  <c r="D17" i="6"/>
  <c r="C17" i="6"/>
  <c r="H16" i="6"/>
  <c r="G16" i="6"/>
  <c r="F16" i="6"/>
  <c r="E16" i="6"/>
  <c r="D16" i="6"/>
  <c r="C16" i="6"/>
  <c r="P3" i="6"/>
  <c r="P4" i="6" s="1"/>
  <c r="P5" i="6" s="1"/>
  <c r="P6" i="6" s="1"/>
  <c r="P7" i="6" s="1"/>
  <c r="P8" i="6" s="1"/>
  <c r="P9" i="6" s="1"/>
  <c r="P10" i="6" s="1"/>
  <c r="P11" i="6" s="1"/>
  <c r="P12" i="6" s="1"/>
  <c r="O3" i="6"/>
  <c r="O4" i="6" s="1"/>
  <c r="O5" i="6" s="1"/>
  <c r="O6" i="6" s="1"/>
  <c r="O7" i="6" s="1"/>
  <c r="O8" i="6" s="1"/>
  <c r="O9" i="6" s="1"/>
  <c r="O10" i="6" s="1"/>
  <c r="O11" i="6" s="1"/>
  <c r="O12" i="6" s="1"/>
  <c r="N3" i="6"/>
  <c r="N4" i="6" s="1"/>
  <c r="N5" i="6" s="1"/>
  <c r="N6" i="6" s="1"/>
  <c r="N7" i="6" s="1"/>
  <c r="N8" i="6" s="1"/>
  <c r="N9" i="6" s="1"/>
  <c r="N10" i="6" s="1"/>
  <c r="N11" i="6" s="1"/>
  <c r="N12" i="6" s="1"/>
  <c r="M3" i="6"/>
  <c r="M4" i="6" s="1"/>
  <c r="M5" i="6" s="1"/>
  <c r="M6" i="6" s="1"/>
  <c r="M7" i="6" s="1"/>
  <c r="M8" i="6" s="1"/>
  <c r="M9" i="6" s="1"/>
  <c r="M10" i="6" s="1"/>
  <c r="M11" i="6" s="1"/>
  <c r="M12" i="6" s="1"/>
  <c r="L3" i="6"/>
  <c r="L4" i="6" s="1"/>
  <c r="L5" i="6" s="1"/>
  <c r="L6" i="6" s="1"/>
  <c r="L7" i="6" s="1"/>
  <c r="L8" i="6" s="1"/>
  <c r="L9" i="6" s="1"/>
  <c r="L10" i="6" s="1"/>
  <c r="L11" i="6" s="1"/>
  <c r="L12" i="6" s="1"/>
  <c r="K3" i="6"/>
  <c r="K4" i="6" s="1"/>
  <c r="K5" i="6" s="1"/>
  <c r="K6" i="6" s="1"/>
  <c r="K7" i="6" s="1"/>
  <c r="K8" i="6" s="1"/>
  <c r="K9" i="6" s="1"/>
  <c r="K10" i="6" s="1"/>
  <c r="K11" i="6" s="1"/>
  <c r="K12" i="6" s="1"/>
  <c r="J3" i="6"/>
  <c r="H30" i="5"/>
  <c r="G30" i="5"/>
  <c r="F30" i="5"/>
  <c r="E30" i="5"/>
  <c r="D30" i="5"/>
  <c r="C30" i="5"/>
  <c r="H29" i="5"/>
  <c r="G29" i="5"/>
  <c r="F29" i="5"/>
  <c r="E29" i="5"/>
  <c r="D29" i="5"/>
  <c r="C29" i="5"/>
  <c r="H28" i="5"/>
  <c r="G28" i="5"/>
  <c r="F28" i="5"/>
  <c r="E28" i="5"/>
  <c r="D28" i="5"/>
  <c r="C28" i="5"/>
  <c r="H27" i="5"/>
  <c r="G27" i="5"/>
  <c r="F27" i="5"/>
  <c r="E27" i="5"/>
  <c r="D27" i="5"/>
  <c r="C27" i="5"/>
  <c r="H26" i="5"/>
  <c r="G26" i="5"/>
  <c r="F26" i="5"/>
  <c r="E26" i="5"/>
  <c r="D26" i="5"/>
  <c r="C26" i="5"/>
  <c r="H25" i="5"/>
  <c r="G25" i="5"/>
  <c r="F25" i="5"/>
  <c r="E25" i="5"/>
  <c r="D25" i="5"/>
  <c r="C25" i="5"/>
  <c r="H24" i="5"/>
  <c r="G24" i="5"/>
  <c r="F24" i="5"/>
  <c r="E24" i="5"/>
  <c r="D24" i="5"/>
  <c r="C24" i="5"/>
  <c r="H23" i="5"/>
  <c r="G23" i="5"/>
  <c r="F23" i="5"/>
  <c r="E23" i="5"/>
  <c r="D23" i="5"/>
  <c r="C23" i="5"/>
  <c r="H22" i="5"/>
  <c r="G22" i="5"/>
  <c r="F22" i="5"/>
  <c r="E22" i="5"/>
  <c r="D22" i="5"/>
  <c r="C22" i="5"/>
  <c r="H21" i="5"/>
  <c r="G21" i="5"/>
  <c r="F21" i="5"/>
  <c r="E21" i="5"/>
  <c r="D21" i="5"/>
  <c r="C21" i="5"/>
  <c r="H20" i="5"/>
  <c r="G20" i="5"/>
  <c r="F20" i="5"/>
  <c r="E20" i="5"/>
  <c r="D20" i="5"/>
  <c r="C20" i="5"/>
  <c r="H19" i="5"/>
  <c r="G19" i="5"/>
  <c r="F19" i="5"/>
  <c r="E19" i="5"/>
  <c r="D19" i="5"/>
  <c r="C19" i="5"/>
  <c r="H18" i="5"/>
  <c r="G18" i="5"/>
  <c r="F18" i="5"/>
  <c r="E18" i="5"/>
  <c r="D18" i="5"/>
  <c r="C18" i="5"/>
  <c r="P3" i="5"/>
  <c r="P4" i="5" s="1"/>
  <c r="P5" i="5" s="1"/>
  <c r="P6" i="5" s="1"/>
  <c r="P7" i="5" s="1"/>
  <c r="P8" i="5" s="1"/>
  <c r="P9" i="5" s="1"/>
  <c r="P10" i="5" s="1"/>
  <c r="P11" i="5" s="1"/>
  <c r="P12" i="5" s="1"/>
  <c r="P13" i="5" s="1"/>
  <c r="P14" i="5" s="1"/>
  <c r="P15" i="5" s="1"/>
  <c r="O3" i="5"/>
  <c r="O4" i="5" s="1"/>
  <c r="O5" i="5" s="1"/>
  <c r="O6" i="5" s="1"/>
  <c r="O7" i="5" s="1"/>
  <c r="O8" i="5" s="1"/>
  <c r="O9" i="5" s="1"/>
  <c r="O10" i="5" s="1"/>
  <c r="O11" i="5" s="1"/>
  <c r="O12" i="5" s="1"/>
  <c r="O13" i="5" s="1"/>
  <c r="O14" i="5" s="1"/>
  <c r="O15" i="5" s="1"/>
  <c r="N3" i="5"/>
  <c r="N4" i="5" s="1"/>
  <c r="N5" i="5" s="1"/>
  <c r="N6" i="5" s="1"/>
  <c r="N7" i="5" s="1"/>
  <c r="N8" i="5" s="1"/>
  <c r="N9" i="5" s="1"/>
  <c r="N10" i="5" s="1"/>
  <c r="N11" i="5" s="1"/>
  <c r="N12" i="5" s="1"/>
  <c r="N13" i="5" s="1"/>
  <c r="N14" i="5" s="1"/>
  <c r="M3" i="5"/>
  <c r="M4" i="5" s="1"/>
  <c r="M5" i="5" s="1"/>
  <c r="M6" i="5" s="1"/>
  <c r="M7" i="5" s="1"/>
  <c r="M8" i="5" s="1"/>
  <c r="M9" i="5" s="1"/>
  <c r="M10" i="5" s="1"/>
  <c r="M11" i="5" s="1"/>
  <c r="M12" i="5" s="1"/>
  <c r="M13" i="5" s="1"/>
  <c r="M14" i="5" s="1"/>
  <c r="M15" i="5" s="1"/>
  <c r="L3" i="5"/>
  <c r="L4" i="5" s="1"/>
  <c r="L5" i="5" s="1"/>
  <c r="L6" i="5" s="1"/>
  <c r="L7" i="5" s="1"/>
  <c r="L8" i="5" s="1"/>
  <c r="L9" i="5" s="1"/>
  <c r="L10" i="5" s="1"/>
  <c r="L11" i="5" s="1"/>
  <c r="L12" i="5" s="1"/>
  <c r="L13" i="5" s="1"/>
  <c r="L14" i="5" s="1"/>
  <c r="L15" i="5" s="1"/>
  <c r="K3" i="5"/>
  <c r="K4" i="5" s="1"/>
  <c r="K5" i="5" s="1"/>
  <c r="K6" i="5" s="1"/>
  <c r="K7" i="5" s="1"/>
  <c r="K8" i="5" s="1"/>
  <c r="K9" i="5" s="1"/>
  <c r="K10" i="5" s="1"/>
  <c r="K11" i="5" s="1"/>
  <c r="K12" i="5" s="1"/>
  <c r="K13" i="5" s="1"/>
  <c r="K14" i="5" s="1"/>
  <c r="K15" i="5" s="1"/>
  <c r="J3" i="5"/>
  <c r="J4" i="5" s="1"/>
  <c r="J5" i="5" s="1"/>
  <c r="J6" i="5" s="1"/>
  <c r="J7" i="5" s="1"/>
  <c r="J8" i="5" s="1"/>
  <c r="J9" i="5" s="1"/>
  <c r="J10" i="5" s="1"/>
  <c r="J11" i="5" s="1"/>
  <c r="J12" i="5" s="1"/>
  <c r="J13" i="5" s="1"/>
  <c r="J14" i="5" s="1"/>
  <c r="J15" i="5" s="1"/>
  <c r="H23" i="4"/>
  <c r="G23" i="4"/>
  <c r="F23" i="4"/>
  <c r="E23" i="4"/>
  <c r="D23" i="4"/>
  <c r="C23" i="4"/>
  <c r="H22" i="4"/>
  <c r="G22" i="4"/>
  <c r="F22" i="4"/>
  <c r="E22" i="4"/>
  <c r="D22" i="4"/>
  <c r="C22" i="4"/>
  <c r="H21" i="4"/>
  <c r="G21" i="4"/>
  <c r="F21" i="4"/>
  <c r="E21" i="4"/>
  <c r="D21" i="4"/>
  <c r="C21" i="4"/>
  <c r="H20" i="4"/>
  <c r="G20" i="4"/>
  <c r="F20" i="4"/>
  <c r="E20" i="4"/>
  <c r="D20" i="4"/>
  <c r="C20" i="4"/>
  <c r="H19" i="4"/>
  <c r="G19" i="4"/>
  <c r="F19" i="4"/>
  <c r="E19" i="4"/>
  <c r="D19" i="4"/>
  <c r="C19" i="4"/>
  <c r="H18" i="4"/>
  <c r="G18" i="4"/>
  <c r="F18" i="4"/>
  <c r="E18" i="4"/>
  <c r="D18" i="4"/>
  <c r="C18" i="4"/>
  <c r="H17" i="4"/>
  <c r="G17" i="4"/>
  <c r="F17" i="4"/>
  <c r="E17" i="4"/>
  <c r="D17" i="4"/>
  <c r="C17" i="4"/>
  <c r="H16" i="4"/>
  <c r="G16" i="4"/>
  <c r="F16" i="4"/>
  <c r="E16" i="4"/>
  <c r="D16" i="4"/>
  <c r="C16" i="4"/>
  <c r="H15" i="4"/>
  <c r="G15" i="4"/>
  <c r="F15" i="4"/>
  <c r="E15" i="4"/>
  <c r="D15" i="4"/>
  <c r="C15" i="4"/>
  <c r="H14" i="4"/>
  <c r="G14" i="4"/>
  <c r="F14" i="4"/>
  <c r="E14" i="4"/>
  <c r="D14" i="4"/>
  <c r="C14" i="4"/>
  <c r="P3" i="4"/>
  <c r="P4" i="4" s="1"/>
  <c r="P5" i="4" s="1"/>
  <c r="P6" i="4" s="1"/>
  <c r="P7" i="4" s="1"/>
  <c r="P8" i="4" s="1"/>
  <c r="P9" i="4" s="1"/>
  <c r="P10" i="4" s="1"/>
  <c r="P11" i="4" s="1"/>
  <c r="O3" i="4"/>
  <c r="O4" i="4" s="1"/>
  <c r="O5" i="4" s="1"/>
  <c r="O6" i="4" s="1"/>
  <c r="O7" i="4" s="1"/>
  <c r="O8" i="4" s="1"/>
  <c r="O9" i="4" s="1"/>
  <c r="O10" i="4" s="1"/>
  <c r="O11" i="4" s="1"/>
  <c r="N3" i="4"/>
  <c r="N4" i="4" s="1"/>
  <c r="N5" i="4" s="1"/>
  <c r="N6" i="4" s="1"/>
  <c r="N7" i="4" s="1"/>
  <c r="N8" i="4" s="1"/>
  <c r="N9" i="4" s="1"/>
  <c r="N10" i="4" s="1"/>
  <c r="N11" i="4" s="1"/>
  <c r="M3" i="4"/>
  <c r="M4" i="4" s="1"/>
  <c r="M5" i="4" s="1"/>
  <c r="M6" i="4" s="1"/>
  <c r="M7" i="4" s="1"/>
  <c r="M8" i="4" s="1"/>
  <c r="M9" i="4" s="1"/>
  <c r="M10" i="4" s="1"/>
  <c r="M11" i="4" s="1"/>
  <c r="L3" i="4"/>
  <c r="L4" i="4" s="1"/>
  <c r="L5" i="4" s="1"/>
  <c r="L6" i="4" s="1"/>
  <c r="L7" i="4" s="1"/>
  <c r="L8" i="4" s="1"/>
  <c r="L9" i="4" s="1"/>
  <c r="L10" i="4" s="1"/>
  <c r="L11" i="4" s="1"/>
  <c r="K3" i="4"/>
  <c r="K4" i="4" s="1"/>
  <c r="K5" i="4" s="1"/>
  <c r="K6" i="4" s="1"/>
  <c r="K7" i="4" s="1"/>
  <c r="K8" i="4" s="1"/>
  <c r="K9" i="4" s="1"/>
  <c r="K10" i="4" s="1"/>
  <c r="K11" i="4" s="1"/>
  <c r="J3" i="4"/>
  <c r="J4" i="4" l="1"/>
  <c r="M15" i="4"/>
  <c r="L15" i="4"/>
  <c r="K15" i="4"/>
  <c r="P15" i="4"/>
  <c r="O15" i="4"/>
  <c r="N15" i="4"/>
  <c r="M35" i="9"/>
  <c r="N35" i="9"/>
  <c r="J14" i="9"/>
  <c r="K35" i="9"/>
  <c r="O35" i="9"/>
  <c r="P35" i="9"/>
  <c r="L35" i="9"/>
  <c r="J4" i="7"/>
  <c r="N9" i="7"/>
  <c r="K9" i="7"/>
  <c r="M9" i="7"/>
  <c r="L9" i="7"/>
  <c r="P9" i="7"/>
  <c r="O9" i="7"/>
  <c r="J4" i="6"/>
  <c r="N17" i="6"/>
  <c r="K17" i="6"/>
  <c r="M17" i="6"/>
  <c r="O17" i="6"/>
  <c r="L17" i="6"/>
  <c r="P17" i="6"/>
  <c r="N15" i="5"/>
  <c r="K32" i="5"/>
  <c r="L32" i="5"/>
  <c r="O32" i="5"/>
  <c r="M32" i="5"/>
  <c r="N32" i="5"/>
  <c r="P32" i="5"/>
  <c r="H27" i="3"/>
  <c r="G27" i="3"/>
  <c r="F27" i="3"/>
  <c r="E27" i="3"/>
  <c r="D27" i="3"/>
  <c r="C27" i="3"/>
  <c r="H26" i="3"/>
  <c r="G26" i="3"/>
  <c r="F26" i="3"/>
  <c r="E26" i="3"/>
  <c r="D26" i="3"/>
  <c r="C26" i="3"/>
  <c r="H25" i="3"/>
  <c r="G25" i="3"/>
  <c r="F25" i="3"/>
  <c r="E25" i="3"/>
  <c r="D25" i="3"/>
  <c r="C25" i="3"/>
  <c r="H24" i="3"/>
  <c r="G24" i="3"/>
  <c r="F24" i="3"/>
  <c r="E24" i="3"/>
  <c r="D24" i="3"/>
  <c r="C24" i="3"/>
  <c r="H23" i="3"/>
  <c r="G23" i="3"/>
  <c r="F23" i="3"/>
  <c r="E23" i="3"/>
  <c r="D23" i="3"/>
  <c r="C23" i="3"/>
  <c r="H22" i="3"/>
  <c r="G22" i="3"/>
  <c r="F22" i="3"/>
  <c r="E22" i="3"/>
  <c r="D22" i="3"/>
  <c r="C22" i="3"/>
  <c r="H21" i="3"/>
  <c r="G21" i="3"/>
  <c r="F21" i="3"/>
  <c r="E21" i="3"/>
  <c r="D21" i="3"/>
  <c r="C21" i="3"/>
  <c r="H20" i="3"/>
  <c r="G20" i="3"/>
  <c r="F20" i="3"/>
  <c r="E20" i="3"/>
  <c r="D20" i="3"/>
  <c r="C20" i="3"/>
  <c r="H19" i="3"/>
  <c r="G19" i="3"/>
  <c r="F19" i="3"/>
  <c r="E19" i="3"/>
  <c r="D19" i="3"/>
  <c r="C19" i="3"/>
  <c r="H18" i="3"/>
  <c r="G18" i="3"/>
  <c r="F18" i="3"/>
  <c r="E18" i="3"/>
  <c r="D18" i="3"/>
  <c r="C18" i="3"/>
  <c r="H17" i="3"/>
  <c r="G17" i="3"/>
  <c r="F17" i="3"/>
  <c r="E17" i="3"/>
  <c r="D17" i="3"/>
  <c r="C17" i="3"/>
  <c r="H16" i="3"/>
  <c r="G16" i="3"/>
  <c r="F16" i="3"/>
  <c r="E16" i="3"/>
  <c r="D16" i="3"/>
  <c r="C16" i="3"/>
  <c r="P3" i="3"/>
  <c r="P4" i="3" s="1"/>
  <c r="P5" i="3" s="1"/>
  <c r="P6" i="3" s="1"/>
  <c r="P7" i="3" s="1"/>
  <c r="P8" i="3" s="1"/>
  <c r="P9" i="3" s="1"/>
  <c r="P10" i="3" s="1"/>
  <c r="P11" i="3" s="1"/>
  <c r="P12" i="3" s="1"/>
  <c r="P13" i="3" s="1"/>
  <c r="O3" i="3"/>
  <c r="O4" i="3" s="1"/>
  <c r="O5" i="3" s="1"/>
  <c r="O6" i="3" s="1"/>
  <c r="O7" i="3" s="1"/>
  <c r="O8" i="3" s="1"/>
  <c r="O9" i="3" s="1"/>
  <c r="O10" i="3" s="1"/>
  <c r="O11" i="3" s="1"/>
  <c r="O12" i="3" s="1"/>
  <c r="O13" i="3" s="1"/>
  <c r="N3" i="3"/>
  <c r="N4" i="3" s="1"/>
  <c r="N5" i="3" s="1"/>
  <c r="N6" i="3" s="1"/>
  <c r="N7" i="3" s="1"/>
  <c r="N8" i="3" s="1"/>
  <c r="N9" i="3" s="1"/>
  <c r="N10" i="3" s="1"/>
  <c r="N11" i="3" s="1"/>
  <c r="N12" i="3" s="1"/>
  <c r="N13" i="3" s="1"/>
  <c r="M3" i="3"/>
  <c r="M4" i="3" s="1"/>
  <c r="M5" i="3" s="1"/>
  <c r="M6" i="3" s="1"/>
  <c r="M7" i="3" s="1"/>
  <c r="M8" i="3" s="1"/>
  <c r="M9" i="3" s="1"/>
  <c r="M10" i="3" s="1"/>
  <c r="M11" i="3" s="1"/>
  <c r="M12" i="3" s="1"/>
  <c r="M13" i="3" s="1"/>
  <c r="L3" i="3"/>
  <c r="L4" i="3" s="1"/>
  <c r="L5" i="3" s="1"/>
  <c r="L6" i="3" s="1"/>
  <c r="L7" i="3" s="1"/>
  <c r="L8" i="3" s="1"/>
  <c r="L9" i="3" s="1"/>
  <c r="L10" i="3" s="1"/>
  <c r="L11" i="3" s="1"/>
  <c r="L12" i="3" s="1"/>
  <c r="L13" i="3" s="1"/>
  <c r="K3" i="3"/>
  <c r="K4" i="3" s="1"/>
  <c r="K5" i="3" s="1"/>
  <c r="K6" i="3" s="1"/>
  <c r="K7" i="3" s="1"/>
  <c r="K8" i="3" s="1"/>
  <c r="K9" i="3" s="1"/>
  <c r="K10" i="3" s="1"/>
  <c r="K11" i="3" s="1"/>
  <c r="K12" i="3" s="1"/>
  <c r="K13" i="3" s="1"/>
  <c r="J3" i="3"/>
  <c r="H26" i="2"/>
  <c r="G26" i="2"/>
  <c r="F26" i="2"/>
  <c r="E26" i="2"/>
  <c r="D26" i="2"/>
  <c r="C26" i="2"/>
  <c r="H25" i="2"/>
  <c r="G25" i="2"/>
  <c r="F25" i="2"/>
  <c r="E25" i="2"/>
  <c r="D25" i="2"/>
  <c r="C25" i="2"/>
  <c r="H24" i="2"/>
  <c r="G24" i="2"/>
  <c r="F24" i="2"/>
  <c r="E24" i="2"/>
  <c r="D24" i="2"/>
  <c r="C24" i="2"/>
  <c r="H23" i="2"/>
  <c r="G23" i="2"/>
  <c r="F23" i="2"/>
  <c r="E23" i="2"/>
  <c r="D23" i="2"/>
  <c r="C23" i="2"/>
  <c r="H22" i="2"/>
  <c r="G22" i="2"/>
  <c r="F22" i="2"/>
  <c r="E22" i="2"/>
  <c r="D22" i="2"/>
  <c r="C22" i="2"/>
  <c r="H21" i="2"/>
  <c r="G21" i="2"/>
  <c r="F21" i="2"/>
  <c r="E21" i="2"/>
  <c r="D21" i="2"/>
  <c r="C21" i="2"/>
  <c r="H20" i="2"/>
  <c r="G20" i="2"/>
  <c r="F20" i="2"/>
  <c r="E20" i="2"/>
  <c r="D20" i="2"/>
  <c r="C20" i="2"/>
  <c r="H19" i="2"/>
  <c r="G19" i="2"/>
  <c r="F19" i="2"/>
  <c r="E19" i="2"/>
  <c r="D19" i="2"/>
  <c r="C19" i="2"/>
  <c r="H18" i="2"/>
  <c r="G18" i="2"/>
  <c r="F18" i="2"/>
  <c r="E18" i="2"/>
  <c r="D18" i="2"/>
  <c r="C18" i="2"/>
  <c r="H17" i="2"/>
  <c r="G17" i="2"/>
  <c r="F17" i="2"/>
  <c r="E17" i="2"/>
  <c r="D17" i="2"/>
  <c r="C17" i="2"/>
  <c r="H16" i="2"/>
  <c r="G16" i="2"/>
  <c r="F16" i="2"/>
  <c r="E16" i="2"/>
  <c r="D16" i="2"/>
  <c r="C16" i="2"/>
  <c r="N12" i="2"/>
  <c r="P3" i="2"/>
  <c r="P4" i="2" s="1"/>
  <c r="P5" i="2" s="1"/>
  <c r="P6" i="2" s="1"/>
  <c r="P7" i="2" s="1"/>
  <c r="P8" i="2" s="1"/>
  <c r="P9" i="2" s="1"/>
  <c r="P10" i="2" s="1"/>
  <c r="P11" i="2" s="1"/>
  <c r="P12" i="2" s="1"/>
  <c r="K3" i="2"/>
  <c r="K4" i="2" s="1"/>
  <c r="K5" i="2" s="1"/>
  <c r="K6" i="2" s="1"/>
  <c r="K7" i="2" s="1"/>
  <c r="K8" i="2" s="1"/>
  <c r="K9" i="2" s="1"/>
  <c r="K10" i="2" s="1"/>
  <c r="K11" i="2" s="1"/>
  <c r="K12" i="2" s="1"/>
  <c r="J3" i="2"/>
  <c r="J4" i="2" s="1"/>
  <c r="J5" i="2" s="1"/>
  <c r="J6" i="2" s="1"/>
  <c r="J7" i="2" s="1"/>
  <c r="J8" i="2" s="1"/>
  <c r="J9" i="2" s="1"/>
  <c r="J10" i="2" s="1"/>
  <c r="J11" i="2" s="1"/>
  <c r="J12" i="2" s="1"/>
  <c r="O3" i="2"/>
  <c r="O4" i="2" s="1"/>
  <c r="O5" i="2" s="1"/>
  <c r="O6" i="2" s="1"/>
  <c r="O7" i="2" s="1"/>
  <c r="O8" i="2" s="1"/>
  <c r="O9" i="2" s="1"/>
  <c r="O10" i="2" s="1"/>
  <c r="O11" i="2" s="1"/>
  <c r="O12" i="2" s="1"/>
  <c r="N3" i="2"/>
  <c r="N4" i="2" s="1"/>
  <c r="N5" i="2" s="1"/>
  <c r="N6" i="2" s="1"/>
  <c r="N7" i="2" s="1"/>
  <c r="N8" i="2" s="1"/>
  <c r="N9" i="2" s="1"/>
  <c r="N10" i="2" s="1"/>
  <c r="N11" i="2" s="1"/>
  <c r="M3" i="2"/>
  <c r="M4" i="2" s="1"/>
  <c r="M5" i="2" s="1"/>
  <c r="M6" i="2" s="1"/>
  <c r="M7" i="2" s="1"/>
  <c r="M8" i="2" s="1"/>
  <c r="M9" i="2" s="1"/>
  <c r="M10" i="2" s="1"/>
  <c r="M11" i="2" s="1"/>
  <c r="M12" i="2" s="1"/>
  <c r="L3" i="2"/>
  <c r="L4" i="2" s="1"/>
  <c r="L5" i="2" s="1"/>
  <c r="L6" i="2" s="1"/>
  <c r="L7" i="2" s="1"/>
  <c r="L8" i="2" s="1"/>
  <c r="L9" i="2" s="1"/>
  <c r="L10" i="2" s="1"/>
  <c r="L11" i="2" s="1"/>
  <c r="L12" i="2" s="1"/>
  <c r="H13" i="1"/>
  <c r="G13" i="1"/>
  <c r="F13" i="1"/>
  <c r="E13" i="1"/>
  <c r="D13" i="1"/>
  <c r="C13" i="1"/>
  <c r="H12" i="1"/>
  <c r="G12" i="1"/>
  <c r="F12" i="1"/>
  <c r="E12" i="1"/>
  <c r="D12" i="1"/>
  <c r="C12" i="1"/>
  <c r="H11" i="1"/>
  <c r="G11" i="1"/>
  <c r="F11" i="1"/>
  <c r="E11" i="1"/>
  <c r="D11" i="1"/>
  <c r="C11" i="1"/>
  <c r="H10" i="1"/>
  <c r="G10" i="1"/>
  <c r="F10" i="1"/>
  <c r="E10" i="1"/>
  <c r="D10" i="1"/>
  <c r="C10" i="1"/>
  <c r="H9" i="1"/>
  <c r="G9" i="1"/>
  <c r="F9" i="1"/>
  <c r="E9" i="1"/>
  <c r="D9" i="1"/>
  <c r="C9" i="1"/>
  <c r="P3" i="1"/>
  <c r="P4" i="1" s="1"/>
  <c r="P5" i="1" s="1"/>
  <c r="P6" i="1" s="1"/>
  <c r="O3" i="1"/>
  <c r="O4" i="1" s="1"/>
  <c r="O5" i="1" s="1"/>
  <c r="O6" i="1" s="1"/>
  <c r="N3" i="1"/>
  <c r="N4" i="1" s="1"/>
  <c r="N5" i="1" s="1"/>
  <c r="N6" i="1" s="1"/>
  <c r="M3" i="1"/>
  <c r="M4" i="1" s="1"/>
  <c r="M5" i="1" s="1"/>
  <c r="M6" i="1" s="1"/>
  <c r="L3" i="1"/>
  <c r="L4" i="1" s="1"/>
  <c r="L5" i="1" s="1"/>
  <c r="L6" i="1" s="1"/>
  <c r="K3" i="1"/>
  <c r="K4" i="1" s="1"/>
  <c r="K5" i="1" s="1"/>
  <c r="K6" i="1" s="1"/>
  <c r="J3" i="1"/>
  <c r="J5" i="4" l="1"/>
  <c r="O16" i="4"/>
  <c r="N16" i="4"/>
  <c r="P16" i="4"/>
  <c r="M16" i="4"/>
  <c r="K16" i="4"/>
  <c r="L16" i="4"/>
  <c r="O36" i="9"/>
  <c r="P36" i="9"/>
  <c r="J15" i="9"/>
  <c r="K36" i="9"/>
  <c r="N36" i="9"/>
  <c r="L36" i="9"/>
  <c r="M36" i="9"/>
  <c r="M11" i="7"/>
  <c r="M12" i="7" s="1"/>
  <c r="N11" i="7"/>
  <c r="N12" i="7" s="1"/>
  <c r="P10" i="7"/>
  <c r="P11" i="7" s="1"/>
  <c r="P12" i="7" s="1"/>
  <c r="O10" i="7"/>
  <c r="O11" i="7" s="1"/>
  <c r="O12" i="7" s="1"/>
  <c r="M10" i="7"/>
  <c r="N10" i="7"/>
  <c r="L10" i="7"/>
  <c r="L11" i="7" s="1"/>
  <c r="L12" i="7" s="1"/>
  <c r="K10" i="7"/>
  <c r="K11" i="7" s="1"/>
  <c r="K12" i="7" s="1"/>
  <c r="J5" i="6"/>
  <c r="P18" i="6"/>
  <c r="O18" i="6"/>
  <c r="N18" i="6"/>
  <c r="M18" i="6"/>
  <c r="L18" i="6"/>
  <c r="K18" i="6"/>
  <c r="J4" i="3"/>
  <c r="L17" i="3"/>
  <c r="O17" i="3"/>
  <c r="N17" i="3"/>
  <c r="K17" i="3"/>
  <c r="M17" i="3"/>
  <c r="P17" i="3"/>
  <c r="P27" i="2"/>
  <c r="P28" i="2" s="1"/>
  <c r="N27" i="2"/>
  <c r="N28" i="2" s="1"/>
  <c r="O27" i="2"/>
  <c r="O28" i="2" s="1"/>
  <c r="J4" i="1"/>
  <c r="P10" i="1"/>
  <c r="O10" i="1"/>
  <c r="K10" i="1"/>
  <c r="N10" i="1"/>
  <c r="M10" i="1"/>
  <c r="L10" i="1"/>
  <c r="K33" i="5"/>
  <c r="O33" i="5"/>
  <c r="L33" i="5"/>
  <c r="M33" i="5"/>
  <c r="P33" i="5"/>
  <c r="N33" i="5"/>
  <c r="J6" i="4" l="1"/>
  <c r="M17" i="4"/>
  <c r="P17" i="4"/>
  <c r="K17" i="4"/>
  <c r="O17" i="4"/>
  <c r="N17" i="4"/>
  <c r="L17" i="4"/>
  <c r="L37" i="9"/>
  <c r="N37" i="9"/>
  <c r="O37" i="9"/>
  <c r="K37" i="9"/>
  <c r="J16" i="9"/>
  <c r="M37" i="9"/>
  <c r="P37" i="9"/>
  <c r="J6" i="6"/>
  <c r="O19" i="6"/>
  <c r="L19" i="6"/>
  <c r="K19" i="6"/>
  <c r="P19" i="6"/>
  <c r="N19" i="6"/>
  <c r="M19" i="6"/>
  <c r="J5" i="3"/>
  <c r="N18" i="3"/>
  <c r="O18" i="3"/>
  <c r="M18" i="3"/>
  <c r="L18" i="3"/>
  <c r="P18" i="3"/>
  <c r="K18" i="3"/>
  <c r="L27" i="2"/>
  <c r="L28" i="2" s="1"/>
  <c r="K27" i="2"/>
  <c r="K28" i="2" s="1"/>
  <c r="M27" i="2"/>
  <c r="M28" i="2" s="1"/>
  <c r="J5" i="1"/>
  <c r="K11" i="1"/>
  <c r="N11" i="1"/>
  <c r="P11" i="1"/>
  <c r="O11" i="1"/>
  <c r="M11" i="1"/>
  <c r="L11" i="1"/>
  <c r="J7" i="4" l="1"/>
  <c r="K18" i="4"/>
  <c r="L18" i="4"/>
  <c r="O18" i="4"/>
  <c r="N18" i="4"/>
  <c r="M18" i="4"/>
  <c r="P18" i="4"/>
  <c r="K38" i="9"/>
  <c r="L38" i="9"/>
  <c r="J17" i="9"/>
  <c r="O38" i="9"/>
  <c r="M38" i="9"/>
  <c r="N38" i="9"/>
  <c r="P38" i="9"/>
  <c r="J7" i="6"/>
  <c r="L20" i="6"/>
  <c r="K20" i="6"/>
  <c r="N20" i="6"/>
  <c r="M20" i="6"/>
  <c r="P20" i="6"/>
  <c r="O20" i="6"/>
  <c r="J6" i="3"/>
  <c r="P19" i="3"/>
  <c r="O19" i="3"/>
  <c r="K19" i="3"/>
  <c r="N19" i="3"/>
  <c r="M19" i="3"/>
  <c r="L19" i="3"/>
  <c r="J6" i="1"/>
  <c r="M12" i="1"/>
  <c r="L12" i="1"/>
  <c r="K12" i="1"/>
  <c r="O12" i="1"/>
  <c r="N12" i="1"/>
  <c r="P12" i="1"/>
  <c r="J8" i="4" l="1"/>
  <c r="M19" i="4"/>
  <c r="L19" i="4"/>
  <c r="K19" i="4"/>
  <c r="P19" i="4"/>
  <c r="O19" i="4"/>
  <c r="N19" i="4"/>
  <c r="M39" i="9"/>
  <c r="J18" i="9"/>
  <c r="N39" i="9"/>
  <c r="P39" i="9"/>
  <c r="L39" i="9"/>
  <c r="O39" i="9"/>
  <c r="K39" i="9"/>
  <c r="J8" i="6"/>
  <c r="N21" i="6"/>
  <c r="K21" i="6"/>
  <c r="P21" i="6"/>
  <c r="M21" i="6"/>
  <c r="L21" i="6"/>
  <c r="O21" i="6"/>
  <c r="J7" i="3"/>
  <c r="M20" i="3"/>
  <c r="L20" i="3"/>
  <c r="K20" i="3"/>
  <c r="P20" i="3"/>
  <c r="O20" i="3"/>
  <c r="N20" i="3"/>
  <c r="P13" i="1"/>
  <c r="P14" i="1" s="1"/>
  <c r="P15" i="1" s="1"/>
  <c r="O13" i="1"/>
  <c r="O14" i="1" s="1"/>
  <c r="O15" i="1" s="1"/>
  <c r="N13" i="1"/>
  <c r="N14" i="1" s="1"/>
  <c r="N15" i="1" s="1"/>
  <c r="M13" i="1"/>
  <c r="M14" i="1" s="1"/>
  <c r="M15" i="1" s="1"/>
  <c r="L13" i="1"/>
  <c r="L14" i="1" s="1"/>
  <c r="L15" i="1" s="1"/>
  <c r="K13" i="1"/>
  <c r="K14" i="1" s="1"/>
  <c r="K15" i="1" s="1"/>
  <c r="J9" i="4" l="1"/>
  <c r="O20" i="4"/>
  <c r="N20" i="4"/>
  <c r="P20" i="4"/>
  <c r="M20" i="4"/>
  <c r="L20" i="4"/>
  <c r="K20" i="4"/>
  <c r="O40" i="9"/>
  <c r="P40" i="9"/>
  <c r="L40" i="9"/>
  <c r="M40" i="9"/>
  <c r="J19" i="9"/>
  <c r="K40" i="9"/>
  <c r="N40" i="9"/>
  <c r="J9" i="6"/>
  <c r="P22" i="6"/>
  <c r="O22" i="6"/>
  <c r="N22" i="6"/>
  <c r="M22" i="6"/>
  <c r="L22" i="6"/>
  <c r="K22" i="6"/>
  <c r="J8" i="3"/>
  <c r="L21" i="3"/>
  <c r="N21" i="3"/>
  <c r="M21" i="3"/>
  <c r="K21" i="3"/>
  <c r="O21" i="3"/>
  <c r="P21" i="3"/>
  <c r="J10" i="4" l="1"/>
  <c r="L21" i="4"/>
  <c r="P21" i="4"/>
  <c r="M21" i="4"/>
  <c r="K21" i="4"/>
  <c r="O21" i="4"/>
  <c r="N21" i="4"/>
  <c r="M41" i="9"/>
  <c r="P41" i="9"/>
  <c r="K41" i="9"/>
  <c r="L41" i="9"/>
  <c r="N41" i="9"/>
  <c r="O41" i="9"/>
  <c r="J20" i="9"/>
  <c r="J10" i="6"/>
  <c r="O23" i="6"/>
  <c r="L23" i="6"/>
  <c r="P23" i="6"/>
  <c r="K23" i="6"/>
  <c r="N23" i="6"/>
  <c r="M23" i="6"/>
  <c r="J9" i="3"/>
  <c r="N22" i="3"/>
  <c r="M22" i="3"/>
  <c r="L22" i="3"/>
  <c r="K22" i="3"/>
  <c r="P22" i="3"/>
  <c r="O22" i="3"/>
  <c r="J11" i="4" l="1"/>
  <c r="K22" i="4"/>
  <c r="M22" i="4"/>
  <c r="L22" i="4"/>
  <c r="N22" i="4"/>
  <c r="P22" i="4"/>
  <c r="O22" i="4"/>
  <c r="K42" i="9"/>
  <c r="J21" i="9"/>
  <c r="L42" i="9"/>
  <c r="N42" i="9"/>
  <c r="M42" i="9"/>
  <c r="O42" i="9"/>
  <c r="P42" i="9"/>
  <c r="J11" i="6"/>
  <c r="L24" i="6"/>
  <c r="K24" i="6"/>
  <c r="M24" i="6"/>
  <c r="P24" i="6"/>
  <c r="O24" i="6"/>
  <c r="N24" i="6"/>
  <c r="J10" i="3"/>
  <c r="P23" i="3"/>
  <c r="O23" i="3"/>
  <c r="L23" i="3"/>
  <c r="N23" i="3"/>
  <c r="K23" i="3"/>
  <c r="M23" i="3"/>
  <c r="M23" i="4" l="1"/>
  <c r="M24" i="4" s="1"/>
  <c r="M25" i="4" s="1"/>
  <c r="L23" i="4"/>
  <c r="L24" i="4" s="1"/>
  <c r="L25" i="4" s="1"/>
  <c r="P23" i="4"/>
  <c r="P24" i="4" s="1"/>
  <c r="P25" i="4" s="1"/>
  <c r="K23" i="4"/>
  <c r="K24" i="4" s="1"/>
  <c r="K25" i="4" s="1"/>
  <c r="O23" i="4"/>
  <c r="O24" i="4" s="1"/>
  <c r="O25" i="4" s="1"/>
  <c r="N23" i="4"/>
  <c r="N24" i="4" s="1"/>
  <c r="N25" i="4" s="1"/>
  <c r="M43" i="9"/>
  <c r="M44" i="9" s="1"/>
  <c r="M45" i="9" s="1"/>
  <c r="N43" i="9"/>
  <c r="N44" i="9" s="1"/>
  <c r="N45" i="9" s="1"/>
  <c r="K43" i="9"/>
  <c r="K44" i="9" s="1"/>
  <c r="K45" i="9" s="1"/>
  <c r="O43" i="9"/>
  <c r="O44" i="9" s="1"/>
  <c r="O45" i="9" s="1"/>
  <c r="P43" i="9"/>
  <c r="P44" i="9" s="1"/>
  <c r="P45" i="9" s="1"/>
  <c r="L43" i="9"/>
  <c r="L44" i="9" s="1"/>
  <c r="L45" i="9" s="1"/>
  <c r="J12" i="6"/>
  <c r="N25" i="6"/>
  <c r="O25" i="6"/>
  <c r="M25" i="6"/>
  <c r="L25" i="6"/>
  <c r="K25" i="6"/>
  <c r="P25" i="6"/>
  <c r="J11" i="3"/>
  <c r="N24" i="3"/>
  <c r="L24" i="3"/>
  <c r="M24" i="3"/>
  <c r="P24" i="3"/>
  <c r="K24" i="3"/>
  <c r="O24" i="3"/>
  <c r="P26" i="6" l="1"/>
  <c r="P27" i="6" s="1"/>
  <c r="P28" i="6" s="1"/>
  <c r="O26" i="6"/>
  <c r="O27" i="6" s="1"/>
  <c r="O28" i="6" s="1"/>
  <c r="M26" i="6"/>
  <c r="M27" i="6" s="1"/>
  <c r="M28" i="6" s="1"/>
  <c r="N26" i="6"/>
  <c r="N27" i="6" s="1"/>
  <c r="N28" i="6" s="1"/>
  <c r="L26" i="6"/>
  <c r="L27" i="6" s="1"/>
  <c r="L28" i="6" s="1"/>
  <c r="K26" i="6"/>
  <c r="K27" i="6" s="1"/>
  <c r="K28" i="6" s="1"/>
  <c r="J12" i="3"/>
  <c r="L25" i="3"/>
  <c r="M25" i="3"/>
  <c r="K25" i="3"/>
  <c r="N25" i="3"/>
  <c r="P25" i="3"/>
  <c r="O25" i="3"/>
  <c r="J13" i="3" l="1"/>
  <c r="N26" i="3"/>
  <c r="M26" i="3"/>
  <c r="O26" i="3"/>
  <c r="L26" i="3"/>
  <c r="P26" i="3"/>
  <c r="K26" i="3"/>
  <c r="P27" i="3" l="1"/>
  <c r="P28" i="3" s="1"/>
  <c r="P29" i="3" s="1"/>
  <c r="K27" i="3"/>
  <c r="K28" i="3" s="1"/>
  <c r="K29" i="3" s="1"/>
  <c r="O27" i="3"/>
  <c r="O28" i="3" s="1"/>
  <c r="O29" i="3" s="1"/>
  <c r="N27" i="3"/>
  <c r="N28" i="3" s="1"/>
  <c r="N29" i="3" s="1"/>
  <c r="M27" i="3"/>
  <c r="M28" i="3" s="1"/>
  <c r="M29" i="3" s="1"/>
  <c r="L27" i="3"/>
  <c r="L28" i="3" s="1"/>
  <c r="L29" i="3" s="1"/>
</calcChain>
</file>

<file path=xl/sharedStrings.xml><?xml version="1.0" encoding="utf-8"?>
<sst xmlns="http://schemas.openxmlformats.org/spreadsheetml/2006/main" count="565" uniqueCount="117">
  <si>
    <t>ALÉM PARAÍBA</t>
  </si>
  <si>
    <t>ESTRELA DALVA</t>
  </si>
  <si>
    <t>PIRAPETINGA</t>
  </si>
  <si>
    <t>SANTO ANTÔNIO DO AVENTUREIRO</t>
  </si>
  <si>
    <t>VOLTA GRANDE</t>
  </si>
  <si>
    <t>CARANGOLA</t>
  </si>
  <si>
    <t>CAIANA</t>
  </si>
  <si>
    <t>CAPARAÓ</t>
  </si>
  <si>
    <t>DIVINO</t>
  </si>
  <si>
    <t>ESPERA FELIZ</t>
  </si>
  <si>
    <t>FARIA LEMOS</t>
  </si>
  <si>
    <t>FERVEDOURO</t>
  </si>
  <si>
    <t>ORIZÂNIA</t>
  </si>
  <si>
    <t>PEDRA BONITA</t>
  </si>
  <si>
    <t>PEDRA DOURADA</t>
  </si>
  <si>
    <t>TOMBOS</t>
  </si>
  <si>
    <t>JUIZ DE FORA</t>
  </si>
  <si>
    <t>BELMIRO BRAGA</t>
  </si>
  <si>
    <t>CHÁCARA</t>
  </si>
  <si>
    <t>CHIADOR</t>
  </si>
  <si>
    <t>CORONEL PACHECO</t>
  </si>
  <si>
    <t>EWBANK DA CÂMARA</t>
  </si>
  <si>
    <t>GOIANÁ</t>
  </si>
  <si>
    <t>MATIAS BARBOSA</t>
  </si>
  <si>
    <t>PIAU</t>
  </si>
  <si>
    <t>RIO NOVO</t>
  </si>
  <si>
    <t>SANTANA DO DESERTO</t>
  </si>
  <si>
    <t>SIMÃO PEREIRA</t>
  </si>
  <si>
    <t>ARGIRITA</t>
  </si>
  <si>
    <t>ASTOLFO DUTRA</t>
  </si>
  <si>
    <t>CATAGUASES</t>
  </si>
  <si>
    <t>DONA EUZÉBIA</t>
  </si>
  <si>
    <t>ITAMARATI DE MINAS</t>
  </si>
  <si>
    <t>LARANJAL</t>
  </si>
  <si>
    <t>LEOPOLDINA</t>
  </si>
  <si>
    <t>PALMA</t>
  </si>
  <si>
    <t>RECREIO</t>
  </si>
  <si>
    <t>SANTANA DE CATAGUASES</t>
  </si>
  <si>
    <t>LIMA DUARTE</t>
  </si>
  <si>
    <t>ANDRELÂNDIA</t>
  </si>
  <si>
    <t>ARANTINA</t>
  </si>
  <si>
    <t>BIAS FORTES</t>
  </si>
  <si>
    <t>BOCAINA DE MINAS</t>
  </si>
  <si>
    <t>BOM JARDIM DE MINAS</t>
  </si>
  <si>
    <t>LIBERDADE</t>
  </si>
  <si>
    <t>OLARIA</t>
  </si>
  <si>
    <t>PASSA VINTE</t>
  </si>
  <si>
    <t>PEDRO TEIXEIRA</t>
  </si>
  <si>
    <t>RIO PRETO</t>
  </si>
  <si>
    <t>SANTA BÁRBARA DO MONTE VERDE</t>
  </si>
  <si>
    <t>SANTA RITA DE JACUTINGA</t>
  </si>
  <si>
    <t>MURIAÉ</t>
  </si>
  <si>
    <t>ANTÔNIO PRADO DE MINAS</t>
  </si>
  <si>
    <t>BARÃO DE MONTE ALTO</t>
  </si>
  <si>
    <t>EUGENÓPOLIS</t>
  </si>
  <si>
    <t>MIRADOURO</t>
  </si>
  <si>
    <t>MIRAÍ</t>
  </si>
  <si>
    <t>PATROCÍNIO DO MURIAÉ</t>
  </si>
  <si>
    <t>ROSÁRIO DA LIMEIRA</t>
  </si>
  <si>
    <t>SÃO FRANCISCO DO GLÓRIA</t>
  </si>
  <si>
    <t>SÃO SEBASTIÃO DA VARGEM ALEGRE</t>
  </si>
  <si>
    <t>VIEIRAS</t>
  </si>
  <si>
    <t>SANTOS DUMONT</t>
  </si>
  <si>
    <t>ARACITABA</t>
  </si>
  <si>
    <t>OLIVEIRA FORTES</t>
  </si>
  <si>
    <t>BICAS</t>
  </si>
  <si>
    <t>DESCOBERTO</t>
  </si>
  <si>
    <t>GUARARÁ</t>
  </si>
  <si>
    <t>MAR DE ESPANHA</t>
  </si>
  <si>
    <t>MARIPÁ DE MINAS</t>
  </si>
  <si>
    <t>PEQUERI</t>
  </si>
  <si>
    <t>ROCHEDO DE MINAS</t>
  </si>
  <si>
    <t>SÃO JOÃO NEPOMUCENO</t>
  </si>
  <si>
    <t>SENADOR CORTES</t>
  </si>
  <si>
    <t>UBÁ</t>
  </si>
  <si>
    <t>BRÁS PIRES</t>
  </si>
  <si>
    <t>COIMBRA</t>
  </si>
  <si>
    <t>DIVINÉSIA</t>
  </si>
  <si>
    <t>DORES DO TURVO</t>
  </si>
  <si>
    <t>ERVÁLIA</t>
  </si>
  <si>
    <t>GUARANI</t>
  </si>
  <si>
    <t>GUIDOVAL</t>
  </si>
  <si>
    <t>GUIRICEMA</t>
  </si>
  <si>
    <t>MERCÊS</t>
  </si>
  <si>
    <t>PIRAÚBA</t>
  </si>
  <si>
    <t>PRESIDENTE BERNARDES</t>
  </si>
  <si>
    <t>RIO POMBA</t>
  </si>
  <si>
    <t>RODEIRO</t>
  </si>
  <si>
    <t>SÃO GERALDO</t>
  </si>
  <si>
    <t>SENADOR FIRMINO</t>
  </si>
  <si>
    <t>SILVEIRÂNIA</t>
  </si>
  <si>
    <t>TABULEIRO</t>
  </si>
  <si>
    <t>TOCANTINS</t>
  </si>
  <si>
    <t>VISCONDE DO RIO BRANCO</t>
  </si>
  <si>
    <t>MUNICÍPIO</t>
  </si>
  <si>
    <t>Pop</t>
  </si>
  <si>
    <t>Prod 2019</t>
  </si>
  <si>
    <t>Prod 2020</t>
  </si>
  <si>
    <t>Prod 2021</t>
  </si>
  <si>
    <t>Prod 2022</t>
  </si>
  <si>
    <t>Prod 2023-1-2</t>
  </si>
  <si>
    <t>Prod 2023-3</t>
  </si>
  <si>
    <t>Dif 2019</t>
  </si>
  <si>
    <t>Dif 2020</t>
  </si>
  <si>
    <t>Dif 2021</t>
  </si>
  <si>
    <t>Dif 2022</t>
  </si>
  <si>
    <t>Dif 2023 1-2</t>
  </si>
  <si>
    <t>Dif 2023 3</t>
  </si>
  <si>
    <t>area_2019</t>
  </si>
  <si>
    <t>area_2020</t>
  </si>
  <si>
    <t>area_2021</t>
  </si>
  <si>
    <t>area_2022</t>
  </si>
  <si>
    <t>area_2023-1-2</t>
  </si>
  <si>
    <t>area_2023-3</t>
  </si>
  <si>
    <t>SOMA_ÁREAS</t>
  </si>
  <si>
    <t>GINI (1-ÁREA)</t>
  </si>
  <si>
    <t>SÃO DOMINGOS DO PRATA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</si>
</sst>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theme="4" tint="0.79998168889431442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theme="4" tint="0.79998168889431442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2" fillId="3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vertical="center"/>
    </xf>
    <xf numFmtId="0" fontId="2" fillId="6" borderId="1" xfId="0" applyFont="1" applyFill="1" applyBorder="1" applyAlignment="1">
      <alignment vertical="center" wrapText="1"/>
    </xf>
    <xf numFmtId="0" fontId="2" fillId="7" borderId="1" xfId="0" applyFont="1" applyFill="1" applyBorder="1" applyAlignment="1">
      <alignment vertical="center" wrapText="1"/>
    </xf>
    <xf numFmtId="0" fontId="0" fillId="0" borderId="1" xfId="0" applyBorder="1"/>
    <xf numFmtId="2" fontId="0" fillId="0" borderId="1" xfId="0" applyNumberFormat="1" applyBorder="1"/>
    <xf numFmtId="2" fontId="0" fillId="0" borderId="1" xfId="0" applyNumberFormat="1" applyBorder="1" applyAlignment="1">
      <alignment vertical="center" wrapText="1"/>
    </xf>
    <xf numFmtId="0" fontId="0" fillId="8" borderId="1" xfId="0" applyFill="1" applyBorder="1"/>
    <xf numFmtId="0" fontId="2" fillId="7" borderId="1" xfId="0" applyFont="1" applyFill="1" applyBorder="1"/>
    <xf numFmtId="0" fontId="0" fillId="8" borderId="1" xfId="0" applyFill="1" applyBorder="1" applyAlignment="1">
      <alignment horizontal="left" indent="2"/>
    </xf>
    <xf numFmtId="0" fontId="2" fillId="7" borderId="1" xfId="0" applyFont="1" applyFill="1" applyBorder="1" applyAlignment="1">
      <alignment horizontal="left" indent="2"/>
    </xf>
    <xf numFmtId="2" fontId="0" fillId="0" borderId="2" xfId="0" applyNumberFormat="1" applyBorder="1"/>
    <xf numFmtId="2" fontId="0" fillId="0" borderId="1" xfId="1" applyNumberFormat="1" applyFont="1" applyBorder="1"/>
    <xf numFmtId="0" fontId="0" fillId="0" borderId="1" xfId="0" applyBorder="1" applyAlignment="1">
      <alignment horizontal="left" indent="2"/>
    </xf>
    <xf numFmtId="10" fontId="0" fillId="0" borderId="1" xfId="0" applyNumberFormat="1" applyBorder="1" applyAlignment="1">
      <alignment vertical="center" wrapText="1"/>
    </xf>
    <xf numFmtId="0" fontId="0" fillId="0" borderId="0" xfId="0" applyAlignment="1">
      <alignment horizontal="left" indent="2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'ALÉM PARAÍBA'!$J$1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'ALÉM PARAÍBA'!$I$2:$I$6</c:f>
              <c:numCache>
                <c:formatCode>0.00</c:formatCode>
                <c:ptCount val="5"/>
                <c:pt idx="0">
                  <c:v>4.0202755665487991E-2</c:v>
                </c:pt>
                <c:pt idx="1">
                  <c:v>0.10294553118848961</c:v>
                </c:pt>
                <c:pt idx="2">
                  <c:v>0.19474298454946087</c:v>
                </c:pt>
                <c:pt idx="3">
                  <c:v>0.38271002804438325</c:v>
                </c:pt>
                <c:pt idx="4">
                  <c:v>1</c:v>
                </c:pt>
              </c:numCache>
            </c:numRef>
          </c:xVal>
          <c:yVal>
            <c:numRef>
              <c:f>'ALÉM PARAÍBA'!$J$2:$J$6</c:f>
              <c:numCache>
                <c:formatCode>0.00</c:formatCode>
                <c:ptCount val="5"/>
                <c:pt idx="0">
                  <c:v>4.0202755665487991E-2</c:v>
                </c:pt>
                <c:pt idx="1">
                  <c:v>0.10294553118848961</c:v>
                </c:pt>
                <c:pt idx="2">
                  <c:v>0.19474298454946087</c:v>
                </c:pt>
                <c:pt idx="3">
                  <c:v>0.38271002804438325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550-437F-977F-AC0A0AA9D7F5}"/>
            </c:ext>
          </c:extLst>
        </c:ser>
        <c:ser>
          <c:idx val="1"/>
          <c:order val="1"/>
          <c:tx>
            <c:strRef>
              <c:f>'ALÉM PARAÍBA'!$K$1</c:f>
              <c:strCache>
                <c:ptCount val="1"/>
                <c:pt idx="0">
                  <c:v>Prod 2019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'ALÉM PARAÍBA'!$I$2:$I$6</c:f>
              <c:numCache>
                <c:formatCode>0.00</c:formatCode>
                <c:ptCount val="5"/>
                <c:pt idx="0">
                  <c:v>4.0202755665487991E-2</c:v>
                </c:pt>
                <c:pt idx="1">
                  <c:v>0.10294553118848961</c:v>
                </c:pt>
                <c:pt idx="2">
                  <c:v>0.19474298454946087</c:v>
                </c:pt>
                <c:pt idx="3">
                  <c:v>0.38271002804438325</c:v>
                </c:pt>
                <c:pt idx="4">
                  <c:v>1</c:v>
                </c:pt>
              </c:numCache>
            </c:numRef>
          </c:xVal>
          <c:yVal>
            <c:numRef>
              <c:f>'ALÉM PARAÍBA'!$K$2:$K$6</c:f>
              <c:numCache>
                <c:formatCode>0.00</c:formatCode>
                <c:ptCount val="5"/>
                <c:pt idx="0">
                  <c:v>9.433962264150943E-3</c:v>
                </c:pt>
                <c:pt idx="1">
                  <c:v>4.7169811320754713E-2</c:v>
                </c:pt>
                <c:pt idx="2">
                  <c:v>0.23584905660377359</c:v>
                </c:pt>
                <c:pt idx="3">
                  <c:v>0.57547169811320753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550-437F-977F-AC0A0AA9D7F5}"/>
            </c:ext>
          </c:extLst>
        </c:ser>
        <c:ser>
          <c:idx val="2"/>
          <c:order val="2"/>
          <c:tx>
            <c:strRef>
              <c:f>'ALÉM PARAÍBA'!$L$1</c:f>
              <c:strCache>
                <c:ptCount val="1"/>
                <c:pt idx="0">
                  <c:v>Prod 2020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'ALÉM PARAÍBA'!$I$2:$I$6</c:f>
              <c:numCache>
                <c:formatCode>0.00</c:formatCode>
                <c:ptCount val="5"/>
                <c:pt idx="0">
                  <c:v>4.0202755665487991E-2</c:v>
                </c:pt>
                <c:pt idx="1">
                  <c:v>0.10294553118848961</c:v>
                </c:pt>
                <c:pt idx="2">
                  <c:v>0.19474298454946087</c:v>
                </c:pt>
                <c:pt idx="3">
                  <c:v>0.38271002804438325</c:v>
                </c:pt>
                <c:pt idx="4">
                  <c:v>1</c:v>
                </c:pt>
              </c:numCache>
            </c:numRef>
          </c:xVal>
          <c:yVal>
            <c:numRef>
              <c:f>'ALÉM PARAÍBA'!$L$2:$L$6</c:f>
              <c:numCache>
                <c:formatCode>0.00</c:formatCode>
                <c:ptCount val="5"/>
                <c:pt idx="0">
                  <c:v>4.6511627906976744E-2</c:v>
                </c:pt>
                <c:pt idx="1">
                  <c:v>9.3023255813953487E-2</c:v>
                </c:pt>
                <c:pt idx="2">
                  <c:v>0.39534883720930231</c:v>
                </c:pt>
                <c:pt idx="3">
                  <c:v>0.62790697674418605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550-437F-977F-AC0A0AA9D7F5}"/>
            </c:ext>
          </c:extLst>
        </c:ser>
        <c:ser>
          <c:idx val="3"/>
          <c:order val="3"/>
          <c:tx>
            <c:strRef>
              <c:f>'ALÉM PARAÍBA'!$M$1</c:f>
              <c:strCache>
                <c:ptCount val="1"/>
                <c:pt idx="0">
                  <c:v>Prod 2021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'ALÉM PARAÍBA'!$I$2:$I$6</c:f>
              <c:numCache>
                <c:formatCode>0.00</c:formatCode>
                <c:ptCount val="5"/>
                <c:pt idx="0">
                  <c:v>4.0202755665487991E-2</c:v>
                </c:pt>
                <c:pt idx="1">
                  <c:v>0.10294553118848961</c:v>
                </c:pt>
                <c:pt idx="2">
                  <c:v>0.19474298454946087</c:v>
                </c:pt>
                <c:pt idx="3">
                  <c:v>0.38271002804438325</c:v>
                </c:pt>
                <c:pt idx="4">
                  <c:v>1</c:v>
                </c:pt>
              </c:numCache>
            </c:numRef>
          </c:xVal>
          <c:yVal>
            <c:numRef>
              <c:f>'ALÉM PARAÍBA'!$M$2:$M$6</c:f>
              <c:numCache>
                <c:formatCode>0.00</c:formatCode>
                <c:ptCount val="5"/>
                <c:pt idx="0">
                  <c:v>3.125E-2</c:v>
                </c:pt>
                <c:pt idx="1">
                  <c:v>7.8125E-2</c:v>
                </c:pt>
                <c:pt idx="2">
                  <c:v>0.265625</c:v>
                </c:pt>
                <c:pt idx="3">
                  <c:v>0.765625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550-437F-977F-AC0A0AA9D7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8359184"/>
        <c:axId val="388353424"/>
      </c:scatterChart>
      <c:valAx>
        <c:axId val="388359184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88353424"/>
        <c:crosses val="autoZero"/>
        <c:crossBetween val="midCat"/>
      </c:valAx>
      <c:valAx>
        <c:axId val="38835342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883591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'ALÉM PARAÍBA'!$J$1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'ALÉM PARAÍBA'!$I$2:$I$6</c:f>
              <c:numCache>
                <c:formatCode>0.00</c:formatCode>
                <c:ptCount val="5"/>
                <c:pt idx="0">
                  <c:v>4.0202755665487991E-2</c:v>
                </c:pt>
                <c:pt idx="1">
                  <c:v>0.10294553118848961</c:v>
                </c:pt>
                <c:pt idx="2">
                  <c:v>0.19474298454946087</c:v>
                </c:pt>
                <c:pt idx="3">
                  <c:v>0.38271002804438325</c:v>
                </c:pt>
                <c:pt idx="4">
                  <c:v>1</c:v>
                </c:pt>
              </c:numCache>
            </c:numRef>
          </c:xVal>
          <c:yVal>
            <c:numRef>
              <c:f>'ALÉM PARAÍBA'!$J$2:$J$6</c:f>
              <c:numCache>
                <c:formatCode>0.00</c:formatCode>
                <c:ptCount val="5"/>
                <c:pt idx="0">
                  <c:v>4.0202755665487991E-2</c:v>
                </c:pt>
                <c:pt idx="1">
                  <c:v>0.10294553118848961</c:v>
                </c:pt>
                <c:pt idx="2">
                  <c:v>0.19474298454946087</c:v>
                </c:pt>
                <c:pt idx="3">
                  <c:v>0.38271002804438325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D36-46A1-BAAC-B65B4FF36EA3}"/>
            </c:ext>
          </c:extLst>
        </c:ser>
        <c:ser>
          <c:idx val="1"/>
          <c:order val="1"/>
          <c:tx>
            <c:strRef>
              <c:f>'ALÉM PARAÍBA'!$N$1</c:f>
              <c:strCache>
                <c:ptCount val="1"/>
                <c:pt idx="0">
                  <c:v>Prod 2022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'ALÉM PARAÍBA'!$I$2:$I$6</c:f>
              <c:numCache>
                <c:formatCode>0.00</c:formatCode>
                <c:ptCount val="5"/>
                <c:pt idx="0">
                  <c:v>4.0202755665487991E-2</c:v>
                </c:pt>
                <c:pt idx="1">
                  <c:v>0.10294553118848961</c:v>
                </c:pt>
                <c:pt idx="2">
                  <c:v>0.19474298454946087</c:v>
                </c:pt>
                <c:pt idx="3">
                  <c:v>0.38271002804438325</c:v>
                </c:pt>
                <c:pt idx="4">
                  <c:v>1</c:v>
                </c:pt>
              </c:numCache>
            </c:numRef>
          </c:xVal>
          <c:yVal>
            <c:numRef>
              <c:f>'ALÉM PARAÍBA'!$N$2:$N$6</c:f>
              <c:numCache>
                <c:formatCode>0.00</c:formatCode>
                <c:ptCount val="5"/>
                <c:pt idx="0">
                  <c:v>0</c:v>
                </c:pt>
                <c:pt idx="1">
                  <c:v>7.1428571428571425E-2</c:v>
                </c:pt>
                <c:pt idx="2">
                  <c:v>0.14285714285714285</c:v>
                </c:pt>
                <c:pt idx="3">
                  <c:v>0.4642857142857143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D36-46A1-BAAC-B65B4FF36EA3}"/>
            </c:ext>
          </c:extLst>
        </c:ser>
        <c:ser>
          <c:idx val="2"/>
          <c:order val="2"/>
          <c:tx>
            <c:strRef>
              <c:f>'ALÉM PARAÍBA'!$O$1</c:f>
              <c:strCache>
                <c:ptCount val="1"/>
                <c:pt idx="0">
                  <c:v>Prod 2023-1-2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'ALÉM PARAÍBA'!$I$2:$I$6</c:f>
              <c:numCache>
                <c:formatCode>0.00</c:formatCode>
                <c:ptCount val="5"/>
                <c:pt idx="0">
                  <c:v>4.0202755665487991E-2</c:v>
                </c:pt>
                <c:pt idx="1">
                  <c:v>0.10294553118848961</c:v>
                </c:pt>
                <c:pt idx="2">
                  <c:v>0.19474298454946087</c:v>
                </c:pt>
                <c:pt idx="3">
                  <c:v>0.38271002804438325</c:v>
                </c:pt>
                <c:pt idx="4">
                  <c:v>1</c:v>
                </c:pt>
              </c:numCache>
            </c:numRef>
          </c:xVal>
          <c:yVal>
            <c:numRef>
              <c:f>'ALÉM PARAÍBA'!$O$2:$O$6</c:f>
              <c:numCache>
                <c:formatCode>0.00</c:formatCode>
                <c:ptCount val="5"/>
                <c:pt idx="0">
                  <c:v>4.3010752688172046E-2</c:v>
                </c:pt>
                <c:pt idx="1">
                  <c:v>0.18279569892473119</c:v>
                </c:pt>
                <c:pt idx="2">
                  <c:v>0.27956989247311825</c:v>
                </c:pt>
                <c:pt idx="3">
                  <c:v>0.4946236559139785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D36-46A1-BAAC-B65B4FF36EA3}"/>
            </c:ext>
          </c:extLst>
        </c:ser>
        <c:ser>
          <c:idx val="3"/>
          <c:order val="3"/>
          <c:tx>
            <c:strRef>
              <c:f>'ALÉM PARAÍBA'!$P$1</c:f>
              <c:strCache>
                <c:ptCount val="1"/>
                <c:pt idx="0">
                  <c:v>Prod 2023-3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'ALÉM PARAÍBA'!$I$2:$I$6</c:f>
              <c:numCache>
                <c:formatCode>0.00</c:formatCode>
                <c:ptCount val="5"/>
                <c:pt idx="0">
                  <c:v>4.0202755665487991E-2</c:v>
                </c:pt>
                <c:pt idx="1">
                  <c:v>0.10294553118848961</c:v>
                </c:pt>
                <c:pt idx="2">
                  <c:v>0.19474298454946087</c:v>
                </c:pt>
                <c:pt idx="3">
                  <c:v>0.38271002804438325</c:v>
                </c:pt>
                <c:pt idx="4">
                  <c:v>1</c:v>
                </c:pt>
              </c:numCache>
            </c:numRef>
          </c:xVal>
          <c:yVal>
            <c:numRef>
              <c:f>'ALÉM PARAÍBA'!$P$2:$P$6</c:f>
              <c:numCache>
                <c:formatCode>0.00</c:formatCode>
                <c:ptCount val="5"/>
                <c:pt idx="0">
                  <c:v>8.1632653061224483E-2</c:v>
                </c:pt>
                <c:pt idx="1">
                  <c:v>0.26530612244897961</c:v>
                </c:pt>
                <c:pt idx="2">
                  <c:v>0.34693877551020408</c:v>
                </c:pt>
                <c:pt idx="3">
                  <c:v>0.48979591836734693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D36-46A1-BAAC-B65B4FF36E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387488"/>
        <c:axId val="388102384"/>
      </c:scatterChart>
      <c:valAx>
        <c:axId val="195387488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88102384"/>
        <c:crosses val="autoZero"/>
        <c:crossBetween val="midCat"/>
      </c:valAx>
      <c:valAx>
        <c:axId val="38810238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53874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CARANGOLA!$J$1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CARANGOLA!$I$2:$I$12</c:f>
              <c:numCache>
                <c:formatCode>0.00</c:formatCode>
                <c:ptCount val="11"/>
                <c:pt idx="0">
                  <c:v>1.9804049034175333E-2</c:v>
                </c:pt>
                <c:pt idx="1">
                  <c:v>4.4584262010896478E-2</c:v>
                </c:pt>
                <c:pt idx="2">
                  <c:v>8.687004705299653E-2</c:v>
                </c:pt>
                <c:pt idx="3">
                  <c:v>0.13008450965824664</c:v>
                </c:pt>
                <c:pt idx="4">
                  <c:v>0.18547238732045565</c:v>
                </c:pt>
                <c:pt idx="5">
                  <c:v>0.24493096830113914</c:v>
                </c:pt>
                <c:pt idx="6">
                  <c:v>0.30791078504210001</c:v>
                </c:pt>
                <c:pt idx="7">
                  <c:v>0.39381345963348191</c:v>
                </c:pt>
                <c:pt idx="8">
                  <c:v>0.54874783308568598</c:v>
                </c:pt>
                <c:pt idx="9">
                  <c:v>0.74444341258048541</c:v>
                </c:pt>
                <c:pt idx="10">
                  <c:v>1</c:v>
                </c:pt>
              </c:numCache>
            </c:numRef>
          </c:xVal>
          <c:yVal>
            <c:numRef>
              <c:f>CARANGOLA!$J$2:$J$12</c:f>
              <c:numCache>
                <c:formatCode>0.00</c:formatCode>
                <c:ptCount val="11"/>
                <c:pt idx="0">
                  <c:v>1.9804049034175333E-2</c:v>
                </c:pt>
                <c:pt idx="1">
                  <c:v>4.4584262010896478E-2</c:v>
                </c:pt>
                <c:pt idx="2">
                  <c:v>8.687004705299653E-2</c:v>
                </c:pt>
                <c:pt idx="3">
                  <c:v>0.13008450965824664</c:v>
                </c:pt>
                <c:pt idx="4">
                  <c:v>0.18547238732045565</c:v>
                </c:pt>
                <c:pt idx="5">
                  <c:v>0.24493096830113914</c:v>
                </c:pt>
                <c:pt idx="6">
                  <c:v>0.30791078504210001</c:v>
                </c:pt>
                <c:pt idx="7">
                  <c:v>0.39381345963348191</c:v>
                </c:pt>
                <c:pt idx="8">
                  <c:v>0.54874783308568598</c:v>
                </c:pt>
                <c:pt idx="9">
                  <c:v>0.74444341258048541</c:v>
                </c:pt>
                <c:pt idx="1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F19-4B9C-8DE0-FD0D7A5DFB33}"/>
            </c:ext>
          </c:extLst>
        </c:ser>
        <c:ser>
          <c:idx val="1"/>
          <c:order val="1"/>
          <c:tx>
            <c:strRef>
              <c:f>CARANGOLA!$K$1</c:f>
              <c:strCache>
                <c:ptCount val="1"/>
                <c:pt idx="0">
                  <c:v>Prod 2019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CARANGOLA!$I$2:$I$12</c:f>
              <c:numCache>
                <c:formatCode>0.00</c:formatCode>
                <c:ptCount val="11"/>
                <c:pt idx="0">
                  <c:v>1.9804049034175333E-2</c:v>
                </c:pt>
                <c:pt idx="1">
                  <c:v>4.4584262010896478E-2</c:v>
                </c:pt>
                <c:pt idx="2">
                  <c:v>8.687004705299653E-2</c:v>
                </c:pt>
                <c:pt idx="3">
                  <c:v>0.13008450965824664</c:v>
                </c:pt>
                <c:pt idx="4">
                  <c:v>0.18547238732045565</c:v>
                </c:pt>
                <c:pt idx="5">
                  <c:v>0.24493096830113914</c:v>
                </c:pt>
                <c:pt idx="6">
                  <c:v>0.30791078504210001</c:v>
                </c:pt>
                <c:pt idx="7">
                  <c:v>0.39381345963348191</c:v>
                </c:pt>
                <c:pt idx="8">
                  <c:v>0.54874783308568598</c:v>
                </c:pt>
                <c:pt idx="9">
                  <c:v>0.74444341258048541</c:v>
                </c:pt>
                <c:pt idx="10">
                  <c:v>1</c:v>
                </c:pt>
              </c:numCache>
            </c:numRef>
          </c:xVal>
          <c:yVal>
            <c:numRef>
              <c:f>CARANGOLA!$K$2:$K$12</c:f>
              <c:numCache>
                <c:formatCode>0.00</c:formatCode>
                <c:ptCount val="11"/>
                <c:pt idx="0">
                  <c:v>2.2408963585434174E-2</c:v>
                </c:pt>
                <c:pt idx="1">
                  <c:v>3.9215686274509803E-2</c:v>
                </c:pt>
                <c:pt idx="2">
                  <c:v>7.0028011204481794E-2</c:v>
                </c:pt>
                <c:pt idx="3">
                  <c:v>9.5238095238095233E-2</c:v>
                </c:pt>
                <c:pt idx="4">
                  <c:v>0.15686274509803921</c:v>
                </c:pt>
                <c:pt idx="5">
                  <c:v>0.17927170868347339</c:v>
                </c:pt>
                <c:pt idx="6">
                  <c:v>0.2969187675070028</c:v>
                </c:pt>
                <c:pt idx="7">
                  <c:v>0.44257703081232491</c:v>
                </c:pt>
                <c:pt idx="8">
                  <c:v>0.64145658263305316</c:v>
                </c:pt>
                <c:pt idx="9">
                  <c:v>0.77871148459383743</c:v>
                </c:pt>
                <c:pt idx="10">
                  <c:v>0.99999999999999989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F19-4B9C-8DE0-FD0D7A5DFB33}"/>
            </c:ext>
          </c:extLst>
        </c:ser>
        <c:ser>
          <c:idx val="2"/>
          <c:order val="2"/>
          <c:tx>
            <c:strRef>
              <c:f>CARANGOLA!$L$1</c:f>
              <c:strCache>
                <c:ptCount val="1"/>
                <c:pt idx="0">
                  <c:v>Prod 2020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CARANGOLA!$I$2:$I$12</c:f>
              <c:numCache>
                <c:formatCode>0.00</c:formatCode>
                <c:ptCount val="11"/>
                <c:pt idx="0">
                  <c:v>1.9804049034175333E-2</c:v>
                </c:pt>
                <c:pt idx="1">
                  <c:v>4.4584262010896478E-2</c:v>
                </c:pt>
                <c:pt idx="2">
                  <c:v>8.687004705299653E-2</c:v>
                </c:pt>
                <c:pt idx="3">
                  <c:v>0.13008450965824664</c:v>
                </c:pt>
                <c:pt idx="4">
                  <c:v>0.18547238732045565</c:v>
                </c:pt>
                <c:pt idx="5">
                  <c:v>0.24493096830113914</c:v>
                </c:pt>
                <c:pt idx="6">
                  <c:v>0.30791078504210001</c:v>
                </c:pt>
                <c:pt idx="7">
                  <c:v>0.39381345963348191</c:v>
                </c:pt>
                <c:pt idx="8">
                  <c:v>0.54874783308568598</c:v>
                </c:pt>
                <c:pt idx="9">
                  <c:v>0.74444341258048541</c:v>
                </c:pt>
                <c:pt idx="10">
                  <c:v>1</c:v>
                </c:pt>
              </c:numCache>
            </c:numRef>
          </c:xVal>
          <c:yVal>
            <c:numRef>
              <c:f>CARANGOLA!$L$2:$L$12</c:f>
              <c:numCache>
                <c:formatCode>0.00</c:formatCode>
                <c:ptCount val="11"/>
                <c:pt idx="0">
                  <c:v>1.4184397163120567E-2</c:v>
                </c:pt>
                <c:pt idx="1">
                  <c:v>4.9645390070921988E-2</c:v>
                </c:pt>
                <c:pt idx="2">
                  <c:v>9.2198581560283682E-2</c:v>
                </c:pt>
                <c:pt idx="3">
                  <c:v>0.16312056737588654</c:v>
                </c:pt>
                <c:pt idx="4">
                  <c:v>0.22695035460992907</c:v>
                </c:pt>
                <c:pt idx="5">
                  <c:v>0.24822695035460993</c:v>
                </c:pt>
                <c:pt idx="6">
                  <c:v>0.4042553191489362</c:v>
                </c:pt>
                <c:pt idx="7">
                  <c:v>0.58156028368794332</c:v>
                </c:pt>
                <c:pt idx="8">
                  <c:v>0.68085106382978733</c:v>
                </c:pt>
                <c:pt idx="9">
                  <c:v>0.75886524822695045</c:v>
                </c:pt>
                <c:pt idx="1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F19-4B9C-8DE0-FD0D7A5DFB33}"/>
            </c:ext>
          </c:extLst>
        </c:ser>
        <c:ser>
          <c:idx val="3"/>
          <c:order val="3"/>
          <c:tx>
            <c:strRef>
              <c:f>CARANGOLA!$M$1</c:f>
              <c:strCache>
                <c:ptCount val="1"/>
                <c:pt idx="0">
                  <c:v>Prod 2021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CARANGOLA!$I$2:$I$12</c:f>
              <c:numCache>
                <c:formatCode>0.00</c:formatCode>
                <c:ptCount val="11"/>
                <c:pt idx="0">
                  <c:v>1.9804049034175333E-2</c:v>
                </c:pt>
                <c:pt idx="1">
                  <c:v>4.4584262010896478E-2</c:v>
                </c:pt>
                <c:pt idx="2">
                  <c:v>8.687004705299653E-2</c:v>
                </c:pt>
                <c:pt idx="3">
                  <c:v>0.13008450965824664</c:v>
                </c:pt>
                <c:pt idx="4">
                  <c:v>0.18547238732045565</c:v>
                </c:pt>
                <c:pt idx="5">
                  <c:v>0.24493096830113914</c:v>
                </c:pt>
                <c:pt idx="6">
                  <c:v>0.30791078504210001</c:v>
                </c:pt>
                <c:pt idx="7">
                  <c:v>0.39381345963348191</c:v>
                </c:pt>
                <c:pt idx="8">
                  <c:v>0.54874783308568598</c:v>
                </c:pt>
                <c:pt idx="9">
                  <c:v>0.74444341258048541</c:v>
                </c:pt>
                <c:pt idx="10">
                  <c:v>1</c:v>
                </c:pt>
              </c:numCache>
            </c:numRef>
          </c:xVal>
          <c:yVal>
            <c:numRef>
              <c:f>CARANGOLA!$M$2:$M$12</c:f>
              <c:numCache>
                <c:formatCode>0.00</c:formatCode>
                <c:ptCount val="11"/>
                <c:pt idx="0">
                  <c:v>0</c:v>
                </c:pt>
                <c:pt idx="1">
                  <c:v>1.3333333333333334E-2</c:v>
                </c:pt>
                <c:pt idx="2">
                  <c:v>0.14000000000000001</c:v>
                </c:pt>
                <c:pt idx="3">
                  <c:v>0.17333333333333334</c:v>
                </c:pt>
                <c:pt idx="4">
                  <c:v>0.22</c:v>
                </c:pt>
                <c:pt idx="5">
                  <c:v>0.26</c:v>
                </c:pt>
                <c:pt idx="6">
                  <c:v>0.36</c:v>
                </c:pt>
                <c:pt idx="7">
                  <c:v>0.57333333333333336</c:v>
                </c:pt>
                <c:pt idx="8">
                  <c:v>0.7466666666666667</c:v>
                </c:pt>
                <c:pt idx="9">
                  <c:v>0.84666666666666668</c:v>
                </c:pt>
                <c:pt idx="1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F19-4B9C-8DE0-FD0D7A5DFB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5020176"/>
        <c:axId val="195390848"/>
      </c:scatterChart>
      <c:valAx>
        <c:axId val="415020176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5390848"/>
        <c:crosses val="autoZero"/>
        <c:crossBetween val="midCat"/>
      </c:valAx>
      <c:valAx>
        <c:axId val="195390848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150201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CARANGOLA!$J$1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CARANGOLA!$I$2:$I$12</c:f>
              <c:numCache>
                <c:formatCode>0.00</c:formatCode>
                <c:ptCount val="11"/>
                <c:pt idx="0">
                  <c:v>1.9804049034175333E-2</c:v>
                </c:pt>
                <c:pt idx="1">
                  <c:v>4.4584262010896478E-2</c:v>
                </c:pt>
                <c:pt idx="2">
                  <c:v>8.687004705299653E-2</c:v>
                </c:pt>
                <c:pt idx="3">
                  <c:v>0.13008450965824664</c:v>
                </c:pt>
                <c:pt idx="4">
                  <c:v>0.18547238732045565</c:v>
                </c:pt>
                <c:pt idx="5">
                  <c:v>0.24493096830113914</c:v>
                </c:pt>
                <c:pt idx="6">
                  <c:v>0.30791078504210001</c:v>
                </c:pt>
                <c:pt idx="7">
                  <c:v>0.39381345963348191</c:v>
                </c:pt>
                <c:pt idx="8">
                  <c:v>0.54874783308568598</c:v>
                </c:pt>
                <c:pt idx="9">
                  <c:v>0.74444341258048541</c:v>
                </c:pt>
                <c:pt idx="10">
                  <c:v>1</c:v>
                </c:pt>
              </c:numCache>
            </c:numRef>
          </c:xVal>
          <c:yVal>
            <c:numRef>
              <c:f>CARANGOLA!$J$2:$J$12</c:f>
              <c:numCache>
                <c:formatCode>0.00</c:formatCode>
                <c:ptCount val="11"/>
                <c:pt idx="0">
                  <c:v>1.9804049034175333E-2</c:v>
                </c:pt>
                <c:pt idx="1">
                  <c:v>4.4584262010896478E-2</c:v>
                </c:pt>
                <c:pt idx="2">
                  <c:v>8.687004705299653E-2</c:v>
                </c:pt>
                <c:pt idx="3">
                  <c:v>0.13008450965824664</c:v>
                </c:pt>
                <c:pt idx="4">
                  <c:v>0.18547238732045565</c:v>
                </c:pt>
                <c:pt idx="5">
                  <c:v>0.24493096830113914</c:v>
                </c:pt>
                <c:pt idx="6">
                  <c:v>0.30791078504210001</c:v>
                </c:pt>
                <c:pt idx="7">
                  <c:v>0.39381345963348191</c:v>
                </c:pt>
                <c:pt idx="8">
                  <c:v>0.54874783308568598</c:v>
                </c:pt>
                <c:pt idx="9">
                  <c:v>0.74444341258048541</c:v>
                </c:pt>
                <c:pt idx="1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6C9-40F1-9DC1-2548F77EA9BF}"/>
            </c:ext>
          </c:extLst>
        </c:ser>
        <c:ser>
          <c:idx val="1"/>
          <c:order val="1"/>
          <c:tx>
            <c:strRef>
              <c:f>CARANGOLA!$N$1</c:f>
              <c:strCache>
                <c:ptCount val="1"/>
                <c:pt idx="0">
                  <c:v>Prod 2022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CARANGOLA!$I$2:$I$12</c:f>
              <c:numCache>
                <c:formatCode>0.00</c:formatCode>
                <c:ptCount val="11"/>
                <c:pt idx="0">
                  <c:v>1.9804049034175333E-2</c:v>
                </c:pt>
                <c:pt idx="1">
                  <c:v>4.4584262010896478E-2</c:v>
                </c:pt>
                <c:pt idx="2">
                  <c:v>8.687004705299653E-2</c:v>
                </c:pt>
                <c:pt idx="3">
                  <c:v>0.13008450965824664</c:v>
                </c:pt>
                <c:pt idx="4">
                  <c:v>0.18547238732045565</c:v>
                </c:pt>
                <c:pt idx="5">
                  <c:v>0.24493096830113914</c:v>
                </c:pt>
                <c:pt idx="6">
                  <c:v>0.30791078504210001</c:v>
                </c:pt>
                <c:pt idx="7">
                  <c:v>0.39381345963348191</c:v>
                </c:pt>
                <c:pt idx="8">
                  <c:v>0.54874783308568598</c:v>
                </c:pt>
                <c:pt idx="9">
                  <c:v>0.74444341258048541</c:v>
                </c:pt>
                <c:pt idx="10">
                  <c:v>1</c:v>
                </c:pt>
              </c:numCache>
            </c:numRef>
          </c:xVal>
          <c:yVal>
            <c:numRef>
              <c:f>CARANGOLA!$N$2:$N$12</c:f>
              <c:numCache>
                <c:formatCode>0.00</c:formatCode>
                <c:ptCount val="11"/>
                <c:pt idx="0">
                  <c:v>1.9108280254777069E-2</c:v>
                </c:pt>
                <c:pt idx="1">
                  <c:v>4.7770700636942678E-2</c:v>
                </c:pt>
                <c:pt idx="2">
                  <c:v>0.10828025477707007</c:v>
                </c:pt>
                <c:pt idx="3">
                  <c:v>0.1464968152866242</c:v>
                </c:pt>
                <c:pt idx="4">
                  <c:v>0.21019108280254778</c:v>
                </c:pt>
                <c:pt idx="5">
                  <c:v>0.26751592356687898</c:v>
                </c:pt>
                <c:pt idx="6">
                  <c:v>0.35987261146496813</c:v>
                </c:pt>
                <c:pt idx="7">
                  <c:v>0.4713375796178344</c:v>
                </c:pt>
                <c:pt idx="8">
                  <c:v>0.59872611464968151</c:v>
                </c:pt>
                <c:pt idx="9">
                  <c:v>0.76433121019108274</c:v>
                </c:pt>
                <c:pt idx="1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6C9-40F1-9DC1-2548F77EA9BF}"/>
            </c:ext>
          </c:extLst>
        </c:ser>
        <c:ser>
          <c:idx val="2"/>
          <c:order val="2"/>
          <c:tx>
            <c:strRef>
              <c:f>CARANGOLA!$O$1</c:f>
              <c:strCache>
                <c:ptCount val="1"/>
                <c:pt idx="0">
                  <c:v>Prod 2023-1-2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CARANGOLA!$I$2:$I$12</c:f>
              <c:numCache>
                <c:formatCode>0.00</c:formatCode>
                <c:ptCount val="11"/>
                <c:pt idx="0">
                  <c:v>1.9804049034175333E-2</c:v>
                </c:pt>
                <c:pt idx="1">
                  <c:v>4.4584262010896478E-2</c:v>
                </c:pt>
                <c:pt idx="2">
                  <c:v>8.687004705299653E-2</c:v>
                </c:pt>
                <c:pt idx="3">
                  <c:v>0.13008450965824664</c:v>
                </c:pt>
                <c:pt idx="4">
                  <c:v>0.18547238732045565</c:v>
                </c:pt>
                <c:pt idx="5">
                  <c:v>0.24493096830113914</c:v>
                </c:pt>
                <c:pt idx="6">
                  <c:v>0.30791078504210001</c:v>
                </c:pt>
                <c:pt idx="7">
                  <c:v>0.39381345963348191</c:v>
                </c:pt>
                <c:pt idx="8">
                  <c:v>0.54874783308568598</c:v>
                </c:pt>
                <c:pt idx="9">
                  <c:v>0.74444341258048541</c:v>
                </c:pt>
                <c:pt idx="10">
                  <c:v>1</c:v>
                </c:pt>
              </c:numCache>
            </c:numRef>
          </c:xVal>
          <c:yVal>
            <c:numRef>
              <c:f>CARANGOLA!$O$2:$O$12</c:f>
              <c:numCache>
                <c:formatCode>0.00</c:formatCode>
                <c:ptCount val="11"/>
                <c:pt idx="0">
                  <c:v>1.6393442622950821E-2</c:v>
                </c:pt>
                <c:pt idx="1">
                  <c:v>4.5081967213114756E-2</c:v>
                </c:pt>
                <c:pt idx="2">
                  <c:v>0.10245901639344263</c:v>
                </c:pt>
                <c:pt idx="3">
                  <c:v>0.13114754098360656</c:v>
                </c:pt>
                <c:pt idx="4">
                  <c:v>0.22131147540983609</c:v>
                </c:pt>
                <c:pt idx="5">
                  <c:v>0.27868852459016397</c:v>
                </c:pt>
                <c:pt idx="6">
                  <c:v>0.34426229508196726</c:v>
                </c:pt>
                <c:pt idx="7">
                  <c:v>0.45901639344262302</c:v>
                </c:pt>
                <c:pt idx="8">
                  <c:v>0.60245901639344268</c:v>
                </c:pt>
                <c:pt idx="9">
                  <c:v>0.74590163934426235</c:v>
                </c:pt>
                <c:pt idx="1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6C9-40F1-9DC1-2548F77EA9BF}"/>
            </c:ext>
          </c:extLst>
        </c:ser>
        <c:ser>
          <c:idx val="3"/>
          <c:order val="3"/>
          <c:tx>
            <c:strRef>
              <c:f>CARANGOLA!$P$1</c:f>
              <c:strCache>
                <c:ptCount val="1"/>
                <c:pt idx="0">
                  <c:v>Prod 2023-3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CARANGOLA!$I$2:$I$12</c:f>
              <c:numCache>
                <c:formatCode>0.00</c:formatCode>
                <c:ptCount val="11"/>
                <c:pt idx="0">
                  <c:v>1.9804049034175333E-2</c:v>
                </c:pt>
                <c:pt idx="1">
                  <c:v>4.4584262010896478E-2</c:v>
                </c:pt>
                <c:pt idx="2">
                  <c:v>8.687004705299653E-2</c:v>
                </c:pt>
                <c:pt idx="3">
                  <c:v>0.13008450965824664</c:v>
                </c:pt>
                <c:pt idx="4">
                  <c:v>0.18547238732045565</c:v>
                </c:pt>
                <c:pt idx="5">
                  <c:v>0.24493096830113914</c:v>
                </c:pt>
                <c:pt idx="6">
                  <c:v>0.30791078504210001</c:v>
                </c:pt>
                <c:pt idx="7">
                  <c:v>0.39381345963348191</c:v>
                </c:pt>
                <c:pt idx="8">
                  <c:v>0.54874783308568598</c:v>
                </c:pt>
                <c:pt idx="9">
                  <c:v>0.74444341258048541</c:v>
                </c:pt>
                <c:pt idx="10">
                  <c:v>1</c:v>
                </c:pt>
              </c:numCache>
            </c:numRef>
          </c:xVal>
          <c:yVal>
            <c:numRef>
              <c:f>CARANGOLA!$P$2:$P$12</c:f>
              <c:numCache>
                <c:formatCode>0.00</c:formatCode>
                <c:ptCount val="11"/>
                <c:pt idx="0">
                  <c:v>3.1746031746031744E-2</c:v>
                </c:pt>
                <c:pt idx="1">
                  <c:v>6.3492063492063489E-2</c:v>
                </c:pt>
                <c:pt idx="2">
                  <c:v>0.10317460317460317</c:v>
                </c:pt>
                <c:pt idx="3">
                  <c:v>0.15079365079365079</c:v>
                </c:pt>
                <c:pt idx="4">
                  <c:v>0.20634920634920634</c:v>
                </c:pt>
                <c:pt idx="5">
                  <c:v>0.30952380952380953</c:v>
                </c:pt>
                <c:pt idx="6">
                  <c:v>0.36507936507936511</c:v>
                </c:pt>
                <c:pt idx="7">
                  <c:v>0.47619047619047622</c:v>
                </c:pt>
                <c:pt idx="8">
                  <c:v>0.56349206349206349</c:v>
                </c:pt>
                <c:pt idx="9">
                  <c:v>0.82539682539682535</c:v>
                </c:pt>
                <c:pt idx="1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6C9-40F1-9DC1-2548F77EA9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8584640"/>
        <c:axId val="1918573120"/>
      </c:scatterChart>
      <c:valAx>
        <c:axId val="1918584640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18573120"/>
        <c:crosses val="autoZero"/>
        <c:crossBetween val="midCat"/>
      </c:valAx>
      <c:valAx>
        <c:axId val="191857312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185846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'JUIZ DE FORA'!$J$1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'JUIZ DE FORA'!$I$2:$I$13</c:f>
              <c:numCache>
                <c:formatCode>0.00</c:formatCode>
                <c:ptCount val="12"/>
                <c:pt idx="0">
                  <c:v>4.1551531984850574E-3</c:v>
                </c:pt>
                <c:pt idx="1">
                  <c:v>8.3673783218634612E-3</c:v>
                </c:pt>
                <c:pt idx="2">
                  <c:v>1.2677893982558185E-2</c:v>
                </c:pt>
                <c:pt idx="3">
                  <c:v>1.7584494192138977E-2</c:v>
                </c:pt>
                <c:pt idx="4">
                  <c:v>2.2682919482611294E-2</c:v>
                </c:pt>
                <c:pt idx="5">
                  <c:v>2.8107923009973321E-2</c:v>
                </c:pt>
                <c:pt idx="6">
                  <c:v>3.4341445473324426E-2</c:v>
                </c:pt>
                <c:pt idx="7">
                  <c:v>4.0658990492768513E-2</c:v>
                </c:pt>
                <c:pt idx="8">
                  <c:v>4.7022510118376687E-2</c:v>
                </c:pt>
                <c:pt idx="9">
                  <c:v>6.1233419416820048E-2</c:v>
                </c:pt>
                <c:pt idx="10">
                  <c:v>8.4420474235989237E-2</c:v>
                </c:pt>
                <c:pt idx="11">
                  <c:v>1</c:v>
                </c:pt>
              </c:numCache>
            </c:numRef>
          </c:xVal>
          <c:yVal>
            <c:numRef>
              <c:f>'JUIZ DE FORA'!$J$2:$J$13</c:f>
              <c:numCache>
                <c:formatCode>0.00</c:formatCode>
                <c:ptCount val="12"/>
                <c:pt idx="0">
                  <c:v>4.1551531984850574E-3</c:v>
                </c:pt>
                <c:pt idx="1">
                  <c:v>8.3673783218634612E-3</c:v>
                </c:pt>
                <c:pt idx="2">
                  <c:v>1.2677893982558185E-2</c:v>
                </c:pt>
                <c:pt idx="3">
                  <c:v>1.7584494192138977E-2</c:v>
                </c:pt>
                <c:pt idx="4">
                  <c:v>2.2682919482611294E-2</c:v>
                </c:pt>
                <c:pt idx="5">
                  <c:v>2.8107923009973321E-2</c:v>
                </c:pt>
                <c:pt idx="6">
                  <c:v>3.4341445473324426E-2</c:v>
                </c:pt>
                <c:pt idx="7">
                  <c:v>4.0658990492768513E-2</c:v>
                </c:pt>
                <c:pt idx="8">
                  <c:v>4.7022510118376687E-2</c:v>
                </c:pt>
                <c:pt idx="9">
                  <c:v>6.1233419416820048E-2</c:v>
                </c:pt>
                <c:pt idx="10">
                  <c:v>8.4420474235989237E-2</c:v>
                </c:pt>
                <c:pt idx="11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002-4FFC-9102-E9F1AA2A571B}"/>
            </c:ext>
          </c:extLst>
        </c:ser>
        <c:ser>
          <c:idx val="1"/>
          <c:order val="1"/>
          <c:tx>
            <c:strRef>
              <c:f>'JUIZ DE FORA'!$K$1</c:f>
              <c:strCache>
                <c:ptCount val="1"/>
                <c:pt idx="0">
                  <c:v>Prod 2019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'JUIZ DE FORA'!$I$2:$I$13</c:f>
              <c:numCache>
                <c:formatCode>0.00</c:formatCode>
                <c:ptCount val="12"/>
                <c:pt idx="0">
                  <c:v>4.1551531984850574E-3</c:v>
                </c:pt>
                <c:pt idx="1">
                  <c:v>8.3673783218634612E-3</c:v>
                </c:pt>
                <c:pt idx="2">
                  <c:v>1.2677893982558185E-2</c:v>
                </c:pt>
                <c:pt idx="3">
                  <c:v>1.7584494192138977E-2</c:v>
                </c:pt>
                <c:pt idx="4">
                  <c:v>2.2682919482611294E-2</c:v>
                </c:pt>
                <c:pt idx="5">
                  <c:v>2.8107923009973321E-2</c:v>
                </c:pt>
                <c:pt idx="6">
                  <c:v>3.4341445473324426E-2</c:v>
                </c:pt>
                <c:pt idx="7">
                  <c:v>4.0658990492768513E-2</c:v>
                </c:pt>
                <c:pt idx="8">
                  <c:v>4.7022510118376687E-2</c:v>
                </c:pt>
                <c:pt idx="9">
                  <c:v>6.1233419416820048E-2</c:v>
                </c:pt>
                <c:pt idx="10">
                  <c:v>8.4420474235989237E-2</c:v>
                </c:pt>
                <c:pt idx="11">
                  <c:v>1</c:v>
                </c:pt>
              </c:numCache>
            </c:numRef>
          </c:xVal>
          <c:yVal>
            <c:numRef>
              <c:f>'JUIZ DE FORA'!$K$2:$K$13</c:f>
              <c:numCache>
                <c:formatCode>0.00</c:formatCode>
                <c:ptCount val="12"/>
                <c:pt idx="0">
                  <c:v>5.1207022677395757E-3</c:v>
                </c:pt>
                <c:pt idx="1">
                  <c:v>1.1704462326261888E-2</c:v>
                </c:pt>
                <c:pt idx="2">
                  <c:v>1.6093635698610095E-2</c:v>
                </c:pt>
                <c:pt idx="3">
                  <c:v>2.4140453547915143E-2</c:v>
                </c:pt>
                <c:pt idx="4">
                  <c:v>2.9261155815654718E-2</c:v>
                </c:pt>
                <c:pt idx="5">
                  <c:v>3.4381858083394293E-2</c:v>
                </c:pt>
                <c:pt idx="6">
                  <c:v>4.4623262618873442E-2</c:v>
                </c:pt>
                <c:pt idx="7">
                  <c:v>4.9743964886613021E-2</c:v>
                </c:pt>
                <c:pt idx="8">
                  <c:v>6.1448427212874912E-2</c:v>
                </c:pt>
                <c:pt idx="9">
                  <c:v>8.2662765179224579E-2</c:v>
                </c:pt>
                <c:pt idx="10">
                  <c:v>0.1097293343087052</c:v>
                </c:pt>
                <c:pt idx="11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002-4FFC-9102-E9F1AA2A571B}"/>
            </c:ext>
          </c:extLst>
        </c:ser>
        <c:ser>
          <c:idx val="2"/>
          <c:order val="2"/>
          <c:tx>
            <c:strRef>
              <c:f>'JUIZ DE FORA'!$L$1</c:f>
              <c:strCache>
                <c:ptCount val="1"/>
                <c:pt idx="0">
                  <c:v>Prod 2020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'JUIZ DE FORA'!$I$2:$I$13</c:f>
              <c:numCache>
                <c:formatCode>0.00</c:formatCode>
                <c:ptCount val="12"/>
                <c:pt idx="0">
                  <c:v>4.1551531984850574E-3</c:v>
                </c:pt>
                <c:pt idx="1">
                  <c:v>8.3673783218634612E-3</c:v>
                </c:pt>
                <c:pt idx="2">
                  <c:v>1.2677893982558185E-2</c:v>
                </c:pt>
                <c:pt idx="3">
                  <c:v>1.7584494192138977E-2</c:v>
                </c:pt>
                <c:pt idx="4">
                  <c:v>2.2682919482611294E-2</c:v>
                </c:pt>
                <c:pt idx="5">
                  <c:v>2.8107923009973321E-2</c:v>
                </c:pt>
                <c:pt idx="6">
                  <c:v>3.4341445473324426E-2</c:v>
                </c:pt>
                <c:pt idx="7">
                  <c:v>4.0658990492768513E-2</c:v>
                </c:pt>
                <c:pt idx="8">
                  <c:v>4.7022510118376687E-2</c:v>
                </c:pt>
                <c:pt idx="9">
                  <c:v>6.1233419416820048E-2</c:v>
                </c:pt>
                <c:pt idx="10">
                  <c:v>8.4420474235989237E-2</c:v>
                </c:pt>
                <c:pt idx="11">
                  <c:v>1</c:v>
                </c:pt>
              </c:numCache>
            </c:numRef>
          </c:xVal>
          <c:yVal>
            <c:numRef>
              <c:f>'JUIZ DE FORA'!$L$2:$L$13</c:f>
              <c:numCache>
                <c:formatCode>0.00</c:formatCode>
                <c:ptCount val="12"/>
                <c:pt idx="0">
                  <c:v>1.6129032258064516E-3</c:v>
                </c:pt>
                <c:pt idx="1">
                  <c:v>3.2258064516129032E-3</c:v>
                </c:pt>
                <c:pt idx="2">
                  <c:v>6.4516129032258064E-3</c:v>
                </c:pt>
                <c:pt idx="3">
                  <c:v>1.1290322580645162E-2</c:v>
                </c:pt>
                <c:pt idx="4">
                  <c:v>1.6129032258064516E-2</c:v>
                </c:pt>
                <c:pt idx="5">
                  <c:v>2.0967741935483869E-2</c:v>
                </c:pt>
                <c:pt idx="6">
                  <c:v>3.387096774193548E-2</c:v>
                </c:pt>
                <c:pt idx="7">
                  <c:v>3.8709677419354833E-2</c:v>
                </c:pt>
                <c:pt idx="8">
                  <c:v>4.8387096774193547E-2</c:v>
                </c:pt>
                <c:pt idx="9">
                  <c:v>6.1290322580645158E-2</c:v>
                </c:pt>
                <c:pt idx="10">
                  <c:v>0.11290322580645161</c:v>
                </c:pt>
                <c:pt idx="11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002-4FFC-9102-E9F1AA2A571B}"/>
            </c:ext>
          </c:extLst>
        </c:ser>
        <c:ser>
          <c:idx val="3"/>
          <c:order val="3"/>
          <c:tx>
            <c:strRef>
              <c:f>'JUIZ DE FORA'!$M$1</c:f>
              <c:strCache>
                <c:ptCount val="1"/>
                <c:pt idx="0">
                  <c:v>Prod 2021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'JUIZ DE FORA'!$I$2:$I$13</c:f>
              <c:numCache>
                <c:formatCode>0.00</c:formatCode>
                <c:ptCount val="12"/>
                <c:pt idx="0">
                  <c:v>4.1551531984850574E-3</c:v>
                </c:pt>
                <c:pt idx="1">
                  <c:v>8.3673783218634612E-3</c:v>
                </c:pt>
                <c:pt idx="2">
                  <c:v>1.2677893982558185E-2</c:v>
                </c:pt>
                <c:pt idx="3">
                  <c:v>1.7584494192138977E-2</c:v>
                </c:pt>
                <c:pt idx="4">
                  <c:v>2.2682919482611294E-2</c:v>
                </c:pt>
                <c:pt idx="5">
                  <c:v>2.8107923009973321E-2</c:v>
                </c:pt>
                <c:pt idx="6">
                  <c:v>3.4341445473324426E-2</c:v>
                </c:pt>
                <c:pt idx="7">
                  <c:v>4.0658990492768513E-2</c:v>
                </c:pt>
                <c:pt idx="8">
                  <c:v>4.7022510118376687E-2</c:v>
                </c:pt>
                <c:pt idx="9">
                  <c:v>6.1233419416820048E-2</c:v>
                </c:pt>
                <c:pt idx="10">
                  <c:v>8.4420474235989237E-2</c:v>
                </c:pt>
                <c:pt idx="11">
                  <c:v>1</c:v>
                </c:pt>
              </c:numCache>
            </c:numRef>
          </c:xVal>
          <c:yVal>
            <c:numRef>
              <c:f>'JUIZ DE FORA'!$M$2:$M$13</c:f>
              <c:numCache>
                <c:formatCode>0.00</c:formatCode>
                <c:ptCount val="12"/>
                <c:pt idx="0">
                  <c:v>1.2610340479192938E-3</c:v>
                </c:pt>
                <c:pt idx="1">
                  <c:v>7.5662042875157629E-3</c:v>
                </c:pt>
                <c:pt idx="2">
                  <c:v>8.8272383354350559E-3</c:v>
                </c:pt>
                <c:pt idx="3">
                  <c:v>1.5132408575031526E-2</c:v>
                </c:pt>
                <c:pt idx="4">
                  <c:v>2.3959646910466585E-2</c:v>
                </c:pt>
                <c:pt idx="5">
                  <c:v>2.6481715006305175E-2</c:v>
                </c:pt>
                <c:pt idx="6">
                  <c:v>3.2786885245901641E-2</c:v>
                </c:pt>
                <c:pt idx="7">
                  <c:v>3.4047919293820936E-2</c:v>
                </c:pt>
                <c:pt idx="8">
                  <c:v>3.783102143757882E-2</c:v>
                </c:pt>
                <c:pt idx="9">
                  <c:v>5.4224464060529637E-2</c:v>
                </c:pt>
                <c:pt idx="10">
                  <c:v>8.8272383354350573E-2</c:v>
                </c:pt>
                <c:pt idx="11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002-4FFC-9102-E9F1AA2A57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9845456"/>
        <c:axId val="309836336"/>
      </c:scatterChart>
      <c:valAx>
        <c:axId val="309845456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09836336"/>
        <c:crosses val="autoZero"/>
        <c:crossBetween val="midCat"/>
      </c:valAx>
      <c:valAx>
        <c:axId val="3098363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098454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'JUIZ DE FORA'!$J$1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'JUIZ DE FORA'!$I$2:$I$13</c:f>
              <c:numCache>
                <c:formatCode>0.00</c:formatCode>
                <c:ptCount val="12"/>
                <c:pt idx="0">
                  <c:v>4.1551531984850574E-3</c:v>
                </c:pt>
                <c:pt idx="1">
                  <c:v>8.3673783218634612E-3</c:v>
                </c:pt>
                <c:pt idx="2">
                  <c:v>1.2677893982558185E-2</c:v>
                </c:pt>
                <c:pt idx="3">
                  <c:v>1.7584494192138977E-2</c:v>
                </c:pt>
                <c:pt idx="4">
                  <c:v>2.2682919482611294E-2</c:v>
                </c:pt>
                <c:pt idx="5">
                  <c:v>2.8107923009973321E-2</c:v>
                </c:pt>
                <c:pt idx="6">
                  <c:v>3.4341445473324426E-2</c:v>
                </c:pt>
                <c:pt idx="7">
                  <c:v>4.0658990492768513E-2</c:v>
                </c:pt>
                <c:pt idx="8">
                  <c:v>4.7022510118376687E-2</c:v>
                </c:pt>
                <c:pt idx="9">
                  <c:v>6.1233419416820048E-2</c:v>
                </c:pt>
                <c:pt idx="10">
                  <c:v>8.4420474235989237E-2</c:v>
                </c:pt>
                <c:pt idx="11">
                  <c:v>1</c:v>
                </c:pt>
              </c:numCache>
            </c:numRef>
          </c:xVal>
          <c:yVal>
            <c:numRef>
              <c:f>'JUIZ DE FORA'!$J$2:$J$13</c:f>
              <c:numCache>
                <c:formatCode>0.00</c:formatCode>
                <c:ptCount val="12"/>
                <c:pt idx="0">
                  <c:v>4.1551531984850574E-3</c:v>
                </c:pt>
                <c:pt idx="1">
                  <c:v>8.3673783218634612E-3</c:v>
                </c:pt>
                <c:pt idx="2">
                  <c:v>1.2677893982558185E-2</c:v>
                </c:pt>
                <c:pt idx="3">
                  <c:v>1.7584494192138977E-2</c:v>
                </c:pt>
                <c:pt idx="4">
                  <c:v>2.2682919482611294E-2</c:v>
                </c:pt>
                <c:pt idx="5">
                  <c:v>2.8107923009973321E-2</c:v>
                </c:pt>
                <c:pt idx="6">
                  <c:v>3.4341445473324426E-2</c:v>
                </c:pt>
                <c:pt idx="7">
                  <c:v>4.0658990492768513E-2</c:v>
                </c:pt>
                <c:pt idx="8">
                  <c:v>4.7022510118376687E-2</c:v>
                </c:pt>
                <c:pt idx="9">
                  <c:v>6.1233419416820048E-2</c:v>
                </c:pt>
                <c:pt idx="10">
                  <c:v>8.4420474235989237E-2</c:v>
                </c:pt>
                <c:pt idx="11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A39-4CB5-B475-0D03580F950E}"/>
            </c:ext>
          </c:extLst>
        </c:ser>
        <c:ser>
          <c:idx val="1"/>
          <c:order val="1"/>
          <c:tx>
            <c:strRef>
              <c:f>'JUIZ DE FORA'!$N$1</c:f>
              <c:strCache>
                <c:ptCount val="1"/>
                <c:pt idx="0">
                  <c:v>Prod 2022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'JUIZ DE FORA'!$I$2:$I$13</c:f>
              <c:numCache>
                <c:formatCode>0.00</c:formatCode>
                <c:ptCount val="12"/>
                <c:pt idx="0">
                  <c:v>4.1551531984850574E-3</c:v>
                </c:pt>
                <c:pt idx="1">
                  <c:v>8.3673783218634612E-3</c:v>
                </c:pt>
                <c:pt idx="2">
                  <c:v>1.2677893982558185E-2</c:v>
                </c:pt>
                <c:pt idx="3">
                  <c:v>1.7584494192138977E-2</c:v>
                </c:pt>
                <c:pt idx="4">
                  <c:v>2.2682919482611294E-2</c:v>
                </c:pt>
                <c:pt idx="5">
                  <c:v>2.8107923009973321E-2</c:v>
                </c:pt>
                <c:pt idx="6">
                  <c:v>3.4341445473324426E-2</c:v>
                </c:pt>
                <c:pt idx="7">
                  <c:v>4.0658990492768513E-2</c:v>
                </c:pt>
                <c:pt idx="8">
                  <c:v>4.7022510118376687E-2</c:v>
                </c:pt>
                <c:pt idx="9">
                  <c:v>6.1233419416820048E-2</c:v>
                </c:pt>
                <c:pt idx="10">
                  <c:v>8.4420474235989237E-2</c:v>
                </c:pt>
                <c:pt idx="11">
                  <c:v>1</c:v>
                </c:pt>
              </c:numCache>
            </c:numRef>
          </c:xVal>
          <c:yVal>
            <c:numRef>
              <c:f>'JUIZ DE FORA'!$N$2:$N$13</c:f>
              <c:numCache>
                <c:formatCode>0.00</c:formatCode>
                <c:ptCount val="12"/>
                <c:pt idx="0">
                  <c:v>5.2390307793058286E-3</c:v>
                </c:pt>
                <c:pt idx="1">
                  <c:v>1.1787819253438114E-2</c:v>
                </c:pt>
                <c:pt idx="2">
                  <c:v>1.768172888015717E-2</c:v>
                </c:pt>
                <c:pt idx="3">
                  <c:v>2.3575638506876228E-2</c:v>
                </c:pt>
                <c:pt idx="4">
                  <c:v>2.8814669286182058E-2</c:v>
                </c:pt>
                <c:pt idx="5">
                  <c:v>3.732809430255403E-2</c:v>
                </c:pt>
                <c:pt idx="6">
                  <c:v>4.5841519318926001E-2</c:v>
                </c:pt>
                <c:pt idx="7">
                  <c:v>5.1735428945645055E-2</c:v>
                </c:pt>
                <c:pt idx="8">
                  <c:v>5.3700065487884738E-2</c:v>
                </c:pt>
                <c:pt idx="9">
                  <c:v>8.3824492468893258E-2</c:v>
                </c:pt>
                <c:pt idx="10">
                  <c:v>0.10609037328094303</c:v>
                </c:pt>
                <c:pt idx="11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A39-4CB5-B475-0D03580F950E}"/>
            </c:ext>
          </c:extLst>
        </c:ser>
        <c:ser>
          <c:idx val="2"/>
          <c:order val="2"/>
          <c:tx>
            <c:strRef>
              <c:f>'JUIZ DE FORA'!$O$1</c:f>
              <c:strCache>
                <c:ptCount val="1"/>
                <c:pt idx="0">
                  <c:v>Prod 2023-1-2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'JUIZ DE FORA'!$I$2:$I$13</c:f>
              <c:numCache>
                <c:formatCode>0.00</c:formatCode>
                <c:ptCount val="12"/>
                <c:pt idx="0">
                  <c:v>4.1551531984850574E-3</c:v>
                </c:pt>
                <c:pt idx="1">
                  <c:v>8.3673783218634612E-3</c:v>
                </c:pt>
                <c:pt idx="2">
                  <c:v>1.2677893982558185E-2</c:v>
                </c:pt>
                <c:pt idx="3">
                  <c:v>1.7584494192138977E-2</c:v>
                </c:pt>
                <c:pt idx="4">
                  <c:v>2.2682919482611294E-2</c:v>
                </c:pt>
                <c:pt idx="5">
                  <c:v>2.8107923009973321E-2</c:v>
                </c:pt>
                <c:pt idx="6">
                  <c:v>3.4341445473324426E-2</c:v>
                </c:pt>
                <c:pt idx="7">
                  <c:v>4.0658990492768513E-2</c:v>
                </c:pt>
                <c:pt idx="8">
                  <c:v>4.7022510118376687E-2</c:v>
                </c:pt>
                <c:pt idx="9">
                  <c:v>6.1233419416820048E-2</c:v>
                </c:pt>
                <c:pt idx="10">
                  <c:v>8.4420474235989237E-2</c:v>
                </c:pt>
                <c:pt idx="11">
                  <c:v>1</c:v>
                </c:pt>
              </c:numCache>
            </c:numRef>
          </c:xVal>
          <c:yVal>
            <c:numRef>
              <c:f>'JUIZ DE FORA'!$O$2:$O$13</c:f>
              <c:numCache>
                <c:formatCode>0.00</c:formatCode>
                <c:ptCount val="12"/>
                <c:pt idx="0">
                  <c:v>8.9605734767025085E-3</c:v>
                </c:pt>
                <c:pt idx="1">
                  <c:v>1.3440860215053762E-2</c:v>
                </c:pt>
                <c:pt idx="2">
                  <c:v>1.9713261648745518E-2</c:v>
                </c:pt>
                <c:pt idx="3">
                  <c:v>2.9569892473118278E-2</c:v>
                </c:pt>
                <c:pt idx="4">
                  <c:v>6.0035842293906808E-2</c:v>
                </c:pt>
                <c:pt idx="5">
                  <c:v>7.1684587813620068E-2</c:v>
                </c:pt>
                <c:pt idx="6">
                  <c:v>9.4086021505376344E-2</c:v>
                </c:pt>
                <c:pt idx="7">
                  <c:v>0.10304659498207885</c:v>
                </c:pt>
                <c:pt idx="8">
                  <c:v>0.1111111111111111</c:v>
                </c:pt>
                <c:pt idx="9">
                  <c:v>0.14336917562724014</c:v>
                </c:pt>
                <c:pt idx="10">
                  <c:v>0.16756272401433692</c:v>
                </c:pt>
                <c:pt idx="11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A39-4CB5-B475-0D03580F950E}"/>
            </c:ext>
          </c:extLst>
        </c:ser>
        <c:ser>
          <c:idx val="3"/>
          <c:order val="3"/>
          <c:tx>
            <c:strRef>
              <c:f>'JUIZ DE FORA'!$P$1</c:f>
              <c:strCache>
                <c:ptCount val="1"/>
                <c:pt idx="0">
                  <c:v>Prod 2023-3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'JUIZ DE FORA'!$I$2:$I$13</c:f>
              <c:numCache>
                <c:formatCode>0.00</c:formatCode>
                <c:ptCount val="12"/>
                <c:pt idx="0">
                  <c:v>4.1551531984850574E-3</c:v>
                </c:pt>
                <c:pt idx="1">
                  <c:v>8.3673783218634612E-3</c:v>
                </c:pt>
                <c:pt idx="2">
                  <c:v>1.2677893982558185E-2</c:v>
                </c:pt>
                <c:pt idx="3">
                  <c:v>1.7584494192138977E-2</c:v>
                </c:pt>
                <c:pt idx="4">
                  <c:v>2.2682919482611294E-2</c:v>
                </c:pt>
                <c:pt idx="5">
                  <c:v>2.8107923009973321E-2</c:v>
                </c:pt>
                <c:pt idx="6">
                  <c:v>3.4341445473324426E-2</c:v>
                </c:pt>
                <c:pt idx="7">
                  <c:v>4.0658990492768513E-2</c:v>
                </c:pt>
                <c:pt idx="8">
                  <c:v>4.7022510118376687E-2</c:v>
                </c:pt>
                <c:pt idx="9">
                  <c:v>6.1233419416820048E-2</c:v>
                </c:pt>
                <c:pt idx="10">
                  <c:v>8.4420474235989237E-2</c:v>
                </c:pt>
                <c:pt idx="11">
                  <c:v>1</c:v>
                </c:pt>
              </c:numCache>
            </c:numRef>
          </c:xVal>
          <c:yVal>
            <c:numRef>
              <c:f>'JUIZ DE FORA'!$P$2:$P$13</c:f>
              <c:numCache>
                <c:formatCode>0.00</c:formatCode>
                <c:ptCount val="12"/>
                <c:pt idx="0">
                  <c:v>5.859375E-3</c:v>
                </c:pt>
                <c:pt idx="1">
                  <c:v>1.171875E-2</c:v>
                </c:pt>
                <c:pt idx="2">
                  <c:v>1.3671875E-2</c:v>
                </c:pt>
                <c:pt idx="3">
                  <c:v>1.953125E-2</c:v>
                </c:pt>
                <c:pt idx="4">
                  <c:v>2.1484375E-2</c:v>
                </c:pt>
                <c:pt idx="5">
                  <c:v>3.515625E-2</c:v>
                </c:pt>
                <c:pt idx="6">
                  <c:v>5.859375E-2</c:v>
                </c:pt>
                <c:pt idx="7">
                  <c:v>6.4453125E-2</c:v>
                </c:pt>
                <c:pt idx="8">
                  <c:v>7.2265625E-2</c:v>
                </c:pt>
                <c:pt idx="9">
                  <c:v>0.11328125</c:v>
                </c:pt>
                <c:pt idx="10">
                  <c:v>0.14453125</c:v>
                </c:pt>
                <c:pt idx="11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A39-4CB5-B475-0D03580F95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5680512"/>
        <c:axId val="355686752"/>
      </c:scatterChart>
      <c:valAx>
        <c:axId val="355680512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55686752"/>
        <c:crosses val="autoZero"/>
        <c:crossBetween val="midCat"/>
      </c:valAx>
      <c:valAx>
        <c:axId val="355686752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556805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'LEOPOLDINA-CATAGUASES'!$J$1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'LEOPOLDINA-CATAGUASES'!$I$2:$I$11</c:f>
              <c:numCache>
                <c:formatCode>0.00</c:formatCode>
                <c:ptCount val="10"/>
                <c:pt idx="0">
                  <c:v>1.4521484322105047E-2</c:v>
                </c:pt>
                <c:pt idx="1">
                  <c:v>3.5694360940944518E-2</c:v>
                </c:pt>
                <c:pt idx="2">
                  <c:v>5.9499628973638169E-2</c:v>
                </c:pt>
                <c:pt idx="3">
                  <c:v>9.528065300639682E-2</c:v>
                </c:pt>
                <c:pt idx="4">
                  <c:v>0.1313758307469817</c:v>
                </c:pt>
                <c:pt idx="5">
                  <c:v>0.16851096558933612</c:v>
                </c:pt>
                <c:pt idx="6">
                  <c:v>0.22550278134360291</c:v>
                </c:pt>
                <c:pt idx="7">
                  <c:v>0.3032720733603072</c:v>
                </c:pt>
                <c:pt idx="8">
                  <c:v>0.58866446759071189</c:v>
                </c:pt>
                <c:pt idx="9">
                  <c:v>1</c:v>
                </c:pt>
              </c:numCache>
            </c:numRef>
          </c:xVal>
          <c:yVal>
            <c:numRef>
              <c:f>'LEOPOLDINA-CATAGUASES'!$J$2:$J$11</c:f>
              <c:numCache>
                <c:formatCode>0.00</c:formatCode>
                <c:ptCount val="10"/>
                <c:pt idx="0">
                  <c:v>1.4521484322105047E-2</c:v>
                </c:pt>
                <c:pt idx="1">
                  <c:v>3.5694360940944518E-2</c:v>
                </c:pt>
                <c:pt idx="2">
                  <c:v>5.9499628973638169E-2</c:v>
                </c:pt>
                <c:pt idx="3">
                  <c:v>9.528065300639682E-2</c:v>
                </c:pt>
                <c:pt idx="4">
                  <c:v>0.1313758307469817</c:v>
                </c:pt>
                <c:pt idx="5">
                  <c:v>0.16851096558933612</c:v>
                </c:pt>
                <c:pt idx="6">
                  <c:v>0.22550278134360291</c:v>
                </c:pt>
                <c:pt idx="7">
                  <c:v>0.3032720733603072</c:v>
                </c:pt>
                <c:pt idx="8">
                  <c:v>0.58866446759071189</c:v>
                </c:pt>
                <c:pt idx="9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26A-485E-B6E8-3014B9C4ADCC}"/>
            </c:ext>
          </c:extLst>
        </c:ser>
        <c:ser>
          <c:idx val="1"/>
          <c:order val="1"/>
          <c:tx>
            <c:strRef>
              <c:f>'LEOPOLDINA-CATAGUASES'!$K$1</c:f>
              <c:strCache>
                <c:ptCount val="1"/>
                <c:pt idx="0">
                  <c:v>Prod 2019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'LEOPOLDINA-CATAGUASES'!$I$2:$I$11</c:f>
              <c:numCache>
                <c:formatCode>0.00</c:formatCode>
                <c:ptCount val="10"/>
                <c:pt idx="0">
                  <c:v>1.4521484322105047E-2</c:v>
                </c:pt>
                <c:pt idx="1">
                  <c:v>3.5694360940944518E-2</c:v>
                </c:pt>
                <c:pt idx="2">
                  <c:v>5.9499628973638169E-2</c:v>
                </c:pt>
                <c:pt idx="3">
                  <c:v>9.528065300639682E-2</c:v>
                </c:pt>
                <c:pt idx="4">
                  <c:v>0.1313758307469817</c:v>
                </c:pt>
                <c:pt idx="5">
                  <c:v>0.16851096558933612</c:v>
                </c:pt>
                <c:pt idx="6">
                  <c:v>0.22550278134360291</c:v>
                </c:pt>
                <c:pt idx="7">
                  <c:v>0.3032720733603072</c:v>
                </c:pt>
                <c:pt idx="8">
                  <c:v>0.58866446759071189</c:v>
                </c:pt>
                <c:pt idx="9">
                  <c:v>1</c:v>
                </c:pt>
              </c:numCache>
            </c:numRef>
          </c:xVal>
          <c:yVal>
            <c:numRef>
              <c:f>'LEOPOLDINA-CATAGUASES'!$K$2:$K$11</c:f>
              <c:numCache>
                <c:formatCode>0.00</c:formatCode>
                <c:ptCount val="10"/>
                <c:pt idx="0">
                  <c:v>2.097902097902098E-2</c:v>
                </c:pt>
                <c:pt idx="1">
                  <c:v>4.8951048951048952E-2</c:v>
                </c:pt>
                <c:pt idx="2">
                  <c:v>8.3916083916083919E-2</c:v>
                </c:pt>
                <c:pt idx="3">
                  <c:v>0.14685314685314688</c:v>
                </c:pt>
                <c:pt idx="4">
                  <c:v>0.27972027972027974</c:v>
                </c:pt>
                <c:pt idx="5">
                  <c:v>0.33916083916083917</c:v>
                </c:pt>
                <c:pt idx="6">
                  <c:v>0.41958041958041958</c:v>
                </c:pt>
                <c:pt idx="7">
                  <c:v>0.53846153846153844</c:v>
                </c:pt>
                <c:pt idx="8">
                  <c:v>0.73076923076923073</c:v>
                </c:pt>
                <c:pt idx="9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26A-485E-B6E8-3014B9C4ADCC}"/>
            </c:ext>
          </c:extLst>
        </c:ser>
        <c:ser>
          <c:idx val="2"/>
          <c:order val="2"/>
          <c:tx>
            <c:strRef>
              <c:f>'LEOPOLDINA-CATAGUASES'!$L$1</c:f>
              <c:strCache>
                <c:ptCount val="1"/>
                <c:pt idx="0">
                  <c:v>Prod 2020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'LEOPOLDINA-CATAGUASES'!$I$2:$I$11</c:f>
              <c:numCache>
                <c:formatCode>0.00</c:formatCode>
                <c:ptCount val="10"/>
                <c:pt idx="0">
                  <c:v>1.4521484322105047E-2</c:v>
                </c:pt>
                <c:pt idx="1">
                  <c:v>3.5694360940944518E-2</c:v>
                </c:pt>
                <c:pt idx="2">
                  <c:v>5.9499628973638169E-2</c:v>
                </c:pt>
                <c:pt idx="3">
                  <c:v>9.528065300639682E-2</c:v>
                </c:pt>
                <c:pt idx="4">
                  <c:v>0.1313758307469817</c:v>
                </c:pt>
                <c:pt idx="5">
                  <c:v>0.16851096558933612</c:v>
                </c:pt>
                <c:pt idx="6">
                  <c:v>0.22550278134360291</c:v>
                </c:pt>
                <c:pt idx="7">
                  <c:v>0.3032720733603072</c:v>
                </c:pt>
                <c:pt idx="8">
                  <c:v>0.58866446759071189</c:v>
                </c:pt>
                <c:pt idx="9">
                  <c:v>1</c:v>
                </c:pt>
              </c:numCache>
            </c:numRef>
          </c:xVal>
          <c:yVal>
            <c:numRef>
              <c:f>'LEOPOLDINA-CATAGUASES'!$L$2:$L$11</c:f>
              <c:numCache>
                <c:formatCode>0.00</c:formatCode>
                <c:ptCount val="10"/>
                <c:pt idx="0">
                  <c:v>3.2679738562091505E-2</c:v>
                </c:pt>
                <c:pt idx="1">
                  <c:v>5.2287581699346407E-2</c:v>
                </c:pt>
                <c:pt idx="2">
                  <c:v>6.535947712418301E-2</c:v>
                </c:pt>
                <c:pt idx="3">
                  <c:v>0.1111111111111111</c:v>
                </c:pt>
                <c:pt idx="4">
                  <c:v>0.1764705882352941</c:v>
                </c:pt>
                <c:pt idx="5">
                  <c:v>0.2745098039215686</c:v>
                </c:pt>
                <c:pt idx="6">
                  <c:v>0.43137254901960781</c:v>
                </c:pt>
                <c:pt idx="7">
                  <c:v>0.54901960784313719</c:v>
                </c:pt>
                <c:pt idx="8">
                  <c:v>0.8039215686274509</c:v>
                </c:pt>
                <c:pt idx="9">
                  <c:v>0.99999999999999989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26A-485E-B6E8-3014B9C4ADCC}"/>
            </c:ext>
          </c:extLst>
        </c:ser>
        <c:ser>
          <c:idx val="3"/>
          <c:order val="3"/>
          <c:tx>
            <c:strRef>
              <c:f>'LEOPOLDINA-CATAGUASES'!$M$1</c:f>
              <c:strCache>
                <c:ptCount val="1"/>
                <c:pt idx="0">
                  <c:v>Prod 2021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'LEOPOLDINA-CATAGUASES'!$I$2:$I$11</c:f>
              <c:numCache>
                <c:formatCode>0.00</c:formatCode>
                <c:ptCount val="10"/>
                <c:pt idx="0">
                  <c:v>1.4521484322105047E-2</c:v>
                </c:pt>
                <c:pt idx="1">
                  <c:v>3.5694360940944518E-2</c:v>
                </c:pt>
                <c:pt idx="2">
                  <c:v>5.9499628973638169E-2</c:v>
                </c:pt>
                <c:pt idx="3">
                  <c:v>9.528065300639682E-2</c:v>
                </c:pt>
                <c:pt idx="4">
                  <c:v>0.1313758307469817</c:v>
                </c:pt>
                <c:pt idx="5">
                  <c:v>0.16851096558933612</c:v>
                </c:pt>
                <c:pt idx="6">
                  <c:v>0.22550278134360291</c:v>
                </c:pt>
                <c:pt idx="7">
                  <c:v>0.3032720733603072</c:v>
                </c:pt>
                <c:pt idx="8">
                  <c:v>0.58866446759071189</c:v>
                </c:pt>
                <c:pt idx="9">
                  <c:v>1</c:v>
                </c:pt>
              </c:numCache>
            </c:numRef>
          </c:xVal>
          <c:yVal>
            <c:numRef>
              <c:f>'LEOPOLDINA-CATAGUASES'!$M$2:$M$11</c:f>
              <c:numCache>
                <c:formatCode>0.00</c:formatCode>
                <c:ptCount val="10"/>
                <c:pt idx="0">
                  <c:v>3.2786885245901641E-2</c:v>
                </c:pt>
                <c:pt idx="1">
                  <c:v>4.0983606557377053E-2</c:v>
                </c:pt>
                <c:pt idx="2">
                  <c:v>4.9180327868852465E-2</c:v>
                </c:pt>
                <c:pt idx="3">
                  <c:v>0.10655737704918034</c:v>
                </c:pt>
                <c:pt idx="4">
                  <c:v>0.2377049180327869</c:v>
                </c:pt>
                <c:pt idx="5">
                  <c:v>0.34426229508196721</c:v>
                </c:pt>
                <c:pt idx="6">
                  <c:v>0.54098360655737698</c:v>
                </c:pt>
                <c:pt idx="7">
                  <c:v>0.66393442622950816</c:v>
                </c:pt>
                <c:pt idx="8">
                  <c:v>0.82786885245901631</c:v>
                </c:pt>
                <c:pt idx="9">
                  <c:v>0.99999999999999989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26A-485E-B6E8-3014B9C4AD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8364464"/>
        <c:axId val="388362544"/>
      </c:scatterChart>
      <c:valAx>
        <c:axId val="388364464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88362544"/>
        <c:crosses val="autoZero"/>
        <c:crossBetween val="midCat"/>
      </c:valAx>
      <c:valAx>
        <c:axId val="38836254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883644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'LEOPOLDINA-CATAGUASES'!$J$1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'LEOPOLDINA-CATAGUASES'!$I$2:$I$11</c:f>
              <c:numCache>
                <c:formatCode>0.00</c:formatCode>
                <c:ptCount val="10"/>
                <c:pt idx="0">
                  <c:v>1.4521484322105047E-2</c:v>
                </c:pt>
                <c:pt idx="1">
                  <c:v>3.5694360940944518E-2</c:v>
                </c:pt>
                <c:pt idx="2">
                  <c:v>5.9499628973638169E-2</c:v>
                </c:pt>
                <c:pt idx="3">
                  <c:v>9.528065300639682E-2</c:v>
                </c:pt>
                <c:pt idx="4">
                  <c:v>0.1313758307469817</c:v>
                </c:pt>
                <c:pt idx="5">
                  <c:v>0.16851096558933612</c:v>
                </c:pt>
                <c:pt idx="6">
                  <c:v>0.22550278134360291</c:v>
                </c:pt>
                <c:pt idx="7">
                  <c:v>0.3032720733603072</c:v>
                </c:pt>
                <c:pt idx="8">
                  <c:v>0.58866446759071189</c:v>
                </c:pt>
                <c:pt idx="9">
                  <c:v>1</c:v>
                </c:pt>
              </c:numCache>
            </c:numRef>
          </c:xVal>
          <c:yVal>
            <c:numRef>
              <c:f>'LEOPOLDINA-CATAGUASES'!$J$2:$J$11</c:f>
              <c:numCache>
                <c:formatCode>0.00</c:formatCode>
                <c:ptCount val="10"/>
                <c:pt idx="0">
                  <c:v>1.4521484322105047E-2</c:v>
                </c:pt>
                <c:pt idx="1">
                  <c:v>3.5694360940944518E-2</c:v>
                </c:pt>
                <c:pt idx="2">
                  <c:v>5.9499628973638169E-2</c:v>
                </c:pt>
                <c:pt idx="3">
                  <c:v>9.528065300639682E-2</c:v>
                </c:pt>
                <c:pt idx="4">
                  <c:v>0.1313758307469817</c:v>
                </c:pt>
                <c:pt idx="5">
                  <c:v>0.16851096558933612</c:v>
                </c:pt>
                <c:pt idx="6">
                  <c:v>0.22550278134360291</c:v>
                </c:pt>
                <c:pt idx="7">
                  <c:v>0.3032720733603072</c:v>
                </c:pt>
                <c:pt idx="8">
                  <c:v>0.58866446759071189</c:v>
                </c:pt>
                <c:pt idx="9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F6C-40EF-9C30-EB3BAC62923C}"/>
            </c:ext>
          </c:extLst>
        </c:ser>
        <c:ser>
          <c:idx val="1"/>
          <c:order val="1"/>
          <c:tx>
            <c:strRef>
              <c:f>'LEOPOLDINA-CATAGUASES'!$N$1</c:f>
              <c:strCache>
                <c:ptCount val="1"/>
                <c:pt idx="0">
                  <c:v>Prod 2022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'LEOPOLDINA-CATAGUASES'!$I$2:$I$11</c:f>
              <c:numCache>
                <c:formatCode>0.00</c:formatCode>
                <c:ptCount val="10"/>
                <c:pt idx="0">
                  <c:v>1.4521484322105047E-2</c:v>
                </c:pt>
                <c:pt idx="1">
                  <c:v>3.5694360940944518E-2</c:v>
                </c:pt>
                <c:pt idx="2">
                  <c:v>5.9499628973638169E-2</c:v>
                </c:pt>
                <c:pt idx="3">
                  <c:v>9.528065300639682E-2</c:v>
                </c:pt>
                <c:pt idx="4">
                  <c:v>0.1313758307469817</c:v>
                </c:pt>
                <c:pt idx="5">
                  <c:v>0.16851096558933612</c:v>
                </c:pt>
                <c:pt idx="6">
                  <c:v>0.22550278134360291</c:v>
                </c:pt>
                <c:pt idx="7">
                  <c:v>0.3032720733603072</c:v>
                </c:pt>
                <c:pt idx="8">
                  <c:v>0.58866446759071189</c:v>
                </c:pt>
                <c:pt idx="9">
                  <c:v>1</c:v>
                </c:pt>
              </c:numCache>
            </c:numRef>
          </c:xVal>
          <c:yVal>
            <c:numRef>
              <c:f>'LEOPOLDINA-CATAGUASES'!$N$2:$N$11</c:f>
              <c:numCache>
                <c:formatCode>0.00</c:formatCode>
                <c:ptCount val="10"/>
                <c:pt idx="0">
                  <c:v>3.5460992907801418E-3</c:v>
                </c:pt>
                <c:pt idx="1">
                  <c:v>1.4184397163120567E-2</c:v>
                </c:pt>
                <c:pt idx="2">
                  <c:v>4.6099290780141841E-2</c:v>
                </c:pt>
                <c:pt idx="3">
                  <c:v>0.10283687943262411</c:v>
                </c:pt>
                <c:pt idx="4">
                  <c:v>0.21631205673758863</c:v>
                </c:pt>
                <c:pt idx="5">
                  <c:v>0.26595744680851063</c:v>
                </c:pt>
                <c:pt idx="6">
                  <c:v>0.40780141843971629</c:v>
                </c:pt>
                <c:pt idx="7">
                  <c:v>0.57801418439716312</c:v>
                </c:pt>
                <c:pt idx="8">
                  <c:v>0.66666666666666663</c:v>
                </c:pt>
                <c:pt idx="9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F6C-40EF-9C30-EB3BAC62923C}"/>
            </c:ext>
          </c:extLst>
        </c:ser>
        <c:ser>
          <c:idx val="2"/>
          <c:order val="2"/>
          <c:tx>
            <c:strRef>
              <c:f>'LEOPOLDINA-CATAGUASES'!$O$1</c:f>
              <c:strCache>
                <c:ptCount val="1"/>
                <c:pt idx="0">
                  <c:v>Prod 2023-1-2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'LEOPOLDINA-CATAGUASES'!$I$2:$I$11</c:f>
              <c:numCache>
                <c:formatCode>0.00</c:formatCode>
                <c:ptCount val="10"/>
                <c:pt idx="0">
                  <c:v>1.4521484322105047E-2</c:v>
                </c:pt>
                <c:pt idx="1">
                  <c:v>3.5694360940944518E-2</c:v>
                </c:pt>
                <c:pt idx="2">
                  <c:v>5.9499628973638169E-2</c:v>
                </c:pt>
                <c:pt idx="3">
                  <c:v>9.528065300639682E-2</c:v>
                </c:pt>
                <c:pt idx="4">
                  <c:v>0.1313758307469817</c:v>
                </c:pt>
                <c:pt idx="5">
                  <c:v>0.16851096558933612</c:v>
                </c:pt>
                <c:pt idx="6">
                  <c:v>0.22550278134360291</c:v>
                </c:pt>
                <c:pt idx="7">
                  <c:v>0.3032720733603072</c:v>
                </c:pt>
                <c:pt idx="8">
                  <c:v>0.58866446759071189</c:v>
                </c:pt>
                <c:pt idx="9">
                  <c:v>1</c:v>
                </c:pt>
              </c:numCache>
            </c:numRef>
          </c:xVal>
          <c:yVal>
            <c:numRef>
              <c:f>'LEOPOLDINA-CATAGUASES'!$O$2:$O$11</c:f>
              <c:numCache>
                <c:formatCode>0.00</c:formatCode>
                <c:ptCount val="10"/>
                <c:pt idx="0">
                  <c:v>5.434782608695652E-3</c:v>
                </c:pt>
                <c:pt idx="1">
                  <c:v>1.6304347826086956E-2</c:v>
                </c:pt>
                <c:pt idx="2">
                  <c:v>8.6956521739130432E-2</c:v>
                </c:pt>
                <c:pt idx="3">
                  <c:v>0.11956521739130435</c:v>
                </c:pt>
                <c:pt idx="4">
                  <c:v>0.27173913043478259</c:v>
                </c:pt>
                <c:pt idx="5">
                  <c:v>0.33152173913043476</c:v>
                </c:pt>
                <c:pt idx="6">
                  <c:v>0.48369565217391303</c:v>
                </c:pt>
                <c:pt idx="7">
                  <c:v>0.63043478260869568</c:v>
                </c:pt>
                <c:pt idx="8">
                  <c:v>0.67934782608695654</c:v>
                </c:pt>
                <c:pt idx="9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F6C-40EF-9C30-EB3BAC62923C}"/>
            </c:ext>
          </c:extLst>
        </c:ser>
        <c:ser>
          <c:idx val="3"/>
          <c:order val="3"/>
          <c:tx>
            <c:strRef>
              <c:f>'LEOPOLDINA-CATAGUASES'!$P$1</c:f>
              <c:strCache>
                <c:ptCount val="1"/>
                <c:pt idx="0">
                  <c:v>Prod 2023-3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'LEOPOLDINA-CATAGUASES'!$I$2:$I$11</c:f>
              <c:numCache>
                <c:formatCode>0.00</c:formatCode>
                <c:ptCount val="10"/>
                <c:pt idx="0">
                  <c:v>1.4521484322105047E-2</c:v>
                </c:pt>
                <c:pt idx="1">
                  <c:v>3.5694360940944518E-2</c:v>
                </c:pt>
                <c:pt idx="2">
                  <c:v>5.9499628973638169E-2</c:v>
                </c:pt>
                <c:pt idx="3">
                  <c:v>9.528065300639682E-2</c:v>
                </c:pt>
                <c:pt idx="4">
                  <c:v>0.1313758307469817</c:v>
                </c:pt>
                <c:pt idx="5">
                  <c:v>0.16851096558933612</c:v>
                </c:pt>
                <c:pt idx="6">
                  <c:v>0.22550278134360291</c:v>
                </c:pt>
                <c:pt idx="7">
                  <c:v>0.3032720733603072</c:v>
                </c:pt>
                <c:pt idx="8">
                  <c:v>0.58866446759071189</c:v>
                </c:pt>
                <c:pt idx="9">
                  <c:v>1</c:v>
                </c:pt>
              </c:numCache>
            </c:numRef>
          </c:xVal>
          <c:yVal>
            <c:numRef>
              <c:f>'LEOPOLDINA-CATAGUASES'!$P$2:$P$11</c:f>
              <c:numCache>
                <c:formatCode>0.00</c:formatCode>
                <c:ptCount val="10"/>
                <c:pt idx="0">
                  <c:v>0</c:v>
                </c:pt>
                <c:pt idx="1">
                  <c:v>4.1322314049586778E-2</c:v>
                </c:pt>
                <c:pt idx="2">
                  <c:v>0.12396694214876033</c:v>
                </c:pt>
                <c:pt idx="3">
                  <c:v>0.19834710743801653</c:v>
                </c:pt>
                <c:pt idx="4">
                  <c:v>0.27272727272727271</c:v>
                </c:pt>
                <c:pt idx="5">
                  <c:v>0.33057851239669422</c:v>
                </c:pt>
                <c:pt idx="6">
                  <c:v>0.42148760330578516</c:v>
                </c:pt>
                <c:pt idx="7">
                  <c:v>0.57024793388429762</c:v>
                </c:pt>
                <c:pt idx="8">
                  <c:v>0.66115702479338856</c:v>
                </c:pt>
                <c:pt idx="9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F6C-40EF-9C30-EB3BAC6292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8373104"/>
        <c:axId val="388373584"/>
      </c:scatterChart>
      <c:valAx>
        <c:axId val="388373104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88373584"/>
        <c:crosses val="autoZero"/>
        <c:crossBetween val="midCat"/>
      </c:valAx>
      <c:valAx>
        <c:axId val="38837358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883731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'LIMA DUARTE'!$J$1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'LIMA DUARTE'!$I$2:$I$15</c:f>
              <c:numCache>
                <c:formatCode>0.00</c:formatCode>
                <c:ptCount val="14"/>
                <c:pt idx="0">
                  <c:v>2.2951752543796659E-2</c:v>
                </c:pt>
                <c:pt idx="1">
                  <c:v>4.7393878629398298E-2</c:v>
                </c:pt>
                <c:pt idx="2">
                  <c:v>7.4816751798609887E-2</c:v>
                </c:pt>
                <c:pt idx="3">
                  <c:v>0.11246900700475565</c:v>
                </c:pt>
                <c:pt idx="4">
                  <c:v>0.15598791442546101</c:v>
                </c:pt>
                <c:pt idx="5">
                  <c:v>0.19950682184616636</c:v>
                </c:pt>
                <c:pt idx="6">
                  <c:v>0.24397414879347487</c:v>
                </c:pt>
                <c:pt idx="7">
                  <c:v>0.30959123118403403</c:v>
                </c:pt>
                <c:pt idx="8">
                  <c:v>0.37725418998198001</c:v>
                </c:pt>
                <c:pt idx="9">
                  <c:v>0.44619074071565024</c:v>
                </c:pt>
                <c:pt idx="10">
                  <c:v>0.52061457585323878</c:v>
                </c:pt>
                <c:pt idx="11">
                  <c:v>0.60792336770225042</c:v>
                </c:pt>
                <c:pt idx="12">
                  <c:v>0.77307030498462204</c:v>
                </c:pt>
                <c:pt idx="13">
                  <c:v>1</c:v>
                </c:pt>
              </c:numCache>
            </c:numRef>
          </c:xVal>
          <c:yVal>
            <c:numRef>
              <c:f>'LIMA DUARTE'!$J$2:$J$15</c:f>
              <c:numCache>
                <c:formatCode>0.00</c:formatCode>
                <c:ptCount val="14"/>
                <c:pt idx="0">
                  <c:v>2.2951752543796659E-2</c:v>
                </c:pt>
                <c:pt idx="1">
                  <c:v>4.7393878629398298E-2</c:v>
                </c:pt>
                <c:pt idx="2">
                  <c:v>7.4816751798609887E-2</c:v>
                </c:pt>
                <c:pt idx="3">
                  <c:v>0.11246900700475565</c:v>
                </c:pt>
                <c:pt idx="4">
                  <c:v>0.15598791442546101</c:v>
                </c:pt>
                <c:pt idx="5">
                  <c:v>0.19950682184616636</c:v>
                </c:pt>
                <c:pt idx="6">
                  <c:v>0.24397414879347487</c:v>
                </c:pt>
                <c:pt idx="7">
                  <c:v>0.30959123118403403</c:v>
                </c:pt>
                <c:pt idx="8">
                  <c:v>0.37725418998198001</c:v>
                </c:pt>
                <c:pt idx="9">
                  <c:v>0.44619074071565024</c:v>
                </c:pt>
                <c:pt idx="10">
                  <c:v>0.52061457585323878</c:v>
                </c:pt>
                <c:pt idx="11">
                  <c:v>0.60792336770225042</c:v>
                </c:pt>
                <c:pt idx="12">
                  <c:v>0.77307030498462204</c:v>
                </c:pt>
                <c:pt idx="13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E50-4319-8445-447C8B650464}"/>
            </c:ext>
          </c:extLst>
        </c:ser>
        <c:ser>
          <c:idx val="1"/>
          <c:order val="1"/>
          <c:tx>
            <c:strRef>
              <c:f>'LIMA DUARTE'!$K$1</c:f>
              <c:strCache>
                <c:ptCount val="1"/>
                <c:pt idx="0">
                  <c:v>Prod 2019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'LIMA DUARTE'!$I$2:$I$15</c:f>
              <c:numCache>
                <c:formatCode>0.00</c:formatCode>
                <c:ptCount val="14"/>
                <c:pt idx="0">
                  <c:v>2.2951752543796659E-2</c:v>
                </c:pt>
                <c:pt idx="1">
                  <c:v>4.7393878629398298E-2</c:v>
                </c:pt>
                <c:pt idx="2">
                  <c:v>7.4816751798609887E-2</c:v>
                </c:pt>
                <c:pt idx="3">
                  <c:v>0.11246900700475565</c:v>
                </c:pt>
                <c:pt idx="4">
                  <c:v>0.15598791442546101</c:v>
                </c:pt>
                <c:pt idx="5">
                  <c:v>0.19950682184616636</c:v>
                </c:pt>
                <c:pt idx="6">
                  <c:v>0.24397414879347487</c:v>
                </c:pt>
                <c:pt idx="7">
                  <c:v>0.30959123118403403</c:v>
                </c:pt>
                <c:pt idx="8">
                  <c:v>0.37725418998198001</c:v>
                </c:pt>
                <c:pt idx="9">
                  <c:v>0.44619074071565024</c:v>
                </c:pt>
                <c:pt idx="10">
                  <c:v>0.52061457585323878</c:v>
                </c:pt>
                <c:pt idx="11">
                  <c:v>0.60792336770225042</c:v>
                </c:pt>
                <c:pt idx="12">
                  <c:v>0.77307030498462204</c:v>
                </c:pt>
                <c:pt idx="13">
                  <c:v>1</c:v>
                </c:pt>
              </c:numCache>
            </c:numRef>
          </c:xVal>
          <c:yVal>
            <c:numRef>
              <c:f>'LIMA DUARTE'!$K$2:$K$15</c:f>
              <c:numCache>
                <c:formatCode>0.00</c:formatCode>
                <c:ptCount val="14"/>
                <c:pt idx="0">
                  <c:v>1.4336917562724014E-2</c:v>
                </c:pt>
                <c:pt idx="1">
                  <c:v>4.3010752688172046E-2</c:v>
                </c:pt>
                <c:pt idx="2">
                  <c:v>6.0931899641577067E-2</c:v>
                </c:pt>
                <c:pt idx="3">
                  <c:v>9.3189964157706098E-2</c:v>
                </c:pt>
                <c:pt idx="4">
                  <c:v>0.12544802867383514</c:v>
                </c:pt>
                <c:pt idx="5">
                  <c:v>0.34408602150537637</c:v>
                </c:pt>
                <c:pt idx="6">
                  <c:v>0.39426523297491045</c:v>
                </c:pt>
                <c:pt idx="7">
                  <c:v>0.42293906810035847</c:v>
                </c:pt>
                <c:pt idx="8">
                  <c:v>0.46594982078853053</c:v>
                </c:pt>
                <c:pt idx="9">
                  <c:v>0.49820788530465954</c:v>
                </c:pt>
                <c:pt idx="10">
                  <c:v>0.56272401433691766</c:v>
                </c:pt>
                <c:pt idx="11">
                  <c:v>0.62365591397849474</c:v>
                </c:pt>
                <c:pt idx="12">
                  <c:v>0.7777777777777779</c:v>
                </c:pt>
                <c:pt idx="13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E50-4319-8445-447C8B650464}"/>
            </c:ext>
          </c:extLst>
        </c:ser>
        <c:ser>
          <c:idx val="2"/>
          <c:order val="2"/>
          <c:tx>
            <c:strRef>
              <c:f>'LIMA DUARTE'!$L$1</c:f>
              <c:strCache>
                <c:ptCount val="1"/>
                <c:pt idx="0">
                  <c:v>Prod 2020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'LIMA DUARTE'!$I$2:$I$15</c:f>
              <c:numCache>
                <c:formatCode>0.00</c:formatCode>
                <c:ptCount val="14"/>
                <c:pt idx="0">
                  <c:v>2.2951752543796659E-2</c:v>
                </c:pt>
                <c:pt idx="1">
                  <c:v>4.7393878629398298E-2</c:v>
                </c:pt>
                <c:pt idx="2">
                  <c:v>7.4816751798609887E-2</c:v>
                </c:pt>
                <c:pt idx="3">
                  <c:v>0.11246900700475565</c:v>
                </c:pt>
                <c:pt idx="4">
                  <c:v>0.15598791442546101</c:v>
                </c:pt>
                <c:pt idx="5">
                  <c:v>0.19950682184616636</c:v>
                </c:pt>
                <c:pt idx="6">
                  <c:v>0.24397414879347487</c:v>
                </c:pt>
                <c:pt idx="7">
                  <c:v>0.30959123118403403</c:v>
                </c:pt>
                <c:pt idx="8">
                  <c:v>0.37725418998198001</c:v>
                </c:pt>
                <c:pt idx="9">
                  <c:v>0.44619074071565024</c:v>
                </c:pt>
                <c:pt idx="10">
                  <c:v>0.52061457585323878</c:v>
                </c:pt>
                <c:pt idx="11">
                  <c:v>0.60792336770225042</c:v>
                </c:pt>
                <c:pt idx="12">
                  <c:v>0.77307030498462204</c:v>
                </c:pt>
                <c:pt idx="13">
                  <c:v>1</c:v>
                </c:pt>
              </c:numCache>
            </c:numRef>
          </c:xVal>
          <c:yVal>
            <c:numRef>
              <c:f>'LIMA DUARTE'!$L$2:$L$15</c:f>
              <c:numCache>
                <c:formatCode>0.00</c:formatCode>
                <c:ptCount val="14"/>
                <c:pt idx="0">
                  <c:v>0</c:v>
                </c:pt>
                <c:pt idx="1">
                  <c:v>2.8571428571428571E-2</c:v>
                </c:pt>
                <c:pt idx="2">
                  <c:v>5.7142857142857141E-2</c:v>
                </c:pt>
                <c:pt idx="3">
                  <c:v>8.5714285714285715E-2</c:v>
                </c:pt>
                <c:pt idx="4">
                  <c:v>9.285714285714286E-2</c:v>
                </c:pt>
                <c:pt idx="5">
                  <c:v>0.27142857142857146</c:v>
                </c:pt>
                <c:pt idx="6">
                  <c:v>0.30000000000000004</c:v>
                </c:pt>
                <c:pt idx="7">
                  <c:v>0.33571428571428574</c:v>
                </c:pt>
                <c:pt idx="8">
                  <c:v>0.45714285714285718</c:v>
                </c:pt>
                <c:pt idx="9">
                  <c:v>0.47142857142857147</c:v>
                </c:pt>
                <c:pt idx="10">
                  <c:v>0.48571428571428577</c:v>
                </c:pt>
                <c:pt idx="11">
                  <c:v>0.58571428571428574</c:v>
                </c:pt>
                <c:pt idx="12">
                  <c:v>0.77857142857142858</c:v>
                </c:pt>
                <c:pt idx="13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E50-4319-8445-447C8B650464}"/>
            </c:ext>
          </c:extLst>
        </c:ser>
        <c:ser>
          <c:idx val="3"/>
          <c:order val="3"/>
          <c:tx>
            <c:strRef>
              <c:f>'LIMA DUARTE'!$M$1</c:f>
              <c:strCache>
                <c:ptCount val="1"/>
                <c:pt idx="0">
                  <c:v>Prod 2021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'LIMA DUARTE'!$I$2:$I$15</c:f>
              <c:numCache>
                <c:formatCode>0.00</c:formatCode>
                <c:ptCount val="14"/>
                <c:pt idx="0">
                  <c:v>2.2951752543796659E-2</c:v>
                </c:pt>
                <c:pt idx="1">
                  <c:v>4.7393878629398298E-2</c:v>
                </c:pt>
                <c:pt idx="2">
                  <c:v>7.4816751798609887E-2</c:v>
                </c:pt>
                <c:pt idx="3">
                  <c:v>0.11246900700475565</c:v>
                </c:pt>
                <c:pt idx="4">
                  <c:v>0.15598791442546101</c:v>
                </c:pt>
                <c:pt idx="5">
                  <c:v>0.19950682184616636</c:v>
                </c:pt>
                <c:pt idx="6">
                  <c:v>0.24397414879347487</c:v>
                </c:pt>
                <c:pt idx="7">
                  <c:v>0.30959123118403403</c:v>
                </c:pt>
                <c:pt idx="8">
                  <c:v>0.37725418998198001</c:v>
                </c:pt>
                <c:pt idx="9">
                  <c:v>0.44619074071565024</c:v>
                </c:pt>
                <c:pt idx="10">
                  <c:v>0.52061457585323878</c:v>
                </c:pt>
                <c:pt idx="11">
                  <c:v>0.60792336770225042</c:v>
                </c:pt>
                <c:pt idx="12">
                  <c:v>0.77307030498462204</c:v>
                </c:pt>
                <c:pt idx="13">
                  <c:v>1</c:v>
                </c:pt>
              </c:numCache>
            </c:numRef>
          </c:xVal>
          <c:yVal>
            <c:numRef>
              <c:f>'LIMA DUARTE'!$M$2:$M$15</c:f>
              <c:numCache>
                <c:formatCode>0.00</c:formatCode>
                <c:ptCount val="14"/>
                <c:pt idx="0">
                  <c:v>2.1897810218978103E-2</c:v>
                </c:pt>
                <c:pt idx="1">
                  <c:v>5.1094890510948905E-2</c:v>
                </c:pt>
                <c:pt idx="2">
                  <c:v>8.0291970802919707E-2</c:v>
                </c:pt>
                <c:pt idx="3">
                  <c:v>0.12408759124087591</c:v>
                </c:pt>
                <c:pt idx="4">
                  <c:v>0.145985401459854</c:v>
                </c:pt>
                <c:pt idx="5">
                  <c:v>0.43065693430656932</c:v>
                </c:pt>
                <c:pt idx="6">
                  <c:v>0.46715328467153283</c:v>
                </c:pt>
                <c:pt idx="7">
                  <c:v>0.46715328467153283</c:v>
                </c:pt>
                <c:pt idx="8">
                  <c:v>0.57664233576642332</c:v>
                </c:pt>
                <c:pt idx="9">
                  <c:v>0.5985401459854014</c:v>
                </c:pt>
                <c:pt idx="10">
                  <c:v>0.61313868613138678</c:v>
                </c:pt>
                <c:pt idx="11">
                  <c:v>0.66423357664233573</c:v>
                </c:pt>
                <c:pt idx="12">
                  <c:v>0.72992700729927007</c:v>
                </c:pt>
                <c:pt idx="13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E50-4319-8445-447C8B6504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6061104"/>
        <c:axId val="366061584"/>
      </c:scatterChart>
      <c:valAx>
        <c:axId val="366061104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66061584"/>
        <c:crosses val="autoZero"/>
        <c:crossBetween val="midCat"/>
      </c:valAx>
      <c:valAx>
        <c:axId val="36606158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660611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'LIMA DUARTE'!$J$1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'LIMA DUARTE'!$I$2:$I$15</c:f>
              <c:numCache>
                <c:formatCode>0.00</c:formatCode>
                <c:ptCount val="14"/>
                <c:pt idx="0">
                  <c:v>2.2951752543796659E-2</c:v>
                </c:pt>
                <c:pt idx="1">
                  <c:v>4.7393878629398298E-2</c:v>
                </c:pt>
                <c:pt idx="2">
                  <c:v>7.4816751798609887E-2</c:v>
                </c:pt>
                <c:pt idx="3">
                  <c:v>0.11246900700475565</c:v>
                </c:pt>
                <c:pt idx="4">
                  <c:v>0.15598791442546101</c:v>
                </c:pt>
                <c:pt idx="5">
                  <c:v>0.19950682184616636</c:v>
                </c:pt>
                <c:pt idx="6">
                  <c:v>0.24397414879347487</c:v>
                </c:pt>
                <c:pt idx="7">
                  <c:v>0.30959123118403403</c:v>
                </c:pt>
                <c:pt idx="8">
                  <c:v>0.37725418998198001</c:v>
                </c:pt>
                <c:pt idx="9">
                  <c:v>0.44619074071565024</c:v>
                </c:pt>
                <c:pt idx="10">
                  <c:v>0.52061457585323878</c:v>
                </c:pt>
                <c:pt idx="11">
                  <c:v>0.60792336770225042</c:v>
                </c:pt>
                <c:pt idx="12">
                  <c:v>0.77307030498462204</c:v>
                </c:pt>
                <c:pt idx="13">
                  <c:v>1</c:v>
                </c:pt>
              </c:numCache>
            </c:numRef>
          </c:xVal>
          <c:yVal>
            <c:numRef>
              <c:f>'LIMA DUARTE'!$J$2:$J$15</c:f>
              <c:numCache>
                <c:formatCode>0.00</c:formatCode>
                <c:ptCount val="14"/>
                <c:pt idx="0">
                  <c:v>2.2951752543796659E-2</c:v>
                </c:pt>
                <c:pt idx="1">
                  <c:v>4.7393878629398298E-2</c:v>
                </c:pt>
                <c:pt idx="2">
                  <c:v>7.4816751798609887E-2</c:v>
                </c:pt>
                <c:pt idx="3">
                  <c:v>0.11246900700475565</c:v>
                </c:pt>
                <c:pt idx="4">
                  <c:v>0.15598791442546101</c:v>
                </c:pt>
                <c:pt idx="5">
                  <c:v>0.19950682184616636</c:v>
                </c:pt>
                <c:pt idx="6">
                  <c:v>0.24397414879347487</c:v>
                </c:pt>
                <c:pt idx="7">
                  <c:v>0.30959123118403403</c:v>
                </c:pt>
                <c:pt idx="8">
                  <c:v>0.37725418998198001</c:v>
                </c:pt>
                <c:pt idx="9">
                  <c:v>0.44619074071565024</c:v>
                </c:pt>
                <c:pt idx="10">
                  <c:v>0.52061457585323878</c:v>
                </c:pt>
                <c:pt idx="11">
                  <c:v>0.60792336770225042</c:v>
                </c:pt>
                <c:pt idx="12">
                  <c:v>0.77307030498462204</c:v>
                </c:pt>
                <c:pt idx="13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A53-4334-903A-58367B4524C7}"/>
            </c:ext>
          </c:extLst>
        </c:ser>
        <c:ser>
          <c:idx val="1"/>
          <c:order val="1"/>
          <c:tx>
            <c:strRef>
              <c:f>'LIMA DUARTE'!$N$1</c:f>
              <c:strCache>
                <c:ptCount val="1"/>
                <c:pt idx="0">
                  <c:v>Prod 2022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'LIMA DUARTE'!$I$2:$I$15</c:f>
              <c:numCache>
                <c:formatCode>0.00</c:formatCode>
                <c:ptCount val="14"/>
                <c:pt idx="0">
                  <c:v>2.2951752543796659E-2</c:v>
                </c:pt>
                <c:pt idx="1">
                  <c:v>4.7393878629398298E-2</c:v>
                </c:pt>
                <c:pt idx="2">
                  <c:v>7.4816751798609887E-2</c:v>
                </c:pt>
                <c:pt idx="3">
                  <c:v>0.11246900700475565</c:v>
                </c:pt>
                <c:pt idx="4">
                  <c:v>0.15598791442546101</c:v>
                </c:pt>
                <c:pt idx="5">
                  <c:v>0.19950682184616636</c:v>
                </c:pt>
                <c:pt idx="6">
                  <c:v>0.24397414879347487</c:v>
                </c:pt>
                <c:pt idx="7">
                  <c:v>0.30959123118403403</c:v>
                </c:pt>
                <c:pt idx="8">
                  <c:v>0.37725418998198001</c:v>
                </c:pt>
                <c:pt idx="9">
                  <c:v>0.44619074071565024</c:v>
                </c:pt>
                <c:pt idx="10">
                  <c:v>0.52061457585323878</c:v>
                </c:pt>
                <c:pt idx="11">
                  <c:v>0.60792336770225042</c:v>
                </c:pt>
                <c:pt idx="12">
                  <c:v>0.77307030498462204</c:v>
                </c:pt>
                <c:pt idx="13">
                  <c:v>1</c:v>
                </c:pt>
              </c:numCache>
            </c:numRef>
          </c:xVal>
          <c:yVal>
            <c:numRef>
              <c:f>'LIMA DUARTE'!$N$2:$N$15</c:f>
              <c:numCache>
                <c:formatCode>0.00</c:formatCode>
                <c:ptCount val="14"/>
                <c:pt idx="0">
                  <c:v>2.6229508196721311E-2</c:v>
                </c:pt>
                <c:pt idx="1">
                  <c:v>8.1967213114754106E-2</c:v>
                </c:pt>
                <c:pt idx="2">
                  <c:v>8.8524590163934436E-2</c:v>
                </c:pt>
                <c:pt idx="3">
                  <c:v>0.11803278688524591</c:v>
                </c:pt>
                <c:pt idx="4">
                  <c:v>0.19344262295081968</c:v>
                </c:pt>
                <c:pt idx="5">
                  <c:v>0.32459016393442625</c:v>
                </c:pt>
                <c:pt idx="6">
                  <c:v>0.35081967213114756</c:v>
                </c:pt>
                <c:pt idx="7">
                  <c:v>0.3672131147540984</c:v>
                </c:pt>
                <c:pt idx="8">
                  <c:v>0.42295081967213122</c:v>
                </c:pt>
                <c:pt idx="9">
                  <c:v>0.44590163934426236</c:v>
                </c:pt>
                <c:pt idx="10">
                  <c:v>0.48196721311475416</c:v>
                </c:pt>
                <c:pt idx="11">
                  <c:v>0.55737704918032793</c:v>
                </c:pt>
                <c:pt idx="12">
                  <c:v>0.77377049180327873</c:v>
                </c:pt>
                <c:pt idx="13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A53-4334-903A-58367B4524C7}"/>
            </c:ext>
          </c:extLst>
        </c:ser>
        <c:ser>
          <c:idx val="2"/>
          <c:order val="2"/>
          <c:tx>
            <c:strRef>
              <c:f>'LIMA DUARTE'!$O$1</c:f>
              <c:strCache>
                <c:ptCount val="1"/>
                <c:pt idx="0">
                  <c:v>Prod 2023-1-2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'LIMA DUARTE'!$I$2:$I$15</c:f>
              <c:numCache>
                <c:formatCode>0.00</c:formatCode>
                <c:ptCount val="14"/>
                <c:pt idx="0">
                  <c:v>2.2951752543796659E-2</c:v>
                </c:pt>
                <c:pt idx="1">
                  <c:v>4.7393878629398298E-2</c:v>
                </c:pt>
                <c:pt idx="2">
                  <c:v>7.4816751798609887E-2</c:v>
                </c:pt>
                <c:pt idx="3">
                  <c:v>0.11246900700475565</c:v>
                </c:pt>
                <c:pt idx="4">
                  <c:v>0.15598791442546101</c:v>
                </c:pt>
                <c:pt idx="5">
                  <c:v>0.19950682184616636</c:v>
                </c:pt>
                <c:pt idx="6">
                  <c:v>0.24397414879347487</c:v>
                </c:pt>
                <c:pt idx="7">
                  <c:v>0.30959123118403403</c:v>
                </c:pt>
                <c:pt idx="8">
                  <c:v>0.37725418998198001</c:v>
                </c:pt>
                <c:pt idx="9">
                  <c:v>0.44619074071565024</c:v>
                </c:pt>
                <c:pt idx="10">
                  <c:v>0.52061457585323878</c:v>
                </c:pt>
                <c:pt idx="11">
                  <c:v>0.60792336770225042</c:v>
                </c:pt>
                <c:pt idx="12">
                  <c:v>0.77307030498462204</c:v>
                </c:pt>
                <c:pt idx="13">
                  <c:v>1</c:v>
                </c:pt>
              </c:numCache>
            </c:numRef>
          </c:xVal>
          <c:yVal>
            <c:numRef>
              <c:f>'LIMA DUARTE'!$O$2:$O$15</c:f>
              <c:numCache>
                <c:formatCode>0.00</c:formatCode>
                <c:ptCount val="14"/>
                <c:pt idx="0">
                  <c:v>9.9009900990099011E-3</c:v>
                </c:pt>
                <c:pt idx="1">
                  <c:v>5.940594059405941E-2</c:v>
                </c:pt>
                <c:pt idx="2">
                  <c:v>7.590759075907591E-2</c:v>
                </c:pt>
                <c:pt idx="3">
                  <c:v>0.10891089108910891</c:v>
                </c:pt>
                <c:pt idx="4">
                  <c:v>0.1254125412541254</c:v>
                </c:pt>
                <c:pt idx="5">
                  <c:v>0.25082508250825081</c:v>
                </c:pt>
                <c:pt idx="6">
                  <c:v>0.29042904290429039</c:v>
                </c:pt>
                <c:pt idx="7">
                  <c:v>0.31683168316831678</c:v>
                </c:pt>
                <c:pt idx="8">
                  <c:v>0.35313531353135308</c:v>
                </c:pt>
                <c:pt idx="9">
                  <c:v>0.3729372937293729</c:v>
                </c:pt>
                <c:pt idx="10">
                  <c:v>0.41254125412541248</c:v>
                </c:pt>
                <c:pt idx="11">
                  <c:v>0.46534653465346532</c:v>
                </c:pt>
                <c:pt idx="12">
                  <c:v>0.68976897689768979</c:v>
                </c:pt>
                <c:pt idx="13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A53-4334-903A-58367B4524C7}"/>
            </c:ext>
          </c:extLst>
        </c:ser>
        <c:ser>
          <c:idx val="3"/>
          <c:order val="3"/>
          <c:tx>
            <c:strRef>
              <c:f>'LIMA DUARTE'!$P$1</c:f>
              <c:strCache>
                <c:ptCount val="1"/>
                <c:pt idx="0">
                  <c:v>Prod 2023-3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'LIMA DUARTE'!$I$2:$I$15</c:f>
              <c:numCache>
                <c:formatCode>0.00</c:formatCode>
                <c:ptCount val="14"/>
                <c:pt idx="0">
                  <c:v>2.2951752543796659E-2</c:v>
                </c:pt>
                <c:pt idx="1">
                  <c:v>4.7393878629398298E-2</c:v>
                </c:pt>
                <c:pt idx="2">
                  <c:v>7.4816751798609887E-2</c:v>
                </c:pt>
                <c:pt idx="3">
                  <c:v>0.11246900700475565</c:v>
                </c:pt>
                <c:pt idx="4">
                  <c:v>0.15598791442546101</c:v>
                </c:pt>
                <c:pt idx="5">
                  <c:v>0.19950682184616636</c:v>
                </c:pt>
                <c:pt idx="6">
                  <c:v>0.24397414879347487</c:v>
                </c:pt>
                <c:pt idx="7">
                  <c:v>0.30959123118403403</c:v>
                </c:pt>
                <c:pt idx="8">
                  <c:v>0.37725418998198001</c:v>
                </c:pt>
                <c:pt idx="9">
                  <c:v>0.44619074071565024</c:v>
                </c:pt>
                <c:pt idx="10">
                  <c:v>0.52061457585323878</c:v>
                </c:pt>
                <c:pt idx="11">
                  <c:v>0.60792336770225042</c:v>
                </c:pt>
                <c:pt idx="12">
                  <c:v>0.77307030498462204</c:v>
                </c:pt>
                <c:pt idx="13">
                  <c:v>1</c:v>
                </c:pt>
              </c:numCache>
            </c:numRef>
          </c:xVal>
          <c:yVal>
            <c:numRef>
              <c:f>'LIMA DUARTE'!$P$2:$P$15</c:f>
              <c:numCache>
                <c:formatCode>0.00</c:formatCode>
                <c:ptCount val="14"/>
                <c:pt idx="0">
                  <c:v>0.128</c:v>
                </c:pt>
                <c:pt idx="1">
                  <c:v>0.14400000000000002</c:v>
                </c:pt>
                <c:pt idx="2">
                  <c:v>0.16800000000000001</c:v>
                </c:pt>
                <c:pt idx="3">
                  <c:v>0.16800000000000001</c:v>
                </c:pt>
                <c:pt idx="4">
                  <c:v>0.192</c:v>
                </c:pt>
                <c:pt idx="5">
                  <c:v>0.32800000000000001</c:v>
                </c:pt>
                <c:pt idx="6">
                  <c:v>0.35200000000000004</c:v>
                </c:pt>
                <c:pt idx="7">
                  <c:v>0.41600000000000004</c:v>
                </c:pt>
                <c:pt idx="8">
                  <c:v>0.55200000000000005</c:v>
                </c:pt>
                <c:pt idx="9">
                  <c:v>0.60000000000000009</c:v>
                </c:pt>
                <c:pt idx="10">
                  <c:v>0.64000000000000012</c:v>
                </c:pt>
                <c:pt idx="11">
                  <c:v>0.74400000000000011</c:v>
                </c:pt>
                <c:pt idx="12">
                  <c:v>0.92000000000000015</c:v>
                </c:pt>
                <c:pt idx="13">
                  <c:v>1.0000000000000002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A53-4334-903A-58367B4524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0947376"/>
        <c:axId val="600956496"/>
      </c:scatterChart>
      <c:valAx>
        <c:axId val="600947376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00956496"/>
        <c:crosses val="autoZero"/>
        <c:crossBetween val="midCat"/>
      </c:valAx>
      <c:valAx>
        <c:axId val="60095649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009473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MURIAÉ!$J$1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MURIAÉ!$I$2:$I$12</c:f>
              <c:numCache>
                <c:formatCode>0.00</c:formatCode>
                <c:ptCount val="11"/>
                <c:pt idx="0">
                  <c:v>8.9576824765691572E-3</c:v>
                </c:pt>
                <c:pt idx="1">
                  <c:v>2.6219823913660893E-2</c:v>
                </c:pt>
                <c:pt idx="2">
                  <c:v>4.6498153933541606E-2</c:v>
                </c:pt>
                <c:pt idx="3">
                  <c:v>7.2899744390798063E-2</c:v>
                </c:pt>
                <c:pt idx="4">
                  <c:v>9.9926157341664296E-2</c:v>
                </c:pt>
                <c:pt idx="5">
                  <c:v>0.13009372337404146</c:v>
                </c:pt>
                <c:pt idx="6">
                  <c:v>0.16272081794944618</c:v>
                </c:pt>
                <c:pt idx="7">
                  <c:v>0.22416927009372337</c:v>
                </c:pt>
                <c:pt idx="8">
                  <c:v>0.28882703777335983</c:v>
                </c:pt>
                <c:pt idx="9">
                  <c:v>0.37519454700369215</c:v>
                </c:pt>
                <c:pt idx="10">
                  <c:v>1</c:v>
                </c:pt>
              </c:numCache>
            </c:numRef>
          </c:xVal>
          <c:yVal>
            <c:numRef>
              <c:f>MURIAÉ!$J$2:$J$12</c:f>
              <c:numCache>
                <c:formatCode>0.00</c:formatCode>
                <c:ptCount val="11"/>
                <c:pt idx="0">
                  <c:v>8.9576824765691572E-3</c:v>
                </c:pt>
                <c:pt idx="1">
                  <c:v>2.6219823913660893E-2</c:v>
                </c:pt>
                <c:pt idx="2">
                  <c:v>4.6498153933541606E-2</c:v>
                </c:pt>
                <c:pt idx="3">
                  <c:v>7.2899744390798063E-2</c:v>
                </c:pt>
                <c:pt idx="4">
                  <c:v>9.9926157341664296E-2</c:v>
                </c:pt>
                <c:pt idx="5">
                  <c:v>0.13009372337404146</c:v>
                </c:pt>
                <c:pt idx="6">
                  <c:v>0.16272081794944618</c:v>
                </c:pt>
                <c:pt idx="7">
                  <c:v>0.22416927009372337</c:v>
                </c:pt>
                <c:pt idx="8">
                  <c:v>0.28882703777335983</c:v>
                </c:pt>
                <c:pt idx="9">
                  <c:v>0.37519454700369215</c:v>
                </c:pt>
                <c:pt idx="1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CE5-4817-AC2F-66135E08EB55}"/>
            </c:ext>
          </c:extLst>
        </c:ser>
        <c:ser>
          <c:idx val="1"/>
          <c:order val="1"/>
          <c:tx>
            <c:strRef>
              <c:f>MURIAÉ!$K$1</c:f>
              <c:strCache>
                <c:ptCount val="1"/>
                <c:pt idx="0">
                  <c:v>Prod 2019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MURIAÉ!$I$2:$I$12</c:f>
              <c:numCache>
                <c:formatCode>0.00</c:formatCode>
                <c:ptCount val="11"/>
                <c:pt idx="0">
                  <c:v>8.9576824765691572E-3</c:v>
                </c:pt>
                <c:pt idx="1">
                  <c:v>2.6219823913660893E-2</c:v>
                </c:pt>
                <c:pt idx="2">
                  <c:v>4.6498153933541606E-2</c:v>
                </c:pt>
                <c:pt idx="3">
                  <c:v>7.2899744390798063E-2</c:v>
                </c:pt>
                <c:pt idx="4">
                  <c:v>9.9926157341664296E-2</c:v>
                </c:pt>
                <c:pt idx="5">
                  <c:v>0.13009372337404146</c:v>
                </c:pt>
                <c:pt idx="6">
                  <c:v>0.16272081794944618</c:v>
                </c:pt>
                <c:pt idx="7">
                  <c:v>0.22416927009372337</c:v>
                </c:pt>
                <c:pt idx="8">
                  <c:v>0.28882703777335983</c:v>
                </c:pt>
                <c:pt idx="9">
                  <c:v>0.37519454700369215</c:v>
                </c:pt>
                <c:pt idx="10">
                  <c:v>1</c:v>
                </c:pt>
              </c:numCache>
            </c:numRef>
          </c:xVal>
          <c:yVal>
            <c:numRef>
              <c:f>MURIAÉ!$K$2:$K$12</c:f>
              <c:numCache>
                <c:formatCode>0.00</c:formatCode>
                <c:ptCount val="11"/>
                <c:pt idx="0">
                  <c:v>1.768172888015717E-2</c:v>
                </c:pt>
                <c:pt idx="1">
                  <c:v>4.3222003929273084E-2</c:v>
                </c:pt>
                <c:pt idx="2">
                  <c:v>0.10216110019646366</c:v>
                </c:pt>
                <c:pt idx="3">
                  <c:v>0.12573673870333987</c:v>
                </c:pt>
                <c:pt idx="4">
                  <c:v>0.15520628683693516</c:v>
                </c:pt>
                <c:pt idx="5">
                  <c:v>0.17681728880157171</c:v>
                </c:pt>
                <c:pt idx="6">
                  <c:v>0.26129666011787822</c:v>
                </c:pt>
                <c:pt idx="7">
                  <c:v>0.34577603143418467</c:v>
                </c:pt>
                <c:pt idx="8">
                  <c:v>0.38310412573673869</c:v>
                </c:pt>
                <c:pt idx="9">
                  <c:v>0.47347740667976423</c:v>
                </c:pt>
                <c:pt idx="1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CE5-4817-AC2F-66135E08EB55}"/>
            </c:ext>
          </c:extLst>
        </c:ser>
        <c:ser>
          <c:idx val="2"/>
          <c:order val="2"/>
          <c:tx>
            <c:strRef>
              <c:f>MURIAÉ!$L$1</c:f>
              <c:strCache>
                <c:ptCount val="1"/>
                <c:pt idx="0">
                  <c:v>Prod 2020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MURIAÉ!$I$2:$I$12</c:f>
              <c:numCache>
                <c:formatCode>0.00</c:formatCode>
                <c:ptCount val="11"/>
                <c:pt idx="0">
                  <c:v>8.9576824765691572E-3</c:v>
                </c:pt>
                <c:pt idx="1">
                  <c:v>2.6219823913660893E-2</c:v>
                </c:pt>
                <c:pt idx="2">
                  <c:v>4.6498153933541606E-2</c:v>
                </c:pt>
                <c:pt idx="3">
                  <c:v>7.2899744390798063E-2</c:v>
                </c:pt>
                <c:pt idx="4">
                  <c:v>9.9926157341664296E-2</c:v>
                </c:pt>
                <c:pt idx="5">
                  <c:v>0.13009372337404146</c:v>
                </c:pt>
                <c:pt idx="6">
                  <c:v>0.16272081794944618</c:v>
                </c:pt>
                <c:pt idx="7">
                  <c:v>0.22416927009372337</c:v>
                </c:pt>
                <c:pt idx="8">
                  <c:v>0.28882703777335983</c:v>
                </c:pt>
                <c:pt idx="9">
                  <c:v>0.37519454700369215</c:v>
                </c:pt>
                <c:pt idx="10">
                  <c:v>1</c:v>
                </c:pt>
              </c:numCache>
            </c:numRef>
          </c:xVal>
          <c:yVal>
            <c:numRef>
              <c:f>MURIAÉ!$L$2:$L$12</c:f>
              <c:numCache>
                <c:formatCode>0.00</c:formatCode>
                <c:ptCount val="11"/>
                <c:pt idx="0">
                  <c:v>6.920415224913495E-3</c:v>
                </c:pt>
                <c:pt idx="1">
                  <c:v>1.384083044982699E-2</c:v>
                </c:pt>
                <c:pt idx="2">
                  <c:v>2.4221453287197232E-2</c:v>
                </c:pt>
                <c:pt idx="3">
                  <c:v>4.8442906574394463E-2</c:v>
                </c:pt>
                <c:pt idx="4">
                  <c:v>7.9584775086505188E-2</c:v>
                </c:pt>
                <c:pt idx="5">
                  <c:v>9.3425605536332182E-2</c:v>
                </c:pt>
                <c:pt idx="6">
                  <c:v>0.18339100346020762</c:v>
                </c:pt>
                <c:pt idx="7">
                  <c:v>0.22837370242214533</c:v>
                </c:pt>
                <c:pt idx="8">
                  <c:v>0.27335640138408307</c:v>
                </c:pt>
                <c:pt idx="9">
                  <c:v>0.33910034602076128</c:v>
                </c:pt>
                <c:pt idx="1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CE5-4817-AC2F-66135E08EB55}"/>
            </c:ext>
          </c:extLst>
        </c:ser>
        <c:ser>
          <c:idx val="3"/>
          <c:order val="3"/>
          <c:tx>
            <c:strRef>
              <c:f>MURIAÉ!$M$1</c:f>
              <c:strCache>
                <c:ptCount val="1"/>
                <c:pt idx="0">
                  <c:v>Prod 2021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MURIAÉ!$I$2:$I$12</c:f>
              <c:numCache>
                <c:formatCode>0.00</c:formatCode>
                <c:ptCount val="11"/>
                <c:pt idx="0">
                  <c:v>8.9576824765691572E-3</c:v>
                </c:pt>
                <c:pt idx="1">
                  <c:v>2.6219823913660893E-2</c:v>
                </c:pt>
                <c:pt idx="2">
                  <c:v>4.6498153933541606E-2</c:v>
                </c:pt>
                <c:pt idx="3">
                  <c:v>7.2899744390798063E-2</c:v>
                </c:pt>
                <c:pt idx="4">
                  <c:v>9.9926157341664296E-2</c:v>
                </c:pt>
                <c:pt idx="5">
                  <c:v>0.13009372337404146</c:v>
                </c:pt>
                <c:pt idx="6">
                  <c:v>0.16272081794944618</c:v>
                </c:pt>
                <c:pt idx="7">
                  <c:v>0.22416927009372337</c:v>
                </c:pt>
                <c:pt idx="8">
                  <c:v>0.28882703777335983</c:v>
                </c:pt>
                <c:pt idx="9">
                  <c:v>0.37519454700369215</c:v>
                </c:pt>
                <c:pt idx="10">
                  <c:v>1</c:v>
                </c:pt>
              </c:numCache>
            </c:numRef>
          </c:xVal>
          <c:yVal>
            <c:numRef>
              <c:f>MURIAÉ!$M$2:$M$12</c:f>
              <c:numCache>
                <c:formatCode>0.00</c:formatCode>
                <c:ptCount val="11"/>
                <c:pt idx="0">
                  <c:v>9.5693779904306216E-3</c:v>
                </c:pt>
                <c:pt idx="1">
                  <c:v>2.3923444976076555E-2</c:v>
                </c:pt>
                <c:pt idx="2">
                  <c:v>6.6985645933014357E-2</c:v>
                </c:pt>
                <c:pt idx="3">
                  <c:v>8.1339712918660295E-2</c:v>
                </c:pt>
                <c:pt idx="4">
                  <c:v>0.16267942583732059</c:v>
                </c:pt>
                <c:pt idx="5">
                  <c:v>0.18660287081339716</c:v>
                </c:pt>
                <c:pt idx="6">
                  <c:v>0.27272727272727276</c:v>
                </c:pt>
                <c:pt idx="7">
                  <c:v>0.31100478468899523</c:v>
                </c:pt>
                <c:pt idx="8">
                  <c:v>0.36842105263157898</c:v>
                </c:pt>
                <c:pt idx="9">
                  <c:v>0.39712918660287083</c:v>
                </c:pt>
                <c:pt idx="1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CE5-4817-AC2F-66135E08EB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8372144"/>
        <c:axId val="388366384"/>
      </c:scatterChart>
      <c:valAx>
        <c:axId val="388372144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88366384"/>
        <c:crosses val="autoZero"/>
        <c:crossBetween val="midCat"/>
      </c:valAx>
      <c:valAx>
        <c:axId val="38836638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883721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MURIAÉ!$J$1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MURIAÉ!$I$2:$I$12</c:f>
              <c:numCache>
                <c:formatCode>0.00</c:formatCode>
                <c:ptCount val="11"/>
                <c:pt idx="0">
                  <c:v>8.9576824765691572E-3</c:v>
                </c:pt>
                <c:pt idx="1">
                  <c:v>2.6219823913660893E-2</c:v>
                </c:pt>
                <c:pt idx="2">
                  <c:v>4.6498153933541606E-2</c:v>
                </c:pt>
                <c:pt idx="3">
                  <c:v>7.2899744390798063E-2</c:v>
                </c:pt>
                <c:pt idx="4">
                  <c:v>9.9926157341664296E-2</c:v>
                </c:pt>
                <c:pt idx="5">
                  <c:v>0.13009372337404146</c:v>
                </c:pt>
                <c:pt idx="6">
                  <c:v>0.16272081794944618</c:v>
                </c:pt>
                <c:pt idx="7">
                  <c:v>0.22416927009372337</c:v>
                </c:pt>
                <c:pt idx="8">
                  <c:v>0.28882703777335983</c:v>
                </c:pt>
                <c:pt idx="9">
                  <c:v>0.37519454700369215</c:v>
                </c:pt>
                <c:pt idx="10">
                  <c:v>1</c:v>
                </c:pt>
              </c:numCache>
            </c:numRef>
          </c:xVal>
          <c:yVal>
            <c:numRef>
              <c:f>MURIAÉ!$J$2:$J$12</c:f>
              <c:numCache>
                <c:formatCode>0.00</c:formatCode>
                <c:ptCount val="11"/>
                <c:pt idx="0">
                  <c:v>8.9576824765691572E-3</c:v>
                </c:pt>
                <c:pt idx="1">
                  <c:v>2.6219823913660893E-2</c:v>
                </c:pt>
                <c:pt idx="2">
                  <c:v>4.6498153933541606E-2</c:v>
                </c:pt>
                <c:pt idx="3">
                  <c:v>7.2899744390798063E-2</c:v>
                </c:pt>
                <c:pt idx="4">
                  <c:v>9.9926157341664296E-2</c:v>
                </c:pt>
                <c:pt idx="5">
                  <c:v>0.13009372337404146</c:v>
                </c:pt>
                <c:pt idx="6">
                  <c:v>0.16272081794944618</c:v>
                </c:pt>
                <c:pt idx="7">
                  <c:v>0.22416927009372337</c:v>
                </c:pt>
                <c:pt idx="8">
                  <c:v>0.28882703777335983</c:v>
                </c:pt>
                <c:pt idx="9">
                  <c:v>0.37519454700369215</c:v>
                </c:pt>
                <c:pt idx="1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624-4CF8-9EAC-855353C92014}"/>
            </c:ext>
          </c:extLst>
        </c:ser>
        <c:ser>
          <c:idx val="1"/>
          <c:order val="1"/>
          <c:tx>
            <c:strRef>
              <c:f>MURIAÉ!$N$1</c:f>
              <c:strCache>
                <c:ptCount val="1"/>
                <c:pt idx="0">
                  <c:v>Prod 2022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MURIAÉ!$I$2:$I$12</c:f>
              <c:numCache>
                <c:formatCode>0.00</c:formatCode>
                <c:ptCount val="11"/>
                <c:pt idx="0">
                  <c:v>8.9576824765691572E-3</c:v>
                </c:pt>
                <c:pt idx="1">
                  <c:v>2.6219823913660893E-2</c:v>
                </c:pt>
                <c:pt idx="2">
                  <c:v>4.6498153933541606E-2</c:v>
                </c:pt>
                <c:pt idx="3">
                  <c:v>7.2899744390798063E-2</c:v>
                </c:pt>
                <c:pt idx="4">
                  <c:v>9.9926157341664296E-2</c:v>
                </c:pt>
                <c:pt idx="5">
                  <c:v>0.13009372337404146</c:v>
                </c:pt>
                <c:pt idx="6">
                  <c:v>0.16272081794944618</c:v>
                </c:pt>
                <c:pt idx="7">
                  <c:v>0.22416927009372337</c:v>
                </c:pt>
                <c:pt idx="8">
                  <c:v>0.28882703777335983</c:v>
                </c:pt>
                <c:pt idx="9">
                  <c:v>0.37519454700369215</c:v>
                </c:pt>
                <c:pt idx="10">
                  <c:v>1</c:v>
                </c:pt>
              </c:numCache>
            </c:numRef>
          </c:xVal>
          <c:yVal>
            <c:numRef>
              <c:f>MURIAÉ!$N$2:$N$12</c:f>
              <c:numCache>
                <c:formatCode>0.00</c:formatCode>
                <c:ptCount val="11"/>
                <c:pt idx="0">
                  <c:v>1.0845986984815618E-2</c:v>
                </c:pt>
                <c:pt idx="1">
                  <c:v>1.735357917570499E-2</c:v>
                </c:pt>
                <c:pt idx="2">
                  <c:v>5.6399132321041212E-2</c:v>
                </c:pt>
                <c:pt idx="3">
                  <c:v>9.7613882863340565E-2</c:v>
                </c:pt>
                <c:pt idx="4">
                  <c:v>0.1561822125813449</c:v>
                </c:pt>
                <c:pt idx="5">
                  <c:v>0.1822125813449024</c:v>
                </c:pt>
                <c:pt idx="6">
                  <c:v>0.24295010845986986</c:v>
                </c:pt>
                <c:pt idx="7">
                  <c:v>0.27982646420824298</c:v>
                </c:pt>
                <c:pt idx="8">
                  <c:v>0.32321041214750545</c:v>
                </c:pt>
                <c:pt idx="9">
                  <c:v>0.40563991323210413</c:v>
                </c:pt>
                <c:pt idx="1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624-4CF8-9EAC-855353C92014}"/>
            </c:ext>
          </c:extLst>
        </c:ser>
        <c:ser>
          <c:idx val="2"/>
          <c:order val="2"/>
          <c:tx>
            <c:strRef>
              <c:f>MURIAÉ!$O$1</c:f>
              <c:strCache>
                <c:ptCount val="1"/>
                <c:pt idx="0">
                  <c:v>Prod 2023-1-2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MURIAÉ!$I$2:$I$12</c:f>
              <c:numCache>
                <c:formatCode>0.00</c:formatCode>
                <c:ptCount val="11"/>
                <c:pt idx="0">
                  <c:v>8.9576824765691572E-3</c:v>
                </c:pt>
                <c:pt idx="1">
                  <c:v>2.6219823913660893E-2</c:v>
                </c:pt>
                <c:pt idx="2">
                  <c:v>4.6498153933541606E-2</c:v>
                </c:pt>
                <c:pt idx="3">
                  <c:v>7.2899744390798063E-2</c:v>
                </c:pt>
                <c:pt idx="4">
                  <c:v>9.9926157341664296E-2</c:v>
                </c:pt>
                <c:pt idx="5">
                  <c:v>0.13009372337404146</c:v>
                </c:pt>
                <c:pt idx="6">
                  <c:v>0.16272081794944618</c:v>
                </c:pt>
                <c:pt idx="7">
                  <c:v>0.22416927009372337</c:v>
                </c:pt>
                <c:pt idx="8">
                  <c:v>0.28882703777335983</c:v>
                </c:pt>
                <c:pt idx="9">
                  <c:v>0.37519454700369215</c:v>
                </c:pt>
                <c:pt idx="10">
                  <c:v>1</c:v>
                </c:pt>
              </c:numCache>
            </c:numRef>
          </c:xVal>
          <c:yVal>
            <c:numRef>
              <c:f>MURIAÉ!$O$2:$O$12</c:f>
              <c:numCache>
                <c:formatCode>0.00</c:formatCode>
                <c:ptCount val="11"/>
                <c:pt idx="0">
                  <c:v>3.6101083032490976E-3</c:v>
                </c:pt>
                <c:pt idx="1">
                  <c:v>1.8050541516245487E-2</c:v>
                </c:pt>
                <c:pt idx="2">
                  <c:v>4.3321299638989168E-2</c:v>
                </c:pt>
                <c:pt idx="3">
                  <c:v>8.3032490974729242E-2</c:v>
                </c:pt>
                <c:pt idx="4">
                  <c:v>0.1407942238267148</c:v>
                </c:pt>
                <c:pt idx="5">
                  <c:v>0.17328519855595667</c:v>
                </c:pt>
                <c:pt idx="6">
                  <c:v>0.24187725631768953</c:v>
                </c:pt>
                <c:pt idx="7">
                  <c:v>0.2851985559566787</c:v>
                </c:pt>
                <c:pt idx="8">
                  <c:v>0.33574007220216606</c:v>
                </c:pt>
                <c:pt idx="9">
                  <c:v>0.41155234657039708</c:v>
                </c:pt>
                <c:pt idx="1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624-4CF8-9EAC-855353C92014}"/>
            </c:ext>
          </c:extLst>
        </c:ser>
        <c:ser>
          <c:idx val="3"/>
          <c:order val="3"/>
          <c:tx>
            <c:strRef>
              <c:f>MURIAÉ!$P$1</c:f>
              <c:strCache>
                <c:ptCount val="1"/>
                <c:pt idx="0">
                  <c:v>Prod 2023-3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MURIAÉ!$I$2:$I$12</c:f>
              <c:numCache>
                <c:formatCode>0.00</c:formatCode>
                <c:ptCount val="11"/>
                <c:pt idx="0">
                  <c:v>8.9576824765691572E-3</c:v>
                </c:pt>
                <c:pt idx="1">
                  <c:v>2.6219823913660893E-2</c:v>
                </c:pt>
                <c:pt idx="2">
                  <c:v>4.6498153933541606E-2</c:v>
                </c:pt>
                <c:pt idx="3">
                  <c:v>7.2899744390798063E-2</c:v>
                </c:pt>
                <c:pt idx="4">
                  <c:v>9.9926157341664296E-2</c:v>
                </c:pt>
                <c:pt idx="5">
                  <c:v>0.13009372337404146</c:v>
                </c:pt>
                <c:pt idx="6">
                  <c:v>0.16272081794944618</c:v>
                </c:pt>
                <c:pt idx="7">
                  <c:v>0.22416927009372337</c:v>
                </c:pt>
                <c:pt idx="8">
                  <c:v>0.28882703777335983</c:v>
                </c:pt>
                <c:pt idx="9">
                  <c:v>0.37519454700369215</c:v>
                </c:pt>
                <c:pt idx="10">
                  <c:v>1</c:v>
                </c:pt>
              </c:numCache>
            </c:numRef>
          </c:xVal>
          <c:yVal>
            <c:numRef>
              <c:f>MURIAÉ!$P$2:$P$12</c:f>
              <c:numCache>
                <c:formatCode>0.00</c:formatCode>
                <c:ptCount val="11"/>
                <c:pt idx="0">
                  <c:v>3.4682080924855488E-2</c:v>
                </c:pt>
                <c:pt idx="1">
                  <c:v>4.6242774566473986E-2</c:v>
                </c:pt>
                <c:pt idx="2">
                  <c:v>0.12138728323699421</c:v>
                </c:pt>
                <c:pt idx="3">
                  <c:v>0.16763005780346821</c:v>
                </c:pt>
                <c:pt idx="4">
                  <c:v>0.2138728323699422</c:v>
                </c:pt>
                <c:pt idx="5">
                  <c:v>0.23121387283236994</c:v>
                </c:pt>
                <c:pt idx="6">
                  <c:v>0.30057803468208089</c:v>
                </c:pt>
                <c:pt idx="7">
                  <c:v>0.39884393063583812</c:v>
                </c:pt>
                <c:pt idx="8">
                  <c:v>0.44508670520231208</c:v>
                </c:pt>
                <c:pt idx="9">
                  <c:v>0.52601156069364152</c:v>
                </c:pt>
                <c:pt idx="10">
                  <c:v>0.99999999999999989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624-4CF8-9EAC-855353C920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8619200"/>
        <c:axId val="1918610080"/>
      </c:scatterChart>
      <c:valAx>
        <c:axId val="1918619200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18610080"/>
        <c:crosses val="autoZero"/>
        <c:crossBetween val="midCat"/>
      </c:valAx>
      <c:valAx>
        <c:axId val="191861008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186192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'SANTOS DUMONT'!$J$1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'SANTOS DUMONT'!$I$2:$I$4</c:f>
              <c:numCache>
                <c:formatCode>0.00</c:formatCode>
                <c:ptCount val="3"/>
                <c:pt idx="0">
                  <c:v>4.0679844086978889E-2</c:v>
                </c:pt>
                <c:pt idx="1">
                  <c:v>8.2784274153657425E-2</c:v>
                </c:pt>
                <c:pt idx="2">
                  <c:v>1</c:v>
                </c:pt>
              </c:numCache>
            </c:numRef>
          </c:xVal>
          <c:yVal>
            <c:numRef>
              <c:f>'SANTOS DUMONT'!$J$2:$J$4</c:f>
              <c:numCache>
                <c:formatCode>0.00</c:formatCode>
                <c:ptCount val="3"/>
                <c:pt idx="0">
                  <c:v>4.0679844086978889E-2</c:v>
                </c:pt>
                <c:pt idx="1">
                  <c:v>8.2784274153657425E-2</c:v>
                </c:pt>
                <c:pt idx="2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A80-4BF7-A09D-D6E27970ECA4}"/>
            </c:ext>
          </c:extLst>
        </c:ser>
        <c:ser>
          <c:idx val="1"/>
          <c:order val="1"/>
          <c:tx>
            <c:strRef>
              <c:f>'SANTOS DUMONT'!$K$1</c:f>
              <c:strCache>
                <c:ptCount val="1"/>
                <c:pt idx="0">
                  <c:v>Prod 2019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'SANTOS DUMONT'!$I$2:$I$4</c:f>
              <c:numCache>
                <c:formatCode>0.00</c:formatCode>
                <c:ptCount val="3"/>
                <c:pt idx="0">
                  <c:v>4.0679844086978889E-2</c:v>
                </c:pt>
                <c:pt idx="1">
                  <c:v>8.2784274153657425E-2</c:v>
                </c:pt>
                <c:pt idx="2">
                  <c:v>1</c:v>
                </c:pt>
              </c:numCache>
            </c:numRef>
          </c:xVal>
          <c:yVal>
            <c:numRef>
              <c:f>'SANTOS DUMONT'!$K$2:$K$4</c:f>
              <c:numCache>
                <c:formatCode>0.00</c:formatCode>
                <c:ptCount val="3"/>
                <c:pt idx="0">
                  <c:v>4.0816326530612242E-2</c:v>
                </c:pt>
                <c:pt idx="1">
                  <c:v>8.1632653061224483E-2</c:v>
                </c:pt>
                <c:pt idx="2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A80-4BF7-A09D-D6E27970ECA4}"/>
            </c:ext>
          </c:extLst>
        </c:ser>
        <c:ser>
          <c:idx val="2"/>
          <c:order val="2"/>
          <c:tx>
            <c:strRef>
              <c:f>'SANTOS DUMONT'!$L$1</c:f>
              <c:strCache>
                <c:ptCount val="1"/>
                <c:pt idx="0">
                  <c:v>Prod 2020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'SANTOS DUMONT'!$I$2:$I$4</c:f>
              <c:numCache>
                <c:formatCode>0.00</c:formatCode>
                <c:ptCount val="3"/>
                <c:pt idx="0">
                  <c:v>4.0679844086978889E-2</c:v>
                </c:pt>
                <c:pt idx="1">
                  <c:v>8.2784274153657425E-2</c:v>
                </c:pt>
                <c:pt idx="2">
                  <c:v>1</c:v>
                </c:pt>
              </c:numCache>
            </c:numRef>
          </c:xVal>
          <c:yVal>
            <c:numRef>
              <c:f>'SANTOS DUMONT'!$L$2:$L$4</c:f>
              <c:numCache>
                <c:formatCode>0.00</c:formatCode>
                <c:ptCount val="3"/>
                <c:pt idx="0">
                  <c:v>0.02</c:v>
                </c:pt>
                <c:pt idx="1">
                  <c:v>0.12000000000000001</c:v>
                </c:pt>
                <c:pt idx="2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A80-4BF7-A09D-D6E27970ECA4}"/>
            </c:ext>
          </c:extLst>
        </c:ser>
        <c:ser>
          <c:idx val="3"/>
          <c:order val="3"/>
          <c:tx>
            <c:strRef>
              <c:f>'SANTOS DUMONT'!$M$1</c:f>
              <c:strCache>
                <c:ptCount val="1"/>
                <c:pt idx="0">
                  <c:v>Prod 2021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'SANTOS DUMONT'!$I$2:$I$4</c:f>
              <c:numCache>
                <c:formatCode>0.00</c:formatCode>
                <c:ptCount val="3"/>
                <c:pt idx="0">
                  <c:v>4.0679844086978889E-2</c:v>
                </c:pt>
                <c:pt idx="1">
                  <c:v>8.2784274153657425E-2</c:v>
                </c:pt>
                <c:pt idx="2">
                  <c:v>1</c:v>
                </c:pt>
              </c:numCache>
            </c:numRef>
          </c:xVal>
          <c:yVal>
            <c:numRef>
              <c:f>'SANTOS DUMONT'!$M$2:$M$4</c:f>
              <c:numCache>
                <c:formatCode>0.00</c:formatCode>
                <c:ptCount val="3"/>
                <c:pt idx="0">
                  <c:v>0.05</c:v>
                </c:pt>
                <c:pt idx="1">
                  <c:v>0.1</c:v>
                </c:pt>
                <c:pt idx="2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A80-4BF7-A09D-D6E27970EC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8757792"/>
        <c:axId val="388759232"/>
      </c:scatterChart>
      <c:valAx>
        <c:axId val="388757792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88759232"/>
        <c:crosses val="autoZero"/>
        <c:crossBetween val="midCat"/>
      </c:valAx>
      <c:valAx>
        <c:axId val="388759232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887577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'SANTOS DUMONT'!$J$1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'SANTOS DUMONT'!$I$2:$I$4</c:f>
              <c:numCache>
                <c:formatCode>0.00</c:formatCode>
                <c:ptCount val="3"/>
                <c:pt idx="0">
                  <c:v>4.0679844086978889E-2</c:v>
                </c:pt>
                <c:pt idx="1">
                  <c:v>8.2784274153657425E-2</c:v>
                </c:pt>
                <c:pt idx="2">
                  <c:v>1</c:v>
                </c:pt>
              </c:numCache>
            </c:numRef>
          </c:xVal>
          <c:yVal>
            <c:numRef>
              <c:f>'SANTOS DUMONT'!$J$2:$J$4</c:f>
              <c:numCache>
                <c:formatCode>0.00</c:formatCode>
                <c:ptCount val="3"/>
                <c:pt idx="0">
                  <c:v>4.0679844086978889E-2</c:v>
                </c:pt>
                <c:pt idx="1">
                  <c:v>8.2784274153657425E-2</c:v>
                </c:pt>
                <c:pt idx="2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0C1-4688-B1F4-E03058351D1A}"/>
            </c:ext>
          </c:extLst>
        </c:ser>
        <c:ser>
          <c:idx val="1"/>
          <c:order val="1"/>
          <c:tx>
            <c:strRef>
              <c:f>'SANTOS DUMONT'!$N$1</c:f>
              <c:strCache>
                <c:ptCount val="1"/>
                <c:pt idx="0">
                  <c:v>Prod 2022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'SANTOS DUMONT'!$I$2:$I$4</c:f>
              <c:numCache>
                <c:formatCode>0.00</c:formatCode>
                <c:ptCount val="3"/>
                <c:pt idx="0">
                  <c:v>4.0679844086978889E-2</c:v>
                </c:pt>
                <c:pt idx="1">
                  <c:v>8.2784274153657425E-2</c:v>
                </c:pt>
                <c:pt idx="2">
                  <c:v>1</c:v>
                </c:pt>
              </c:numCache>
            </c:numRef>
          </c:xVal>
          <c:yVal>
            <c:numRef>
              <c:f>'SANTOS DUMONT'!$N$2:$N$4</c:f>
              <c:numCache>
                <c:formatCode>0.00</c:formatCode>
                <c:ptCount val="3"/>
                <c:pt idx="0">
                  <c:v>7.6923076923076927E-2</c:v>
                </c:pt>
                <c:pt idx="1">
                  <c:v>0.16568047337278108</c:v>
                </c:pt>
                <c:pt idx="2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0C1-4688-B1F4-E03058351D1A}"/>
            </c:ext>
          </c:extLst>
        </c:ser>
        <c:ser>
          <c:idx val="2"/>
          <c:order val="2"/>
          <c:tx>
            <c:strRef>
              <c:f>'SANTOS DUMONT'!$O$1</c:f>
              <c:strCache>
                <c:ptCount val="1"/>
                <c:pt idx="0">
                  <c:v>Prod 2023-1-2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'SANTOS DUMONT'!$I$2:$I$4</c:f>
              <c:numCache>
                <c:formatCode>0.00</c:formatCode>
                <c:ptCount val="3"/>
                <c:pt idx="0">
                  <c:v>4.0679844086978889E-2</c:v>
                </c:pt>
                <c:pt idx="1">
                  <c:v>8.2784274153657425E-2</c:v>
                </c:pt>
                <c:pt idx="2">
                  <c:v>1</c:v>
                </c:pt>
              </c:numCache>
            </c:numRef>
          </c:xVal>
          <c:yVal>
            <c:numRef>
              <c:f>'SANTOS DUMONT'!$O$2:$O$4</c:f>
              <c:numCache>
                <c:formatCode>0.00</c:formatCode>
                <c:ptCount val="3"/>
                <c:pt idx="0">
                  <c:v>8.6956521739130432E-2</c:v>
                </c:pt>
                <c:pt idx="1">
                  <c:v>0.19130434782608696</c:v>
                </c:pt>
                <c:pt idx="2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0C1-4688-B1F4-E03058351D1A}"/>
            </c:ext>
          </c:extLst>
        </c:ser>
        <c:ser>
          <c:idx val="3"/>
          <c:order val="3"/>
          <c:tx>
            <c:strRef>
              <c:f>'SANTOS DUMONT'!$P$1</c:f>
              <c:strCache>
                <c:ptCount val="1"/>
                <c:pt idx="0">
                  <c:v>Prod 2023-3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'SANTOS DUMONT'!$I$2:$I$4</c:f>
              <c:numCache>
                <c:formatCode>0.00</c:formatCode>
                <c:ptCount val="3"/>
                <c:pt idx="0">
                  <c:v>4.0679844086978889E-2</c:v>
                </c:pt>
                <c:pt idx="1">
                  <c:v>8.2784274153657425E-2</c:v>
                </c:pt>
                <c:pt idx="2">
                  <c:v>1</c:v>
                </c:pt>
              </c:numCache>
            </c:numRef>
          </c:xVal>
          <c:yVal>
            <c:numRef>
              <c:f>'SANTOS DUMONT'!$P$2:$P$4</c:f>
              <c:numCache>
                <c:formatCode>0.00</c:formatCode>
                <c:ptCount val="3"/>
                <c:pt idx="0">
                  <c:v>8.6956521739130432E-2</c:v>
                </c:pt>
                <c:pt idx="1">
                  <c:v>0.15217391304347827</c:v>
                </c:pt>
                <c:pt idx="2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0C1-4688-B1F4-E03058351D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316416"/>
        <c:axId val="154330816"/>
      </c:scatterChart>
      <c:valAx>
        <c:axId val="154316416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4330816"/>
        <c:crosses val="autoZero"/>
        <c:crossBetween val="midCat"/>
      </c:valAx>
      <c:valAx>
        <c:axId val="15433081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43164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'SÃO JOÃO NEPOMUCENO-BICAS'!$J$1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'SÃO JOÃO NEPOMUCENO-BICAS'!$I$2:$I$10</c:f>
              <c:numCache>
                <c:formatCode>0.00</c:formatCode>
                <c:ptCount val="9"/>
                <c:pt idx="0">
                  <c:v>2.7186761229314422E-2</c:v>
                </c:pt>
                <c:pt idx="1">
                  <c:v>5.891144262384175E-2</c:v>
                </c:pt>
                <c:pt idx="2">
                  <c:v>9.9671204586831888E-2</c:v>
                </c:pt>
                <c:pt idx="3">
                  <c:v>0.1450504062389609</c:v>
                </c:pt>
                <c:pt idx="4">
                  <c:v>0.19606804162930355</c:v>
                </c:pt>
                <c:pt idx="5">
                  <c:v>0.26459878807641096</c:v>
                </c:pt>
                <c:pt idx="6">
                  <c:v>0.44102062443955325</c:v>
                </c:pt>
                <c:pt idx="7">
                  <c:v>0.63954783837395723</c:v>
                </c:pt>
                <c:pt idx="8">
                  <c:v>1</c:v>
                </c:pt>
              </c:numCache>
            </c:numRef>
          </c:xVal>
          <c:yVal>
            <c:numRef>
              <c:f>'SÃO JOÃO NEPOMUCENO-BICAS'!$J$2:$J$10</c:f>
              <c:numCache>
                <c:formatCode>0.00</c:formatCode>
                <c:ptCount val="9"/>
                <c:pt idx="0">
                  <c:v>2.7186761229314422E-2</c:v>
                </c:pt>
                <c:pt idx="1">
                  <c:v>5.891144262384175E-2</c:v>
                </c:pt>
                <c:pt idx="2">
                  <c:v>9.9671204586831888E-2</c:v>
                </c:pt>
                <c:pt idx="3">
                  <c:v>0.1450504062389609</c:v>
                </c:pt>
                <c:pt idx="4">
                  <c:v>0.19606804162930355</c:v>
                </c:pt>
                <c:pt idx="5">
                  <c:v>0.26459878807641096</c:v>
                </c:pt>
                <c:pt idx="6">
                  <c:v>0.44102062443955325</c:v>
                </c:pt>
                <c:pt idx="7">
                  <c:v>0.63954783837395723</c:v>
                </c:pt>
                <c:pt idx="8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80C-4D7A-A930-3C6666CDCF0F}"/>
            </c:ext>
          </c:extLst>
        </c:ser>
        <c:ser>
          <c:idx val="1"/>
          <c:order val="1"/>
          <c:tx>
            <c:strRef>
              <c:f>'SÃO JOÃO NEPOMUCENO-BICAS'!$K$1</c:f>
              <c:strCache>
                <c:ptCount val="1"/>
                <c:pt idx="0">
                  <c:v>Prod 2019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'SÃO JOÃO NEPOMUCENO-BICAS'!$I$2:$I$10</c:f>
              <c:numCache>
                <c:formatCode>0.00</c:formatCode>
                <c:ptCount val="9"/>
                <c:pt idx="0">
                  <c:v>2.7186761229314422E-2</c:v>
                </c:pt>
                <c:pt idx="1">
                  <c:v>5.891144262384175E-2</c:v>
                </c:pt>
                <c:pt idx="2">
                  <c:v>9.9671204586831888E-2</c:v>
                </c:pt>
                <c:pt idx="3">
                  <c:v>0.1450504062389609</c:v>
                </c:pt>
                <c:pt idx="4">
                  <c:v>0.19606804162930355</c:v>
                </c:pt>
                <c:pt idx="5">
                  <c:v>0.26459878807641096</c:v>
                </c:pt>
                <c:pt idx="6">
                  <c:v>0.44102062443955325</c:v>
                </c:pt>
                <c:pt idx="7">
                  <c:v>0.63954783837395723</c:v>
                </c:pt>
                <c:pt idx="8">
                  <c:v>1</c:v>
                </c:pt>
              </c:numCache>
            </c:numRef>
          </c:xVal>
          <c:yVal>
            <c:numRef>
              <c:f>'SÃO JOÃO NEPOMUCENO-BICAS'!$K$2:$K$10</c:f>
              <c:numCache>
                <c:formatCode>0.00</c:formatCode>
                <c:ptCount val="9"/>
                <c:pt idx="0">
                  <c:v>3.0456852791878174E-2</c:v>
                </c:pt>
                <c:pt idx="1">
                  <c:v>7.1065989847715727E-2</c:v>
                </c:pt>
                <c:pt idx="2">
                  <c:v>9.1370558375634514E-2</c:v>
                </c:pt>
                <c:pt idx="3">
                  <c:v>0.12690355329949238</c:v>
                </c:pt>
                <c:pt idx="4">
                  <c:v>0.19289340101522842</c:v>
                </c:pt>
                <c:pt idx="5">
                  <c:v>0.27918781725888325</c:v>
                </c:pt>
                <c:pt idx="6">
                  <c:v>0.46700507614213199</c:v>
                </c:pt>
                <c:pt idx="7">
                  <c:v>0.72081218274111669</c:v>
                </c:pt>
                <c:pt idx="8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80C-4D7A-A930-3C6666CDCF0F}"/>
            </c:ext>
          </c:extLst>
        </c:ser>
        <c:ser>
          <c:idx val="2"/>
          <c:order val="2"/>
          <c:tx>
            <c:strRef>
              <c:f>'SÃO JOÃO NEPOMUCENO-BICAS'!$L$1</c:f>
              <c:strCache>
                <c:ptCount val="1"/>
                <c:pt idx="0">
                  <c:v>Prod 2020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'SÃO JOÃO NEPOMUCENO-BICAS'!$I$2:$I$10</c:f>
              <c:numCache>
                <c:formatCode>0.00</c:formatCode>
                <c:ptCount val="9"/>
                <c:pt idx="0">
                  <c:v>2.7186761229314422E-2</c:v>
                </c:pt>
                <c:pt idx="1">
                  <c:v>5.891144262384175E-2</c:v>
                </c:pt>
                <c:pt idx="2">
                  <c:v>9.9671204586831888E-2</c:v>
                </c:pt>
                <c:pt idx="3">
                  <c:v>0.1450504062389609</c:v>
                </c:pt>
                <c:pt idx="4">
                  <c:v>0.19606804162930355</c:v>
                </c:pt>
                <c:pt idx="5">
                  <c:v>0.26459878807641096</c:v>
                </c:pt>
                <c:pt idx="6">
                  <c:v>0.44102062443955325</c:v>
                </c:pt>
                <c:pt idx="7">
                  <c:v>0.63954783837395723</c:v>
                </c:pt>
                <c:pt idx="8">
                  <c:v>1</c:v>
                </c:pt>
              </c:numCache>
            </c:numRef>
          </c:xVal>
          <c:yVal>
            <c:numRef>
              <c:f>'SÃO JOÃO NEPOMUCENO-BICAS'!$L$2:$L$10</c:f>
              <c:numCache>
                <c:formatCode>0.00</c:formatCode>
                <c:ptCount val="9"/>
                <c:pt idx="0">
                  <c:v>2.3809523809523808E-2</c:v>
                </c:pt>
                <c:pt idx="1">
                  <c:v>4.7619047619047616E-2</c:v>
                </c:pt>
                <c:pt idx="2">
                  <c:v>0.10714285714285714</c:v>
                </c:pt>
                <c:pt idx="3">
                  <c:v>0.17857142857142855</c:v>
                </c:pt>
                <c:pt idx="4">
                  <c:v>0.20238095238095236</c:v>
                </c:pt>
                <c:pt idx="5">
                  <c:v>0.27380952380952378</c:v>
                </c:pt>
                <c:pt idx="6">
                  <c:v>0.39285714285714279</c:v>
                </c:pt>
                <c:pt idx="7">
                  <c:v>0.67857142857142849</c:v>
                </c:pt>
                <c:pt idx="8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80C-4D7A-A930-3C6666CDCF0F}"/>
            </c:ext>
          </c:extLst>
        </c:ser>
        <c:ser>
          <c:idx val="3"/>
          <c:order val="3"/>
          <c:tx>
            <c:strRef>
              <c:f>'SÃO JOÃO NEPOMUCENO-BICAS'!$M$1</c:f>
              <c:strCache>
                <c:ptCount val="1"/>
                <c:pt idx="0">
                  <c:v>Prod 2021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'SÃO JOÃO NEPOMUCENO-BICAS'!$I$2:$I$10</c:f>
              <c:numCache>
                <c:formatCode>0.00</c:formatCode>
                <c:ptCount val="9"/>
                <c:pt idx="0">
                  <c:v>2.7186761229314422E-2</c:v>
                </c:pt>
                <c:pt idx="1">
                  <c:v>5.891144262384175E-2</c:v>
                </c:pt>
                <c:pt idx="2">
                  <c:v>9.9671204586831888E-2</c:v>
                </c:pt>
                <c:pt idx="3">
                  <c:v>0.1450504062389609</c:v>
                </c:pt>
                <c:pt idx="4">
                  <c:v>0.19606804162930355</c:v>
                </c:pt>
                <c:pt idx="5">
                  <c:v>0.26459878807641096</c:v>
                </c:pt>
                <c:pt idx="6">
                  <c:v>0.44102062443955325</c:v>
                </c:pt>
                <c:pt idx="7">
                  <c:v>0.63954783837395723</c:v>
                </c:pt>
                <c:pt idx="8">
                  <c:v>1</c:v>
                </c:pt>
              </c:numCache>
            </c:numRef>
          </c:xVal>
          <c:yVal>
            <c:numRef>
              <c:f>'SÃO JOÃO NEPOMUCENO-BICAS'!$M$2:$M$10</c:f>
              <c:numCache>
                <c:formatCode>0.00</c:formatCode>
                <c:ptCount val="9"/>
                <c:pt idx="0">
                  <c:v>1.6E-2</c:v>
                </c:pt>
                <c:pt idx="1">
                  <c:v>7.2000000000000008E-2</c:v>
                </c:pt>
                <c:pt idx="2">
                  <c:v>9.6000000000000002E-2</c:v>
                </c:pt>
                <c:pt idx="3">
                  <c:v>0.112</c:v>
                </c:pt>
                <c:pt idx="4">
                  <c:v>0.14400000000000002</c:v>
                </c:pt>
                <c:pt idx="5">
                  <c:v>0.20800000000000002</c:v>
                </c:pt>
                <c:pt idx="6">
                  <c:v>0.376</c:v>
                </c:pt>
                <c:pt idx="7">
                  <c:v>0.53600000000000003</c:v>
                </c:pt>
                <c:pt idx="8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80C-4D7A-A930-3C6666CDCF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8620640"/>
        <c:axId val="1918622080"/>
      </c:scatterChart>
      <c:valAx>
        <c:axId val="1918620640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18622080"/>
        <c:crosses val="autoZero"/>
        <c:crossBetween val="midCat"/>
      </c:valAx>
      <c:valAx>
        <c:axId val="191862208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186206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'SÃO JOÃO NEPOMUCENO-BICAS'!$J$1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'SÃO JOÃO NEPOMUCENO-BICAS'!$I$2:$I$10</c:f>
              <c:numCache>
                <c:formatCode>0.00</c:formatCode>
                <c:ptCount val="9"/>
                <c:pt idx="0">
                  <c:v>2.7186761229314422E-2</c:v>
                </c:pt>
                <c:pt idx="1">
                  <c:v>5.891144262384175E-2</c:v>
                </c:pt>
                <c:pt idx="2">
                  <c:v>9.9671204586831888E-2</c:v>
                </c:pt>
                <c:pt idx="3">
                  <c:v>0.1450504062389609</c:v>
                </c:pt>
                <c:pt idx="4">
                  <c:v>0.19606804162930355</c:v>
                </c:pt>
                <c:pt idx="5">
                  <c:v>0.26459878807641096</c:v>
                </c:pt>
                <c:pt idx="6">
                  <c:v>0.44102062443955325</c:v>
                </c:pt>
                <c:pt idx="7">
                  <c:v>0.63954783837395723</c:v>
                </c:pt>
                <c:pt idx="8">
                  <c:v>1</c:v>
                </c:pt>
              </c:numCache>
            </c:numRef>
          </c:xVal>
          <c:yVal>
            <c:numRef>
              <c:f>'SÃO JOÃO NEPOMUCENO-BICAS'!$J$2:$J$10</c:f>
              <c:numCache>
                <c:formatCode>0.00</c:formatCode>
                <c:ptCount val="9"/>
                <c:pt idx="0">
                  <c:v>2.7186761229314422E-2</c:v>
                </c:pt>
                <c:pt idx="1">
                  <c:v>5.891144262384175E-2</c:v>
                </c:pt>
                <c:pt idx="2">
                  <c:v>9.9671204586831888E-2</c:v>
                </c:pt>
                <c:pt idx="3">
                  <c:v>0.1450504062389609</c:v>
                </c:pt>
                <c:pt idx="4">
                  <c:v>0.19606804162930355</c:v>
                </c:pt>
                <c:pt idx="5">
                  <c:v>0.26459878807641096</c:v>
                </c:pt>
                <c:pt idx="6">
                  <c:v>0.44102062443955325</c:v>
                </c:pt>
                <c:pt idx="7">
                  <c:v>0.63954783837395723</c:v>
                </c:pt>
                <c:pt idx="8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8F1-431E-AC8D-9E36B1E9ECC2}"/>
            </c:ext>
          </c:extLst>
        </c:ser>
        <c:ser>
          <c:idx val="1"/>
          <c:order val="1"/>
          <c:tx>
            <c:strRef>
              <c:f>'SÃO JOÃO NEPOMUCENO-BICAS'!$N$1</c:f>
              <c:strCache>
                <c:ptCount val="1"/>
                <c:pt idx="0">
                  <c:v>Prod 2022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'SÃO JOÃO NEPOMUCENO-BICAS'!$I$2:$I$10</c:f>
              <c:numCache>
                <c:formatCode>0.00</c:formatCode>
                <c:ptCount val="9"/>
                <c:pt idx="0">
                  <c:v>2.7186761229314422E-2</c:v>
                </c:pt>
                <c:pt idx="1">
                  <c:v>5.891144262384175E-2</c:v>
                </c:pt>
                <c:pt idx="2">
                  <c:v>9.9671204586831888E-2</c:v>
                </c:pt>
                <c:pt idx="3">
                  <c:v>0.1450504062389609</c:v>
                </c:pt>
                <c:pt idx="4">
                  <c:v>0.19606804162930355</c:v>
                </c:pt>
                <c:pt idx="5">
                  <c:v>0.26459878807641096</c:v>
                </c:pt>
                <c:pt idx="6">
                  <c:v>0.44102062443955325</c:v>
                </c:pt>
                <c:pt idx="7">
                  <c:v>0.63954783837395723</c:v>
                </c:pt>
                <c:pt idx="8">
                  <c:v>1</c:v>
                </c:pt>
              </c:numCache>
            </c:numRef>
          </c:xVal>
          <c:yVal>
            <c:numRef>
              <c:f>'SÃO JOÃO NEPOMUCENO-BICAS'!$N$2:$N$10</c:f>
              <c:numCache>
                <c:formatCode>0.00</c:formatCode>
                <c:ptCount val="9"/>
                <c:pt idx="0">
                  <c:v>1.8726591760299626E-2</c:v>
                </c:pt>
                <c:pt idx="1">
                  <c:v>2.247191011235955E-2</c:v>
                </c:pt>
                <c:pt idx="2">
                  <c:v>5.6179775280898875E-2</c:v>
                </c:pt>
                <c:pt idx="3">
                  <c:v>7.4906367041198504E-2</c:v>
                </c:pt>
                <c:pt idx="4">
                  <c:v>0.16104868913857678</c:v>
                </c:pt>
                <c:pt idx="5">
                  <c:v>0.21348314606741575</c:v>
                </c:pt>
                <c:pt idx="6">
                  <c:v>0.34456928838951312</c:v>
                </c:pt>
                <c:pt idx="7">
                  <c:v>0.46441947565543074</c:v>
                </c:pt>
                <c:pt idx="8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8F1-431E-AC8D-9E36B1E9ECC2}"/>
            </c:ext>
          </c:extLst>
        </c:ser>
        <c:ser>
          <c:idx val="2"/>
          <c:order val="2"/>
          <c:tx>
            <c:strRef>
              <c:f>'SÃO JOÃO NEPOMUCENO-BICAS'!$O$1</c:f>
              <c:strCache>
                <c:ptCount val="1"/>
                <c:pt idx="0">
                  <c:v>Prod 2023-1-2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'SÃO JOÃO NEPOMUCENO-BICAS'!$I$2:$I$10</c:f>
              <c:numCache>
                <c:formatCode>0.00</c:formatCode>
                <c:ptCount val="9"/>
                <c:pt idx="0">
                  <c:v>2.7186761229314422E-2</c:v>
                </c:pt>
                <c:pt idx="1">
                  <c:v>5.891144262384175E-2</c:v>
                </c:pt>
                <c:pt idx="2">
                  <c:v>9.9671204586831888E-2</c:v>
                </c:pt>
                <c:pt idx="3">
                  <c:v>0.1450504062389609</c:v>
                </c:pt>
                <c:pt idx="4">
                  <c:v>0.19606804162930355</c:v>
                </c:pt>
                <c:pt idx="5">
                  <c:v>0.26459878807641096</c:v>
                </c:pt>
                <c:pt idx="6">
                  <c:v>0.44102062443955325</c:v>
                </c:pt>
                <c:pt idx="7">
                  <c:v>0.63954783837395723</c:v>
                </c:pt>
                <c:pt idx="8">
                  <c:v>1</c:v>
                </c:pt>
              </c:numCache>
            </c:numRef>
          </c:xVal>
          <c:yVal>
            <c:numRef>
              <c:f>'SÃO JOÃO NEPOMUCENO-BICAS'!$O$2:$O$10</c:f>
              <c:numCache>
                <c:formatCode>0.00</c:formatCode>
                <c:ptCount val="9"/>
                <c:pt idx="0">
                  <c:v>2.3121387283236993E-2</c:v>
                </c:pt>
                <c:pt idx="1">
                  <c:v>5.2023121387283239E-2</c:v>
                </c:pt>
                <c:pt idx="2">
                  <c:v>0.10982658959537572</c:v>
                </c:pt>
                <c:pt idx="3">
                  <c:v>0.12716763005780346</c:v>
                </c:pt>
                <c:pt idx="4">
                  <c:v>0.2138728323699422</c:v>
                </c:pt>
                <c:pt idx="5">
                  <c:v>0.24277456647398843</c:v>
                </c:pt>
                <c:pt idx="6">
                  <c:v>0.45086705202312138</c:v>
                </c:pt>
                <c:pt idx="7">
                  <c:v>0.63583815028901736</c:v>
                </c:pt>
                <c:pt idx="8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8F1-431E-AC8D-9E36B1E9ECC2}"/>
            </c:ext>
          </c:extLst>
        </c:ser>
        <c:ser>
          <c:idx val="3"/>
          <c:order val="3"/>
          <c:tx>
            <c:strRef>
              <c:f>'SÃO JOÃO NEPOMUCENO-BICAS'!$P$1</c:f>
              <c:strCache>
                <c:ptCount val="1"/>
                <c:pt idx="0">
                  <c:v>Prod 2023-3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'SÃO JOÃO NEPOMUCENO-BICAS'!$I$2:$I$10</c:f>
              <c:numCache>
                <c:formatCode>0.00</c:formatCode>
                <c:ptCount val="9"/>
                <c:pt idx="0">
                  <c:v>2.7186761229314422E-2</c:v>
                </c:pt>
                <c:pt idx="1">
                  <c:v>5.891144262384175E-2</c:v>
                </c:pt>
                <c:pt idx="2">
                  <c:v>9.9671204586831888E-2</c:v>
                </c:pt>
                <c:pt idx="3">
                  <c:v>0.1450504062389609</c:v>
                </c:pt>
                <c:pt idx="4">
                  <c:v>0.19606804162930355</c:v>
                </c:pt>
                <c:pt idx="5">
                  <c:v>0.26459878807641096</c:v>
                </c:pt>
                <c:pt idx="6">
                  <c:v>0.44102062443955325</c:v>
                </c:pt>
                <c:pt idx="7">
                  <c:v>0.63954783837395723</c:v>
                </c:pt>
                <c:pt idx="8">
                  <c:v>1</c:v>
                </c:pt>
              </c:numCache>
            </c:numRef>
          </c:xVal>
          <c:yVal>
            <c:numRef>
              <c:f>'SÃO JOÃO NEPOMUCENO-BICAS'!$P$2:$P$10</c:f>
              <c:numCache>
                <c:formatCode>0.00</c:formatCode>
                <c:ptCount val="9"/>
                <c:pt idx="0">
                  <c:v>1.1111111111111112E-2</c:v>
                </c:pt>
                <c:pt idx="1">
                  <c:v>4.4444444444444446E-2</c:v>
                </c:pt>
                <c:pt idx="2">
                  <c:v>8.8888888888888892E-2</c:v>
                </c:pt>
                <c:pt idx="3">
                  <c:v>0.12222222222222223</c:v>
                </c:pt>
                <c:pt idx="4">
                  <c:v>0.16666666666666669</c:v>
                </c:pt>
                <c:pt idx="5">
                  <c:v>0.21111111111111114</c:v>
                </c:pt>
                <c:pt idx="6">
                  <c:v>0.44444444444444448</c:v>
                </c:pt>
                <c:pt idx="7">
                  <c:v>0.62222222222222223</c:v>
                </c:pt>
                <c:pt idx="8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8F1-431E-AC8D-9E36B1E9EC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324576"/>
        <c:axId val="154332256"/>
      </c:scatterChart>
      <c:valAx>
        <c:axId val="154324576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4332256"/>
        <c:crosses val="autoZero"/>
        <c:crossBetween val="midCat"/>
      </c:valAx>
      <c:valAx>
        <c:axId val="15433225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43245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UBÁ!$J$1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UBÁ!$I$2:$I$21</c:f>
              <c:numCache>
                <c:formatCode>0.00</c:formatCode>
                <c:ptCount val="20"/>
                <c:pt idx="0">
                  <c:v>7.069991985055403E-3</c:v>
                </c:pt>
                <c:pt idx="1">
                  <c:v>1.7766980299453301E-2</c:v>
                </c:pt>
                <c:pt idx="2">
                  <c:v>2.9209327274825281E-2</c:v>
                </c:pt>
                <c:pt idx="3">
                  <c:v>4.2313917623834019E-2</c:v>
                </c:pt>
                <c:pt idx="4">
                  <c:v>5.5583796713560854E-2</c:v>
                </c:pt>
                <c:pt idx="5">
                  <c:v>7.2159450617649723E-2</c:v>
                </c:pt>
                <c:pt idx="6">
                  <c:v>9.4071124056996552E-2</c:v>
                </c:pt>
                <c:pt idx="7">
                  <c:v>0.11786958406491793</c:v>
                </c:pt>
                <c:pt idx="8">
                  <c:v>0.14251319970934131</c:v>
                </c:pt>
                <c:pt idx="9">
                  <c:v>0.16838556561495208</c:v>
                </c:pt>
                <c:pt idx="10">
                  <c:v>0.19437332177351699</c:v>
                </c:pt>
                <c:pt idx="11">
                  <c:v>0.2222104406348335</c:v>
                </c:pt>
                <c:pt idx="12">
                  <c:v>0.25567985130250648</c:v>
                </c:pt>
                <c:pt idx="13">
                  <c:v>0.28928336415604505</c:v>
                </c:pt>
                <c:pt idx="14">
                  <c:v>0.32904934024843213</c:v>
                </c:pt>
                <c:pt idx="15">
                  <c:v>0.38134607408054244</c:v>
                </c:pt>
                <c:pt idx="16">
                  <c:v>0.43750370340338879</c:v>
                </c:pt>
                <c:pt idx="17">
                  <c:v>0.49681741207730529</c:v>
                </c:pt>
                <c:pt idx="18">
                  <c:v>0.63201424601825673</c:v>
                </c:pt>
                <c:pt idx="19">
                  <c:v>1</c:v>
                </c:pt>
              </c:numCache>
            </c:numRef>
          </c:xVal>
          <c:yVal>
            <c:numRef>
              <c:f>UBÁ!$J$2:$J$21</c:f>
              <c:numCache>
                <c:formatCode>0.00</c:formatCode>
                <c:ptCount val="20"/>
                <c:pt idx="0">
                  <c:v>7.069991985055403E-3</c:v>
                </c:pt>
                <c:pt idx="1">
                  <c:v>1.7766980299453301E-2</c:v>
                </c:pt>
                <c:pt idx="2">
                  <c:v>2.9209327274825281E-2</c:v>
                </c:pt>
                <c:pt idx="3">
                  <c:v>4.2313917623834019E-2</c:v>
                </c:pt>
                <c:pt idx="4">
                  <c:v>5.5583796713560854E-2</c:v>
                </c:pt>
                <c:pt idx="5">
                  <c:v>7.2159450617649723E-2</c:v>
                </c:pt>
                <c:pt idx="6">
                  <c:v>9.4071124056996552E-2</c:v>
                </c:pt>
                <c:pt idx="7">
                  <c:v>0.11786958406491793</c:v>
                </c:pt>
                <c:pt idx="8">
                  <c:v>0.14251319970934131</c:v>
                </c:pt>
                <c:pt idx="9">
                  <c:v>0.16838556561495208</c:v>
                </c:pt>
                <c:pt idx="10">
                  <c:v>0.19437332177351699</c:v>
                </c:pt>
                <c:pt idx="11">
                  <c:v>0.2222104406348335</c:v>
                </c:pt>
                <c:pt idx="12">
                  <c:v>0.25567985130250648</c:v>
                </c:pt>
                <c:pt idx="13">
                  <c:v>0.28928336415604505</c:v>
                </c:pt>
                <c:pt idx="14">
                  <c:v>0.32904934024843213</c:v>
                </c:pt>
                <c:pt idx="15">
                  <c:v>0.38134607408054244</c:v>
                </c:pt>
                <c:pt idx="16">
                  <c:v>0.43750370340338879</c:v>
                </c:pt>
                <c:pt idx="17">
                  <c:v>0.49681741207730529</c:v>
                </c:pt>
                <c:pt idx="18">
                  <c:v>0.63201424601825673</c:v>
                </c:pt>
                <c:pt idx="19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FC7-41FB-BC3D-91DBFE1BBECF}"/>
            </c:ext>
          </c:extLst>
        </c:ser>
        <c:ser>
          <c:idx val="1"/>
          <c:order val="1"/>
          <c:tx>
            <c:strRef>
              <c:f>UBÁ!$K$1</c:f>
              <c:strCache>
                <c:ptCount val="1"/>
                <c:pt idx="0">
                  <c:v>Prod 2019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UBÁ!$I$2:$I$21</c:f>
              <c:numCache>
                <c:formatCode>0.00</c:formatCode>
                <c:ptCount val="20"/>
                <c:pt idx="0">
                  <c:v>7.069991985055403E-3</c:v>
                </c:pt>
                <c:pt idx="1">
                  <c:v>1.7766980299453301E-2</c:v>
                </c:pt>
                <c:pt idx="2">
                  <c:v>2.9209327274825281E-2</c:v>
                </c:pt>
                <c:pt idx="3">
                  <c:v>4.2313917623834019E-2</c:v>
                </c:pt>
                <c:pt idx="4">
                  <c:v>5.5583796713560854E-2</c:v>
                </c:pt>
                <c:pt idx="5">
                  <c:v>7.2159450617649723E-2</c:v>
                </c:pt>
                <c:pt idx="6">
                  <c:v>9.4071124056996552E-2</c:v>
                </c:pt>
                <c:pt idx="7">
                  <c:v>0.11786958406491793</c:v>
                </c:pt>
                <c:pt idx="8">
                  <c:v>0.14251319970934131</c:v>
                </c:pt>
                <c:pt idx="9">
                  <c:v>0.16838556561495208</c:v>
                </c:pt>
                <c:pt idx="10">
                  <c:v>0.19437332177351699</c:v>
                </c:pt>
                <c:pt idx="11">
                  <c:v>0.2222104406348335</c:v>
                </c:pt>
                <c:pt idx="12">
                  <c:v>0.25567985130250648</c:v>
                </c:pt>
                <c:pt idx="13">
                  <c:v>0.28928336415604505</c:v>
                </c:pt>
                <c:pt idx="14">
                  <c:v>0.32904934024843213</c:v>
                </c:pt>
                <c:pt idx="15">
                  <c:v>0.38134607408054244</c:v>
                </c:pt>
                <c:pt idx="16">
                  <c:v>0.43750370340338879</c:v>
                </c:pt>
                <c:pt idx="17">
                  <c:v>0.49681741207730529</c:v>
                </c:pt>
                <c:pt idx="18">
                  <c:v>0.63201424601825673</c:v>
                </c:pt>
                <c:pt idx="19">
                  <c:v>1</c:v>
                </c:pt>
              </c:numCache>
            </c:numRef>
          </c:xVal>
          <c:yVal>
            <c:numRef>
              <c:f>UBÁ!$K$2:$K$21</c:f>
              <c:numCache>
                <c:formatCode>0.00</c:formatCode>
                <c:ptCount val="20"/>
                <c:pt idx="0">
                  <c:v>1.0810810810810811E-2</c:v>
                </c:pt>
                <c:pt idx="1">
                  <c:v>2.7027027027027029E-2</c:v>
                </c:pt>
                <c:pt idx="2">
                  <c:v>4.5945945945945948E-2</c:v>
                </c:pt>
                <c:pt idx="3">
                  <c:v>6.0810810810810814E-2</c:v>
                </c:pt>
                <c:pt idx="4">
                  <c:v>7.567567567567568E-2</c:v>
                </c:pt>
                <c:pt idx="5">
                  <c:v>0.10675675675675676</c:v>
                </c:pt>
                <c:pt idx="6">
                  <c:v>0.12972972972972974</c:v>
                </c:pt>
                <c:pt idx="7">
                  <c:v>0.15405405405405406</c:v>
                </c:pt>
                <c:pt idx="8">
                  <c:v>0.17297297297297298</c:v>
                </c:pt>
                <c:pt idx="9">
                  <c:v>0.19324324324324327</c:v>
                </c:pt>
                <c:pt idx="10">
                  <c:v>0.24189189189189192</c:v>
                </c:pt>
                <c:pt idx="11">
                  <c:v>0.24864864864864866</c:v>
                </c:pt>
                <c:pt idx="12">
                  <c:v>0.28378378378378377</c:v>
                </c:pt>
                <c:pt idx="13">
                  <c:v>0.32702702702702702</c:v>
                </c:pt>
                <c:pt idx="14">
                  <c:v>0.36351351351351352</c:v>
                </c:pt>
                <c:pt idx="15">
                  <c:v>0.43108108108108112</c:v>
                </c:pt>
                <c:pt idx="16">
                  <c:v>0.51891891891891895</c:v>
                </c:pt>
                <c:pt idx="17">
                  <c:v>0.57567567567567568</c:v>
                </c:pt>
                <c:pt idx="18">
                  <c:v>0.69324324324324327</c:v>
                </c:pt>
                <c:pt idx="19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FC7-41FB-BC3D-91DBFE1BBECF}"/>
            </c:ext>
          </c:extLst>
        </c:ser>
        <c:ser>
          <c:idx val="2"/>
          <c:order val="2"/>
          <c:tx>
            <c:strRef>
              <c:f>UBÁ!$L$1</c:f>
              <c:strCache>
                <c:ptCount val="1"/>
                <c:pt idx="0">
                  <c:v>Prod 2020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UBÁ!$I$2:$I$21</c:f>
              <c:numCache>
                <c:formatCode>0.00</c:formatCode>
                <c:ptCount val="20"/>
                <c:pt idx="0">
                  <c:v>7.069991985055403E-3</c:v>
                </c:pt>
                <c:pt idx="1">
                  <c:v>1.7766980299453301E-2</c:v>
                </c:pt>
                <c:pt idx="2">
                  <c:v>2.9209327274825281E-2</c:v>
                </c:pt>
                <c:pt idx="3">
                  <c:v>4.2313917623834019E-2</c:v>
                </c:pt>
                <c:pt idx="4">
                  <c:v>5.5583796713560854E-2</c:v>
                </c:pt>
                <c:pt idx="5">
                  <c:v>7.2159450617649723E-2</c:v>
                </c:pt>
                <c:pt idx="6">
                  <c:v>9.4071124056996552E-2</c:v>
                </c:pt>
                <c:pt idx="7">
                  <c:v>0.11786958406491793</c:v>
                </c:pt>
                <c:pt idx="8">
                  <c:v>0.14251319970934131</c:v>
                </c:pt>
                <c:pt idx="9">
                  <c:v>0.16838556561495208</c:v>
                </c:pt>
                <c:pt idx="10">
                  <c:v>0.19437332177351699</c:v>
                </c:pt>
                <c:pt idx="11">
                  <c:v>0.2222104406348335</c:v>
                </c:pt>
                <c:pt idx="12">
                  <c:v>0.25567985130250648</c:v>
                </c:pt>
                <c:pt idx="13">
                  <c:v>0.28928336415604505</c:v>
                </c:pt>
                <c:pt idx="14">
                  <c:v>0.32904934024843213</c:v>
                </c:pt>
                <c:pt idx="15">
                  <c:v>0.38134607408054244</c:v>
                </c:pt>
                <c:pt idx="16">
                  <c:v>0.43750370340338879</c:v>
                </c:pt>
                <c:pt idx="17">
                  <c:v>0.49681741207730529</c:v>
                </c:pt>
                <c:pt idx="18">
                  <c:v>0.63201424601825673</c:v>
                </c:pt>
                <c:pt idx="19">
                  <c:v>1</c:v>
                </c:pt>
              </c:numCache>
            </c:numRef>
          </c:xVal>
          <c:yVal>
            <c:numRef>
              <c:f>UBÁ!$L$2:$L$21</c:f>
              <c:numCache>
                <c:formatCode>0.00</c:formatCode>
                <c:ptCount val="20"/>
                <c:pt idx="0">
                  <c:v>5.3333333333333332E-3</c:v>
                </c:pt>
                <c:pt idx="1">
                  <c:v>2.1333333333333333E-2</c:v>
                </c:pt>
                <c:pt idx="2">
                  <c:v>3.7333333333333329E-2</c:v>
                </c:pt>
                <c:pt idx="3">
                  <c:v>5.0666666666666665E-2</c:v>
                </c:pt>
                <c:pt idx="4">
                  <c:v>7.4666666666666659E-2</c:v>
                </c:pt>
                <c:pt idx="5">
                  <c:v>0.11466666666666667</c:v>
                </c:pt>
                <c:pt idx="6">
                  <c:v>0.12266666666666667</c:v>
                </c:pt>
                <c:pt idx="7">
                  <c:v>0.128</c:v>
                </c:pt>
                <c:pt idx="8">
                  <c:v>0.14400000000000002</c:v>
                </c:pt>
                <c:pt idx="9">
                  <c:v>0.16266666666666668</c:v>
                </c:pt>
                <c:pt idx="10">
                  <c:v>0.23466666666666669</c:v>
                </c:pt>
                <c:pt idx="11">
                  <c:v>0.25600000000000001</c:v>
                </c:pt>
                <c:pt idx="12">
                  <c:v>0.28533333333333333</c:v>
                </c:pt>
                <c:pt idx="13">
                  <c:v>0.32266666666666666</c:v>
                </c:pt>
                <c:pt idx="14">
                  <c:v>0.34666666666666668</c:v>
                </c:pt>
                <c:pt idx="15">
                  <c:v>0.4</c:v>
                </c:pt>
                <c:pt idx="16">
                  <c:v>0.47733333333333339</c:v>
                </c:pt>
                <c:pt idx="17">
                  <c:v>0.57066666666666677</c:v>
                </c:pt>
                <c:pt idx="18">
                  <c:v>0.70933333333333337</c:v>
                </c:pt>
                <c:pt idx="19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FC7-41FB-BC3D-91DBFE1BBECF}"/>
            </c:ext>
          </c:extLst>
        </c:ser>
        <c:ser>
          <c:idx val="3"/>
          <c:order val="3"/>
          <c:tx>
            <c:strRef>
              <c:f>UBÁ!$M$1</c:f>
              <c:strCache>
                <c:ptCount val="1"/>
                <c:pt idx="0">
                  <c:v>Prod 2021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UBÁ!$I$2:$I$21</c:f>
              <c:numCache>
                <c:formatCode>0.00</c:formatCode>
                <c:ptCount val="20"/>
                <c:pt idx="0">
                  <c:v>7.069991985055403E-3</c:v>
                </c:pt>
                <c:pt idx="1">
                  <c:v>1.7766980299453301E-2</c:v>
                </c:pt>
                <c:pt idx="2">
                  <c:v>2.9209327274825281E-2</c:v>
                </c:pt>
                <c:pt idx="3">
                  <c:v>4.2313917623834019E-2</c:v>
                </c:pt>
                <c:pt idx="4">
                  <c:v>5.5583796713560854E-2</c:v>
                </c:pt>
                <c:pt idx="5">
                  <c:v>7.2159450617649723E-2</c:v>
                </c:pt>
                <c:pt idx="6">
                  <c:v>9.4071124056996552E-2</c:v>
                </c:pt>
                <c:pt idx="7">
                  <c:v>0.11786958406491793</c:v>
                </c:pt>
                <c:pt idx="8">
                  <c:v>0.14251319970934131</c:v>
                </c:pt>
                <c:pt idx="9">
                  <c:v>0.16838556561495208</c:v>
                </c:pt>
                <c:pt idx="10">
                  <c:v>0.19437332177351699</c:v>
                </c:pt>
                <c:pt idx="11">
                  <c:v>0.2222104406348335</c:v>
                </c:pt>
                <c:pt idx="12">
                  <c:v>0.25567985130250648</c:v>
                </c:pt>
                <c:pt idx="13">
                  <c:v>0.28928336415604505</c:v>
                </c:pt>
                <c:pt idx="14">
                  <c:v>0.32904934024843213</c:v>
                </c:pt>
                <c:pt idx="15">
                  <c:v>0.38134607408054244</c:v>
                </c:pt>
                <c:pt idx="16">
                  <c:v>0.43750370340338879</c:v>
                </c:pt>
                <c:pt idx="17">
                  <c:v>0.49681741207730529</c:v>
                </c:pt>
                <c:pt idx="18">
                  <c:v>0.63201424601825673</c:v>
                </c:pt>
                <c:pt idx="19">
                  <c:v>1</c:v>
                </c:pt>
              </c:numCache>
            </c:numRef>
          </c:xVal>
          <c:yVal>
            <c:numRef>
              <c:f>UBÁ!$M$2:$M$21</c:f>
              <c:numCache>
                <c:formatCode>0.00</c:formatCode>
                <c:ptCount val="20"/>
                <c:pt idx="0">
                  <c:v>9.5057034220532317E-3</c:v>
                </c:pt>
                <c:pt idx="1">
                  <c:v>1.7110266159695818E-2</c:v>
                </c:pt>
                <c:pt idx="2">
                  <c:v>3.4220532319391636E-2</c:v>
                </c:pt>
                <c:pt idx="3">
                  <c:v>7.7946768060836502E-2</c:v>
                </c:pt>
                <c:pt idx="4">
                  <c:v>0.11216730038022814</c:v>
                </c:pt>
                <c:pt idx="5">
                  <c:v>0.14068441064638784</c:v>
                </c:pt>
                <c:pt idx="6">
                  <c:v>0.15209125475285173</c:v>
                </c:pt>
                <c:pt idx="7">
                  <c:v>0.16159695817490496</c:v>
                </c:pt>
                <c:pt idx="8">
                  <c:v>0.18821292775665402</c:v>
                </c:pt>
                <c:pt idx="9">
                  <c:v>0.19771863117870725</c:v>
                </c:pt>
                <c:pt idx="10">
                  <c:v>0.23574144486692017</c:v>
                </c:pt>
                <c:pt idx="11">
                  <c:v>0.2452471482889734</c:v>
                </c:pt>
                <c:pt idx="12">
                  <c:v>0.28707224334600762</c:v>
                </c:pt>
                <c:pt idx="13">
                  <c:v>0.33269961977186313</c:v>
                </c:pt>
                <c:pt idx="14">
                  <c:v>0.34790874524714832</c:v>
                </c:pt>
                <c:pt idx="15">
                  <c:v>0.3954372623574145</c:v>
                </c:pt>
                <c:pt idx="16">
                  <c:v>0.48669201520912553</c:v>
                </c:pt>
                <c:pt idx="17">
                  <c:v>0.49809885931558939</c:v>
                </c:pt>
                <c:pt idx="18">
                  <c:v>0.59695817490494296</c:v>
                </c:pt>
                <c:pt idx="19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FC7-41FB-BC3D-91DBFE1BBE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1108544"/>
        <c:axId val="621102304"/>
      </c:scatterChart>
      <c:valAx>
        <c:axId val="621108544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21102304"/>
        <c:crosses val="autoZero"/>
        <c:crossBetween val="midCat"/>
      </c:valAx>
      <c:valAx>
        <c:axId val="62110230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211085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UBÁ!$J$1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UBÁ!$I$2:$I$21</c:f>
              <c:numCache>
                <c:formatCode>0.00</c:formatCode>
                <c:ptCount val="20"/>
                <c:pt idx="0">
                  <c:v>7.069991985055403E-3</c:v>
                </c:pt>
                <c:pt idx="1">
                  <c:v>1.7766980299453301E-2</c:v>
                </c:pt>
                <c:pt idx="2">
                  <c:v>2.9209327274825281E-2</c:v>
                </c:pt>
                <c:pt idx="3">
                  <c:v>4.2313917623834019E-2</c:v>
                </c:pt>
                <c:pt idx="4">
                  <c:v>5.5583796713560854E-2</c:v>
                </c:pt>
                <c:pt idx="5">
                  <c:v>7.2159450617649723E-2</c:v>
                </c:pt>
                <c:pt idx="6">
                  <c:v>9.4071124056996552E-2</c:v>
                </c:pt>
                <c:pt idx="7">
                  <c:v>0.11786958406491793</c:v>
                </c:pt>
                <c:pt idx="8">
                  <c:v>0.14251319970934131</c:v>
                </c:pt>
                <c:pt idx="9">
                  <c:v>0.16838556561495208</c:v>
                </c:pt>
                <c:pt idx="10">
                  <c:v>0.19437332177351699</c:v>
                </c:pt>
                <c:pt idx="11">
                  <c:v>0.2222104406348335</c:v>
                </c:pt>
                <c:pt idx="12">
                  <c:v>0.25567985130250648</c:v>
                </c:pt>
                <c:pt idx="13">
                  <c:v>0.28928336415604505</c:v>
                </c:pt>
                <c:pt idx="14">
                  <c:v>0.32904934024843213</c:v>
                </c:pt>
                <c:pt idx="15">
                  <c:v>0.38134607408054244</c:v>
                </c:pt>
                <c:pt idx="16">
                  <c:v>0.43750370340338879</c:v>
                </c:pt>
                <c:pt idx="17">
                  <c:v>0.49681741207730529</c:v>
                </c:pt>
                <c:pt idx="18">
                  <c:v>0.63201424601825673</c:v>
                </c:pt>
                <c:pt idx="19">
                  <c:v>1</c:v>
                </c:pt>
              </c:numCache>
            </c:numRef>
          </c:xVal>
          <c:yVal>
            <c:numRef>
              <c:f>UBÁ!$J$2:$J$21</c:f>
              <c:numCache>
                <c:formatCode>0.00</c:formatCode>
                <c:ptCount val="20"/>
                <c:pt idx="0">
                  <c:v>7.069991985055403E-3</c:v>
                </c:pt>
                <c:pt idx="1">
                  <c:v>1.7766980299453301E-2</c:v>
                </c:pt>
                <c:pt idx="2">
                  <c:v>2.9209327274825281E-2</c:v>
                </c:pt>
                <c:pt idx="3">
                  <c:v>4.2313917623834019E-2</c:v>
                </c:pt>
                <c:pt idx="4">
                  <c:v>5.5583796713560854E-2</c:v>
                </c:pt>
                <c:pt idx="5">
                  <c:v>7.2159450617649723E-2</c:v>
                </c:pt>
                <c:pt idx="6">
                  <c:v>9.4071124056996552E-2</c:v>
                </c:pt>
                <c:pt idx="7">
                  <c:v>0.11786958406491793</c:v>
                </c:pt>
                <c:pt idx="8">
                  <c:v>0.14251319970934131</c:v>
                </c:pt>
                <c:pt idx="9">
                  <c:v>0.16838556561495208</c:v>
                </c:pt>
                <c:pt idx="10">
                  <c:v>0.19437332177351699</c:v>
                </c:pt>
                <c:pt idx="11">
                  <c:v>0.2222104406348335</c:v>
                </c:pt>
                <c:pt idx="12">
                  <c:v>0.25567985130250648</c:v>
                </c:pt>
                <c:pt idx="13">
                  <c:v>0.28928336415604505</c:v>
                </c:pt>
                <c:pt idx="14">
                  <c:v>0.32904934024843213</c:v>
                </c:pt>
                <c:pt idx="15">
                  <c:v>0.38134607408054244</c:v>
                </c:pt>
                <c:pt idx="16">
                  <c:v>0.43750370340338879</c:v>
                </c:pt>
                <c:pt idx="17">
                  <c:v>0.49681741207730529</c:v>
                </c:pt>
                <c:pt idx="18">
                  <c:v>0.63201424601825673</c:v>
                </c:pt>
                <c:pt idx="19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18B-4B47-9538-95DE8D68B965}"/>
            </c:ext>
          </c:extLst>
        </c:ser>
        <c:ser>
          <c:idx val="1"/>
          <c:order val="1"/>
          <c:tx>
            <c:strRef>
              <c:f>UBÁ!$N$1</c:f>
              <c:strCache>
                <c:ptCount val="1"/>
                <c:pt idx="0">
                  <c:v>Prod 2022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UBÁ!$I$2:$I$21</c:f>
              <c:numCache>
                <c:formatCode>0.00</c:formatCode>
                <c:ptCount val="20"/>
                <c:pt idx="0">
                  <c:v>7.069991985055403E-3</c:v>
                </c:pt>
                <c:pt idx="1">
                  <c:v>1.7766980299453301E-2</c:v>
                </c:pt>
                <c:pt idx="2">
                  <c:v>2.9209327274825281E-2</c:v>
                </c:pt>
                <c:pt idx="3">
                  <c:v>4.2313917623834019E-2</c:v>
                </c:pt>
                <c:pt idx="4">
                  <c:v>5.5583796713560854E-2</c:v>
                </c:pt>
                <c:pt idx="5">
                  <c:v>7.2159450617649723E-2</c:v>
                </c:pt>
                <c:pt idx="6">
                  <c:v>9.4071124056996552E-2</c:v>
                </c:pt>
                <c:pt idx="7">
                  <c:v>0.11786958406491793</c:v>
                </c:pt>
                <c:pt idx="8">
                  <c:v>0.14251319970934131</c:v>
                </c:pt>
                <c:pt idx="9">
                  <c:v>0.16838556561495208</c:v>
                </c:pt>
                <c:pt idx="10">
                  <c:v>0.19437332177351699</c:v>
                </c:pt>
                <c:pt idx="11">
                  <c:v>0.2222104406348335</c:v>
                </c:pt>
                <c:pt idx="12">
                  <c:v>0.25567985130250648</c:v>
                </c:pt>
                <c:pt idx="13">
                  <c:v>0.28928336415604505</c:v>
                </c:pt>
                <c:pt idx="14">
                  <c:v>0.32904934024843213</c:v>
                </c:pt>
                <c:pt idx="15">
                  <c:v>0.38134607408054244</c:v>
                </c:pt>
                <c:pt idx="16">
                  <c:v>0.43750370340338879</c:v>
                </c:pt>
                <c:pt idx="17">
                  <c:v>0.49681741207730529</c:v>
                </c:pt>
                <c:pt idx="18">
                  <c:v>0.63201424601825673</c:v>
                </c:pt>
                <c:pt idx="19">
                  <c:v>1</c:v>
                </c:pt>
              </c:numCache>
            </c:numRef>
          </c:xVal>
          <c:yVal>
            <c:numRef>
              <c:f>UBÁ!$N$2:$N$21</c:f>
              <c:numCache>
                <c:formatCode>0.00</c:formatCode>
                <c:ptCount val="20"/>
                <c:pt idx="0">
                  <c:v>1.1494252873563218E-2</c:v>
                </c:pt>
                <c:pt idx="1">
                  <c:v>2.7409372236958444E-2</c:v>
                </c:pt>
                <c:pt idx="2">
                  <c:v>4.5092838196286469E-2</c:v>
                </c:pt>
                <c:pt idx="3">
                  <c:v>6.8965517241379309E-2</c:v>
                </c:pt>
                <c:pt idx="4">
                  <c:v>9.9911582670203364E-2</c:v>
                </c:pt>
                <c:pt idx="5">
                  <c:v>0.11671087533156499</c:v>
                </c:pt>
                <c:pt idx="6">
                  <c:v>0.134394341290893</c:v>
                </c:pt>
                <c:pt idx="7">
                  <c:v>0.15738284703801944</c:v>
                </c:pt>
                <c:pt idx="8">
                  <c:v>0.17064544650751545</c:v>
                </c:pt>
                <c:pt idx="9">
                  <c:v>0.21308576480990271</c:v>
                </c:pt>
                <c:pt idx="10">
                  <c:v>0.25552608311228997</c:v>
                </c:pt>
                <c:pt idx="11">
                  <c:v>0.2740937223695844</c:v>
                </c:pt>
                <c:pt idx="12">
                  <c:v>0.30150309460654284</c:v>
                </c:pt>
                <c:pt idx="13">
                  <c:v>0.33687002652519893</c:v>
                </c:pt>
                <c:pt idx="14">
                  <c:v>0.39434129089301501</c:v>
                </c:pt>
                <c:pt idx="15">
                  <c:v>0.44650751547303269</c:v>
                </c:pt>
                <c:pt idx="16">
                  <c:v>0.50132625994694957</c:v>
                </c:pt>
                <c:pt idx="17">
                  <c:v>0.53138815207780721</c:v>
                </c:pt>
                <c:pt idx="18">
                  <c:v>0.67285587975243144</c:v>
                </c:pt>
                <c:pt idx="19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18B-4B47-9538-95DE8D68B965}"/>
            </c:ext>
          </c:extLst>
        </c:ser>
        <c:ser>
          <c:idx val="2"/>
          <c:order val="2"/>
          <c:tx>
            <c:strRef>
              <c:f>UBÁ!$O$1</c:f>
              <c:strCache>
                <c:ptCount val="1"/>
                <c:pt idx="0">
                  <c:v>Prod 2023-1-2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UBÁ!$I$2:$I$21</c:f>
              <c:numCache>
                <c:formatCode>0.00</c:formatCode>
                <c:ptCount val="20"/>
                <c:pt idx="0">
                  <c:v>7.069991985055403E-3</c:v>
                </c:pt>
                <c:pt idx="1">
                  <c:v>1.7766980299453301E-2</c:v>
                </c:pt>
                <c:pt idx="2">
                  <c:v>2.9209327274825281E-2</c:v>
                </c:pt>
                <c:pt idx="3">
                  <c:v>4.2313917623834019E-2</c:v>
                </c:pt>
                <c:pt idx="4">
                  <c:v>5.5583796713560854E-2</c:v>
                </c:pt>
                <c:pt idx="5">
                  <c:v>7.2159450617649723E-2</c:v>
                </c:pt>
                <c:pt idx="6">
                  <c:v>9.4071124056996552E-2</c:v>
                </c:pt>
                <c:pt idx="7">
                  <c:v>0.11786958406491793</c:v>
                </c:pt>
                <c:pt idx="8">
                  <c:v>0.14251319970934131</c:v>
                </c:pt>
                <c:pt idx="9">
                  <c:v>0.16838556561495208</c:v>
                </c:pt>
                <c:pt idx="10">
                  <c:v>0.19437332177351699</c:v>
                </c:pt>
                <c:pt idx="11">
                  <c:v>0.2222104406348335</c:v>
                </c:pt>
                <c:pt idx="12">
                  <c:v>0.25567985130250648</c:v>
                </c:pt>
                <c:pt idx="13">
                  <c:v>0.28928336415604505</c:v>
                </c:pt>
                <c:pt idx="14">
                  <c:v>0.32904934024843213</c:v>
                </c:pt>
                <c:pt idx="15">
                  <c:v>0.38134607408054244</c:v>
                </c:pt>
                <c:pt idx="16">
                  <c:v>0.43750370340338879</c:v>
                </c:pt>
                <c:pt idx="17">
                  <c:v>0.49681741207730529</c:v>
                </c:pt>
                <c:pt idx="18">
                  <c:v>0.63201424601825673</c:v>
                </c:pt>
                <c:pt idx="19">
                  <c:v>1</c:v>
                </c:pt>
              </c:numCache>
            </c:numRef>
          </c:xVal>
          <c:yVal>
            <c:numRef>
              <c:f>UBÁ!$O$2:$O$21</c:f>
              <c:numCache>
                <c:formatCode>0.00</c:formatCode>
                <c:ptCount val="20"/>
                <c:pt idx="0">
                  <c:v>1.1695906432748538E-3</c:v>
                </c:pt>
                <c:pt idx="1">
                  <c:v>1.4035087719298246E-2</c:v>
                </c:pt>
                <c:pt idx="2">
                  <c:v>3.1578947368421054E-2</c:v>
                </c:pt>
                <c:pt idx="3">
                  <c:v>7.4853801169590645E-2</c:v>
                </c:pt>
                <c:pt idx="4">
                  <c:v>0.10760233918128656</c:v>
                </c:pt>
                <c:pt idx="5">
                  <c:v>0.13099415204678364</c:v>
                </c:pt>
                <c:pt idx="6">
                  <c:v>0.16374269005847955</c:v>
                </c:pt>
                <c:pt idx="7">
                  <c:v>0.18362573099415208</c:v>
                </c:pt>
                <c:pt idx="8">
                  <c:v>0.20467836257309946</c:v>
                </c:pt>
                <c:pt idx="9">
                  <c:v>0.23742690058479538</c:v>
                </c:pt>
                <c:pt idx="10">
                  <c:v>0.28304093567251465</c:v>
                </c:pt>
                <c:pt idx="11">
                  <c:v>0.29941520467836258</c:v>
                </c:pt>
                <c:pt idx="12">
                  <c:v>0.34152046783625734</c:v>
                </c:pt>
                <c:pt idx="13">
                  <c:v>0.36842105263157898</c:v>
                </c:pt>
                <c:pt idx="14">
                  <c:v>0.41286549707602344</c:v>
                </c:pt>
                <c:pt idx="15">
                  <c:v>0.47368421052631582</c:v>
                </c:pt>
                <c:pt idx="16">
                  <c:v>0.53450292397660826</c:v>
                </c:pt>
                <c:pt idx="17">
                  <c:v>0.56257309941520472</c:v>
                </c:pt>
                <c:pt idx="18">
                  <c:v>0.72514619883040943</c:v>
                </c:pt>
                <c:pt idx="19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18B-4B47-9538-95DE8D68B965}"/>
            </c:ext>
          </c:extLst>
        </c:ser>
        <c:ser>
          <c:idx val="3"/>
          <c:order val="3"/>
          <c:tx>
            <c:strRef>
              <c:f>UBÁ!$P$1</c:f>
              <c:strCache>
                <c:ptCount val="1"/>
                <c:pt idx="0">
                  <c:v>Prod 2023-3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UBÁ!$I$2:$I$21</c:f>
              <c:numCache>
                <c:formatCode>0.00</c:formatCode>
                <c:ptCount val="20"/>
                <c:pt idx="0">
                  <c:v>7.069991985055403E-3</c:v>
                </c:pt>
                <c:pt idx="1">
                  <c:v>1.7766980299453301E-2</c:v>
                </c:pt>
                <c:pt idx="2">
                  <c:v>2.9209327274825281E-2</c:v>
                </c:pt>
                <c:pt idx="3">
                  <c:v>4.2313917623834019E-2</c:v>
                </c:pt>
                <c:pt idx="4">
                  <c:v>5.5583796713560854E-2</c:v>
                </c:pt>
                <c:pt idx="5">
                  <c:v>7.2159450617649723E-2</c:v>
                </c:pt>
                <c:pt idx="6">
                  <c:v>9.4071124056996552E-2</c:v>
                </c:pt>
                <c:pt idx="7">
                  <c:v>0.11786958406491793</c:v>
                </c:pt>
                <c:pt idx="8">
                  <c:v>0.14251319970934131</c:v>
                </c:pt>
                <c:pt idx="9">
                  <c:v>0.16838556561495208</c:v>
                </c:pt>
                <c:pt idx="10">
                  <c:v>0.19437332177351699</c:v>
                </c:pt>
                <c:pt idx="11">
                  <c:v>0.2222104406348335</c:v>
                </c:pt>
                <c:pt idx="12">
                  <c:v>0.25567985130250648</c:v>
                </c:pt>
                <c:pt idx="13">
                  <c:v>0.28928336415604505</c:v>
                </c:pt>
                <c:pt idx="14">
                  <c:v>0.32904934024843213</c:v>
                </c:pt>
                <c:pt idx="15">
                  <c:v>0.38134607408054244</c:v>
                </c:pt>
                <c:pt idx="16">
                  <c:v>0.43750370340338879</c:v>
                </c:pt>
                <c:pt idx="17">
                  <c:v>0.49681741207730529</c:v>
                </c:pt>
                <c:pt idx="18">
                  <c:v>0.63201424601825673</c:v>
                </c:pt>
                <c:pt idx="19">
                  <c:v>1</c:v>
                </c:pt>
              </c:numCache>
            </c:numRef>
          </c:xVal>
          <c:yVal>
            <c:numRef>
              <c:f>UBÁ!$P$2:$P$21</c:f>
              <c:numCache>
                <c:formatCode>0.00</c:formatCode>
                <c:ptCount val="20"/>
                <c:pt idx="0">
                  <c:v>1.6786570743405275E-2</c:v>
                </c:pt>
                <c:pt idx="1">
                  <c:v>3.5971223021582732E-2</c:v>
                </c:pt>
                <c:pt idx="2">
                  <c:v>6.7146282973621102E-2</c:v>
                </c:pt>
                <c:pt idx="3">
                  <c:v>0.10311750599520383</c:v>
                </c:pt>
                <c:pt idx="4">
                  <c:v>0.12709832134292565</c:v>
                </c:pt>
                <c:pt idx="5">
                  <c:v>0.16067146282973621</c:v>
                </c:pt>
                <c:pt idx="6">
                  <c:v>0.2038369304556355</c:v>
                </c:pt>
                <c:pt idx="7">
                  <c:v>0.23261390887290168</c:v>
                </c:pt>
                <c:pt idx="8">
                  <c:v>0.26618705035971224</c:v>
                </c:pt>
                <c:pt idx="9">
                  <c:v>0.28776978417266186</c:v>
                </c:pt>
                <c:pt idx="10">
                  <c:v>0.34292565947242204</c:v>
                </c:pt>
                <c:pt idx="11">
                  <c:v>0.36930455635491605</c:v>
                </c:pt>
                <c:pt idx="12">
                  <c:v>0.40047961630695439</c:v>
                </c:pt>
                <c:pt idx="13">
                  <c:v>0.42925659472422056</c:v>
                </c:pt>
                <c:pt idx="14">
                  <c:v>0.47002398081534769</c:v>
                </c:pt>
                <c:pt idx="15">
                  <c:v>0.5227817745803357</c:v>
                </c:pt>
                <c:pt idx="16">
                  <c:v>0.58033573141486805</c:v>
                </c:pt>
                <c:pt idx="17">
                  <c:v>0.60191846522781767</c:v>
                </c:pt>
                <c:pt idx="18">
                  <c:v>0.69784172661870492</c:v>
                </c:pt>
                <c:pt idx="19">
                  <c:v>0.99999999999999989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18B-4B47-9538-95DE8D68B9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2955808"/>
        <c:axId val="562960608"/>
      </c:scatterChart>
      <c:valAx>
        <c:axId val="562955808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2960608"/>
        <c:crosses val="autoZero"/>
        <c:crossBetween val="midCat"/>
      </c:valAx>
      <c:valAx>
        <c:axId val="56296060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29558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106680</xdr:colOff>
      <xdr:row>0</xdr:row>
      <xdr:rowOff>64770</xdr:rowOff>
    </xdr:from>
    <xdr:to>
      <xdr:col>23</xdr:col>
      <xdr:colOff>411480</xdr:colOff>
      <xdr:row>12</xdr:row>
      <xdr:rowOff>148590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77D2E1A1-A567-CACF-F6B2-27DF7E5AE6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99060</xdr:colOff>
      <xdr:row>12</xdr:row>
      <xdr:rowOff>179070</xdr:rowOff>
    </xdr:from>
    <xdr:to>
      <xdr:col>23</xdr:col>
      <xdr:colOff>403860</xdr:colOff>
      <xdr:row>27</xdr:row>
      <xdr:rowOff>179070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78A44DFC-8647-0938-EF11-4A47A0522D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99060</xdr:colOff>
      <xdr:row>0</xdr:row>
      <xdr:rowOff>26670</xdr:rowOff>
    </xdr:from>
    <xdr:to>
      <xdr:col>23</xdr:col>
      <xdr:colOff>403860</xdr:colOff>
      <xdr:row>13</xdr:row>
      <xdr:rowOff>110490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E8695997-986B-8F9D-C0F7-DEC6E3F623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99060</xdr:colOff>
      <xdr:row>13</xdr:row>
      <xdr:rowOff>156210</xdr:rowOff>
    </xdr:from>
    <xdr:to>
      <xdr:col>23</xdr:col>
      <xdr:colOff>403860</xdr:colOff>
      <xdr:row>27</xdr:row>
      <xdr:rowOff>156210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C9FB6EFD-AFFD-A34C-B207-97687D56AA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205740</xdr:colOff>
      <xdr:row>0</xdr:row>
      <xdr:rowOff>41910</xdr:rowOff>
    </xdr:from>
    <xdr:to>
      <xdr:col>23</xdr:col>
      <xdr:colOff>510540</xdr:colOff>
      <xdr:row>13</xdr:row>
      <xdr:rowOff>125730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47984824-0501-1023-75FB-FDB1DBBE51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160020</xdr:colOff>
      <xdr:row>13</xdr:row>
      <xdr:rowOff>140970</xdr:rowOff>
    </xdr:from>
    <xdr:to>
      <xdr:col>23</xdr:col>
      <xdr:colOff>464820</xdr:colOff>
      <xdr:row>27</xdr:row>
      <xdr:rowOff>140970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03837957-9E49-CBA8-BF03-54CE39B81B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76200</xdr:colOff>
      <xdr:row>0</xdr:row>
      <xdr:rowOff>41910</xdr:rowOff>
    </xdr:from>
    <xdr:to>
      <xdr:col>23</xdr:col>
      <xdr:colOff>381000</xdr:colOff>
      <xdr:row>12</xdr:row>
      <xdr:rowOff>308610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6BEB191F-DEF2-C033-6F8F-1229DF25E6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76200</xdr:colOff>
      <xdr:row>12</xdr:row>
      <xdr:rowOff>354330</xdr:rowOff>
    </xdr:from>
    <xdr:to>
      <xdr:col>23</xdr:col>
      <xdr:colOff>381000</xdr:colOff>
      <xdr:row>27</xdr:row>
      <xdr:rowOff>171450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EAEDA917-5F9F-15D0-64D5-0E2CC60834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114300</xdr:colOff>
      <xdr:row>0</xdr:row>
      <xdr:rowOff>41910</xdr:rowOff>
    </xdr:from>
    <xdr:to>
      <xdr:col>23</xdr:col>
      <xdr:colOff>419100</xdr:colOff>
      <xdr:row>13</xdr:row>
      <xdr:rowOff>125730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E308224C-49C8-3CA4-11F2-E408B8FFE4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114300</xdr:colOff>
      <xdr:row>13</xdr:row>
      <xdr:rowOff>148590</xdr:rowOff>
    </xdr:from>
    <xdr:to>
      <xdr:col>23</xdr:col>
      <xdr:colOff>419100</xdr:colOff>
      <xdr:row>27</xdr:row>
      <xdr:rowOff>148590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040591E2-2235-321B-E7FF-7BC3DCAF4C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45720</xdr:colOff>
      <xdr:row>0</xdr:row>
      <xdr:rowOff>34290</xdr:rowOff>
    </xdr:from>
    <xdr:to>
      <xdr:col>23</xdr:col>
      <xdr:colOff>350520</xdr:colOff>
      <xdr:row>13</xdr:row>
      <xdr:rowOff>118110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EBD342A0-4E0A-CC4A-4578-D14E14C223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60960</xdr:colOff>
      <xdr:row>13</xdr:row>
      <xdr:rowOff>163830</xdr:rowOff>
    </xdr:from>
    <xdr:to>
      <xdr:col>23</xdr:col>
      <xdr:colOff>365760</xdr:colOff>
      <xdr:row>27</xdr:row>
      <xdr:rowOff>163830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36245D4F-8C93-3EAE-692E-29DBA9FF10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121920</xdr:colOff>
      <xdr:row>0</xdr:row>
      <xdr:rowOff>26670</xdr:rowOff>
    </xdr:from>
    <xdr:to>
      <xdr:col>23</xdr:col>
      <xdr:colOff>426720</xdr:colOff>
      <xdr:row>12</xdr:row>
      <xdr:rowOff>110490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7FF9BED-6D15-BE4A-016A-53E2C4194F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129540</xdr:colOff>
      <xdr:row>12</xdr:row>
      <xdr:rowOff>148590</xdr:rowOff>
    </xdr:from>
    <xdr:to>
      <xdr:col>23</xdr:col>
      <xdr:colOff>434340</xdr:colOff>
      <xdr:row>27</xdr:row>
      <xdr:rowOff>148590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064A02C7-D3B4-F50D-1066-B6F65D328B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91440</xdr:colOff>
      <xdr:row>0</xdr:row>
      <xdr:rowOff>87630</xdr:rowOff>
    </xdr:from>
    <xdr:to>
      <xdr:col>23</xdr:col>
      <xdr:colOff>396240</xdr:colOff>
      <xdr:row>12</xdr:row>
      <xdr:rowOff>171450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8D569A8A-40B8-7AB6-BBD8-F88693763C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83820</xdr:colOff>
      <xdr:row>13</xdr:row>
      <xdr:rowOff>19050</xdr:rowOff>
    </xdr:from>
    <xdr:to>
      <xdr:col>23</xdr:col>
      <xdr:colOff>388620</xdr:colOff>
      <xdr:row>28</xdr:row>
      <xdr:rowOff>19050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4982EF97-EB8F-169F-3E05-CCC55FF338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125691</xdr:colOff>
      <xdr:row>0</xdr:row>
      <xdr:rowOff>93482</xdr:rowOff>
    </xdr:from>
    <xdr:to>
      <xdr:col>23</xdr:col>
      <xdr:colOff>408495</xdr:colOff>
      <xdr:row>14</xdr:row>
      <xdr:rowOff>24352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1FF4BC4B-99A6-4F21-FB1D-374518DBBC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117835</xdr:colOff>
      <xdr:row>14</xdr:row>
      <xdr:rowOff>85627</xdr:rowOff>
    </xdr:from>
    <xdr:to>
      <xdr:col>23</xdr:col>
      <xdr:colOff>400639</xdr:colOff>
      <xdr:row>28</xdr:row>
      <xdr:rowOff>110765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9E3EC780-5C0B-3552-473C-4EC854290A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6D35C-D72E-4456-82E1-624D28492067}">
  <dimension ref="A1:P15"/>
  <sheetViews>
    <sheetView tabSelected="1" workbookViewId="0">
      <selection activeCell="K9" sqref="K9:P13"/>
    </sheetView>
  </sheetViews>
  <sheetFormatPr defaultRowHeight="14.4" x14ac:dyDescent="0.3"/>
  <cols>
    <col min="1" max="1" width="13.77734375" customWidth="1"/>
  </cols>
  <sheetData>
    <row r="1" spans="1:16" ht="36.6" customHeight="1" x14ac:dyDescent="0.3">
      <c r="A1" s="1" t="s">
        <v>94</v>
      </c>
      <c r="B1" s="2" t="s">
        <v>95</v>
      </c>
      <c r="C1" s="3" t="s">
        <v>96</v>
      </c>
      <c r="D1" s="3" t="s">
        <v>97</v>
      </c>
      <c r="E1" s="3" t="s">
        <v>98</v>
      </c>
      <c r="F1" s="2" t="s">
        <v>99</v>
      </c>
      <c r="G1" s="3" t="s">
        <v>100</v>
      </c>
      <c r="H1" s="3" t="s">
        <v>101</v>
      </c>
      <c r="I1" s="4" t="s">
        <v>95</v>
      </c>
      <c r="J1" s="5" t="s">
        <v>95</v>
      </c>
      <c r="K1" s="6" t="s">
        <v>96</v>
      </c>
      <c r="L1" s="6" t="s">
        <v>97</v>
      </c>
      <c r="M1" s="6" t="s">
        <v>98</v>
      </c>
      <c r="N1" s="5" t="s">
        <v>99</v>
      </c>
      <c r="O1" s="6" t="s">
        <v>100</v>
      </c>
      <c r="P1" s="6" t="s">
        <v>101</v>
      </c>
    </row>
    <row r="2" spans="1:16" x14ac:dyDescent="0.3">
      <c r="A2" s="8" t="s">
        <v>1</v>
      </c>
      <c r="B2" s="9">
        <v>4.0202755665487991E-2</v>
      </c>
      <c r="C2" s="9">
        <v>9.433962264150943E-3</v>
      </c>
      <c r="D2" s="9">
        <v>4.6511627906976744E-2</v>
      </c>
      <c r="E2" s="9">
        <v>3.125E-2</v>
      </c>
      <c r="F2" s="9">
        <v>0</v>
      </c>
      <c r="G2" s="9">
        <v>4.3010752688172046E-2</v>
      </c>
      <c r="H2" s="9">
        <v>8.1632653061224483E-2</v>
      </c>
      <c r="I2" s="8">
        <v>4.0202755665487991E-2</v>
      </c>
      <c r="J2" s="9">
        <v>4.0202755665487991E-2</v>
      </c>
      <c r="K2" s="9">
        <v>9.433962264150943E-3</v>
      </c>
      <c r="L2" s="9">
        <v>4.6511627906976744E-2</v>
      </c>
      <c r="M2" s="9">
        <v>3.125E-2</v>
      </c>
      <c r="N2" s="9">
        <v>0</v>
      </c>
      <c r="O2" s="9">
        <v>4.3010752688172046E-2</v>
      </c>
      <c r="P2" s="9">
        <v>8.1632653061224483E-2</v>
      </c>
    </row>
    <row r="3" spans="1:16" x14ac:dyDescent="0.3">
      <c r="A3" s="8" t="s">
        <v>3</v>
      </c>
      <c r="B3" s="9">
        <v>6.2742775523001615E-2</v>
      </c>
      <c r="C3" s="9">
        <v>3.7735849056603772E-2</v>
      </c>
      <c r="D3" s="9">
        <v>4.6511627906976744E-2</v>
      </c>
      <c r="E3" s="9">
        <v>4.6875E-2</v>
      </c>
      <c r="F3" s="9">
        <v>7.1428571428571425E-2</v>
      </c>
      <c r="G3" s="9">
        <v>0.13978494623655913</v>
      </c>
      <c r="H3" s="9">
        <v>0.18367346938775511</v>
      </c>
      <c r="I3" s="8">
        <v>0.10294553118848961</v>
      </c>
      <c r="J3" s="8">
        <f t="shared" ref="J3:P6" si="0">J2+B3</f>
        <v>0.10294553118848961</v>
      </c>
      <c r="K3" s="8">
        <f t="shared" si="0"/>
        <v>4.7169811320754713E-2</v>
      </c>
      <c r="L3" s="8">
        <f t="shared" si="0"/>
        <v>9.3023255813953487E-2</v>
      </c>
      <c r="M3" s="8">
        <f t="shared" si="0"/>
        <v>7.8125E-2</v>
      </c>
      <c r="N3" s="8">
        <f t="shared" si="0"/>
        <v>7.1428571428571425E-2</v>
      </c>
      <c r="O3" s="8">
        <f t="shared" si="0"/>
        <v>0.18279569892473119</v>
      </c>
      <c r="P3" s="8">
        <f t="shared" si="0"/>
        <v>0.26530612244897961</v>
      </c>
    </row>
    <row r="4" spans="1:16" x14ac:dyDescent="0.3">
      <c r="A4" s="8" t="s">
        <v>4</v>
      </c>
      <c r="B4" s="9">
        <v>9.1797453360971282E-2</v>
      </c>
      <c r="C4" s="9">
        <v>0.18867924528301888</v>
      </c>
      <c r="D4" s="9">
        <v>0.30232558139534882</v>
      </c>
      <c r="E4" s="9">
        <v>0.1875</v>
      </c>
      <c r="F4" s="9">
        <v>7.1428571428571425E-2</v>
      </c>
      <c r="G4" s="9">
        <v>9.6774193548387094E-2</v>
      </c>
      <c r="H4" s="9">
        <v>8.1632653061224483E-2</v>
      </c>
      <c r="I4" s="8">
        <v>0.19474298454946087</v>
      </c>
      <c r="J4" s="8">
        <f t="shared" si="0"/>
        <v>0.19474298454946087</v>
      </c>
      <c r="K4" s="8">
        <f t="shared" si="0"/>
        <v>0.23584905660377359</v>
      </c>
      <c r="L4" s="8">
        <f t="shared" si="0"/>
        <v>0.39534883720930231</v>
      </c>
      <c r="M4" s="8">
        <f t="shared" si="0"/>
        <v>0.265625</v>
      </c>
      <c r="N4" s="8">
        <f t="shared" si="0"/>
        <v>0.14285714285714285</v>
      </c>
      <c r="O4" s="8">
        <f t="shared" si="0"/>
        <v>0.27956989247311825</v>
      </c>
      <c r="P4" s="8">
        <f t="shared" si="0"/>
        <v>0.34693877551020408</v>
      </c>
    </row>
    <row r="5" spans="1:16" x14ac:dyDescent="0.3">
      <c r="A5" s="8" t="s">
        <v>2</v>
      </c>
      <c r="B5" s="9">
        <v>0.18796704349492241</v>
      </c>
      <c r="C5" s="9">
        <v>0.33962264150943394</v>
      </c>
      <c r="D5" s="9">
        <v>0.23255813953488372</v>
      </c>
      <c r="E5" s="9">
        <v>0.5</v>
      </c>
      <c r="F5" s="9">
        <v>0.32142857142857145</v>
      </c>
      <c r="G5" s="9">
        <v>0.21505376344086022</v>
      </c>
      <c r="H5" s="9">
        <v>0.14285714285714285</v>
      </c>
      <c r="I5" s="8">
        <v>0.38271002804438325</v>
      </c>
      <c r="J5" s="8">
        <f t="shared" si="0"/>
        <v>0.38271002804438325</v>
      </c>
      <c r="K5" s="8">
        <f t="shared" si="0"/>
        <v>0.57547169811320753</v>
      </c>
      <c r="L5" s="8">
        <f t="shared" si="0"/>
        <v>0.62790697674418605</v>
      </c>
      <c r="M5" s="8">
        <f t="shared" si="0"/>
        <v>0.765625</v>
      </c>
      <c r="N5" s="8">
        <f t="shared" si="0"/>
        <v>0.4642857142857143</v>
      </c>
      <c r="O5" s="8">
        <f t="shared" si="0"/>
        <v>0.4946236559139785</v>
      </c>
      <c r="P5" s="8">
        <f t="shared" si="0"/>
        <v>0.48979591836734693</v>
      </c>
    </row>
    <row r="6" spans="1:16" x14ac:dyDescent="0.3">
      <c r="A6" s="8" t="s">
        <v>0</v>
      </c>
      <c r="B6" s="9">
        <v>0.61728997195561675</v>
      </c>
      <c r="C6" s="9">
        <v>0.42452830188679247</v>
      </c>
      <c r="D6" s="9">
        <v>0.37209302325581395</v>
      </c>
      <c r="E6" s="9">
        <v>0.234375</v>
      </c>
      <c r="F6" s="9">
        <v>0.5357142857142857</v>
      </c>
      <c r="G6" s="9">
        <v>0.5053763440860215</v>
      </c>
      <c r="H6" s="9">
        <v>0.51020408163265307</v>
      </c>
      <c r="I6" s="8">
        <v>1</v>
      </c>
      <c r="J6" s="8">
        <f t="shared" si="0"/>
        <v>1</v>
      </c>
      <c r="K6" s="8">
        <f t="shared" si="0"/>
        <v>1</v>
      </c>
      <c r="L6" s="8">
        <f t="shared" si="0"/>
        <v>1</v>
      </c>
      <c r="M6" s="8">
        <f t="shared" si="0"/>
        <v>1</v>
      </c>
      <c r="N6" s="8">
        <f t="shared" si="0"/>
        <v>1</v>
      </c>
      <c r="O6" s="8">
        <f t="shared" si="0"/>
        <v>1</v>
      </c>
      <c r="P6" s="8">
        <f t="shared" si="0"/>
        <v>1</v>
      </c>
    </row>
    <row r="8" spans="1:16" ht="28.8" x14ac:dyDescent="0.3">
      <c r="B8" s="1" t="s">
        <v>94</v>
      </c>
      <c r="C8" s="3" t="s">
        <v>102</v>
      </c>
      <c r="D8" s="3" t="s">
        <v>103</v>
      </c>
      <c r="E8" s="3" t="s">
        <v>104</v>
      </c>
      <c r="F8" s="3" t="s">
        <v>105</v>
      </c>
      <c r="G8" s="3" t="s">
        <v>106</v>
      </c>
      <c r="H8" s="3" t="s">
        <v>107</v>
      </c>
      <c r="J8" s="7"/>
      <c r="K8" s="10" t="s">
        <v>108</v>
      </c>
      <c r="L8" s="10" t="s">
        <v>109</v>
      </c>
      <c r="M8" s="10" t="s">
        <v>110</v>
      </c>
      <c r="N8" s="10" t="s">
        <v>111</v>
      </c>
      <c r="O8" s="10" t="s">
        <v>112</v>
      </c>
      <c r="P8" s="10" t="s">
        <v>113</v>
      </c>
    </row>
    <row r="9" spans="1:16" x14ac:dyDescent="0.3">
      <c r="B9" s="8" t="s">
        <v>1</v>
      </c>
      <c r="C9" s="8">
        <f>C2-B2</f>
        <v>-3.076879340133705E-2</v>
      </c>
      <c r="D9" s="8">
        <f>D2-B2</f>
        <v>6.3088722414887527E-3</v>
      </c>
      <c r="E9" s="8">
        <f>E2-B2</f>
        <v>-8.9527556654879908E-3</v>
      </c>
      <c r="F9" s="8">
        <f>F2-B2</f>
        <v>-4.0202755665487991E-2</v>
      </c>
      <c r="G9" s="8">
        <f>G2-B2</f>
        <v>2.8079970226840556E-3</v>
      </c>
      <c r="H9" s="8">
        <f>H2-B2</f>
        <v>4.1429897395736492E-2</v>
      </c>
      <c r="J9" s="8" t="s">
        <v>1</v>
      </c>
      <c r="K9" s="7">
        <f>(J2-0) * ((K2+0))</f>
        <v>3.7927127986309421E-4</v>
      </c>
      <c r="L9" s="7">
        <f>(J2-0) * ((L2+0))</f>
        <v>1.8698956123482785E-3</v>
      </c>
      <c r="M9" s="7">
        <f>(J2-0) * ((M2+0))</f>
        <v>1.2563361145464997E-3</v>
      </c>
      <c r="N9" s="7">
        <f>(J2-0) * ((N2+0))</f>
        <v>0</v>
      </c>
      <c r="O9" s="7">
        <f>(J2-0) * ((O2+0))</f>
        <v>1.7291507813113115E-3</v>
      </c>
      <c r="P9" s="7">
        <f>(J2-0) * ((P2+0))</f>
        <v>3.2818576053459583E-3</v>
      </c>
    </row>
    <row r="10" spans="1:16" x14ac:dyDescent="0.3">
      <c r="B10" s="8" t="s">
        <v>3</v>
      </c>
      <c r="C10" s="8">
        <f t="shared" ref="C10:C13" si="1">C3-B3</f>
        <v>-2.5006926466397843E-2</v>
      </c>
      <c r="D10" s="8">
        <f t="shared" ref="D10:D13" si="2">D3-B3</f>
        <v>-1.6231147616024871E-2</v>
      </c>
      <c r="E10" s="8">
        <f t="shared" ref="E10:E13" si="3">E3-B3</f>
        <v>-1.5867775523001615E-2</v>
      </c>
      <c r="F10" s="8">
        <f t="shared" ref="F10:F13" si="4">F3-B3</f>
        <v>8.6857959055698097E-3</v>
      </c>
      <c r="G10" s="8">
        <f t="shared" ref="G10:G13" si="5">G3-B3</f>
        <v>7.7042170713557512E-2</v>
      </c>
      <c r="H10" s="8">
        <f t="shared" ref="H10:H13" si="6">H3-B3</f>
        <v>0.1209306938647535</v>
      </c>
      <c r="J10" s="8" t="s">
        <v>3</v>
      </c>
      <c r="K10" s="7">
        <f>(J3-J2) * ((K3+K2))</f>
        <v>3.551477859792544E-3</v>
      </c>
      <c r="L10" s="7">
        <f>(J3-J2) * ((L3+L2))</f>
        <v>8.7548058869304571E-3</v>
      </c>
      <c r="M10" s="7">
        <f>(J3-J2) * ((M3+M2))</f>
        <v>6.8624910728283016E-3</v>
      </c>
      <c r="N10" s="7">
        <f>(J3-J2) * ((N3+N2))</f>
        <v>4.4816268230715439E-3</v>
      </c>
      <c r="O10" s="7">
        <f>(J3-J2) * ((O3+O2))</f>
        <v>1.4167723505193915E-2</v>
      </c>
      <c r="P10" s="7">
        <f>(J3-J2) * ((P3+P2))</f>
        <v>2.1767901712061784E-2</v>
      </c>
    </row>
    <row r="11" spans="1:16" x14ac:dyDescent="0.3">
      <c r="B11" s="8" t="s">
        <v>4</v>
      </c>
      <c r="C11" s="8">
        <f t="shared" si="1"/>
        <v>9.68817919220476E-2</v>
      </c>
      <c r="D11" s="8">
        <f t="shared" si="2"/>
        <v>0.21052812803437754</v>
      </c>
      <c r="E11" s="8">
        <f t="shared" si="3"/>
        <v>9.5702546639028718E-2</v>
      </c>
      <c r="F11" s="8">
        <f t="shared" si="4"/>
        <v>-2.0368881932399857E-2</v>
      </c>
      <c r="G11" s="8">
        <f t="shared" si="5"/>
        <v>4.9767401874158124E-3</v>
      </c>
      <c r="H11" s="8">
        <f t="shared" si="6"/>
        <v>-1.0164800299746798E-2</v>
      </c>
      <c r="J11" s="8" t="s">
        <v>4</v>
      </c>
      <c r="K11" s="7">
        <f t="shared" ref="K11:K13" si="7">(J4-J3) * ((K4+K3))</f>
        <v>2.5980411328576772E-2</v>
      </c>
      <c r="L11" s="7">
        <f t="shared" ref="L11:L13" si="8">(J4-J3) * ((L4+L3))</f>
        <v>4.4831314432102247E-2</v>
      </c>
      <c r="M11" s="7">
        <f t="shared" ref="M11:M13" si="9">(J4-J3) * ((M4+M3))</f>
        <v>3.1555374592833876E-2</v>
      </c>
      <c r="N11" s="7">
        <f t="shared" ref="N11:N13" si="10">(J4-J3) * ((N4+N3))</f>
        <v>1.9670882863065269E-2</v>
      </c>
      <c r="O11" s="7">
        <f t="shared" ref="O11:O13" si="11">(J4-J3) * ((O4+O3))</f>
        <v>4.2443983812061985E-2</v>
      </c>
      <c r="P11" s="7">
        <f t="shared" ref="P11:P13" si="12">(J4-J3) * ((P4+P3))</f>
        <v>5.6202522465900774E-2</v>
      </c>
    </row>
    <row r="12" spans="1:16" x14ac:dyDescent="0.3">
      <c r="B12" s="8" t="s">
        <v>2</v>
      </c>
      <c r="C12" s="8">
        <f t="shared" si="1"/>
        <v>0.15165559801451153</v>
      </c>
      <c r="D12" s="8">
        <f t="shared" si="2"/>
        <v>4.4591096039961309E-2</v>
      </c>
      <c r="E12" s="8">
        <f t="shared" si="3"/>
        <v>0.31203295650507756</v>
      </c>
      <c r="F12" s="8">
        <f t="shared" si="4"/>
        <v>0.13346152793364904</v>
      </c>
      <c r="G12" s="8">
        <f t="shared" si="5"/>
        <v>2.7086719945937809E-2</v>
      </c>
      <c r="H12" s="8">
        <f t="shared" si="6"/>
        <v>-4.510990063777956E-2</v>
      </c>
      <c r="J12" s="8" t="s">
        <v>2</v>
      </c>
      <c r="K12" s="7">
        <f t="shared" si="7"/>
        <v>0.15250156359022005</v>
      </c>
      <c r="L12" s="7">
        <f t="shared" si="8"/>
        <v>0.19233837008782756</v>
      </c>
      <c r="M12" s="7">
        <f t="shared" si="9"/>
        <v>0.19384101360413872</v>
      </c>
      <c r="N12" s="7">
        <f t="shared" si="10"/>
        <v>0.11412284783620288</v>
      </c>
      <c r="O12" s="7">
        <f t="shared" si="11"/>
        <v>0.14552287238316572</v>
      </c>
      <c r="P12" s="7">
        <f t="shared" si="12"/>
        <v>0.1572785465977922</v>
      </c>
    </row>
    <row r="13" spans="1:16" x14ac:dyDescent="0.3">
      <c r="B13" s="8" t="s">
        <v>0</v>
      </c>
      <c r="C13" s="8">
        <f t="shared" si="1"/>
        <v>-0.19276167006882428</v>
      </c>
      <c r="D13" s="8">
        <f t="shared" si="2"/>
        <v>-0.2451969486998028</v>
      </c>
      <c r="E13" s="8">
        <f t="shared" si="3"/>
        <v>-0.38291497195561675</v>
      </c>
      <c r="F13" s="8">
        <f t="shared" si="4"/>
        <v>-8.1575686241331047E-2</v>
      </c>
      <c r="G13" s="8">
        <f t="shared" si="5"/>
        <v>-0.11191362786959524</v>
      </c>
      <c r="H13" s="8">
        <f t="shared" si="6"/>
        <v>-0.10708589032296367</v>
      </c>
      <c r="J13" s="8" t="s">
        <v>0</v>
      </c>
      <c r="K13" s="7">
        <f t="shared" si="7"/>
        <v>0.97252288034516976</v>
      </c>
      <c r="L13" s="7">
        <f t="shared" si="8"/>
        <v>1.0048906520207714</v>
      </c>
      <c r="M13" s="7">
        <f t="shared" si="9"/>
        <v>1.0899026067341357</v>
      </c>
      <c r="N13" s="7">
        <f t="shared" si="10"/>
        <v>0.90388888750643892</v>
      </c>
      <c r="O13" s="7">
        <f t="shared" si="11"/>
        <v>0.92261619464334121</v>
      </c>
      <c r="P13" s="7">
        <f t="shared" si="12"/>
        <v>0.91963608066857194</v>
      </c>
    </row>
    <row r="14" spans="1:16" x14ac:dyDescent="0.3">
      <c r="J14" s="10" t="s">
        <v>114</v>
      </c>
      <c r="K14" s="10">
        <f>SUM(K9:K13)</f>
        <v>1.1549356044036223</v>
      </c>
      <c r="L14" s="10">
        <f t="shared" ref="L14:P14" si="13">SUM(L9:L13)</f>
        <v>1.2526850380399801</v>
      </c>
      <c r="M14" s="10">
        <f t="shared" si="13"/>
        <v>1.3234178221184831</v>
      </c>
      <c r="N14" s="10">
        <f t="shared" si="13"/>
        <v>1.0421642450287787</v>
      </c>
      <c r="O14" s="10">
        <f t="shared" si="13"/>
        <v>1.1264799251250741</v>
      </c>
      <c r="P14" s="10">
        <f t="shared" si="13"/>
        <v>1.1581669090496727</v>
      </c>
    </row>
    <row r="15" spans="1:16" x14ac:dyDescent="0.3">
      <c r="J15" s="11" t="s">
        <v>115</v>
      </c>
      <c r="K15" s="11">
        <f>1-K14</f>
        <v>-0.15493560440362231</v>
      </c>
      <c r="L15" s="11">
        <f t="shared" ref="L15:P15" si="14">1-L14</f>
        <v>-0.2526850380399801</v>
      </c>
      <c r="M15" s="11">
        <f t="shared" si="14"/>
        <v>-0.32341782211848313</v>
      </c>
      <c r="N15" s="11">
        <f t="shared" si="14"/>
        <v>-4.2164245028778691E-2</v>
      </c>
      <c r="O15" s="11">
        <f t="shared" si="14"/>
        <v>-0.12647992512507411</v>
      </c>
      <c r="P15" s="11">
        <f t="shared" si="14"/>
        <v>-0.15816690904967268</v>
      </c>
    </row>
  </sheetData>
  <sortState xmlns:xlrd2="http://schemas.microsoft.com/office/spreadsheetml/2017/richdata2" ref="A2:P7">
    <sortCondition ref="B1:B7"/>
  </sortState>
  <pageMargins left="0.511811024" right="0.511811024" top="0.78740157499999996" bottom="0.78740157499999996" header="0.31496062000000002" footer="0.31496062000000002"/>
  <pageSetup paperSize="9"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8142A-2B16-496E-AD05-A526A805E511}">
  <dimension ref="A1:P28"/>
  <sheetViews>
    <sheetView workbookViewId="0">
      <selection activeCell="N1" activeCellId="1" sqref="I1:J12 N1:P12"/>
    </sheetView>
  </sheetViews>
  <sheetFormatPr defaultRowHeight="14.4" x14ac:dyDescent="0.3"/>
  <sheetData>
    <row r="1" spans="1:16" ht="36.6" customHeight="1" x14ac:dyDescent="0.3">
      <c r="A1" s="1" t="s">
        <v>94</v>
      </c>
      <c r="B1" s="2" t="s">
        <v>95</v>
      </c>
      <c r="C1" s="3" t="s">
        <v>96</v>
      </c>
      <c r="D1" s="3" t="s">
        <v>97</v>
      </c>
      <c r="E1" s="3" t="s">
        <v>98</v>
      </c>
      <c r="F1" s="2" t="s">
        <v>99</v>
      </c>
      <c r="G1" s="3" t="s">
        <v>100</v>
      </c>
      <c r="H1" s="3" t="s">
        <v>101</v>
      </c>
      <c r="I1" s="4" t="s">
        <v>95</v>
      </c>
      <c r="J1" s="5" t="s">
        <v>95</v>
      </c>
      <c r="K1" s="6" t="s">
        <v>96</v>
      </c>
      <c r="L1" s="6" t="s">
        <v>97</v>
      </c>
      <c r="M1" s="6" t="s">
        <v>98</v>
      </c>
      <c r="N1" s="5" t="s">
        <v>99</v>
      </c>
      <c r="O1" s="6" t="s">
        <v>100</v>
      </c>
      <c r="P1" s="6" t="s">
        <v>101</v>
      </c>
    </row>
    <row r="2" spans="1:16" x14ac:dyDescent="0.3">
      <c r="A2" s="8" t="s">
        <v>14</v>
      </c>
      <c r="B2" s="9">
        <v>1.9804049034175333E-2</v>
      </c>
      <c r="C2" s="9">
        <v>2.2408963585434174E-2</v>
      </c>
      <c r="D2" s="9">
        <v>1.4184397163120567E-2</v>
      </c>
      <c r="E2" s="9">
        <v>0</v>
      </c>
      <c r="F2" s="9">
        <v>1.9108280254777069E-2</v>
      </c>
      <c r="G2" s="9">
        <v>1.6393442622950821E-2</v>
      </c>
      <c r="H2" s="9">
        <v>3.1746031746031744E-2</v>
      </c>
      <c r="I2" s="8">
        <v>1.9804049034175333E-2</v>
      </c>
      <c r="J2" s="9">
        <v>1.9804049034175333E-2</v>
      </c>
      <c r="K2" s="9">
        <v>2.2408963585434174E-2</v>
      </c>
      <c r="L2" s="9">
        <v>1.4184397163120567E-2</v>
      </c>
      <c r="M2" s="9">
        <v>0</v>
      </c>
      <c r="N2" s="9">
        <v>1.9108280254777069E-2</v>
      </c>
      <c r="O2" s="9">
        <v>1.6393442622950821E-2</v>
      </c>
      <c r="P2" s="9">
        <v>3.1746031746031744E-2</v>
      </c>
    </row>
    <row r="3" spans="1:16" x14ac:dyDescent="0.3">
      <c r="A3" s="8" t="s">
        <v>10</v>
      </c>
      <c r="B3" s="9">
        <v>2.4780212976721148E-2</v>
      </c>
      <c r="C3" s="9">
        <v>1.680672268907563E-2</v>
      </c>
      <c r="D3" s="9">
        <v>3.5460992907801421E-2</v>
      </c>
      <c r="E3" s="9">
        <v>1.3333333333333334E-2</v>
      </c>
      <c r="F3" s="9">
        <v>2.8662420382165606E-2</v>
      </c>
      <c r="G3" s="9">
        <v>2.8688524590163935E-2</v>
      </c>
      <c r="H3" s="9">
        <v>3.1746031746031744E-2</v>
      </c>
      <c r="I3" s="8">
        <v>4.4584262010896478E-2</v>
      </c>
      <c r="J3" s="8">
        <f>J2+B3</f>
        <v>4.4584262010896478E-2</v>
      </c>
      <c r="K3" s="8">
        <f>K2+C3</f>
        <v>3.9215686274509803E-2</v>
      </c>
      <c r="L3" s="8">
        <f t="shared" ref="L3:P12" si="0">L2+D3</f>
        <v>4.9645390070921988E-2</v>
      </c>
      <c r="M3" s="8">
        <f t="shared" si="0"/>
        <v>1.3333333333333334E-2</v>
      </c>
      <c r="N3" s="8">
        <f t="shared" si="0"/>
        <v>4.7770700636942678E-2</v>
      </c>
      <c r="O3" s="8">
        <f t="shared" si="0"/>
        <v>4.5081967213114756E-2</v>
      </c>
      <c r="P3" s="8">
        <f t="shared" si="0"/>
        <v>6.3492063492063489E-2</v>
      </c>
    </row>
    <row r="4" spans="1:16" x14ac:dyDescent="0.3">
      <c r="A4" s="8" t="s">
        <v>7</v>
      </c>
      <c r="B4" s="9">
        <v>4.2285785042100052E-2</v>
      </c>
      <c r="C4" s="9">
        <v>3.081232492997199E-2</v>
      </c>
      <c r="D4" s="9">
        <v>4.2553191489361701E-2</v>
      </c>
      <c r="E4" s="9">
        <v>0.12666666666666668</v>
      </c>
      <c r="F4" s="9">
        <v>6.0509554140127389E-2</v>
      </c>
      <c r="G4" s="9">
        <v>5.737704918032787E-2</v>
      </c>
      <c r="H4" s="9">
        <v>3.968253968253968E-2</v>
      </c>
      <c r="I4" s="8">
        <v>8.687004705299653E-2</v>
      </c>
      <c r="J4" s="8">
        <f t="shared" ref="J4:K12" si="1">J3+B4</f>
        <v>8.687004705299653E-2</v>
      </c>
      <c r="K4" s="8">
        <f t="shared" si="1"/>
        <v>7.0028011204481794E-2</v>
      </c>
      <c r="L4" s="8">
        <f t="shared" si="0"/>
        <v>9.2198581560283682E-2</v>
      </c>
      <c r="M4" s="8">
        <f t="shared" si="0"/>
        <v>0.14000000000000001</v>
      </c>
      <c r="N4" s="8">
        <f t="shared" si="0"/>
        <v>0.10828025477707007</v>
      </c>
      <c r="O4" s="8">
        <f t="shared" si="0"/>
        <v>0.10245901639344263</v>
      </c>
      <c r="P4" s="8">
        <f t="shared" si="0"/>
        <v>0.10317460317460317</v>
      </c>
    </row>
    <row r="5" spans="1:16" x14ac:dyDescent="0.3">
      <c r="A5" s="8" t="s">
        <v>6</v>
      </c>
      <c r="B5" s="9">
        <v>4.3214462605250123E-2</v>
      </c>
      <c r="C5" s="9">
        <v>2.5210084033613446E-2</v>
      </c>
      <c r="D5" s="9">
        <v>7.0921985815602842E-2</v>
      </c>
      <c r="E5" s="9">
        <v>3.3333333333333333E-2</v>
      </c>
      <c r="F5" s="9">
        <v>3.8216560509554139E-2</v>
      </c>
      <c r="G5" s="9">
        <v>2.8688524590163935E-2</v>
      </c>
      <c r="H5" s="9">
        <v>4.7619047619047616E-2</v>
      </c>
      <c r="I5" s="8">
        <v>0.13008450965824664</v>
      </c>
      <c r="J5" s="8">
        <f t="shared" si="1"/>
        <v>0.13008450965824664</v>
      </c>
      <c r="K5" s="8">
        <f t="shared" si="1"/>
        <v>9.5238095238095233E-2</v>
      </c>
      <c r="L5" s="8">
        <f t="shared" si="0"/>
        <v>0.16312056737588654</v>
      </c>
      <c r="M5" s="8">
        <f t="shared" si="0"/>
        <v>0.17333333333333334</v>
      </c>
      <c r="N5" s="8">
        <f t="shared" si="0"/>
        <v>0.1464968152866242</v>
      </c>
      <c r="O5" s="8">
        <f t="shared" si="0"/>
        <v>0.13114754098360656</v>
      </c>
      <c r="P5" s="8">
        <f t="shared" si="0"/>
        <v>0.15079365079365079</v>
      </c>
    </row>
    <row r="6" spans="1:16" x14ac:dyDescent="0.3">
      <c r="A6" s="8" t="s">
        <v>13</v>
      </c>
      <c r="B6" s="9">
        <v>5.5387877662209012E-2</v>
      </c>
      <c r="C6" s="9">
        <v>6.1624649859943981E-2</v>
      </c>
      <c r="D6" s="9">
        <v>6.3829787234042548E-2</v>
      </c>
      <c r="E6" s="9">
        <v>4.6666666666666669E-2</v>
      </c>
      <c r="F6" s="9">
        <v>6.3694267515923567E-2</v>
      </c>
      <c r="G6" s="9">
        <v>9.0163934426229511E-2</v>
      </c>
      <c r="H6" s="9">
        <v>5.5555555555555552E-2</v>
      </c>
      <c r="I6" s="8">
        <v>0.18547238732045565</v>
      </c>
      <c r="J6" s="8">
        <f t="shared" si="1"/>
        <v>0.18547238732045565</v>
      </c>
      <c r="K6" s="8">
        <f t="shared" si="1"/>
        <v>0.15686274509803921</v>
      </c>
      <c r="L6" s="8">
        <f t="shared" si="0"/>
        <v>0.22695035460992907</v>
      </c>
      <c r="M6" s="8">
        <f t="shared" si="0"/>
        <v>0.22</v>
      </c>
      <c r="N6" s="8">
        <f t="shared" si="0"/>
        <v>0.21019108280254778</v>
      </c>
      <c r="O6" s="8">
        <f t="shared" si="0"/>
        <v>0.22131147540983609</v>
      </c>
      <c r="P6" s="8">
        <f t="shared" si="0"/>
        <v>0.20634920634920634</v>
      </c>
    </row>
    <row r="7" spans="1:16" x14ac:dyDescent="0.3">
      <c r="A7" s="8" t="s">
        <v>15</v>
      </c>
      <c r="B7" s="9">
        <v>5.9458580980683504E-2</v>
      </c>
      <c r="C7" s="9">
        <v>2.2408963585434174E-2</v>
      </c>
      <c r="D7" s="9">
        <v>2.1276595744680851E-2</v>
      </c>
      <c r="E7" s="9">
        <v>0.04</v>
      </c>
      <c r="F7" s="9">
        <v>5.7324840764331211E-2</v>
      </c>
      <c r="G7" s="9">
        <v>5.737704918032787E-2</v>
      </c>
      <c r="H7" s="9">
        <v>0.10317460317460317</v>
      </c>
      <c r="I7" s="8">
        <v>0.24493096830113914</v>
      </c>
      <c r="J7" s="8">
        <f t="shared" si="1"/>
        <v>0.24493096830113914</v>
      </c>
      <c r="K7" s="8">
        <f t="shared" si="1"/>
        <v>0.17927170868347339</v>
      </c>
      <c r="L7" s="8">
        <f t="shared" si="0"/>
        <v>0.24822695035460993</v>
      </c>
      <c r="M7" s="8">
        <f t="shared" si="0"/>
        <v>0.26</v>
      </c>
      <c r="N7" s="8">
        <f t="shared" si="0"/>
        <v>0.26751592356687898</v>
      </c>
      <c r="O7" s="8">
        <f t="shared" si="0"/>
        <v>0.27868852459016397</v>
      </c>
      <c r="P7" s="8">
        <f t="shared" si="0"/>
        <v>0.30952380952380953</v>
      </c>
    </row>
    <row r="8" spans="1:16" x14ac:dyDescent="0.3">
      <c r="A8" s="8" t="s">
        <v>12</v>
      </c>
      <c r="B8" s="9">
        <v>6.297981674096087E-2</v>
      </c>
      <c r="C8" s="9">
        <v>0.11764705882352941</v>
      </c>
      <c r="D8" s="9">
        <v>0.15602836879432624</v>
      </c>
      <c r="E8" s="9">
        <v>0.1</v>
      </c>
      <c r="F8" s="9">
        <v>9.2356687898089165E-2</v>
      </c>
      <c r="G8" s="9">
        <v>6.5573770491803282E-2</v>
      </c>
      <c r="H8" s="9">
        <v>5.5555555555555552E-2</v>
      </c>
      <c r="I8" s="8">
        <v>0.30791078504210001</v>
      </c>
      <c r="J8" s="8">
        <f t="shared" si="1"/>
        <v>0.30791078504210001</v>
      </c>
      <c r="K8" s="8">
        <f t="shared" si="1"/>
        <v>0.2969187675070028</v>
      </c>
      <c r="L8" s="8">
        <f t="shared" si="0"/>
        <v>0.4042553191489362</v>
      </c>
      <c r="M8" s="8">
        <f t="shared" si="0"/>
        <v>0.36</v>
      </c>
      <c r="N8" s="8">
        <f t="shared" si="0"/>
        <v>0.35987261146496813</v>
      </c>
      <c r="O8" s="8">
        <f t="shared" si="0"/>
        <v>0.34426229508196726</v>
      </c>
      <c r="P8" s="8">
        <f t="shared" si="0"/>
        <v>0.36507936507936511</v>
      </c>
    </row>
    <row r="9" spans="1:16" x14ac:dyDescent="0.3">
      <c r="A9" s="8" t="s">
        <v>11</v>
      </c>
      <c r="B9" s="9">
        <v>8.5902674591381872E-2</v>
      </c>
      <c r="C9" s="9">
        <v>0.14565826330532214</v>
      </c>
      <c r="D9" s="9">
        <v>0.1773049645390071</v>
      </c>
      <c r="E9" s="9">
        <v>0.21333333333333335</v>
      </c>
      <c r="F9" s="9">
        <v>0.11146496815286625</v>
      </c>
      <c r="G9" s="9">
        <v>0.11475409836065574</v>
      </c>
      <c r="H9" s="9">
        <v>0.1111111111111111</v>
      </c>
      <c r="I9" s="8">
        <v>0.39381345963348191</v>
      </c>
      <c r="J9" s="8">
        <f t="shared" si="1"/>
        <v>0.39381345963348191</v>
      </c>
      <c r="K9" s="8">
        <f t="shared" si="1"/>
        <v>0.44257703081232491</v>
      </c>
      <c r="L9" s="8">
        <f t="shared" si="0"/>
        <v>0.58156028368794332</v>
      </c>
      <c r="M9" s="8">
        <f t="shared" si="0"/>
        <v>0.57333333333333336</v>
      </c>
      <c r="N9" s="8">
        <f t="shared" si="0"/>
        <v>0.4713375796178344</v>
      </c>
      <c r="O9" s="8">
        <f t="shared" si="0"/>
        <v>0.45901639344262302</v>
      </c>
      <c r="P9" s="8">
        <f t="shared" si="0"/>
        <v>0.47619047619047622</v>
      </c>
    </row>
    <row r="10" spans="1:16" x14ac:dyDescent="0.3">
      <c r="A10" s="8" t="s">
        <v>8</v>
      </c>
      <c r="B10" s="9">
        <v>0.15493437345220407</v>
      </c>
      <c r="C10" s="9">
        <v>0.19887955182072828</v>
      </c>
      <c r="D10" s="9">
        <v>9.9290780141843976E-2</v>
      </c>
      <c r="E10" s="9">
        <v>0.17333333333333334</v>
      </c>
      <c r="F10" s="9">
        <v>0.12738853503184713</v>
      </c>
      <c r="G10" s="9">
        <v>0.14344262295081966</v>
      </c>
      <c r="H10" s="9">
        <v>8.7301587301587297E-2</v>
      </c>
      <c r="I10" s="8">
        <v>0.54874783308568598</v>
      </c>
      <c r="J10" s="8">
        <f t="shared" si="1"/>
        <v>0.54874783308568598</v>
      </c>
      <c r="K10" s="8">
        <f t="shared" si="1"/>
        <v>0.64145658263305316</v>
      </c>
      <c r="L10" s="8">
        <f t="shared" si="0"/>
        <v>0.68085106382978733</v>
      </c>
      <c r="M10" s="8">
        <f t="shared" si="0"/>
        <v>0.7466666666666667</v>
      </c>
      <c r="N10" s="8">
        <f t="shared" si="0"/>
        <v>0.59872611464968151</v>
      </c>
      <c r="O10" s="8">
        <f t="shared" si="0"/>
        <v>0.60245901639344268</v>
      </c>
      <c r="P10" s="8">
        <f t="shared" si="0"/>
        <v>0.56349206349206349</v>
      </c>
    </row>
    <row r="11" spans="1:16" x14ac:dyDescent="0.3">
      <c r="A11" s="8" t="s">
        <v>9</v>
      </c>
      <c r="B11" s="9">
        <v>0.1956955794947994</v>
      </c>
      <c r="C11" s="9">
        <v>0.13725490196078433</v>
      </c>
      <c r="D11" s="9">
        <v>7.8014184397163122E-2</v>
      </c>
      <c r="E11" s="9">
        <v>0.1</v>
      </c>
      <c r="F11" s="9">
        <v>0.16560509554140126</v>
      </c>
      <c r="G11" s="9">
        <v>0.14344262295081966</v>
      </c>
      <c r="H11" s="9">
        <v>0.26190476190476192</v>
      </c>
      <c r="I11" s="8">
        <v>0.74444341258048541</v>
      </c>
      <c r="J11" s="8">
        <f t="shared" si="1"/>
        <v>0.74444341258048541</v>
      </c>
      <c r="K11" s="8">
        <f t="shared" si="1"/>
        <v>0.77871148459383743</v>
      </c>
      <c r="L11" s="8">
        <f t="shared" si="0"/>
        <v>0.75886524822695045</v>
      </c>
      <c r="M11" s="8">
        <f t="shared" si="0"/>
        <v>0.84666666666666668</v>
      </c>
      <c r="N11" s="8">
        <f t="shared" si="0"/>
        <v>0.76433121019108274</v>
      </c>
      <c r="O11" s="8">
        <f t="shared" si="0"/>
        <v>0.74590163934426235</v>
      </c>
      <c r="P11" s="8">
        <f t="shared" si="0"/>
        <v>0.82539682539682535</v>
      </c>
    </row>
    <row r="12" spans="1:16" x14ac:dyDescent="0.3">
      <c r="A12" s="8" t="s">
        <v>5</v>
      </c>
      <c r="B12" s="9">
        <v>0.25555658741951459</v>
      </c>
      <c r="C12" s="9">
        <v>0.22128851540616246</v>
      </c>
      <c r="D12" s="9">
        <v>0.24113475177304963</v>
      </c>
      <c r="E12" s="9">
        <v>0.15333333333333332</v>
      </c>
      <c r="F12" s="9">
        <v>0.2356687898089172</v>
      </c>
      <c r="G12" s="9">
        <v>0.25409836065573771</v>
      </c>
      <c r="H12" s="9">
        <v>0.17460317460317459</v>
      </c>
      <c r="I12" s="8">
        <v>1</v>
      </c>
      <c r="J12" s="8">
        <f t="shared" si="1"/>
        <v>1</v>
      </c>
      <c r="K12" s="8">
        <f t="shared" si="1"/>
        <v>0.99999999999999989</v>
      </c>
      <c r="L12" s="8">
        <f t="shared" si="0"/>
        <v>1</v>
      </c>
      <c r="M12" s="8">
        <f t="shared" si="0"/>
        <v>1</v>
      </c>
      <c r="N12" s="8">
        <f t="shared" si="0"/>
        <v>1</v>
      </c>
      <c r="O12" s="8">
        <f t="shared" si="0"/>
        <v>1</v>
      </c>
      <c r="P12" s="8">
        <f t="shared" si="0"/>
        <v>1</v>
      </c>
    </row>
    <row r="15" spans="1:16" ht="28.8" x14ac:dyDescent="0.3">
      <c r="B15" s="1" t="s">
        <v>94</v>
      </c>
      <c r="C15" s="3" t="s">
        <v>102</v>
      </c>
      <c r="D15" s="3" t="s">
        <v>103</v>
      </c>
      <c r="E15" s="3" t="s">
        <v>104</v>
      </c>
      <c r="F15" s="3" t="s">
        <v>105</v>
      </c>
      <c r="G15" s="3" t="s">
        <v>106</v>
      </c>
      <c r="H15" s="3" t="s">
        <v>107</v>
      </c>
      <c r="J15" s="7"/>
      <c r="K15" s="10" t="s">
        <v>108</v>
      </c>
      <c r="L15" s="10" t="s">
        <v>109</v>
      </c>
      <c r="M15" s="10" t="s">
        <v>110</v>
      </c>
      <c r="N15" s="10" t="s">
        <v>111</v>
      </c>
      <c r="O15" s="10" t="s">
        <v>112</v>
      </c>
      <c r="P15" s="10" t="s">
        <v>113</v>
      </c>
    </row>
    <row r="16" spans="1:16" x14ac:dyDescent="0.3">
      <c r="B16" s="8" t="s">
        <v>14</v>
      </c>
      <c r="C16" s="8">
        <f>C2-B2</f>
        <v>2.6049145512588405E-3</v>
      </c>
      <c r="D16" s="8">
        <f>D2-B2</f>
        <v>-5.6196518710547663E-3</v>
      </c>
      <c r="E16" s="8">
        <f>E2-B2</f>
        <v>-1.9804049034175333E-2</v>
      </c>
      <c r="F16" s="8">
        <f>F2-B2</f>
        <v>-6.9576877939826406E-4</v>
      </c>
      <c r="G16" s="8">
        <f>G2-B2</f>
        <v>-3.4106064112245128E-3</v>
      </c>
      <c r="H16" s="8">
        <f>H2-B2</f>
        <v>1.1941982711856411E-2</v>
      </c>
      <c r="J16" s="8" t="s">
        <v>14</v>
      </c>
      <c r="K16" s="7">
        <f>(J2-0) * ((K2+0))</f>
        <v>4.4378821365098788E-4</v>
      </c>
      <c r="L16" s="7">
        <f>(J2-0) * ((L2+0))</f>
        <v>2.8090849693865718E-4</v>
      </c>
      <c r="M16" s="7">
        <f>(J2-0) * ((M2+0))</f>
        <v>0</v>
      </c>
      <c r="N16" s="7">
        <f>(J2-0) * ((N2+0))</f>
        <v>3.7842131912436939E-4</v>
      </c>
      <c r="O16" s="7">
        <f>(J2-0) * ((O2+0))</f>
        <v>3.2465654154385792E-4</v>
      </c>
      <c r="P16" s="7">
        <f>(J2-0) * ((P2+0))</f>
        <v>6.2869996933889944E-4</v>
      </c>
    </row>
    <row r="17" spans="2:16" x14ac:dyDescent="0.3">
      <c r="B17" s="8" t="s">
        <v>10</v>
      </c>
      <c r="C17" s="8">
        <f t="shared" ref="C17:C26" si="2">C3-B3</f>
        <v>-7.9734902876455183E-3</v>
      </c>
      <c r="D17" s="8">
        <f t="shared" ref="D17:D26" si="3">D3-B3</f>
        <v>1.0680779931080273E-2</v>
      </c>
      <c r="E17" s="8">
        <f t="shared" ref="E17:E26" si="4">E3-B3</f>
        <v>-1.1446879643387814E-2</v>
      </c>
      <c r="F17" s="8">
        <f t="shared" ref="F17:F26" si="5">F3-B3</f>
        <v>3.8822074054444579E-3</v>
      </c>
      <c r="G17" s="8">
        <f t="shared" ref="G17:G26" si="6">G3-B3</f>
        <v>3.9083116134427873E-3</v>
      </c>
      <c r="H17" s="8">
        <f t="shared" ref="H17:H26" si="7">H3-B3</f>
        <v>6.9658187693105965E-3</v>
      </c>
      <c r="J17" s="8" t="s">
        <v>10</v>
      </c>
      <c r="K17" s="7">
        <f>(J3-J2) * ((K3+K2))</f>
        <v>1.5270719481452807E-3</v>
      </c>
      <c r="L17" s="7">
        <f>(J3-J2) * ((L3+L2))</f>
        <v>1.581715721918371E-3</v>
      </c>
      <c r="M17" s="7">
        <f>(J3-J2) * ((M3+M2))</f>
        <v>3.304028396896153E-4</v>
      </c>
      <c r="N17" s="7">
        <f>(J3-J2) * ((N3+N2))</f>
        <v>1.6572753901628792E-3</v>
      </c>
      <c r="O17" s="7">
        <f>(J3-J2) * ((O3+O2))</f>
        <v>1.5233737485689227E-3</v>
      </c>
      <c r="P17" s="7">
        <f>(J3-J2) * ((P3+P2))</f>
        <v>2.3600202834972517E-3</v>
      </c>
    </row>
    <row r="18" spans="2:16" x14ac:dyDescent="0.3">
      <c r="B18" s="8" t="s">
        <v>7</v>
      </c>
      <c r="C18" s="8">
        <f t="shared" si="2"/>
        <v>-1.1473460112128062E-2</v>
      </c>
      <c r="D18" s="8">
        <f t="shared" si="3"/>
        <v>2.6740644726164914E-4</v>
      </c>
      <c r="E18" s="8">
        <f t="shared" si="4"/>
        <v>8.4380881624566625E-2</v>
      </c>
      <c r="F18" s="8">
        <f t="shared" si="5"/>
        <v>1.8223769098027337E-2</v>
      </c>
      <c r="G18" s="8">
        <f t="shared" si="6"/>
        <v>1.5091264138227818E-2</v>
      </c>
      <c r="H18" s="8">
        <f t="shared" si="7"/>
        <v>-2.6032453595603716E-3</v>
      </c>
      <c r="J18" s="8" t="s">
        <v>7</v>
      </c>
      <c r="K18" s="7">
        <f t="shared" ref="K18:K26" si="8">(J4-J3) * ((K4+K3))</f>
        <v>4.6194555088008458E-3</v>
      </c>
      <c r="L18" s="7">
        <f t="shared" ref="L18:L26" si="9">(J4-J3) * ((L4+L3))</f>
        <v>5.9979836939149005E-3</v>
      </c>
      <c r="M18" s="7">
        <f t="shared" ref="M18:M26" si="10">(J4-J3) * ((M4+M3))</f>
        <v>6.4838203731220085E-3</v>
      </c>
      <c r="N18" s="7">
        <f t="shared" ref="N18:N26" si="11">(J4-J3) * ((N4+N3))</f>
        <v>6.5987371562512831E-3</v>
      </c>
      <c r="O18" s="7">
        <f t="shared" ref="O18:O26" si="12">(J4-J3) * ((O4+O3))</f>
        <v>6.2388863176868932E-3</v>
      </c>
      <c r="P18" s="7">
        <f t="shared" ref="P18:P26" si="13">(J4-J3) * ((P4+P3))</f>
        <v>7.0476308403500084E-3</v>
      </c>
    </row>
    <row r="19" spans="2:16" x14ac:dyDescent="0.3">
      <c r="B19" s="8" t="s">
        <v>6</v>
      </c>
      <c r="C19" s="8">
        <f t="shared" si="2"/>
        <v>-1.8004378571636677E-2</v>
      </c>
      <c r="D19" s="8">
        <f t="shared" si="3"/>
        <v>2.7707523210352719E-2</v>
      </c>
      <c r="E19" s="8">
        <f t="shared" si="4"/>
        <v>-9.8811292719167901E-3</v>
      </c>
      <c r="F19" s="8">
        <f t="shared" si="5"/>
        <v>-4.9979020956959844E-3</v>
      </c>
      <c r="G19" s="8">
        <f t="shared" si="6"/>
        <v>-1.4525938015086188E-2</v>
      </c>
      <c r="H19" s="8">
        <f t="shared" si="7"/>
        <v>4.4045850137974935E-3</v>
      </c>
      <c r="J19" s="8" t="s">
        <v>6</v>
      </c>
      <c r="K19" s="7">
        <f t="shared" si="8"/>
        <v>7.1418859767780288E-3</v>
      </c>
      <c r="L19" s="7">
        <f t="shared" si="9"/>
        <v>1.1033479814106413E-2</v>
      </c>
      <c r="M19" s="7">
        <f t="shared" si="10"/>
        <v>1.3540531616311701E-2</v>
      </c>
      <c r="N19" s="7">
        <f t="shared" si="11"/>
        <v>1.1010054166942703E-2</v>
      </c>
      <c r="O19" s="7">
        <f t="shared" si="12"/>
        <v>1.0095181838111707E-2</v>
      </c>
      <c r="P19" s="7">
        <f t="shared" si="13"/>
        <v>1.0975101614031773E-2</v>
      </c>
    </row>
    <row r="20" spans="2:16" x14ac:dyDescent="0.3">
      <c r="B20" s="8" t="s">
        <v>13</v>
      </c>
      <c r="C20" s="8">
        <f t="shared" si="2"/>
        <v>6.2367721977349688E-3</v>
      </c>
      <c r="D20" s="8">
        <f t="shared" si="3"/>
        <v>8.4419095718335363E-3</v>
      </c>
      <c r="E20" s="8">
        <f t="shared" si="4"/>
        <v>-8.7212109955423431E-3</v>
      </c>
      <c r="F20" s="8">
        <f t="shared" si="5"/>
        <v>8.3063898537145547E-3</v>
      </c>
      <c r="G20" s="8">
        <f t="shared" si="6"/>
        <v>3.4776056764020499E-2</v>
      </c>
      <c r="H20" s="8">
        <f t="shared" si="7"/>
        <v>1.676778933465406E-4</v>
      </c>
      <c r="J20" s="8" t="s">
        <v>13</v>
      </c>
      <c r="K20" s="7">
        <f t="shared" si="8"/>
        <v>1.3963330503077902E-2</v>
      </c>
      <c r="L20" s="7">
        <f t="shared" si="9"/>
        <v>2.160520050653543E-2</v>
      </c>
      <c r="M20" s="7">
        <f t="shared" si="10"/>
        <v>2.1785898547135543E-2</v>
      </c>
      <c r="N20" s="7">
        <f t="shared" si="11"/>
        <v>1.9756185662953535E-2</v>
      </c>
      <c r="O20" s="7">
        <f t="shared" si="12"/>
        <v>1.9521956880942524E-2</v>
      </c>
      <c r="P20" s="7">
        <f t="shared" si="13"/>
        <v>1.9781384879360358E-2</v>
      </c>
    </row>
    <row r="21" spans="2:16" x14ac:dyDescent="0.3">
      <c r="B21" s="8" t="s">
        <v>15</v>
      </c>
      <c r="C21" s="8">
        <f t="shared" si="2"/>
        <v>-3.7049617395249326E-2</v>
      </c>
      <c r="D21" s="8">
        <f t="shared" si="3"/>
        <v>-3.818198523600265E-2</v>
      </c>
      <c r="E21" s="8">
        <f t="shared" si="4"/>
        <v>-1.9458580980683503E-2</v>
      </c>
      <c r="F21" s="8">
        <f t="shared" si="5"/>
        <v>-2.1337402163522923E-3</v>
      </c>
      <c r="G21" s="8">
        <f t="shared" si="6"/>
        <v>-2.0815318003556335E-3</v>
      </c>
      <c r="H21" s="8">
        <f t="shared" si="7"/>
        <v>4.3716022193919665E-2</v>
      </c>
      <c r="J21" s="8" t="s">
        <v>15</v>
      </c>
      <c r="K21" s="7">
        <f t="shared" si="8"/>
        <v>1.998607764056588E-2</v>
      </c>
      <c r="L21" s="7">
        <f t="shared" si="9"/>
        <v>2.8253368267416978E-2</v>
      </c>
      <c r="M21" s="7">
        <f t="shared" si="10"/>
        <v>2.8540118870728073E-2</v>
      </c>
      <c r="N21" s="7">
        <f t="shared" si="11"/>
        <v>2.8403780723256444E-2</v>
      </c>
      <c r="O21" s="7">
        <f t="shared" si="12"/>
        <v>2.9729290490341745E-2</v>
      </c>
      <c r="P21" s="7">
        <f t="shared" si="13"/>
        <v>3.0673077490035131E-2</v>
      </c>
    </row>
    <row r="22" spans="2:16" x14ac:dyDescent="0.3">
      <c r="B22" s="8" t="s">
        <v>12</v>
      </c>
      <c r="C22" s="8">
        <f t="shared" si="2"/>
        <v>5.466724208256854E-2</v>
      </c>
      <c r="D22" s="8">
        <f t="shared" si="3"/>
        <v>9.3048552053365374E-2</v>
      </c>
      <c r="E22" s="8">
        <f t="shared" si="4"/>
        <v>3.7020183259039136E-2</v>
      </c>
      <c r="F22" s="8">
        <f t="shared" si="5"/>
        <v>2.9376871157128295E-2</v>
      </c>
      <c r="G22" s="8">
        <f t="shared" si="6"/>
        <v>2.5939537508424121E-3</v>
      </c>
      <c r="H22" s="8">
        <f t="shared" si="7"/>
        <v>-7.4242611854053175E-3</v>
      </c>
      <c r="J22" s="8" t="s">
        <v>12</v>
      </c>
      <c r="K22" s="7">
        <f t="shared" si="8"/>
        <v>2.9990388924267079E-2</v>
      </c>
      <c r="L22" s="7">
        <f t="shared" si="9"/>
        <v>4.1093213760059581E-2</v>
      </c>
      <c r="M22" s="7">
        <f t="shared" si="10"/>
        <v>3.9047486379395736E-2</v>
      </c>
      <c r="N22" s="7">
        <f t="shared" si="11"/>
        <v>3.9512814961685641E-2</v>
      </c>
      <c r="O22" s="7">
        <f t="shared" si="12"/>
        <v>3.923332846158218E-2</v>
      </c>
      <c r="P22" s="7">
        <f t="shared" si="13"/>
        <v>4.2486384309378365E-2</v>
      </c>
    </row>
    <row r="23" spans="2:16" x14ac:dyDescent="0.3">
      <c r="B23" s="8" t="s">
        <v>11</v>
      </c>
      <c r="C23" s="8">
        <f t="shared" si="2"/>
        <v>5.9755588713940266E-2</v>
      </c>
      <c r="D23" s="8">
        <f t="shared" si="3"/>
        <v>9.1402289947625226E-2</v>
      </c>
      <c r="E23" s="8">
        <f t="shared" si="4"/>
        <v>0.12743065874195147</v>
      </c>
      <c r="F23" s="8">
        <f t="shared" si="5"/>
        <v>2.5562293561484373E-2</v>
      </c>
      <c r="G23" s="8">
        <f t="shared" si="6"/>
        <v>2.8851423769273868E-2</v>
      </c>
      <c r="H23" s="8">
        <f t="shared" si="7"/>
        <v>2.5208436519729233E-2</v>
      </c>
      <c r="J23" s="8" t="s">
        <v>11</v>
      </c>
      <c r="K23" s="7">
        <f t="shared" si="8"/>
        <v>6.3524666924719392E-2</v>
      </c>
      <c r="L23" s="7">
        <f t="shared" si="9"/>
        <v>8.4684196937603443E-2</v>
      </c>
      <c r="M23" s="7">
        <f t="shared" si="10"/>
        <v>8.0175829618623101E-2</v>
      </c>
      <c r="N23" s="7">
        <f t="shared" si="11"/>
        <v>7.1403178561626354E-2</v>
      </c>
      <c r="O23" s="7">
        <f t="shared" si="12"/>
        <v>6.9003787786519902E-2</v>
      </c>
      <c r="P23" s="7">
        <f t="shared" si="13"/>
        <v>7.2267329418146689E-2</v>
      </c>
    </row>
    <row r="24" spans="2:16" x14ac:dyDescent="0.3">
      <c r="B24" s="8" t="s">
        <v>8</v>
      </c>
      <c r="C24" s="8">
        <f t="shared" si="2"/>
        <v>4.3945178368524213E-2</v>
      </c>
      <c r="D24" s="8">
        <f t="shared" si="3"/>
        <v>-5.564359331036009E-2</v>
      </c>
      <c r="E24" s="8">
        <f t="shared" si="4"/>
        <v>1.8398959881129273E-2</v>
      </c>
      <c r="F24" s="8">
        <f t="shared" si="5"/>
        <v>-2.7545838420356933E-2</v>
      </c>
      <c r="G24" s="8">
        <f t="shared" si="6"/>
        <v>-1.1491750501384401E-2</v>
      </c>
      <c r="H24" s="8">
        <f t="shared" si="7"/>
        <v>-6.7632786150616769E-2</v>
      </c>
      <c r="J24" s="8" t="s">
        <v>8</v>
      </c>
      <c r="K24" s="7">
        <f t="shared" si="8"/>
        <v>0.16795406870028842</v>
      </c>
      <c r="L24" s="7">
        <f t="shared" si="9"/>
        <v>0.19559091116661226</v>
      </c>
      <c r="M24" s="7">
        <f t="shared" si="10"/>
        <v>0.20451337295690938</v>
      </c>
      <c r="N24" s="7">
        <f t="shared" si="11"/>
        <v>0.16578964802528842</v>
      </c>
      <c r="O24" s="7">
        <f t="shared" si="12"/>
        <v>0.16445902755787237</v>
      </c>
      <c r="P24" s="7">
        <f t="shared" si="13"/>
        <v>0.1610825628749106</v>
      </c>
    </row>
    <row r="25" spans="2:16" x14ac:dyDescent="0.3">
      <c r="B25" s="8" t="s">
        <v>9</v>
      </c>
      <c r="C25" s="8">
        <f t="shared" si="2"/>
        <v>-5.8440677534015079E-2</v>
      </c>
      <c r="D25" s="8">
        <f t="shared" si="3"/>
        <v>-0.11768139509763628</v>
      </c>
      <c r="E25" s="8">
        <f t="shared" si="4"/>
        <v>-9.5695579494799399E-2</v>
      </c>
      <c r="F25" s="8">
        <f t="shared" si="5"/>
        <v>-3.0090483953398139E-2</v>
      </c>
      <c r="G25" s="8">
        <f t="shared" si="6"/>
        <v>-5.2252956543979739E-2</v>
      </c>
      <c r="H25" s="8">
        <f t="shared" si="7"/>
        <v>6.6209182409962514E-2</v>
      </c>
      <c r="J25" s="8" t="s">
        <v>9</v>
      </c>
      <c r="K25" s="7">
        <f t="shared" si="8"/>
        <v>0.27792061289597564</v>
      </c>
      <c r="L25" s="7">
        <f t="shared" si="9"/>
        <v>0.28174611799605881</v>
      </c>
      <c r="M25" s="7">
        <f t="shared" si="10"/>
        <v>0.31180828999504706</v>
      </c>
      <c r="N25" s="7">
        <f t="shared" si="11"/>
        <v>0.26674429306934444</v>
      </c>
      <c r="O25" s="7">
        <f t="shared" si="12"/>
        <v>0.26386821989257797</v>
      </c>
      <c r="P25" s="7">
        <f t="shared" si="13"/>
        <v>0.27179941596499918</v>
      </c>
    </row>
    <row r="26" spans="2:16" x14ac:dyDescent="0.3">
      <c r="B26" s="8" t="s">
        <v>5</v>
      </c>
      <c r="C26" s="8">
        <f t="shared" si="2"/>
        <v>-3.4268072013352135E-2</v>
      </c>
      <c r="D26" s="8">
        <f t="shared" si="3"/>
        <v>-1.4421835646464959E-2</v>
      </c>
      <c r="E26" s="8">
        <f t="shared" si="4"/>
        <v>-0.10222325408618127</v>
      </c>
      <c r="F26" s="8">
        <f t="shared" si="5"/>
        <v>-1.9887797610597391E-2</v>
      </c>
      <c r="G26" s="8">
        <f t="shared" si="6"/>
        <v>-1.458226763776882E-3</v>
      </c>
      <c r="H26" s="8">
        <f t="shared" si="7"/>
        <v>-8.0953412816339998E-2</v>
      </c>
      <c r="J26" s="8" t="s">
        <v>5</v>
      </c>
      <c r="K26" s="7">
        <f t="shared" si="8"/>
        <v>0.4545614370066996</v>
      </c>
      <c r="L26" s="7">
        <f t="shared" si="9"/>
        <v>0.44948960056765691</v>
      </c>
      <c r="M26" s="7">
        <f t="shared" si="10"/>
        <v>0.47192783143470363</v>
      </c>
      <c r="N26" s="7">
        <f t="shared" si="11"/>
        <v>0.45088646315417541</v>
      </c>
      <c r="O26" s="7">
        <f t="shared" si="12"/>
        <v>0.44617666492095581</v>
      </c>
      <c r="P26" s="7">
        <f t="shared" si="13"/>
        <v>0.46649218338482823</v>
      </c>
    </row>
    <row r="27" spans="2:16" x14ac:dyDescent="0.3">
      <c r="J27" s="12" t="s">
        <v>114</v>
      </c>
      <c r="K27" s="10">
        <f>SUM(K16:K26)</f>
        <v>1.0416327842429691</v>
      </c>
      <c r="L27" s="10">
        <f t="shared" ref="L27:P27" si="14">SUM(L16:L26)</f>
        <v>1.1213566969288218</v>
      </c>
      <c r="M27" s="10">
        <f t="shared" si="14"/>
        <v>1.178153582631666</v>
      </c>
      <c r="N27" s="10">
        <f t="shared" si="14"/>
        <v>1.0621408521908116</v>
      </c>
      <c r="O27" s="10">
        <f t="shared" si="14"/>
        <v>1.0501743744367038</v>
      </c>
      <c r="P27" s="10">
        <f t="shared" si="14"/>
        <v>1.0855937910288764</v>
      </c>
    </row>
    <row r="28" spans="2:16" x14ac:dyDescent="0.3">
      <c r="J28" s="13" t="s">
        <v>115</v>
      </c>
      <c r="K28" s="11">
        <f>1-K27</f>
        <v>-4.1632784242969123E-2</v>
      </c>
      <c r="L28" s="11">
        <f t="shared" ref="L28:P28" si="15">1-L27</f>
        <v>-0.12135669692882178</v>
      </c>
      <c r="M28" s="11">
        <f t="shared" si="15"/>
        <v>-0.17815358263166603</v>
      </c>
      <c r="N28" s="11">
        <f t="shared" si="15"/>
        <v>-6.2140852190811557E-2</v>
      </c>
      <c r="O28" s="11">
        <f t="shared" si="15"/>
        <v>-5.0174374436703806E-2</v>
      </c>
      <c r="P28" s="11">
        <f t="shared" si="15"/>
        <v>-8.5593791028876431E-2</v>
      </c>
    </row>
  </sheetData>
  <sortState xmlns:xlrd2="http://schemas.microsoft.com/office/spreadsheetml/2017/richdata2" ref="A2:P13">
    <sortCondition ref="B1:B13"/>
  </sortState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3615D-9ED9-49F0-B91A-B62412E74A83}">
  <dimension ref="A1:P29"/>
  <sheetViews>
    <sheetView topLeftCell="E1" workbookViewId="0">
      <selection activeCell="E1" sqref="A1:XFD1048576"/>
    </sheetView>
  </sheetViews>
  <sheetFormatPr defaultRowHeight="14.4" x14ac:dyDescent="0.3"/>
  <sheetData>
    <row r="1" spans="1:16" ht="36.6" customHeight="1" x14ac:dyDescent="0.3">
      <c r="A1" s="1" t="s">
        <v>94</v>
      </c>
      <c r="B1" s="2" t="s">
        <v>95</v>
      </c>
      <c r="C1" s="3" t="s">
        <v>96</v>
      </c>
      <c r="D1" s="3" t="s">
        <v>97</v>
      </c>
      <c r="E1" s="3" t="s">
        <v>98</v>
      </c>
      <c r="F1" s="2" t="s">
        <v>99</v>
      </c>
      <c r="G1" s="3" t="s">
        <v>100</v>
      </c>
      <c r="H1" s="3" t="s">
        <v>101</v>
      </c>
      <c r="I1" s="4" t="s">
        <v>95</v>
      </c>
      <c r="J1" s="5" t="s">
        <v>95</v>
      </c>
      <c r="K1" s="6" t="s">
        <v>96</v>
      </c>
      <c r="L1" s="6" t="s">
        <v>97</v>
      </c>
      <c r="M1" s="6" t="s">
        <v>98</v>
      </c>
      <c r="N1" s="5" t="s">
        <v>99</v>
      </c>
      <c r="O1" s="6" t="s">
        <v>100</v>
      </c>
      <c r="P1" s="6" t="s">
        <v>101</v>
      </c>
    </row>
    <row r="2" spans="1:16" x14ac:dyDescent="0.3">
      <c r="A2" s="8" t="s">
        <v>27</v>
      </c>
      <c r="B2" s="9">
        <v>4.1551531984850574E-3</v>
      </c>
      <c r="C2" s="9">
        <v>5.1207022677395757E-3</v>
      </c>
      <c r="D2" s="9">
        <v>1.6129032258064516E-3</v>
      </c>
      <c r="E2" s="9">
        <v>1.2610340479192938E-3</v>
      </c>
      <c r="F2" s="9">
        <v>5.2390307793058286E-3</v>
      </c>
      <c r="G2" s="9">
        <v>8.9605734767025085E-3</v>
      </c>
      <c r="H2" s="9">
        <v>5.859375E-3</v>
      </c>
      <c r="I2" s="8">
        <v>4.1551531984850574E-3</v>
      </c>
      <c r="J2" s="9">
        <v>4.1551531984850574E-3</v>
      </c>
      <c r="K2" s="9">
        <v>5.1207022677395757E-3</v>
      </c>
      <c r="L2" s="9">
        <v>1.6129032258064516E-3</v>
      </c>
      <c r="M2" s="9">
        <v>1.2610340479192938E-3</v>
      </c>
      <c r="N2" s="9">
        <v>5.2390307793058286E-3</v>
      </c>
      <c r="O2" s="9">
        <v>8.9605734767025085E-3</v>
      </c>
      <c r="P2" s="9">
        <v>5.859375E-3</v>
      </c>
    </row>
    <row r="3" spans="1:16" x14ac:dyDescent="0.3">
      <c r="A3" s="8" t="s">
        <v>19</v>
      </c>
      <c r="B3" s="9">
        <v>4.2122251233784047E-3</v>
      </c>
      <c r="C3" s="9">
        <v>6.5837600585223113E-3</v>
      </c>
      <c r="D3" s="9">
        <v>1.6129032258064516E-3</v>
      </c>
      <c r="E3" s="9">
        <v>6.3051702395964691E-3</v>
      </c>
      <c r="F3" s="9">
        <v>6.5487884741322853E-3</v>
      </c>
      <c r="G3" s="9">
        <v>4.4802867383512543E-3</v>
      </c>
      <c r="H3" s="9">
        <v>5.859375E-3</v>
      </c>
      <c r="I3" s="8">
        <v>8.3673783218634612E-3</v>
      </c>
      <c r="J3" s="8">
        <f t="shared" ref="J3:P13" si="0">J2+B3</f>
        <v>8.3673783218634612E-3</v>
      </c>
      <c r="K3" s="8">
        <f t="shared" si="0"/>
        <v>1.1704462326261888E-2</v>
      </c>
      <c r="L3" s="14">
        <f t="shared" si="0"/>
        <v>3.2258064516129032E-3</v>
      </c>
      <c r="M3" s="8">
        <f t="shared" si="0"/>
        <v>7.5662042875157629E-3</v>
      </c>
      <c r="N3" s="8">
        <f t="shared" si="0"/>
        <v>1.1787819253438114E-2</v>
      </c>
      <c r="O3" s="8">
        <f t="shared" si="0"/>
        <v>1.3440860215053762E-2</v>
      </c>
      <c r="P3" s="8">
        <f t="shared" si="0"/>
        <v>1.171875E-2</v>
      </c>
    </row>
    <row r="4" spans="1:16" x14ac:dyDescent="0.3">
      <c r="A4" s="8" t="s">
        <v>24</v>
      </c>
      <c r="B4" s="9">
        <v>4.3105156606947238E-3</v>
      </c>
      <c r="C4" s="9">
        <v>4.3891733723482075E-3</v>
      </c>
      <c r="D4" s="9">
        <v>3.2258064516129032E-3</v>
      </c>
      <c r="E4" s="9">
        <v>1.2610340479192938E-3</v>
      </c>
      <c r="F4" s="9">
        <v>5.893909626719057E-3</v>
      </c>
      <c r="G4" s="9">
        <v>6.2724014336917565E-3</v>
      </c>
      <c r="H4" s="9">
        <v>1.953125E-3</v>
      </c>
      <c r="I4" s="8">
        <v>1.2677893982558185E-2</v>
      </c>
      <c r="J4" s="8">
        <f t="shared" si="0"/>
        <v>1.2677893982558185E-2</v>
      </c>
      <c r="K4" s="8">
        <f t="shared" si="0"/>
        <v>1.6093635698610095E-2</v>
      </c>
      <c r="L4" s="14">
        <f t="shared" si="0"/>
        <v>6.4516129032258064E-3</v>
      </c>
      <c r="M4" s="8">
        <f t="shared" si="0"/>
        <v>8.8272383354350559E-3</v>
      </c>
      <c r="N4" s="8">
        <f t="shared" si="0"/>
        <v>1.768172888015717E-2</v>
      </c>
      <c r="O4" s="8">
        <f t="shared" si="0"/>
        <v>1.9713261648745518E-2</v>
      </c>
      <c r="P4" s="8">
        <f t="shared" si="0"/>
        <v>1.3671875E-2</v>
      </c>
    </row>
    <row r="5" spans="1:16" x14ac:dyDescent="0.3">
      <c r="A5" s="8" t="s">
        <v>20</v>
      </c>
      <c r="B5" s="9">
        <v>4.9066002095807908E-3</v>
      </c>
      <c r="C5" s="9">
        <v>8.0468178493050477E-3</v>
      </c>
      <c r="D5" s="9">
        <v>4.8387096774193551E-3</v>
      </c>
      <c r="E5" s="9">
        <v>6.3051702395964691E-3</v>
      </c>
      <c r="F5" s="9">
        <v>5.893909626719057E-3</v>
      </c>
      <c r="G5" s="9">
        <v>9.8566308243727592E-3</v>
      </c>
      <c r="H5" s="9">
        <v>5.859375E-3</v>
      </c>
      <c r="I5" s="8">
        <v>1.7584494192138977E-2</v>
      </c>
      <c r="J5" s="8">
        <f t="shared" si="0"/>
        <v>1.7584494192138977E-2</v>
      </c>
      <c r="K5" s="8">
        <f t="shared" si="0"/>
        <v>2.4140453547915143E-2</v>
      </c>
      <c r="L5" s="14">
        <f t="shared" si="0"/>
        <v>1.1290322580645162E-2</v>
      </c>
      <c r="M5" s="8">
        <f t="shared" si="0"/>
        <v>1.5132408575031526E-2</v>
      </c>
      <c r="N5" s="8">
        <f t="shared" si="0"/>
        <v>2.3575638506876228E-2</v>
      </c>
      <c r="O5" s="8">
        <f t="shared" si="0"/>
        <v>2.9569892473118278E-2</v>
      </c>
      <c r="P5" s="8">
        <f t="shared" si="0"/>
        <v>1.953125E-2</v>
      </c>
    </row>
    <row r="6" spans="1:16" x14ac:dyDescent="0.3">
      <c r="A6" s="8" t="s">
        <v>18</v>
      </c>
      <c r="B6" s="9">
        <v>5.0984252904723174E-3</v>
      </c>
      <c r="C6" s="9">
        <v>5.1207022677395757E-3</v>
      </c>
      <c r="D6" s="9">
        <v>4.8387096774193551E-3</v>
      </c>
      <c r="E6" s="9">
        <v>8.8272383354350576E-3</v>
      </c>
      <c r="F6" s="9">
        <v>5.2390307793058286E-3</v>
      </c>
      <c r="G6" s="9">
        <v>3.046594982078853E-2</v>
      </c>
      <c r="H6" s="9">
        <v>1.953125E-3</v>
      </c>
      <c r="I6" s="8">
        <v>2.2682919482611294E-2</v>
      </c>
      <c r="J6" s="8">
        <f t="shared" si="0"/>
        <v>2.2682919482611294E-2</v>
      </c>
      <c r="K6" s="8">
        <f t="shared" si="0"/>
        <v>2.9261155815654718E-2</v>
      </c>
      <c r="L6" s="14">
        <f t="shared" si="0"/>
        <v>1.6129032258064516E-2</v>
      </c>
      <c r="M6" s="8">
        <f t="shared" si="0"/>
        <v>2.3959646910466585E-2</v>
      </c>
      <c r="N6" s="8">
        <f t="shared" si="0"/>
        <v>2.8814669286182058E-2</v>
      </c>
      <c r="O6" s="8">
        <f t="shared" si="0"/>
        <v>6.0035842293906808E-2</v>
      </c>
      <c r="P6" s="8">
        <f t="shared" si="0"/>
        <v>2.1484375E-2</v>
      </c>
    </row>
    <row r="7" spans="1:16" x14ac:dyDescent="0.3">
      <c r="A7" s="8" t="s">
        <v>17</v>
      </c>
      <c r="B7" s="9">
        <v>5.425003527362025E-3</v>
      </c>
      <c r="C7" s="9">
        <v>5.1207022677395757E-3</v>
      </c>
      <c r="D7" s="9">
        <v>4.8387096774193551E-3</v>
      </c>
      <c r="E7" s="9">
        <v>2.5220680958385876E-3</v>
      </c>
      <c r="F7" s="9">
        <v>8.5134250163719713E-3</v>
      </c>
      <c r="G7" s="9">
        <v>1.1648745519713262E-2</v>
      </c>
      <c r="H7" s="9">
        <v>1.3671875E-2</v>
      </c>
      <c r="I7" s="8">
        <v>2.8107923009973321E-2</v>
      </c>
      <c r="J7" s="8">
        <f t="shared" si="0"/>
        <v>2.8107923009973321E-2</v>
      </c>
      <c r="K7" s="8">
        <f t="shared" si="0"/>
        <v>3.4381858083394293E-2</v>
      </c>
      <c r="L7" s="14">
        <f t="shared" si="0"/>
        <v>2.0967741935483869E-2</v>
      </c>
      <c r="M7" s="8">
        <f t="shared" si="0"/>
        <v>2.6481715006305175E-2</v>
      </c>
      <c r="N7" s="8">
        <f t="shared" si="0"/>
        <v>3.732809430255403E-2</v>
      </c>
      <c r="O7" s="8">
        <f t="shared" si="0"/>
        <v>7.1684587813620068E-2</v>
      </c>
      <c r="P7" s="8">
        <f t="shared" si="0"/>
        <v>3.515625E-2</v>
      </c>
    </row>
    <row r="8" spans="1:16" x14ac:dyDescent="0.3">
      <c r="A8" s="8" t="s">
        <v>21</v>
      </c>
      <c r="B8" s="9">
        <v>6.2335224633511049E-3</v>
      </c>
      <c r="C8" s="9">
        <v>1.0241404535479151E-2</v>
      </c>
      <c r="D8" s="9">
        <v>1.2903225806451613E-2</v>
      </c>
      <c r="E8" s="9">
        <v>6.3051702395964691E-3</v>
      </c>
      <c r="F8" s="9">
        <v>8.5134250163719713E-3</v>
      </c>
      <c r="G8" s="9">
        <v>2.2401433691756272E-2</v>
      </c>
      <c r="H8" s="9">
        <v>2.34375E-2</v>
      </c>
      <c r="I8" s="8">
        <v>3.4341445473324426E-2</v>
      </c>
      <c r="J8" s="8">
        <f t="shared" si="0"/>
        <v>3.4341445473324426E-2</v>
      </c>
      <c r="K8" s="8">
        <f t="shared" si="0"/>
        <v>4.4623262618873442E-2</v>
      </c>
      <c r="L8" s="14">
        <f t="shared" si="0"/>
        <v>3.387096774193548E-2</v>
      </c>
      <c r="M8" s="8">
        <f t="shared" si="0"/>
        <v>3.2786885245901641E-2</v>
      </c>
      <c r="N8" s="8">
        <f t="shared" si="0"/>
        <v>4.5841519318926001E-2</v>
      </c>
      <c r="O8" s="8">
        <f t="shared" si="0"/>
        <v>9.4086021505376344E-2</v>
      </c>
      <c r="P8" s="8">
        <f t="shared" si="0"/>
        <v>5.859375E-2</v>
      </c>
    </row>
    <row r="9" spans="1:16" x14ac:dyDescent="0.3">
      <c r="A9" s="8" t="s">
        <v>26</v>
      </c>
      <c r="B9" s="9">
        <v>6.3175450194440878E-3</v>
      </c>
      <c r="C9" s="9">
        <v>5.1207022677395757E-3</v>
      </c>
      <c r="D9" s="9">
        <v>4.8387096774193551E-3</v>
      </c>
      <c r="E9" s="9">
        <v>1.2610340479192938E-3</v>
      </c>
      <c r="F9" s="9">
        <v>5.893909626719057E-3</v>
      </c>
      <c r="G9" s="9">
        <v>8.9605734767025085E-3</v>
      </c>
      <c r="H9" s="9">
        <v>5.859375E-3</v>
      </c>
      <c r="I9" s="8">
        <v>4.0658990492768513E-2</v>
      </c>
      <c r="J9" s="8">
        <f t="shared" si="0"/>
        <v>4.0658990492768513E-2</v>
      </c>
      <c r="K9" s="8">
        <f t="shared" si="0"/>
        <v>4.9743964886613021E-2</v>
      </c>
      <c r="L9" s="14">
        <f t="shared" si="0"/>
        <v>3.8709677419354833E-2</v>
      </c>
      <c r="M9" s="8">
        <f t="shared" si="0"/>
        <v>3.4047919293820936E-2</v>
      </c>
      <c r="N9" s="8">
        <f t="shared" si="0"/>
        <v>5.1735428945645055E-2</v>
      </c>
      <c r="O9" s="8">
        <f t="shared" si="0"/>
        <v>0.10304659498207885</v>
      </c>
      <c r="P9" s="8">
        <f t="shared" si="0"/>
        <v>6.4453125E-2</v>
      </c>
    </row>
    <row r="10" spans="1:16" x14ac:dyDescent="0.3">
      <c r="A10" s="8" t="s">
        <v>22</v>
      </c>
      <c r="B10" s="9">
        <v>6.3635196256081727E-3</v>
      </c>
      <c r="C10" s="9">
        <v>1.1704462326261888E-2</v>
      </c>
      <c r="D10" s="9">
        <v>9.6774193548387101E-3</v>
      </c>
      <c r="E10" s="9">
        <v>3.7831021437578815E-3</v>
      </c>
      <c r="F10" s="9">
        <v>1.9646365422396855E-3</v>
      </c>
      <c r="G10" s="9">
        <v>8.0645161290322578E-3</v>
      </c>
      <c r="H10" s="9">
        <v>7.8125E-3</v>
      </c>
      <c r="I10" s="8">
        <v>4.7022510118376687E-2</v>
      </c>
      <c r="J10" s="8">
        <f t="shared" si="0"/>
        <v>4.7022510118376687E-2</v>
      </c>
      <c r="K10" s="8">
        <f t="shared" si="0"/>
        <v>6.1448427212874912E-2</v>
      </c>
      <c r="L10" s="14">
        <f t="shared" si="0"/>
        <v>4.8387096774193547E-2</v>
      </c>
      <c r="M10" s="8">
        <f t="shared" si="0"/>
        <v>3.783102143757882E-2</v>
      </c>
      <c r="N10" s="8">
        <f t="shared" si="0"/>
        <v>5.3700065487884738E-2</v>
      </c>
      <c r="O10" s="8">
        <f t="shared" si="0"/>
        <v>0.1111111111111111</v>
      </c>
      <c r="P10" s="8">
        <f t="shared" si="0"/>
        <v>7.2265625E-2</v>
      </c>
    </row>
    <row r="11" spans="1:16" x14ac:dyDescent="0.3">
      <c r="A11" s="8" t="s">
        <v>25</v>
      </c>
      <c r="B11" s="9">
        <v>1.4210909298443363E-2</v>
      </c>
      <c r="C11" s="9">
        <v>2.121433796634967E-2</v>
      </c>
      <c r="D11" s="9">
        <v>1.2903225806451613E-2</v>
      </c>
      <c r="E11" s="9">
        <v>1.6393442622950821E-2</v>
      </c>
      <c r="F11" s="9">
        <v>3.0124426981008513E-2</v>
      </c>
      <c r="G11" s="9">
        <v>3.2258064516129031E-2</v>
      </c>
      <c r="H11" s="9">
        <v>4.1015625E-2</v>
      </c>
      <c r="I11" s="8">
        <v>6.1233419416820048E-2</v>
      </c>
      <c r="J11" s="8">
        <f t="shared" si="0"/>
        <v>6.1233419416820048E-2</v>
      </c>
      <c r="K11" s="8">
        <f t="shared" si="0"/>
        <v>8.2662765179224579E-2</v>
      </c>
      <c r="L11" s="14">
        <f t="shared" si="0"/>
        <v>6.1290322580645158E-2</v>
      </c>
      <c r="M11" s="8">
        <f t="shared" si="0"/>
        <v>5.4224464060529637E-2</v>
      </c>
      <c r="N11" s="8">
        <f t="shared" si="0"/>
        <v>8.3824492468893258E-2</v>
      </c>
      <c r="O11" s="8">
        <f t="shared" si="0"/>
        <v>0.14336917562724014</v>
      </c>
      <c r="P11" s="8">
        <f t="shared" si="0"/>
        <v>0.11328125</v>
      </c>
    </row>
    <row r="12" spans="1:16" x14ac:dyDescent="0.3">
      <c r="A12" s="8" t="s">
        <v>23</v>
      </c>
      <c r="B12" s="9">
        <v>2.3187054819169193E-2</v>
      </c>
      <c r="C12" s="9">
        <v>2.7066569129480616E-2</v>
      </c>
      <c r="D12" s="9">
        <v>5.1612903225806452E-2</v>
      </c>
      <c r="E12" s="9">
        <v>3.4047919293820936E-2</v>
      </c>
      <c r="F12" s="9">
        <v>2.2265880812049769E-2</v>
      </c>
      <c r="G12" s="9">
        <v>2.4193548387096774E-2</v>
      </c>
      <c r="H12" s="9">
        <v>3.125E-2</v>
      </c>
      <c r="I12" s="8">
        <v>8.4420474235989237E-2</v>
      </c>
      <c r="J12" s="8">
        <f t="shared" si="0"/>
        <v>8.4420474235989237E-2</v>
      </c>
      <c r="K12" s="8">
        <f t="shared" si="0"/>
        <v>0.1097293343087052</v>
      </c>
      <c r="L12" s="14">
        <f t="shared" si="0"/>
        <v>0.11290322580645161</v>
      </c>
      <c r="M12" s="8">
        <f t="shared" si="0"/>
        <v>8.8272383354350573E-2</v>
      </c>
      <c r="N12" s="8">
        <f t="shared" si="0"/>
        <v>0.10609037328094303</v>
      </c>
      <c r="O12" s="8">
        <f t="shared" si="0"/>
        <v>0.16756272401433692</v>
      </c>
      <c r="P12" s="8">
        <f t="shared" si="0"/>
        <v>0.14453125</v>
      </c>
    </row>
    <row r="13" spans="1:16" x14ac:dyDescent="0.3">
      <c r="A13" s="8" t="s">
        <v>16</v>
      </c>
      <c r="B13" s="9">
        <v>0.9155795257640108</v>
      </c>
      <c r="C13" s="9">
        <v>0.89027066569129476</v>
      </c>
      <c r="D13" s="9">
        <v>0.88709677419354838</v>
      </c>
      <c r="E13" s="9">
        <v>0.91172761664564939</v>
      </c>
      <c r="F13" s="9">
        <v>0.89390962671905694</v>
      </c>
      <c r="G13" s="9">
        <v>0.83243727598566308</v>
      </c>
      <c r="H13" s="9">
        <v>0.85546875</v>
      </c>
      <c r="I13" s="8">
        <v>1</v>
      </c>
      <c r="J13" s="8">
        <f t="shared" si="0"/>
        <v>1</v>
      </c>
      <c r="K13" s="8">
        <f t="shared" si="0"/>
        <v>1</v>
      </c>
      <c r="L13" s="14">
        <f t="shared" si="0"/>
        <v>1</v>
      </c>
      <c r="M13" s="8">
        <f t="shared" si="0"/>
        <v>1</v>
      </c>
      <c r="N13" s="8">
        <f t="shared" si="0"/>
        <v>1</v>
      </c>
      <c r="O13" s="8">
        <f t="shared" si="0"/>
        <v>1</v>
      </c>
      <c r="P13" s="8">
        <f t="shared" si="0"/>
        <v>1</v>
      </c>
    </row>
    <row r="15" spans="1:16" ht="28.8" x14ac:dyDescent="0.3">
      <c r="B15" s="1" t="s">
        <v>94</v>
      </c>
      <c r="C15" s="3" t="s">
        <v>102</v>
      </c>
      <c r="D15" s="3" t="s">
        <v>103</v>
      </c>
      <c r="E15" s="3" t="s">
        <v>104</v>
      </c>
      <c r="F15" s="3" t="s">
        <v>105</v>
      </c>
      <c r="G15" s="3" t="s">
        <v>106</v>
      </c>
      <c r="H15" s="3" t="s">
        <v>107</v>
      </c>
      <c r="J15" s="7"/>
      <c r="K15" s="10" t="s">
        <v>108</v>
      </c>
      <c r="L15" s="10" t="s">
        <v>109</v>
      </c>
      <c r="M15" s="10" t="s">
        <v>110</v>
      </c>
      <c r="N15" s="10" t="s">
        <v>111</v>
      </c>
      <c r="O15" s="10" t="s">
        <v>112</v>
      </c>
      <c r="P15" s="10" t="s">
        <v>113</v>
      </c>
    </row>
    <row r="16" spans="1:16" x14ac:dyDescent="0.3">
      <c r="B16" s="8" t="s">
        <v>27</v>
      </c>
      <c r="C16" s="8">
        <f>C2-B2</f>
        <v>9.6554906925451836E-4</v>
      </c>
      <c r="D16" s="8">
        <f>D2-B2</f>
        <v>-2.542249972678606E-3</v>
      </c>
      <c r="E16" s="8">
        <f>E2-B2</f>
        <v>-2.8941191505657635E-3</v>
      </c>
      <c r="F16" s="8">
        <f>F2-B2</f>
        <v>1.0838775808207713E-3</v>
      </c>
      <c r="G16" s="8">
        <f>G2-B2</f>
        <v>4.8054202782174512E-3</v>
      </c>
      <c r="H16" s="8">
        <f>H2-B2</f>
        <v>1.7042218015149426E-3</v>
      </c>
      <c r="J16" s="8" t="s">
        <v>27</v>
      </c>
      <c r="K16" s="7">
        <f>($J2-0) * ((K2+0))</f>
        <v>2.1277302406287785E-5</v>
      </c>
      <c r="L16" s="7">
        <f t="shared" ref="L16:P16" si="1">($J2-0) * ((L2+0))</f>
        <v>6.7018599975565445E-6</v>
      </c>
      <c r="M16" s="7">
        <f t="shared" si="1"/>
        <v>5.2397896576104129E-6</v>
      </c>
      <c r="N16" s="7">
        <f t="shared" si="1"/>
        <v>2.1768975499594275E-5</v>
      </c>
      <c r="O16" s="7">
        <f t="shared" si="1"/>
        <v>3.7232555541980798E-5</v>
      </c>
      <c r="P16" s="7">
        <f t="shared" si="1"/>
        <v>2.4346600772373385E-5</v>
      </c>
    </row>
    <row r="17" spans="2:16" x14ac:dyDescent="0.3">
      <c r="B17" s="8" t="s">
        <v>19</v>
      </c>
      <c r="C17" s="8">
        <f t="shared" ref="C17:C27" si="2">C3-B3</f>
        <v>2.3715349351439066E-3</v>
      </c>
      <c r="D17" s="8">
        <f t="shared" ref="D17:D27" si="3">D3-B3</f>
        <v>-2.5993218975719533E-3</v>
      </c>
      <c r="E17" s="8">
        <f t="shared" ref="E17:E27" si="4">E3-B3</f>
        <v>2.0929451162180644E-3</v>
      </c>
      <c r="F17" s="8">
        <f t="shared" ref="F17:F27" si="5">F3-B3</f>
        <v>2.3365633507538806E-3</v>
      </c>
      <c r="G17" s="8">
        <f t="shared" ref="G17:G27" si="6">G3-B3</f>
        <v>2.6806161497284955E-4</v>
      </c>
      <c r="H17" s="8">
        <f t="shared" ref="H17:H27" si="7">H3-B3</f>
        <v>1.6471498766215953E-3</v>
      </c>
      <c r="J17" s="8" t="s">
        <v>19</v>
      </c>
      <c r="K17" s="7">
        <f>($J3-$J2) * ((K3+K2))</f>
        <v>7.0871381007829758E-5</v>
      </c>
      <c r="L17" s="7">
        <f t="shared" ref="L17:P17" si="8">($J3-$J2) * ((L3+L2))</f>
        <v>2.0381734467960019E-5</v>
      </c>
      <c r="M17" s="7">
        <f t="shared" si="8"/>
        <v>3.7182315086568501E-5</v>
      </c>
      <c r="N17" s="7">
        <f t="shared" si="8"/>
        <v>7.172092547992044E-5</v>
      </c>
      <c r="O17" s="7">
        <f t="shared" si="8"/>
        <v>9.4359881796111182E-5</v>
      </c>
      <c r="P17" s="7">
        <f t="shared" si="8"/>
        <v>7.4043019746886007E-5</v>
      </c>
    </row>
    <row r="18" spans="2:16" x14ac:dyDescent="0.3">
      <c r="B18" s="8" t="s">
        <v>24</v>
      </c>
      <c r="C18" s="8">
        <f t="shared" si="2"/>
        <v>7.8657711653483744E-5</v>
      </c>
      <c r="D18" s="8">
        <f t="shared" si="3"/>
        <v>-1.0847092090818205E-3</v>
      </c>
      <c r="E18" s="8">
        <f t="shared" si="4"/>
        <v>-3.0494816127754299E-3</v>
      </c>
      <c r="F18" s="8">
        <f t="shared" si="5"/>
        <v>1.5833939660243332E-3</v>
      </c>
      <c r="G18" s="8">
        <f t="shared" si="6"/>
        <v>1.9618857729970327E-3</v>
      </c>
      <c r="H18" s="8">
        <f t="shared" si="7"/>
        <v>-2.3573906606947238E-3</v>
      </c>
      <c r="J18" s="8" t="s">
        <v>24</v>
      </c>
      <c r="K18" s="7">
        <f t="shared" ref="K18:P27" si="9">($J4-$J3) * ((K4+K3))</f>
        <v>1.1982413687373775E-4</v>
      </c>
      <c r="L18" s="7">
        <f t="shared" si="9"/>
        <v>4.1714667684142493E-5</v>
      </c>
      <c r="M18" s="7">
        <f t="shared" si="9"/>
        <v>7.0664191158929885E-5</v>
      </c>
      <c r="N18" s="7">
        <f t="shared" si="9"/>
        <v>1.2702894874345945E-4</v>
      </c>
      <c r="O18" s="7">
        <f t="shared" si="9"/>
        <v>1.4291136151048812E-4</v>
      </c>
      <c r="P18" s="7">
        <f t="shared" si="9"/>
        <v>1.0944668669732697E-4</v>
      </c>
    </row>
    <row r="19" spans="2:16" x14ac:dyDescent="0.3">
      <c r="B19" s="8" t="s">
        <v>20</v>
      </c>
      <c r="C19" s="8">
        <f t="shared" si="2"/>
        <v>3.1402176397242569E-3</v>
      </c>
      <c r="D19" s="8">
        <f t="shared" si="3"/>
        <v>-6.7890532161435715E-5</v>
      </c>
      <c r="E19" s="8">
        <f t="shared" si="4"/>
        <v>1.3985700300156783E-3</v>
      </c>
      <c r="F19" s="8">
        <f t="shared" si="5"/>
        <v>9.8730941713826622E-4</v>
      </c>
      <c r="G19" s="8">
        <f t="shared" si="6"/>
        <v>4.9500306147919684E-3</v>
      </c>
      <c r="H19" s="8">
        <f t="shared" si="7"/>
        <v>9.5277479041920923E-4</v>
      </c>
      <c r="J19" s="8" t="s">
        <v>20</v>
      </c>
      <c r="K19" s="7">
        <f t="shared" si="9"/>
        <v>1.9741259072929304E-4</v>
      </c>
      <c r="L19" s="7">
        <f t="shared" si="9"/>
        <v>8.7052584363530187E-5</v>
      </c>
      <c r="M19" s="7">
        <f t="shared" si="9"/>
        <v>1.1756040855237712E-4</v>
      </c>
      <c r="N19" s="7">
        <f t="shared" si="9"/>
        <v>2.0243340746796981E-4</v>
      </c>
      <c r="O19" s="7">
        <f t="shared" si="9"/>
        <v>2.4181273434313938E-4</v>
      </c>
      <c r="P19" s="7">
        <f t="shared" si="9"/>
        <v>1.6291446008373725E-4</v>
      </c>
    </row>
    <row r="20" spans="2:16" x14ac:dyDescent="0.3">
      <c r="B20" s="8" t="s">
        <v>18</v>
      </c>
      <c r="C20" s="8">
        <f t="shared" si="2"/>
        <v>2.227697726725833E-5</v>
      </c>
      <c r="D20" s="8">
        <f t="shared" si="3"/>
        <v>-2.5971561305296233E-4</v>
      </c>
      <c r="E20" s="8">
        <f t="shared" si="4"/>
        <v>3.7288130449627402E-3</v>
      </c>
      <c r="F20" s="8">
        <f t="shared" si="5"/>
        <v>1.4060548883351124E-4</v>
      </c>
      <c r="G20" s="8">
        <f t="shared" si="6"/>
        <v>2.5367524530316213E-2</v>
      </c>
      <c r="H20" s="8">
        <f t="shared" si="7"/>
        <v>-3.1453002904723174E-3</v>
      </c>
      <c r="J20" s="8" t="s">
        <v>18</v>
      </c>
      <c r="K20" s="7">
        <f t="shared" si="9"/>
        <v>2.7226411573114784E-4</v>
      </c>
      <c r="L20" s="7">
        <f t="shared" si="9"/>
        <v>1.3979553215811191E-4</v>
      </c>
      <c r="M20" s="7">
        <f t="shared" si="9"/>
        <v>1.9930792434381063E-4</v>
      </c>
      <c r="N20" s="7">
        <f t="shared" si="9"/>
        <v>2.6710807022775726E-4</v>
      </c>
      <c r="O20" s="7">
        <f t="shared" si="9"/>
        <v>4.5684814430755526E-4</v>
      </c>
      <c r="P20" s="7">
        <f t="shared" si="9"/>
        <v>2.0911509980452861E-4</v>
      </c>
    </row>
    <row r="21" spans="2:16" x14ac:dyDescent="0.3">
      <c r="B21" s="8" t="s">
        <v>17</v>
      </c>
      <c r="C21" s="8">
        <f t="shared" si="2"/>
        <v>-3.0430125962244928E-4</v>
      </c>
      <c r="D21" s="8">
        <f t="shared" si="3"/>
        <v>-5.8629384994266995E-4</v>
      </c>
      <c r="E21" s="8">
        <f t="shared" si="4"/>
        <v>-2.9029354315234374E-3</v>
      </c>
      <c r="F21" s="8">
        <f t="shared" si="5"/>
        <v>3.0884214890099463E-3</v>
      </c>
      <c r="G21" s="8">
        <f t="shared" si="6"/>
        <v>6.2237419923512373E-3</v>
      </c>
      <c r="H21" s="8">
        <f t="shared" si="7"/>
        <v>8.246871472637975E-3</v>
      </c>
      <c r="J21" s="8" t="s">
        <v>17</v>
      </c>
      <c r="K21" s="7">
        <f t="shared" si="9"/>
        <v>3.4526357489429141E-4</v>
      </c>
      <c r="L21" s="7">
        <f t="shared" si="9"/>
        <v>2.012501308537526E-4</v>
      </c>
      <c r="M21" s="7">
        <f t="shared" si="9"/>
        <v>2.7364456632343137E-4</v>
      </c>
      <c r="N21" s="7">
        <f t="shared" si="9"/>
        <v>3.5882472577836589E-4</v>
      </c>
      <c r="O21" s="7">
        <f t="shared" si="9"/>
        <v>7.1458379795897664E-4</v>
      </c>
      <c r="P21" s="7">
        <f t="shared" si="9"/>
        <v>3.072755904169898E-4</v>
      </c>
    </row>
    <row r="22" spans="2:16" x14ac:dyDescent="0.3">
      <c r="B22" s="8" t="s">
        <v>21</v>
      </c>
      <c r="C22" s="8">
        <f t="shared" si="2"/>
        <v>4.0078820721280465E-3</v>
      </c>
      <c r="D22" s="8">
        <f t="shared" si="3"/>
        <v>6.669703343100508E-3</v>
      </c>
      <c r="E22" s="8">
        <f t="shared" si="4"/>
        <v>7.1647776245364198E-5</v>
      </c>
      <c r="F22" s="8">
        <f t="shared" si="5"/>
        <v>2.2799025530208664E-3</v>
      </c>
      <c r="G22" s="8">
        <f t="shared" si="6"/>
        <v>1.6167911228405166E-2</v>
      </c>
      <c r="H22" s="8">
        <f t="shared" si="7"/>
        <v>1.7203977536648894E-2</v>
      </c>
      <c r="J22" s="8" t="s">
        <v>21</v>
      </c>
      <c r="K22" s="7">
        <f t="shared" si="9"/>
        <v>4.9248019461735142E-4</v>
      </c>
      <c r="L22" s="7">
        <f t="shared" si="9"/>
        <v>3.4183832863538319E-4</v>
      </c>
      <c r="M22" s="7">
        <f t="shared" si="9"/>
        <v>3.694521510435082E-4</v>
      </c>
      <c r="N22" s="7">
        <f t="shared" si="9"/>
        <v>5.184396547777279E-4</v>
      </c>
      <c r="O22" s="7">
        <f t="shared" si="9"/>
        <v>1.0333348169533642E-3</v>
      </c>
      <c r="P22" s="7">
        <f t="shared" si="9"/>
        <v>5.8439273093916617E-4</v>
      </c>
    </row>
    <row r="23" spans="2:16" x14ac:dyDescent="0.3">
      <c r="B23" s="8" t="s">
        <v>26</v>
      </c>
      <c r="C23" s="8">
        <f t="shared" si="2"/>
        <v>-1.196842751704512E-3</v>
      </c>
      <c r="D23" s="8">
        <f t="shared" si="3"/>
        <v>-1.4788353420247327E-3</v>
      </c>
      <c r="E23" s="8">
        <f t="shared" si="4"/>
        <v>-5.0565109715247939E-3</v>
      </c>
      <c r="F23" s="8">
        <f t="shared" si="5"/>
        <v>-4.2363539272503078E-4</v>
      </c>
      <c r="G23" s="8">
        <f t="shared" si="6"/>
        <v>2.6430284572584208E-3</v>
      </c>
      <c r="H23" s="8">
        <f t="shared" si="7"/>
        <v>-4.5817001944408776E-4</v>
      </c>
      <c r="J23" s="8" t="s">
        <v>26</v>
      </c>
      <c r="K23" s="7">
        <f t="shared" si="9"/>
        <v>5.9616920812603292E-4</v>
      </c>
      <c r="L23" s="7">
        <f t="shared" si="9"/>
        <v>4.5853149334674814E-4</v>
      </c>
      <c r="M23" s="7">
        <f t="shared" si="9"/>
        <v>4.222318865454433E-4</v>
      </c>
      <c r="N23" s="7">
        <f t="shared" si="9"/>
        <v>6.164467635213941E-4</v>
      </c>
      <c r="O23" s="7">
        <f t="shared" si="9"/>
        <v>1.2453941794603038E-3</v>
      </c>
      <c r="P23" s="7">
        <f t="shared" si="9"/>
        <v>7.7735417231440901E-4</v>
      </c>
    </row>
    <row r="24" spans="2:16" x14ac:dyDescent="0.3">
      <c r="B24" s="8" t="s">
        <v>22</v>
      </c>
      <c r="C24" s="8">
        <f t="shared" si="2"/>
        <v>5.3409427006537152E-3</v>
      </c>
      <c r="D24" s="8">
        <f t="shared" si="3"/>
        <v>3.3138997292305374E-3</v>
      </c>
      <c r="E24" s="8">
        <f t="shared" si="4"/>
        <v>-2.5804174818502912E-3</v>
      </c>
      <c r="F24" s="8">
        <f t="shared" si="5"/>
        <v>-4.3988830833684867E-3</v>
      </c>
      <c r="G24" s="8">
        <f t="shared" si="6"/>
        <v>1.7009965034240852E-3</v>
      </c>
      <c r="H24" s="8">
        <f t="shared" si="7"/>
        <v>1.4489803743918273E-3</v>
      </c>
      <c r="J24" s="8" t="s">
        <v>22</v>
      </c>
      <c r="K24" s="7">
        <f t="shared" si="9"/>
        <v>7.0757496934341075E-4</v>
      </c>
      <c r="L24" s="7">
        <f t="shared" si="9"/>
        <v>5.5424203190780879E-4</v>
      </c>
      <c r="M24" s="7">
        <f t="shared" si="9"/>
        <v>4.574030500121891E-4</v>
      </c>
      <c r="N24" s="7">
        <f t="shared" si="9"/>
        <v>6.709408380634682E-4</v>
      </c>
      <c r="O24" s="7">
        <f t="shared" si="9"/>
        <v>1.3627967656992415E-3</v>
      </c>
      <c r="P24" s="7">
        <f t="shared" si="9"/>
        <v>8.7001244881361765E-4</v>
      </c>
    </row>
    <row r="25" spans="2:16" x14ac:dyDescent="0.3">
      <c r="B25" s="8" t="s">
        <v>25</v>
      </c>
      <c r="C25" s="8">
        <f t="shared" si="2"/>
        <v>7.0034286679063074E-3</v>
      </c>
      <c r="D25" s="8">
        <f t="shared" si="3"/>
        <v>-1.3076834919917499E-3</v>
      </c>
      <c r="E25" s="8">
        <f t="shared" si="4"/>
        <v>2.1825333245074578E-3</v>
      </c>
      <c r="F25" s="8">
        <f t="shared" si="5"/>
        <v>1.5913517682565152E-2</v>
      </c>
      <c r="G25" s="8">
        <f t="shared" si="6"/>
        <v>1.804715521768567E-2</v>
      </c>
      <c r="H25" s="8">
        <f t="shared" si="7"/>
        <v>2.6804715701556639E-2</v>
      </c>
      <c r="J25" s="8" t="s">
        <v>25</v>
      </c>
      <c r="K25" s="7">
        <f t="shared" si="9"/>
        <v>2.0479510839746468E-3</v>
      </c>
      <c r="L25" s="7">
        <f t="shared" si="9"/>
        <v>1.5586158585389493E-3</v>
      </c>
      <c r="M25" s="7">
        <f t="shared" si="9"/>
        <v>1.3081921548377875E-3</v>
      </c>
      <c r="N25" s="7">
        <f t="shared" si="9"/>
        <v>1.9543490194322893E-3</v>
      </c>
      <c r="O25" s="7">
        <f t="shared" si="9"/>
        <v>3.6163962730805682E-3</v>
      </c>
      <c r="P25" s="7">
        <f t="shared" si="9"/>
        <v>2.6367898112346082E-3</v>
      </c>
    </row>
    <row r="26" spans="2:16" x14ac:dyDescent="0.3">
      <c r="B26" s="8" t="s">
        <v>23</v>
      </c>
      <c r="C26" s="8">
        <f t="shared" si="2"/>
        <v>3.879514310311423E-3</v>
      </c>
      <c r="D26" s="8">
        <f t="shared" si="3"/>
        <v>2.8425848406637259E-2</v>
      </c>
      <c r="E26" s="8">
        <f t="shared" si="4"/>
        <v>1.0860864474651743E-2</v>
      </c>
      <c r="F26" s="8">
        <f t="shared" si="5"/>
        <v>-9.211740071194234E-4</v>
      </c>
      <c r="G26" s="8">
        <f t="shared" si="6"/>
        <v>1.0064935679275806E-3</v>
      </c>
      <c r="H26" s="8">
        <f t="shared" si="7"/>
        <v>8.0629451808308071E-3</v>
      </c>
      <c r="J26" s="8" t="s">
        <v>23</v>
      </c>
      <c r="K26" s="7">
        <f t="shared" si="9"/>
        <v>4.4610061576016808E-3</v>
      </c>
      <c r="L26" s="7">
        <f t="shared" si="9"/>
        <v>4.0390353555972138E-3</v>
      </c>
      <c r="M26" s="7">
        <f t="shared" si="9"/>
        <v>3.3040822125676153E-3</v>
      </c>
      <c r="N26" s="7">
        <f t="shared" si="9"/>
        <v>4.4035664031166115E-3</v>
      </c>
      <c r="O26" s="7">
        <f t="shared" si="9"/>
        <v>7.2095950020176604E-3</v>
      </c>
      <c r="P26" s="7">
        <f t="shared" si="9"/>
        <v>5.9779125705670564E-3</v>
      </c>
    </row>
    <row r="27" spans="2:16" x14ac:dyDescent="0.3">
      <c r="B27" s="8" t="s">
        <v>16</v>
      </c>
      <c r="C27" s="8">
        <f t="shared" si="2"/>
        <v>-2.5308860072716044E-2</v>
      </c>
      <c r="D27" s="8">
        <f t="shared" si="3"/>
        <v>-2.8482751570462428E-2</v>
      </c>
      <c r="E27" s="8">
        <f t="shared" si="4"/>
        <v>-3.8519091183614185E-3</v>
      </c>
      <c r="F27" s="8">
        <f t="shared" si="5"/>
        <v>-2.1669899044953866E-2</v>
      </c>
      <c r="G27" s="8">
        <f t="shared" si="6"/>
        <v>-8.3142249778347721E-2</v>
      </c>
      <c r="H27" s="8">
        <f t="shared" si="7"/>
        <v>-6.0110775764010804E-2</v>
      </c>
      <c r="J27" s="8" t="s">
        <v>16</v>
      </c>
      <c r="K27" s="7">
        <f t="shared" si="9"/>
        <v>1.0160454576327755</v>
      </c>
      <c r="L27" s="7">
        <f t="shared" si="9"/>
        <v>1.0189514077051087</v>
      </c>
      <c r="M27" s="7">
        <f t="shared" si="9"/>
        <v>0.99639991265364614</v>
      </c>
      <c r="N27" s="7">
        <f t="shared" si="9"/>
        <v>1.0127136994207036</v>
      </c>
      <c r="O27" s="7">
        <f t="shared" si="9"/>
        <v>1.0689965251527833</v>
      </c>
      <c r="P27" s="7">
        <f t="shared" si="9"/>
        <v>1.0479093790970906</v>
      </c>
    </row>
    <row r="28" spans="2:16" x14ac:dyDescent="0.3">
      <c r="J28" s="10" t="s">
        <v>114</v>
      </c>
      <c r="K28" s="10">
        <f t="shared" ref="K28:P28" si="10">SUM(K16:K27)</f>
        <v>1.0253775523480813</v>
      </c>
      <c r="L28" s="10">
        <f t="shared" si="10"/>
        <v>1.0264005672826599</v>
      </c>
      <c r="M28" s="10">
        <f t="shared" si="10"/>
        <v>1.0029648733037755</v>
      </c>
      <c r="N28" s="10">
        <f t="shared" si="10"/>
        <v>1.0219263271528121</v>
      </c>
      <c r="O28" s="10">
        <f t="shared" si="10"/>
        <v>1.0851517906654526</v>
      </c>
      <c r="P28" s="10">
        <f t="shared" si="10"/>
        <v>1.0596429822884812</v>
      </c>
    </row>
    <row r="29" spans="2:16" x14ac:dyDescent="0.3">
      <c r="J29" s="11" t="s">
        <v>115</v>
      </c>
      <c r="K29" s="11">
        <f>1-K28</f>
        <v>-2.5377552348081256E-2</v>
      </c>
      <c r="L29" s="11">
        <f t="shared" ref="L29:P29" si="11">1-L28</f>
        <v>-2.6400567282659937E-2</v>
      </c>
      <c r="M29" s="11">
        <f t="shared" si="11"/>
        <v>-2.9648733037754837E-3</v>
      </c>
      <c r="N29" s="11">
        <f t="shared" si="11"/>
        <v>-2.1926327152812064E-2</v>
      </c>
      <c r="O29" s="11">
        <f t="shared" si="11"/>
        <v>-8.5151790665452642E-2</v>
      </c>
      <c r="P29" s="11">
        <f t="shared" si="11"/>
        <v>-5.9642982288481194E-2</v>
      </c>
    </row>
  </sheetData>
  <sortState xmlns:xlrd2="http://schemas.microsoft.com/office/spreadsheetml/2017/richdata2" ref="A2:P14">
    <sortCondition ref="B1:B14"/>
  </sortState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B56F0-6277-4297-93E9-0E5A3FD3ACEF}">
  <dimension ref="A1:P25"/>
  <sheetViews>
    <sheetView zoomScale="58" zoomScaleNormal="100" workbookViewId="0">
      <selection activeCell="M24" sqref="M24"/>
    </sheetView>
  </sheetViews>
  <sheetFormatPr defaultRowHeight="14.4" x14ac:dyDescent="0.3"/>
  <sheetData>
    <row r="1" spans="1:16" ht="36.6" customHeight="1" x14ac:dyDescent="0.3">
      <c r="A1" s="1" t="s">
        <v>94</v>
      </c>
      <c r="B1" s="2" t="s">
        <v>95</v>
      </c>
      <c r="C1" s="3" t="s">
        <v>96</v>
      </c>
      <c r="D1" s="3" t="s">
        <v>97</v>
      </c>
      <c r="E1" s="3" t="s">
        <v>98</v>
      </c>
      <c r="F1" s="2" t="s">
        <v>99</v>
      </c>
      <c r="G1" s="3" t="s">
        <v>100</v>
      </c>
      <c r="H1" s="3" t="s">
        <v>101</v>
      </c>
      <c r="I1" s="4" t="s">
        <v>95</v>
      </c>
      <c r="J1" s="5" t="s">
        <v>95</v>
      </c>
      <c r="K1" s="6" t="s">
        <v>96</v>
      </c>
      <c r="L1" s="6" t="s">
        <v>97</v>
      </c>
      <c r="M1" s="6" t="s">
        <v>98</v>
      </c>
      <c r="N1" s="5" t="s">
        <v>99</v>
      </c>
      <c r="O1" s="6" t="s">
        <v>100</v>
      </c>
      <c r="P1" s="6" t="s">
        <v>101</v>
      </c>
    </row>
    <row r="2" spans="1:16" x14ac:dyDescent="0.3">
      <c r="A2" s="7" t="s">
        <v>28</v>
      </c>
      <c r="B2" s="9">
        <v>1.4521484322105047E-2</v>
      </c>
      <c r="C2" s="9">
        <v>2.097902097902098E-2</v>
      </c>
      <c r="D2" s="9">
        <v>3.2679738562091505E-2</v>
      </c>
      <c r="E2" s="9">
        <v>3.2786885245901641E-2</v>
      </c>
      <c r="F2" s="9">
        <v>3.5460992907801418E-3</v>
      </c>
      <c r="G2" s="9">
        <v>5.434782608695652E-3</v>
      </c>
      <c r="H2" s="9">
        <v>0</v>
      </c>
      <c r="I2" s="8">
        <v>1.4521484322105047E-2</v>
      </c>
      <c r="J2" s="9">
        <v>1.4521484322105047E-2</v>
      </c>
      <c r="K2" s="9">
        <v>2.097902097902098E-2</v>
      </c>
      <c r="L2" s="9">
        <v>3.2679738562091505E-2</v>
      </c>
      <c r="M2" s="9">
        <v>3.2786885245901641E-2</v>
      </c>
      <c r="N2" s="9">
        <v>3.5460992907801418E-3</v>
      </c>
      <c r="O2" s="9">
        <v>5.434782608695652E-3</v>
      </c>
      <c r="P2" s="9">
        <v>0</v>
      </c>
    </row>
    <row r="3" spans="1:16" x14ac:dyDescent="0.3">
      <c r="A3" s="7" t="s">
        <v>37</v>
      </c>
      <c r="B3" s="9">
        <v>2.1172876618839473E-2</v>
      </c>
      <c r="C3" s="9">
        <v>2.7972027972027972E-2</v>
      </c>
      <c r="D3" s="9">
        <v>1.9607843137254902E-2</v>
      </c>
      <c r="E3" s="9">
        <v>8.1967213114754103E-3</v>
      </c>
      <c r="F3" s="9">
        <v>1.0638297872340425E-2</v>
      </c>
      <c r="G3" s="9">
        <v>1.0869565217391304E-2</v>
      </c>
      <c r="H3" s="9">
        <v>4.1322314049586778E-2</v>
      </c>
      <c r="I3" s="8">
        <v>3.5694360940944518E-2</v>
      </c>
      <c r="J3" s="8">
        <f>J2+B3</f>
        <v>3.5694360940944518E-2</v>
      </c>
      <c r="K3" s="8">
        <f t="shared" ref="K3:P11" si="0">K2+C3</f>
        <v>4.8951048951048952E-2</v>
      </c>
      <c r="L3" s="8">
        <f t="shared" si="0"/>
        <v>5.2287581699346407E-2</v>
      </c>
      <c r="M3" s="8">
        <f t="shared" si="0"/>
        <v>4.0983606557377053E-2</v>
      </c>
      <c r="N3" s="8">
        <f t="shared" si="0"/>
        <v>1.4184397163120567E-2</v>
      </c>
      <c r="O3" s="8">
        <f t="shared" si="0"/>
        <v>1.6304347826086956E-2</v>
      </c>
      <c r="P3" s="8">
        <f t="shared" si="0"/>
        <v>4.1322314049586778E-2</v>
      </c>
    </row>
    <row r="4" spans="1:16" x14ac:dyDescent="0.3">
      <c r="A4" s="7" t="s">
        <v>32</v>
      </c>
      <c r="B4" s="9">
        <v>2.3805268032693651E-2</v>
      </c>
      <c r="C4" s="9">
        <v>3.4965034965034968E-2</v>
      </c>
      <c r="D4" s="9">
        <v>1.3071895424836602E-2</v>
      </c>
      <c r="E4" s="9">
        <v>8.1967213114754103E-3</v>
      </c>
      <c r="F4" s="9">
        <v>3.1914893617021274E-2</v>
      </c>
      <c r="G4" s="9">
        <v>7.0652173913043473E-2</v>
      </c>
      <c r="H4" s="9">
        <v>8.2644628099173556E-2</v>
      </c>
      <c r="I4" s="8">
        <v>5.9499628973638169E-2</v>
      </c>
      <c r="J4" s="8">
        <f t="shared" ref="J4:J11" si="1">J3+B4</f>
        <v>5.9499628973638169E-2</v>
      </c>
      <c r="K4" s="8">
        <f t="shared" si="0"/>
        <v>8.3916083916083919E-2</v>
      </c>
      <c r="L4" s="8">
        <f t="shared" si="0"/>
        <v>6.535947712418301E-2</v>
      </c>
      <c r="M4" s="8">
        <f t="shared" si="0"/>
        <v>4.9180327868852465E-2</v>
      </c>
      <c r="N4" s="8">
        <f t="shared" si="0"/>
        <v>4.6099290780141841E-2</v>
      </c>
      <c r="O4" s="8">
        <f t="shared" si="0"/>
        <v>8.6956521739130432E-2</v>
      </c>
      <c r="P4" s="8">
        <f t="shared" si="0"/>
        <v>0.12396694214876033</v>
      </c>
    </row>
    <row r="5" spans="1:16" x14ac:dyDescent="0.3">
      <c r="A5" s="7" t="s">
        <v>35</v>
      </c>
      <c r="B5" s="9">
        <v>3.5781024032758652E-2</v>
      </c>
      <c r="C5" s="9">
        <v>6.2937062937062943E-2</v>
      </c>
      <c r="D5" s="9">
        <v>4.5751633986928102E-2</v>
      </c>
      <c r="E5" s="9">
        <v>5.737704918032787E-2</v>
      </c>
      <c r="F5" s="9">
        <v>5.6737588652482268E-2</v>
      </c>
      <c r="G5" s="9">
        <v>3.2608695652173912E-2</v>
      </c>
      <c r="H5" s="9">
        <v>7.43801652892562E-2</v>
      </c>
      <c r="I5" s="8">
        <v>9.528065300639682E-2</v>
      </c>
      <c r="J5" s="8">
        <f t="shared" si="1"/>
        <v>9.528065300639682E-2</v>
      </c>
      <c r="K5" s="8">
        <f t="shared" si="0"/>
        <v>0.14685314685314688</v>
      </c>
      <c r="L5" s="8">
        <f t="shared" si="0"/>
        <v>0.1111111111111111</v>
      </c>
      <c r="M5" s="8">
        <f t="shared" si="0"/>
        <v>0.10655737704918034</v>
      </c>
      <c r="N5" s="8">
        <f t="shared" si="0"/>
        <v>0.10283687943262411</v>
      </c>
      <c r="O5" s="8">
        <f t="shared" si="0"/>
        <v>0.11956521739130435</v>
      </c>
      <c r="P5" s="8">
        <f t="shared" si="0"/>
        <v>0.19834710743801653</v>
      </c>
    </row>
    <row r="6" spans="1:16" x14ac:dyDescent="0.3">
      <c r="A6" s="7" t="s">
        <v>31</v>
      </c>
      <c r="B6" s="9">
        <v>3.609517774058487E-2</v>
      </c>
      <c r="C6" s="9">
        <v>0.13286713286713286</v>
      </c>
      <c r="D6" s="9">
        <v>6.535947712418301E-2</v>
      </c>
      <c r="E6" s="9">
        <v>0.13114754098360656</v>
      </c>
      <c r="F6" s="9">
        <v>0.11347517730496454</v>
      </c>
      <c r="G6" s="9">
        <v>0.15217391304347827</v>
      </c>
      <c r="H6" s="9">
        <v>7.43801652892562E-2</v>
      </c>
      <c r="I6" s="8">
        <v>0.1313758307469817</v>
      </c>
      <c r="J6" s="8">
        <f t="shared" si="1"/>
        <v>0.1313758307469817</v>
      </c>
      <c r="K6" s="8">
        <f t="shared" si="0"/>
        <v>0.27972027972027974</v>
      </c>
      <c r="L6" s="8">
        <f t="shared" si="0"/>
        <v>0.1764705882352941</v>
      </c>
      <c r="M6" s="8">
        <f t="shared" si="0"/>
        <v>0.2377049180327869</v>
      </c>
      <c r="N6" s="8">
        <f t="shared" si="0"/>
        <v>0.21631205673758863</v>
      </c>
      <c r="O6" s="8">
        <f t="shared" si="0"/>
        <v>0.27173913043478259</v>
      </c>
      <c r="P6" s="8">
        <f t="shared" si="0"/>
        <v>0.27272727272727271</v>
      </c>
    </row>
    <row r="7" spans="1:16" x14ac:dyDescent="0.3">
      <c r="A7" s="7" t="s">
        <v>33</v>
      </c>
      <c r="B7" s="9">
        <v>3.7135134842354423E-2</v>
      </c>
      <c r="C7" s="9">
        <v>5.944055944055944E-2</v>
      </c>
      <c r="D7" s="9">
        <v>9.8039215686274508E-2</v>
      </c>
      <c r="E7" s="9">
        <v>0.10655737704918032</v>
      </c>
      <c r="F7" s="9">
        <v>4.9645390070921988E-2</v>
      </c>
      <c r="G7" s="9">
        <v>5.9782608695652176E-2</v>
      </c>
      <c r="H7" s="9">
        <v>5.7851239669421489E-2</v>
      </c>
      <c r="I7" s="8">
        <v>0.16851096558933612</v>
      </c>
      <c r="J7" s="8">
        <f t="shared" si="1"/>
        <v>0.16851096558933612</v>
      </c>
      <c r="K7" s="8">
        <f t="shared" si="0"/>
        <v>0.33916083916083917</v>
      </c>
      <c r="L7" s="8">
        <f t="shared" si="0"/>
        <v>0.2745098039215686</v>
      </c>
      <c r="M7" s="8">
        <f t="shared" si="0"/>
        <v>0.34426229508196721</v>
      </c>
      <c r="N7" s="8">
        <f t="shared" si="0"/>
        <v>0.26595744680851063</v>
      </c>
      <c r="O7" s="8">
        <f t="shared" si="0"/>
        <v>0.33152173913043476</v>
      </c>
      <c r="P7" s="8">
        <f t="shared" si="0"/>
        <v>0.33057851239669422</v>
      </c>
    </row>
    <row r="8" spans="1:16" x14ac:dyDescent="0.3">
      <c r="A8" s="7" t="s">
        <v>36</v>
      </c>
      <c r="B8" s="9">
        <v>5.6991815754266803E-2</v>
      </c>
      <c r="C8" s="9">
        <v>8.0419580419580416E-2</v>
      </c>
      <c r="D8" s="9">
        <v>0.15686274509803921</v>
      </c>
      <c r="E8" s="9">
        <v>0.19672131147540983</v>
      </c>
      <c r="F8" s="9">
        <v>0.14184397163120568</v>
      </c>
      <c r="G8" s="9">
        <v>0.15217391304347827</v>
      </c>
      <c r="H8" s="9">
        <v>9.0909090909090912E-2</v>
      </c>
      <c r="I8" s="8">
        <v>0.22550278134360291</v>
      </c>
      <c r="J8" s="8">
        <f t="shared" si="1"/>
        <v>0.22550278134360291</v>
      </c>
      <c r="K8" s="8">
        <f t="shared" si="0"/>
        <v>0.41958041958041958</v>
      </c>
      <c r="L8" s="8">
        <f t="shared" si="0"/>
        <v>0.43137254901960781</v>
      </c>
      <c r="M8" s="8">
        <f t="shared" si="0"/>
        <v>0.54098360655737698</v>
      </c>
      <c r="N8" s="8">
        <f t="shared" si="0"/>
        <v>0.40780141843971629</v>
      </c>
      <c r="O8" s="8">
        <f t="shared" si="0"/>
        <v>0.48369565217391303</v>
      </c>
      <c r="P8" s="8">
        <f t="shared" si="0"/>
        <v>0.42148760330578516</v>
      </c>
    </row>
    <row r="9" spans="1:16" x14ac:dyDescent="0.3">
      <c r="A9" s="7" t="s">
        <v>29</v>
      </c>
      <c r="B9" s="9">
        <v>7.7769292016704308E-2</v>
      </c>
      <c r="C9" s="9">
        <v>0.11888111888111888</v>
      </c>
      <c r="D9" s="9">
        <v>0.11764705882352941</v>
      </c>
      <c r="E9" s="9">
        <v>0.12295081967213115</v>
      </c>
      <c r="F9" s="9">
        <v>0.1702127659574468</v>
      </c>
      <c r="G9" s="9">
        <v>0.14673913043478262</v>
      </c>
      <c r="H9" s="9">
        <v>0.1487603305785124</v>
      </c>
      <c r="I9" s="8">
        <v>0.3032720733603072</v>
      </c>
      <c r="J9" s="8">
        <f t="shared" si="1"/>
        <v>0.3032720733603072</v>
      </c>
      <c r="K9" s="8">
        <f t="shared" si="0"/>
        <v>0.53846153846153844</v>
      </c>
      <c r="L9" s="8">
        <f t="shared" si="0"/>
        <v>0.54901960784313719</v>
      </c>
      <c r="M9" s="8">
        <f t="shared" si="0"/>
        <v>0.66393442622950816</v>
      </c>
      <c r="N9" s="8">
        <f t="shared" si="0"/>
        <v>0.57801418439716312</v>
      </c>
      <c r="O9" s="8">
        <f t="shared" si="0"/>
        <v>0.63043478260869568</v>
      </c>
      <c r="P9" s="8">
        <f t="shared" si="0"/>
        <v>0.57024793388429762</v>
      </c>
    </row>
    <row r="10" spans="1:16" x14ac:dyDescent="0.3">
      <c r="A10" s="7" t="s">
        <v>34</v>
      </c>
      <c r="B10" s="9">
        <v>0.28539239423040469</v>
      </c>
      <c r="C10" s="9">
        <v>0.19230769230769232</v>
      </c>
      <c r="D10" s="9">
        <v>0.25490196078431371</v>
      </c>
      <c r="E10" s="9">
        <v>0.16393442622950818</v>
      </c>
      <c r="F10" s="9">
        <v>8.8652482269503549E-2</v>
      </c>
      <c r="G10" s="9">
        <v>4.8913043478260872E-2</v>
      </c>
      <c r="H10" s="9">
        <v>9.0909090909090912E-2</v>
      </c>
      <c r="I10" s="8">
        <v>0.58866446759071189</v>
      </c>
      <c r="J10" s="8">
        <f t="shared" si="1"/>
        <v>0.58866446759071189</v>
      </c>
      <c r="K10" s="8">
        <f t="shared" si="0"/>
        <v>0.73076923076923073</v>
      </c>
      <c r="L10" s="8">
        <f t="shared" si="0"/>
        <v>0.8039215686274509</v>
      </c>
      <c r="M10" s="8">
        <f t="shared" si="0"/>
        <v>0.82786885245901631</v>
      </c>
      <c r="N10" s="8">
        <f t="shared" si="0"/>
        <v>0.66666666666666663</v>
      </c>
      <c r="O10" s="8">
        <f t="shared" si="0"/>
        <v>0.67934782608695654</v>
      </c>
      <c r="P10" s="8">
        <f t="shared" si="0"/>
        <v>0.66115702479338856</v>
      </c>
    </row>
    <row r="11" spans="1:16" x14ac:dyDescent="0.3">
      <c r="A11" s="7" t="s">
        <v>30</v>
      </c>
      <c r="B11" s="9">
        <v>0.41133553240928811</v>
      </c>
      <c r="C11" s="9">
        <v>0.26923076923076922</v>
      </c>
      <c r="D11" s="9">
        <v>0.19607843137254902</v>
      </c>
      <c r="E11" s="9">
        <v>0.1721311475409836</v>
      </c>
      <c r="F11" s="9">
        <v>0.33333333333333331</v>
      </c>
      <c r="G11" s="9">
        <v>0.32065217391304346</v>
      </c>
      <c r="H11" s="9">
        <v>0.33884297520661155</v>
      </c>
      <c r="I11" s="8">
        <v>1</v>
      </c>
      <c r="J11" s="8">
        <f t="shared" si="1"/>
        <v>1</v>
      </c>
      <c r="K11" s="8">
        <f t="shared" si="0"/>
        <v>1</v>
      </c>
      <c r="L11" s="8">
        <f t="shared" si="0"/>
        <v>0.99999999999999989</v>
      </c>
      <c r="M11" s="8">
        <f t="shared" si="0"/>
        <v>0.99999999999999989</v>
      </c>
      <c r="N11" s="8">
        <f t="shared" si="0"/>
        <v>1</v>
      </c>
      <c r="O11" s="8">
        <f t="shared" si="0"/>
        <v>1</v>
      </c>
      <c r="P11" s="8">
        <f t="shared" si="0"/>
        <v>1</v>
      </c>
    </row>
    <row r="13" spans="1:16" ht="28.8" x14ac:dyDescent="0.3">
      <c r="B13" s="1" t="s">
        <v>94</v>
      </c>
      <c r="C13" s="3" t="s">
        <v>102</v>
      </c>
      <c r="D13" s="3" t="s">
        <v>103</v>
      </c>
      <c r="E13" s="3" t="s">
        <v>104</v>
      </c>
      <c r="F13" s="3" t="s">
        <v>105</v>
      </c>
      <c r="G13" s="3" t="s">
        <v>106</v>
      </c>
      <c r="H13" s="3" t="s">
        <v>107</v>
      </c>
      <c r="J13" s="1" t="s">
        <v>94</v>
      </c>
      <c r="K13" s="10" t="s">
        <v>108</v>
      </c>
      <c r="L13" s="10" t="s">
        <v>109</v>
      </c>
      <c r="M13" s="10" t="s">
        <v>110</v>
      </c>
      <c r="N13" s="10" t="s">
        <v>111</v>
      </c>
      <c r="O13" s="10" t="s">
        <v>112</v>
      </c>
      <c r="P13" s="10" t="s">
        <v>113</v>
      </c>
    </row>
    <row r="14" spans="1:16" x14ac:dyDescent="0.3">
      <c r="B14" s="7" t="s">
        <v>28</v>
      </c>
      <c r="C14" s="8">
        <f>C2-B2</f>
        <v>6.4575366569159329E-3</v>
      </c>
      <c r="D14" s="8">
        <f>D2-B2</f>
        <v>1.815825423998646E-2</v>
      </c>
      <c r="E14" s="8">
        <f>E2-B2</f>
        <v>1.8265400923796596E-2</v>
      </c>
      <c r="F14" s="8">
        <f>F2-B2</f>
        <v>-1.0975385031324905E-2</v>
      </c>
      <c r="G14" s="8">
        <f>G2-B2</f>
        <v>-9.0867017134093949E-3</v>
      </c>
      <c r="H14" s="8">
        <f>H2-B2</f>
        <v>-1.4521484322105047E-2</v>
      </c>
      <c r="J14" s="7" t="s">
        <v>28</v>
      </c>
      <c r="K14" s="7">
        <f>(J2-0) * ((K2+0))</f>
        <v>3.0464652423996605E-4</v>
      </c>
      <c r="L14" s="7">
        <f>(J2-0) * ((L2+0))</f>
        <v>4.7455831117990355E-4</v>
      </c>
      <c r="M14" s="7">
        <f>(J2-0) * ((M2+0))</f>
        <v>4.7611424006901797E-4</v>
      </c>
      <c r="N14" s="7">
        <f>(J2-0) * ((N2+0))</f>
        <v>5.1494625255691655E-5</v>
      </c>
      <c r="O14" s="7">
        <f>(J2-0) * ((O2+0))</f>
        <v>7.8921110446223075E-5</v>
      </c>
      <c r="P14" s="7">
        <f>(J2-0) * ((P2+0))</f>
        <v>0</v>
      </c>
    </row>
    <row r="15" spans="1:16" x14ac:dyDescent="0.3">
      <c r="B15" s="7" t="s">
        <v>37</v>
      </c>
      <c r="C15" s="8">
        <f t="shared" ref="C15:C23" si="2">C3-B3</f>
        <v>6.7991513531884991E-3</v>
      </c>
      <c r="D15" s="8">
        <f t="shared" ref="D15:D23" si="3">D3-B3</f>
        <v>-1.5650334815845712E-3</v>
      </c>
      <c r="E15" s="8">
        <f t="shared" ref="E15:E23" si="4">E3-B3</f>
        <v>-1.2976155307364063E-2</v>
      </c>
      <c r="F15" s="8">
        <f t="shared" ref="F15:F23" si="5">F3-B3</f>
        <v>-1.0534578746499048E-2</v>
      </c>
      <c r="G15" s="8">
        <f t="shared" ref="G15:G23" si="6">G3-B3</f>
        <v>-1.0303311401448169E-2</v>
      </c>
      <c r="H15" s="8">
        <f t="shared" ref="H15:H23" si="7">H3-B3</f>
        <v>2.0149437430747305E-2</v>
      </c>
      <c r="J15" s="7" t="s">
        <v>37</v>
      </c>
      <c r="K15" s="7">
        <f>(J3-J2) * ((K3+K2))</f>
        <v>1.4806207425761869E-3</v>
      </c>
      <c r="L15" s="7">
        <f>(J3-J2) * ((L3+L2))</f>
        <v>1.7990025885288442E-3</v>
      </c>
      <c r="M15" s="7">
        <f>(J3-J2) * ((M3+M2))</f>
        <v>1.5619335210619284E-3</v>
      </c>
      <c r="N15" s="7">
        <f>(J3-J2) * ((N3+N2))</f>
        <v>3.7540561380921048E-4</v>
      </c>
      <c r="O15" s="7">
        <f>(J3-J2) * ((O3+O2))</f>
        <v>4.6027992649651028E-4</v>
      </c>
      <c r="P15" s="7">
        <f>(J3-J2) * ((P3+P2))</f>
        <v>8.7491225697683775E-4</v>
      </c>
    </row>
    <row r="16" spans="1:16" x14ac:dyDescent="0.3">
      <c r="B16" s="7" t="s">
        <v>32</v>
      </c>
      <c r="C16" s="8">
        <f t="shared" si="2"/>
        <v>1.1159766932341317E-2</v>
      </c>
      <c r="D16" s="8">
        <f t="shared" si="3"/>
        <v>-1.0733372607857049E-2</v>
      </c>
      <c r="E16" s="8">
        <f t="shared" si="4"/>
        <v>-1.5608546721218241E-2</v>
      </c>
      <c r="F16" s="8">
        <f t="shared" si="5"/>
        <v>8.1096255843276233E-3</v>
      </c>
      <c r="G16" s="8">
        <f t="shared" si="6"/>
        <v>4.6846905880349822E-2</v>
      </c>
      <c r="H16" s="8">
        <f t="shared" si="7"/>
        <v>5.8839360066479905E-2</v>
      </c>
      <c r="J16" s="7" t="s">
        <v>32</v>
      </c>
      <c r="K16" s="7">
        <f t="shared" ref="K16:K23" si="8">(J4-J3) * ((K4+K3))</f>
        <v>3.162937710637618E-3</v>
      </c>
      <c r="L16" s="7">
        <f t="shared" ref="L16:L23" si="9">(J4-J3) * ((L4+L3))</f>
        <v>2.800619768552194E-3</v>
      </c>
      <c r="M16" s="7">
        <f t="shared" ref="M16:M23" si="10">(J4-J3) * ((M4+M3))</f>
        <v>2.1463766258986083E-3</v>
      </c>
      <c r="N16" s="7">
        <f t="shared" ref="N16:N23" si="11">(J4-J3) * ((N4+N3))</f>
        <v>1.4350693494886242E-3</v>
      </c>
      <c r="O16" s="7">
        <f t="shared" ref="O16:O23" si="12">(J4-J3) * ((O4+O3))</f>
        <v>2.4581526772890182E-3</v>
      </c>
      <c r="P16" s="7">
        <f t="shared" ref="P16:P23" si="13">(J4-J3) * ((P4+P3))</f>
        <v>3.9347550467262234E-3</v>
      </c>
    </row>
    <row r="17" spans="2:16" x14ac:dyDescent="0.3">
      <c r="B17" s="7" t="s">
        <v>35</v>
      </c>
      <c r="C17" s="8">
        <f t="shared" si="2"/>
        <v>2.7156038904304292E-2</v>
      </c>
      <c r="D17" s="8">
        <f t="shared" si="3"/>
        <v>9.9706099541694501E-3</v>
      </c>
      <c r="E17" s="8">
        <f t="shared" si="4"/>
        <v>2.1596025147569219E-2</v>
      </c>
      <c r="F17" s="8">
        <f t="shared" si="5"/>
        <v>2.0956564619723617E-2</v>
      </c>
      <c r="G17" s="8">
        <f t="shared" si="6"/>
        <v>-3.1723283805847394E-3</v>
      </c>
      <c r="H17" s="8">
        <f t="shared" si="7"/>
        <v>3.8599141256497549E-2</v>
      </c>
      <c r="J17" s="7" t="s">
        <v>35</v>
      </c>
      <c r="K17" s="7">
        <f t="shared" si="8"/>
        <v>8.2571593921750737E-3</v>
      </c>
      <c r="L17" s="7">
        <f t="shared" si="9"/>
        <v>6.3142983587221148E-3</v>
      </c>
      <c r="M17" s="7">
        <f t="shared" si="10"/>
        <v>5.5724545624788067E-3</v>
      </c>
      <c r="N17" s="7">
        <f t="shared" si="11"/>
        <v>5.3290886857300119E-3</v>
      </c>
      <c r="O17" s="7">
        <f t="shared" si="12"/>
        <v>7.3895593111131998E-3</v>
      </c>
      <c r="P17" s="7">
        <f t="shared" si="13"/>
        <v>1.1532726754360227E-2</v>
      </c>
    </row>
    <row r="18" spans="2:16" x14ac:dyDescent="0.3">
      <c r="B18" s="7" t="s">
        <v>31</v>
      </c>
      <c r="C18" s="8">
        <f t="shared" si="2"/>
        <v>9.6771955126547987E-2</v>
      </c>
      <c r="D18" s="8">
        <f t="shared" si="3"/>
        <v>2.926429938359814E-2</v>
      </c>
      <c r="E18" s="8">
        <f t="shared" si="4"/>
        <v>9.5052363243021687E-2</v>
      </c>
      <c r="F18" s="8">
        <f t="shared" si="5"/>
        <v>7.7379999564379659E-2</v>
      </c>
      <c r="G18" s="8">
        <f t="shared" si="6"/>
        <v>0.11607873530289339</v>
      </c>
      <c r="H18" s="8">
        <f t="shared" si="7"/>
        <v>3.828498754867133E-2</v>
      </c>
      <c r="J18" s="7" t="s">
        <v>31</v>
      </c>
      <c r="K18" s="7">
        <f t="shared" si="8"/>
        <v>1.5397243651578166E-2</v>
      </c>
      <c r="L18" s="7">
        <f t="shared" si="9"/>
        <v>1.0380312552847938E-2</v>
      </c>
      <c r="M18" s="7">
        <f t="shared" si="10"/>
        <v>1.2426208730365287E-2</v>
      </c>
      <c r="N18" s="7">
        <f t="shared" si="11"/>
        <v>1.1519737576782407E-2</v>
      </c>
      <c r="O18" s="7">
        <f t="shared" si="12"/>
        <v>1.4124199985446255E-2</v>
      </c>
      <c r="P18" s="7">
        <f t="shared" si="13"/>
        <v>1.7003513481101965E-2</v>
      </c>
    </row>
    <row r="19" spans="2:16" x14ac:dyDescent="0.3">
      <c r="B19" s="7" t="s">
        <v>33</v>
      </c>
      <c r="C19" s="8">
        <f t="shared" si="2"/>
        <v>2.2305424598205018E-2</v>
      </c>
      <c r="D19" s="8">
        <f t="shared" si="3"/>
        <v>6.0904080843920086E-2</v>
      </c>
      <c r="E19" s="8">
        <f t="shared" si="4"/>
        <v>6.9422242206825899E-2</v>
      </c>
      <c r="F19" s="8">
        <f t="shared" si="5"/>
        <v>1.2510255228567566E-2</v>
      </c>
      <c r="G19" s="8">
        <f t="shared" si="6"/>
        <v>2.2647473853297753E-2</v>
      </c>
      <c r="H19" s="8">
        <f t="shared" si="7"/>
        <v>2.0716104827067067E-2</v>
      </c>
      <c r="J19" s="7" t="s">
        <v>33</v>
      </c>
      <c r="K19" s="7">
        <f t="shared" si="8"/>
        <v>2.2982233801037529E-2</v>
      </c>
      <c r="L19" s="7">
        <f t="shared" si="9"/>
        <v>1.6747217674002973E-2</v>
      </c>
      <c r="M19" s="7">
        <f t="shared" si="10"/>
        <v>2.1611430932845607E-2</v>
      </c>
      <c r="N19" s="7">
        <f t="shared" si="11"/>
        <v>1.7909143044539722E-2</v>
      </c>
      <c r="O19" s="7">
        <f t="shared" si="12"/>
        <v>2.2402173736420328E-2</v>
      </c>
      <c r="P19" s="7">
        <f t="shared" si="13"/>
        <v>2.2403841681751014E-2</v>
      </c>
    </row>
    <row r="20" spans="2:16" x14ac:dyDescent="0.3">
      <c r="B20" s="7" t="s">
        <v>36</v>
      </c>
      <c r="C20" s="8">
        <f t="shared" si="2"/>
        <v>2.3427764665313613E-2</v>
      </c>
      <c r="D20" s="8">
        <f t="shared" si="3"/>
        <v>9.987092934377241E-2</v>
      </c>
      <c r="E20" s="8">
        <f t="shared" si="4"/>
        <v>0.13972949572114302</v>
      </c>
      <c r="F20" s="8">
        <f t="shared" si="5"/>
        <v>8.4852155876938881E-2</v>
      </c>
      <c r="G20" s="8">
        <f t="shared" si="6"/>
        <v>9.5182097289211468E-2</v>
      </c>
      <c r="H20" s="8">
        <f t="shared" si="7"/>
        <v>3.3917275154824109E-2</v>
      </c>
      <c r="J20" s="7" t="s">
        <v>36</v>
      </c>
      <c r="K20" s="7">
        <f t="shared" si="8"/>
        <v>4.3242042023342288E-2</v>
      </c>
      <c r="L20" s="7">
        <f t="shared" si="9"/>
        <v>4.0229517003011847E-2</v>
      </c>
      <c r="M20" s="7">
        <f t="shared" si="10"/>
        <v>5.0451771323449281E-2</v>
      </c>
      <c r="N20" s="7">
        <f t="shared" si="11"/>
        <v>3.8398741111030817E-2</v>
      </c>
      <c r="O20" s="7">
        <f t="shared" si="12"/>
        <v>4.6460719364891399E-2</v>
      </c>
      <c r="P20" s="7">
        <f t="shared" si="13"/>
        <v>4.2861613501142794E-2</v>
      </c>
    </row>
    <row r="21" spans="2:16" x14ac:dyDescent="0.3">
      <c r="B21" s="7" t="s">
        <v>29</v>
      </c>
      <c r="C21" s="8">
        <f t="shared" si="2"/>
        <v>4.1111826864414572E-2</v>
      </c>
      <c r="D21" s="8">
        <f t="shared" si="3"/>
        <v>3.9877766806825102E-2</v>
      </c>
      <c r="E21" s="8">
        <f t="shared" si="4"/>
        <v>4.5181527655426837E-2</v>
      </c>
      <c r="F21" s="8">
        <f t="shared" si="5"/>
        <v>9.2443473940742496E-2</v>
      </c>
      <c r="G21" s="8">
        <f t="shared" si="6"/>
        <v>6.8969838418078314E-2</v>
      </c>
      <c r="H21" s="8">
        <f t="shared" si="7"/>
        <v>7.0991038561808092E-2</v>
      </c>
      <c r="J21" s="7" t="s">
        <v>29</v>
      </c>
      <c r="K21" s="7">
        <f t="shared" si="8"/>
        <v>7.4506244799220203E-2</v>
      </c>
      <c r="L21" s="7">
        <f t="shared" si="9"/>
        <v>7.6244403937945376E-2</v>
      </c>
      <c r="M21" s="7">
        <f t="shared" si="10"/>
        <v>9.3705622347996148E-2</v>
      </c>
      <c r="N21" s="7">
        <f t="shared" si="11"/>
        <v>7.6666181491644655E-2</v>
      </c>
      <c r="O21" s="7">
        <f t="shared" si="12"/>
        <v>8.6645135127306414E-2</v>
      </c>
      <c r="P21" s="7">
        <f t="shared" si="13"/>
        <v>7.7126570595078645E-2</v>
      </c>
    </row>
    <row r="22" spans="2:16" x14ac:dyDescent="0.3">
      <c r="B22" s="7" t="s">
        <v>34</v>
      </c>
      <c r="C22" s="8">
        <f t="shared" si="2"/>
        <v>-9.3084701922712371E-2</v>
      </c>
      <c r="D22" s="8">
        <f t="shared" si="3"/>
        <v>-3.0490433446090981E-2</v>
      </c>
      <c r="E22" s="8">
        <f t="shared" si="4"/>
        <v>-0.1214579680008965</v>
      </c>
      <c r="F22" s="8">
        <f t="shared" si="5"/>
        <v>-0.19673991196090113</v>
      </c>
      <c r="G22" s="8">
        <f t="shared" si="6"/>
        <v>-0.23647935075214382</v>
      </c>
      <c r="H22" s="8">
        <f t="shared" si="7"/>
        <v>-0.19448330332131378</v>
      </c>
      <c r="J22" s="7" t="s">
        <v>34</v>
      </c>
      <c r="K22" s="7">
        <f t="shared" si="8"/>
        <v>0.36222880806166746</v>
      </c>
      <c r="L22" s="7">
        <f t="shared" si="9"/>
        <v>0.38611912160584161</v>
      </c>
      <c r="M22" s="7">
        <f t="shared" si="10"/>
        <v>0.42574930942568567</v>
      </c>
      <c r="N22" s="7">
        <f t="shared" si="11"/>
        <v>0.35522244813784415</v>
      </c>
      <c r="O22" s="7">
        <f t="shared" si="12"/>
        <v>0.37380199461699748</v>
      </c>
      <c r="P22" s="7">
        <f t="shared" si="13"/>
        <v>0.35143360942421736</v>
      </c>
    </row>
    <row r="23" spans="2:16" x14ac:dyDescent="0.3">
      <c r="B23" s="7" t="s">
        <v>30</v>
      </c>
      <c r="C23" s="8">
        <f t="shared" si="2"/>
        <v>-0.14210476317851889</v>
      </c>
      <c r="D23" s="8">
        <f t="shared" si="3"/>
        <v>-0.21525710103673909</v>
      </c>
      <c r="E23" s="8">
        <f t="shared" si="4"/>
        <v>-0.2392043848683045</v>
      </c>
      <c r="F23" s="8">
        <f t="shared" si="5"/>
        <v>-7.8002199075954792E-2</v>
      </c>
      <c r="G23" s="8">
        <f t="shared" si="6"/>
        <v>-9.0683358496244648E-2</v>
      </c>
      <c r="H23" s="8">
        <f t="shared" si="7"/>
        <v>-7.2492557202676555E-2</v>
      </c>
      <c r="J23" s="7" t="s">
        <v>30</v>
      </c>
      <c r="K23" s="7">
        <f t="shared" si="8"/>
        <v>0.71192688301607565</v>
      </c>
      <c r="L23" s="7">
        <f t="shared" si="9"/>
        <v>0.74201703885597059</v>
      </c>
      <c r="M23" s="7">
        <f t="shared" si="10"/>
        <v>0.75186740760058401</v>
      </c>
      <c r="N23" s="7">
        <f t="shared" si="11"/>
        <v>0.68555922068214681</v>
      </c>
      <c r="O23" s="7">
        <f t="shared" si="12"/>
        <v>0.69077543214385884</v>
      </c>
      <c r="P23" s="7">
        <f t="shared" si="13"/>
        <v>0.68329290920881747</v>
      </c>
    </row>
    <row r="24" spans="2:16" x14ac:dyDescent="0.3">
      <c r="J24" s="12" t="s">
        <v>114</v>
      </c>
      <c r="K24" s="10">
        <f>SUM(K14:K23)</f>
        <v>1.2434888197225502</v>
      </c>
      <c r="L24" s="10">
        <f t="shared" ref="L24:P24" si="14">SUM(L14:L23)</f>
        <v>1.2831260906566033</v>
      </c>
      <c r="M24" s="10">
        <f t="shared" si="14"/>
        <v>1.3655686293104343</v>
      </c>
      <c r="N24" s="10">
        <f t="shared" si="14"/>
        <v>1.192466530318272</v>
      </c>
      <c r="O24" s="10">
        <f t="shared" si="14"/>
        <v>1.2445965680002655</v>
      </c>
      <c r="P24" s="10">
        <f t="shared" si="14"/>
        <v>1.2104644519501724</v>
      </c>
    </row>
    <row r="25" spans="2:16" x14ac:dyDescent="0.3">
      <c r="J25" s="13" t="s">
        <v>115</v>
      </c>
      <c r="K25" s="11">
        <f>1-K24</f>
        <v>-0.24348881972255021</v>
      </c>
      <c r="L25" s="11">
        <f t="shared" ref="L25:P25" si="15">1-L24</f>
        <v>-0.28312609065660332</v>
      </c>
      <c r="M25" s="11">
        <f t="shared" si="15"/>
        <v>-0.36556862931043432</v>
      </c>
      <c r="N25" s="11">
        <f t="shared" si="15"/>
        <v>-0.19246653031827199</v>
      </c>
      <c r="O25" s="11">
        <f t="shared" si="15"/>
        <v>-0.24459656800026552</v>
      </c>
      <c r="P25" s="11">
        <f t="shared" si="15"/>
        <v>-0.21046445195017238</v>
      </c>
    </row>
  </sheetData>
  <sortState xmlns:xlrd2="http://schemas.microsoft.com/office/spreadsheetml/2017/richdata2" ref="A2:P12">
    <sortCondition ref="B1:B12"/>
  </sortState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12A95-176E-4067-B3A3-892E5EFF9B94}">
  <dimension ref="A1:P33"/>
  <sheetViews>
    <sheetView workbookViewId="0">
      <selection activeCell="Y3" sqref="Y3"/>
    </sheetView>
  </sheetViews>
  <sheetFormatPr defaultRowHeight="14.4" x14ac:dyDescent="0.3"/>
  <sheetData>
    <row r="1" spans="1:16" ht="36.6" customHeight="1" x14ac:dyDescent="0.3">
      <c r="A1" s="1" t="s">
        <v>94</v>
      </c>
      <c r="B1" s="2" t="s">
        <v>95</v>
      </c>
      <c r="C1" s="3" t="s">
        <v>96</v>
      </c>
      <c r="D1" s="3" t="s">
        <v>97</v>
      </c>
      <c r="E1" s="3" t="s">
        <v>98</v>
      </c>
      <c r="F1" s="2" t="s">
        <v>99</v>
      </c>
      <c r="G1" s="3" t="s">
        <v>100</v>
      </c>
      <c r="H1" s="3" t="s">
        <v>101</v>
      </c>
      <c r="I1" s="4" t="s">
        <v>95</v>
      </c>
      <c r="J1" s="5" t="s">
        <v>95</v>
      </c>
      <c r="K1" s="6" t="s">
        <v>96</v>
      </c>
      <c r="L1" s="6" t="s">
        <v>97</v>
      </c>
      <c r="M1" s="6" t="s">
        <v>98</v>
      </c>
      <c r="N1" s="5" t="s">
        <v>99</v>
      </c>
      <c r="O1" s="6" t="s">
        <v>100</v>
      </c>
      <c r="P1" s="6" t="s">
        <v>101</v>
      </c>
    </row>
    <row r="2" spans="1:16" x14ac:dyDescent="0.3">
      <c r="A2" s="16" t="s">
        <v>45</v>
      </c>
      <c r="B2" s="17">
        <v>2.2951752543796659E-2</v>
      </c>
      <c r="C2" s="17">
        <v>1.4336917562724014E-2</v>
      </c>
      <c r="D2" s="17">
        <v>0</v>
      </c>
      <c r="E2" s="17">
        <v>2.1897810218978103E-2</v>
      </c>
      <c r="F2" s="17">
        <v>2.6229508196721311E-2</v>
      </c>
      <c r="G2" s="17">
        <v>9.9009900990099011E-3</v>
      </c>
      <c r="H2" s="17">
        <v>0.128</v>
      </c>
      <c r="I2" s="8">
        <v>2.2951752543796659E-2</v>
      </c>
      <c r="J2" s="9">
        <v>2.2951752543796659E-2</v>
      </c>
      <c r="K2" s="9">
        <v>1.4336917562724014E-2</v>
      </c>
      <c r="L2" s="9">
        <v>0</v>
      </c>
      <c r="M2" s="9">
        <v>2.1897810218978103E-2</v>
      </c>
      <c r="N2" s="9">
        <v>2.6229508196721311E-2</v>
      </c>
      <c r="O2" s="9">
        <v>9.9009900990099011E-3</v>
      </c>
      <c r="P2" s="9">
        <v>0.128</v>
      </c>
    </row>
    <row r="3" spans="1:16" x14ac:dyDescent="0.3">
      <c r="A3" s="16" t="s">
        <v>47</v>
      </c>
      <c r="B3" s="17">
        <v>2.4442126085601638E-2</v>
      </c>
      <c r="C3" s="17">
        <v>2.8673835125448029E-2</v>
      </c>
      <c r="D3" s="17">
        <v>2.8571428571428571E-2</v>
      </c>
      <c r="E3" s="17">
        <v>2.9197080291970802E-2</v>
      </c>
      <c r="F3" s="17">
        <v>5.5737704918032788E-2</v>
      </c>
      <c r="G3" s="17">
        <v>4.9504950495049507E-2</v>
      </c>
      <c r="H3" s="17">
        <v>1.6E-2</v>
      </c>
      <c r="I3" s="8">
        <v>4.7393878629398298E-2</v>
      </c>
      <c r="J3" s="8">
        <f>J2+B3</f>
        <v>4.7393878629398298E-2</v>
      </c>
      <c r="K3" s="8">
        <f t="shared" ref="K3:P14" si="0">K2+C3</f>
        <v>4.3010752688172046E-2</v>
      </c>
      <c r="L3" s="8">
        <f t="shared" si="0"/>
        <v>2.8571428571428571E-2</v>
      </c>
      <c r="M3" s="8">
        <f t="shared" si="0"/>
        <v>5.1094890510948905E-2</v>
      </c>
      <c r="N3" s="8">
        <f t="shared" si="0"/>
        <v>8.1967213114754106E-2</v>
      </c>
      <c r="O3" s="8">
        <f t="shared" si="0"/>
        <v>5.940594059405941E-2</v>
      </c>
      <c r="P3" s="8">
        <f t="shared" si="0"/>
        <v>0.14400000000000002</v>
      </c>
    </row>
    <row r="4" spans="1:16" x14ac:dyDescent="0.3">
      <c r="A4" s="16" t="s">
        <v>46</v>
      </c>
      <c r="B4" s="17">
        <v>2.7422873169211593E-2</v>
      </c>
      <c r="C4" s="17">
        <v>1.7921146953405017E-2</v>
      </c>
      <c r="D4" s="17">
        <v>2.8571428571428571E-2</v>
      </c>
      <c r="E4" s="17">
        <v>2.9197080291970802E-2</v>
      </c>
      <c r="F4" s="17">
        <v>6.5573770491803279E-3</v>
      </c>
      <c r="G4" s="17">
        <v>1.65016501650165E-2</v>
      </c>
      <c r="H4" s="17">
        <v>2.4E-2</v>
      </c>
      <c r="I4" s="8">
        <v>7.4816751798609887E-2</v>
      </c>
      <c r="J4" s="8">
        <f t="shared" ref="J4:J14" si="1">J3+B4</f>
        <v>7.4816751798609887E-2</v>
      </c>
      <c r="K4" s="8">
        <f t="shared" si="0"/>
        <v>6.0931899641577067E-2</v>
      </c>
      <c r="L4" s="8">
        <f t="shared" si="0"/>
        <v>5.7142857142857141E-2</v>
      </c>
      <c r="M4" s="8">
        <f t="shared" si="0"/>
        <v>8.0291970802919707E-2</v>
      </c>
      <c r="N4" s="8">
        <f t="shared" si="0"/>
        <v>8.8524590163934436E-2</v>
      </c>
      <c r="O4" s="8">
        <f t="shared" si="0"/>
        <v>7.590759075907591E-2</v>
      </c>
      <c r="P4" s="8">
        <f t="shared" si="0"/>
        <v>0.16800000000000001</v>
      </c>
    </row>
    <row r="5" spans="1:16" x14ac:dyDescent="0.3">
      <c r="A5" s="16" t="s">
        <v>40</v>
      </c>
      <c r="B5" s="17">
        <v>3.7652255206145756E-2</v>
      </c>
      <c r="C5" s="17">
        <v>3.2258064516129031E-2</v>
      </c>
      <c r="D5" s="17">
        <v>2.8571428571428571E-2</v>
      </c>
      <c r="E5" s="17">
        <v>4.3795620437956206E-2</v>
      </c>
      <c r="F5" s="17">
        <v>2.9508196721311476E-2</v>
      </c>
      <c r="G5" s="17">
        <v>3.3003300330033E-2</v>
      </c>
      <c r="H5" s="17">
        <v>0</v>
      </c>
      <c r="I5" s="8">
        <v>0.11246900700475565</v>
      </c>
      <c r="J5" s="8">
        <f t="shared" si="1"/>
        <v>0.11246900700475565</v>
      </c>
      <c r="K5" s="8">
        <f t="shared" si="0"/>
        <v>9.3189964157706098E-2</v>
      </c>
      <c r="L5" s="8">
        <f t="shared" si="0"/>
        <v>8.5714285714285715E-2</v>
      </c>
      <c r="M5" s="8">
        <f t="shared" si="0"/>
        <v>0.12408759124087591</v>
      </c>
      <c r="N5" s="8">
        <f t="shared" si="0"/>
        <v>0.11803278688524591</v>
      </c>
      <c r="O5" s="8">
        <f t="shared" si="0"/>
        <v>0.10891089108910891</v>
      </c>
      <c r="P5" s="8">
        <f t="shared" si="0"/>
        <v>0.16800000000000001</v>
      </c>
    </row>
    <row r="6" spans="1:16" x14ac:dyDescent="0.3">
      <c r="A6" s="16" t="s">
        <v>49</v>
      </c>
      <c r="B6" s="17">
        <v>4.3518907420705355E-2</v>
      </c>
      <c r="C6" s="17">
        <v>3.2258064516129031E-2</v>
      </c>
      <c r="D6" s="17">
        <v>7.1428571428571426E-3</v>
      </c>
      <c r="E6" s="17">
        <v>2.1897810218978103E-2</v>
      </c>
      <c r="F6" s="17">
        <v>7.5409836065573776E-2</v>
      </c>
      <c r="G6" s="17">
        <v>1.65016501650165E-2</v>
      </c>
      <c r="H6" s="17">
        <v>2.4E-2</v>
      </c>
      <c r="I6" s="8">
        <v>0.15598791442546101</v>
      </c>
      <c r="J6" s="8">
        <f t="shared" si="1"/>
        <v>0.15598791442546101</v>
      </c>
      <c r="K6" s="8">
        <f t="shared" si="0"/>
        <v>0.12544802867383514</v>
      </c>
      <c r="L6" s="8">
        <f t="shared" si="0"/>
        <v>9.285714285714286E-2</v>
      </c>
      <c r="M6" s="8">
        <f t="shared" si="0"/>
        <v>0.145985401459854</v>
      </c>
      <c r="N6" s="8">
        <f t="shared" si="0"/>
        <v>0.19344262295081968</v>
      </c>
      <c r="O6" s="8">
        <f t="shared" si="0"/>
        <v>0.1254125412541254</v>
      </c>
      <c r="P6" s="8">
        <f t="shared" si="0"/>
        <v>0.192</v>
      </c>
    </row>
    <row r="7" spans="1:16" x14ac:dyDescent="0.3">
      <c r="A7" s="16" t="s">
        <v>116</v>
      </c>
      <c r="B7" s="17">
        <v>4.3518907420705355E-2</v>
      </c>
      <c r="C7" s="17">
        <v>0.21863799283154123</v>
      </c>
      <c r="D7" s="17">
        <v>0.17857142857142858</v>
      </c>
      <c r="E7" s="17">
        <v>0.28467153284671531</v>
      </c>
      <c r="F7" s="17">
        <v>0.13114754098360656</v>
      </c>
      <c r="G7" s="17">
        <v>0.1254125412541254</v>
      </c>
      <c r="H7" s="17">
        <v>0.13600000000000001</v>
      </c>
      <c r="I7" s="8">
        <v>0.19950682184616636</v>
      </c>
      <c r="J7" s="8">
        <f t="shared" si="1"/>
        <v>0.19950682184616636</v>
      </c>
      <c r="K7" s="8">
        <f t="shared" si="0"/>
        <v>0.34408602150537637</v>
      </c>
      <c r="L7" s="8">
        <f t="shared" si="0"/>
        <v>0.27142857142857146</v>
      </c>
      <c r="M7" s="8">
        <f t="shared" si="0"/>
        <v>0.43065693430656932</v>
      </c>
      <c r="N7" s="8">
        <f t="shared" si="0"/>
        <v>0.32459016393442625</v>
      </c>
      <c r="O7" s="8">
        <f t="shared" si="0"/>
        <v>0.25082508250825081</v>
      </c>
      <c r="P7" s="8">
        <f t="shared" si="0"/>
        <v>0.32800000000000001</v>
      </c>
    </row>
    <row r="8" spans="1:16" x14ac:dyDescent="0.3">
      <c r="A8" s="16" t="s">
        <v>41</v>
      </c>
      <c r="B8" s="17">
        <v>4.4467326947308518E-2</v>
      </c>
      <c r="C8" s="17">
        <v>5.0179211469534052E-2</v>
      </c>
      <c r="D8" s="17">
        <v>2.8571428571428571E-2</v>
      </c>
      <c r="E8" s="17">
        <v>3.6496350364963501E-2</v>
      </c>
      <c r="F8" s="17">
        <v>2.6229508196721311E-2</v>
      </c>
      <c r="G8" s="17">
        <v>3.9603960396039604E-2</v>
      </c>
      <c r="H8" s="17">
        <v>2.4E-2</v>
      </c>
      <c r="I8" s="8">
        <v>0.24397414879347487</v>
      </c>
      <c r="J8" s="8">
        <f t="shared" si="1"/>
        <v>0.24397414879347487</v>
      </c>
      <c r="K8" s="8">
        <f t="shared" si="0"/>
        <v>0.39426523297491045</v>
      </c>
      <c r="L8" s="8">
        <f t="shared" si="0"/>
        <v>0.30000000000000004</v>
      </c>
      <c r="M8" s="8">
        <f t="shared" si="0"/>
        <v>0.46715328467153283</v>
      </c>
      <c r="N8" s="8">
        <f t="shared" si="0"/>
        <v>0.35081967213114756</v>
      </c>
      <c r="O8" s="8">
        <f t="shared" si="0"/>
        <v>0.29042904290429039</v>
      </c>
      <c r="P8" s="8">
        <f t="shared" si="0"/>
        <v>0.35200000000000004</v>
      </c>
    </row>
    <row r="9" spans="1:16" x14ac:dyDescent="0.3">
      <c r="A9" s="16" t="s">
        <v>50</v>
      </c>
      <c r="B9" s="17">
        <v>6.5617082390559162E-2</v>
      </c>
      <c r="C9" s="17">
        <v>2.8673835125448029E-2</v>
      </c>
      <c r="D9" s="17">
        <v>3.5714285714285712E-2</v>
      </c>
      <c r="E9" s="17">
        <v>0</v>
      </c>
      <c r="F9" s="17">
        <v>1.6393442622950821E-2</v>
      </c>
      <c r="G9" s="17">
        <v>2.6402640264026403E-2</v>
      </c>
      <c r="H9" s="17">
        <v>6.4000000000000001E-2</v>
      </c>
      <c r="I9" s="8">
        <v>0.30959123118403403</v>
      </c>
      <c r="J9" s="8">
        <f t="shared" si="1"/>
        <v>0.30959123118403403</v>
      </c>
      <c r="K9" s="8">
        <f t="shared" si="0"/>
        <v>0.42293906810035847</v>
      </c>
      <c r="L9" s="8">
        <f t="shared" si="0"/>
        <v>0.33571428571428574</v>
      </c>
      <c r="M9" s="8">
        <f t="shared" si="0"/>
        <v>0.46715328467153283</v>
      </c>
      <c r="N9" s="8">
        <f t="shared" si="0"/>
        <v>0.3672131147540984</v>
      </c>
      <c r="O9" s="8">
        <f t="shared" si="0"/>
        <v>0.31683168316831678</v>
      </c>
      <c r="P9" s="8">
        <f t="shared" si="0"/>
        <v>0.41600000000000004</v>
      </c>
    </row>
    <row r="10" spans="1:16" x14ac:dyDescent="0.3">
      <c r="A10" s="16" t="s">
        <v>44</v>
      </c>
      <c r="B10" s="17">
        <v>6.7662958797945996E-2</v>
      </c>
      <c r="C10" s="17">
        <v>4.3010752688172046E-2</v>
      </c>
      <c r="D10" s="17">
        <v>0.12142857142857143</v>
      </c>
      <c r="E10" s="17">
        <v>0.10948905109489052</v>
      </c>
      <c r="F10" s="17">
        <v>5.5737704918032788E-2</v>
      </c>
      <c r="G10" s="17">
        <v>3.6303630363036306E-2</v>
      </c>
      <c r="H10" s="17">
        <v>0.13600000000000001</v>
      </c>
      <c r="I10" s="8">
        <v>0.37725418998198001</v>
      </c>
      <c r="J10" s="8">
        <f t="shared" si="1"/>
        <v>0.37725418998198001</v>
      </c>
      <c r="K10" s="8">
        <f t="shared" si="0"/>
        <v>0.46594982078853053</v>
      </c>
      <c r="L10" s="8">
        <f t="shared" si="0"/>
        <v>0.45714285714285718</v>
      </c>
      <c r="M10" s="8">
        <f t="shared" si="0"/>
        <v>0.57664233576642332</v>
      </c>
      <c r="N10" s="8">
        <f t="shared" si="0"/>
        <v>0.42295081967213122</v>
      </c>
      <c r="O10" s="8">
        <f t="shared" si="0"/>
        <v>0.35313531353135308</v>
      </c>
      <c r="P10" s="8">
        <f t="shared" si="0"/>
        <v>0.55200000000000005</v>
      </c>
    </row>
    <row r="11" spans="1:16" x14ac:dyDescent="0.3">
      <c r="A11" s="16" t="s">
        <v>42</v>
      </c>
      <c r="B11" s="17">
        <v>6.8936550733670249E-2</v>
      </c>
      <c r="C11" s="17">
        <v>3.2258064516129031E-2</v>
      </c>
      <c r="D11" s="17">
        <v>1.4285714285714285E-2</v>
      </c>
      <c r="E11" s="17">
        <v>2.1897810218978103E-2</v>
      </c>
      <c r="F11" s="17">
        <v>2.2950819672131147E-2</v>
      </c>
      <c r="G11" s="17">
        <v>1.9801980198019802E-2</v>
      </c>
      <c r="H11" s="17">
        <v>4.8000000000000001E-2</v>
      </c>
      <c r="I11" s="8">
        <v>0.44619074071565024</v>
      </c>
      <c r="J11" s="8">
        <f t="shared" si="1"/>
        <v>0.44619074071565024</v>
      </c>
      <c r="K11" s="8">
        <f t="shared" si="0"/>
        <v>0.49820788530465954</v>
      </c>
      <c r="L11" s="8">
        <f t="shared" si="0"/>
        <v>0.47142857142857147</v>
      </c>
      <c r="M11" s="8">
        <f t="shared" si="0"/>
        <v>0.5985401459854014</v>
      </c>
      <c r="N11" s="8">
        <f t="shared" si="0"/>
        <v>0.44590163934426236</v>
      </c>
      <c r="O11" s="8">
        <f t="shared" si="0"/>
        <v>0.3729372937293729</v>
      </c>
      <c r="P11" s="8">
        <f t="shared" si="0"/>
        <v>0.60000000000000009</v>
      </c>
    </row>
    <row r="12" spans="1:16" x14ac:dyDescent="0.3">
      <c r="A12" s="16" t="s">
        <v>48</v>
      </c>
      <c r="B12" s="17">
        <v>7.4423835137588573E-2</v>
      </c>
      <c r="C12" s="17">
        <v>6.4516129032258063E-2</v>
      </c>
      <c r="D12" s="17">
        <v>1.4285714285714285E-2</v>
      </c>
      <c r="E12" s="17">
        <v>1.4598540145985401E-2</v>
      </c>
      <c r="F12" s="17">
        <v>3.6065573770491806E-2</v>
      </c>
      <c r="G12" s="17">
        <v>3.9603960396039604E-2</v>
      </c>
      <c r="H12" s="17">
        <v>0.04</v>
      </c>
      <c r="I12" s="8">
        <v>0.52061457585323878</v>
      </c>
      <c r="J12" s="8">
        <f t="shared" si="1"/>
        <v>0.52061457585323878</v>
      </c>
      <c r="K12" s="8">
        <f t="shared" si="0"/>
        <v>0.56272401433691766</v>
      </c>
      <c r="L12" s="8">
        <f t="shared" si="0"/>
        <v>0.48571428571428577</v>
      </c>
      <c r="M12" s="8">
        <f t="shared" si="0"/>
        <v>0.61313868613138678</v>
      </c>
      <c r="N12" s="8">
        <f t="shared" si="0"/>
        <v>0.48196721311475416</v>
      </c>
      <c r="O12" s="8">
        <f t="shared" si="0"/>
        <v>0.41254125412541248</v>
      </c>
      <c r="P12" s="8">
        <f t="shared" si="0"/>
        <v>0.64000000000000012</v>
      </c>
    </row>
    <row r="13" spans="1:16" x14ac:dyDescent="0.3">
      <c r="A13" s="16" t="s">
        <v>43</v>
      </c>
      <c r="B13" s="17">
        <v>8.7308791849011608E-2</v>
      </c>
      <c r="C13" s="17">
        <v>6.093189964157706E-2</v>
      </c>
      <c r="D13" s="17">
        <v>0.1</v>
      </c>
      <c r="E13" s="17">
        <v>5.1094890510948905E-2</v>
      </c>
      <c r="F13" s="17">
        <v>7.5409836065573776E-2</v>
      </c>
      <c r="G13" s="17">
        <v>5.2805280528052806E-2</v>
      </c>
      <c r="H13" s="17">
        <v>0.104</v>
      </c>
      <c r="I13" s="8">
        <v>0.60792336770225042</v>
      </c>
      <c r="J13" s="8">
        <f t="shared" si="1"/>
        <v>0.60792336770225042</v>
      </c>
      <c r="K13" s="8">
        <f t="shared" si="0"/>
        <v>0.62365591397849474</v>
      </c>
      <c r="L13" s="8">
        <f t="shared" si="0"/>
        <v>0.58571428571428574</v>
      </c>
      <c r="M13" s="8">
        <f t="shared" si="0"/>
        <v>0.66423357664233573</v>
      </c>
      <c r="N13" s="8">
        <f t="shared" si="0"/>
        <v>0.55737704918032793</v>
      </c>
      <c r="O13" s="8">
        <f t="shared" si="0"/>
        <v>0.46534653465346532</v>
      </c>
      <c r="P13" s="8">
        <f t="shared" si="0"/>
        <v>0.74400000000000011</v>
      </c>
    </row>
    <row r="14" spans="1:16" x14ac:dyDescent="0.3">
      <c r="A14" s="16" t="s">
        <v>39</v>
      </c>
      <c r="B14" s="17">
        <v>0.16514693728237159</v>
      </c>
      <c r="C14" s="17">
        <v>0.15412186379928317</v>
      </c>
      <c r="D14" s="17">
        <v>0.19285714285714287</v>
      </c>
      <c r="E14" s="17">
        <v>6.569343065693431E-2</v>
      </c>
      <c r="F14" s="17">
        <v>0.21639344262295082</v>
      </c>
      <c r="G14" s="17">
        <v>0.22442244224422442</v>
      </c>
      <c r="H14" s="17">
        <v>0.17599999999999999</v>
      </c>
      <c r="I14" s="8">
        <v>0.77307030498462204</v>
      </c>
      <c r="J14" s="8">
        <f t="shared" si="1"/>
        <v>0.77307030498462204</v>
      </c>
      <c r="K14" s="8">
        <f t="shared" si="0"/>
        <v>0.7777777777777779</v>
      </c>
      <c r="L14" s="8">
        <f t="shared" si="0"/>
        <v>0.77857142857142858</v>
      </c>
      <c r="M14" s="8">
        <f t="shared" si="0"/>
        <v>0.72992700729927007</v>
      </c>
      <c r="N14" s="8">
        <f t="shared" si="0"/>
        <v>0.77377049180327873</v>
      </c>
      <c r="O14" s="8">
        <f t="shared" si="0"/>
        <v>0.68976897689768979</v>
      </c>
      <c r="P14" s="8">
        <f t="shared" si="0"/>
        <v>0.92000000000000015</v>
      </c>
    </row>
    <row r="15" spans="1:16" x14ac:dyDescent="0.3">
      <c r="A15" s="16" t="s">
        <v>38</v>
      </c>
      <c r="B15" s="17">
        <v>0.22692969501537794</v>
      </c>
      <c r="C15" s="17">
        <v>0.22222222222222221</v>
      </c>
      <c r="D15" s="17">
        <v>0.22142857142857142</v>
      </c>
      <c r="E15" s="17">
        <v>0.27007299270072993</v>
      </c>
      <c r="F15" s="17">
        <v>0.2262295081967213</v>
      </c>
      <c r="G15" s="17">
        <v>0.31023102310231021</v>
      </c>
      <c r="H15" s="17">
        <v>0.08</v>
      </c>
      <c r="I15" s="8">
        <v>1</v>
      </c>
      <c r="J15" s="8">
        <f t="shared" ref="J15" si="2">J14+B15</f>
        <v>1</v>
      </c>
      <c r="K15" s="8">
        <f t="shared" ref="K15" si="3">K14+C15</f>
        <v>1</v>
      </c>
      <c r="L15" s="8">
        <f t="shared" ref="L15" si="4">L14+D15</f>
        <v>1</v>
      </c>
      <c r="M15" s="8">
        <f t="shared" ref="M15" si="5">M14+E15</f>
        <v>1</v>
      </c>
      <c r="N15" s="8">
        <f t="shared" ref="N15" si="6">N14+F15</f>
        <v>1</v>
      </c>
      <c r="O15" s="8">
        <f t="shared" ref="O15" si="7">O14+G15</f>
        <v>1</v>
      </c>
      <c r="P15" s="8">
        <f t="shared" ref="P15" si="8">P14+H15</f>
        <v>1.0000000000000002</v>
      </c>
    </row>
    <row r="16" spans="1:16" x14ac:dyDescent="0.3">
      <c r="A16" s="18"/>
      <c r="B16" s="17"/>
      <c r="C16" s="17"/>
      <c r="D16" s="17"/>
      <c r="E16" s="17"/>
      <c r="F16" s="17"/>
      <c r="G16" s="17"/>
      <c r="H16" s="17"/>
    </row>
    <row r="17" spans="2:16" ht="28.8" x14ac:dyDescent="0.3">
      <c r="B17" s="1" t="s">
        <v>94</v>
      </c>
      <c r="C17" s="3" t="s">
        <v>102</v>
      </c>
      <c r="D17" s="3" t="s">
        <v>103</v>
      </c>
      <c r="E17" s="3" t="s">
        <v>104</v>
      </c>
      <c r="F17" s="3" t="s">
        <v>105</v>
      </c>
      <c r="G17" s="3" t="s">
        <v>106</v>
      </c>
      <c r="H17" s="3" t="s">
        <v>107</v>
      </c>
      <c r="J17" s="7"/>
      <c r="K17" s="10" t="s">
        <v>108</v>
      </c>
      <c r="L17" s="10" t="s">
        <v>109</v>
      </c>
      <c r="M17" s="10" t="s">
        <v>110</v>
      </c>
      <c r="N17" s="10" t="s">
        <v>111</v>
      </c>
      <c r="O17" s="10" t="s">
        <v>112</v>
      </c>
      <c r="P17" s="10" t="s">
        <v>113</v>
      </c>
    </row>
    <row r="18" spans="2:16" x14ac:dyDescent="0.3">
      <c r="B18" s="7" t="s">
        <v>45</v>
      </c>
      <c r="C18" s="8">
        <f t="shared" ref="C18:C31" si="9">C2-B2</f>
        <v>-8.614834981072645E-3</v>
      </c>
      <c r="D18" s="8">
        <f t="shared" ref="D18:D31" si="10">D2-B2</f>
        <v>-2.2951752543796659E-2</v>
      </c>
      <c r="E18" s="8">
        <f t="shared" ref="E18:E31" si="11">E2-B2</f>
        <v>-1.0539423248185562E-3</v>
      </c>
      <c r="F18" s="8">
        <f t="shared" ref="F18:F31" si="12">F2-B2</f>
        <v>3.2777556529246521E-3</v>
      </c>
      <c r="G18" s="8">
        <f t="shared" ref="G18:G31" si="13">G2-B2</f>
        <v>-1.3050762444786758E-2</v>
      </c>
      <c r="H18" s="8">
        <f t="shared" ref="H18:H31" si="14">H2-B2</f>
        <v>0.10504824745620334</v>
      </c>
      <c r="J18" s="7" t="s">
        <v>45</v>
      </c>
      <c r="K18" s="7">
        <f>(J2-0) * (K2+0)</f>
        <v>3.2905738414045388E-4</v>
      </c>
      <c r="L18" s="7">
        <f>(J2-0) * (L2+0)</f>
        <v>0</v>
      </c>
      <c r="M18" s="7">
        <f>(J2-0) * (M2+0)</f>
        <v>5.0259312139700721E-4</v>
      </c>
      <c r="N18" s="7">
        <f>(J2-0) * (N2+0)</f>
        <v>6.0201318147663373E-4</v>
      </c>
      <c r="O18" s="7">
        <f>(J2-0) * (O2+0)</f>
        <v>2.2724507469105604E-4</v>
      </c>
      <c r="P18" s="7">
        <f>(J2-0) * (P2+0)</f>
        <v>2.9378243256059726E-3</v>
      </c>
    </row>
    <row r="19" spans="2:16" x14ac:dyDescent="0.3">
      <c r="B19" s="7" t="s">
        <v>47</v>
      </c>
      <c r="C19" s="8">
        <f t="shared" si="9"/>
        <v>4.2317090398463902E-3</v>
      </c>
      <c r="D19" s="8">
        <f t="shared" si="10"/>
        <v>4.1293024858269321E-3</v>
      </c>
      <c r="E19" s="8">
        <f t="shared" si="11"/>
        <v>4.7549542063691635E-3</v>
      </c>
      <c r="F19" s="8">
        <f t="shared" si="12"/>
        <v>3.1295578832431149E-2</v>
      </c>
      <c r="G19" s="8">
        <f t="shared" si="13"/>
        <v>2.5062824409447869E-2</v>
      </c>
      <c r="H19" s="8">
        <f t="shared" si="14"/>
        <v>-8.4421260856016381E-3</v>
      </c>
      <c r="J19" s="7" t="s">
        <v>47</v>
      </c>
      <c r="K19" s="7">
        <f>(J3-J2) * (K3+K2)</f>
        <v>1.4016989869879077E-3</v>
      </c>
      <c r="L19" s="7">
        <f>(J3-J2) * (L3+L2)</f>
        <v>6.9834645958861822E-4</v>
      </c>
      <c r="M19" s="7">
        <f>(J3-J2) * (M3+M2)</f>
        <v>1.7840967945694625E-3</v>
      </c>
      <c r="N19" s="7">
        <f>(J3-J2) * (N3+N2)</f>
        <v>2.6445579043437844E-3</v>
      </c>
      <c r="O19" s="7">
        <f>(J3-J2) * (O3+O2)</f>
        <v>1.6940087386060542E-3</v>
      </c>
      <c r="P19" s="7">
        <f>(J3-J2) * (P3+P2)</f>
        <v>6.6482582952836463E-3</v>
      </c>
    </row>
    <row r="20" spans="2:16" x14ac:dyDescent="0.3">
      <c r="B20" s="7" t="s">
        <v>46</v>
      </c>
      <c r="C20" s="8">
        <f t="shared" si="9"/>
        <v>-9.501726215806576E-3</v>
      </c>
      <c r="D20" s="8">
        <f t="shared" si="10"/>
        <v>1.1485554022169775E-3</v>
      </c>
      <c r="E20" s="8">
        <f t="shared" si="11"/>
        <v>1.7742071227592089E-3</v>
      </c>
      <c r="F20" s="8">
        <f t="shared" si="12"/>
        <v>-2.0865496120031267E-2</v>
      </c>
      <c r="G20" s="8">
        <f t="shared" si="13"/>
        <v>-1.0921223004195093E-2</v>
      </c>
      <c r="H20" s="8">
        <f t="shared" si="14"/>
        <v>-3.4228731692115925E-3</v>
      </c>
      <c r="J20" s="7" t="s">
        <v>46</v>
      </c>
      <c r="K20" s="7">
        <f t="shared" ref="K20:K31" si="15">(J4-J3) * (K4+K3)</f>
        <v>2.8504061717101654E-3</v>
      </c>
      <c r="L20" s="7">
        <f t="shared" ref="L20:L31" si="16">(J4-J3) * (L4+L3)</f>
        <v>2.350531985932422E-3</v>
      </c>
      <c r="M20" s="7">
        <f t="shared" ref="M20:M31" si="17">(J4-J3) * (M4+M3)</f>
        <v>3.6030052339110119E-3</v>
      </c>
      <c r="N20" s="7">
        <f t="shared" ref="N20:N31" si="18">(J4-J3) * (N4+N3)</f>
        <v>4.6753750977016487E-3</v>
      </c>
      <c r="O20" s="7">
        <f t="shared" ref="O20:O31" si="19">(J4-J3) * (O4+O3)</f>
        <v>3.7106858083751654E-3</v>
      </c>
      <c r="P20" s="7">
        <f t="shared" ref="P20:P31" si="20">(J4-J3) * (P4+P3)</f>
        <v>8.5559364287940178E-3</v>
      </c>
    </row>
    <row r="21" spans="2:16" x14ac:dyDescent="0.3">
      <c r="B21" s="7" t="s">
        <v>40</v>
      </c>
      <c r="C21" s="8">
        <f t="shared" si="9"/>
        <v>-5.3941906900167244E-3</v>
      </c>
      <c r="D21" s="8">
        <f t="shared" si="10"/>
        <v>-9.0808266347171852E-3</v>
      </c>
      <c r="E21" s="8">
        <f t="shared" si="11"/>
        <v>6.1433652318104506E-3</v>
      </c>
      <c r="F21" s="8">
        <f t="shared" si="12"/>
        <v>-8.1440584848342795E-3</v>
      </c>
      <c r="G21" s="8">
        <f t="shared" si="13"/>
        <v>-4.6489548761127555E-3</v>
      </c>
      <c r="H21" s="8">
        <f t="shared" si="14"/>
        <v>-3.7652255206145756E-2</v>
      </c>
      <c r="J21" s="7" t="s">
        <v>40</v>
      </c>
      <c r="K21" s="7">
        <f t="shared" si="15"/>
        <v>5.8030357486174473E-3</v>
      </c>
      <c r="L21" s="7">
        <f t="shared" si="16"/>
        <v>5.3788936008779655E-3</v>
      </c>
      <c r="M21" s="7">
        <f t="shared" si="17"/>
        <v>7.6953514289932945E-3</v>
      </c>
      <c r="N21" s="7">
        <f t="shared" si="18"/>
        <v>7.7773510753678136E-3</v>
      </c>
      <c r="O21" s="7">
        <f t="shared" si="19"/>
        <v>6.9588326453602738E-3</v>
      </c>
      <c r="P21" s="7">
        <f t="shared" si="20"/>
        <v>1.2651157749264978E-2</v>
      </c>
    </row>
    <row r="22" spans="2:16" x14ac:dyDescent="0.3">
      <c r="B22" s="7" t="s">
        <v>49</v>
      </c>
      <c r="C22" s="8">
        <f t="shared" si="9"/>
        <v>-1.1260842904576324E-2</v>
      </c>
      <c r="D22" s="8">
        <f t="shared" si="10"/>
        <v>-3.637605027784821E-2</v>
      </c>
      <c r="E22" s="8">
        <f t="shared" si="11"/>
        <v>-2.1621097201727252E-2</v>
      </c>
      <c r="F22" s="8">
        <f t="shared" si="12"/>
        <v>3.1890928644868421E-2</v>
      </c>
      <c r="G22" s="8">
        <f t="shared" si="13"/>
        <v>-2.7017257255688855E-2</v>
      </c>
      <c r="H22" s="8">
        <f t="shared" si="14"/>
        <v>-1.9518907420705355E-2</v>
      </c>
      <c r="J22" s="7" t="s">
        <v>49</v>
      </c>
      <c r="K22" s="7">
        <f t="shared" si="15"/>
        <v>9.5148865686846846E-3</v>
      </c>
      <c r="L22" s="7">
        <f t="shared" si="16"/>
        <v>7.7712334679830991E-3</v>
      </c>
      <c r="M22" s="7">
        <f t="shared" si="17"/>
        <v>1.1753281566175899E-2</v>
      </c>
      <c r="N22" s="7">
        <f t="shared" si="18"/>
        <v>1.3555069524481997E-2</v>
      </c>
      <c r="O22" s="7">
        <f t="shared" si="19"/>
        <v>1.019749975864713E-2</v>
      </c>
      <c r="P22" s="7">
        <f t="shared" si="20"/>
        <v>1.5666806671453926E-2</v>
      </c>
    </row>
    <row r="23" spans="2:16" x14ac:dyDescent="0.3">
      <c r="B23" s="7" t="s">
        <v>116</v>
      </c>
      <c r="C23" s="8">
        <f t="shared" si="9"/>
        <v>0.17511908541083587</v>
      </c>
      <c r="D23" s="8">
        <f t="shared" si="10"/>
        <v>0.13505252115072322</v>
      </c>
      <c r="E23" s="8">
        <f t="shared" si="11"/>
        <v>0.24115262542600996</v>
      </c>
      <c r="F23" s="8">
        <f t="shared" si="12"/>
        <v>8.7628633562901209E-2</v>
      </c>
      <c r="G23" s="8">
        <f t="shared" si="13"/>
        <v>8.1893633833420049E-2</v>
      </c>
      <c r="H23" s="8">
        <f t="shared" si="14"/>
        <v>9.2481092579294655E-2</v>
      </c>
      <c r="J23" s="7" t="s">
        <v>116</v>
      </c>
      <c r="K23" s="7">
        <f t="shared" si="15"/>
        <v>2.043360886061793E-2</v>
      </c>
      <c r="L23" s="7">
        <f t="shared" si="16"/>
        <v>1.5853316274685524E-2</v>
      </c>
      <c r="M23" s="7">
        <f t="shared" si="17"/>
        <v>2.5094844425078269E-2</v>
      </c>
      <c r="N23" s="7">
        <f t="shared" si="18"/>
        <v>2.2544220893349003E-2</v>
      </c>
      <c r="O23" s="7">
        <f t="shared" si="19"/>
        <v>1.6373450316701024E-2</v>
      </c>
      <c r="P23" s="7">
        <f t="shared" si="20"/>
        <v>2.2629831858766786E-2</v>
      </c>
    </row>
    <row r="24" spans="2:16" x14ac:dyDescent="0.3">
      <c r="B24" s="7" t="s">
        <v>41</v>
      </c>
      <c r="C24" s="8">
        <f t="shared" si="9"/>
        <v>5.7118845222255341E-3</v>
      </c>
      <c r="D24" s="8">
        <f t="shared" si="10"/>
        <v>-1.5895898375879947E-2</v>
      </c>
      <c r="E24" s="8">
        <f t="shared" si="11"/>
        <v>-7.9709765823450171E-3</v>
      </c>
      <c r="F24" s="8">
        <f t="shared" si="12"/>
        <v>-1.8237818750587206E-2</v>
      </c>
      <c r="G24" s="8">
        <f t="shared" si="13"/>
        <v>-4.8633665512689134E-3</v>
      </c>
      <c r="H24" s="8">
        <f t="shared" si="14"/>
        <v>-2.0467326947308517E-2</v>
      </c>
      <c r="J24" s="7" t="s">
        <v>41</v>
      </c>
      <c r="K24" s="7">
        <f t="shared" si="15"/>
        <v>3.28325066349303E-2</v>
      </c>
      <c r="L24" s="7">
        <f t="shared" si="16"/>
        <v>2.5409901112747723E-2</v>
      </c>
      <c r="M24" s="7">
        <f t="shared" si="17"/>
        <v>3.9923220543933914E-2</v>
      </c>
      <c r="N24" s="7">
        <f t="shared" si="18"/>
        <v>3.0033670003755914E-2</v>
      </c>
      <c r="O24" s="7">
        <f t="shared" si="19"/>
        <v>2.4068124156298991E-2</v>
      </c>
      <c r="P24" s="7">
        <f t="shared" si="20"/>
        <v>3.0237782324169789E-2</v>
      </c>
    </row>
    <row r="25" spans="2:16" x14ac:dyDescent="0.3">
      <c r="B25" s="7" t="s">
        <v>50</v>
      </c>
      <c r="C25" s="8">
        <f t="shared" si="9"/>
        <v>-3.6943247265111133E-2</v>
      </c>
      <c r="D25" s="8">
        <f t="shared" si="10"/>
        <v>-2.9902796676273449E-2</v>
      </c>
      <c r="E25" s="8">
        <f t="shared" si="11"/>
        <v>-6.5617082390559162E-2</v>
      </c>
      <c r="F25" s="8">
        <f t="shared" si="12"/>
        <v>-4.9223639767608338E-2</v>
      </c>
      <c r="G25" s="8">
        <f t="shared" si="13"/>
        <v>-3.9214442126532759E-2</v>
      </c>
      <c r="H25" s="8">
        <f t="shared" si="14"/>
        <v>-1.6170823905591603E-3</v>
      </c>
      <c r="J25" s="7" t="s">
        <v>50</v>
      </c>
      <c r="K25" s="7">
        <f t="shared" si="15"/>
        <v>5.3622561953575239E-2</v>
      </c>
      <c r="L25" s="7">
        <f t="shared" si="16"/>
        <v>4.1713716662569761E-2</v>
      </c>
      <c r="M25" s="7">
        <f t="shared" si="17"/>
        <v>6.1306471138624613E-2</v>
      </c>
      <c r="N25" s="7">
        <f t="shared" si="18"/>
        <v>4.711521653617199E-2</v>
      </c>
      <c r="O25" s="7">
        <f t="shared" si="19"/>
        <v>3.9846677095257042E-2</v>
      </c>
      <c r="P25" s="7">
        <f t="shared" si="20"/>
        <v>5.0393919275949439E-2</v>
      </c>
    </row>
    <row r="26" spans="2:16" x14ac:dyDescent="0.3">
      <c r="B26" s="7" t="s">
        <v>44</v>
      </c>
      <c r="C26" s="8">
        <f t="shared" si="9"/>
        <v>-2.465220610977395E-2</v>
      </c>
      <c r="D26" s="8">
        <f t="shared" si="10"/>
        <v>5.3765612630625431E-2</v>
      </c>
      <c r="E26" s="8">
        <f t="shared" si="11"/>
        <v>4.182609229694452E-2</v>
      </c>
      <c r="F26" s="8">
        <f t="shared" si="12"/>
        <v>-1.1925253879913209E-2</v>
      </c>
      <c r="G26" s="8">
        <f t="shared" si="13"/>
        <v>-3.135932843490969E-2</v>
      </c>
      <c r="H26" s="8">
        <f t="shared" si="14"/>
        <v>6.8337041202054014E-2</v>
      </c>
      <c r="J26" s="7" t="s">
        <v>44</v>
      </c>
      <c r="K26" s="7">
        <f t="shared" si="15"/>
        <v>6.0144852264840884E-2</v>
      </c>
      <c r="L26" s="7">
        <f t="shared" si="16"/>
        <v>5.3647060189800033E-2</v>
      </c>
      <c r="M26" s="7">
        <f t="shared" si="17"/>
        <v>7.0626300059169894E-2</v>
      </c>
      <c r="N26" s="7">
        <f t="shared" si="18"/>
        <v>5.3464829738704867E-2</v>
      </c>
      <c r="O26" s="7">
        <f t="shared" si="19"/>
        <v>4.5331949293673374E-2</v>
      </c>
      <c r="P26" s="7">
        <f t="shared" si="20"/>
        <v>6.549774411641171E-2</v>
      </c>
    </row>
    <row r="27" spans="2:16" x14ac:dyDescent="0.3">
      <c r="B27" s="7" t="s">
        <v>42</v>
      </c>
      <c r="C27" s="8">
        <f t="shared" si="9"/>
        <v>-3.6678486217541217E-2</v>
      </c>
      <c r="D27" s="8">
        <f t="shared" si="10"/>
        <v>-5.4650836447955965E-2</v>
      </c>
      <c r="E27" s="8">
        <f t="shared" si="11"/>
        <v>-4.7038740514692146E-2</v>
      </c>
      <c r="F27" s="8">
        <f t="shared" si="12"/>
        <v>-4.5985731061539102E-2</v>
      </c>
      <c r="G27" s="8">
        <f t="shared" si="13"/>
        <v>-4.9134570535650443E-2</v>
      </c>
      <c r="H27" s="8">
        <f t="shared" si="14"/>
        <v>-2.0936550733670248E-2</v>
      </c>
      <c r="J27" s="7" t="s">
        <v>42</v>
      </c>
      <c r="K27" s="7">
        <f t="shared" si="15"/>
        <v>6.6465706621352302E-2</v>
      </c>
      <c r="L27" s="7">
        <f t="shared" si="16"/>
        <v>6.401251139555092E-2</v>
      </c>
      <c r="M27" s="7">
        <f t="shared" si="17"/>
        <v>8.1013026774605132E-2</v>
      </c>
      <c r="N27" s="7">
        <f t="shared" si="18"/>
        <v>5.9895691621057741E-2</v>
      </c>
      <c r="O27" s="7">
        <f t="shared" si="19"/>
        <v>5.0052941126757247E-2</v>
      </c>
      <c r="P27" s="7">
        <f t="shared" si="20"/>
        <v>7.9414906445188102E-2</v>
      </c>
    </row>
    <row r="28" spans="2:16" x14ac:dyDescent="0.3">
      <c r="B28" s="7" t="s">
        <v>48</v>
      </c>
      <c r="C28" s="8">
        <f t="shared" si="9"/>
        <v>-9.9077061053305104E-3</v>
      </c>
      <c r="D28" s="8">
        <f t="shared" si="10"/>
        <v>-6.013812085187429E-2</v>
      </c>
      <c r="E28" s="8">
        <f t="shared" si="11"/>
        <v>-5.9825294991603176E-2</v>
      </c>
      <c r="F28" s="8">
        <f t="shared" si="12"/>
        <v>-3.8358261367096767E-2</v>
      </c>
      <c r="G28" s="8">
        <f t="shared" si="13"/>
        <v>-3.4819874741548969E-2</v>
      </c>
      <c r="H28" s="8">
        <f t="shared" si="14"/>
        <v>-3.4423835137588572E-2</v>
      </c>
      <c r="J28" s="7" t="s">
        <v>48</v>
      </c>
      <c r="K28" s="7">
        <f t="shared" si="15"/>
        <v>7.8958620791133388E-2</v>
      </c>
      <c r="L28" s="7">
        <f t="shared" si="16"/>
        <v>7.1234242203120482E-2</v>
      </c>
      <c r="M28" s="7">
        <f t="shared" si="17"/>
        <v>9.0177785641165673E-2</v>
      </c>
      <c r="N28" s="7">
        <f t="shared" si="18"/>
        <v>6.9055558504713316E-2</v>
      </c>
      <c r="O28" s="7">
        <f t="shared" si="19"/>
        <v>5.8458325949657004E-2</v>
      </c>
      <c r="P28" s="7">
        <f t="shared" si="20"/>
        <v>9.2285555570609815E-2</v>
      </c>
    </row>
    <row r="29" spans="2:16" x14ac:dyDescent="0.3">
      <c r="B29" s="7" t="s">
        <v>43</v>
      </c>
      <c r="C29" s="8">
        <f t="shared" si="9"/>
        <v>-2.6376892207434548E-2</v>
      </c>
      <c r="D29" s="8">
        <f t="shared" si="10"/>
        <v>1.2691208150988398E-2</v>
      </c>
      <c r="E29" s="8">
        <f t="shared" si="11"/>
        <v>-3.6213901338062703E-2</v>
      </c>
      <c r="F29" s="8">
        <f t="shared" si="12"/>
        <v>-1.1898955783437831E-2</v>
      </c>
      <c r="G29" s="8">
        <f t="shared" si="13"/>
        <v>-3.4503511320958802E-2</v>
      </c>
      <c r="H29" s="8">
        <f t="shared" si="14"/>
        <v>1.6691208150988388E-2</v>
      </c>
      <c r="J29" s="7" t="s">
        <v>43</v>
      </c>
      <c r="K29" s="7">
        <f t="shared" si="15"/>
        <v>0.10358139821513569</v>
      </c>
      <c r="L29" s="7">
        <f t="shared" si="16"/>
        <v>9.3545134123941054E-2</v>
      </c>
      <c r="M29" s="7">
        <f t="shared" si="17"/>
        <v>0.11152582900421193</v>
      </c>
      <c r="N29" s="7">
        <f t="shared" si="18"/>
        <v>9.0743891856185879E-2</v>
      </c>
      <c r="O29" s="7">
        <f t="shared" si="19"/>
        <v>7.6647322217284139E-2</v>
      </c>
      <c r="P29" s="7">
        <f t="shared" si="20"/>
        <v>0.12083536791903213</v>
      </c>
    </row>
    <row r="30" spans="2:16" x14ac:dyDescent="0.3">
      <c r="B30" s="7" t="s">
        <v>39</v>
      </c>
      <c r="C30" s="8">
        <f t="shared" si="9"/>
        <v>-1.1025073483088427E-2</v>
      </c>
      <c r="D30" s="8">
        <f t="shared" si="10"/>
        <v>2.7710205574771274E-2</v>
      </c>
      <c r="E30" s="8">
        <f t="shared" si="11"/>
        <v>-9.9453506625437282E-2</v>
      </c>
      <c r="F30" s="8">
        <f t="shared" si="12"/>
        <v>5.1246505340579229E-2</v>
      </c>
      <c r="G30" s="8">
        <f t="shared" si="13"/>
        <v>5.9275504961852826E-2</v>
      </c>
      <c r="H30" s="8">
        <f t="shared" si="14"/>
        <v>1.0853062717628398E-2</v>
      </c>
      <c r="J30" s="7" t="s">
        <v>39</v>
      </c>
      <c r="K30" s="7">
        <f t="shared" si="15"/>
        <v>0.23144248199787568</v>
      </c>
      <c r="L30" s="7">
        <f t="shared" si="16"/>
        <v>0.22530760729237842</v>
      </c>
      <c r="M30" s="7">
        <f t="shared" si="17"/>
        <v>0.23024135051775896</v>
      </c>
      <c r="N30" s="7">
        <f t="shared" si="18"/>
        <v>0.21983493946440288</v>
      </c>
      <c r="O30" s="7">
        <f t="shared" si="19"/>
        <v>0.19076378894003324</v>
      </c>
      <c r="P30" s="7">
        <f t="shared" si="20"/>
        <v>0.2748045036378664</v>
      </c>
    </row>
    <row r="31" spans="2:16" x14ac:dyDescent="0.3">
      <c r="B31" s="7" t="s">
        <v>38</v>
      </c>
      <c r="C31" s="8">
        <f t="shared" si="9"/>
        <v>-4.7074727931557259E-3</v>
      </c>
      <c r="D31" s="8">
        <f t="shared" si="10"/>
        <v>-5.5011235868065167E-3</v>
      </c>
      <c r="E31" s="8">
        <f t="shared" si="11"/>
        <v>4.3143297685351994E-2</v>
      </c>
      <c r="F31" s="8">
        <f t="shared" si="12"/>
        <v>-7.0018681865663401E-4</v>
      </c>
      <c r="G31" s="8">
        <f t="shared" si="13"/>
        <v>8.3301328086932275E-2</v>
      </c>
      <c r="H31" s="8">
        <f t="shared" si="14"/>
        <v>-0.14692969501537795</v>
      </c>
      <c r="J31" s="7" t="s">
        <v>38</v>
      </c>
      <c r="K31" s="7">
        <f t="shared" si="15"/>
        <v>0.40343056891622753</v>
      </c>
      <c r="L31" s="7">
        <f t="shared" si="16"/>
        <v>0.40361067184877936</v>
      </c>
      <c r="M31" s="7">
        <f t="shared" si="17"/>
        <v>0.39257180816528886</v>
      </c>
      <c r="N31" s="7">
        <f t="shared" si="18"/>
        <v>0.40252119673219505</v>
      </c>
      <c r="O31" s="7">
        <f t="shared" si="19"/>
        <v>0.38345875857383999</v>
      </c>
      <c r="P31" s="7">
        <f t="shared" si="20"/>
        <v>0.43570501442952575</v>
      </c>
    </row>
    <row r="32" spans="2:16" x14ac:dyDescent="0.3">
      <c r="J32" s="12" t="s">
        <v>114</v>
      </c>
      <c r="K32" s="10">
        <f>SUM(K18:K31)</f>
        <v>1.0708113911158295</v>
      </c>
      <c r="L32" s="10">
        <f t="shared" ref="L32:P32" si="21">SUM(L18:L31)</f>
        <v>1.0105331666179553</v>
      </c>
      <c r="M32" s="10">
        <f t="shared" si="21"/>
        <v>1.1278189644148839</v>
      </c>
      <c r="N32" s="10">
        <f t="shared" si="21"/>
        <v>1.0244635821339085</v>
      </c>
      <c r="O32" s="10">
        <f t="shared" si="21"/>
        <v>0.90778960969518163</v>
      </c>
      <c r="P32" s="10">
        <f t="shared" si="21"/>
        <v>1.2182646090479226</v>
      </c>
    </row>
    <row r="33" spans="10:16" x14ac:dyDescent="0.3">
      <c r="J33" s="13" t="s">
        <v>115</v>
      </c>
      <c r="K33" s="11">
        <f>1-K32</f>
        <v>-7.0811391115829458E-2</v>
      </c>
      <c r="L33" s="11">
        <f t="shared" ref="L33:P33" si="22">1-L32</f>
        <v>-1.0533166617955336E-2</v>
      </c>
      <c r="M33" s="11">
        <f t="shared" si="22"/>
        <v>-0.12781896441488394</v>
      </c>
      <c r="N33" s="11">
        <f t="shared" si="22"/>
        <v>-2.4463582133908535E-2</v>
      </c>
      <c r="O33" s="11">
        <f t="shared" si="22"/>
        <v>9.2210390304818368E-2</v>
      </c>
      <c r="P33" s="11">
        <f t="shared" si="22"/>
        <v>-0.21826460904792255</v>
      </c>
    </row>
  </sheetData>
  <sortState xmlns:xlrd2="http://schemas.microsoft.com/office/spreadsheetml/2017/richdata2" ref="A2:P15">
    <sortCondition ref="B1:B15"/>
  </sortState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6B6C3-20A2-47BB-8A79-9409E3924FC5}">
  <dimension ref="A1:P28"/>
  <sheetViews>
    <sheetView topLeftCell="B1" workbookViewId="0">
      <selection activeCell="Y9" sqref="Y9"/>
    </sheetView>
  </sheetViews>
  <sheetFormatPr defaultRowHeight="14.4" x14ac:dyDescent="0.3"/>
  <sheetData>
    <row r="1" spans="1:16" ht="36.6" customHeight="1" x14ac:dyDescent="0.3">
      <c r="A1" s="1" t="s">
        <v>94</v>
      </c>
      <c r="B1" s="2" t="s">
        <v>95</v>
      </c>
      <c r="C1" s="3" t="s">
        <v>96</v>
      </c>
      <c r="D1" s="3" t="s">
        <v>97</v>
      </c>
      <c r="E1" s="3" t="s">
        <v>98</v>
      </c>
      <c r="F1" s="2" t="s">
        <v>99</v>
      </c>
      <c r="G1" s="3" t="s">
        <v>100</v>
      </c>
      <c r="H1" s="3" t="s">
        <v>101</v>
      </c>
      <c r="I1" s="4" t="s">
        <v>95</v>
      </c>
      <c r="J1" s="5" t="s">
        <v>95</v>
      </c>
      <c r="K1" s="6" t="s">
        <v>96</v>
      </c>
      <c r="L1" s="6" t="s">
        <v>97</v>
      </c>
      <c r="M1" s="6" t="s">
        <v>98</v>
      </c>
      <c r="N1" s="5" t="s">
        <v>99</v>
      </c>
      <c r="O1" s="6" t="s">
        <v>100</v>
      </c>
      <c r="P1" s="6" t="s">
        <v>101</v>
      </c>
    </row>
    <row r="2" spans="1:16" x14ac:dyDescent="0.3">
      <c r="A2" s="8" t="s">
        <v>52</v>
      </c>
      <c r="B2" s="9">
        <v>8.9576824765691572E-3</v>
      </c>
      <c r="C2" s="9">
        <v>1.768172888015717E-2</v>
      </c>
      <c r="D2" s="9">
        <v>6.920415224913495E-3</v>
      </c>
      <c r="E2" s="9">
        <v>9.5693779904306216E-3</v>
      </c>
      <c r="F2" s="9">
        <v>1.0845986984815618E-2</v>
      </c>
      <c r="G2" s="9">
        <v>3.6101083032490976E-3</v>
      </c>
      <c r="H2" s="9">
        <v>3.4682080924855488E-2</v>
      </c>
      <c r="I2" s="8">
        <v>8.9576824765691572E-3</v>
      </c>
      <c r="J2" s="9">
        <v>8.9576824765691572E-3</v>
      </c>
      <c r="K2" s="9">
        <v>1.768172888015717E-2</v>
      </c>
      <c r="L2" s="9">
        <v>6.920415224913495E-3</v>
      </c>
      <c r="M2" s="9">
        <v>9.5693779904306216E-3</v>
      </c>
      <c r="N2" s="9">
        <v>1.0845986984815618E-2</v>
      </c>
      <c r="O2" s="9">
        <v>3.6101083032490976E-3</v>
      </c>
      <c r="P2" s="9">
        <v>3.4682080924855488E-2</v>
      </c>
    </row>
    <row r="3" spans="1:16" x14ac:dyDescent="0.3">
      <c r="A3" s="8" t="s">
        <v>60</v>
      </c>
      <c r="B3" s="9">
        <v>1.7262141437091736E-2</v>
      </c>
      <c r="C3" s="9">
        <v>2.5540275049115914E-2</v>
      </c>
      <c r="D3" s="9">
        <v>6.920415224913495E-3</v>
      </c>
      <c r="E3" s="9">
        <v>1.4354066985645933E-2</v>
      </c>
      <c r="F3" s="9">
        <v>6.5075921908893707E-3</v>
      </c>
      <c r="G3" s="9">
        <v>1.444043321299639E-2</v>
      </c>
      <c r="H3" s="9">
        <v>1.1560693641618497E-2</v>
      </c>
      <c r="I3" s="8">
        <v>2.6219823913660893E-2</v>
      </c>
      <c r="J3" s="8">
        <f>J2+B3</f>
        <v>2.6219823913660893E-2</v>
      </c>
      <c r="K3" s="8">
        <f>K2+C3</f>
        <v>4.3222003929273084E-2</v>
      </c>
      <c r="L3" s="8">
        <f t="shared" ref="L3:P12" si="0">L2+D3</f>
        <v>1.384083044982699E-2</v>
      </c>
      <c r="M3" s="8">
        <f t="shared" si="0"/>
        <v>2.3923444976076555E-2</v>
      </c>
      <c r="N3" s="8">
        <f t="shared" si="0"/>
        <v>1.735357917570499E-2</v>
      </c>
      <c r="O3" s="8">
        <f t="shared" si="0"/>
        <v>1.8050541516245487E-2</v>
      </c>
      <c r="P3" s="8">
        <f t="shared" si="0"/>
        <v>4.6242774566473986E-2</v>
      </c>
    </row>
    <row r="4" spans="1:16" x14ac:dyDescent="0.3">
      <c r="A4" s="8" t="s">
        <v>61</v>
      </c>
      <c r="B4" s="9">
        <v>2.0278330019880716E-2</v>
      </c>
      <c r="C4" s="9">
        <v>5.8939096267190572E-2</v>
      </c>
      <c r="D4" s="9">
        <v>1.0380622837370242E-2</v>
      </c>
      <c r="E4" s="9">
        <v>4.3062200956937802E-2</v>
      </c>
      <c r="F4" s="9">
        <v>3.9045553145336226E-2</v>
      </c>
      <c r="G4" s="9">
        <v>2.5270758122743681E-2</v>
      </c>
      <c r="H4" s="9">
        <v>7.5144508670520235E-2</v>
      </c>
      <c r="I4" s="8">
        <v>4.6498153933541606E-2</v>
      </c>
      <c r="J4" s="8">
        <f t="shared" ref="J4:K12" si="1">J3+B4</f>
        <v>4.6498153933541606E-2</v>
      </c>
      <c r="K4" s="8">
        <f t="shared" si="1"/>
        <v>0.10216110019646366</v>
      </c>
      <c r="L4" s="8">
        <f t="shared" si="0"/>
        <v>2.4221453287197232E-2</v>
      </c>
      <c r="M4" s="8">
        <f t="shared" si="0"/>
        <v>6.6985645933014357E-2</v>
      </c>
      <c r="N4" s="8">
        <f t="shared" si="0"/>
        <v>5.6399132321041212E-2</v>
      </c>
      <c r="O4" s="8">
        <f t="shared" si="0"/>
        <v>4.3321299638989168E-2</v>
      </c>
      <c r="P4" s="8">
        <f t="shared" si="0"/>
        <v>0.12138728323699421</v>
      </c>
    </row>
    <row r="5" spans="1:16" x14ac:dyDescent="0.3">
      <c r="A5" s="8" t="s">
        <v>58</v>
      </c>
      <c r="B5" s="9">
        <v>2.6401590457256461E-2</v>
      </c>
      <c r="C5" s="9">
        <v>2.3575638506876228E-2</v>
      </c>
      <c r="D5" s="9">
        <v>2.4221453287197232E-2</v>
      </c>
      <c r="E5" s="9">
        <v>1.4354066985645933E-2</v>
      </c>
      <c r="F5" s="9">
        <v>4.1214750542299353E-2</v>
      </c>
      <c r="G5" s="9">
        <v>3.9711191335740074E-2</v>
      </c>
      <c r="H5" s="9">
        <v>4.6242774566473986E-2</v>
      </c>
      <c r="I5" s="8">
        <v>7.2899744390798063E-2</v>
      </c>
      <c r="J5" s="8">
        <f t="shared" si="1"/>
        <v>7.2899744390798063E-2</v>
      </c>
      <c r="K5" s="8">
        <f t="shared" si="1"/>
        <v>0.12573673870333987</v>
      </c>
      <c r="L5" s="8">
        <f t="shared" si="0"/>
        <v>4.8442906574394463E-2</v>
      </c>
      <c r="M5" s="8">
        <f t="shared" si="0"/>
        <v>8.1339712918660295E-2</v>
      </c>
      <c r="N5" s="8">
        <f t="shared" si="0"/>
        <v>9.7613882863340565E-2</v>
      </c>
      <c r="O5" s="8">
        <f t="shared" si="0"/>
        <v>8.3032490974729242E-2</v>
      </c>
      <c r="P5" s="8">
        <f t="shared" si="0"/>
        <v>0.16763005780346821</v>
      </c>
    </row>
    <row r="6" spans="1:16" x14ac:dyDescent="0.3">
      <c r="A6" s="8" t="s">
        <v>59</v>
      </c>
      <c r="B6" s="9">
        <v>2.7026412950866233E-2</v>
      </c>
      <c r="C6" s="9">
        <v>2.9469548133595286E-2</v>
      </c>
      <c r="D6" s="9">
        <v>3.1141868512110725E-2</v>
      </c>
      <c r="E6" s="9">
        <v>8.1339712918660281E-2</v>
      </c>
      <c r="F6" s="9">
        <v>5.8568329718004339E-2</v>
      </c>
      <c r="G6" s="9">
        <v>5.7761732851985562E-2</v>
      </c>
      <c r="H6" s="9">
        <v>4.6242774566473986E-2</v>
      </c>
      <c r="I6" s="8">
        <v>9.9926157341664296E-2</v>
      </c>
      <c r="J6" s="8">
        <f t="shared" si="1"/>
        <v>9.9926157341664296E-2</v>
      </c>
      <c r="K6" s="8">
        <f t="shared" si="1"/>
        <v>0.15520628683693516</v>
      </c>
      <c r="L6" s="8">
        <f t="shared" si="0"/>
        <v>7.9584775086505188E-2</v>
      </c>
      <c r="M6" s="8">
        <f t="shared" si="0"/>
        <v>0.16267942583732059</v>
      </c>
      <c r="N6" s="8">
        <f t="shared" si="0"/>
        <v>0.1561822125813449</v>
      </c>
      <c r="O6" s="8">
        <f t="shared" si="0"/>
        <v>0.1407942238267148</v>
      </c>
      <c r="P6" s="8">
        <f t="shared" si="0"/>
        <v>0.2138728323699422</v>
      </c>
    </row>
    <row r="7" spans="1:16" x14ac:dyDescent="0.3">
      <c r="A7" s="8" t="s">
        <v>53</v>
      </c>
      <c r="B7" s="9">
        <v>3.0167566032377167E-2</v>
      </c>
      <c r="C7" s="9">
        <v>2.1611001964636542E-2</v>
      </c>
      <c r="D7" s="9">
        <v>1.384083044982699E-2</v>
      </c>
      <c r="E7" s="9">
        <v>2.3923444976076555E-2</v>
      </c>
      <c r="F7" s="9">
        <v>2.6030368763557483E-2</v>
      </c>
      <c r="G7" s="9">
        <v>3.2490974729241874E-2</v>
      </c>
      <c r="H7" s="9">
        <v>1.7341040462427744E-2</v>
      </c>
      <c r="I7" s="8">
        <v>0.13009372337404146</v>
      </c>
      <c r="J7" s="8">
        <f t="shared" si="1"/>
        <v>0.13009372337404146</v>
      </c>
      <c r="K7" s="8">
        <f t="shared" si="1"/>
        <v>0.17681728880157171</v>
      </c>
      <c r="L7" s="8">
        <f t="shared" si="0"/>
        <v>9.3425605536332182E-2</v>
      </c>
      <c r="M7" s="8">
        <f t="shared" si="0"/>
        <v>0.18660287081339716</v>
      </c>
      <c r="N7" s="8">
        <f t="shared" si="0"/>
        <v>0.1822125813449024</v>
      </c>
      <c r="O7" s="8">
        <f t="shared" si="0"/>
        <v>0.17328519855595667</v>
      </c>
      <c r="P7" s="8">
        <f t="shared" si="0"/>
        <v>0.23121387283236994</v>
      </c>
    </row>
    <row r="8" spans="1:16" x14ac:dyDescent="0.3">
      <c r="A8" s="8" t="s">
        <v>57</v>
      </c>
      <c r="B8" s="9">
        <v>3.2627094575404712E-2</v>
      </c>
      <c r="C8" s="9">
        <v>8.4479371316306479E-2</v>
      </c>
      <c r="D8" s="9">
        <v>8.9965397923875437E-2</v>
      </c>
      <c r="E8" s="9">
        <v>8.6124401913875603E-2</v>
      </c>
      <c r="F8" s="9">
        <v>6.0737527114967459E-2</v>
      </c>
      <c r="G8" s="9">
        <v>6.8592057761732855E-2</v>
      </c>
      <c r="H8" s="9">
        <v>6.9364161849710976E-2</v>
      </c>
      <c r="I8" s="8">
        <v>0.16272081794944618</v>
      </c>
      <c r="J8" s="8">
        <f t="shared" si="1"/>
        <v>0.16272081794944618</v>
      </c>
      <c r="K8" s="8">
        <f t="shared" si="1"/>
        <v>0.26129666011787822</v>
      </c>
      <c r="L8" s="8">
        <f t="shared" si="0"/>
        <v>0.18339100346020762</v>
      </c>
      <c r="M8" s="8">
        <f t="shared" si="0"/>
        <v>0.27272727272727276</v>
      </c>
      <c r="N8" s="8">
        <f t="shared" si="0"/>
        <v>0.24295010845986986</v>
      </c>
      <c r="O8" s="8">
        <f t="shared" si="0"/>
        <v>0.24187725631768953</v>
      </c>
      <c r="P8" s="8">
        <f t="shared" si="0"/>
        <v>0.30057803468208089</v>
      </c>
    </row>
    <row r="9" spans="1:16" x14ac:dyDescent="0.3">
      <c r="A9" s="8" t="s">
        <v>55</v>
      </c>
      <c r="B9" s="9">
        <v>6.1448452144277195E-2</v>
      </c>
      <c r="C9" s="9">
        <v>8.4479371316306479E-2</v>
      </c>
      <c r="D9" s="9">
        <v>4.4982698961937718E-2</v>
      </c>
      <c r="E9" s="9">
        <v>3.8277511961722487E-2</v>
      </c>
      <c r="F9" s="9">
        <v>3.6876355748373099E-2</v>
      </c>
      <c r="G9" s="9">
        <v>4.3321299638989168E-2</v>
      </c>
      <c r="H9" s="9">
        <v>9.8265895953757232E-2</v>
      </c>
      <c r="I9" s="8">
        <v>0.22416927009372337</v>
      </c>
      <c r="J9" s="8">
        <f t="shared" si="1"/>
        <v>0.22416927009372337</v>
      </c>
      <c r="K9" s="8">
        <f t="shared" si="1"/>
        <v>0.34577603143418467</v>
      </c>
      <c r="L9" s="8">
        <f t="shared" si="0"/>
        <v>0.22837370242214533</v>
      </c>
      <c r="M9" s="8">
        <f t="shared" si="0"/>
        <v>0.31100478468899523</v>
      </c>
      <c r="N9" s="8">
        <f t="shared" si="0"/>
        <v>0.27982646420824298</v>
      </c>
      <c r="O9" s="8">
        <f t="shared" si="0"/>
        <v>0.2851985559566787</v>
      </c>
      <c r="P9" s="8">
        <f t="shared" si="0"/>
        <v>0.39884393063583812</v>
      </c>
    </row>
    <row r="10" spans="1:16" x14ac:dyDescent="0.3">
      <c r="A10" s="8" t="s">
        <v>54</v>
      </c>
      <c r="B10" s="9">
        <v>6.4657767679636463E-2</v>
      </c>
      <c r="C10" s="9">
        <v>3.732809430255403E-2</v>
      </c>
      <c r="D10" s="9">
        <v>4.4982698961937718E-2</v>
      </c>
      <c r="E10" s="9">
        <v>5.7416267942583733E-2</v>
      </c>
      <c r="F10" s="9">
        <v>4.3383947939262472E-2</v>
      </c>
      <c r="G10" s="9">
        <v>5.0541516245487361E-2</v>
      </c>
      <c r="H10" s="9">
        <v>4.6242774566473986E-2</v>
      </c>
      <c r="I10" s="8">
        <v>0.28882703777335983</v>
      </c>
      <c r="J10" s="8">
        <f t="shared" si="1"/>
        <v>0.28882703777335983</v>
      </c>
      <c r="K10" s="8">
        <f t="shared" si="1"/>
        <v>0.38310412573673869</v>
      </c>
      <c r="L10" s="8">
        <f t="shared" si="0"/>
        <v>0.27335640138408307</v>
      </c>
      <c r="M10" s="8">
        <f t="shared" si="0"/>
        <v>0.36842105263157898</v>
      </c>
      <c r="N10" s="8">
        <f t="shared" si="0"/>
        <v>0.32321041214750545</v>
      </c>
      <c r="O10" s="8">
        <f t="shared" si="0"/>
        <v>0.33574007220216606</v>
      </c>
      <c r="P10" s="8">
        <f t="shared" si="0"/>
        <v>0.44508670520231208</v>
      </c>
    </row>
    <row r="11" spans="1:16" x14ac:dyDescent="0.3">
      <c r="A11" s="8" t="s">
        <v>56</v>
      </c>
      <c r="B11" s="9">
        <v>8.636750923033229E-2</v>
      </c>
      <c r="C11" s="9">
        <v>9.0373280943025547E-2</v>
      </c>
      <c r="D11" s="9">
        <v>6.5743944636678195E-2</v>
      </c>
      <c r="E11" s="9">
        <v>2.8708133971291867E-2</v>
      </c>
      <c r="F11" s="9">
        <v>8.2429501084598705E-2</v>
      </c>
      <c r="G11" s="9">
        <v>7.5812274368231042E-2</v>
      </c>
      <c r="H11" s="9">
        <v>8.0924855491329481E-2</v>
      </c>
      <c r="I11" s="8">
        <v>0.37519454700369215</v>
      </c>
      <c r="J11" s="8">
        <f t="shared" si="1"/>
        <v>0.37519454700369215</v>
      </c>
      <c r="K11" s="8">
        <f t="shared" si="1"/>
        <v>0.47347740667976423</v>
      </c>
      <c r="L11" s="8">
        <f t="shared" si="0"/>
        <v>0.33910034602076128</v>
      </c>
      <c r="M11" s="8">
        <f t="shared" si="0"/>
        <v>0.39712918660287083</v>
      </c>
      <c r="N11" s="8">
        <f t="shared" si="0"/>
        <v>0.40563991323210413</v>
      </c>
      <c r="O11" s="8">
        <f t="shared" si="0"/>
        <v>0.41155234657039708</v>
      </c>
      <c r="P11" s="8">
        <f t="shared" si="0"/>
        <v>0.52601156069364152</v>
      </c>
    </row>
    <row r="12" spans="1:16" x14ac:dyDescent="0.3">
      <c r="A12" s="8" t="s">
        <v>51</v>
      </c>
      <c r="B12" s="9">
        <v>0.62480545299630785</v>
      </c>
      <c r="C12" s="9">
        <v>0.52652259332023577</v>
      </c>
      <c r="D12" s="9">
        <v>0.66089965397923878</v>
      </c>
      <c r="E12" s="9">
        <v>0.60287081339712922</v>
      </c>
      <c r="F12" s="9">
        <v>0.59436008676789587</v>
      </c>
      <c r="G12" s="9">
        <v>0.58844765342960292</v>
      </c>
      <c r="H12" s="9">
        <v>0.47398843930635837</v>
      </c>
      <c r="I12" s="8">
        <v>1</v>
      </c>
      <c r="J12" s="8">
        <f t="shared" si="1"/>
        <v>1</v>
      </c>
      <c r="K12" s="8">
        <f t="shared" si="1"/>
        <v>1</v>
      </c>
      <c r="L12" s="8">
        <f t="shared" si="0"/>
        <v>1</v>
      </c>
      <c r="M12" s="8">
        <f t="shared" si="0"/>
        <v>1</v>
      </c>
      <c r="N12" s="8">
        <f t="shared" si="0"/>
        <v>1</v>
      </c>
      <c r="O12" s="8">
        <f t="shared" si="0"/>
        <v>1</v>
      </c>
      <c r="P12" s="8">
        <f t="shared" si="0"/>
        <v>0.99999999999999989</v>
      </c>
    </row>
    <row r="15" spans="1:16" ht="28.8" x14ac:dyDescent="0.3">
      <c r="B15" s="1" t="s">
        <v>94</v>
      </c>
      <c r="C15" s="3" t="s">
        <v>102</v>
      </c>
      <c r="D15" s="3" t="s">
        <v>103</v>
      </c>
      <c r="E15" s="3" t="s">
        <v>104</v>
      </c>
      <c r="F15" s="3" t="s">
        <v>105</v>
      </c>
      <c r="G15" s="3" t="s">
        <v>106</v>
      </c>
      <c r="H15" s="3" t="s">
        <v>107</v>
      </c>
      <c r="J15" s="7"/>
      <c r="K15" s="10" t="s">
        <v>108</v>
      </c>
      <c r="L15" s="10" t="s">
        <v>109</v>
      </c>
      <c r="M15" s="10" t="s">
        <v>110</v>
      </c>
      <c r="N15" s="10" t="s">
        <v>111</v>
      </c>
      <c r="O15" s="10" t="s">
        <v>112</v>
      </c>
      <c r="P15" s="10" t="s">
        <v>113</v>
      </c>
    </row>
    <row r="16" spans="1:16" x14ac:dyDescent="0.3">
      <c r="B16" s="8" t="s">
        <v>52</v>
      </c>
      <c r="C16" s="8">
        <f>C2-B2</f>
        <v>8.7240464035880129E-3</v>
      </c>
      <c r="D16" s="8">
        <f>D2-B2</f>
        <v>-2.0372672516556622E-3</v>
      </c>
      <c r="E16" s="8">
        <f>E2-B2</f>
        <v>6.1169551386146444E-4</v>
      </c>
      <c r="F16" s="8">
        <f>F2-B2</f>
        <v>1.8883045082464609E-3</v>
      </c>
      <c r="G16" s="8">
        <f>G2-B2</f>
        <v>-5.3475741733200596E-3</v>
      </c>
      <c r="H16" s="8">
        <f>H2-B2</f>
        <v>2.5724398448286331E-2</v>
      </c>
      <c r="J16" s="8" t="s">
        <v>52</v>
      </c>
      <c r="K16" s="7">
        <f>(J2-0) * ((K2+0))</f>
        <v>1.5838731294523067E-4</v>
      </c>
      <c r="L16" s="7">
        <f>(J2-0) * ((L2+0))</f>
        <v>6.1990882190790018E-5</v>
      </c>
      <c r="M16" s="7">
        <f>(J2-0) * ((M2+0))</f>
        <v>8.5719449536546954E-5</v>
      </c>
      <c r="N16" s="7">
        <f>(J2-0) * ((N2+0))</f>
        <v>9.7154907554980019E-5</v>
      </c>
      <c r="O16" s="7">
        <f>(J2-0) * ((O2+0))</f>
        <v>3.2338203886531255E-5</v>
      </c>
      <c r="P16" s="7">
        <f>(J2-0) * ((P2+0))</f>
        <v>3.1067106855153142E-4</v>
      </c>
    </row>
    <row r="17" spans="2:16" x14ac:dyDescent="0.3">
      <c r="B17" s="8" t="s">
        <v>60</v>
      </c>
      <c r="C17" s="8">
        <f t="shared" ref="C17:C26" si="2">C3-B3</f>
        <v>8.2781336120241779E-3</v>
      </c>
      <c r="D17" s="8">
        <f t="shared" ref="D17:D26" si="3">D3-B3</f>
        <v>-1.0341726212178241E-2</v>
      </c>
      <c r="E17" s="8">
        <f t="shared" ref="E17:E26" si="4">E3-B3</f>
        <v>-2.9080744514458027E-3</v>
      </c>
      <c r="F17" s="8">
        <f t="shared" ref="F17:F26" si="5">F3-B3</f>
        <v>-1.0754549246202366E-2</v>
      </c>
      <c r="G17" s="8">
        <f t="shared" ref="G17:G26" si="6">G3-B3</f>
        <v>-2.8217082240953456E-3</v>
      </c>
      <c r="H17" s="8">
        <f t="shared" ref="H17:H26" si="7">H3-B3</f>
        <v>-5.7014477954732395E-3</v>
      </c>
      <c r="J17" s="8" t="s">
        <v>60</v>
      </c>
      <c r="K17" s="7">
        <f>(J3-J2) * ((K3+K2))</f>
        <v>1.0513288498032295E-3</v>
      </c>
      <c r="L17" s="7">
        <f>(J3-J2) * ((L3+L2))</f>
        <v>3.5838355924757928E-4</v>
      </c>
      <c r="M17" s="7">
        <f>(J3-J2) * ((M3+M2))</f>
        <v>5.7815784717532136E-4</v>
      </c>
      <c r="N17" s="7">
        <f>(J3-J2) * ((N3+N2))</f>
        <v>4.8678489952753268E-4</v>
      </c>
      <c r="O17" s="7">
        <f>(J3-J2) * ((O3+O2))</f>
        <v>3.7390920080343108E-4</v>
      </c>
      <c r="P17" s="7">
        <f>(J3-J2) * ((P3+P2))</f>
        <v>1.396936301267539E-3</v>
      </c>
    </row>
    <row r="18" spans="2:16" x14ac:dyDescent="0.3">
      <c r="B18" s="8" t="s">
        <v>61</v>
      </c>
      <c r="C18" s="8">
        <f t="shared" si="2"/>
        <v>3.8660766247309852E-2</v>
      </c>
      <c r="D18" s="8">
        <f t="shared" si="3"/>
        <v>-9.8977071825104741E-3</v>
      </c>
      <c r="E18" s="8">
        <f t="shared" si="4"/>
        <v>2.2783870937057086E-2</v>
      </c>
      <c r="F18" s="8">
        <f t="shared" si="5"/>
        <v>1.876722312545551E-2</v>
      </c>
      <c r="G18" s="8">
        <f t="shared" si="6"/>
        <v>4.9924281028629648E-3</v>
      </c>
      <c r="H18" s="8">
        <f t="shared" si="7"/>
        <v>5.4866178650639516E-2</v>
      </c>
      <c r="J18" s="8" t="s">
        <v>61</v>
      </c>
      <c r="K18" s="7">
        <f t="shared" ref="K18:K26" si="8">(J4-J3) * ((K4+K3))</f>
        <v>2.9481265647763708E-3</v>
      </c>
      <c r="L18" s="7">
        <f t="shared" ref="L18:L26" si="9">(J4-J3) * ((L4+L3))</f>
        <v>7.7183955092971566E-4</v>
      </c>
      <c r="M18" s="7">
        <f t="shared" ref="M18:M26" si="10">(J4-J3) * ((M4+M3))</f>
        <v>1.843484547261883E-3</v>
      </c>
      <c r="N18" s="7">
        <f t="shared" ref="N18:N26" si="11">(J4-J3) * ((N4+N3))</f>
        <v>1.4955818235920697E-3</v>
      </c>
      <c r="O18" s="7">
        <f t="shared" ref="O18:O26" si="12">(J4-J3) * ((O4+O3))</f>
        <v>1.2445184488735456E-3</v>
      </c>
      <c r="P18" s="7">
        <f t="shared" ref="P18:P26" si="13">(J4-J3) * ((P4+P3))</f>
        <v>3.3992576333904084E-3</v>
      </c>
    </row>
    <row r="19" spans="2:16" x14ac:dyDescent="0.3">
      <c r="B19" s="8" t="s">
        <v>58</v>
      </c>
      <c r="C19" s="8">
        <f t="shared" si="2"/>
        <v>-2.825951950380233E-3</v>
      </c>
      <c r="D19" s="8">
        <f t="shared" si="3"/>
        <v>-2.1801371700592292E-3</v>
      </c>
      <c r="E19" s="8">
        <f t="shared" si="4"/>
        <v>-1.2047523471610528E-2</v>
      </c>
      <c r="F19" s="8">
        <f t="shared" si="5"/>
        <v>1.4813160085042892E-2</v>
      </c>
      <c r="G19" s="8">
        <f t="shared" si="6"/>
        <v>1.3309600878483614E-2</v>
      </c>
      <c r="H19" s="8">
        <f t="shared" si="7"/>
        <v>1.9841184109217525E-2</v>
      </c>
      <c r="J19" s="8" t="s">
        <v>58</v>
      </c>
      <c r="K19" s="7">
        <f t="shared" si="8"/>
        <v>6.0168654087264222E-3</v>
      </c>
      <c r="L19" s="7">
        <f t="shared" si="9"/>
        <v>1.9184546699044485E-3</v>
      </c>
      <c r="M19" s="7">
        <f t="shared" si="10"/>
        <v>3.9160253788275128E-3</v>
      </c>
      <c r="N19" s="7">
        <f t="shared" si="11"/>
        <v>4.0661885519852675E-3</v>
      </c>
      <c r="O19" s="7">
        <f t="shared" si="12"/>
        <v>3.3359410325053285E-3</v>
      </c>
      <c r="P19" s="7">
        <f t="shared" si="13"/>
        <v>7.6305174731955069E-3</v>
      </c>
    </row>
    <row r="20" spans="2:16" x14ac:dyDescent="0.3">
      <c r="B20" s="8" t="s">
        <v>59</v>
      </c>
      <c r="C20" s="8">
        <f t="shared" si="2"/>
        <v>2.4431351827290532E-3</v>
      </c>
      <c r="D20" s="8">
        <f t="shared" si="3"/>
        <v>4.1154555612444924E-3</v>
      </c>
      <c r="E20" s="8">
        <f t="shared" si="4"/>
        <v>5.4313299967794049E-2</v>
      </c>
      <c r="F20" s="8">
        <f t="shared" si="5"/>
        <v>3.1541916767138106E-2</v>
      </c>
      <c r="G20" s="8">
        <f t="shared" si="6"/>
        <v>3.0735319901119329E-2</v>
      </c>
      <c r="H20" s="8">
        <f t="shared" si="7"/>
        <v>1.9216361615607754E-2</v>
      </c>
      <c r="J20" s="8" t="s">
        <v>59</v>
      </c>
      <c r="K20" s="7">
        <f t="shared" si="8"/>
        <v>7.5928822239172324E-3</v>
      </c>
      <c r="L20" s="7">
        <f t="shared" si="9"/>
        <v>3.4601289937095173E-3</v>
      </c>
      <c r="M20" s="7">
        <f t="shared" si="10"/>
        <v>6.5949620119338664E-3</v>
      </c>
      <c r="N20" s="7">
        <f t="shared" si="11"/>
        <v>6.8591980808055293E-3</v>
      </c>
      <c r="O20" s="7">
        <f t="shared" si="12"/>
        <v>6.0492332236595902E-3</v>
      </c>
      <c r="P20" s="7">
        <f t="shared" si="13"/>
        <v>1.0310654651775558E-2</v>
      </c>
    </row>
    <row r="21" spans="2:16" x14ac:dyDescent="0.3">
      <c r="B21" s="8" t="s">
        <v>53</v>
      </c>
      <c r="C21" s="8">
        <f t="shared" si="2"/>
        <v>-8.5565640677406248E-3</v>
      </c>
      <c r="D21" s="8">
        <f t="shared" si="3"/>
        <v>-1.6326735582550177E-2</v>
      </c>
      <c r="E21" s="8">
        <f t="shared" si="4"/>
        <v>-6.2441210563006118E-3</v>
      </c>
      <c r="F21" s="8">
        <f t="shared" si="5"/>
        <v>-4.137197268819684E-3</v>
      </c>
      <c r="G21" s="8">
        <f t="shared" si="6"/>
        <v>2.3234086968647073E-3</v>
      </c>
      <c r="H21" s="8">
        <f t="shared" si="7"/>
        <v>-1.2826525569949423E-2</v>
      </c>
      <c r="J21" s="8" t="s">
        <v>53</v>
      </c>
      <c r="K21" s="7">
        <f t="shared" si="8"/>
        <v>1.001634314238063E-2</v>
      </c>
      <c r="L21" s="7">
        <f t="shared" si="9"/>
        <v>5.2193020817261522E-3</v>
      </c>
      <c r="M21" s="7">
        <f t="shared" si="10"/>
        <v>1.0536996748150876E-2</v>
      </c>
      <c r="N21" s="7">
        <f t="shared" si="11"/>
        <v>1.0208547290782728E-2</v>
      </c>
      <c r="O21" s="7">
        <f t="shared" si="12"/>
        <v>9.4750117141401205E-3</v>
      </c>
      <c r="P21" s="7">
        <f t="shared" si="13"/>
        <v>1.342718256932394E-2</v>
      </c>
    </row>
    <row r="22" spans="2:16" x14ac:dyDescent="0.3">
      <c r="B22" s="8" t="s">
        <v>57</v>
      </c>
      <c r="C22" s="8">
        <f t="shared" si="2"/>
        <v>5.1852276740901766E-2</v>
      </c>
      <c r="D22" s="8">
        <f t="shared" si="3"/>
        <v>5.7338303348470725E-2</v>
      </c>
      <c r="E22" s="8">
        <f t="shared" si="4"/>
        <v>5.3497307338470891E-2</v>
      </c>
      <c r="F22" s="8">
        <f t="shared" si="5"/>
        <v>2.8110432539562746E-2</v>
      </c>
      <c r="G22" s="8">
        <f t="shared" si="6"/>
        <v>3.5964963186328143E-2</v>
      </c>
      <c r="H22" s="8">
        <f t="shared" si="7"/>
        <v>3.6737067274306263E-2</v>
      </c>
      <c r="J22" s="8" t="s">
        <v>57</v>
      </c>
      <c r="K22" s="7">
        <f t="shared" si="8"/>
        <v>1.4294385246198926E-2</v>
      </c>
      <c r="L22" s="7">
        <f t="shared" si="9"/>
        <v>9.0317216817729327E-3</v>
      </c>
      <c r="M22" s="7">
        <f t="shared" si="10"/>
        <v>1.4986608034635663E-2</v>
      </c>
      <c r="N22" s="7">
        <f t="shared" si="11"/>
        <v>1.3871823290193763E-2</v>
      </c>
      <c r="O22" s="7">
        <f t="shared" si="12"/>
        <v>1.3545544679319649E-2</v>
      </c>
      <c r="P22" s="7">
        <f t="shared" si="13"/>
        <v>1.7350824860908866E-2</v>
      </c>
    </row>
    <row r="23" spans="2:16" x14ac:dyDescent="0.3">
      <c r="B23" s="8" t="s">
        <v>55</v>
      </c>
      <c r="C23" s="8">
        <f t="shared" si="2"/>
        <v>2.3030919172029284E-2</v>
      </c>
      <c r="D23" s="8">
        <f t="shared" si="3"/>
        <v>-1.6465753182339476E-2</v>
      </c>
      <c r="E23" s="8">
        <f t="shared" si="4"/>
        <v>-2.3170940182554708E-2</v>
      </c>
      <c r="F23" s="8">
        <f t="shared" si="5"/>
        <v>-2.4572096395904096E-2</v>
      </c>
      <c r="G23" s="8">
        <f t="shared" si="6"/>
        <v>-1.8127152505288027E-2</v>
      </c>
      <c r="H23" s="8">
        <f t="shared" si="7"/>
        <v>3.6817443809480037E-2</v>
      </c>
      <c r="J23" s="8" t="s">
        <v>55</v>
      </c>
      <c r="K23" s="7">
        <f t="shared" si="8"/>
        <v>3.7303677234934482E-2</v>
      </c>
      <c r="L23" s="7">
        <f t="shared" si="9"/>
        <v>2.5302303824114136E-2</v>
      </c>
      <c r="M23" s="7">
        <f t="shared" si="10"/>
        <v>3.5869431395224007E-2</v>
      </c>
      <c r="N23" s="7">
        <f t="shared" si="11"/>
        <v>3.2123811207745774E-2</v>
      </c>
      <c r="O23" s="7">
        <f t="shared" si="12"/>
        <v>3.2387992826947543E-2</v>
      </c>
      <c r="P23" s="7">
        <f t="shared" si="13"/>
        <v>4.2978397164494447E-2</v>
      </c>
    </row>
    <row r="24" spans="2:16" x14ac:dyDescent="0.3">
      <c r="B24" s="8" t="s">
        <v>54</v>
      </c>
      <c r="C24" s="8">
        <f t="shared" si="2"/>
        <v>-2.7329673377082433E-2</v>
      </c>
      <c r="D24" s="8">
        <f t="shared" si="3"/>
        <v>-1.9675068717698745E-2</v>
      </c>
      <c r="E24" s="8">
        <f t="shared" si="4"/>
        <v>-7.2414997370527298E-3</v>
      </c>
      <c r="F24" s="8">
        <f t="shared" si="5"/>
        <v>-2.1273819740373991E-2</v>
      </c>
      <c r="G24" s="8">
        <f t="shared" si="6"/>
        <v>-1.4116251434149102E-2</v>
      </c>
      <c r="H24" s="8">
        <f t="shared" si="7"/>
        <v>-1.8414993113162477E-2</v>
      </c>
      <c r="J24" s="8" t="s">
        <v>54</v>
      </c>
      <c r="K24" s="7">
        <f t="shared" si="8"/>
        <v>4.7127763868654471E-2</v>
      </c>
      <c r="L24" s="7">
        <f t="shared" si="9"/>
        <v>3.2440748489783004E-2</v>
      </c>
      <c r="M24" s="7">
        <f t="shared" si="10"/>
        <v>4.393015794501616E-2</v>
      </c>
      <c r="N24" s="7">
        <f t="shared" si="11"/>
        <v>3.8991018253663641E-2</v>
      </c>
      <c r="O24" s="7">
        <f t="shared" si="12"/>
        <v>4.0148505562806754E-2</v>
      </c>
      <c r="P24" s="7">
        <f t="shared" si="13"/>
        <v>5.4566670989751001E-2</v>
      </c>
    </row>
    <row r="25" spans="2:16" x14ac:dyDescent="0.3">
      <c r="B25" s="8" t="s">
        <v>56</v>
      </c>
      <c r="C25" s="8">
        <f t="shared" si="2"/>
        <v>4.0057717126932568E-3</v>
      </c>
      <c r="D25" s="8">
        <f t="shared" si="3"/>
        <v>-2.0623564593654095E-2</v>
      </c>
      <c r="E25" s="8">
        <f t="shared" si="4"/>
        <v>-5.7659375259040427E-2</v>
      </c>
      <c r="F25" s="8">
        <f t="shared" si="5"/>
        <v>-3.9380081457335847E-3</v>
      </c>
      <c r="G25" s="8">
        <f t="shared" si="6"/>
        <v>-1.0555234862101248E-2</v>
      </c>
      <c r="H25" s="8">
        <f t="shared" si="7"/>
        <v>-5.442653739002809E-3</v>
      </c>
      <c r="J25" s="8" t="s">
        <v>56</v>
      </c>
      <c r="K25" s="7">
        <f t="shared" si="8"/>
        <v>7.3980813407514515E-2</v>
      </c>
      <c r="L25" s="7">
        <f t="shared" si="9"/>
        <v>5.2896363784667201E-2</v>
      </c>
      <c r="M25" s="7">
        <f t="shared" si="10"/>
        <v>6.6118667353364455E-2</v>
      </c>
      <c r="N25" s="7">
        <f t="shared" si="11"/>
        <v>6.2948987204754142E-2</v>
      </c>
      <c r="O25" s="7">
        <f t="shared" si="12"/>
        <v>6.4541784876096714E-2</v>
      </c>
      <c r="P25" s="7">
        <f t="shared" si="13"/>
        <v>8.3871338443328475E-2</v>
      </c>
    </row>
    <row r="26" spans="2:16" x14ac:dyDescent="0.3">
      <c r="B26" s="8" t="s">
        <v>51</v>
      </c>
      <c r="C26" s="8">
        <f t="shared" si="2"/>
        <v>-9.8282859676072087E-2</v>
      </c>
      <c r="D26" s="8">
        <f t="shared" si="3"/>
        <v>3.6094200982930924E-2</v>
      </c>
      <c r="E26" s="8">
        <f t="shared" si="4"/>
        <v>-2.1934639599178629E-2</v>
      </c>
      <c r="F26" s="8">
        <f t="shared" si="5"/>
        <v>-3.0445366228411985E-2</v>
      </c>
      <c r="G26" s="8">
        <f t="shared" si="6"/>
        <v>-3.6357799566704929E-2</v>
      </c>
      <c r="H26" s="8">
        <f t="shared" si="7"/>
        <v>-0.15081701368994949</v>
      </c>
      <c r="J26" s="8" t="s">
        <v>51</v>
      </c>
      <c r="K26" s="7">
        <f t="shared" si="8"/>
        <v>0.92063671856037499</v>
      </c>
      <c r="L26" s="7">
        <f t="shared" si="9"/>
        <v>0.83667719830301435</v>
      </c>
      <c r="M26" s="7">
        <f t="shared" si="10"/>
        <v>0.87293393432976985</v>
      </c>
      <c r="N26" s="7">
        <f t="shared" si="11"/>
        <v>0.87825148273667564</v>
      </c>
      <c r="O26" s="7">
        <f t="shared" si="12"/>
        <v>0.8819456033269184</v>
      </c>
      <c r="P26" s="7">
        <f t="shared" si="13"/>
        <v>0.95346034445679329</v>
      </c>
    </row>
    <row r="27" spans="2:16" x14ac:dyDescent="0.3">
      <c r="J27" s="12" t="s">
        <v>114</v>
      </c>
      <c r="K27" s="10">
        <f>SUM(K16:K26)</f>
        <v>1.1211272918202264</v>
      </c>
      <c r="L27" s="10">
        <f t="shared" ref="L27:P27" si="14">SUM(L16:L26)</f>
        <v>0.96813843582105985</v>
      </c>
      <c r="M27" s="10">
        <f t="shared" si="14"/>
        <v>1.0573941450408961</v>
      </c>
      <c r="N27" s="10">
        <f t="shared" si="14"/>
        <v>1.0494005782472811</v>
      </c>
      <c r="O27" s="10">
        <f t="shared" si="14"/>
        <v>1.0530803830959576</v>
      </c>
      <c r="P27" s="10">
        <f t="shared" si="14"/>
        <v>1.1887027956127805</v>
      </c>
    </row>
    <row r="28" spans="2:16" x14ac:dyDescent="0.3">
      <c r="J28" s="13" t="s">
        <v>115</v>
      </c>
      <c r="K28" s="11">
        <f>1-K27</f>
        <v>-0.12112729182022641</v>
      </c>
      <c r="L28" s="11">
        <f t="shared" ref="L28:P28" si="15">1-L27</f>
        <v>3.1861564178940149E-2</v>
      </c>
      <c r="M28" s="11">
        <f t="shared" si="15"/>
        <v>-5.7394145040896127E-2</v>
      </c>
      <c r="N28" s="11">
        <f t="shared" si="15"/>
        <v>-4.9400578247281057E-2</v>
      </c>
      <c r="O28" s="11">
        <f t="shared" si="15"/>
        <v>-5.3080383095957639E-2</v>
      </c>
      <c r="P28" s="11">
        <f t="shared" si="15"/>
        <v>-0.18870279561278047</v>
      </c>
    </row>
  </sheetData>
  <sortState xmlns:xlrd2="http://schemas.microsoft.com/office/spreadsheetml/2017/richdata2" ref="A2:P13">
    <sortCondition ref="B1:B13"/>
  </sortState>
  <pageMargins left="0.511811024" right="0.511811024" top="0.78740157499999996" bottom="0.78740157499999996" header="0.31496062000000002" footer="0.31496062000000002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07DA7-4046-449A-B96A-08860A0B576A}">
  <dimension ref="A1:P12"/>
  <sheetViews>
    <sheetView workbookViewId="0">
      <selection activeCell="N1" activeCellId="1" sqref="I1:J4 N1:P4"/>
    </sheetView>
  </sheetViews>
  <sheetFormatPr defaultRowHeight="14.4" x14ac:dyDescent="0.3"/>
  <sheetData>
    <row r="1" spans="1:16" ht="36.6" customHeight="1" x14ac:dyDescent="0.3">
      <c r="A1" s="1" t="s">
        <v>94</v>
      </c>
      <c r="B1" s="2" t="s">
        <v>95</v>
      </c>
      <c r="C1" s="3" t="s">
        <v>96</v>
      </c>
      <c r="D1" s="3" t="s">
        <v>97</v>
      </c>
      <c r="E1" s="3" t="s">
        <v>98</v>
      </c>
      <c r="F1" s="2" t="s">
        <v>99</v>
      </c>
      <c r="G1" s="3" t="s">
        <v>100</v>
      </c>
      <c r="H1" s="3" t="s">
        <v>101</v>
      </c>
      <c r="I1" s="4" t="s">
        <v>95</v>
      </c>
      <c r="J1" s="5" t="s">
        <v>95</v>
      </c>
      <c r="K1" s="6" t="s">
        <v>96</v>
      </c>
      <c r="L1" s="6" t="s">
        <v>97</v>
      </c>
      <c r="M1" s="6" t="s">
        <v>98</v>
      </c>
      <c r="N1" s="5" t="s">
        <v>99</v>
      </c>
      <c r="O1" s="6" t="s">
        <v>100</v>
      </c>
      <c r="P1" s="6" t="s">
        <v>101</v>
      </c>
    </row>
    <row r="2" spans="1:16" x14ac:dyDescent="0.3">
      <c r="A2" s="8" t="s">
        <v>63</v>
      </c>
      <c r="B2" s="9">
        <v>4.0679844086978889E-2</v>
      </c>
      <c r="C2" s="9">
        <v>4.0816326530612242E-2</v>
      </c>
      <c r="D2" s="9">
        <v>0.02</v>
      </c>
      <c r="E2" s="9">
        <v>0.05</v>
      </c>
      <c r="F2" s="9">
        <v>7.6923076923076927E-2</v>
      </c>
      <c r="G2" s="9">
        <v>8.6956521739130432E-2</v>
      </c>
      <c r="H2" s="9">
        <v>8.6956521739130432E-2</v>
      </c>
      <c r="I2" s="15">
        <v>4.0679844086978889E-2</v>
      </c>
      <c r="J2" s="9">
        <v>4.0679844086978889E-2</v>
      </c>
      <c r="K2" s="9">
        <v>4.0816326530612242E-2</v>
      </c>
      <c r="L2" s="9">
        <v>0.02</v>
      </c>
      <c r="M2" s="9">
        <v>0.05</v>
      </c>
      <c r="N2" s="9">
        <v>7.6923076923076927E-2</v>
      </c>
      <c r="O2" s="9">
        <v>8.6956521739130432E-2</v>
      </c>
      <c r="P2" s="9">
        <v>8.6956521739130432E-2</v>
      </c>
    </row>
    <row r="3" spans="1:16" x14ac:dyDescent="0.3">
      <c r="A3" s="8" t="s">
        <v>64</v>
      </c>
      <c r="B3" s="9">
        <v>4.2104430066678536E-2</v>
      </c>
      <c r="C3" s="9">
        <v>4.0816326530612242E-2</v>
      </c>
      <c r="D3" s="9">
        <v>0.1</v>
      </c>
      <c r="E3" s="9">
        <v>0.05</v>
      </c>
      <c r="F3" s="9">
        <v>8.8757396449704137E-2</v>
      </c>
      <c r="G3" s="9">
        <v>0.10434782608695652</v>
      </c>
      <c r="H3" s="9">
        <v>6.5217391304347824E-2</v>
      </c>
      <c r="I3" s="15">
        <v>8.2784274153657425E-2</v>
      </c>
      <c r="J3" s="8">
        <f t="shared" ref="J3:P4" si="0">J2+B3</f>
        <v>8.2784274153657425E-2</v>
      </c>
      <c r="K3" s="8">
        <f t="shared" si="0"/>
        <v>8.1632653061224483E-2</v>
      </c>
      <c r="L3" s="8">
        <f t="shared" si="0"/>
        <v>0.12000000000000001</v>
      </c>
      <c r="M3" s="8">
        <f t="shared" si="0"/>
        <v>0.1</v>
      </c>
      <c r="N3" s="8">
        <f t="shared" si="0"/>
        <v>0.16568047337278108</v>
      </c>
      <c r="O3" s="8">
        <f t="shared" si="0"/>
        <v>0.19130434782608696</v>
      </c>
      <c r="P3" s="8">
        <f t="shared" si="0"/>
        <v>0.15217391304347827</v>
      </c>
    </row>
    <row r="4" spans="1:16" x14ac:dyDescent="0.3">
      <c r="A4" s="8" t="s">
        <v>62</v>
      </c>
      <c r="B4" s="9">
        <v>0.91721572584634259</v>
      </c>
      <c r="C4" s="9">
        <v>0.91836734693877553</v>
      </c>
      <c r="D4" s="9">
        <v>0.88</v>
      </c>
      <c r="E4" s="9">
        <v>0.9</v>
      </c>
      <c r="F4" s="9">
        <v>0.83431952662721898</v>
      </c>
      <c r="G4" s="9">
        <v>0.80869565217391304</v>
      </c>
      <c r="H4" s="9">
        <v>0.84782608695652173</v>
      </c>
      <c r="I4" s="15">
        <v>1</v>
      </c>
      <c r="J4" s="8">
        <f t="shared" si="0"/>
        <v>1</v>
      </c>
      <c r="K4" s="8">
        <f t="shared" si="0"/>
        <v>1</v>
      </c>
      <c r="L4" s="8">
        <f t="shared" si="0"/>
        <v>1</v>
      </c>
      <c r="M4" s="8">
        <f t="shared" si="0"/>
        <v>1</v>
      </c>
      <c r="N4" s="8">
        <f t="shared" si="0"/>
        <v>1</v>
      </c>
      <c r="O4" s="8">
        <f t="shared" si="0"/>
        <v>1</v>
      </c>
      <c r="P4" s="8">
        <f t="shared" si="0"/>
        <v>1</v>
      </c>
    </row>
    <row r="7" spans="1:16" ht="28.8" x14ac:dyDescent="0.3">
      <c r="B7" s="1" t="s">
        <v>94</v>
      </c>
      <c r="C7" s="3" t="s">
        <v>102</v>
      </c>
      <c r="D7" s="3" t="s">
        <v>103</v>
      </c>
      <c r="E7" s="3" t="s">
        <v>104</v>
      </c>
      <c r="F7" s="3" t="s">
        <v>105</v>
      </c>
      <c r="G7" s="3" t="s">
        <v>106</v>
      </c>
      <c r="H7" s="3" t="s">
        <v>107</v>
      </c>
      <c r="J7" s="7"/>
      <c r="K7" s="10" t="s">
        <v>108</v>
      </c>
      <c r="L7" s="10" t="s">
        <v>109</v>
      </c>
      <c r="M7" s="10" t="s">
        <v>110</v>
      </c>
      <c r="N7" s="10" t="s">
        <v>111</v>
      </c>
      <c r="O7" s="10" t="s">
        <v>112</v>
      </c>
      <c r="P7" s="10" t="s">
        <v>113</v>
      </c>
    </row>
    <row r="8" spans="1:16" x14ac:dyDescent="0.3">
      <c r="B8" s="8" t="s">
        <v>63</v>
      </c>
      <c r="C8" s="8">
        <f>C2-B2</f>
        <v>1.3648244363335255E-4</v>
      </c>
      <c r="D8" s="8">
        <f>D2-B2</f>
        <v>-2.0679844086978889E-2</v>
      </c>
      <c r="E8" s="8">
        <f>E2-B2</f>
        <v>9.3201559130211137E-3</v>
      </c>
      <c r="F8" s="8">
        <f>F2-B2</f>
        <v>3.6243232836098038E-2</v>
      </c>
      <c r="G8" s="8">
        <f>G2-B2</f>
        <v>4.6276677652151543E-2</v>
      </c>
      <c r="H8" s="8">
        <f>H2-B2</f>
        <v>4.6276677652151543E-2</v>
      </c>
      <c r="J8" s="8" t="s">
        <v>63</v>
      </c>
      <c r="K8" s="7">
        <f>($J2-0) * ((K2+0))</f>
        <v>1.660401799468526E-3</v>
      </c>
      <c r="L8" s="7">
        <f t="shared" ref="L8:P8" si="1">($J2-0) * ((L2+0))</f>
        <v>8.1359688173957782E-4</v>
      </c>
      <c r="M8" s="7">
        <f t="shared" si="1"/>
        <v>2.0339922043489445E-3</v>
      </c>
      <c r="N8" s="7">
        <f t="shared" si="1"/>
        <v>3.129218775921453E-3</v>
      </c>
      <c r="O8" s="7">
        <f t="shared" si="1"/>
        <v>3.5373777466938166E-3</v>
      </c>
      <c r="P8" s="7">
        <f t="shared" si="1"/>
        <v>3.5373777466938166E-3</v>
      </c>
    </row>
    <row r="9" spans="1:16" x14ac:dyDescent="0.3">
      <c r="B9" s="8" t="s">
        <v>64</v>
      </c>
      <c r="C9" s="8">
        <f t="shared" ref="C9:C10" si="2">C3-B3</f>
        <v>-1.2881035360662943E-3</v>
      </c>
      <c r="D9" s="8">
        <f t="shared" ref="D9:D10" si="3">D3-B3</f>
        <v>5.789556993332147E-2</v>
      </c>
      <c r="E9" s="8">
        <f t="shared" ref="E9:E10" si="4">E3-B3</f>
        <v>7.8955699333214668E-3</v>
      </c>
      <c r="F9" s="8">
        <f t="shared" ref="F9:F10" si="5">F3-B3</f>
        <v>4.6652966383025601E-2</v>
      </c>
      <c r="G9" s="8">
        <f t="shared" ref="G9:G10" si="6">G3-B3</f>
        <v>6.224339602027798E-2</v>
      </c>
      <c r="H9" s="8">
        <f t="shared" ref="H9:H10" si="7">H3-B3</f>
        <v>2.3112961237669288E-2</v>
      </c>
      <c r="J9" s="8" t="s">
        <v>64</v>
      </c>
      <c r="K9" s="7">
        <f>($J3-$J2) * ((K3+K2))</f>
        <v>5.1556444979606372E-3</v>
      </c>
      <c r="L9" s="7">
        <f t="shared" ref="L9:P10" si="8">($J3-$J2) * ((L3+L2))</f>
        <v>5.8946202093349952E-3</v>
      </c>
      <c r="M9" s="7">
        <f t="shared" si="8"/>
        <v>6.3156645100017816E-3</v>
      </c>
      <c r="N9" s="7">
        <f t="shared" si="8"/>
        <v>1.0214684217359882E-2</v>
      </c>
      <c r="O9" s="7">
        <f t="shared" si="8"/>
        <v>1.1716015322901854E-2</v>
      </c>
      <c r="P9" s="7">
        <f t="shared" si="8"/>
        <v>1.006845066811878E-2</v>
      </c>
    </row>
    <row r="10" spans="1:16" x14ac:dyDescent="0.3">
      <c r="B10" s="8" t="s">
        <v>62</v>
      </c>
      <c r="C10" s="8">
        <f t="shared" si="2"/>
        <v>1.1516210924329418E-3</v>
      </c>
      <c r="D10" s="8">
        <f t="shared" si="3"/>
        <v>-3.7215725846342584E-2</v>
      </c>
      <c r="E10" s="8">
        <f t="shared" si="4"/>
        <v>-1.7215725846342567E-2</v>
      </c>
      <c r="F10" s="8">
        <f t="shared" si="5"/>
        <v>-8.2896199219123612E-2</v>
      </c>
      <c r="G10" s="8">
        <f t="shared" si="6"/>
        <v>-0.10852007367242955</v>
      </c>
      <c r="H10" s="8">
        <f t="shared" si="7"/>
        <v>-6.9389638889820859E-2</v>
      </c>
      <c r="J10" s="8" t="s">
        <v>62</v>
      </c>
      <c r="K10" s="7">
        <f>($J4-$J3) * ((K4+K3))</f>
        <v>0.99209047897665636</v>
      </c>
      <c r="L10" s="7">
        <f t="shared" si="8"/>
        <v>1.0272816129479039</v>
      </c>
      <c r="M10" s="7">
        <f t="shared" si="8"/>
        <v>1.008937298430977</v>
      </c>
      <c r="N10" s="7">
        <f t="shared" si="8"/>
        <v>1.0691804614895235</v>
      </c>
      <c r="O10" s="7">
        <f t="shared" si="8"/>
        <v>1.092683082095208</v>
      </c>
      <c r="P10" s="7">
        <f t="shared" si="8"/>
        <v>1.0567920319533948</v>
      </c>
    </row>
    <row r="11" spans="1:16" x14ac:dyDescent="0.3">
      <c r="J11" s="12" t="s">
        <v>114</v>
      </c>
      <c r="K11" s="10">
        <f>SUM(K8:K10)</f>
        <v>0.99890652527408552</v>
      </c>
      <c r="L11" s="10">
        <f t="shared" ref="L11:P11" si="9">SUM(L8:L10)</f>
        <v>1.0339898300389785</v>
      </c>
      <c r="M11" s="10">
        <f t="shared" si="9"/>
        <v>1.0172869551453276</v>
      </c>
      <c r="N11" s="10">
        <f t="shared" si="9"/>
        <v>1.0825243644828049</v>
      </c>
      <c r="O11" s="10">
        <f t="shared" si="9"/>
        <v>1.1079364751648038</v>
      </c>
      <c r="P11" s="10">
        <f t="shared" si="9"/>
        <v>1.0703978603682074</v>
      </c>
    </row>
    <row r="12" spans="1:16" x14ac:dyDescent="0.3">
      <c r="J12" s="13" t="s">
        <v>115</v>
      </c>
      <c r="K12" s="11">
        <f>1-K11</f>
        <v>1.0934747259144784E-3</v>
      </c>
      <c r="L12" s="11">
        <f t="shared" ref="L12:P12" si="10">1-L11</f>
        <v>-3.3989830038978486E-2</v>
      </c>
      <c r="M12" s="11">
        <f t="shared" si="10"/>
        <v>-1.7286955145327632E-2</v>
      </c>
      <c r="N12" s="11">
        <f t="shared" si="10"/>
        <v>-8.2524364482804868E-2</v>
      </c>
      <c r="O12" s="11">
        <f t="shared" si="10"/>
        <v>-0.10793647516480376</v>
      </c>
      <c r="P12" s="11">
        <f t="shared" si="10"/>
        <v>-7.0397860368207388E-2</v>
      </c>
    </row>
  </sheetData>
  <sortState xmlns:xlrd2="http://schemas.microsoft.com/office/spreadsheetml/2017/richdata2" ref="A2:P5">
    <sortCondition ref="B1:B5"/>
  </sortState>
  <pageMargins left="0.511811024" right="0.511811024" top="0.78740157499999996" bottom="0.78740157499999996" header="0.31496062000000002" footer="0.31496062000000002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EF2D8-7D2B-4701-8072-7EF01C15A6A9}">
  <dimension ref="A1:P23"/>
  <sheetViews>
    <sheetView workbookViewId="0">
      <selection activeCell="I16" sqref="I16"/>
    </sheetView>
  </sheetViews>
  <sheetFormatPr defaultRowHeight="14.4" x14ac:dyDescent="0.3"/>
  <sheetData>
    <row r="1" spans="1:16" ht="36.6" customHeight="1" x14ac:dyDescent="0.3">
      <c r="A1" s="1" t="s">
        <v>94</v>
      </c>
      <c r="B1" s="2" t="s">
        <v>95</v>
      </c>
      <c r="C1" s="3" t="s">
        <v>96</v>
      </c>
      <c r="D1" s="3" t="s">
        <v>97</v>
      </c>
      <c r="E1" s="3" t="s">
        <v>98</v>
      </c>
      <c r="F1" s="2" t="s">
        <v>99</v>
      </c>
      <c r="G1" s="3" t="s">
        <v>100</v>
      </c>
      <c r="H1" s="3" t="s">
        <v>101</v>
      </c>
      <c r="I1" s="4" t="s">
        <v>95</v>
      </c>
      <c r="J1" s="5" t="s">
        <v>95</v>
      </c>
      <c r="K1" s="6" t="s">
        <v>96</v>
      </c>
      <c r="L1" s="6" t="s">
        <v>97</v>
      </c>
      <c r="M1" s="6" t="s">
        <v>98</v>
      </c>
      <c r="N1" s="5" t="s">
        <v>99</v>
      </c>
      <c r="O1" s="6" t="s">
        <v>100</v>
      </c>
      <c r="P1" s="6" t="s">
        <v>101</v>
      </c>
    </row>
    <row r="2" spans="1:16" x14ac:dyDescent="0.3">
      <c r="A2" s="8" t="s">
        <v>73</v>
      </c>
      <c r="B2" s="9">
        <v>2.7186761229314422E-2</v>
      </c>
      <c r="C2" s="9">
        <v>3.0456852791878174E-2</v>
      </c>
      <c r="D2" s="9">
        <v>2.3809523809523808E-2</v>
      </c>
      <c r="E2" s="9">
        <v>1.6E-2</v>
      </c>
      <c r="F2" s="9">
        <v>1.8726591760299626E-2</v>
      </c>
      <c r="G2" s="9">
        <v>2.3121387283236993E-2</v>
      </c>
      <c r="H2" s="9">
        <v>1.1111111111111112E-2</v>
      </c>
      <c r="I2" s="8">
        <v>2.7186761229314422E-2</v>
      </c>
      <c r="J2" s="9">
        <v>2.7186761229314422E-2</v>
      </c>
      <c r="K2" s="9">
        <v>3.0456852791878174E-2</v>
      </c>
      <c r="L2" s="9">
        <v>2.3809523809523808E-2</v>
      </c>
      <c r="M2" s="9">
        <v>1.6E-2</v>
      </c>
      <c r="N2" s="9">
        <v>1.8726591760299626E-2</v>
      </c>
      <c r="O2" s="9">
        <v>2.3121387283236993E-2</v>
      </c>
      <c r="P2" s="9">
        <v>1.1111111111111112E-2</v>
      </c>
    </row>
    <row r="3" spans="1:16" x14ac:dyDescent="0.3">
      <c r="A3" s="8" t="s">
        <v>71</v>
      </c>
      <c r="B3" s="9">
        <v>3.1724681394527325E-2</v>
      </c>
      <c r="C3" s="9">
        <v>4.060913705583756E-2</v>
      </c>
      <c r="D3" s="9">
        <v>2.3809523809523808E-2</v>
      </c>
      <c r="E3" s="9">
        <v>5.6000000000000001E-2</v>
      </c>
      <c r="F3" s="9">
        <v>3.7453183520599251E-3</v>
      </c>
      <c r="G3" s="9">
        <v>2.8901734104046242E-2</v>
      </c>
      <c r="H3" s="9">
        <v>3.3333333333333333E-2</v>
      </c>
      <c r="I3" s="8">
        <v>5.891144262384175E-2</v>
      </c>
      <c r="J3" s="8">
        <f t="shared" ref="J3:P10" si="0">J2+B3</f>
        <v>5.891144262384175E-2</v>
      </c>
      <c r="K3" s="8">
        <f t="shared" si="0"/>
        <v>7.1065989847715727E-2</v>
      </c>
      <c r="L3" s="8">
        <f t="shared" si="0"/>
        <v>4.7619047619047616E-2</v>
      </c>
      <c r="M3" s="8">
        <f t="shared" si="0"/>
        <v>7.2000000000000008E-2</v>
      </c>
      <c r="N3" s="8">
        <f t="shared" si="0"/>
        <v>2.247191011235955E-2</v>
      </c>
      <c r="O3" s="8">
        <f t="shared" si="0"/>
        <v>5.2023121387283239E-2</v>
      </c>
      <c r="P3" s="8">
        <f t="shared" si="0"/>
        <v>4.4444444444444446E-2</v>
      </c>
    </row>
    <row r="4" spans="1:16" x14ac:dyDescent="0.3">
      <c r="A4" s="8" t="s">
        <v>69</v>
      </c>
      <c r="B4" s="9">
        <v>4.0759761962990138E-2</v>
      </c>
      <c r="C4" s="9">
        <v>2.030456852791878E-2</v>
      </c>
      <c r="D4" s="9">
        <v>5.9523809523809521E-2</v>
      </c>
      <c r="E4" s="9">
        <v>2.4E-2</v>
      </c>
      <c r="F4" s="9">
        <v>3.3707865168539325E-2</v>
      </c>
      <c r="G4" s="9">
        <v>5.7803468208092484E-2</v>
      </c>
      <c r="H4" s="9">
        <v>4.4444444444444446E-2</v>
      </c>
      <c r="I4" s="8">
        <v>9.9671204586831888E-2</v>
      </c>
      <c r="J4" s="8">
        <f t="shared" si="0"/>
        <v>9.9671204586831888E-2</v>
      </c>
      <c r="K4" s="8">
        <f t="shared" si="0"/>
        <v>9.1370558375634514E-2</v>
      </c>
      <c r="L4" s="8">
        <f t="shared" si="0"/>
        <v>0.10714285714285714</v>
      </c>
      <c r="M4" s="8">
        <f t="shared" si="0"/>
        <v>9.6000000000000002E-2</v>
      </c>
      <c r="N4" s="8">
        <f t="shared" si="0"/>
        <v>5.6179775280898875E-2</v>
      </c>
      <c r="O4" s="8">
        <f t="shared" si="0"/>
        <v>0.10982658959537572</v>
      </c>
      <c r="P4" s="8">
        <f t="shared" si="0"/>
        <v>8.8888888888888892E-2</v>
      </c>
    </row>
    <row r="5" spans="1:16" x14ac:dyDescent="0.3">
      <c r="A5" s="8" t="s">
        <v>70</v>
      </c>
      <c r="B5" s="9">
        <v>4.5379201652129018E-2</v>
      </c>
      <c r="C5" s="9">
        <v>3.553299492385787E-2</v>
      </c>
      <c r="D5" s="9">
        <v>7.1428571428571425E-2</v>
      </c>
      <c r="E5" s="9">
        <v>1.6E-2</v>
      </c>
      <c r="F5" s="9">
        <v>1.8726591760299626E-2</v>
      </c>
      <c r="G5" s="9">
        <v>1.7341040462427744E-2</v>
      </c>
      <c r="H5" s="9">
        <v>3.3333333333333333E-2</v>
      </c>
      <c r="I5" s="8">
        <v>0.1450504062389609</v>
      </c>
      <c r="J5" s="8">
        <f t="shared" si="0"/>
        <v>0.1450504062389609</v>
      </c>
      <c r="K5" s="8">
        <f t="shared" si="0"/>
        <v>0.12690355329949238</v>
      </c>
      <c r="L5" s="8">
        <f t="shared" si="0"/>
        <v>0.17857142857142855</v>
      </c>
      <c r="M5" s="8">
        <f t="shared" si="0"/>
        <v>0.112</v>
      </c>
      <c r="N5" s="8">
        <f t="shared" si="0"/>
        <v>7.4906367041198504E-2</v>
      </c>
      <c r="O5" s="8">
        <f t="shared" si="0"/>
        <v>0.12716763005780346</v>
      </c>
      <c r="P5" s="8">
        <f t="shared" si="0"/>
        <v>0.12222222222222223</v>
      </c>
    </row>
    <row r="6" spans="1:16" x14ac:dyDescent="0.3">
      <c r="A6" s="8" t="s">
        <v>67</v>
      </c>
      <c r="B6" s="9">
        <v>5.1017635390342653E-2</v>
      </c>
      <c r="C6" s="9">
        <v>6.5989847715736044E-2</v>
      </c>
      <c r="D6" s="9">
        <v>2.3809523809523808E-2</v>
      </c>
      <c r="E6" s="9">
        <v>3.2000000000000001E-2</v>
      </c>
      <c r="F6" s="9">
        <v>8.6142322097378279E-2</v>
      </c>
      <c r="G6" s="9">
        <v>8.6705202312138727E-2</v>
      </c>
      <c r="H6" s="9">
        <v>4.4444444444444446E-2</v>
      </c>
      <c r="I6" s="8">
        <v>0.19606804162930355</v>
      </c>
      <c r="J6" s="8">
        <f t="shared" si="0"/>
        <v>0.19606804162930355</v>
      </c>
      <c r="K6" s="8">
        <f t="shared" si="0"/>
        <v>0.19289340101522842</v>
      </c>
      <c r="L6" s="8">
        <f t="shared" si="0"/>
        <v>0.20238095238095236</v>
      </c>
      <c r="M6" s="8">
        <f t="shared" si="0"/>
        <v>0.14400000000000002</v>
      </c>
      <c r="N6" s="8">
        <f t="shared" si="0"/>
        <v>0.16104868913857678</v>
      </c>
      <c r="O6" s="8">
        <f t="shared" si="0"/>
        <v>0.2138728323699422</v>
      </c>
      <c r="P6" s="8">
        <f t="shared" si="0"/>
        <v>0.16666666666666669</v>
      </c>
    </row>
    <row r="7" spans="1:16" x14ac:dyDescent="0.3">
      <c r="A7" s="8" t="s">
        <v>66</v>
      </c>
      <c r="B7" s="9">
        <v>6.853074644710741E-2</v>
      </c>
      <c r="C7" s="9">
        <v>8.6294416243654817E-2</v>
      </c>
      <c r="D7" s="9">
        <v>7.1428571428571425E-2</v>
      </c>
      <c r="E7" s="9">
        <v>6.4000000000000001E-2</v>
      </c>
      <c r="F7" s="9">
        <v>5.2434456928838954E-2</v>
      </c>
      <c r="G7" s="9">
        <v>2.8901734104046242E-2</v>
      </c>
      <c r="H7" s="9">
        <v>4.4444444444444446E-2</v>
      </c>
      <c r="I7" s="8">
        <v>0.26459878807641096</v>
      </c>
      <c r="J7" s="8">
        <f t="shared" si="0"/>
        <v>0.26459878807641096</v>
      </c>
      <c r="K7" s="8">
        <f t="shared" si="0"/>
        <v>0.27918781725888325</v>
      </c>
      <c r="L7" s="8">
        <f t="shared" si="0"/>
        <v>0.27380952380952378</v>
      </c>
      <c r="M7" s="8">
        <f t="shared" si="0"/>
        <v>0.20800000000000002</v>
      </c>
      <c r="N7" s="8">
        <f t="shared" si="0"/>
        <v>0.21348314606741575</v>
      </c>
      <c r="O7" s="8">
        <f t="shared" si="0"/>
        <v>0.24277456647398843</v>
      </c>
      <c r="P7" s="8">
        <f t="shared" si="0"/>
        <v>0.21111111111111114</v>
      </c>
    </row>
    <row r="8" spans="1:16" x14ac:dyDescent="0.3">
      <c r="A8" s="8" t="s">
        <v>68</v>
      </c>
      <c r="B8" s="9">
        <v>0.17642183636314229</v>
      </c>
      <c r="C8" s="9">
        <v>0.18781725888324874</v>
      </c>
      <c r="D8" s="9">
        <v>0.11904761904761904</v>
      </c>
      <c r="E8" s="9">
        <v>0.16800000000000001</v>
      </c>
      <c r="F8" s="9">
        <v>0.13108614232209737</v>
      </c>
      <c r="G8" s="9">
        <v>0.20809248554913296</v>
      </c>
      <c r="H8" s="9">
        <v>0.23333333333333334</v>
      </c>
      <c r="I8" s="8">
        <v>0.44102062443955325</v>
      </c>
      <c r="J8" s="8">
        <f t="shared" si="0"/>
        <v>0.44102062443955325</v>
      </c>
      <c r="K8" s="8">
        <f t="shared" si="0"/>
        <v>0.46700507614213199</v>
      </c>
      <c r="L8" s="8">
        <f t="shared" si="0"/>
        <v>0.39285714285714279</v>
      </c>
      <c r="M8" s="8">
        <f t="shared" si="0"/>
        <v>0.376</v>
      </c>
      <c r="N8" s="8">
        <f t="shared" si="0"/>
        <v>0.34456928838951312</v>
      </c>
      <c r="O8" s="8">
        <f t="shared" si="0"/>
        <v>0.45086705202312138</v>
      </c>
      <c r="P8" s="8">
        <f t="shared" si="0"/>
        <v>0.44444444444444448</v>
      </c>
    </row>
    <row r="9" spans="1:16" x14ac:dyDescent="0.3">
      <c r="A9" s="8" t="s">
        <v>65</v>
      </c>
      <c r="B9" s="9">
        <v>0.19852721393440395</v>
      </c>
      <c r="C9" s="9">
        <v>0.25380710659898476</v>
      </c>
      <c r="D9" s="9">
        <v>0.2857142857142857</v>
      </c>
      <c r="E9" s="9">
        <v>0.16</v>
      </c>
      <c r="F9" s="9">
        <v>0.1198501872659176</v>
      </c>
      <c r="G9" s="9">
        <v>0.18497109826589594</v>
      </c>
      <c r="H9" s="9">
        <v>0.17777777777777778</v>
      </c>
      <c r="I9" s="8">
        <v>0.63954783837395723</v>
      </c>
      <c r="J9" s="8">
        <f t="shared" si="0"/>
        <v>0.63954783837395723</v>
      </c>
      <c r="K9" s="8">
        <f t="shared" si="0"/>
        <v>0.72081218274111669</v>
      </c>
      <c r="L9" s="8">
        <f t="shared" si="0"/>
        <v>0.67857142857142849</v>
      </c>
      <c r="M9" s="8">
        <f t="shared" si="0"/>
        <v>0.53600000000000003</v>
      </c>
      <c r="N9" s="8">
        <f t="shared" si="0"/>
        <v>0.46441947565543074</v>
      </c>
      <c r="O9" s="8">
        <f t="shared" si="0"/>
        <v>0.63583815028901736</v>
      </c>
      <c r="P9" s="8">
        <f t="shared" si="0"/>
        <v>0.62222222222222223</v>
      </c>
    </row>
    <row r="10" spans="1:16" x14ac:dyDescent="0.3">
      <c r="A10" s="8" t="s">
        <v>72</v>
      </c>
      <c r="B10" s="9">
        <v>0.36045216162604277</v>
      </c>
      <c r="C10" s="9">
        <v>0.27918781725888325</v>
      </c>
      <c r="D10" s="9">
        <v>0.32142857142857145</v>
      </c>
      <c r="E10" s="9">
        <v>0.46400000000000002</v>
      </c>
      <c r="F10" s="9">
        <v>0.53558052434456926</v>
      </c>
      <c r="G10" s="9">
        <v>0.36416184971098264</v>
      </c>
      <c r="H10" s="9">
        <v>0.37777777777777777</v>
      </c>
      <c r="I10" s="8">
        <v>1</v>
      </c>
      <c r="J10" s="8">
        <f t="shared" si="0"/>
        <v>1</v>
      </c>
      <c r="K10" s="8">
        <f t="shared" si="0"/>
        <v>1</v>
      </c>
      <c r="L10" s="8">
        <f t="shared" si="0"/>
        <v>1</v>
      </c>
      <c r="M10" s="8">
        <f t="shared" si="0"/>
        <v>1</v>
      </c>
      <c r="N10" s="8">
        <f t="shared" si="0"/>
        <v>1</v>
      </c>
      <c r="O10" s="8">
        <f t="shared" si="0"/>
        <v>1</v>
      </c>
      <c r="P10" s="8">
        <f t="shared" si="0"/>
        <v>1</v>
      </c>
    </row>
    <row r="12" spans="1:16" ht="28.8" x14ac:dyDescent="0.3">
      <c r="B12" s="1" t="s">
        <v>94</v>
      </c>
      <c r="C12" s="3" t="s">
        <v>102</v>
      </c>
      <c r="D12" s="3" t="s">
        <v>103</v>
      </c>
      <c r="E12" s="3" t="s">
        <v>104</v>
      </c>
      <c r="F12" s="3" t="s">
        <v>105</v>
      </c>
      <c r="G12" s="3" t="s">
        <v>106</v>
      </c>
      <c r="H12" s="3" t="s">
        <v>107</v>
      </c>
      <c r="J12" s="7"/>
      <c r="K12" s="10" t="s">
        <v>108</v>
      </c>
      <c r="L12" s="10" t="s">
        <v>109</v>
      </c>
      <c r="M12" s="10" t="s">
        <v>110</v>
      </c>
      <c r="N12" s="10" t="s">
        <v>111</v>
      </c>
      <c r="O12" s="10" t="s">
        <v>112</v>
      </c>
      <c r="P12" s="10" t="s">
        <v>113</v>
      </c>
    </row>
    <row r="13" spans="1:16" x14ac:dyDescent="0.3">
      <c r="B13" s="8" t="s">
        <v>73</v>
      </c>
      <c r="C13" s="8">
        <f>C2-B2</f>
        <v>3.2700915625637518E-3</v>
      </c>
      <c r="D13" s="8">
        <f>D2-B2</f>
        <v>-3.3772374197906137E-3</v>
      </c>
      <c r="E13" s="8">
        <f>E2-B2</f>
        <v>-1.1186761229314422E-2</v>
      </c>
      <c r="F13" s="8">
        <f>F2-B2</f>
        <v>-8.4601694690147958E-3</v>
      </c>
      <c r="G13" s="8">
        <f>G2-B2</f>
        <v>-4.0653739460774288E-3</v>
      </c>
      <c r="H13" s="8">
        <f>H2-B2</f>
        <v>-1.6075650118203312E-2</v>
      </c>
      <c r="J13" s="8" t="s">
        <v>73</v>
      </c>
      <c r="K13" s="7">
        <f>($J2-0) * ((K2+0))</f>
        <v>8.2802318464917019E-4</v>
      </c>
      <c r="L13" s="7">
        <f t="shared" ref="L13:P13" si="1">($J2-0) * ((L2+0))</f>
        <v>6.4730383879320048E-4</v>
      </c>
      <c r="M13" s="7">
        <f t="shared" si="1"/>
        <v>4.3498817966903077E-4</v>
      </c>
      <c r="N13" s="7">
        <f t="shared" si="1"/>
        <v>5.0911537882611282E-4</v>
      </c>
      <c r="O13" s="7">
        <f t="shared" si="1"/>
        <v>6.2859563535987097E-4</v>
      </c>
      <c r="P13" s="7">
        <f t="shared" si="1"/>
        <v>3.0207512477016025E-4</v>
      </c>
    </row>
    <row r="14" spans="1:16" x14ac:dyDescent="0.3">
      <c r="B14" s="8" t="s">
        <v>71</v>
      </c>
      <c r="C14" s="8">
        <f t="shared" ref="C14:C21" si="2">C3-B3</f>
        <v>8.8844556613102352E-3</v>
      </c>
      <c r="D14" s="8">
        <f t="shared" ref="D14:D21" si="3">D3-B3</f>
        <v>-7.9151575850035169E-3</v>
      </c>
      <c r="E14" s="8">
        <f t="shared" ref="E14:E21" si="4">E3-B3</f>
        <v>2.4275318605472676E-2</v>
      </c>
      <c r="F14" s="8">
        <f t="shared" ref="F14:F21" si="5">F3-B3</f>
        <v>-2.7979363042467401E-2</v>
      </c>
      <c r="G14" s="8">
        <f t="shared" ref="G14:G21" si="6">G3-B3</f>
        <v>-2.8229472904810829E-3</v>
      </c>
      <c r="H14" s="8">
        <f t="shared" ref="H14:H21" si="7">H3-B3</f>
        <v>1.6086519388060078E-3</v>
      </c>
      <c r="J14" s="8" t="s">
        <v>71</v>
      </c>
      <c r="K14" s="7">
        <f>($J3-$J2) * ((K3+K2))</f>
        <v>3.2207798370078511E-3</v>
      </c>
      <c r="L14" s="7">
        <f t="shared" ref="L14:P14" si="8">($J3-$J2) * ((L3+L2))</f>
        <v>2.2660486710376665E-3</v>
      </c>
      <c r="M14" s="7">
        <f t="shared" si="8"/>
        <v>2.7917719627184056E-3</v>
      </c>
      <c r="N14" s="7">
        <f t="shared" si="8"/>
        <v>1.3070093458419502E-3</v>
      </c>
      <c r="O14" s="7">
        <f t="shared" si="8"/>
        <v>2.3839355961205511E-3</v>
      </c>
      <c r="P14" s="7">
        <f t="shared" si="8"/>
        <v>1.762482299695963E-3</v>
      </c>
    </row>
    <row r="15" spans="1:16" x14ac:dyDescent="0.3">
      <c r="B15" s="8" t="s">
        <v>69</v>
      </c>
      <c r="C15" s="8">
        <f t="shared" si="2"/>
        <v>-2.0455193435071357E-2</v>
      </c>
      <c r="D15" s="8">
        <f t="shared" si="3"/>
        <v>1.8764047560819383E-2</v>
      </c>
      <c r="E15" s="8">
        <f t="shared" si="4"/>
        <v>-1.6759761962990137E-2</v>
      </c>
      <c r="F15" s="8">
        <f t="shared" si="5"/>
        <v>-7.0518967944508126E-3</v>
      </c>
      <c r="G15" s="8">
        <f t="shared" si="6"/>
        <v>1.7043706245102347E-2</v>
      </c>
      <c r="H15" s="8">
        <f t="shared" si="7"/>
        <v>3.6846824814543086E-3</v>
      </c>
      <c r="J15" s="8" t="s">
        <v>69</v>
      </c>
      <c r="K15" s="7">
        <f t="shared" ref="K15:P21" si="9">($J4-$J3) * ((K4+K3))</f>
        <v>6.620875039673524E-3</v>
      </c>
      <c r="L15" s="7">
        <f t="shared" si="9"/>
        <v>6.3080583990341886E-3</v>
      </c>
      <c r="M15" s="7">
        <f t="shared" si="9"/>
        <v>6.8476400097823437E-3</v>
      </c>
      <c r="N15" s="7">
        <f t="shared" si="9"/>
        <v>3.2058239746172016E-3</v>
      </c>
      <c r="O15" s="7">
        <f t="shared" si="9"/>
        <v>6.5969556934319298E-3</v>
      </c>
      <c r="P15" s="7">
        <f t="shared" si="9"/>
        <v>5.434634928398685E-3</v>
      </c>
    </row>
    <row r="16" spans="1:16" x14ac:dyDescent="0.3">
      <c r="B16" s="8" t="s">
        <v>70</v>
      </c>
      <c r="C16" s="8">
        <f t="shared" si="2"/>
        <v>-9.846206728271148E-3</v>
      </c>
      <c r="D16" s="8">
        <f t="shared" si="3"/>
        <v>2.6049369776442406E-2</v>
      </c>
      <c r="E16" s="8">
        <f t="shared" si="4"/>
        <v>-2.9379201652129018E-2</v>
      </c>
      <c r="F16" s="8">
        <f t="shared" si="5"/>
        <v>-2.6652609891829392E-2</v>
      </c>
      <c r="G16" s="8">
        <f t="shared" si="6"/>
        <v>-2.8038161189701274E-2</v>
      </c>
      <c r="H16" s="8">
        <f t="shared" si="7"/>
        <v>-1.2045868318795686E-2</v>
      </c>
      <c r="J16" s="8" t="s">
        <v>70</v>
      </c>
      <c r="K16" s="7">
        <f t="shared" si="9"/>
        <v>9.90510492914491E-3</v>
      </c>
      <c r="L16" s="7">
        <f t="shared" si="9"/>
        <v>1.2965486186322574E-2</v>
      </c>
      <c r="M16" s="7">
        <f t="shared" si="9"/>
        <v>9.4388739436428344E-3</v>
      </c>
      <c r="N16" s="7">
        <f t="shared" si="9"/>
        <v>5.9485844862341396E-3</v>
      </c>
      <c r="O16" s="7">
        <f t="shared" si="9"/>
        <v>1.0754608484030575E-2</v>
      </c>
      <c r="P16" s="7">
        <f t="shared" si="9"/>
        <v>9.5800536821161256E-3</v>
      </c>
    </row>
    <row r="17" spans="2:16" x14ac:dyDescent="0.3">
      <c r="B17" s="8" t="s">
        <v>67</v>
      </c>
      <c r="C17" s="8">
        <f t="shared" si="2"/>
        <v>1.4972212325393391E-2</v>
      </c>
      <c r="D17" s="8">
        <f t="shared" si="3"/>
        <v>-2.7208111580818845E-2</v>
      </c>
      <c r="E17" s="8">
        <f t="shared" si="4"/>
        <v>-1.9017635390342652E-2</v>
      </c>
      <c r="F17" s="8">
        <f t="shared" si="5"/>
        <v>3.5124686707035627E-2</v>
      </c>
      <c r="G17" s="8">
        <f t="shared" si="6"/>
        <v>3.5687566921796074E-2</v>
      </c>
      <c r="H17" s="8">
        <f t="shared" si="7"/>
        <v>-6.5731909458982066E-3</v>
      </c>
      <c r="J17" s="8" t="s">
        <v>67</v>
      </c>
      <c r="K17" s="7">
        <f t="shared" si="9"/>
        <v>1.6315284414170492E-2</v>
      </c>
      <c r="L17" s="7">
        <f t="shared" si="9"/>
        <v>1.9435289672511485E-2</v>
      </c>
      <c r="M17" s="7">
        <f t="shared" si="9"/>
        <v>1.3060514659927719E-2</v>
      </c>
      <c r="N17" s="7">
        <f t="shared" si="9"/>
        <v>1.2037869024687594E-2</v>
      </c>
      <c r="O17" s="7">
        <f t="shared" si="9"/>
        <v>1.7399077965492581E-2</v>
      </c>
      <c r="P17" s="7">
        <f t="shared" si="9"/>
        <v>1.4738428001654546E-2</v>
      </c>
    </row>
    <row r="18" spans="2:16" x14ac:dyDescent="0.3">
      <c r="B18" s="8" t="s">
        <v>66</v>
      </c>
      <c r="C18" s="8">
        <f t="shared" si="2"/>
        <v>1.7763669796547407E-2</v>
      </c>
      <c r="D18" s="8">
        <f t="shared" si="3"/>
        <v>2.8978249814640145E-3</v>
      </c>
      <c r="E18" s="8">
        <f t="shared" si="4"/>
        <v>-4.5307464471074088E-3</v>
      </c>
      <c r="F18" s="8">
        <f t="shared" si="5"/>
        <v>-1.6096289518268456E-2</v>
      </c>
      <c r="G18" s="8">
        <f t="shared" si="6"/>
        <v>-3.9629012343061168E-2</v>
      </c>
      <c r="H18" s="8">
        <f t="shared" si="7"/>
        <v>-2.4086302002662964E-2</v>
      </c>
      <c r="J18" s="8" t="s">
        <v>66</v>
      </c>
      <c r="K18" s="7">
        <f t="shared" si="9"/>
        <v>3.2352078271984712E-2</v>
      </c>
      <c r="L18" s="7">
        <f t="shared" si="9"/>
        <v>3.263368878433686E-2</v>
      </c>
      <c r="M18" s="7">
        <f t="shared" si="9"/>
        <v>2.4122822749381812E-2</v>
      </c>
      <c r="N18" s="7">
        <f t="shared" si="9"/>
        <v>2.5666946234871691E-2</v>
      </c>
      <c r="O18" s="7">
        <f t="shared" si="9"/>
        <v>3.1294387105904542E-2</v>
      </c>
      <c r="P18" s="7">
        <f t="shared" si="9"/>
        <v>2.5889393102240581E-2</v>
      </c>
    </row>
    <row r="19" spans="2:16" x14ac:dyDescent="0.3">
      <c r="B19" s="8" t="s">
        <v>68</v>
      </c>
      <c r="C19" s="8">
        <f t="shared" si="2"/>
        <v>1.1395422520106446E-2</v>
      </c>
      <c r="D19" s="8">
        <f t="shared" si="3"/>
        <v>-5.7374217315523252E-2</v>
      </c>
      <c r="E19" s="8">
        <f t="shared" si="4"/>
        <v>-8.4218363631422821E-3</v>
      </c>
      <c r="F19" s="8">
        <f t="shared" si="5"/>
        <v>-4.5335694041044927E-2</v>
      </c>
      <c r="G19" s="8">
        <f t="shared" si="6"/>
        <v>3.1670649185990662E-2</v>
      </c>
      <c r="H19" s="8">
        <f t="shared" si="7"/>
        <v>5.6911496970191044E-2</v>
      </c>
      <c r="J19" s="8" t="s">
        <v>68</v>
      </c>
      <c r="K19" s="7">
        <f t="shared" si="9"/>
        <v>0.13164472053493359</v>
      </c>
      <c r="L19" s="7">
        <f t="shared" si="9"/>
        <v>0.11761455757542817</v>
      </c>
      <c r="M19" s="7">
        <f t="shared" si="9"/>
        <v>0.10303035243607511</v>
      </c>
      <c r="N19" s="7">
        <f t="shared" si="9"/>
        <v>9.8452635273813496E-2</v>
      </c>
      <c r="O19" s="7">
        <f t="shared" si="9"/>
        <v>0.12237352811316228</v>
      </c>
      <c r="P19" s="7">
        <f t="shared" si="9"/>
        <v>0.11565431494917108</v>
      </c>
    </row>
    <row r="20" spans="2:16" x14ac:dyDescent="0.3">
      <c r="B20" s="8" t="s">
        <v>65</v>
      </c>
      <c r="C20" s="8">
        <f t="shared" si="2"/>
        <v>5.5279892664580804E-2</v>
      </c>
      <c r="D20" s="8">
        <f t="shared" si="3"/>
        <v>8.7187071779881747E-2</v>
      </c>
      <c r="E20" s="8">
        <f t="shared" si="4"/>
        <v>-3.8527213934403948E-2</v>
      </c>
      <c r="F20" s="8">
        <f t="shared" si="5"/>
        <v>-7.8677026668486347E-2</v>
      </c>
      <c r="G20" s="8">
        <f t="shared" si="6"/>
        <v>-1.3556115668508006E-2</v>
      </c>
      <c r="H20" s="8">
        <f t="shared" si="7"/>
        <v>-2.0749436156626166E-2</v>
      </c>
      <c r="J20" s="8" t="s">
        <v>65</v>
      </c>
      <c r="K20" s="7">
        <f t="shared" si="9"/>
        <v>0.23581405106929204</v>
      </c>
      <c r="L20" s="7">
        <f t="shared" si="9"/>
        <v>0.21270772921543279</v>
      </c>
      <c r="M20" s="7">
        <f t="shared" si="9"/>
        <v>0.18105681910817645</v>
      </c>
      <c r="N20" s="7">
        <f t="shared" si="9"/>
        <v>0.16060628543007963</v>
      </c>
      <c r="O20" s="7">
        <f t="shared" si="9"/>
        <v>0.21574055618305174</v>
      </c>
      <c r="P20" s="7">
        <f t="shared" si="9"/>
        <v>0.21176236153003092</v>
      </c>
    </row>
    <row r="21" spans="2:16" x14ac:dyDescent="0.3">
      <c r="B21" s="8" t="s">
        <v>72</v>
      </c>
      <c r="C21" s="8">
        <f t="shared" si="2"/>
        <v>-8.1264344367159513E-2</v>
      </c>
      <c r="D21" s="8">
        <f t="shared" si="3"/>
        <v>-3.9023590197471314E-2</v>
      </c>
      <c r="E21" s="8">
        <f t="shared" si="4"/>
        <v>0.10354783837395726</v>
      </c>
      <c r="F21" s="8">
        <f t="shared" si="5"/>
        <v>0.1751283627185265</v>
      </c>
      <c r="G21" s="8">
        <f t="shared" si="6"/>
        <v>3.7096880849398772E-3</v>
      </c>
      <c r="H21" s="8">
        <f t="shared" si="7"/>
        <v>1.7325616151735002E-2</v>
      </c>
      <c r="J21" s="8" t="s">
        <v>72</v>
      </c>
      <c r="K21" s="7">
        <f t="shared" si="9"/>
        <v>0.62027047102146449</v>
      </c>
      <c r="L21" s="7">
        <f t="shared" si="9"/>
        <v>0.60504469987228604</v>
      </c>
      <c r="M21" s="7">
        <f t="shared" si="9"/>
        <v>0.55365452025760165</v>
      </c>
      <c r="N21" s="7">
        <f t="shared" si="9"/>
        <v>0.52785316552727612</v>
      </c>
      <c r="O21" s="7">
        <f t="shared" si="9"/>
        <v>0.5896413973420237</v>
      </c>
      <c r="P21" s="7">
        <f t="shared" si="9"/>
        <v>0.58473350663780266</v>
      </c>
    </row>
    <row r="22" spans="2:16" x14ac:dyDescent="0.3">
      <c r="J22" s="12" t="s">
        <v>114</v>
      </c>
      <c r="K22" s="10">
        <f>SUM(K13:K21)</f>
        <v>1.0569713883023208</v>
      </c>
      <c r="L22" s="10">
        <f t="shared" ref="L22:P22" si="10">SUM(L13:L21)</f>
        <v>1.009622862215183</v>
      </c>
      <c r="M22" s="10">
        <f t="shared" si="10"/>
        <v>0.89443830330697538</v>
      </c>
      <c r="N22" s="10">
        <f t="shared" si="10"/>
        <v>0.83558743467624796</v>
      </c>
      <c r="O22" s="10">
        <f t="shared" si="10"/>
        <v>0.9968130421185778</v>
      </c>
      <c r="P22" s="10">
        <f t="shared" si="10"/>
        <v>0.96985725025588065</v>
      </c>
    </row>
    <row r="23" spans="2:16" x14ac:dyDescent="0.3">
      <c r="J23" s="13" t="s">
        <v>115</v>
      </c>
      <c r="K23" s="11">
        <f>1-K22</f>
        <v>-5.6971388302320847E-2</v>
      </c>
      <c r="L23" s="11">
        <f t="shared" ref="L23:P23" si="11">1-L22</f>
        <v>-9.6228622151830479E-3</v>
      </c>
      <c r="M23" s="11">
        <f t="shared" si="11"/>
        <v>0.10556169669302462</v>
      </c>
      <c r="N23" s="11">
        <f t="shared" si="11"/>
        <v>0.16441256532375204</v>
      </c>
      <c r="O23" s="11">
        <f t="shared" si="11"/>
        <v>3.1869578814222033E-3</v>
      </c>
      <c r="P23" s="11">
        <f t="shared" si="11"/>
        <v>3.0142749744119346E-2</v>
      </c>
    </row>
  </sheetData>
  <sortState xmlns:xlrd2="http://schemas.microsoft.com/office/spreadsheetml/2017/richdata2" ref="A2:P11">
    <sortCondition ref="B1:B11"/>
  </sortState>
  <pageMargins left="0.511811024" right="0.511811024" top="0.78740157499999996" bottom="0.78740157499999996" header="0.31496062000000002" footer="0.31496062000000002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5D355-46AF-4C3B-B830-1771B951CF52}">
  <dimension ref="A1:P45"/>
  <sheetViews>
    <sheetView zoomScale="97" workbookViewId="0">
      <selection activeCell="N1" activeCellId="1" sqref="I1:J21 N1:P21"/>
    </sheetView>
  </sheetViews>
  <sheetFormatPr defaultRowHeight="14.4" x14ac:dyDescent="0.3"/>
  <cols>
    <col min="11" max="16" width="12" bestFit="1" customWidth="1"/>
  </cols>
  <sheetData>
    <row r="1" spans="1:16" ht="36.6" customHeight="1" x14ac:dyDescent="0.3">
      <c r="A1" s="1" t="s">
        <v>94</v>
      </c>
      <c r="B1" s="2" t="s">
        <v>95</v>
      </c>
      <c r="C1" s="3" t="s">
        <v>96</v>
      </c>
      <c r="D1" s="3" t="s">
        <v>97</v>
      </c>
      <c r="E1" s="3" t="s">
        <v>98</v>
      </c>
      <c r="F1" s="2" t="s">
        <v>99</v>
      </c>
      <c r="G1" s="3" t="s">
        <v>100</v>
      </c>
      <c r="H1" s="3" t="s">
        <v>101</v>
      </c>
      <c r="I1" s="4" t="s">
        <v>95</v>
      </c>
      <c r="J1" s="5" t="s">
        <v>95</v>
      </c>
      <c r="K1" s="6" t="s">
        <v>96</v>
      </c>
      <c r="L1" s="6" t="s">
        <v>97</v>
      </c>
      <c r="M1" s="6" t="s">
        <v>98</v>
      </c>
      <c r="N1" s="5" t="s">
        <v>99</v>
      </c>
      <c r="O1" s="6" t="s">
        <v>100</v>
      </c>
      <c r="P1" s="6" t="s">
        <v>101</v>
      </c>
    </row>
    <row r="2" spans="1:16" x14ac:dyDescent="0.3">
      <c r="A2" s="8" t="s">
        <v>90</v>
      </c>
      <c r="B2" s="9">
        <v>7.069991985055403E-3</v>
      </c>
      <c r="C2" s="9">
        <v>1.0810810810810811E-2</v>
      </c>
      <c r="D2" s="9">
        <v>5.3333333333333332E-3</v>
      </c>
      <c r="E2" s="9">
        <v>9.5057034220532317E-3</v>
      </c>
      <c r="F2" s="9">
        <v>1.1494252873563218E-2</v>
      </c>
      <c r="G2" s="9">
        <v>1.1695906432748538E-3</v>
      </c>
      <c r="H2" s="9">
        <v>1.6786570743405275E-2</v>
      </c>
      <c r="I2" s="8">
        <v>7.069991985055403E-3</v>
      </c>
      <c r="J2" s="9">
        <v>7.069991985055403E-3</v>
      </c>
      <c r="K2" s="9">
        <v>1.0810810810810811E-2</v>
      </c>
      <c r="L2" s="9">
        <v>5.3333333333333332E-3</v>
      </c>
      <c r="M2" s="9">
        <v>9.5057034220532317E-3</v>
      </c>
      <c r="N2" s="9">
        <v>1.1494252873563218E-2</v>
      </c>
      <c r="O2" s="9">
        <v>1.1695906432748538E-3</v>
      </c>
      <c r="P2" s="9">
        <v>1.6786570743405275E-2</v>
      </c>
    </row>
    <row r="3" spans="1:16" x14ac:dyDescent="0.3">
      <c r="A3" s="8" t="s">
        <v>77</v>
      </c>
      <c r="B3" s="9">
        <v>1.0696988314397898E-2</v>
      </c>
      <c r="C3" s="9">
        <v>1.6216216216216217E-2</v>
      </c>
      <c r="D3" s="9">
        <v>1.6E-2</v>
      </c>
      <c r="E3" s="9">
        <v>7.6045627376425855E-3</v>
      </c>
      <c r="F3" s="9">
        <v>1.5915119363395226E-2</v>
      </c>
      <c r="G3" s="9">
        <v>1.2865497076023392E-2</v>
      </c>
      <c r="H3" s="9">
        <v>1.9184652278177457E-2</v>
      </c>
      <c r="I3" s="8">
        <v>1.7766980299453301E-2</v>
      </c>
      <c r="J3" s="8">
        <f t="shared" ref="J3:P10" si="0">J2+B3</f>
        <v>1.7766980299453301E-2</v>
      </c>
      <c r="K3" s="8">
        <f t="shared" si="0"/>
        <v>2.7027027027027029E-2</v>
      </c>
      <c r="L3" s="8">
        <f t="shared" si="0"/>
        <v>2.1333333333333333E-2</v>
      </c>
      <c r="M3" s="8">
        <f t="shared" si="0"/>
        <v>1.7110266159695818E-2</v>
      </c>
      <c r="N3" s="8">
        <f t="shared" si="0"/>
        <v>2.7409372236958444E-2</v>
      </c>
      <c r="O3" s="8">
        <f t="shared" si="0"/>
        <v>1.4035087719298246E-2</v>
      </c>
      <c r="P3" s="8">
        <f t="shared" si="0"/>
        <v>3.5971223021582732E-2</v>
      </c>
    </row>
    <row r="4" spans="1:16" x14ac:dyDescent="0.3">
      <c r="A4" s="8" t="s">
        <v>91</v>
      </c>
      <c r="B4" s="9">
        <v>1.1442346975371978E-2</v>
      </c>
      <c r="C4" s="9">
        <v>1.891891891891892E-2</v>
      </c>
      <c r="D4" s="9">
        <v>1.6E-2</v>
      </c>
      <c r="E4" s="9">
        <v>1.7110266159695818E-2</v>
      </c>
      <c r="F4" s="9">
        <v>1.7683465959328029E-2</v>
      </c>
      <c r="G4" s="9">
        <v>1.7543859649122806E-2</v>
      </c>
      <c r="H4" s="9">
        <v>3.117505995203837E-2</v>
      </c>
      <c r="I4" s="8">
        <v>2.9209327274825281E-2</v>
      </c>
      <c r="J4" s="8">
        <f t="shared" si="0"/>
        <v>2.9209327274825281E-2</v>
      </c>
      <c r="K4" s="8">
        <f t="shared" si="0"/>
        <v>4.5945945945945948E-2</v>
      </c>
      <c r="L4" s="8">
        <f t="shared" si="0"/>
        <v>3.7333333333333329E-2</v>
      </c>
      <c r="M4" s="8">
        <f t="shared" si="0"/>
        <v>3.4220532319391636E-2</v>
      </c>
      <c r="N4" s="8">
        <f t="shared" si="0"/>
        <v>4.5092838196286469E-2</v>
      </c>
      <c r="O4" s="8">
        <f t="shared" si="0"/>
        <v>3.1578947368421054E-2</v>
      </c>
      <c r="P4" s="8">
        <f t="shared" si="0"/>
        <v>6.7146282973621102E-2</v>
      </c>
    </row>
    <row r="5" spans="1:16" x14ac:dyDescent="0.3">
      <c r="A5" s="8" t="s">
        <v>78</v>
      </c>
      <c r="B5" s="9">
        <v>1.3104590349008736E-2</v>
      </c>
      <c r="C5" s="9">
        <v>1.4864864864864866E-2</v>
      </c>
      <c r="D5" s="9">
        <v>1.3333333333333334E-2</v>
      </c>
      <c r="E5" s="9">
        <v>4.3726235741444866E-2</v>
      </c>
      <c r="F5" s="9">
        <v>2.3872679045092837E-2</v>
      </c>
      <c r="G5" s="9">
        <v>4.3274853801169591E-2</v>
      </c>
      <c r="H5" s="9">
        <v>3.5971223021582732E-2</v>
      </c>
      <c r="I5" s="8">
        <v>4.2313917623834019E-2</v>
      </c>
      <c r="J5" s="8">
        <f t="shared" si="0"/>
        <v>4.2313917623834019E-2</v>
      </c>
      <c r="K5" s="8">
        <f t="shared" si="0"/>
        <v>6.0810810810810814E-2</v>
      </c>
      <c r="L5" s="8">
        <f t="shared" si="0"/>
        <v>5.0666666666666665E-2</v>
      </c>
      <c r="M5" s="8">
        <f t="shared" si="0"/>
        <v>7.7946768060836502E-2</v>
      </c>
      <c r="N5" s="8">
        <f t="shared" si="0"/>
        <v>6.8965517241379309E-2</v>
      </c>
      <c r="O5" s="8">
        <f t="shared" si="0"/>
        <v>7.4853801169590645E-2</v>
      </c>
      <c r="P5" s="8">
        <f t="shared" si="0"/>
        <v>0.10311750599520383</v>
      </c>
    </row>
    <row r="6" spans="1:16" x14ac:dyDescent="0.3">
      <c r="A6" s="8" t="s">
        <v>75</v>
      </c>
      <c r="B6" s="9">
        <v>1.3269879089726837E-2</v>
      </c>
      <c r="C6" s="9">
        <v>1.4864864864864866E-2</v>
      </c>
      <c r="D6" s="9">
        <v>2.4E-2</v>
      </c>
      <c r="E6" s="9">
        <v>3.4220532319391636E-2</v>
      </c>
      <c r="F6" s="9">
        <v>3.0946065428824051E-2</v>
      </c>
      <c r="G6" s="9">
        <v>3.2748538011695909E-2</v>
      </c>
      <c r="H6" s="9">
        <v>2.3980815347721823E-2</v>
      </c>
      <c r="I6" s="8">
        <v>5.5583796713560854E-2</v>
      </c>
      <c r="J6" s="8">
        <f t="shared" si="0"/>
        <v>5.5583796713560854E-2</v>
      </c>
      <c r="K6" s="8">
        <f t="shared" si="0"/>
        <v>7.567567567567568E-2</v>
      </c>
      <c r="L6" s="8">
        <f t="shared" si="0"/>
        <v>7.4666666666666659E-2</v>
      </c>
      <c r="M6" s="8">
        <f t="shared" si="0"/>
        <v>0.11216730038022814</v>
      </c>
      <c r="N6" s="8">
        <f t="shared" si="0"/>
        <v>9.9911582670203364E-2</v>
      </c>
      <c r="O6" s="8">
        <f t="shared" si="0"/>
        <v>0.10760233918128656</v>
      </c>
      <c r="P6" s="8">
        <f t="shared" si="0"/>
        <v>0.12709832134292565</v>
      </c>
    </row>
    <row r="7" spans="1:16" x14ac:dyDescent="0.3">
      <c r="A7" s="8" t="s">
        <v>85</v>
      </c>
      <c r="B7" s="9">
        <v>1.6575653904088869E-2</v>
      </c>
      <c r="C7" s="9">
        <v>3.1081081081081083E-2</v>
      </c>
      <c r="D7" s="9">
        <v>0.04</v>
      </c>
      <c r="E7" s="9">
        <v>2.8517110266159697E-2</v>
      </c>
      <c r="F7" s="9">
        <v>1.6799292661361626E-2</v>
      </c>
      <c r="G7" s="9">
        <v>2.3391812865497075E-2</v>
      </c>
      <c r="H7" s="9">
        <v>3.3573141486810551E-2</v>
      </c>
      <c r="I7" s="8">
        <v>7.2159450617649723E-2</v>
      </c>
      <c r="J7" s="8">
        <f t="shared" si="0"/>
        <v>7.2159450617649723E-2</v>
      </c>
      <c r="K7" s="8">
        <f t="shared" si="0"/>
        <v>0.10675675675675676</v>
      </c>
      <c r="L7" s="8">
        <f t="shared" si="0"/>
        <v>0.11466666666666667</v>
      </c>
      <c r="M7" s="8">
        <f t="shared" si="0"/>
        <v>0.14068441064638784</v>
      </c>
      <c r="N7" s="8">
        <f t="shared" si="0"/>
        <v>0.11671087533156499</v>
      </c>
      <c r="O7" s="8">
        <f t="shared" si="0"/>
        <v>0.13099415204678364</v>
      </c>
      <c r="P7" s="8">
        <f t="shared" si="0"/>
        <v>0.16067146282973621</v>
      </c>
    </row>
    <row r="8" spans="1:16" x14ac:dyDescent="0.3">
      <c r="A8" s="8" t="s">
        <v>81</v>
      </c>
      <c r="B8" s="9">
        <v>2.1911673439346829E-2</v>
      </c>
      <c r="C8" s="9">
        <v>2.2972972972972974E-2</v>
      </c>
      <c r="D8" s="9">
        <v>8.0000000000000002E-3</v>
      </c>
      <c r="E8" s="9">
        <v>1.1406844106463879E-2</v>
      </c>
      <c r="F8" s="9">
        <v>1.7683465959328029E-2</v>
      </c>
      <c r="G8" s="9">
        <v>3.2748538011695909E-2</v>
      </c>
      <c r="H8" s="9">
        <v>4.3165467625899283E-2</v>
      </c>
      <c r="I8" s="8">
        <v>9.4071124056996552E-2</v>
      </c>
      <c r="J8" s="8">
        <f t="shared" si="0"/>
        <v>9.4071124056996552E-2</v>
      </c>
      <c r="K8" s="8">
        <f t="shared" si="0"/>
        <v>0.12972972972972974</v>
      </c>
      <c r="L8" s="8">
        <f t="shared" si="0"/>
        <v>0.12266666666666667</v>
      </c>
      <c r="M8" s="8">
        <f t="shared" si="0"/>
        <v>0.15209125475285173</v>
      </c>
      <c r="N8" s="8">
        <f t="shared" si="0"/>
        <v>0.134394341290893</v>
      </c>
      <c r="O8" s="8">
        <f t="shared" si="0"/>
        <v>0.16374269005847955</v>
      </c>
      <c r="P8" s="8">
        <f t="shared" si="0"/>
        <v>0.2038369304556355</v>
      </c>
    </row>
    <row r="9" spans="1:16" x14ac:dyDescent="0.3">
      <c r="A9" s="8" t="s">
        <v>76</v>
      </c>
      <c r="B9" s="9">
        <v>2.3798460007921386E-2</v>
      </c>
      <c r="C9" s="9">
        <v>2.4324324324324326E-2</v>
      </c>
      <c r="D9" s="9">
        <v>5.3333333333333332E-3</v>
      </c>
      <c r="E9" s="9">
        <v>9.5057034220532317E-3</v>
      </c>
      <c r="F9" s="9">
        <v>2.2988505747126436E-2</v>
      </c>
      <c r="G9" s="9">
        <v>1.9883040935672516E-2</v>
      </c>
      <c r="H9" s="9">
        <v>2.8776978417266189E-2</v>
      </c>
      <c r="I9" s="8">
        <v>0.11786958406491793</v>
      </c>
      <c r="J9" s="8">
        <f t="shared" si="0"/>
        <v>0.11786958406491793</v>
      </c>
      <c r="K9" s="8">
        <f t="shared" si="0"/>
        <v>0.15405405405405406</v>
      </c>
      <c r="L9" s="8">
        <f t="shared" si="0"/>
        <v>0.128</v>
      </c>
      <c r="M9" s="8">
        <f t="shared" si="0"/>
        <v>0.16159695817490496</v>
      </c>
      <c r="N9" s="8">
        <f t="shared" si="0"/>
        <v>0.15738284703801944</v>
      </c>
      <c r="O9" s="8">
        <f t="shared" si="0"/>
        <v>0.18362573099415208</v>
      </c>
      <c r="P9" s="8">
        <f t="shared" si="0"/>
        <v>0.23261390887290168</v>
      </c>
    </row>
    <row r="10" spans="1:16" x14ac:dyDescent="0.3">
      <c r="A10" s="8" t="s">
        <v>89</v>
      </c>
      <c r="B10" s="9">
        <v>2.4643615644423376E-2</v>
      </c>
      <c r="C10" s="9">
        <v>1.891891891891892E-2</v>
      </c>
      <c r="D10" s="9">
        <v>1.6E-2</v>
      </c>
      <c r="E10" s="9">
        <v>2.6615969581749048E-2</v>
      </c>
      <c r="F10" s="9">
        <v>1.3262599469496022E-2</v>
      </c>
      <c r="G10" s="9">
        <v>2.1052631578947368E-2</v>
      </c>
      <c r="H10" s="9">
        <v>3.3573141486810551E-2</v>
      </c>
      <c r="I10" s="8">
        <v>0.14251319970934131</v>
      </c>
      <c r="J10" s="8">
        <f t="shared" si="0"/>
        <v>0.14251319970934131</v>
      </c>
      <c r="K10" s="8">
        <f t="shared" ref="K10" si="1">K9+C10</f>
        <v>0.17297297297297298</v>
      </c>
      <c r="L10" s="8">
        <f t="shared" ref="L10" si="2">L9+D10</f>
        <v>0.14400000000000002</v>
      </c>
      <c r="M10" s="8">
        <f t="shared" ref="M10" si="3">M9+E10</f>
        <v>0.18821292775665402</v>
      </c>
      <c r="N10" s="8">
        <f t="shared" ref="N10" si="4">N9+F10</f>
        <v>0.17064544650751545</v>
      </c>
      <c r="O10" s="8">
        <f t="shared" ref="O10" si="5">O9+G10</f>
        <v>0.20467836257309946</v>
      </c>
      <c r="P10" s="8">
        <f t="shared" ref="P10" si="6">P9+H10</f>
        <v>0.26618705035971224</v>
      </c>
    </row>
    <row r="11" spans="1:16" x14ac:dyDescent="0.3">
      <c r="A11" s="8" t="s">
        <v>82</v>
      </c>
      <c r="B11" s="9">
        <v>2.5872365905610772E-2</v>
      </c>
      <c r="C11" s="9">
        <v>2.0270270270270271E-2</v>
      </c>
      <c r="D11" s="9">
        <v>1.8666666666666668E-2</v>
      </c>
      <c r="E11" s="9">
        <v>9.5057034220532317E-3</v>
      </c>
      <c r="F11" s="9">
        <v>4.2440318302387266E-2</v>
      </c>
      <c r="G11" s="9">
        <v>3.2748538011695909E-2</v>
      </c>
      <c r="H11" s="9">
        <v>2.1582733812949641E-2</v>
      </c>
      <c r="I11" s="8">
        <v>0.16838556561495208</v>
      </c>
      <c r="J11" s="8">
        <f t="shared" ref="J11:J21" si="7">J10+B11</f>
        <v>0.16838556561495208</v>
      </c>
      <c r="K11" s="8">
        <f t="shared" ref="K11:K21" si="8">K10+C11</f>
        <v>0.19324324324324327</v>
      </c>
      <c r="L11" s="8">
        <f t="shared" ref="L11:L21" si="9">L10+D11</f>
        <v>0.16266666666666668</v>
      </c>
      <c r="M11" s="8">
        <f t="shared" ref="M11:M21" si="10">M10+E11</f>
        <v>0.19771863117870725</v>
      </c>
      <c r="N11" s="8">
        <f t="shared" ref="N11:N21" si="11">N10+F11</f>
        <v>0.21308576480990271</v>
      </c>
      <c r="O11" s="8">
        <f t="shared" ref="O11:O21" si="12">O10+G11</f>
        <v>0.23742690058479538</v>
      </c>
      <c r="P11" s="8">
        <f t="shared" ref="P11:P21" si="13">P10+H11</f>
        <v>0.28776978417266186</v>
      </c>
    </row>
    <row r="12" spans="1:16" x14ac:dyDescent="0.3">
      <c r="A12" s="8" t="s">
        <v>87</v>
      </c>
      <c r="B12" s="9">
        <v>2.5987756158564919E-2</v>
      </c>
      <c r="C12" s="9">
        <v>4.8648648648648651E-2</v>
      </c>
      <c r="D12" s="9">
        <v>7.1999999999999995E-2</v>
      </c>
      <c r="E12" s="9">
        <v>3.8022813688212927E-2</v>
      </c>
      <c r="F12" s="9">
        <v>4.2440318302387266E-2</v>
      </c>
      <c r="G12" s="9">
        <v>4.5614035087719301E-2</v>
      </c>
      <c r="H12" s="9">
        <v>5.5155875299760189E-2</v>
      </c>
      <c r="I12" s="8">
        <v>0.19437332177351699</v>
      </c>
      <c r="J12" s="8">
        <f t="shared" si="7"/>
        <v>0.19437332177351699</v>
      </c>
      <c r="K12" s="8">
        <f t="shared" si="8"/>
        <v>0.24189189189189192</v>
      </c>
      <c r="L12" s="8">
        <f t="shared" si="9"/>
        <v>0.23466666666666669</v>
      </c>
      <c r="M12" s="8">
        <f t="shared" si="10"/>
        <v>0.23574144486692017</v>
      </c>
      <c r="N12" s="8">
        <f t="shared" si="11"/>
        <v>0.25552608311228997</v>
      </c>
      <c r="O12" s="8">
        <f t="shared" si="12"/>
        <v>0.28304093567251465</v>
      </c>
      <c r="P12" s="8">
        <f t="shared" si="13"/>
        <v>0.34292565947242204</v>
      </c>
    </row>
    <row r="13" spans="1:16" x14ac:dyDescent="0.3">
      <c r="A13" s="8" t="s">
        <v>80</v>
      </c>
      <c r="B13" s="9">
        <v>2.7837118861316509E-2</v>
      </c>
      <c r="C13" s="9">
        <v>6.7567567567567571E-3</v>
      </c>
      <c r="D13" s="9">
        <v>2.1333333333333333E-2</v>
      </c>
      <c r="E13" s="9">
        <v>9.5057034220532317E-3</v>
      </c>
      <c r="F13" s="9">
        <v>1.8567639257294429E-2</v>
      </c>
      <c r="G13" s="9">
        <v>1.6374269005847954E-2</v>
      </c>
      <c r="H13" s="9">
        <v>2.6378896882494004E-2</v>
      </c>
      <c r="I13" s="8">
        <v>0.2222104406348335</v>
      </c>
      <c r="J13" s="8">
        <f t="shared" si="7"/>
        <v>0.2222104406348335</v>
      </c>
      <c r="K13" s="8">
        <f t="shared" si="8"/>
        <v>0.24864864864864866</v>
      </c>
      <c r="L13" s="8">
        <f t="shared" si="9"/>
        <v>0.25600000000000001</v>
      </c>
      <c r="M13" s="8">
        <f t="shared" si="10"/>
        <v>0.2452471482889734</v>
      </c>
      <c r="N13" s="8">
        <f t="shared" si="11"/>
        <v>0.2740937223695844</v>
      </c>
      <c r="O13" s="8">
        <f t="shared" si="12"/>
        <v>0.29941520467836258</v>
      </c>
      <c r="P13" s="8">
        <f t="shared" si="13"/>
        <v>0.36930455635491605</v>
      </c>
    </row>
    <row r="14" spans="1:16" x14ac:dyDescent="0.3">
      <c r="A14" s="8" t="s">
        <v>84</v>
      </c>
      <c r="B14" s="9">
        <v>3.346941066767295E-2</v>
      </c>
      <c r="C14" s="9">
        <v>3.5135135135135137E-2</v>
      </c>
      <c r="D14" s="9">
        <v>2.9333333333333333E-2</v>
      </c>
      <c r="E14" s="9">
        <v>4.1825095057034217E-2</v>
      </c>
      <c r="F14" s="9">
        <v>2.7409372236958444E-2</v>
      </c>
      <c r="G14" s="9">
        <v>4.2105263157894736E-2</v>
      </c>
      <c r="H14" s="9">
        <v>3.117505995203837E-2</v>
      </c>
      <c r="I14" s="8">
        <v>0.25567985130250648</v>
      </c>
      <c r="J14" s="8">
        <f t="shared" si="7"/>
        <v>0.25567985130250648</v>
      </c>
      <c r="K14" s="8">
        <f t="shared" si="8"/>
        <v>0.28378378378378377</v>
      </c>
      <c r="L14" s="8">
        <f t="shared" si="9"/>
        <v>0.28533333333333333</v>
      </c>
      <c r="M14" s="8">
        <f t="shared" si="10"/>
        <v>0.28707224334600762</v>
      </c>
      <c r="N14" s="8">
        <f t="shared" si="11"/>
        <v>0.30150309460654284</v>
      </c>
      <c r="O14" s="8">
        <f t="shared" si="12"/>
        <v>0.34152046783625734</v>
      </c>
      <c r="P14" s="8">
        <f t="shared" si="13"/>
        <v>0.40047961630695439</v>
      </c>
    </row>
    <row r="15" spans="1:16" x14ac:dyDescent="0.3">
      <c r="A15" s="8" t="s">
        <v>83</v>
      </c>
      <c r="B15" s="9">
        <v>3.3603512853538582E-2</v>
      </c>
      <c r="C15" s="9">
        <v>4.3243243243243246E-2</v>
      </c>
      <c r="D15" s="9">
        <v>3.7333333333333336E-2</v>
      </c>
      <c r="E15" s="9">
        <v>4.5627376425855515E-2</v>
      </c>
      <c r="F15" s="9">
        <v>3.5366931918656058E-2</v>
      </c>
      <c r="G15" s="9">
        <v>2.6900584795321637E-2</v>
      </c>
      <c r="H15" s="9">
        <v>2.8776978417266189E-2</v>
      </c>
      <c r="I15" s="8">
        <v>0.28928336415604505</v>
      </c>
      <c r="J15" s="8">
        <f t="shared" si="7"/>
        <v>0.28928336415604505</v>
      </c>
      <c r="K15" s="8">
        <f t="shared" si="8"/>
        <v>0.32702702702702702</v>
      </c>
      <c r="L15" s="8">
        <f t="shared" si="9"/>
        <v>0.32266666666666666</v>
      </c>
      <c r="M15" s="8">
        <f t="shared" si="10"/>
        <v>0.33269961977186313</v>
      </c>
      <c r="N15" s="8">
        <f t="shared" si="11"/>
        <v>0.33687002652519893</v>
      </c>
      <c r="O15" s="8">
        <f t="shared" si="12"/>
        <v>0.36842105263157898</v>
      </c>
      <c r="P15" s="8">
        <f t="shared" si="13"/>
        <v>0.42925659472422056</v>
      </c>
    </row>
    <row r="16" spans="1:16" x14ac:dyDescent="0.3">
      <c r="A16" s="8" t="s">
        <v>88</v>
      </c>
      <c r="B16" s="9">
        <v>3.9765976092387051E-2</v>
      </c>
      <c r="C16" s="9">
        <v>3.6486486486486489E-2</v>
      </c>
      <c r="D16" s="9">
        <v>2.4E-2</v>
      </c>
      <c r="E16" s="9">
        <v>1.5209125475285171E-2</v>
      </c>
      <c r="F16" s="9">
        <v>5.7471264367816091E-2</v>
      </c>
      <c r="G16" s="9">
        <v>4.4444444444444446E-2</v>
      </c>
      <c r="H16" s="9">
        <v>4.0767386091127102E-2</v>
      </c>
      <c r="I16" s="8">
        <v>0.32904934024843213</v>
      </c>
      <c r="J16" s="8">
        <f t="shared" si="7"/>
        <v>0.32904934024843213</v>
      </c>
      <c r="K16" s="8">
        <f t="shared" si="8"/>
        <v>0.36351351351351352</v>
      </c>
      <c r="L16" s="8">
        <f t="shared" si="9"/>
        <v>0.34666666666666668</v>
      </c>
      <c r="M16" s="8">
        <f t="shared" si="10"/>
        <v>0.34790874524714832</v>
      </c>
      <c r="N16" s="8">
        <f t="shared" si="11"/>
        <v>0.39434129089301501</v>
      </c>
      <c r="O16" s="8">
        <f t="shared" si="12"/>
        <v>0.41286549707602344</v>
      </c>
      <c r="P16" s="8">
        <f t="shared" si="13"/>
        <v>0.47002398081534769</v>
      </c>
    </row>
    <row r="17" spans="1:16" x14ac:dyDescent="0.3">
      <c r="A17" s="8" t="s">
        <v>92</v>
      </c>
      <c r="B17" s="9">
        <v>5.2296733832110302E-2</v>
      </c>
      <c r="C17" s="9">
        <v>6.7567567567567571E-2</v>
      </c>
      <c r="D17" s="9">
        <v>5.3333333333333337E-2</v>
      </c>
      <c r="E17" s="9">
        <v>4.7528517110266157E-2</v>
      </c>
      <c r="F17" s="9">
        <v>5.2166224580017684E-2</v>
      </c>
      <c r="G17" s="9">
        <v>6.0818713450292397E-2</v>
      </c>
      <c r="H17" s="9">
        <v>5.2757793764988008E-2</v>
      </c>
      <c r="I17" s="8">
        <v>0.38134607408054244</v>
      </c>
      <c r="J17" s="8">
        <f t="shared" si="7"/>
        <v>0.38134607408054244</v>
      </c>
      <c r="K17" s="8">
        <f t="shared" si="8"/>
        <v>0.43108108108108112</v>
      </c>
      <c r="L17" s="8">
        <f t="shared" si="9"/>
        <v>0.4</v>
      </c>
      <c r="M17" s="8">
        <f t="shared" si="10"/>
        <v>0.3954372623574145</v>
      </c>
      <c r="N17" s="8">
        <f t="shared" si="11"/>
        <v>0.44650751547303269</v>
      </c>
      <c r="O17" s="8">
        <f t="shared" si="12"/>
        <v>0.47368421052631582</v>
      </c>
      <c r="P17" s="8">
        <f t="shared" si="13"/>
        <v>0.5227817745803357</v>
      </c>
    </row>
    <row r="18" spans="1:16" x14ac:dyDescent="0.3">
      <c r="A18" s="8" t="s">
        <v>86</v>
      </c>
      <c r="B18" s="9">
        <v>5.6157629322846334E-2</v>
      </c>
      <c r="C18" s="9">
        <v>8.7837837837837843E-2</v>
      </c>
      <c r="D18" s="9">
        <v>7.7333333333333337E-2</v>
      </c>
      <c r="E18" s="9">
        <v>9.125475285171103E-2</v>
      </c>
      <c r="F18" s="9">
        <v>5.4818744473916887E-2</v>
      </c>
      <c r="G18" s="9">
        <v>6.0818713450292397E-2</v>
      </c>
      <c r="H18" s="9">
        <v>5.7553956834532377E-2</v>
      </c>
      <c r="I18" s="8">
        <v>0.43750370340338879</v>
      </c>
      <c r="J18" s="8">
        <f t="shared" si="7"/>
        <v>0.43750370340338879</v>
      </c>
      <c r="K18" s="8">
        <f t="shared" si="8"/>
        <v>0.51891891891891895</v>
      </c>
      <c r="L18" s="8">
        <f t="shared" si="9"/>
        <v>0.47733333333333339</v>
      </c>
      <c r="M18" s="8">
        <f t="shared" si="10"/>
        <v>0.48669201520912553</v>
      </c>
      <c r="N18" s="8">
        <f t="shared" si="11"/>
        <v>0.50132625994694957</v>
      </c>
      <c r="O18" s="8">
        <f t="shared" si="12"/>
        <v>0.53450292397660826</v>
      </c>
      <c r="P18" s="8">
        <f t="shared" si="13"/>
        <v>0.58033573141486805</v>
      </c>
    </row>
    <row r="19" spans="1:16" x14ac:dyDescent="0.3">
      <c r="A19" s="8" t="s">
        <v>79</v>
      </c>
      <c r="B19" s="9">
        <v>5.9313708673916499E-2</v>
      </c>
      <c r="C19" s="9">
        <v>5.675675675675676E-2</v>
      </c>
      <c r="D19" s="9">
        <v>9.3333333333333338E-2</v>
      </c>
      <c r="E19" s="9">
        <v>1.1406844106463879E-2</v>
      </c>
      <c r="F19" s="9">
        <v>3.0061892130857647E-2</v>
      </c>
      <c r="G19" s="9">
        <v>2.8070175438596492E-2</v>
      </c>
      <c r="H19" s="9">
        <v>2.1582733812949641E-2</v>
      </c>
      <c r="I19" s="8">
        <v>0.49681741207730529</v>
      </c>
      <c r="J19" s="8">
        <f t="shared" si="7"/>
        <v>0.49681741207730529</v>
      </c>
      <c r="K19" s="8">
        <f t="shared" si="8"/>
        <v>0.57567567567567568</v>
      </c>
      <c r="L19" s="8">
        <f t="shared" si="9"/>
        <v>0.57066666666666677</v>
      </c>
      <c r="M19" s="8">
        <f t="shared" si="10"/>
        <v>0.49809885931558939</v>
      </c>
      <c r="N19" s="8">
        <f t="shared" si="11"/>
        <v>0.53138815207780721</v>
      </c>
      <c r="O19" s="8">
        <f t="shared" si="12"/>
        <v>0.56257309941520472</v>
      </c>
      <c r="P19" s="8">
        <f t="shared" si="13"/>
        <v>0.60191846522781767</v>
      </c>
    </row>
    <row r="20" spans="1:16" x14ac:dyDescent="0.3">
      <c r="A20" s="8" t="s">
        <v>93</v>
      </c>
      <c r="B20" s="9">
        <v>0.13519683394095139</v>
      </c>
      <c r="C20" s="9">
        <v>0.11756756756756757</v>
      </c>
      <c r="D20" s="9">
        <v>0.13866666666666666</v>
      </c>
      <c r="E20" s="9">
        <v>9.8859315589353611E-2</v>
      </c>
      <c r="F20" s="9">
        <v>0.14146772767462423</v>
      </c>
      <c r="G20" s="9">
        <v>0.16257309941520467</v>
      </c>
      <c r="H20" s="9">
        <v>9.5923261390887291E-2</v>
      </c>
      <c r="I20" s="8">
        <v>0.63201424601825673</v>
      </c>
      <c r="J20" s="8">
        <f t="shared" si="7"/>
        <v>0.63201424601825673</v>
      </c>
      <c r="K20" s="8">
        <f t="shared" si="8"/>
        <v>0.69324324324324327</v>
      </c>
      <c r="L20" s="8">
        <f t="shared" si="9"/>
        <v>0.70933333333333337</v>
      </c>
      <c r="M20" s="8">
        <f t="shared" si="10"/>
        <v>0.59695817490494296</v>
      </c>
      <c r="N20" s="8">
        <f t="shared" si="11"/>
        <v>0.67285587975243144</v>
      </c>
      <c r="O20" s="8">
        <f t="shared" si="12"/>
        <v>0.72514619883040943</v>
      </c>
      <c r="P20" s="8">
        <f t="shared" si="13"/>
        <v>0.69784172661870492</v>
      </c>
    </row>
    <row r="21" spans="1:16" x14ac:dyDescent="0.3">
      <c r="A21" s="8" t="s">
        <v>74</v>
      </c>
      <c r="B21" s="9">
        <v>0.36798575398174338</v>
      </c>
      <c r="C21" s="9">
        <v>0.30675675675675673</v>
      </c>
      <c r="D21" s="9">
        <v>0.29066666666666668</v>
      </c>
      <c r="E21" s="9">
        <v>0.40304182509505704</v>
      </c>
      <c r="F21" s="9">
        <v>0.3271441202475685</v>
      </c>
      <c r="G21" s="9">
        <v>0.27485380116959063</v>
      </c>
      <c r="H21" s="9">
        <v>0.30215827338129497</v>
      </c>
      <c r="I21" s="8">
        <v>1</v>
      </c>
      <c r="J21" s="8">
        <f t="shared" si="7"/>
        <v>1</v>
      </c>
      <c r="K21" s="8">
        <f t="shared" si="8"/>
        <v>1</v>
      </c>
      <c r="L21" s="8">
        <f t="shared" si="9"/>
        <v>1</v>
      </c>
      <c r="M21" s="8">
        <f t="shared" si="10"/>
        <v>1</v>
      </c>
      <c r="N21" s="8">
        <f t="shared" si="11"/>
        <v>1</v>
      </c>
      <c r="O21" s="8">
        <f t="shared" si="12"/>
        <v>1</v>
      </c>
      <c r="P21" s="8">
        <f t="shared" si="13"/>
        <v>0.99999999999999989</v>
      </c>
    </row>
    <row r="23" spans="1:16" ht="28.8" x14ac:dyDescent="0.3">
      <c r="B23" s="1" t="s">
        <v>94</v>
      </c>
      <c r="C23" s="3" t="s">
        <v>102</v>
      </c>
      <c r="D23" s="3" t="s">
        <v>103</v>
      </c>
      <c r="E23" s="3" t="s">
        <v>104</v>
      </c>
      <c r="F23" s="3" t="s">
        <v>105</v>
      </c>
      <c r="G23" s="3" t="s">
        <v>106</v>
      </c>
      <c r="H23" s="3" t="s">
        <v>107</v>
      </c>
      <c r="J23" s="7"/>
      <c r="K23" s="10" t="s">
        <v>108</v>
      </c>
      <c r="L23" s="10" t="s">
        <v>109</v>
      </c>
      <c r="M23" s="10" t="s">
        <v>110</v>
      </c>
      <c r="N23" s="10" t="s">
        <v>111</v>
      </c>
      <c r="O23" s="10" t="s">
        <v>112</v>
      </c>
      <c r="P23" s="10" t="s">
        <v>113</v>
      </c>
    </row>
    <row r="24" spans="1:16" x14ac:dyDescent="0.3">
      <c r="B24" s="8" t="s">
        <v>90</v>
      </c>
      <c r="C24" s="8">
        <f>C2-B2</f>
        <v>3.7408188257554084E-3</v>
      </c>
      <c r="D24" s="8">
        <f>D2-B2</f>
        <v>-1.7366586517220698E-3</v>
      </c>
      <c r="E24" s="8">
        <f>E2-B2</f>
        <v>2.4357114369978287E-3</v>
      </c>
      <c r="F24" s="8">
        <f>F2-B2</f>
        <v>4.4242608885078152E-3</v>
      </c>
      <c r="G24" s="8">
        <f>G2-B2</f>
        <v>-5.9004013417805496E-3</v>
      </c>
      <c r="H24" s="8">
        <f>H2-B2</f>
        <v>9.7165787583498725E-3</v>
      </c>
      <c r="J24" s="8" t="s">
        <v>90</v>
      </c>
      <c r="K24" s="7">
        <f>(J2-0) * ((K2+0))</f>
        <v>7.6432345784382738E-5</v>
      </c>
      <c r="L24" s="7">
        <f>(J2-0) * ((L2+0))</f>
        <v>3.7706623920295482E-5</v>
      </c>
      <c r="M24" s="7">
        <f>(J2-0) * ((M2+0))</f>
        <v>6.7205247006230063E-5</v>
      </c>
      <c r="N24" s="7">
        <f>(J2-0) * ((N2+0))</f>
        <v>8.1264275690291993E-5</v>
      </c>
      <c r="O24" s="7">
        <f>(J2-0) * ((O2+0))</f>
        <v>8.2689964737490094E-6</v>
      </c>
      <c r="P24" s="7">
        <f>(J2-0) * ((P2+0))</f>
        <v>1.1868092061244082E-4</v>
      </c>
    </row>
    <row r="25" spans="1:16" x14ac:dyDescent="0.3">
      <c r="B25" s="8" t="s">
        <v>77</v>
      </c>
      <c r="C25" s="8">
        <f t="shared" ref="C25:C43" si="14">C3-B3</f>
        <v>5.5192279018183195E-3</v>
      </c>
      <c r="D25" s="8">
        <f t="shared" ref="D25:D43" si="15">D3-B3</f>
        <v>5.3030116856021027E-3</v>
      </c>
      <c r="E25" s="8">
        <f t="shared" ref="E25:E43" si="16">E3-B3</f>
        <v>-3.0924255767553121E-3</v>
      </c>
      <c r="F25" s="8">
        <f t="shared" ref="F25:F43" si="17">F3-B3</f>
        <v>5.2181310489973279E-3</v>
      </c>
      <c r="G25" s="8">
        <f t="shared" ref="G25:G43" si="18">G3-B3</f>
        <v>2.1685087616254949E-3</v>
      </c>
      <c r="H25" s="8">
        <f t="shared" ref="H25:H43" si="19">H3-B3</f>
        <v>8.4876639637795591E-3</v>
      </c>
      <c r="J25" s="8" t="s">
        <v>77</v>
      </c>
      <c r="K25" s="7">
        <f>(J3-J2) * ((K3+K2))</f>
        <v>4.0475090919343397E-4</v>
      </c>
      <c r="L25" s="7">
        <f>(J3-J2) * ((L3+L2))</f>
        <v>2.8525302171727724E-4</v>
      </c>
      <c r="M25" s="7">
        <f>(J3-J2) * ((M3+M2))</f>
        <v>2.8471071559233948E-4</v>
      </c>
      <c r="N25" s="7">
        <f>(J3-J2) * ((N3+N2))</f>
        <v>4.1615162319496679E-4</v>
      </c>
      <c r="O25" s="7">
        <f>(J3-J2) * ((O3+O2))</f>
        <v>1.6264426676862302E-4</v>
      </c>
      <c r="P25" s="7">
        <f>(J3-J2) * ((P3+P2))</f>
        <v>5.6434950339749102E-4</v>
      </c>
    </row>
    <row r="26" spans="1:16" x14ac:dyDescent="0.3">
      <c r="B26" s="8" t="s">
        <v>91</v>
      </c>
      <c r="C26" s="8">
        <f t="shared" si="14"/>
        <v>7.4765719435469415E-3</v>
      </c>
      <c r="D26" s="8">
        <f t="shared" si="15"/>
        <v>4.5576530246280219E-3</v>
      </c>
      <c r="E26" s="8">
        <f t="shared" si="16"/>
        <v>5.6679191843238396E-3</v>
      </c>
      <c r="F26" s="8">
        <f t="shared" si="17"/>
        <v>6.2411189839560507E-3</v>
      </c>
      <c r="G26" s="8">
        <f t="shared" si="18"/>
        <v>6.1015126737508276E-3</v>
      </c>
      <c r="H26" s="8">
        <f t="shared" si="19"/>
        <v>1.9732712976666393E-2</v>
      </c>
      <c r="J26" s="8" t="s">
        <v>91</v>
      </c>
      <c r="K26" s="7">
        <f t="shared" ref="K26:K43" si="20">(J4-J3) * ((K4+K3))</f>
        <v>8.3498207658119859E-4</v>
      </c>
      <c r="L26" s="7">
        <f t="shared" ref="L26:L43" si="21">(J4-J3) * ((L4+L3))</f>
        <v>6.7128435588848943E-4</v>
      </c>
      <c r="M26" s="7">
        <f t="shared" ref="M26:M43" si="22">(J4-J3) * ((M4+M3))</f>
        <v>5.8734480672061496E-4</v>
      </c>
      <c r="N26" s="7">
        <f t="shared" ref="N26:N43" si="23">(J4-J3) * ((N4+N3))</f>
        <v>8.2959544825862274E-4</v>
      </c>
      <c r="O26" s="7">
        <f t="shared" ref="O26:O43" si="24">(J4-J3) * ((O4+O3))</f>
        <v>5.219316164204763E-4</v>
      </c>
      <c r="P26" s="7">
        <f t="shared" ref="P26:P43" si="25">(J4-J3) * ((P4+P3))</f>
        <v>1.1799062828321226E-3</v>
      </c>
    </row>
    <row r="27" spans="1:16" x14ac:dyDescent="0.3">
      <c r="B27" s="8" t="s">
        <v>78</v>
      </c>
      <c r="C27" s="8">
        <f t="shared" si="14"/>
        <v>1.7602745158561296E-3</v>
      </c>
      <c r="D27" s="8">
        <f t="shared" si="15"/>
        <v>2.2874298432459805E-4</v>
      </c>
      <c r="E27" s="8">
        <f t="shared" si="16"/>
        <v>3.0621645392436128E-2</v>
      </c>
      <c r="F27" s="8">
        <f t="shared" si="17"/>
        <v>1.07680886960841E-2</v>
      </c>
      <c r="G27" s="8">
        <f t="shared" si="18"/>
        <v>3.0170263452160853E-2</v>
      </c>
      <c r="H27" s="8">
        <f t="shared" si="19"/>
        <v>2.2866632672573994E-2</v>
      </c>
      <c r="J27" s="8" t="s">
        <v>78</v>
      </c>
      <c r="K27" s="7">
        <f t="shared" si="20"/>
        <v>1.399003564286068E-3</v>
      </c>
      <c r="L27" s="7">
        <f t="shared" si="21"/>
        <v>1.1532039507127689E-3</v>
      </c>
      <c r="M27" s="7">
        <f t="shared" si="22"/>
        <v>1.4699065220371017E-3</v>
      </c>
      <c r="N27" s="7">
        <f t="shared" si="23"/>
        <v>1.4946880238922433E-3</v>
      </c>
      <c r="O27" s="7">
        <f t="shared" si="24"/>
        <v>1.394757569309702E-3</v>
      </c>
      <c r="P27" s="7">
        <f t="shared" si="25"/>
        <v>2.2312372057065235E-3</v>
      </c>
    </row>
    <row r="28" spans="1:16" x14ac:dyDescent="0.3">
      <c r="B28" s="8" t="s">
        <v>75</v>
      </c>
      <c r="C28" s="8">
        <f t="shared" si="14"/>
        <v>1.5949857751380286E-3</v>
      </c>
      <c r="D28" s="8">
        <f t="shared" si="15"/>
        <v>1.0730120910273163E-2</v>
      </c>
      <c r="E28" s="8">
        <f t="shared" si="16"/>
        <v>2.0950653229664801E-2</v>
      </c>
      <c r="F28" s="8">
        <f t="shared" si="17"/>
        <v>1.7676186339097212E-2</v>
      </c>
      <c r="G28" s="8">
        <f t="shared" si="18"/>
        <v>1.9478658921969073E-2</v>
      </c>
      <c r="H28" s="8">
        <f t="shared" si="19"/>
        <v>1.0710936257994986E-2</v>
      </c>
      <c r="J28" s="8" t="s">
        <v>75</v>
      </c>
      <c r="K28" s="7">
        <f t="shared" si="20"/>
        <v>1.8111591730573112E-3</v>
      </c>
      <c r="L28" s="7">
        <f t="shared" si="21"/>
        <v>1.6631581792457633E-3</v>
      </c>
      <c r="M28" s="7">
        <f t="shared" si="22"/>
        <v>2.5227907014689801E-3</v>
      </c>
      <c r="N28" s="7">
        <f t="shared" si="23"/>
        <v>2.2409786968504205E-3</v>
      </c>
      <c r="O28" s="7">
        <f t="shared" si="24"/>
        <v>2.4211709216343702E-3</v>
      </c>
      <c r="P28" s="7">
        <f t="shared" si="25"/>
        <v>3.054936193318408E-3</v>
      </c>
    </row>
    <row r="29" spans="1:16" x14ac:dyDescent="0.3">
      <c r="B29" s="8" t="s">
        <v>85</v>
      </c>
      <c r="C29" s="8">
        <f t="shared" si="14"/>
        <v>1.4505427176992214E-2</v>
      </c>
      <c r="D29" s="8">
        <f t="shared" si="15"/>
        <v>2.3424346095911132E-2</v>
      </c>
      <c r="E29" s="8">
        <f t="shared" si="16"/>
        <v>1.1941456362070828E-2</v>
      </c>
      <c r="F29" s="8">
        <f t="shared" si="17"/>
        <v>2.2363875727275662E-4</v>
      </c>
      <c r="G29" s="8">
        <f t="shared" si="18"/>
        <v>6.8161589614082058E-3</v>
      </c>
      <c r="H29" s="8">
        <f t="shared" si="19"/>
        <v>1.6997487582721682E-2</v>
      </c>
      <c r="J29" s="8" t="s">
        <v>85</v>
      </c>
      <c r="K29" s="7">
        <f t="shared" si="20"/>
        <v>3.0239368608810779E-3</v>
      </c>
      <c r="L29" s="7">
        <f t="shared" si="21"/>
        <v>3.1383238058408256E-3</v>
      </c>
      <c r="M29" s="7">
        <f t="shared" si="22"/>
        <v>4.1911824510338777E-3</v>
      </c>
      <c r="N29" s="7">
        <f t="shared" si="23"/>
        <v>3.5906588916903388E-3</v>
      </c>
      <c r="O29" s="7">
        <f t="shared" si="24"/>
        <v>3.9548928613264674E-3</v>
      </c>
      <c r="P29" s="7">
        <f t="shared" si="25"/>
        <v>4.7699723465003934E-3</v>
      </c>
    </row>
    <row r="30" spans="1:16" x14ac:dyDescent="0.3">
      <c r="B30" s="8" t="s">
        <v>81</v>
      </c>
      <c r="C30" s="8">
        <f t="shared" si="14"/>
        <v>1.0612995336261449E-3</v>
      </c>
      <c r="D30" s="8">
        <f t="shared" si="15"/>
        <v>-1.3911673439346829E-2</v>
      </c>
      <c r="E30" s="8">
        <f t="shared" si="16"/>
        <v>-1.0504829332882951E-2</v>
      </c>
      <c r="F30" s="8">
        <f t="shared" si="17"/>
        <v>-4.2282074800188002E-3</v>
      </c>
      <c r="G30" s="8">
        <f t="shared" si="18"/>
        <v>1.0836864572349079E-2</v>
      </c>
      <c r="H30" s="8">
        <f t="shared" si="19"/>
        <v>2.1253794186552454E-2</v>
      </c>
      <c r="J30" s="8" t="s">
        <v>81</v>
      </c>
      <c r="K30" s="7">
        <f t="shared" si="20"/>
        <v>5.1818146647103994E-3</v>
      </c>
      <c r="L30" s="7">
        <f t="shared" si="21"/>
        <v>5.2003704962716481E-3</v>
      </c>
      <c r="M30" s="7">
        <f t="shared" si="22"/>
        <v>6.4152047712156129E-3</v>
      </c>
      <c r="N30" s="7">
        <f t="shared" si="23"/>
        <v>5.5021355055477452E-3</v>
      </c>
      <c r="O30" s="7">
        <f t="shared" si="24"/>
        <v>6.4581774347548552E-3</v>
      </c>
      <c r="P30" s="7">
        <f t="shared" si="25"/>
        <v>7.9869888795700682E-3</v>
      </c>
    </row>
    <row r="31" spans="1:16" x14ac:dyDescent="0.3">
      <c r="B31" s="8" t="s">
        <v>76</v>
      </c>
      <c r="C31" s="8">
        <f t="shared" si="14"/>
        <v>5.2586431640293946E-4</v>
      </c>
      <c r="D31" s="8">
        <f t="shared" si="15"/>
        <v>-1.8465126674588054E-2</v>
      </c>
      <c r="E31" s="8">
        <f t="shared" si="16"/>
        <v>-1.4292756585868155E-2</v>
      </c>
      <c r="F31" s="8">
        <f t="shared" si="17"/>
        <v>-8.0995426079494975E-4</v>
      </c>
      <c r="G31" s="8">
        <f t="shared" si="18"/>
        <v>-3.9154190722488699E-3</v>
      </c>
      <c r="H31" s="8">
        <f t="shared" si="19"/>
        <v>4.9785184093448023E-3</v>
      </c>
      <c r="J31" s="8" t="s">
        <v>76</v>
      </c>
      <c r="K31" s="7">
        <f t="shared" si="20"/>
        <v>6.753617029274986E-3</v>
      </c>
      <c r="L31" s="7">
        <f t="shared" si="21"/>
        <v>5.9654806419856266E-3</v>
      </c>
      <c r="M31" s="7">
        <f t="shared" si="22"/>
        <v>7.4652963903175445E-3</v>
      </c>
      <c r="N31" s="7">
        <f t="shared" si="23"/>
        <v>6.9438477476693669E-3</v>
      </c>
      <c r="O31" s="7">
        <f t="shared" si="24"/>
        <v>8.2668334764358503E-3</v>
      </c>
      <c r="P31" s="7">
        <f t="shared" si="25"/>
        <v>1.0386857845183912E-2</v>
      </c>
    </row>
    <row r="32" spans="1:16" x14ac:dyDescent="0.3">
      <c r="B32" s="8" t="s">
        <v>89</v>
      </c>
      <c r="C32" s="8">
        <f t="shared" si="14"/>
        <v>-5.7246967255044565E-3</v>
      </c>
      <c r="D32" s="8">
        <f t="shared" si="15"/>
        <v>-8.6436156444233761E-3</v>
      </c>
      <c r="E32" s="8">
        <f t="shared" si="16"/>
        <v>1.9723539373256715E-3</v>
      </c>
      <c r="F32" s="8">
        <f t="shared" si="17"/>
        <v>-1.1381016174927355E-2</v>
      </c>
      <c r="G32" s="8">
        <f t="shared" si="18"/>
        <v>-3.5909840654760085E-3</v>
      </c>
      <c r="H32" s="8">
        <f t="shared" si="19"/>
        <v>8.9295258423871746E-3</v>
      </c>
      <c r="J32" s="8" t="s">
        <v>89</v>
      </c>
      <c r="K32" s="7">
        <f t="shared" si="20"/>
        <v>8.059128359392511E-3</v>
      </c>
      <c r="L32" s="7">
        <f t="shared" si="21"/>
        <v>6.7030634552831606E-3</v>
      </c>
      <c r="M32" s="7">
        <f t="shared" si="22"/>
        <v>8.6205803775169267E-3</v>
      </c>
      <c r="N32" s="7">
        <f t="shared" si="23"/>
        <v>8.0838031866322484E-3</v>
      </c>
      <c r="O32" s="7">
        <f t="shared" si="24"/>
        <v>9.5692168350275612E-3</v>
      </c>
      <c r="P32" s="7">
        <f t="shared" si="25"/>
        <v>1.2292259122398234E-2</v>
      </c>
    </row>
    <row r="33" spans="2:16" x14ac:dyDescent="0.3">
      <c r="B33" s="8" t="s">
        <v>82</v>
      </c>
      <c r="C33" s="8">
        <f t="shared" si="14"/>
        <v>-5.6020956353405003E-3</v>
      </c>
      <c r="D33" s="8">
        <f t="shared" si="15"/>
        <v>-7.2056992389441035E-3</v>
      </c>
      <c r="E33" s="8">
        <f t="shared" si="16"/>
        <v>-1.6366662483557538E-2</v>
      </c>
      <c r="F33" s="8">
        <f t="shared" si="17"/>
        <v>1.6567952396776494E-2</v>
      </c>
      <c r="G33" s="8">
        <f t="shared" si="18"/>
        <v>6.876172106085137E-3</v>
      </c>
      <c r="H33" s="8">
        <f t="shared" si="19"/>
        <v>-4.2896320926611303E-3</v>
      </c>
      <c r="J33" s="8" t="s">
        <v>82</v>
      </c>
      <c r="K33" s="7">
        <f t="shared" si="20"/>
        <v>9.4748799465142128E-3</v>
      </c>
      <c r="L33" s="7">
        <f t="shared" si="21"/>
        <v>7.9341922110539673E-3</v>
      </c>
      <c r="M33" s="7">
        <f t="shared" si="22"/>
        <v>9.9849625072984498E-3</v>
      </c>
      <c r="N33" s="7">
        <f t="shared" si="23"/>
        <v>9.9280343086074873E-3</v>
      </c>
      <c r="O33" s="7">
        <f t="shared" si="24"/>
        <v>1.1438309137217391E-2</v>
      </c>
      <c r="P33" s="7">
        <f t="shared" si="25"/>
        <v>1.4332173918935457E-2</v>
      </c>
    </row>
    <row r="34" spans="2:16" x14ac:dyDescent="0.3">
      <c r="B34" s="8" t="s">
        <v>87</v>
      </c>
      <c r="C34" s="8">
        <f t="shared" si="14"/>
        <v>2.2660892490083732E-2</v>
      </c>
      <c r="D34" s="8">
        <f t="shared" si="15"/>
        <v>4.6012243841435076E-2</v>
      </c>
      <c r="E34" s="8">
        <f t="shared" si="16"/>
        <v>1.2035057529648008E-2</v>
      </c>
      <c r="F34" s="8">
        <f t="shared" si="17"/>
        <v>1.6452562143822347E-2</v>
      </c>
      <c r="G34" s="8">
        <f t="shared" si="18"/>
        <v>1.9626278929154382E-2</v>
      </c>
      <c r="H34" s="8">
        <f t="shared" si="19"/>
        <v>2.916811914119527E-2</v>
      </c>
      <c r="J34" s="8" t="s">
        <v>87</v>
      </c>
      <c r="K34" s="7">
        <f t="shared" si="20"/>
        <v>1.1308185787916085E-2</v>
      </c>
      <c r="L34" s="7">
        <f t="shared" si="21"/>
        <v>1.0325801780336459E-2</v>
      </c>
      <c r="M34" s="7">
        <f t="shared" si="22"/>
        <v>1.1264654760746768E-2</v>
      </c>
      <c r="N34" s="7">
        <f t="shared" si="23"/>
        <v>1.2178170436816446E-2</v>
      </c>
      <c r="O34" s="7">
        <f t="shared" si="24"/>
        <v>1.3525791217030864E-2</v>
      </c>
      <c r="P34" s="7">
        <f t="shared" si="25"/>
        <v>1.6390359399766359E-2</v>
      </c>
    </row>
    <row r="35" spans="2:16" x14ac:dyDescent="0.3">
      <c r="B35" s="8" t="s">
        <v>80</v>
      </c>
      <c r="C35" s="8">
        <f t="shared" si="14"/>
        <v>-2.1080362104559752E-2</v>
      </c>
      <c r="D35" s="8">
        <f t="shared" si="15"/>
        <v>-6.5037855279831761E-3</v>
      </c>
      <c r="E35" s="8">
        <f t="shared" si="16"/>
        <v>-1.8331415439263275E-2</v>
      </c>
      <c r="F35" s="8">
        <f t="shared" si="17"/>
        <v>-9.2694796040220795E-3</v>
      </c>
      <c r="G35" s="8">
        <f t="shared" si="18"/>
        <v>-1.1462849855468554E-2</v>
      </c>
      <c r="H35" s="8">
        <f t="shared" si="19"/>
        <v>-1.4582219788225048E-3</v>
      </c>
      <c r="J35" s="8" t="s">
        <v>80</v>
      </c>
      <c r="K35" s="7">
        <f t="shared" si="20"/>
        <v>1.365523533332148E-2</v>
      </c>
      <c r="L35" s="7">
        <f t="shared" si="21"/>
        <v>1.3658746321285969E-2</v>
      </c>
      <c r="M35" s="7">
        <f t="shared" si="22"/>
        <v>1.338933663861802E-2</v>
      </c>
      <c r="N35" s="7">
        <f t="shared" si="23"/>
        <v>1.4743089476506268E-2</v>
      </c>
      <c r="O35" s="7">
        <f t="shared" si="24"/>
        <v>1.6213900810451022E-2</v>
      </c>
      <c r="P35" s="7">
        <f t="shared" si="25"/>
        <v>1.9826437174606724E-2</v>
      </c>
    </row>
    <row r="36" spans="2:16" x14ac:dyDescent="0.3">
      <c r="B36" s="8" t="s">
        <v>84</v>
      </c>
      <c r="C36" s="8">
        <f t="shared" si="14"/>
        <v>1.6657244674621874E-3</v>
      </c>
      <c r="D36" s="8">
        <f t="shared" si="15"/>
        <v>-4.1360773343396169E-3</v>
      </c>
      <c r="E36" s="8">
        <f t="shared" si="16"/>
        <v>8.3556843893612676E-3</v>
      </c>
      <c r="F36" s="8">
        <f t="shared" si="17"/>
        <v>-6.060038430714506E-3</v>
      </c>
      <c r="G36" s="8">
        <f t="shared" si="18"/>
        <v>8.6358524902217862E-3</v>
      </c>
      <c r="H36" s="8">
        <f t="shared" si="19"/>
        <v>-2.2943507156345799E-3</v>
      </c>
      <c r="J36" s="8" t="s">
        <v>84</v>
      </c>
      <c r="K36" s="7">
        <f t="shared" si="20"/>
        <v>1.7820199733869127E-2</v>
      </c>
      <c r="L36" s="7">
        <f t="shared" si="21"/>
        <v>1.8118107641433637E-2</v>
      </c>
      <c r="M36" s="7">
        <f t="shared" si="22"/>
        <v>1.781641632499702E-2</v>
      </c>
      <c r="N36" s="7">
        <f t="shared" si="23"/>
        <v>1.9264886246379401E-2</v>
      </c>
      <c r="O36" s="7">
        <f t="shared" si="24"/>
        <v>2.1451739234952975E-2</v>
      </c>
      <c r="P36" s="7">
        <f t="shared" si="25"/>
        <v>2.5764222600295022E-2</v>
      </c>
    </row>
    <row r="37" spans="2:16" x14ac:dyDescent="0.3">
      <c r="B37" s="8" t="s">
        <v>83</v>
      </c>
      <c r="C37" s="8">
        <f t="shared" si="14"/>
        <v>9.6397303897046635E-3</v>
      </c>
      <c r="D37" s="8">
        <f t="shared" si="15"/>
        <v>3.7298204797947543E-3</v>
      </c>
      <c r="E37" s="8">
        <f t="shared" si="16"/>
        <v>1.2023863572316933E-2</v>
      </c>
      <c r="F37" s="8">
        <f t="shared" si="17"/>
        <v>1.7634190651174761E-3</v>
      </c>
      <c r="G37" s="8">
        <f t="shared" si="18"/>
        <v>-6.7029280582169455E-3</v>
      </c>
      <c r="H37" s="8">
        <f t="shared" si="19"/>
        <v>-4.8265344362723936E-3</v>
      </c>
      <c r="J37" s="8" t="s">
        <v>83</v>
      </c>
      <c r="K37" s="7">
        <f t="shared" si="20"/>
        <v>2.0525388932161399E-2</v>
      </c>
      <c r="L37" s="7">
        <f t="shared" si="21"/>
        <v>2.0430935814951454E-2</v>
      </c>
      <c r="M37" s="7">
        <f t="shared" si="22"/>
        <v>2.0826511768542923E-2</v>
      </c>
      <c r="N37" s="7">
        <f t="shared" si="23"/>
        <v>2.1451579381304025E-2</v>
      </c>
      <c r="O37" s="7">
        <f t="shared" si="24"/>
        <v>2.3856529008301656E-2</v>
      </c>
      <c r="P37" s="7">
        <f t="shared" si="25"/>
        <v>2.7882051432432484E-2</v>
      </c>
    </row>
    <row r="38" spans="2:16" x14ac:dyDescent="0.3">
      <c r="B38" s="8" t="s">
        <v>88</v>
      </c>
      <c r="C38" s="8">
        <f t="shared" si="14"/>
        <v>-3.2794896059005624E-3</v>
      </c>
      <c r="D38" s="8">
        <f t="shared" si="15"/>
        <v>-1.576597609238705E-2</v>
      </c>
      <c r="E38" s="8">
        <f t="shared" si="16"/>
        <v>-2.4556850617101882E-2</v>
      </c>
      <c r="F38" s="8">
        <f t="shared" si="17"/>
        <v>1.770528827542904E-2</v>
      </c>
      <c r="G38" s="8">
        <f t="shared" si="18"/>
        <v>4.6784683520573953E-3</v>
      </c>
      <c r="H38" s="8">
        <f t="shared" si="19"/>
        <v>1.0014099987400507E-3</v>
      </c>
      <c r="J38" s="8" t="s">
        <v>88</v>
      </c>
      <c r="K38" s="7">
        <f t="shared" si="20"/>
        <v>2.7460018625959183E-2</v>
      </c>
      <c r="L38" s="7">
        <f t="shared" si="21"/>
        <v>2.6616693331171084E-2</v>
      </c>
      <c r="M38" s="7">
        <f t="shared" si="22"/>
        <v>2.7065055971624667E-2</v>
      </c>
      <c r="N38" s="7">
        <f t="shared" si="23"/>
        <v>2.9077331766935558E-2</v>
      </c>
      <c r="O38" s="7">
        <f t="shared" si="24"/>
        <v>3.1068622256976108E-2</v>
      </c>
      <c r="P38" s="7">
        <f t="shared" si="25"/>
        <v>3.5760769867254565E-2</v>
      </c>
    </row>
    <row r="39" spans="2:16" x14ac:dyDescent="0.3">
      <c r="B39" s="8" t="s">
        <v>92</v>
      </c>
      <c r="C39" s="8">
        <f t="shared" si="14"/>
        <v>1.5270833735457269E-2</v>
      </c>
      <c r="D39" s="8">
        <f t="shared" si="15"/>
        <v>1.0365995012230345E-3</v>
      </c>
      <c r="E39" s="8">
        <f t="shared" si="16"/>
        <v>-4.7682167218441457E-3</v>
      </c>
      <c r="F39" s="8">
        <f t="shared" si="17"/>
        <v>-1.3050925209261849E-4</v>
      </c>
      <c r="G39" s="8">
        <f t="shared" si="18"/>
        <v>8.5219796181820948E-3</v>
      </c>
      <c r="H39" s="8">
        <f t="shared" si="19"/>
        <v>4.6105993287770541E-4</v>
      </c>
      <c r="J39" s="8" t="s">
        <v>92</v>
      </c>
      <c r="K39" s="7">
        <f t="shared" si="20"/>
        <v>4.1554702017947115E-2</v>
      </c>
      <c r="L39" s="7">
        <f t="shared" si="21"/>
        <v>3.9048227927975701E-2</v>
      </c>
      <c r="M39" s="7">
        <f t="shared" si="22"/>
        <v>3.8874568304857665E-2</v>
      </c>
      <c r="N39" s="7">
        <f t="shared" si="23"/>
        <v>4.3973646219572858E-2</v>
      </c>
      <c r="O39" s="7">
        <f t="shared" si="24"/>
        <v>4.6363654087414753E-2</v>
      </c>
      <c r="P39" s="7">
        <f t="shared" si="25"/>
        <v>5.1920498336915269E-2</v>
      </c>
    </row>
    <row r="40" spans="2:16" x14ac:dyDescent="0.3">
      <c r="B40" s="8" t="s">
        <v>86</v>
      </c>
      <c r="C40" s="8">
        <f t="shared" si="14"/>
        <v>3.1680208514991509E-2</v>
      </c>
      <c r="D40" s="8">
        <f t="shared" si="15"/>
        <v>2.1175704010487004E-2</v>
      </c>
      <c r="E40" s="8">
        <f t="shared" si="16"/>
        <v>3.5097123528864696E-2</v>
      </c>
      <c r="F40" s="8">
        <f t="shared" si="17"/>
        <v>-1.3388848489294461E-3</v>
      </c>
      <c r="G40" s="8">
        <f t="shared" si="18"/>
        <v>4.6610841274460635E-3</v>
      </c>
      <c r="H40" s="8">
        <f t="shared" si="19"/>
        <v>1.3963275116860435E-3</v>
      </c>
      <c r="J40" s="8" t="s">
        <v>86</v>
      </c>
      <c r="K40" s="7">
        <f t="shared" si="20"/>
        <v>5.3349747856704037E-2</v>
      </c>
      <c r="L40" s="7">
        <f t="shared" si="21"/>
        <v>4.9268960125910533E-2</v>
      </c>
      <c r="M40" s="7">
        <f t="shared" si="22"/>
        <v>4.9538288984411996E-2</v>
      </c>
      <c r="N40" s="7">
        <f t="shared" si="23"/>
        <v>5.3228097819709358E-2</v>
      </c>
      <c r="O40" s="7">
        <f t="shared" si="24"/>
        <v>5.661739938747784E-2</v>
      </c>
      <c r="P40" s="7">
        <f t="shared" si="25"/>
        <v>6.1948464001221379E-2</v>
      </c>
    </row>
    <row r="41" spans="2:16" x14ac:dyDescent="0.3">
      <c r="B41" s="8" t="s">
        <v>79</v>
      </c>
      <c r="C41" s="8">
        <f t="shared" si="14"/>
        <v>-2.5569519171597388E-3</v>
      </c>
      <c r="D41" s="8">
        <f t="shared" si="15"/>
        <v>3.4019624659416839E-2</v>
      </c>
      <c r="E41" s="8">
        <f t="shared" si="16"/>
        <v>-4.790686456745262E-2</v>
      </c>
      <c r="F41" s="8">
        <f t="shared" si="17"/>
        <v>-2.9251816543058851E-2</v>
      </c>
      <c r="G41" s="8">
        <f t="shared" si="18"/>
        <v>-3.1243533235320007E-2</v>
      </c>
      <c r="H41" s="8">
        <f t="shared" si="19"/>
        <v>-3.7730974860966854E-2</v>
      </c>
      <c r="J41" s="8" t="s">
        <v>79</v>
      </c>
      <c r="K41" s="7">
        <f t="shared" si="20"/>
        <v>6.4924464899827533E-2</v>
      </c>
      <c r="L41" s="7">
        <f t="shared" si="21"/>
        <v>6.2160766690264491E-2</v>
      </c>
      <c r="M41" s="7">
        <f t="shared" si="22"/>
        <v>5.8411599036290396E-2</v>
      </c>
      <c r="N41" s="7">
        <f t="shared" si="23"/>
        <v>6.1254121778191402E-2</v>
      </c>
      <c r="O41" s="7">
        <f t="shared" si="24"/>
        <v>6.5071647644600786E-2</v>
      </c>
      <c r="P41" s="7">
        <f t="shared" si="25"/>
        <v>7.0123880998179441E-2</v>
      </c>
    </row>
    <row r="42" spans="2:16" x14ac:dyDescent="0.3">
      <c r="B42" s="8" t="s">
        <v>93</v>
      </c>
      <c r="C42" s="8">
        <f t="shared" si="14"/>
        <v>-1.7629266373383815E-2</v>
      </c>
      <c r="D42" s="8">
        <f t="shared" si="15"/>
        <v>3.4698327257152717E-3</v>
      </c>
      <c r="E42" s="8">
        <f t="shared" si="16"/>
        <v>-3.6337518351597778E-2</v>
      </c>
      <c r="F42" s="8">
        <f t="shared" si="17"/>
        <v>6.2708937336728443E-3</v>
      </c>
      <c r="G42" s="8">
        <f t="shared" si="18"/>
        <v>2.7376265474253286E-2</v>
      </c>
      <c r="H42" s="8">
        <f t="shared" si="19"/>
        <v>-3.9273572550064098E-2</v>
      </c>
      <c r="J42" s="8" t="s">
        <v>93</v>
      </c>
      <c r="K42" s="7">
        <f t="shared" si="20"/>
        <v>0.1715538203656127</v>
      </c>
      <c r="L42" s="7">
        <f t="shared" si="21"/>
        <v>0.17305194744441788</v>
      </c>
      <c r="M42" s="7">
        <f t="shared" si="22"/>
        <v>0.14804824401138408</v>
      </c>
      <c r="N42" s="7">
        <f t="shared" si="23"/>
        <v>0.1628099803957346</v>
      </c>
      <c r="O42" s="7">
        <f t="shared" si="24"/>
        <v>0.17409557212747082</v>
      </c>
      <c r="P42" s="7">
        <f t="shared" si="25"/>
        <v>0.17572346282013351</v>
      </c>
    </row>
    <row r="43" spans="2:16" x14ac:dyDescent="0.3">
      <c r="B43" s="8" t="s">
        <v>74</v>
      </c>
      <c r="C43" s="8">
        <f t="shared" si="14"/>
        <v>-6.1228997224986648E-2</v>
      </c>
      <c r="D43" s="8">
        <f t="shared" si="15"/>
        <v>-7.7319087315076696E-2</v>
      </c>
      <c r="E43" s="8">
        <f t="shared" si="16"/>
        <v>3.5056071113313658E-2</v>
      </c>
      <c r="F43" s="8">
        <f t="shared" si="17"/>
        <v>-4.0841633734174876E-2</v>
      </c>
      <c r="G43" s="8">
        <f t="shared" si="18"/>
        <v>-9.3131952812152752E-2</v>
      </c>
      <c r="H43" s="8">
        <f t="shared" si="19"/>
        <v>-6.5827480600448407E-2</v>
      </c>
      <c r="J43" s="8" t="s">
        <v>74</v>
      </c>
      <c r="K43" s="7">
        <f t="shared" si="20"/>
        <v>0.62308939153935716</v>
      </c>
      <c r="L43" s="7">
        <f t="shared" si="21"/>
        <v>0.62901031547279318</v>
      </c>
      <c r="M43" s="7">
        <f t="shared" si="22"/>
        <v>0.58765785806970405</v>
      </c>
      <c r="N43" s="7">
        <f t="shared" si="23"/>
        <v>0.61558713221349093</v>
      </c>
      <c r="O43" s="7">
        <f t="shared" si="24"/>
        <v>0.63482922470534664</v>
      </c>
      <c r="P43" s="7">
        <f t="shared" si="25"/>
        <v>0.6247815679114489</v>
      </c>
    </row>
    <row r="44" spans="2:16" x14ac:dyDescent="0.3">
      <c r="J44" s="12" t="s">
        <v>114</v>
      </c>
      <c r="K44" s="10">
        <f>SUM(K24:K43)</f>
        <v>1.0822608600223513</v>
      </c>
      <c r="L44" s="10">
        <f t="shared" ref="L44:P44" si="26">SUM(L24:L43)</f>
        <v>1.0744425392924601</v>
      </c>
      <c r="M44" s="10">
        <f t="shared" si="26"/>
        <v>1.0145017183613851</v>
      </c>
      <c r="N44" s="10">
        <f t="shared" si="26"/>
        <v>1.0726791934426747</v>
      </c>
      <c r="O44" s="10">
        <f t="shared" si="26"/>
        <v>1.1272902835953924</v>
      </c>
      <c r="P44" s="10">
        <f t="shared" si="26"/>
        <v>1.1670390767607088</v>
      </c>
    </row>
    <row r="45" spans="2:16" x14ac:dyDescent="0.3">
      <c r="J45" s="13" t="s">
        <v>115</v>
      </c>
      <c r="K45" s="11">
        <f>1-K44</f>
        <v>-8.2260860022351334E-2</v>
      </c>
      <c r="L45" s="11">
        <f t="shared" ref="L45:P45" si="27">1-L44</f>
        <v>-7.4442539292460141E-2</v>
      </c>
      <c r="M45" s="11">
        <f t="shared" si="27"/>
        <v>-1.4501718361385141E-2</v>
      </c>
      <c r="N45" s="11">
        <f t="shared" si="27"/>
        <v>-7.2679193442674705E-2</v>
      </c>
      <c r="O45" s="11">
        <f t="shared" si="27"/>
        <v>-0.12729028359539241</v>
      </c>
      <c r="P45" s="11">
        <f t="shared" si="27"/>
        <v>-0.16703907676070884</v>
      </c>
    </row>
  </sheetData>
  <sortState xmlns:xlrd2="http://schemas.microsoft.com/office/spreadsheetml/2017/richdata2" ref="A2:P22">
    <sortCondition ref="B1:B22"/>
  </sortState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ALÉM PARAÍBA</vt:lpstr>
      <vt:lpstr>CARANGOLA</vt:lpstr>
      <vt:lpstr>JUIZ DE FORA</vt:lpstr>
      <vt:lpstr>LEOPOLDINA-CATAGUASES</vt:lpstr>
      <vt:lpstr>LIMA DUARTE</vt:lpstr>
      <vt:lpstr>MURIAÉ</vt:lpstr>
      <vt:lpstr>SANTOS DUMONT</vt:lpstr>
      <vt:lpstr>SÃO JOÃO NEPOMUCENO-BICAS</vt:lpstr>
      <vt:lpstr>UBÁ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Marina Belotti</dc:creator>
  <cp:lastModifiedBy>Marina Belotti</cp:lastModifiedBy>
  <cp:lastPrinted>2025-05-03T21:23:56Z</cp:lastPrinted>
  <dcterms:created xsi:type="dcterms:W3CDTF">2025-04-21T21:29:39Z</dcterms:created>
  <dcterms:modified xsi:type="dcterms:W3CDTF">2025-08-24T19:43:09Z</dcterms:modified>
</cp:coreProperties>
</file>