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Cirurgia Geral/analises_finais_cirurgia_geral/"/>
    </mc:Choice>
  </mc:AlternateContent>
  <xr:revisionPtr revIDLastSave="0" documentId="8_{D9249187-5272-43C4-B6C3-80D12E518C56}" xr6:coauthVersionLast="47" xr6:coauthVersionMax="47" xr10:uidLastSave="{00000000-0000-0000-0000-000000000000}"/>
  <bookViews>
    <workbookView xWindow="-108" yWindow="-108" windowWidth="23256" windowHeight="12456" xr2:uid="{326E4DF4-8D7B-4069-AD91-AF84C670890B}"/>
  </bookViews>
  <sheets>
    <sheet name="ARAXÁ" sheetId="1" r:id="rId1"/>
    <sheet name="FRUTAL-ITURAMA" sheetId="2" r:id="rId2"/>
    <sheet name="UBERA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2" l="1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P22" i="2"/>
  <c r="O22" i="2"/>
  <c r="N22" i="2"/>
  <c r="M22" i="2"/>
  <c r="L22" i="2"/>
  <c r="K22" i="2"/>
  <c r="P21" i="2"/>
  <c r="O21" i="2"/>
  <c r="N21" i="2"/>
  <c r="M21" i="2"/>
  <c r="L21" i="2"/>
  <c r="K21" i="2"/>
  <c r="P20" i="2"/>
  <c r="O20" i="2"/>
  <c r="N20" i="2"/>
  <c r="M20" i="2"/>
  <c r="L20" i="2"/>
  <c r="K20" i="2"/>
  <c r="P19" i="2"/>
  <c r="O19" i="2"/>
  <c r="N19" i="2"/>
  <c r="M19" i="2"/>
  <c r="L19" i="2"/>
  <c r="K19" i="2"/>
  <c r="P18" i="2"/>
  <c r="O18" i="2"/>
  <c r="N18" i="2"/>
  <c r="M18" i="2"/>
  <c r="L18" i="2"/>
  <c r="K18" i="2"/>
  <c r="P17" i="2"/>
  <c r="O17" i="2"/>
  <c r="N17" i="2"/>
  <c r="M17" i="2"/>
  <c r="L17" i="2"/>
  <c r="K17" i="2"/>
  <c r="P16" i="2"/>
  <c r="O16" i="2"/>
  <c r="N16" i="2"/>
  <c r="M16" i="2"/>
  <c r="L16" i="2"/>
  <c r="K16" i="2"/>
  <c r="P18" i="3"/>
  <c r="O18" i="3"/>
  <c r="N17" i="3"/>
  <c r="M17" i="3"/>
  <c r="P14" i="3"/>
  <c r="O14" i="3"/>
  <c r="N13" i="3"/>
  <c r="M13" i="3"/>
  <c r="P12" i="3"/>
  <c r="O12" i="3"/>
  <c r="N12" i="3"/>
  <c r="M12" i="3"/>
  <c r="L12" i="3"/>
  <c r="K12" i="3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J3" i="3"/>
  <c r="J4" i="3" s="1"/>
  <c r="J5" i="3" s="1"/>
  <c r="J6" i="3" s="1"/>
  <c r="J7" i="3" s="1"/>
  <c r="J8" i="3" s="1"/>
  <c r="J9" i="3" s="1"/>
  <c r="P19" i="3" s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P3" i="1"/>
  <c r="P4" i="1" s="1"/>
  <c r="P5" i="1" s="1"/>
  <c r="P6" i="1" s="1"/>
  <c r="P7" i="1" s="1"/>
  <c r="P8" i="1" s="1"/>
  <c r="P9" i="1" s="1"/>
  <c r="O3" i="1"/>
  <c r="O4" i="1" s="1"/>
  <c r="O5" i="1" s="1"/>
  <c r="O6" i="1" s="1"/>
  <c r="O7" i="1" s="1"/>
  <c r="O8" i="1" s="1"/>
  <c r="O9" i="1" s="1"/>
  <c r="N3" i="1"/>
  <c r="N4" i="1" s="1"/>
  <c r="N5" i="1" s="1"/>
  <c r="N6" i="1" s="1"/>
  <c r="N7" i="1" s="1"/>
  <c r="N8" i="1" s="1"/>
  <c r="N9" i="1" s="1"/>
  <c r="M3" i="1"/>
  <c r="M4" i="1" s="1"/>
  <c r="M5" i="1" s="1"/>
  <c r="M6" i="1" s="1"/>
  <c r="M7" i="1" s="1"/>
  <c r="M8" i="1" s="1"/>
  <c r="M9" i="1" s="1"/>
  <c r="L3" i="1"/>
  <c r="L4" i="1" s="1"/>
  <c r="L5" i="1" s="1"/>
  <c r="L6" i="1" s="1"/>
  <c r="L7" i="1" s="1"/>
  <c r="L8" i="1" s="1"/>
  <c r="L9" i="1" s="1"/>
  <c r="K3" i="1"/>
  <c r="K4" i="1" s="1"/>
  <c r="K5" i="1" s="1"/>
  <c r="K6" i="1" s="1"/>
  <c r="K7" i="1" s="1"/>
  <c r="K8" i="1" s="1"/>
  <c r="K9" i="1" s="1"/>
  <c r="J3" i="1"/>
  <c r="J4" i="1" s="1"/>
  <c r="J5" i="1" s="1"/>
  <c r="J6" i="1" s="1"/>
  <c r="J7" i="1" s="1"/>
  <c r="J8" i="1" s="1"/>
  <c r="J9" i="1" s="1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P3" i="2"/>
  <c r="P4" i="2" s="1"/>
  <c r="P5" i="2" s="1"/>
  <c r="P6" i="2" s="1"/>
  <c r="P7" i="2" s="1"/>
  <c r="P8" i="2" s="1"/>
  <c r="P9" i="2" s="1"/>
  <c r="P10" i="2" s="1"/>
  <c r="P11" i="2" s="1"/>
  <c r="P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K27" i="2" l="1"/>
  <c r="K28" i="2" s="1"/>
  <c r="P27" i="2"/>
  <c r="P28" i="2" s="1"/>
  <c r="M27" i="2"/>
  <c r="M28" i="2" s="1"/>
  <c r="N27" i="2"/>
  <c r="N28" i="2" s="1"/>
  <c r="L27" i="2"/>
  <c r="L28" i="2" s="1"/>
  <c r="K7" i="3"/>
  <c r="K8" i="3" s="1"/>
  <c r="K9" i="3" s="1"/>
  <c r="K16" i="3"/>
  <c r="O13" i="3"/>
  <c r="O20" i="3" s="1"/>
  <c r="O21" i="3" s="1"/>
  <c r="K15" i="3"/>
  <c r="M16" i="3"/>
  <c r="O17" i="3"/>
  <c r="K19" i="3"/>
  <c r="P13" i="3"/>
  <c r="L15" i="3"/>
  <c r="N16" i="3"/>
  <c r="P17" i="3"/>
  <c r="L19" i="3"/>
  <c r="K14" i="3"/>
  <c r="M15" i="3"/>
  <c r="O16" i="3"/>
  <c r="M19" i="3"/>
  <c r="L16" i="3"/>
  <c r="P20" i="3"/>
  <c r="P21" i="3" s="1"/>
  <c r="L14" i="3"/>
  <c r="L20" i="3" s="1"/>
  <c r="L21" i="3" s="1"/>
  <c r="N15" i="3"/>
  <c r="P16" i="3"/>
  <c r="L18" i="3"/>
  <c r="N19" i="3"/>
  <c r="K13" i="3"/>
  <c r="M14" i="3"/>
  <c r="M20" i="3" s="1"/>
  <c r="M21" i="3" s="1"/>
  <c r="O15" i="3"/>
  <c r="K17" i="3"/>
  <c r="M18" i="3"/>
  <c r="O19" i="3"/>
  <c r="L13" i="3"/>
  <c r="N14" i="3"/>
  <c r="N20" i="3" s="1"/>
  <c r="N21" i="3" s="1"/>
  <c r="P15" i="3"/>
  <c r="L17" i="3"/>
  <c r="N18" i="3"/>
  <c r="K20" i="1"/>
  <c r="K21" i="1" s="1"/>
  <c r="N20" i="1"/>
  <c r="N21" i="1" s="1"/>
  <c r="O20" i="1"/>
  <c r="O21" i="1" s="1"/>
  <c r="L20" i="1"/>
  <c r="L21" i="1" s="1"/>
  <c r="P20" i="1"/>
  <c r="P21" i="1" s="1"/>
  <c r="M20" i="1"/>
  <c r="M21" i="1" s="1"/>
  <c r="O27" i="2" l="1"/>
  <c r="O28" i="2" s="1"/>
  <c r="K18" i="3"/>
  <c r="K20" i="3" s="1"/>
  <c r="K21" i="3" s="1"/>
</calcChain>
</file>

<file path=xl/sharedStrings.xml><?xml version="1.0" encoding="utf-8"?>
<sst xmlns="http://schemas.openxmlformats.org/spreadsheetml/2006/main" count="174" uniqueCount="57">
  <si>
    <t>ARAXÁ</t>
  </si>
  <si>
    <t>CAMPOS ALTOS</t>
  </si>
  <si>
    <t>IBIÁ</t>
  </si>
  <si>
    <t>PEDRINÓPOLIS</t>
  </si>
  <si>
    <t>PERDIZES</t>
  </si>
  <si>
    <t>PRATINHA</t>
  </si>
  <si>
    <t>SANTA JULIANA</t>
  </si>
  <si>
    <t>TAPIRA</t>
  </si>
  <si>
    <t>CARNEIRINHO</t>
  </si>
  <si>
    <t>COMENDADOR GOMES</t>
  </si>
  <si>
    <t>FRONTEIRA</t>
  </si>
  <si>
    <t>FRUTAL</t>
  </si>
  <si>
    <t>ITAPAGIPE</t>
  </si>
  <si>
    <t>ITURAMA</t>
  </si>
  <si>
    <t>LIMEIRA DO OESTE</t>
  </si>
  <si>
    <t>PIRAJUBA</t>
  </si>
  <si>
    <t>PLANURA</t>
  </si>
  <si>
    <t>SÃO FRANCISCO DE SALES</t>
  </si>
  <si>
    <t>UNIÃO DE MINAS</t>
  </si>
  <si>
    <t>UBERABA</t>
  </si>
  <si>
    <t>ÁGUA COMPRIDA</t>
  </si>
  <si>
    <t>CAMPO FLORIDO</t>
  </si>
  <si>
    <t>CONCEIÇÃO DAS ALAGOAS</t>
  </si>
  <si>
    <t>CONQUISTA</t>
  </si>
  <si>
    <t>DELTA</t>
  </si>
  <si>
    <t>SACRAMENTO</t>
  </si>
  <si>
    <t>VERÍSSIMO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</si>
  <si>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</si>
  <si>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</si>
  <si>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</si>
  <si>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</si>
  <si>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</si>
  <si>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</si>
  <si>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</si>
  <si>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</si>
  <si>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</si>
  <si>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</si>
  <si>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</si>
  <si>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</si>
  <si>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</si>
  <si>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</si>
  <si>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</si>
  <si>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</si>
  <si>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</si>
  <si>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</si>
  <si>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</si>
  <si>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</si>
  <si>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</si>
  <si>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</si>
  <si>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JOSÉ GONÇALVES DE MINAS</t>
  </si>
  <si>
    <t>LEME DO PRADO</t>
  </si>
  <si>
    <t>ARICANDUVA</t>
  </si>
  <si>
    <t>VEREDINHA</t>
  </si>
  <si>
    <t>CHAPADA DO NORTE</t>
  </si>
  <si>
    <t>TURMALINA</t>
  </si>
  <si>
    <t>MINAS NOVAS</t>
  </si>
  <si>
    <t>CAPELINHA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</si>
</sst>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2" borderId="1" xfId="0" applyNumberFormat="1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  <xf numFmtId="2" fontId="1" fillId="4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3-4D05-9088-30FA00C83F35}"/>
            </c:ext>
          </c:extLst>
        </c:ser>
        <c:ser>
          <c:idx val="1"/>
          <c:order val="1"/>
          <c:tx>
            <c:strRef>
              <c:f>ARAXÁ!$K$1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ARAXÁ!$K$2:$K$9</c:f>
              <c:numCache>
                <c:formatCode>0.00</c:formatCode>
                <c:ptCount val="8"/>
                <c:pt idx="0">
                  <c:v>7.9840319361277438E-3</c:v>
                </c:pt>
                <c:pt idx="1">
                  <c:v>2.7944111776447105E-2</c:v>
                </c:pt>
                <c:pt idx="2">
                  <c:v>3.9920159680638723E-2</c:v>
                </c:pt>
                <c:pt idx="3">
                  <c:v>8.3832335329341312E-2</c:v>
                </c:pt>
                <c:pt idx="4">
                  <c:v>0.23153692614770457</c:v>
                </c:pt>
                <c:pt idx="5">
                  <c:v>0.28742514970059879</c:v>
                </c:pt>
                <c:pt idx="6">
                  <c:v>0.52694610778443107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3-4D05-9088-30FA00C83F35}"/>
            </c:ext>
          </c:extLst>
        </c:ser>
        <c:ser>
          <c:idx val="2"/>
          <c:order val="2"/>
          <c:tx>
            <c:strRef>
              <c:f>ARAXÁ!$L$1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ARAXÁ!$L$2:$L$9</c:f>
              <c:numCache>
                <c:formatCode>0.00</c:formatCode>
                <c:ptCount val="8"/>
                <c:pt idx="0">
                  <c:v>1.9417475728155338E-2</c:v>
                </c:pt>
                <c:pt idx="1">
                  <c:v>4.3689320388349509E-2</c:v>
                </c:pt>
                <c:pt idx="2">
                  <c:v>6.3106796116504854E-2</c:v>
                </c:pt>
                <c:pt idx="3">
                  <c:v>7.7669902912621352E-2</c:v>
                </c:pt>
                <c:pt idx="4">
                  <c:v>0.23300970873786406</c:v>
                </c:pt>
                <c:pt idx="5">
                  <c:v>0.27669902912621358</c:v>
                </c:pt>
                <c:pt idx="6">
                  <c:v>0.48058252427184467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03-4D05-9088-30FA00C83F35}"/>
            </c:ext>
          </c:extLst>
        </c:ser>
        <c:ser>
          <c:idx val="3"/>
          <c:order val="3"/>
          <c:tx>
            <c:strRef>
              <c:f>ARAXÁ!$M$1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ARAXÁ!$M$2:$M$9</c:f>
              <c:numCache>
                <c:formatCode>0.00</c:formatCode>
                <c:ptCount val="8"/>
                <c:pt idx="0">
                  <c:v>2.4390243902439025E-2</c:v>
                </c:pt>
                <c:pt idx="1">
                  <c:v>3.6585365853658541E-2</c:v>
                </c:pt>
                <c:pt idx="2">
                  <c:v>4.878048780487805E-2</c:v>
                </c:pt>
                <c:pt idx="3">
                  <c:v>7.3170731707317083E-2</c:v>
                </c:pt>
                <c:pt idx="4">
                  <c:v>0.24390243902439027</c:v>
                </c:pt>
                <c:pt idx="5">
                  <c:v>0.26422764227642281</c:v>
                </c:pt>
                <c:pt idx="6">
                  <c:v>0.43089430894308944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03-4D05-9088-30FA00C83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4208"/>
        <c:axId val="562879968"/>
      </c:scatterChart>
      <c:valAx>
        <c:axId val="5628742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9968"/>
        <c:crosses val="autoZero"/>
        <c:crossBetween val="midCat"/>
      </c:valAx>
      <c:valAx>
        <c:axId val="562879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4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ARAXÁ!$J$1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ARAXÁ!$J$2:$J$9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8-4935-A848-F54A5C887371}"/>
            </c:ext>
          </c:extLst>
        </c:ser>
        <c:ser>
          <c:idx val="1"/>
          <c:order val="1"/>
          <c:tx>
            <c:strRef>
              <c:f>ARAXÁ!$N$1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ARAXÁ!$N$2:$N$9</c:f>
              <c:numCache>
                <c:formatCode>0.00</c:formatCode>
                <c:ptCount val="8"/>
                <c:pt idx="0">
                  <c:v>2.1341463414634148E-2</c:v>
                </c:pt>
                <c:pt idx="1">
                  <c:v>4.878048780487805E-2</c:v>
                </c:pt>
                <c:pt idx="2">
                  <c:v>7.3170731707317083E-2</c:v>
                </c:pt>
                <c:pt idx="3">
                  <c:v>0.15701219512195125</c:v>
                </c:pt>
                <c:pt idx="4">
                  <c:v>0.23475609756097565</c:v>
                </c:pt>
                <c:pt idx="5">
                  <c:v>0.27591463414634149</c:v>
                </c:pt>
                <c:pt idx="6">
                  <c:v>0.45884146341463417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8-4935-A848-F54A5C887371}"/>
            </c:ext>
          </c:extLst>
        </c:ser>
        <c:ser>
          <c:idx val="2"/>
          <c:order val="2"/>
          <c:tx>
            <c:strRef>
              <c:f>ARAXÁ!$O$1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ARAXÁ!$O$2:$O$9</c:f>
              <c:numCache>
                <c:formatCode>0.00</c:formatCode>
                <c:ptCount val="8"/>
                <c:pt idx="0">
                  <c:v>2.097902097902098E-2</c:v>
                </c:pt>
                <c:pt idx="1">
                  <c:v>4.6620046620046623E-2</c:v>
                </c:pt>
                <c:pt idx="2">
                  <c:v>7.9254079254079263E-2</c:v>
                </c:pt>
                <c:pt idx="3">
                  <c:v>0.13286713286713286</c:v>
                </c:pt>
                <c:pt idx="4">
                  <c:v>0.22843822843822842</c:v>
                </c:pt>
                <c:pt idx="5">
                  <c:v>0.27505827505827507</c:v>
                </c:pt>
                <c:pt idx="6">
                  <c:v>0.53613053613053618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68-4935-A848-F54A5C887371}"/>
            </c:ext>
          </c:extLst>
        </c:ser>
        <c:ser>
          <c:idx val="3"/>
          <c:order val="3"/>
          <c:tx>
            <c:strRef>
              <c:f>ARAXÁ!$P$1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ARAXÁ!$I$2:$I$9</c:f>
              <c:numCache>
                <c:formatCode>0.00</c:formatCode>
                <c:ptCount val="8"/>
                <c:pt idx="0">
                  <c:v>1.8942616996990763E-2</c:v>
                </c:pt>
                <c:pt idx="1">
                  <c:v>3.7921552350316488E-2</c:v>
                </c:pt>
                <c:pt idx="2">
                  <c:v>6.3292518418594998E-2</c:v>
                </c:pt>
                <c:pt idx="3">
                  <c:v>0.13850783438829511</c:v>
                </c:pt>
                <c:pt idx="4">
                  <c:v>0.21976237418283698</c:v>
                </c:pt>
                <c:pt idx="5">
                  <c:v>0.30520908996575696</c:v>
                </c:pt>
                <c:pt idx="6">
                  <c:v>0.43756874546020541</c:v>
                </c:pt>
                <c:pt idx="7">
                  <c:v>1</c:v>
                </c:pt>
              </c:numCache>
            </c:numRef>
          </c:xVal>
          <c:yVal>
            <c:numRef>
              <c:f>ARAXÁ!$P$2:$P$9</c:f>
              <c:numCache>
                <c:formatCode>0.00</c:formatCode>
                <c:ptCount val="8"/>
                <c:pt idx="0">
                  <c:v>3.4883720930232558E-2</c:v>
                </c:pt>
                <c:pt idx="1">
                  <c:v>4.0697674418604654E-2</c:v>
                </c:pt>
                <c:pt idx="2">
                  <c:v>6.9767441860465115E-2</c:v>
                </c:pt>
                <c:pt idx="3">
                  <c:v>0.13372093023255816</c:v>
                </c:pt>
                <c:pt idx="4">
                  <c:v>0.30232558139534882</c:v>
                </c:pt>
                <c:pt idx="5">
                  <c:v>0.36046511627906974</c:v>
                </c:pt>
                <c:pt idx="6">
                  <c:v>0.58720930232558133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68-4935-A848-F54A5C887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13088"/>
        <c:axId val="562913568"/>
      </c:scatterChart>
      <c:valAx>
        <c:axId val="5629130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568"/>
        <c:crosses val="autoZero"/>
        <c:crossBetween val="midCat"/>
      </c:valAx>
      <c:valAx>
        <c:axId val="562913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1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5C-433A-B8BF-97E6EA5FF284}"/>
            </c:ext>
          </c:extLst>
        </c:ser>
        <c:ser>
          <c:idx val="1"/>
          <c:order val="1"/>
          <c:tx>
            <c:strRef>
              <c:f>'FRUTAL-ITURAMA'!$K$1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'FRUTAL-ITURAMA'!$K$2:$K$12</c:f>
              <c:numCache>
                <c:formatCode>0.00</c:formatCode>
                <c:ptCount val="11"/>
                <c:pt idx="0">
                  <c:v>1.0050251256281407E-2</c:v>
                </c:pt>
                <c:pt idx="1">
                  <c:v>5.5276381909547742E-2</c:v>
                </c:pt>
                <c:pt idx="2">
                  <c:v>0.10301507537688442</c:v>
                </c:pt>
                <c:pt idx="3">
                  <c:v>0.11809045226130653</c:v>
                </c:pt>
                <c:pt idx="4">
                  <c:v>0.16331658291457285</c:v>
                </c:pt>
                <c:pt idx="5">
                  <c:v>0.21356783919597988</c:v>
                </c:pt>
                <c:pt idx="6">
                  <c:v>0.28643216080402006</c:v>
                </c:pt>
                <c:pt idx="7">
                  <c:v>0.33919597989949746</c:v>
                </c:pt>
                <c:pt idx="8">
                  <c:v>0.37185929648241201</c:v>
                </c:pt>
                <c:pt idx="9">
                  <c:v>0.57286432160804013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5C-433A-B8BF-97E6EA5FF284}"/>
            </c:ext>
          </c:extLst>
        </c:ser>
        <c:ser>
          <c:idx val="2"/>
          <c:order val="2"/>
          <c:tx>
            <c:strRef>
              <c:f>'FRUTAL-ITURAMA'!$L$1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'FRUTAL-ITURAMA'!$L$2:$L$12</c:f>
              <c:numCache>
                <c:formatCode>0.00</c:formatCode>
                <c:ptCount val="11"/>
                <c:pt idx="0">
                  <c:v>0</c:v>
                </c:pt>
                <c:pt idx="1">
                  <c:v>0.1111111111111111</c:v>
                </c:pt>
                <c:pt idx="2">
                  <c:v>0.1372549019607843</c:v>
                </c:pt>
                <c:pt idx="3">
                  <c:v>0.15686274509803921</c:v>
                </c:pt>
                <c:pt idx="4">
                  <c:v>0.16993464052287582</c:v>
                </c:pt>
                <c:pt idx="5">
                  <c:v>0.20915032679738563</c:v>
                </c:pt>
                <c:pt idx="6">
                  <c:v>0.25490196078431371</c:v>
                </c:pt>
                <c:pt idx="7">
                  <c:v>0.30065359477124182</c:v>
                </c:pt>
                <c:pt idx="8">
                  <c:v>0.3202614379084967</c:v>
                </c:pt>
                <c:pt idx="9">
                  <c:v>0.52287581699346397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5C-433A-B8BF-97E6EA5FF284}"/>
            </c:ext>
          </c:extLst>
        </c:ser>
        <c:ser>
          <c:idx val="3"/>
          <c:order val="3"/>
          <c:tx>
            <c:strRef>
              <c:f>'FRUTAL-ITURAMA'!$M$1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'FRUTAL-ITURAMA'!$M$2:$M$12</c:f>
              <c:numCache>
                <c:formatCode>0.00</c:formatCode>
                <c:ptCount val="11"/>
                <c:pt idx="0">
                  <c:v>1.2048192771084338E-2</c:v>
                </c:pt>
                <c:pt idx="1">
                  <c:v>2.4096385542168676E-2</c:v>
                </c:pt>
                <c:pt idx="2">
                  <c:v>5.4216867469879519E-2</c:v>
                </c:pt>
                <c:pt idx="3">
                  <c:v>6.6265060240963861E-2</c:v>
                </c:pt>
                <c:pt idx="4">
                  <c:v>7.8313253012048195E-2</c:v>
                </c:pt>
                <c:pt idx="5">
                  <c:v>0.12650602409638556</c:v>
                </c:pt>
                <c:pt idx="6">
                  <c:v>0.14457831325301207</c:v>
                </c:pt>
                <c:pt idx="7">
                  <c:v>0.20481927710843376</c:v>
                </c:pt>
                <c:pt idx="8">
                  <c:v>0.21084337349397592</c:v>
                </c:pt>
                <c:pt idx="9">
                  <c:v>0.5843373493975903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5C-433A-B8BF-97E6EA5FF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195387968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968"/>
        <c:crosses val="autoZero"/>
        <c:crossBetween val="midCat"/>
      </c:valAx>
      <c:valAx>
        <c:axId val="195387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'FRUTAL-ITURAMA'!$J$1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'FRUTAL-ITURAMA'!$J$2:$J$12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C-43B2-8202-C738D2B3F585}"/>
            </c:ext>
          </c:extLst>
        </c:ser>
        <c:ser>
          <c:idx val="1"/>
          <c:order val="1"/>
          <c:tx>
            <c:strRef>
              <c:f>'FRUTAL-ITURAMA'!$N$1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'FRUTAL-ITURAMA'!$N$2:$N$12</c:f>
              <c:numCache>
                <c:formatCode>0.00</c:formatCode>
                <c:ptCount val="11"/>
                <c:pt idx="0">
                  <c:v>1.9073569482288829E-2</c:v>
                </c:pt>
                <c:pt idx="1">
                  <c:v>5.1771117166212535E-2</c:v>
                </c:pt>
                <c:pt idx="2">
                  <c:v>9.2643051771117174E-2</c:v>
                </c:pt>
                <c:pt idx="3">
                  <c:v>0.10899182561307902</c:v>
                </c:pt>
                <c:pt idx="4">
                  <c:v>0.14986376021798364</c:v>
                </c:pt>
                <c:pt idx="5">
                  <c:v>0.26158038147138962</c:v>
                </c:pt>
                <c:pt idx="6">
                  <c:v>0.29427792915531331</c:v>
                </c:pt>
                <c:pt idx="7">
                  <c:v>0.3623978201634877</c:v>
                </c:pt>
                <c:pt idx="8">
                  <c:v>0.40871934604904631</c:v>
                </c:pt>
                <c:pt idx="9">
                  <c:v>0.72752043596730243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DC-43B2-8202-C738D2B3F585}"/>
            </c:ext>
          </c:extLst>
        </c:ser>
        <c:ser>
          <c:idx val="2"/>
          <c:order val="2"/>
          <c:tx>
            <c:strRef>
              <c:f>'FRUTAL-ITURAMA'!$O$1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'FRUTAL-ITURAMA'!$O$2:$O$12</c:f>
              <c:numCache>
                <c:formatCode>0.00</c:formatCode>
                <c:ptCount val="11"/>
                <c:pt idx="0">
                  <c:v>1.643835616438356E-2</c:v>
                </c:pt>
                <c:pt idx="1">
                  <c:v>5.205479452054794E-2</c:v>
                </c:pt>
                <c:pt idx="2">
                  <c:v>9.0410958904109578E-2</c:v>
                </c:pt>
                <c:pt idx="3">
                  <c:v>0.1095890410958904</c:v>
                </c:pt>
                <c:pt idx="4">
                  <c:v>0.12876712328767123</c:v>
                </c:pt>
                <c:pt idx="5">
                  <c:v>0.27671232876712326</c:v>
                </c:pt>
                <c:pt idx="6">
                  <c:v>0.31506849315068491</c:v>
                </c:pt>
                <c:pt idx="7">
                  <c:v>0.37260273972602737</c:v>
                </c:pt>
                <c:pt idx="8">
                  <c:v>0.40821917808219177</c:v>
                </c:pt>
                <c:pt idx="9">
                  <c:v>0.65753424657534243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DC-43B2-8202-C738D2B3F585}"/>
            </c:ext>
          </c:extLst>
        </c:ser>
        <c:ser>
          <c:idx val="3"/>
          <c:order val="3"/>
          <c:tx>
            <c:strRef>
              <c:f>'FRUTAL-ITURAMA'!$P$1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'FRUTAL-ITURAMA'!$I$2:$I$12</c:f>
              <c:numCache>
                <c:formatCode>0.00</c:formatCode>
                <c:ptCount val="11"/>
                <c:pt idx="0">
                  <c:v>1.6874632485825415E-2</c:v>
                </c:pt>
                <c:pt idx="1">
                  <c:v>3.988304282855093E-2</c:v>
                </c:pt>
                <c:pt idx="2">
                  <c:v>7.3918227084648291E-2</c:v>
                </c:pt>
                <c:pt idx="3">
                  <c:v>0.10893524737412807</c:v>
                </c:pt>
                <c:pt idx="4">
                  <c:v>0.15015078196226944</c:v>
                </c:pt>
                <c:pt idx="5">
                  <c:v>0.20465347122195429</c:v>
                </c:pt>
                <c:pt idx="6">
                  <c:v>0.27179055603208768</c:v>
                </c:pt>
                <c:pt idx="7">
                  <c:v>0.35546780171227887</c:v>
                </c:pt>
                <c:pt idx="8">
                  <c:v>0.45724427756828345</c:v>
                </c:pt>
                <c:pt idx="9">
                  <c:v>0.67357728182470455</c:v>
                </c:pt>
                <c:pt idx="10">
                  <c:v>1</c:v>
                </c:pt>
              </c:numCache>
            </c:numRef>
          </c:xVal>
          <c:yVal>
            <c:numRef>
              <c:f>'FRUTAL-ITURAMA'!$P$2:$P$12</c:f>
              <c:numCache>
                <c:formatCode>0.00</c:formatCode>
                <c:ptCount val="11"/>
                <c:pt idx="0">
                  <c:v>0</c:v>
                </c:pt>
                <c:pt idx="1">
                  <c:v>2.8735632183908046E-2</c:v>
                </c:pt>
                <c:pt idx="2">
                  <c:v>5.7471264367816091E-2</c:v>
                </c:pt>
                <c:pt idx="3">
                  <c:v>7.4712643678160912E-2</c:v>
                </c:pt>
                <c:pt idx="4">
                  <c:v>0.10344827586206895</c:v>
                </c:pt>
                <c:pt idx="5">
                  <c:v>0.18965517241379309</c:v>
                </c:pt>
                <c:pt idx="6">
                  <c:v>0.26436781609195403</c:v>
                </c:pt>
                <c:pt idx="7">
                  <c:v>0.34482758620689657</c:v>
                </c:pt>
                <c:pt idx="8">
                  <c:v>0.39655172413793105</c:v>
                </c:pt>
                <c:pt idx="9">
                  <c:v>0.62068965517241381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DC-43B2-8202-C738D2B3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93248"/>
        <c:axId val="88195184"/>
      </c:scatterChart>
      <c:valAx>
        <c:axId val="195393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195184"/>
        <c:crosses val="autoZero"/>
        <c:crossBetween val="midCat"/>
      </c:valAx>
      <c:valAx>
        <c:axId val="88195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3-47F2-BF6F-DD94CFB8A3E8}"/>
            </c:ext>
          </c:extLst>
        </c:ser>
        <c:ser>
          <c:idx val="1"/>
          <c:order val="1"/>
          <c:tx>
            <c:strRef>
              <c:f>UBERABA!$K$1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UBERABA!$K$2:$K$9</c:f>
              <c:numCache>
                <c:formatCode>0.00</c:formatCode>
                <c:ptCount val="8"/>
                <c:pt idx="0">
                  <c:v>6.3492063492063492E-3</c:v>
                </c:pt>
                <c:pt idx="1">
                  <c:v>2.3015873015873017E-2</c:v>
                </c:pt>
                <c:pt idx="2">
                  <c:v>3.4920634920634921E-2</c:v>
                </c:pt>
                <c:pt idx="3">
                  <c:v>5.1587301587301584E-2</c:v>
                </c:pt>
                <c:pt idx="4">
                  <c:v>6.2698412698412698E-2</c:v>
                </c:pt>
                <c:pt idx="5">
                  <c:v>0.17301587301587301</c:v>
                </c:pt>
                <c:pt idx="6">
                  <c:v>0.29761904761904762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73-47F2-BF6F-DD94CFB8A3E8}"/>
            </c:ext>
          </c:extLst>
        </c:ser>
        <c:ser>
          <c:idx val="2"/>
          <c:order val="2"/>
          <c:tx>
            <c:strRef>
              <c:f>UBERABA!$L$1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UBERABA!$L$2:$L$9</c:f>
              <c:numCache>
                <c:formatCode>0.00</c:formatCode>
                <c:ptCount val="8"/>
                <c:pt idx="0">
                  <c:v>4.9099836333878887E-3</c:v>
                </c:pt>
                <c:pt idx="1">
                  <c:v>8.1833060556464818E-3</c:v>
                </c:pt>
                <c:pt idx="2">
                  <c:v>2.2913256955810146E-2</c:v>
                </c:pt>
                <c:pt idx="3">
                  <c:v>3.6006546644844518E-2</c:v>
                </c:pt>
                <c:pt idx="4">
                  <c:v>4.5826513911620292E-2</c:v>
                </c:pt>
                <c:pt idx="5">
                  <c:v>0.13747954173486088</c:v>
                </c:pt>
                <c:pt idx="6">
                  <c:v>0.30114566284779054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573-47F2-BF6F-DD94CFB8A3E8}"/>
            </c:ext>
          </c:extLst>
        </c:ser>
        <c:ser>
          <c:idx val="3"/>
          <c:order val="3"/>
          <c:tx>
            <c:strRef>
              <c:f>UBERABA!$M$1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UBERABA!$M$2:$M$9</c:f>
              <c:numCache>
                <c:formatCode>0.00</c:formatCode>
                <c:ptCount val="8"/>
                <c:pt idx="0">
                  <c:v>3.2414910858995136E-3</c:v>
                </c:pt>
                <c:pt idx="1">
                  <c:v>4.8622366288492702E-3</c:v>
                </c:pt>
                <c:pt idx="2">
                  <c:v>1.4586709886547812E-2</c:v>
                </c:pt>
                <c:pt idx="3">
                  <c:v>2.5931928687196112E-2</c:v>
                </c:pt>
                <c:pt idx="4">
                  <c:v>3.4035656401944898E-2</c:v>
                </c:pt>
                <c:pt idx="5">
                  <c:v>0.13614262560777959</c:v>
                </c:pt>
                <c:pt idx="6">
                  <c:v>0.33387358184764993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573-47F2-BF6F-DD94CFB8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295600"/>
        <c:axId val="893292720"/>
      </c:scatterChart>
      <c:valAx>
        <c:axId val="893295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2720"/>
        <c:crosses val="autoZero"/>
        <c:crossBetween val="midCat"/>
      </c:valAx>
      <c:valAx>
        <c:axId val="8932927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32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UBERABA!$J$1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UBERABA!$J$2:$J$9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9A-4716-8E59-24379F67FD09}"/>
            </c:ext>
          </c:extLst>
        </c:ser>
        <c:ser>
          <c:idx val="1"/>
          <c:order val="1"/>
          <c:tx>
            <c:strRef>
              <c:f>UBERABA!$N$1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UBERABA!$N$2:$N$9</c:f>
              <c:numCache>
                <c:formatCode>0.00</c:formatCode>
                <c:ptCount val="8"/>
                <c:pt idx="0">
                  <c:v>9.2951200619674663E-3</c:v>
                </c:pt>
                <c:pt idx="1">
                  <c:v>1.7815646785437643E-2</c:v>
                </c:pt>
                <c:pt idx="2">
                  <c:v>2.4012393493415954E-2</c:v>
                </c:pt>
                <c:pt idx="3">
                  <c:v>4.6475600309837328E-2</c:v>
                </c:pt>
                <c:pt idx="4">
                  <c:v>5.7319907048799371E-2</c:v>
                </c:pt>
                <c:pt idx="5">
                  <c:v>0.18512780790085204</c:v>
                </c:pt>
                <c:pt idx="6">
                  <c:v>0.35011618900077457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9A-4716-8E59-24379F67FD09}"/>
            </c:ext>
          </c:extLst>
        </c:ser>
        <c:ser>
          <c:idx val="2"/>
          <c:order val="2"/>
          <c:tx>
            <c:strRef>
              <c:f>UBERABA!$O$1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UBERABA!$O$2:$O$9</c:f>
              <c:numCache>
                <c:formatCode>0.00</c:formatCode>
                <c:ptCount val="8"/>
                <c:pt idx="0">
                  <c:v>3.9840637450199202E-3</c:v>
                </c:pt>
                <c:pt idx="1">
                  <c:v>1.2948207171314742E-2</c:v>
                </c:pt>
                <c:pt idx="2">
                  <c:v>3.386454183266932E-2</c:v>
                </c:pt>
                <c:pt idx="3">
                  <c:v>4.6812749003984064E-2</c:v>
                </c:pt>
                <c:pt idx="4">
                  <c:v>5.8764940239043828E-2</c:v>
                </c:pt>
                <c:pt idx="5">
                  <c:v>0.18227091633466136</c:v>
                </c:pt>
                <c:pt idx="6">
                  <c:v>0.30577689243027889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9A-4716-8E59-24379F67FD09}"/>
            </c:ext>
          </c:extLst>
        </c:ser>
        <c:ser>
          <c:idx val="3"/>
          <c:order val="3"/>
          <c:tx>
            <c:strRef>
              <c:f>UBERABA!$P$1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UBERABA!$I$2:$I$9</c:f>
              <c:numCache>
                <c:formatCode>0.00</c:formatCode>
                <c:ptCount val="8"/>
                <c:pt idx="0">
                  <c:v>4.6394823216100358E-3</c:v>
                </c:pt>
                <c:pt idx="1">
                  <c:v>1.4194106035298377E-2</c:v>
                </c:pt>
                <c:pt idx="2">
                  <c:v>3.0539754476539779E-2</c:v>
                </c:pt>
                <c:pt idx="3">
                  <c:v>5.0123228948874589E-2</c:v>
                </c:pt>
                <c:pt idx="4">
                  <c:v>7.5806244378774257E-2</c:v>
                </c:pt>
                <c:pt idx="5">
                  <c:v>0.13784355179704016</c:v>
                </c:pt>
                <c:pt idx="6">
                  <c:v>0.20508100405312277</c:v>
                </c:pt>
                <c:pt idx="7">
                  <c:v>1</c:v>
                </c:pt>
              </c:numCache>
            </c:numRef>
          </c:xVal>
          <c:yVal>
            <c:numRef>
              <c:f>UBERABA!$P$2:$P$9</c:f>
              <c:numCache>
                <c:formatCode>0.00</c:formatCode>
                <c:ptCount val="8"/>
                <c:pt idx="0">
                  <c:v>5.3667262969588547E-3</c:v>
                </c:pt>
                <c:pt idx="1">
                  <c:v>2.3255813953488372E-2</c:v>
                </c:pt>
                <c:pt idx="2">
                  <c:v>3.3989266547406083E-2</c:v>
                </c:pt>
                <c:pt idx="3">
                  <c:v>4.2933810375670844E-2</c:v>
                </c:pt>
                <c:pt idx="4">
                  <c:v>6.6189624329159216E-2</c:v>
                </c:pt>
                <c:pt idx="5">
                  <c:v>0.19141323792486581</c:v>
                </c:pt>
                <c:pt idx="6">
                  <c:v>0.28264758497316633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9A-4716-8E59-24379F67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54432"/>
        <c:axId val="618341472"/>
      </c:scatterChart>
      <c:valAx>
        <c:axId val="6183544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41472"/>
        <c:crosses val="autoZero"/>
        <c:crossBetween val="midCat"/>
      </c:valAx>
      <c:valAx>
        <c:axId val="6183414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35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34290</xdr:rowOff>
    </xdr:from>
    <xdr:to>
      <xdr:col>23</xdr:col>
      <xdr:colOff>350520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B926901-5DCA-759C-1D6E-282CEA6F3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45720</xdr:colOff>
      <xdr:row>13</xdr:row>
      <xdr:rowOff>3810</xdr:rowOff>
    </xdr:from>
    <xdr:to>
      <xdr:col>23</xdr:col>
      <xdr:colOff>350520</xdr:colOff>
      <xdr:row>28</xdr:row>
      <xdr:rowOff>3810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6BC509D-7AA2-A14F-52BC-5465B02E7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49530</xdr:rowOff>
    </xdr:from>
    <xdr:to>
      <xdr:col>23</xdr:col>
      <xdr:colOff>365760</xdr:colOff>
      <xdr:row>13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C7A6950-D186-CCE0-2FC5-F0B83CB25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14</xdr:row>
      <xdr:rowOff>11430</xdr:rowOff>
    </xdr:from>
    <xdr:to>
      <xdr:col>23</xdr:col>
      <xdr:colOff>365760</xdr:colOff>
      <xdr:row>28</xdr:row>
      <xdr:rowOff>11430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7E4CE9F-C703-EEF6-CFD4-AB996E313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87630</xdr:rowOff>
    </xdr:from>
    <xdr:to>
      <xdr:col>23</xdr:col>
      <xdr:colOff>426720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56268BE-9D32-F3A9-0914-A5948565D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144780</xdr:colOff>
      <xdr:row>13</xdr:row>
      <xdr:rowOff>41910</xdr:rowOff>
    </xdr:from>
    <xdr:to>
      <xdr:col>23</xdr:col>
      <xdr:colOff>449580</xdr:colOff>
      <xdr:row>28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CA7DB76-BC77-A477-81C0-D5E5084CB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BA7F-D08A-4C30-B563-D452E61A7F97}">
  <dimension ref="A1:P21"/>
  <sheetViews>
    <sheetView tabSelected="1" workbookViewId="0">
      <selection activeCell="N1" activeCellId="1" sqref="I1:J9 N1:P9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3</v>
      </c>
      <c r="B2" s="10">
        <v>1.8942616996990763E-2</v>
      </c>
      <c r="C2" s="10">
        <v>7.9840319361277438E-3</v>
      </c>
      <c r="D2" s="10">
        <v>1.9417475728155338E-2</v>
      </c>
      <c r="E2" s="10">
        <v>2.4390243902439025E-2</v>
      </c>
      <c r="F2" s="10">
        <v>2.1341463414634148E-2</v>
      </c>
      <c r="G2" s="10">
        <v>2.097902097902098E-2</v>
      </c>
      <c r="H2" s="10">
        <v>3.4883720930232558E-2</v>
      </c>
      <c r="I2" s="9">
        <v>1.8942616996990763E-2</v>
      </c>
      <c r="J2" s="10">
        <v>1.8942616996990763E-2</v>
      </c>
      <c r="K2" s="10">
        <v>7.9840319361277438E-3</v>
      </c>
      <c r="L2" s="10">
        <v>1.9417475728155338E-2</v>
      </c>
      <c r="M2" s="10">
        <v>2.4390243902439025E-2</v>
      </c>
      <c r="N2" s="10">
        <v>2.1341463414634148E-2</v>
      </c>
      <c r="O2" s="10">
        <v>2.097902097902098E-2</v>
      </c>
      <c r="P2" s="10">
        <v>3.4883720930232558E-2</v>
      </c>
    </row>
    <row r="3" spans="1:16" x14ac:dyDescent="0.3">
      <c r="A3" s="9" t="s">
        <v>5</v>
      </c>
      <c r="B3" s="10">
        <v>1.8978935353325725E-2</v>
      </c>
      <c r="C3" s="10">
        <v>1.9960079840319361E-2</v>
      </c>
      <c r="D3" s="10">
        <v>2.4271844660194174E-2</v>
      </c>
      <c r="E3" s="10">
        <v>1.2195121951219513E-2</v>
      </c>
      <c r="F3" s="10">
        <v>2.7439024390243903E-2</v>
      </c>
      <c r="G3" s="10">
        <v>2.564102564102564E-2</v>
      </c>
      <c r="H3" s="10">
        <v>5.8139534883720929E-3</v>
      </c>
      <c r="I3" s="9">
        <v>3.7921552350316488E-2</v>
      </c>
      <c r="J3" s="9">
        <f t="shared" ref="J3:P9" si="0">J2+B3</f>
        <v>3.7921552350316488E-2</v>
      </c>
      <c r="K3" s="9">
        <f t="shared" si="0"/>
        <v>2.7944111776447105E-2</v>
      </c>
      <c r="L3" s="17">
        <f t="shared" si="0"/>
        <v>4.3689320388349509E-2</v>
      </c>
      <c r="M3" s="9">
        <f t="shared" si="0"/>
        <v>3.6585365853658541E-2</v>
      </c>
      <c r="N3" s="9">
        <f t="shared" si="0"/>
        <v>4.878048780487805E-2</v>
      </c>
      <c r="O3" s="9">
        <f t="shared" si="0"/>
        <v>4.6620046620046623E-2</v>
      </c>
      <c r="P3" s="9">
        <f t="shared" si="0"/>
        <v>4.0697674418604654E-2</v>
      </c>
    </row>
    <row r="4" spans="1:16" x14ac:dyDescent="0.3">
      <c r="A4" s="9" t="s">
        <v>7</v>
      </c>
      <c r="B4" s="10">
        <v>2.537096606827851E-2</v>
      </c>
      <c r="C4" s="10">
        <v>1.1976047904191617E-2</v>
      </c>
      <c r="D4" s="10">
        <v>1.9417475728155338E-2</v>
      </c>
      <c r="E4" s="10">
        <v>1.2195121951219513E-2</v>
      </c>
      <c r="F4" s="10">
        <v>2.4390243902439025E-2</v>
      </c>
      <c r="G4" s="10">
        <v>3.2634032634032632E-2</v>
      </c>
      <c r="H4" s="10">
        <v>2.9069767441860465E-2</v>
      </c>
      <c r="I4" s="9">
        <v>6.3292518418594998E-2</v>
      </c>
      <c r="J4" s="9">
        <f t="shared" si="0"/>
        <v>6.3292518418594998E-2</v>
      </c>
      <c r="K4" s="9">
        <f t="shared" si="0"/>
        <v>3.9920159680638723E-2</v>
      </c>
      <c r="L4" s="17">
        <f t="shared" si="0"/>
        <v>6.3106796116504854E-2</v>
      </c>
      <c r="M4" s="9">
        <f t="shared" si="0"/>
        <v>4.878048780487805E-2</v>
      </c>
      <c r="N4" s="9">
        <f t="shared" si="0"/>
        <v>7.3170731707317083E-2</v>
      </c>
      <c r="O4" s="9">
        <f t="shared" si="0"/>
        <v>7.9254079254079263E-2</v>
      </c>
      <c r="P4" s="9">
        <f t="shared" si="0"/>
        <v>6.9767441860465115E-2</v>
      </c>
    </row>
    <row r="5" spans="1:16" x14ac:dyDescent="0.3">
      <c r="A5" s="9" t="s">
        <v>6</v>
      </c>
      <c r="B5" s="10">
        <v>7.5215315969700117E-2</v>
      </c>
      <c r="C5" s="10">
        <v>4.3912175648702596E-2</v>
      </c>
      <c r="D5" s="10">
        <v>1.4563106796116505E-2</v>
      </c>
      <c r="E5" s="10">
        <v>2.4390243902439025E-2</v>
      </c>
      <c r="F5" s="10">
        <v>8.3841463414634151E-2</v>
      </c>
      <c r="G5" s="10">
        <v>5.3613053613053616E-2</v>
      </c>
      <c r="H5" s="10">
        <v>6.3953488372093026E-2</v>
      </c>
      <c r="I5" s="9">
        <v>0.13850783438829511</v>
      </c>
      <c r="J5" s="9">
        <f t="shared" si="0"/>
        <v>0.13850783438829511</v>
      </c>
      <c r="K5" s="9">
        <f t="shared" si="0"/>
        <v>8.3832335329341312E-2</v>
      </c>
      <c r="L5" s="17">
        <f t="shared" si="0"/>
        <v>7.7669902912621352E-2</v>
      </c>
      <c r="M5" s="9">
        <f t="shared" si="0"/>
        <v>7.3170731707317083E-2</v>
      </c>
      <c r="N5" s="9">
        <f t="shared" si="0"/>
        <v>0.15701219512195125</v>
      </c>
      <c r="O5" s="9">
        <f t="shared" si="0"/>
        <v>0.13286713286713286</v>
      </c>
      <c r="P5" s="9">
        <f t="shared" si="0"/>
        <v>0.13372093023255816</v>
      </c>
    </row>
    <row r="6" spans="1:16" x14ac:dyDescent="0.3">
      <c r="A6" s="9" t="s">
        <v>1</v>
      </c>
      <c r="B6" s="10">
        <v>8.1254539794541863E-2</v>
      </c>
      <c r="C6" s="10">
        <v>0.14770459081836326</v>
      </c>
      <c r="D6" s="10">
        <v>0.1553398058252427</v>
      </c>
      <c r="E6" s="10">
        <v>0.17073170731707318</v>
      </c>
      <c r="F6" s="10">
        <v>7.774390243902439E-2</v>
      </c>
      <c r="G6" s="10">
        <v>9.5571095571095568E-2</v>
      </c>
      <c r="H6" s="10">
        <v>0.16860465116279069</v>
      </c>
      <c r="I6" s="9">
        <v>0.21976237418283698</v>
      </c>
      <c r="J6" s="9">
        <f t="shared" si="0"/>
        <v>0.21976237418283698</v>
      </c>
      <c r="K6" s="9">
        <f t="shared" si="0"/>
        <v>0.23153692614770457</v>
      </c>
      <c r="L6" s="17">
        <f t="shared" si="0"/>
        <v>0.23300970873786406</v>
      </c>
      <c r="M6" s="9">
        <f t="shared" si="0"/>
        <v>0.24390243902439027</v>
      </c>
      <c r="N6" s="9">
        <f t="shared" si="0"/>
        <v>0.23475609756097565</v>
      </c>
      <c r="O6" s="9">
        <f t="shared" si="0"/>
        <v>0.22843822843822842</v>
      </c>
      <c r="P6" s="9">
        <f t="shared" si="0"/>
        <v>0.30232558139534882</v>
      </c>
    </row>
    <row r="7" spans="1:16" x14ac:dyDescent="0.3">
      <c r="A7" s="9" t="s">
        <v>4</v>
      </c>
      <c r="B7" s="10">
        <v>8.5446715782919999E-2</v>
      </c>
      <c r="C7" s="10">
        <v>5.588822355289421E-2</v>
      </c>
      <c r="D7" s="10">
        <v>4.3689320388349516E-2</v>
      </c>
      <c r="E7" s="10">
        <v>2.032520325203252E-2</v>
      </c>
      <c r="F7" s="10">
        <v>4.1158536585365856E-2</v>
      </c>
      <c r="G7" s="10">
        <v>4.6620046620046623E-2</v>
      </c>
      <c r="H7" s="10">
        <v>5.8139534883720929E-2</v>
      </c>
      <c r="I7" s="9">
        <v>0.30520908996575696</v>
      </c>
      <c r="J7" s="9">
        <f t="shared" si="0"/>
        <v>0.30520908996575696</v>
      </c>
      <c r="K7" s="9">
        <f t="shared" si="0"/>
        <v>0.28742514970059879</v>
      </c>
      <c r="L7" s="17">
        <f t="shared" si="0"/>
        <v>0.27669902912621358</v>
      </c>
      <c r="M7" s="9">
        <f t="shared" si="0"/>
        <v>0.26422764227642281</v>
      </c>
      <c r="N7" s="9">
        <f t="shared" si="0"/>
        <v>0.27591463414634149</v>
      </c>
      <c r="O7" s="9">
        <f t="shared" si="0"/>
        <v>0.27505827505827507</v>
      </c>
      <c r="P7" s="9">
        <f t="shared" si="0"/>
        <v>0.36046511627906974</v>
      </c>
    </row>
    <row r="8" spans="1:16" x14ac:dyDescent="0.3">
      <c r="A8" s="9" t="s">
        <v>2</v>
      </c>
      <c r="B8" s="10">
        <v>0.13235965549444847</v>
      </c>
      <c r="C8" s="10">
        <v>0.23952095808383234</v>
      </c>
      <c r="D8" s="10">
        <v>0.20388349514563106</v>
      </c>
      <c r="E8" s="10">
        <v>0.16666666666666666</v>
      </c>
      <c r="F8" s="10">
        <v>0.18292682926829268</v>
      </c>
      <c r="G8" s="10">
        <v>0.26107226107226106</v>
      </c>
      <c r="H8" s="10">
        <v>0.22674418604651161</v>
      </c>
      <c r="I8" s="9">
        <v>0.43756874546020541</v>
      </c>
      <c r="J8" s="9">
        <f t="shared" si="0"/>
        <v>0.43756874546020541</v>
      </c>
      <c r="K8" s="9">
        <f t="shared" si="0"/>
        <v>0.52694610778443107</v>
      </c>
      <c r="L8" s="17">
        <f t="shared" si="0"/>
        <v>0.48058252427184467</v>
      </c>
      <c r="M8" s="9">
        <f t="shared" si="0"/>
        <v>0.43089430894308944</v>
      </c>
      <c r="N8" s="9">
        <f t="shared" si="0"/>
        <v>0.45884146341463417</v>
      </c>
      <c r="O8" s="9">
        <f t="shared" si="0"/>
        <v>0.53613053613053618</v>
      </c>
      <c r="P8" s="9">
        <f t="shared" si="0"/>
        <v>0.58720930232558133</v>
      </c>
    </row>
    <row r="9" spans="1:16" x14ac:dyDescent="0.3">
      <c r="A9" s="9" t="s">
        <v>0</v>
      </c>
      <c r="B9" s="10">
        <v>0.56243125453979459</v>
      </c>
      <c r="C9" s="10">
        <v>0.47305389221556887</v>
      </c>
      <c r="D9" s="10">
        <v>0.51941747572815533</v>
      </c>
      <c r="E9" s="10">
        <v>0.56910569105691056</v>
      </c>
      <c r="F9" s="10">
        <v>0.54115853658536583</v>
      </c>
      <c r="G9" s="10">
        <v>0.46386946386946387</v>
      </c>
      <c r="H9" s="10">
        <v>0.41279069767441862</v>
      </c>
      <c r="I9" s="9">
        <v>1</v>
      </c>
      <c r="J9" s="9">
        <f t="shared" si="0"/>
        <v>1</v>
      </c>
      <c r="K9" s="9">
        <f t="shared" si="0"/>
        <v>1</v>
      </c>
      <c r="L9" s="17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1" t="s">
        <v>27</v>
      </c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40</v>
      </c>
      <c r="J11" s="8"/>
      <c r="K11" s="13" t="s">
        <v>41</v>
      </c>
      <c r="L11" s="13" t="s">
        <v>42</v>
      </c>
      <c r="M11" s="13" t="s">
        <v>43</v>
      </c>
      <c r="N11" s="13" t="s">
        <v>44</v>
      </c>
      <c r="O11" s="13" t="s">
        <v>45</v>
      </c>
      <c r="P11" s="13" t="s">
        <v>46</v>
      </c>
    </row>
    <row r="12" spans="1:16" x14ac:dyDescent="0.3">
      <c r="B12" s="8" t="s">
        <v>49</v>
      </c>
      <c r="C12" s="9">
        <f>C2-B2</f>
        <v>-1.0958585060863019E-2</v>
      </c>
      <c r="D12" s="9">
        <f>D2-B2</f>
        <v>4.7485873116457494E-4</v>
      </c>
      <c r="E12" s="9">
        <f>E2-B2</f>
        <v>5.4476269054482621E-3</v>
      </c>
      <c r="F12" s="9">
        <f>F2-B2</f>
        <v>2.3988464176433848E-3</v>
      </c>
      <c r="G12" s="9">
        <f>G2-B2</f>
        <v>2.0364039820302167E-3</v>
      </c>
      <c r="H12" s="9">
        <f>H2-B2</f>
        <v>1.5941103933241794E-2</v>
      </c>
      <c r="J12" s="8" t="s">
        <v>49</v>
      </c>
      <c r="K12" s="8">
        <f>(J2-0) * (K2+0)</f>
        <v>1.5123845905781047E-4</v>
      </c>
      <c r="L12" s="8">
        <f t="shared" ref="L12" si="1">(K2-0) * (L2+0)</f>
        <v>1.5502974633257755E-4</v>
      </c>
      <c r="M12" s="8">
        <f>(J2-0) * (M2+0)</f>
        <v>4.6201504870709183E-4</v>
      </c>
      <c r="N12" s="8">
        <f>(J2-0) * (N2+0)</f>
        <v>4.0426316761870535E-4</v>
      </c>
      <c r="O12" s="8">
        <f>(J2-0) * (O2+0)</f>
        <v>3.9739755937742862E-4</v>
      </c>
      <c r="P12" s="8">
        <f>(J2-0) * (P2+0)</f>
        <v>6.6078896501130572E-4</v>
      </c>
    </row>
    <row r="13" spans="1:16" x14ac:dyDescent="0.3">
      <c r="B13" s="8" t="s">
        <v>50</v>
      </c>
      <c r="C13" s="9">
        <f t="shared" ref="C13:C19" si="2">C3-B3</f>
        <v>9.8114448699363616E-4</v>
      </c>
      <c r="D13" s="9">
        <f t="shared" ref="D13:D19" si="3">D3-B3</f>
        <v>5.2929093068684492E-3</v>
      </c>
      <c r="E13" s="9">
        <f t="shared" ref="E13:E19" si="4">E3-B3</f>
        <v>-6.7838134021062126E-3</v>
      </c>
      <c r="F13" s="9">
        <f t="shared" ref="F13:F19" si="5">F3-B3</f>
        <v>8.4600890369181773E-3</v>
      </c>
      <c r="G13" s="9">
        <f t="shared" ref="G13:G19" si="6">G3-B3</f>
        <v>6.662090287699915E-3</v>
      </c>
      <c r="H13" s="9">
        <f t="shared" ref="H13:H19" si="7">H3-B3</f>
        <v>-1.3164981864953632E-2</v>
      </c>
      <c r="J13" s="8" t="s">
        <v>50</v>
      </c>
      <c r="K13" s="8">
        <f>(J3-J2) * (K3+K2)</f>
        <v>6.8187791688595421E-4</v>
      </c>
      <c r="L13" s="8">
        <f>(J3-J2) * (L3+L2)</f>
        <v>1.1976998038506525E-3</v>
      </c>
      <c r="M13" s="8">
        <f>(J3-J2) * (M3+M2)</f>
        <v>1.1572521556905931E-3</v>
      </c>
      <c r="N13" s="8">
        <f>(J3-J2) * (N3+N2)</f>
        <v>1.330839979044182E-3</v>
      </c>
      <c r="O13" s="8">
        <f>(J3-J2) * (O3+O2)</f>
        <v>1.2829583339077997E-3</v>
      </c>
      <c r="P13" s="8">
        <f>(J3-J2) * (P3+P2)</f>
        <v>1.4344544162397349E-3</v>
      </c>
    </row>
    <row r="14" spans="1:16" x14ac:dyDescent="0.3">
      <c r="B14" s="8" t="s">
        <v>51</v>
      </c>
      <c r="C14" s="9">
        <f t="shared" si="2"/>
        <v>-1.3394918164086892E-2</v>
      </c>
      <c r="D14" s="9">
        <f t="shared" si="3"/>
        <v>-5.9534903401231715E-3</v>
      </c>
      <c r="E14" s="9">
        <f t="shared" si="4"/>
        <v>-1.3175844117058997E-2</v>
      </c>
      <c r="F14" s="9">
        <f t="shared" si="5"/>
        <v>-9.8072216583948435E-4</v>
      </c>
      <c r="G14" s="9">
        <f t="shared" si="6"/>
        <v>7.2630665657541227E-3</v>
      </c>
      <c r="H14" s="9">
        <f t="shared" si="7"/>
        <v>3.6988013735819551E-3</v>
      </c>
      <c r="J14" s="8" t="s">
        <v>51</v>
      </c>
      <c r="K14" s="8">
        <f t="shared" ref="K14:K19" si="8">(J4-J3) * (K4+K3)</f>
        <v>1.7217821283861663E-3</v>
      </c>
      <c r="L14" s="8">
        <f t="shared" ref="L14:L19" si="9">(J4-J3) * (L4+L3)</f>
        <v>2.7095206480685784E-3</v>
      </c>
      <c r="M14" s="8">
        <f t="shared" ref="M14:M19" si="10">(J4-J3) * (M4+M3)</f>
        <v>2.1658141765603608E-3</v>
      </c>
      <c r="N14" s="8">
        <f t="shared" ref="N14:N19" si="11">(J4-J3) * (N4+N3)</f>
        <v>3.0940202522290869E-3</v>
      </c>
      <c r="O14" s="8">
        <f t="shared" ref="O14:O19" si="12">(J4-J3) * (O4+O3)</f>
        <v>3.1935481764266659E-3</v>
      </c>
      <c r="P14" s="8">
        <f t="shared" ref="P14:P19" si="13">(J4-J3) * (P4+P3)</f>
        <v>2.802606716844719E-3</v>
      </c>
    </row>
    <row r="15" spans="1:16" x14ac:dyDescent="0.3">
      <c r="B15" s="8" t="s">
        <v>52</v>
      </c>
      <c r="C15" s="9">
        <f t="shared" si="2"/>
        <v>-3.130314032099752E-2</v>
      </c>
      <c r="D15" s="9">
        <f t="shared" si="3"/>
        <v>-6.0652209173583611E-2</v>
      </c>
      <c r="E15" s="9">
        <f t="shared" si="4"/>
        <v>-5.0825072067261091E-2</v>
      </c>
      <c r="F15" s="9">
        <f t="shared" si="5"/>
        <v>8.6261474449340347E-3</v>
      </c>
      <c r="G15" s="9">
        <f t="shared" si="6"/>
        <v>-2.1602262356646501E-2</v>
      </c>
      <c r="H15" s="9">
        <f t="shared" si="7"/>
        <v>-1.1261827597607091E-2</v>
      </c>
      <c r="J15" s="8" t="s">
        <v>52</v>
      </c>
      <c r="K15" s="8">
        <f t="shared" si="8"/>
        <v>9.3080830142143849E-3</v>
      </c>
      <c r="L15" s="8">
        <f t="shared" si="9"/>
        <v>1.0588563898647103E-2</v>
      </c>
      <c r="M15" s="8">
        <f t="shared" si="10"/>
        <v>9.1725995085000147E-3</v>
      </c>
      <c r="N15" s="8">
        <f t="shared" si="11"/>
        <v>1.7313281572293778E-2</v>
      </c>
      <c r="O15" s="8">
        <f t="shared" si="12"/>
        <v>1.5954763993572752E-2</v>
      </c>
      <c r="P15" s="8">
        <f t="shared" si="13"/>
        <v>1.5305442203136654E-2</v>
      </c>
    </row>
    <row r="16" spans="1:16" x14ac:dyDescent="0.3">
      <c r="B16" s="8" t="s">
        <v>53</v>
      </c>
      <c r="C16" s="9">
        <f t="shared" si="2"/>
        <v>6.6450051023821399E-2</v>
      </c>
      <c r="D16" s="9">
        <f t="shared" si="3"/>
        <v>7.4085266030700841E-2</v>
      </c>
      <c r="E16" s="9">
        <f t="shared" si="4"/>
        <v>8.947716752253132E-2</v>
      </c>
      <c r="F16" s="9">
        <f t="shared" si="5"/>
        <v>-3.5106373555174736E-3</v>
      </c>
      <c r="G16" s="9">
        <f t="shared" si="6"/>
        <v>1.4316555776553705E-2</v>
      </c>
      <c r="H16" s="9">
        <f t="shared" si="7"/>
        <v>8.7350111368248828E-2</v>
      </c>
      <c r="J16" s="8" t="s">
        <v>53</v>
      </c>
      <c r="K16" s="8">
        <f t="shared" si="8"/>
        <v>2.5625184206661905E-2</v>
      </c>
      <c r="L16" s="8">
        <f t="shared" si="9"/>
        <v>2.5244128868207177E-2</v>
      </c>
      <c r="M16" s="8">
        <f t="shared" si="10"/>
        <v>2.5763634569001083E-2</v>
      </c>
      <c r="N16" s="8">
        <f t="shared" si="11"/>
        <v>3.183295232804461E-2</v>
      </c>
      <c r="O16" s="8">
        <f t="shared" si="12"/>
        <v>2.9357700858167805E-2</v>
      </c>
      <c r="P16" s="8">
        <f t="shared" si="13"/>
        <v>3.5430758631340931E-2</v>
      </c>
    </row>
    <row r="17" spans="2:16" x14ac:dyDescent="0.3">
      <c r="B17" s="8" t="s">
        <v>54</v>
      </c>
      <c r="C17" s="9">
        <f t="shared" si="2"/>
        <v>-2.9558492230025789E-2</v>
      </c>
      <c r="D17" s="9">
        <f t="shared" si="3"/>
        <v>-4.1757395394570483E-2</v>
      </c>
      <c r="E17" s="9">
        <f t="shared" si="4"/>
        <v>-6.5121512530887479E-2</v>
      </c>
      <c r="F17" s="9">
        <f t="shared" si="5"/>
        <v>-4.4288179197554144E-2</v>
      </c>
      <c r="G17" s="9">
        <f t="shared" si="6"/>
        <v>-3.8826669162873376E-2</v>
      </c>
      <c r="H17" s="9">
        <f t="shared" si="7"/>
        <v>-2.730718089919907E-2</v>
      </c>
      <c r="J17" s="8" t="s">
        <v>54</v>
      </c>
      <c r="K17" s="8">
        <f t="shared" si="8"/>
        <v>4.4343604997124142E-2</v>
      </c>
      <c r="L17" s="8">
        <f t="shared" si="9"/>
        <v>4.3552937656342709E-2</v>
      </c>
      <c r="M17" s="8">
        <f t="shared" si="10"/>
        <v>4.3418046637662598E-2</v>
      </c>
      <c r="N17" s="8">
        <f t="shared" si="11"/>
        <v>4.363513687085091E-2</v>
      </c>
      <c r="O17" s="8">
        <f t="shared" si="12"/>
        <v>4.3022122631959717E-2</v>
      </c>
      <c r="P17" s="8">
        <f t="shared" si="13"/>
        <v>5.6633288367749286E-2</v>
      </c>
    </row>
    <row r="18" spans="2:16" x14ac:dyDescent="0.3">
      <c r="B18" s="8" t="s">
        <v>55</v>
      </c>
      <c r="C18" s="9">
        <f t="shared" si="2"/>
        <v>0.10716130258938386</v>
      </c>
      <c r="D18" s="9">
        <f t="shared" si="3"/>
        <v>7.1523839651182586E-2</v>
      </c>
      <c r="E18" s="9">
        <f t="shared" si="4"/>
        <v>3.4307011172218183E-2</v>
      </c>
      <c r="F18" s="9">
        <f t="shared" si="5"/>
        <v>5.0567173773844204E-2</v>
      </c>
      <c r="G18" s="9">
        <f t="shared" si="6"/>
        <v>0.12871260557781258</v>
      </c>
      <c r="H18" s="9">
        <f t="shared" si="7"/>
        <v>9.4384530552063139E-2</v>
      </c>
      <c r="J18" s="8" t="s">
        <v>55</v>
      </c>
      <c r="K18" s="8">
        <f t="shared" si="8"/>
        <v>0.10778989908529933</v>
      </c>
      <c r="L18" s="8">
        <f t="shared" si="9"/>
        <v>0.10023352552006776</v>
      </c>
      <c r="M18" s="8">
        <f t="shared" si="10"/>
        <v>9.2006101990043443E-2</v>
      </c>
      <c r="N18" s="8">
        <f t="shared" si="11"/>
        <v>9.7252063945616099E-2</v>
      </c>
      <c r="O18" s="8">
        <f t="shared" si="12"/>
        <v>0.10736867158990225</v>
      </c>
      <c r="P18" s="8">
        <f t="shared" si="13"/>
        <v>0.12543385956741335</v>
      </c>
    </row>
    <row r="19" spans="2:16" x14ac:dyDescent="0.3">
      <c r="B19" s="8" t="s">
        <v>56</v>
      </c>
      <c r="C19" s="9">
        <f t="shared" si="2"/>
        <v>-8.9377362324225718E-2</v>
      </c>
      <c r="D19" s="9">
        <f t="shared" si="3"/>
        <v>-4.3013778811639258E-2</v>
      </c>
      <c r="E19" s="9">
        <f t="shared" si="4"/>
        <v>6.674436517115967E-3</v>
      </c>
      <c r="F19" s="9">
        <f t="shared" si="5"/>
        <v>-2.1272717954428755E-2</v>
      </c>
      <c r="G19" s="9">
        <f t="shared" si="6"/>
        <v>-9.8561790670330718E-2</v>
      </c>
      <c r="H19" s="9">
        <f t="shared" si="7"/>
        <v>-0.14964055686537597</v>
      </c>
      <c r="J19" s="8" t="s">
        <v>56</v>
      </c>
      <c r="K19" s="8">
        <f t="shared" si="8"/>
        <v>0.85880221501585396</v>
      </c>
      <c r="L19" s="8">
        <f t="shared" si="9"/>
        <v>0.83272588657590951</v>
      </c>
      <c r="M19" s="8">
        <f t="shared" si="10"/>
        <v>0.80477968129271427</v>
      </c>
      <c r="N19" s="8">
        <f t="shared" si="11"/>
        <v>0.82049803444296265</v>
      </c>
      <c r="O19" s="8">
        <f t="shared" si="12"/>
        <v>0.86396782457278476</v>
      </c>
      <c r="P19" s="8">
        <f t="shared" si="13"/>
        <v>0.89269611912420876</v>
      </c>
    </row>
    <row r="20" spans="2:16" x14ac:dyDescent="0.3">
      <c r="J20" s="13" t="s">
        <v>47</v>
      </c>
      <c r="K20" s="13">
        <f>SUM(K12:K19)</f>
        <v>1.0484238848234837</v>
      </c>
      <c r="L20" s="13">
        <f t="shared" ref="L20:P20" si="14">SUM(L12:L19)</f>
        <v>1.0164072927174261</v>
      </c>
      <c r="M20" s="13">
        <f t="shared" si="14"/>
        <v>0.97892514537887942</v>
      </c>
      <c r="N20" s="13">
        <f t="shared" si="14"/>
        <v>1.01536059255866</v>
      </c>
      <c r="O20" s="13">
        <f t="shared" si="14"/>
        <v>1.0645449877160993</v>
      </c>
      <c r="P20" s="13">
        <f t="shared" si="14"/>
        <v>1.1303973179919447</v>
      </c>
    </row>
    <row r="21" spans="2:16" x14ac:dyDescent="0.3">
      <c r="J21" s="16" t="s">
        <v>48</v>
      </c>
      <c r="K21" s="16">
        <f>1-K20</f>
        <v>-4.8423884823483698E-2</v>
      </c>
      <c r="L21" s="16">
        <f t="shared" ref="L21:P21" si="15">1-L20</f>
        <v>-1.6407292717426136E-2</v>
      </c>
      <c r="M21" s="16">
        <f t="shared" si="15"/>
        <v>2.1074854621120576E-2</v>
      </c>
      <c r="N21" s="16">
        <f t="shared" si="15"/>
        <v>-1.5360592558659958E-2</v>
      </c>
      <c r="O21" s="16">
        <f t="shared" si="15"/>
        <v>-6.4544987716099289E-2</v>
      </c>
      <c r="P21" s="16">
        <f t="shared" si="15"/>
        <v>-0.13039731799194465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BEE0-F157-4CDC-83B5-218C4AE9FC5E}">
  <dimension ref="A1:P28"/>
  <sheetViews>
    <sheetView workbookViewId="0">
      <selection activeCell="N1" activeCellId="1" sqref="I1:J12 N1:P12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9</v>
      </c>
      <c r="B2" s="10">
        <v>1.6874632485825415E-2</v>
      </c>
      <c r="C2" s="10">
        <v>1.0050251256281407E-2</v>
      </c>
      <c r="D2" s="10">
        <v>0</v>
      </c>
      <c r="E2" s="10">
        <v>1.2048192771084338E-2</v>
      </c>
      <c r="F2" s="10">
        <v>1.9073569482288829E-2</v>
      </c>
      <c r="G2" s="10">
        <v>1.643835616438356E-2</v>
      </c>
      <c r="H2" s="10">
        <v>0</v>
      </c>
      <c r="I2" s="9">
        <v>1.6874632485825415E-2</v>
      </c>
      <c r="J2" s="10">
        <v>1.6874632485825415E-2</v>
      </c>
      <c r="K2" s="10">
        <v>1.0050251256281407E-2</v>
      </c>
      <c r="L2" s="10">
        <v>0</v>
      </c>
      <c r="M2" s="10">
        <v>1.2048192771084338E-2</v>
      </c>
      <c r="N2" s="10">
        <v>1.9073569482288829E-2</v>
      </c>
      <c r="O2" s="10">
        <v>1.643835616438356E-2</v>
      </c>
      <c r="P2" s="10">
        <v>0</v>
      </c>
    </row>
    <row r="3" spans="1:16" x14ac:dyDescent="0.3">
      <c r="A3" s="9" t="s">
        <v>18</v>
      </c>
      <c r="B3" s="10">
        <v>2.3008410342725511E-2</v>
      </c>
      <c r="C3" s="10">
        <v>4.5226130653266333E-2</v>
      </c>
      <c r="D3" s="10">
        <v>0.1111111111111111</v>
      </c>
      <c r="E3" s="10">
        <v>1.2048192771084338E-2</v>
      </c>
      <c r="F3" s="10">
        <v>3.2697547683923703E-2</v>
      </c>
      <c r="G3" s="10">
        <v>3.5616438356164383E-2</v>
      </c>
      <c r="H3" s="10">
        <v>2.8735632183908046E-2</v>
      </c>
      <c r="I3" s="9">
        <v>3.988304282855093E-2</v>
      </c>
      <c r="J3" s="9">
        <f>J2+B3</f>
        <v>3.988304282855093E-2</v>
      </c>
      <c r="K3" s="9">
        <f>K2+C3</f>
        <v>5.5276381909547742E-2</v>
      </c>
      <c r="L3" s="9">
        <f t="shared" ref="L3:P12" si="0">L2+D3</f>
        <v>0.1111111111111111</v>
      </c>
      <c r="M3" s="9">
        <f t="shared" si="0"/>
        <v>2.4096385542168676E-2</v>
      </c>
      <c r="N3" s="9">
        <f t="shared" si="0"/>
        <v>5.1771117166212535E-2</v>
      </c>
      <c r="O3" s="9">
        <f t="shared" si="0"/>
        <v>5.205479452054794E-2</v>
      </c>
      <c r="P3" s="9">
        <f t="shared" si="0"/>
        <v>2.8735632183908046E-2</v>
      </c>
    </row>
    <row r="4" spans="1:16" x14ac:dyDescent="0.3">
      <c r="A4" s="9" t="s">
        <v>17</v>
      </c>
      <c r="B4" s="10">
        <v>3.4035184256097362E-2</v>
      </c>
      <c r="C4" s="10">
        <v>4.7738693467336682E-2</v>
      </c>
      <c r="D4" s="10">
        <v>2.6143790849673203E-2</v>
      </c>
      <c r="E4" s="10">
        <v>3.0120481927710843E-2</v>
      </c>
      <c r="F4" s="10">
        <v>4.0871934604904632E-2</v>
      </c>
      <c r="G4" s="10">
        <v>3.8356164383561646E-2</v>
      </c>
      <c r="H4" s="10">
        <v>2.8735632183908046E-2</v>
      </c>
      <c r="I4" s="9">
        <v>7.3918227084648291E-2</v>
      </c>
      <c r="J4" s="9">
        <f t="shared" ref="J4:K12" si="1">J3+B4</f>
        <v>7.3918227084648291E-2</v>
      </c>
      <c r="K4" s="9">
        <f t="shared" si="1"/>
        <v>0.10301507537688442</v>
      </c>
      <c r="L4" s="9">
        <f t="shared" si="0"/>
        <v>0.1372549019607843</v>
      </c>
      <c r="M4" s="9">
        <f t="shared" si="0"/>
        <v>5.4216867469879519E-2</v>
      </c>
      <c r="N4" s="9">
        <f t="shared" si="0"/>
        <v>9.2643051771117174E-2</v>
      </c>
      <c r="O4" s="9">
        <f t="shared" si="0"/>
        <v>9.0410958904109578E-2</v>
      </c>
      <c r="P4" s="9">
        <f t="shared" si="0"/>
        <v>5.7471264367816091E-2</v>
      </c>
    </row>
    <row r="5" spans="1:16" x14ac:dyDescent="0.3">
      <c r="A5" s="9" t="s">
        <v>15</v>
      </c>
      <c r="B5" s="10">
        <v>3.501702028947979E-2</v>
      </c>
      <c r="C5" s="10">
        <v>1.507537688442211E-2</v>
      </c>
      <c r="D5" s="10">
        <v>1.9607843137254902E-2</v>
      </c>
      <c r="E5" s="10">
        <v>1.2048192771084338E-2</v>
      </c>
      <c r="F5" s="10">
        <v>1.6348773841961851E-2</v>
      </c>
      <c r="G5" s="10">
        <v>1.9178082191780823E-2</v>
      </c>
      <c r="H5" s="10">
        <v>1.7241379310344827E-2</v>
      </c>
      <c r="I5" s="9">
        <v>0.10893524737412807</v>
      </c>
      <c r="J5" s="9">
        <f t="shared" si="1"/>
        <v>0.10893524737412807</v>
      </c>
      <c r="K5" s="9">
        <f t="shared" si="1"/>
        <v>0.11809045226130653</v>
      </c>
      <c r="L5" s="9">
        <f t="shared" si="0"/>
        <v>0.15686274509803921</v>
      </c>
      <c r="M5" s="9">
        <f t="shared" si="0"/>
        <v>6.6265060240963861E-2</v>
      </c>
      <c r="N5" s="9">
        <f t="shared" si="0"/>
        <v>0.10899182561307902</v>
      </c>
      <c r="O5" s="9">
        <f t="shared" si="0"/>
        <v>0.1095890410958904</v>
      </c>
      <c r="P5" s="9">
        <f t="shared" si="0"/>
        <v>7.4712643678160912E-2</v>
      </c>
    </row>
    <row r="6" spans="1:16" x14ac:dyDescent="0.3">
      <c r="A6" s="9" t="s">
        <v>14</v>
      </c>
      <c r="B6" s="10">
        <v>4.121553458814136E-2</v>
      </c>
      <c r="C6" s="10">
        <v>4.5226130653266333E-2</v>
      </c>
      <c r="D6" s="10">
        <v>1.3071895424836602E-2</v>
      </c>
      <c r="E6" s="10">
        <v>1.2048192771084338E-2</v>
      </c>
      <c r="F6" s="10">
        <v>4.0871934604904632E-2</v>
      </c>
      <c r="G6" s="10">
        <v>1.9178082191780823E-2</v>
      </c>
      <c r="H6" s="10">
        <v>2.8735632183908046E-2</v>
      </c>
      <c r="I6" s="9">
        <v>0.15015078196226944</v>
      </c>
      <c r="J6" s="9">
        <f t="shared" si="1"/>
        <v>0.15015078196226944</v>
      </c>
      <c r="K6" s="9">
        <f t="shared" si="1"/>
        <v>0.16331658291457285</v>
      </c>
      <c r="L6" s="9">
        <f t="shared" si="0"/>
        <v>0.16993464052287582</v>
      </c>
      <c r="M6" s="9">
        <f t="shared" si="0"/>
        <v>7.8313253012048195E-2</v>
      </c>
      <c r="N6" s="9">
        <f t="shared" si="0"/>
        <v>0.14986376021798364</v>
      </c>
      <c r="O6" s="9">
        <f t="shared" si="0"/>
        <v>0.12876712328767123</v>
      </c>
      <c r="P6" s="9">
        <f t="shared" si="0"/>
        <v>0.10344827586206895</v>
      </c>
    </row>
    <row r="7" spans="1:16" x14ac:dyDescent="0.3">
      <c r="A7" s="9" t="s">
        <v>8</v>
      </c>
      <c r="B7" s="10">
        <v>5.4502689259684843E-2</v>
      </c>
      <c r="C7" s="10">
        <v>5.0251256281407038E-2</v>
      </c>
      <c r="D7" s="10">
        <v>3.9215686274509803E-2</v>
      </c>
      <c r="E7" s="10">
        <v>4.8192771084337352E-2</v>
      </c>
      <c r="F7" s="10">
        <v>0.11171662125340599</v>
      </c>
      <c r="G7" s="10">
        <v>0.14794520547945206</v>
      </c>
      <c r="H7" s="10">
        <v>8.6206896551724144E-2</v>
      </c>
      <c r="I7" s="9">
        <v>0.20465347122195429</v>
      </c>
      <c r="J7" s="9">
        <f t="shared" si="1"/>
        <v>0.20465347122195429</v>
      </c>
      <c r="K7" s="9">
        <f t="shared" si="1"/>
        <v>0.21356783919597988</v>
      </c>
      <c r="L7" s="9">
        <f t="shared" si="0"/>
        <v>0.20915032679738563</v>
      </c>
      <c r="M7" s="9">
        <f t="shared" si="0"/>
        <v>0.12650602409638556</v>
      </c>
      <c r="N7" s="9">
        <f t="shared" si="0"/>
        <v>0.26158038147138962</v>
      </c>
      <c r="O7" s="9">
        <f t="shared" si="0"/>
        <v>0.27671232876712326</v>
      </c>
      <c r="P7" s="9">
        <f t="shared" si="0"/>
        <v>0.18965517241379309</v>
      </c>
    </row>
    <row r="8" spans="1:16" x14ac:dyDescent="0.3">
      <c r="A8" s="9" t="s">
        <v>16</v>
      </c>
      <c r="B8" s="10">
        <v>6.7137084810133404E-2</v>
      </c>
      <c r="C8" s="10">
        <v>7.2864321608040197E-2</v>
      </c>
      <c r="D8" s="10">
        <v>4.5751633986928102E-2</v>
      </c>
      <c r="E8" s="10">
        <v>1.8072289156626505E-2</v>
      </c>
      <c r="F8" s="10">
        <v>3.2697547683923703E-2</v>
      </c>
      <c r="G8" s="10">
        <v>3.8356164383561646E-2</v>
      </c>
      <c r="H8" s="10">
        <v>7.4712643678160925E-2</v>
      </c>
      <c r="I8" s="9">
        <v>0.27179055603208768</v>
      </c>
      <c r="J8" s="9">
        <f t="shared" si="1"/>
        <v>0.27179055603208768</v>
      </c>
      <c r="K8" s="9">
        <f t="shared" si="1"/>
        <v>0.28643216080402006</v>
      </c>
      <c r="L8" s="9">
        <f t="shared" si="0"/>
        <v>0.25490196078431371</v>
      </c>
      <c r="M8" s="9">
        <f t="shared" si="0"/>
        <v>0.14457831325301207</v>
      </c>
      <c r="N8" s="9">
        <f t="shared" si="0"/>
        <v>0.29427792915531331</v>
      </c>
      <c r="O8" s="9">
        <f t="shared" si="0"/>
        <v>0.31506849315068491</v>
      </c>
      <c r="P8" s="9">
        <f t="shared" si="0"/>
        <v>0.26436781609195403</v>
      </c>
    </row>
    <row r="9" spans="1:16" x14ac:dyDescent="0.3">
      <c r="A9" s="9" t="s">
        <v>12</v>
      </c>
      <c r="B9" s="10">
        <v>8.3677245680191192E-2</v>
      </c>
      <c r="C9" s="10">
        <v>5.2763819095477386E-2</v>
      </c>
      <c r="D9" s="10">
        <v>4.5751633986928102E-2</v>
      </c>
      <c r="E9" s="10">
        <v>6.0240963855421686E-2</v>
      </c>
      <c r="F9" s="10">
        <v>6.8119891008174394E-2</v>
      </c>
      <c r="G9" s="10">
        <v>5.7534246575342465E-2</v>
      </c>
      <c r="H9" s="10">
        <v>8.0459770114942528E-2</v>
      </c>
      <c r="I9" s="9">
        <v>0.35546780171227887</v>
      </c>
      <c r="J9" s="9">
        <f t="shared" si="1"/>
        <v>0.35546780171227887</v>
      </c>
      <c r="K9" s="9">
        <f t="shared" si="1"/>
        <v>0.33919597989949746</v>
      </c>
      <c r="L9" s="9">
        <f t="shared" si="0"/>
        <v>0.30065359477124182</v>
      </c>
      <c r="M9" s="9">
        <f t="shared" si="0"/>
        <v>0.20481927710843376</v>
      </c>
      <c r="N9" s="9">
        <f t="shared" si="0"/>
        <v>0.3623978201634877</v>
      </c>
      <c r="O9" s="9">
        <f t="shared" si="0"/>
        <v>0.37260273972602737</v>
      </c>
      <c r="P9" s="9">
        <f t="shared" si="0"/>
        <v>0.34482758620689657</v>
      </c>
    </row>
    <row r="10" spans="1:16" x14ac:dyDescent="0.3">
      <c r="A10" s="9" t="s">
        <v>10</v>
      </c>
      <c r="B10" s="10">
        <v>0.10177647585600458</v>
      </c>
      <c r="C10" s="10">
        <v>3.2663316582914576E-2</v>
      </c>
      <c r="D10" s="10">
        <v>1.9607843137254902E-2</v>
      </c>
      <c r="E10" s="10">
        <v>6.024096385542169E-3</v>
      </c>
      <c r="F10" s="10">
        <v>4.632152588555858E-2</v>
      </c>
      <c r="G10" s="10">
        <v>3.5616438356164383E-2</v>
      </c>
      <c r="H10" s="10">
        <v>5.1724137931034482E-2</v>
      </c>
      <c r="I10" s="9">
        <v>0.45724427756828345</v>
      </c>
      <c r="J10" s="9">
        <f t="shared" si="1"/>
        <v>0.45724427756828345</v>
      </c>
      <c r="K10" s="9">
        <f t="shared" si="1"/>
        <v>0.37185929648241201</v>
      </c>
      <c r="L10" s="9">
        <f t="shared" si="0"/>
        <v>0.3202614379084967</v>
      </c>
      <c r="M10" s="9">
        <f t="shared" si="0"/>
        <v>0.21084337349397592</v>
      </c>
      <c r="N10" s="9">
        <f t="shared" si="0"/>
        <v>0.40871934604904631</v>
      </c>
      <c r="O10" s="9">
        <f t="shared" si="0"/>
        <v>0.40821917808219177</v>
      </c>
      <c r="P10" s="9">
        <f t="shared" si="0"/>
        <v>0.39655172413793105</v>
      </c>
    </row>
    <row r="11" spans="1:16" x14ac:dyDescent="0.3">
      <c r="A11" s="9" t="s">
        <v>13</v>
      </c>
      <c r="B11" s="10">
        <v>0.21633300425642105</v>
      </c>
      <c r="C11" s="10">
        <v>0.20100502512562815</v>
      </c>
      <c r="D11" s="10">
        <v>0.20261437908496732</v>
      </c>
      <c r="E11" s="10">
        <v>0.37349397590361444</v>
      </c>
      <c r="F11" s="10">
        <v>0.31880108991825612</v>
      </c>
      <c r="G11" s="10">
        <v>0.24931506849315069</v>
      </c>
      <c r="H11" s="10">
        <v>0.22413793103448276</v>
      </c>
      <c r="I11" s="9">
        <v>0.67357728182470455</v>
      </c>
      <c r="J11" s="9">
        <f t="shared" si="1"/>
        <v>0.67357728182470455</v>
      </c>
      <c r="K11" s="9">
        <f t="shared" si="1"/>
        <v>0.57286432160804013</v>
      </c>
      <c r="L11" s="9">
        <f t="shared" si="0"/>
        <v>0.52287581699346397</v>
      </c>
      <c r="M11" s="9">
        <f t="shared" si="0"/>
        <v>0.5843373493975903</v>
      </c>
      <c r="N11" s="9">
        <f t="shared" si="0"/>
        <v>0.72752043596730243</v>
      </c>
      <c r="O11" s="9">
        <f t="shared" si="0"/>
        <v>0.65753424657534243</v>
      </c>
      <c r="P11" s="9">
        <f t="shared" si="0"/>
        <v>0.62068965517241381</v>
      </c>
    </row>
    <row r="12" spans="1:16" x14ac:dyDescent="0.3">
      <c r="A12" s="9" t="s">
        <v>11</v>
      </c>
      <c r="B12" s="10">
        <v>0.3264227181752955</v>
      </c>
      <c r="C12" s="10">
        <v>0.42713567839195982</v>
      </c>
      <c r="D12" s="10">
        <v>0.47712418300653597</v>
      </c>
      <c r="E12" s="10">
        <v>0.41566265060240964</v>
      </c>
      <c r="F12" s="10">
        <v>0.27247956403269757</v>
      </c>
      <c r="G12" s="10">
        <v>0.34246575342465752</v>
      </c>
      <c r="H12" s="10">
        <v>0.37931034482758619</v>
      </c>
      <c r="I12" s="9">
        <v>1</v>
      </c>
      <c r="J12" s="9">
        <f t="shared" si="1"/>
        <v>1</v>
      </c>
      <c r="K12" s="9">
        <f t="shared" si="1"/>
        <v>1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</row>
    <row r="15" spans="1:16" ht="28.8" x14ac:dyDescent="0.3">
      <c r="B15" s="11" t="s">
        <v>27</v>
      </c>
      <c r="C15" s="12" t="s">
        <v>35</v>
      </c>
      <c r="D15" s="12" t="s">
        <v>36</v>
      </c>
      <c r="E15" s="12" t="s">
        <v>37</v>
      </c>
      <c r="F15" s="12" t="s">
        <v>38</v>
      </c>
      <c r="G15" s="12" t="s">
        <v>39</v>
      </c>
      <c r="H15" s="12" t="s">
        <v>40</v>
      </c>
      <c r="J15" s="8"/>
      <c r="K15" s="13" t="s">
        <v>41</v>
      </c>
      <c r="L15" s="13" t="s">
        <v>42</v>
      </c>
      <c r="M15" s="13" t="s">
        <v>43</v>
      </c>
      <c r="N15" s="13" t="s">
        <v>44</v>
      </c>
      <c r="O15" s="13" t="s">
        <v>45</v>
      </c>
      <c r="P15" s="13" t="s">
        <v>46</v>
      </c>
    </row>
    <row r="16" spans="1:16" x14ac:dyDescent="0.3">
      <c r="B16" s="9" t="s">
        <v>9</v>
      </c>
      <c r="C16" s="9">
        <f>C2-B2</f>
        <v>-6.824381229544008E-3</v>
      </c>
      <c r="D16" s="9">
        <f>D2-B2</f>
        <v>-1.6874632485825415E-2</v>
      </c>
      <c r="E16" s="9">
        <f>E2-B2</f>
        <v>-4.8264397147410772E-3</v>
      </c>
      <c r="F16" s="9">
        <f>F2-B2</f>
        <v>2.1989369964634138E-3</v>
      </c>
      <c r="G16" s="9">
        <f>G2-B2</f>
        <v>-4.362763214418551E-4</v>
      </c>
      <c r="H16" s="9">
        <f>H2-B2</f>
        <v>-1.6874632485825415E-2</v>
      </c>
      <c r="J16" s="9" t="s">
        <v>9</v>
      </c>
      <c r="K16" s="8">
        <f>(J2-0) * ((K2+0))</f>
        <v>1.6959429633995392E-4</v>
      </c>
      <c r="L16" s="8">
        <f>(J2-0) * ((L2+0))</f>
        <v>0</v>
      </c>
      <c r="M16" s="8">
        <f>(J2-0) * ((M2+0))</f>
        <v>2.0330882513042671E-4</v>
      </c>
      <c r="N16" s="8">
        <f>(J2-0) * ((N2+0))</f>
        <v>3.2185947520647933E-4</v>
      </c>
      <c r="O16" s="8">
        <f>(J2-0) * ((O2+0))</f>
        <v>2.7739121894507527E-4</v>
      </c>
      <c r="P16" s="8">
        <f>(J2-0) * ((P2+0))</f>
        <v>0</v>
      </c>
    </row>
    <row r="17" spans="2:16" x14ac:dyDescent="0.3">
      <c r="B17" s="9" t="s">
        <v>18</v>
      </c>
      <c r="C17" s="9">
        <f t="shared" ref="C17:C26" si="2">C3-B3</f>
        <v>2.2217720310540822E-2</v>
      </c>
      <c r="D17" s="9">
        <f t="shared" ref="D17:D26" si="3">D3-B3</f>
        <v>8.8102700768385597E-2</v>
      </c>
      <c r="E17" s="9">
        <f t="shared" ref="E17:E26" si="4">E3-B3</f>
        <v>-1.0960217571641173E-2</v>
      </c>
      <c r="F17" s="9">
        <f t="shared" ref="F17:F26" si="5">F3-B3</f>
        <v>9.6891373411981917E-3</v>
      </c>
      <c r="G17" s="9">
        <f t="shared" ref="G17:G26" si="6">G3-B3</f>
        <v>1.2608028013438872E-2</v>
      </c>
      <c r="H17" s="9">
        <f t="shared" ref="H17:H26" si="7">H3-B3</f>
        <v>5.7272218411825344E-3</v>
      </c>
      <c r="J17" s="9" t="s">
        <v>18</v>
      </c>
      <c r="K17" s="8">
        <f>(J3-J2) * ((K3+K2))</f>
        <v>1.5030619821880991E-3</v>
      </c>
      <c r="L17" s="8">
        <f>(J3-J2) * ((L3+L2))</f>
        <v>2.5564900380806127E-3</v>
      </c>
      <c r="M17" s="8">
        <f>(J3-J2) * ((M3+M2))</f>
        <v>8.3162928949610305E-4</v>
      </c>
      <c r="N17" s="8">
        <f>(J3-J2) * ((N3+N2))</f>
        <v>1.630023621010527E-3</v>
      </c>
      <c r="O17" s="8">
        <f>(J3-J2) * ((O3+O2))</f>
        <v>1.5759185166250352E-3</v>
      </c>
      <c r="P17" s="8">
        <f>(J3-J2) * ((P3+P2))</f>
        <v>6.6116121674498606E-4</v>
      </c>
    </row>
    <row r="18" spans="2:16" x14ac:dyDescent="0.3">
      <c r="B18" s="9" t="s">
        <v>17</v>
      </c>
      <c r="C18" s="9">
        <f t="shared" si="2"/>
        <v>1.370350921123932E-2</v>
      </c>
      <c r="D18" s="9">
        <f t="shared" si="3"/>
        <v>-7.8913934064241582E-3</v>
      </c>
      <c r="E18" s="9">
        <f t="shared" si="4"/>
        <v>-3.9147023283865184E-3</v>
      </c>
      <c r="F18" s="9">
        <f t="shared" si="5"/>
        <v>6.8367503488072703E-3</v>
      </c>
      <c r="G18" s="9">
        <f t="shared" si="6"/>
        <v>4.3209801274642842E-3</v>
      </c>
      <c r="H18" s="9">
        <f t="shared" si="7"/>
        <v>-5.2995520721893161E-3</v>
      </c>
      <c r="J18" s="9" t="s">
        <v>17</v>
      </c>
      <c r="K18" s="8">
        <f t="shared" ref="K18:K26" si="8">(J4-J3) * ((K4+K3))</f>
        <v>5.3874789149098842E-3</v>
      </c>
      <c r="L18" s="8">
        <f t="shared" ref="L18:L26" si="9">(J4-J3) * ((L4+L3))</f>
        <v>8.4531830178542454E-3</v>
      </c>
      <c r="M18" s="8">
        <f t="shared" ref="M18:M26" si="10">(J4-J3) * ((M4+M3))</f>
        <v>2.6654059959594321E-3</v>
      </c>
      <c r="N18" s="8">
        <f t="shared" ref="N18:N26" si="11">(J4-J3) * ((N4+N3))</f>
        <v>4.9151628489731893E-3</v>
      </c>
      <c r="O18" s="8">
        <f t="shared" ref="O18:O26" si="12">(J4-J3) * ((O4+O3))</f>
        <v>4.8488481679919522E-3</v>
      </c>
      <c r="P18" s="8">
        <f t="shared" ref="P18:P26" si="13">(J4-J3) * ((P4+P3))</f>
        <v>2.9340676082842557E-3</v>
      </c>
    </row>
    <row r="19" spans="2:16" x14ac:dyDescent="0.3">
      <c r="B19" s="9" t="s">
        <v>15</v>
      </c>
      <c r="C19" s="9">
        <f t="shared" si="2"/>
        <v>-1.994164340505768E-2</v>
      </c>
      <c r="D19" s="9">
        <f t="shared" si="3"/>
        <v>-1.5409177152224889E-2</v>
      </c>
      <c r="E19" s="9">
        <f t="shared" si="4"/>
        <v>-2.2968827518395452E-2</v>
      </c>
      <c r="F19" s="9">
        <f t="shared" si="5"/>
        <v>-1.8668246447517939E-2</v>
      </c>
      <c r="G19" s="9">
        <f t="shared" si="6"/>
        <v>-1.5838938097698967E-2</v>
      </c>
      <c r="H19" s="9">
        <f t="shared" si="7"/>
        <v>-1.7775640979134963E-2</v>
      </c>
      <c r="J19" s="9" t="s">
        <v>15</v>
      </c>
      <c r="K19" s="8">
        <f t="shared" si="8"/>
        <v>7.7424567474226663E-3</v>
      </c>
      <c r="L19" s="8">
        <f t="shared" si="9"/>
        <v>1.0299123614552876E-2</v>
      </c>
      <c r="M19" s="8">
        <f t="shared" si="10"/>
        <v>4.2189181071662389E-3</v>
      </c>
      <c r="N19" s="8">
        <f t="shared" si="11"/>
        <v>7.0606525924291662E-3</v>
      </c>
      <c r="O19" s="8">
        <f t="shared" si="12"/>
        <v>7.0034040578959558E-3</v>
      </c>
      <c r="P19" s="8">
        <f t="shared" si="13"/>
        <v>4.6286865899887071E-3</v>
      </c>
    </row>
    <row r="20" spans="2:16" x14ac:dyDescent="0.3">
      <c r="B20" s="9" t="s">
        <v>14</v>
      </c>
      <c r="C20" s="9">
        <f t="shared" si="2"/>
        <v>4.0105960651249731E-3</v>
      </c>
      <c r="D20" s="9">
        <f t="shared" si="3"/>
        <v>-2.8143639163304757E-2</v>
      </c>
      <c r="E20" s="9">
        <f t="shared" si="4"/>
        <v>-2.9167341817057022E-2</v>
      </c>
      <c r="F20" s="9">
        <f t="shared" si="5"/>
        <v>-3.4359998323672813E-4</v>
      </c>
      <c r="G20" s="9">
        <f t="shared" si="6"/>
        <v>-2.2037452396360537E-2</v>
      </c>
      <c r="H20" s="9">
        <f t="shared" si="7"/>
        <v>-1.2479902404233315E-2</v>
      </c>
      <c r="J20" s="9" t="s">
        <v>14</v>
      </c>
      <c r="K20" s="8">
        <f t="shared" si="8"/>
        <v>1.1598341391637771E-2</v>
      </c>
      <c r="L20" s="8">
        <f t="shared" si="9"/>
        <v>1.3469128950372996E-2</v>
      </c>
      <c r="M20" s="8">
        <f t="shared" si="10"/>
        <v>5.9588724705746561E-3</v>
      </c>
      <c r="N20" s="8">
        <f t="shared" si="11"/>
        <v>1.0668871351153759E-2</v>
      </c>
      <c r="O20" s="8">
        <f t="shared" si="12"/>
        <v>9.8239767374473947E-3</v>
      </c>
      <c r="P20" s="8">
        <f t="shared" si="13"/>
        <v>7.3429975415654153E-3</v>
      </c>
    </row>
    <row r="21" spans="2:16" x14ac:dyDescent="0.3">
      <c r="B21" s="9" t="s">
        <v>8</v>
      </c>
      <c r="C21" s="9">
        <f t="shared" si="2"/>
        <v>-4.2514329782778054E-3</v>
      </c>
      <c r="D21" s="9">
        <f t="shared" si="3"/>
        <v>-1.528700298517504E-2</v>
      </c>
      <c r="E21" s="9">
        <f t="shared" si="4"/>
        <v>-6.3099181753474912E-3</v>
      </c>
      <c r="F21" s="9">
        <f t="shared" si="5"/>
        <v>5.721393199372115E-2</v>
      </c>
      <c r="G21" s="9">
        <f t="shared" si="6"/>
        <v>9.3442516219767208E-2</v>
      </c>
      <c r="H21" s="9">
        <f t="shared" si="7"/>
        <v>3.1704207292039301E-2</v>
      </c>
      <c r="J21" s="9" t="s">
        <v>8</v>
      </c>
      <c r="K21" s="8">
        <f t="shared" si="8"/>
        <v>2.0541214545107354E-2</v>
      </c>
      <c r="L21" s="8">
        <f t="shared" si="9"/>
        <v>2.0661150176873994E-2</v>
      </c>
      <c r="M21" s="8">
        <f t="shared" si="10"/>
        <v>1.1163201414634248E-2</v>
      </c>
      <c r="N21" s="8">
        <f t="shared" si="11"/>
        <v>2.2424812202213654E-2</v>
      </c>
      <c r="O21" s="8">
        <f t="shared" si="12"/>
        <v>2.2099720576529747E-2</v>
      </c>
      <c r="P21" s="8">
        <f t="shared" si="13"/>
        <v>1.5974926162321421E-2</v>
      </c>
    </row>
    <row r="22" spans="2:16" x14ac:dyDescent="0.3">
      <c r="B22" s="9" t="s">
        <v>16</v>
      </c>
      <c r="C22" s="9">
        <f t="shared" si="2"/>
        <v>5.7272367979067929E-3</v>
      </c>
      <c r="D22" s="9">
        <f t="shared" si="3"/>
        <v>-2.1385450823205303E-2</v>
      </c>
      <c r="E22" s="9">
        <f t="shared" si="4"/>
        <v>-4.9064795653506896E-2</v>
      </c>
      <c r="F22" s="9">
        <f t="shared" si="5"/>
        <v>-3.4439537126209702E-2</v>
      </c>
      <c r="G22" s="9">
        <f t="shared" si="6"/>
        <v>-2.8780920426571759E-2</v>
      </c>
      <c r="H22" s="9">
        <f t="shared" si="7"/>
        <v>7.575558868027521E-3</v>
      </c>
      <c r="J22" s="9" t="s">
        <v>16</v>
      </c>
      <c r="K22" s="8">
        <f t="shared" si="8"/>
        <v>3.3568542405066688E-2</v>
      </c>
      <c r="L22" s="8">
        <f t="shared" si="9"/>
        <v>3.115511778770896E-2</v>
      </c>
      <c r="M22" s="8">
        <f t="shared" si="10"/>
        <v>1.8199812147325318E-2</v>
      </c>
      <c r="N22" s="8">
        <f t="shared" si="11"/>
        <v>3.7318706542962432E-2</v>
      </c>
      <c r="O22" s="8">
        <f t="shared" si="12"/>
        <v>3.9730439230106336E-2</v>
      </c>
      <c r="P22" s="8">
        <f t="shared" si="13"/>
        <v>3.0481779885060564E-2</v>
      </c>
    </row>
    <row r="23" spans="2:16" x14ac:dyDescent="0.3">
      <c r="B23" s="9" t="s">
        <v>12</v>
      </c>
      <c r="C23" s="9">
        <f t="shared" si="2"/>
        <v>-3.0913426584713806E-2</v>
      </c>
      <c r="D23" s="9">
        <f t="shared" si="3"/>
        <v>-3.7925611693263091E-2</v>
      </c>
      <c r="E23" s="9">
        <f t="shared" si="4"/>
        <v>-2.3436281824769506E-2</v>
      </c>
      <c r="F23" s="9">
        <f t="shared" si="5"/>
        <v>-1.5557354672016799E-2</v>
      </c>
      <c r="G23" s="9">
        <f t="shared" si="6"/>
        <v>-2.6142999104848727E-2</v>
      </c>
      <c r="H23" s="9">
        <f t="shared" si="7"/>
        <v>-3.2174755652486647E-3</v>
      </c>
      <c r="J23" s="9" t="s">
        <v>12</v>
      </c>
      <c r="K23" s="8">
        <f t="shared" si="8"/>
        <v>5.2350839634089465E-2</v>
      </c>
      <c r="L23" s="8">
        <f t="shared" si="9"/>
        <v>4.6487358711217334E-2</v>
      </c>
      <c r="M23" s="8">
        <f t="shared" si="10"/>
        <v>2.9236628008741501E-2</v>
      </c>
      <c r="N23" s="8">
        <f t="shared" si="11"/>
        <v>5.4948818007972959E-2</v>
      </c>
      <c r="O23" s="8">
        <f t="shared" si="12"/>
        <v>5.7542434700624624E-2</v>
      </c>
      <c r="P23" s="8">
        <f t="shared" si="13"/>
        <v>5.0975793345403836E-2</v>
      </c>
    </row>
    <row r="24" spans="2:16" x14ac:dyDescent="0.3">
      <c r="B24" s="9" t="s">
        <v>10</v>
      </c>
      <c r="C24" s="9">
        <f t="shared" si="2"/>
        <v>-6.9113159273090002E-2</v>
      </c>
      <c r="D24" s="9">
        <f t="shared" si="3"/>
        <v>-8.2168632718749676E-2</v>
      </c>
      <c r="E24" s="9">
        <f t="shared" si="4"/>
        <v>-9.5752379470462404E-2</v>
      </c>
      <c r="F24" s="9">
        <f t="shared" si="5"/>
        <v>-5.5454949970445998E-2</v>
      </c>
      <c r="G24" s="9">
        <f t="shared" si="6"/>
        <v>-6.6160037499840202E-2</v>
      </c>
      <c r="H24" s="9">
        <f t="shared" si="7"/>
        <v>-5.0052337924970096E-2</v>
      </c>
      <c r="J24" s="9" t="s">
        <v>10</v>
      </c>
      <c r="K24" s="8">
        <f t="shared" si="8"/>
        <v>7.236870016896807E-2</v>
      </c>
      <c r="L24" s="8">
        <f t="shared" si="9"/>
        <v>6.3194543832159708E-2</v>
      </c>
      <c r="M24" s="8">
        <f t="shared" si="10"/>
        <v>4.2304679723279018E-2</v>
      </c>
      <c r="N24" s="8">
        <f t="shared" si="11"/>
        <v>7.8481587649180631E-2</v>
      </c>
      <c r="O24" s="8">
        <f t="shared" si="12"/>
        <v>7.9469303065647409E-2</v>
      </c>
      <c r="P24" s="8">
        <f t="shared" si="13"/>
        <v>7.5454973479451667E-2</v>
      </c>
    </row>
    <row r="25" spans="2:16" x14ac:dyDescent="0.3">
      <c r="B25" s="9" t="s">
        <v>13</v>
      </c>
      <c r="C25" s="9">
        <f t="shared" si="2"/>
        <v>-1.5327979130792896E-2</v>
      </c>
      <c r="D25" s="9">
        <f t="shared" si="3"/>
        <v>-1.3718625171453724E-2</v>
      </c>
      <c r="E25" s="9">
        <f t="shared" si="4"/>
        <v>0.15716097164719339</v>
      </c>
      <c r="F25" s="9">
        <f t="shared" si="5"/>
        <v>0.10246808566183507</v>
      </c>
      <c r="G25" s="9">
        <f t="shared" si="6"/>
        <v>3.2982064236729641E-2</v>
      </c>
      <c r="H25" s="9">
        <f t="shared" si="7"/>
        <v>7.804926778061716E-3</v>
      </c>
      <c r="J25" s="9" t="s">
        <v>13</v>
      </c>
      <c r="K25" s="8">
        <f t="shared" si="8"/>
        <v>0.20437489849350332</v>
      </c>
      <c r="L25" s="8">
        <f t="shared" si="9"/>
        <v>0.18239841535345305</v>
      </c>
      <c r="M25" s="8">
        <f t="shared" si="10"/>
        <v>0.17202383470992519</v>
      </c>
      <c r="N25" s="8">
        <f t="shared" si="11"/>
        <v>0.24580616559925778</v>
      </c>
      <c r="O25" s="8">
        <f t="shared" si="12"/>
        <v>0.23055764015273372</v>
      </c>
      <c r="P25" s="8">
        <f t="shared" si="13"/>
        <v>0.22006288364015247</v>
      </c>
    </row>
    <row r="26" spans="2:16" x14ac:dyDescent="0.3">
      <c r="B26" s="9" t="s">
        <v>11</v>
      </c>
      <c r="C26" s="9">
        <f t="shared" si="2"/>
        <v>0.10071296021666432</v>
      </c>
      <c r="D26" s="9">
        <f t="shared" si="3"/>
        <v>0.15070146483124047</v>
      </c>
      <c r="E26" s="9">
        <f t="shared" si="4"/>
        <v>8.9239932427114144E-2</v>
      </c>
      <c r="F26" s="9">
        <f t="shared" si="5"/>
        <v>-5.3943154142597927E-2</v>
      </c>
      <c r="G26" s="9">
        <f t="shared" si="6"/>
        <v>1.6043035249362014E-2</v>
      </c>
      <c r="H26" s="9">
        <f t="shared" si="7"/>
        <v>5.2887626652290687E-2</v>
      </c>
      <c r="J26" s="9" t="s">
        <v>11</v>
      </c>
      <c r="K26" s="8">
        <f t="shared" si="8"/>
        <v>0.51341864718023855</v>
      </c>
      <c r="L26" s="8">
        <f t="shared" si="9"/>
        <v>0.49710126362643031</v>
      </c>
      <c r="M26" s="8">
        <f t="shared" si="10"/>
        <v>0.51716370409700418</v>
      </c>
      <c r="N26" s="8">
        <f t="shared" si="11"/>
        <v>0.5639019164118183</v>
      </c>
      <c r="O26" s="8">
        <f t="shared" si="12"/>
        <v>0.54105683423576367</v>
      </c>
      <c r="P26" s="8">
        <f t="shared" si="13"/>
        <v>0.52902992255996151</v>
      </c>
    </row>
    <row r="27" spans="2:16" x14ac:dyDescent="0.3">
      <c r="J27" s="14" t="s">
        <v>47</v>
      </c>
      <c r="K27" s="13">
        <f>SUM(K16:K26)</f>
        <v>0.92302377575947181</v>
      </c>
      <c r="L27" s="13">
        <f t="shared" ref="L27:P27" si="14">SUM(L16:L26)</f>
        <v>0.87577577510870408</v>
      </c>
      <c r="M27" s="13">
        <f t="shared" si="14"/>
        <v>0.80396999478923625</v>
      </c>
      <c r="N27" s="13">
        <f t="shared" si="14"/>
        <v>1.0274785763021788</v>
      </c>
      <c r="O27" s="13">
        <f t="shared" si="14"/>
        <v>0.99398591066031095</v>
      </c>
      <c r="P27" s="13">
        <f t="shared" si="14"/>
        <v>0.93754719202893488</v>
      </c>
    </row>
    <row r="28" spans="2:16" x14ac:dyDescent="0.3">
      <c r="J28" s="15" t="s">
        <v>48</v>
      </c>
      <c r="K28" s="16">
        <f>1-K27</f>
        <v>7.697622424052819E-2</v>
      </c>
      <c r="L28" s="16">
        <f t="shared" ref="L28:P28" si="15">1-L27</f>
        <v>0.12422422489129592</v>
      </c>
      <c r="M28" s="16">
        <f t="shared" si="15"/>
        <v>0.19603000521076375</v>
      </c>
      <c r="N28" s="16">
        <f t="shared" si="15"/>
        <v>-2.7478576302178759E-2</v>
      </c>
      <c r="O28" s="16">
        <f t="shared" si="15"/>
        <v>6.0140893396890549E-3</v>
      </c>
      <c r="P28" s="16">
        <f t="shared" si="15"/>
        <v>6.2452807971065116E-2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ABEB-1DDC-472B-B05A-4B33E5481984}">
  <dimension ref="A1:P21"/>
  <sheetViews>
    <sheetView workbookViewId="0">
      <selection activeCell="N1" activeCellId="1" sqref="I1:J9 N1:P9"/>
    </sheetView>
  </sheetViews>
  <sheetFormatPr defaultRowHeight="14.4" x14ac:dyDescent="0.3"/>
  <sheetData>
    <row r="1" spans="1:16" ht="36.6" customHeight="1" x14ac:dyDescent="0.3">
      <c r="A1" s="1" t="s">
        <v>27</v>
      </c>
      <c r="B1" s="2" t="s">
        <v>28</v>
      </c>
      <c r="C1" s="3" t="s">
        <v>29</v>
      </c>
      <c r="D1" s="3" t="s">
        <v>30</v>
      </c>
      <c r="E1" s="3" t="s">
        <v>31</v>
      </c>
      <c r="F1" s="2" t="s">
        <v>32</v>
      </c>
      <c r="G1" s="3" t="s">
        <v>33</v>
      </c>
      <c r="H1" s="3" t="s">
        <v>34</v>
      </c>
      <c r="I1" s="4" t="s">
        <v>28</v>
      </c>
      <c r="J1" s="5" t="s">
        <v>28</v>
      </c>
      <c r="K1" s="6" t="s">
        <v>29</v>
      </c>
      <c r="L1" s="6" t="s">
        <v>30</v>
      </c>
      <c r="M1" s="6" t="s">
        <v>31</v>
      </c>
      <c r="N1" s="7" t="s">
        <v>32</v>
      </c>
      <c r="O1" s="6" t="s">
        <v>33</v>
      </c>
      <c r="P1" s="6" t="s">
        <v>34</v>
      </c>
    </row>
    <row r="2" spans="1:16" x14ac:dyDescent="0.3">
      <c r="A2" s="9" t="s">
        <v>20</v>
      </c>
      <c r="B2" s="10">
        <v>4.6394823216100358E-3</v>
      </c>
      <c r="C2" s="10">
        <v>6.3492063492063492E-3</v>
      </c>
      <c r="D2" s="10">
        <v>4.9099836333878887E-3</v>
      </c>
      <c r="E2" s="10">
        <v>3.2414910858995136E-3</v>
      </c>
      <c r="F2" s="10">
        <v>9.2951200619674663E-3</v>
      </c>
      <c r="G2" s="10">
        <v>3.9840637450199202E-3</v>
      </c>
      <c r="H2" s="10">
        <v>5.3667262969588547E-3</v>
      </c>
      <c r="I2" s="9">
        <v>4.6394823216100358E-3</v>
      </c>
      <c r="J2" s="10">
        <v>4.6394823216100358E-3</v>
      </c>
      <c r="K2" s="10">
        <v>6.3492063492063492E-3</v>
      </c>
      <c r="L2" s="10">
        <v>4.9099836333878887E-3</v>
      </c>
      <c r="M2" s="10">
        <v>3.2414910858995136E-3</v>
      </c>
      <c r="N2" s="10">
        <v>9.2951200619674663E-3</v>
      </c>
      <c r="O2" s="10">
        <v>3.9840637450199202E-3</v>
      </c>
      <c r="P2" s="10">
        <v>5.3667262969588547E-3</v>
      </c>
    </row>
    <row r="3" spans="1:16" x14ac:dyDescent="0.3">
      <c r="A3" s="9" t="s">
        <v>26</v>
      </c>
      <c r="B3" s="10">
        <v>9.554623713688341E-3</v>
      </c>
      <c r="C3" s="10">
        <v>1.6666666666666666E-2</v>
      </c>
      <c r="D3" s="10">
        <v>3.2733224222585926E-3</v>
      </c>
      <c r="E3" s="10">
        <v>1.6207455429497568E-3</v>
      </c>
      <c r="F3" s="10">
        <v>8.5205267234701784E-3</v>
      </c>
      <c r="G3" s="10">
        <v>8.9641434262948214E-3</v>
      </c>
      <c r="H3" s="10">
        <v>1.7889087656529516E-2</v>
      </c>
      <c r="I3" s="9">
        <v>1.4194106035298377E-2</v>
      </c>
      <c r="J3" s="9">
        <f t="shared" ref="J3:P9" si="0">J2+B3</f>
        <v>1.4194106035298377E-2</v>
      </c>
      <c r="K3" s="9">
        <f t="shared" si="0"/>
        <v>2.3015873015873017E-2</v>
      </c>
      <c r="L3" s="17">
        <f t="shared" si="0"/>
        <v>8.1833060556464818E-3</v>
      </c>
      <c r="M3" s="9">
        <f t="shared" si="0"/>
        <v>4.8622366288492702E-3</v>
      </c>
      <c r="N3" s="9">
        <f t="shared" si="0"/>
        <v>1.7815646785437643E-2</v>
      </c>
      <c r="O3" s="9">
        <f t="shared" si="0"/>
        <v>1.2948207171314742E-2</v>
      </c>
      <c r="P3" s="9">
        <f t="shared" si="0"/>
        <v>2.3255813953488372E-2</v>
      </c>
    </row>
    <row r="4" spans="1:16" x14ac:dyDescent="0.3">
      <c r="A4" s="9" t="s">
        <v>23</v>
      </c>
      <c r="B4" s="10">
        <v>1.6345648441241402E-2</v>
      </c>
      <c r="C4" s="10">
        <v>1.1904761904761904E-2</v>
      </c>
      <c r="D4" s="10">
        <v>1.4729950900163666E-2</v>
      </c>
      <c r="E4" s="10">
        <v>9.7244732576985422E-3</v>
      </c>
      <c r="F4" s="10">
        <v>6.1967467079783118E-3</v>
      </c>
      <c r="G4" s="10">
        <v>2.091633466135458E-2</v>
      </c>
      <c r="H4" s="10">
        <v>1.0733452593917709E-2</v>
      </c>
      <c r="I4" s="9">
        <v>3.0539754476539779E-2</v>
      </c>
      <c r="J4" s="9">
        <f t="shared" si="0"/>
        <v>3.0539754476539779E-2</v>
      </c>
      <c r="K4" s="9">
        <f t="shared" si="0"/>
        <v>3.4920634920634921E-2</v>
      </c>
      <c r="L4" s="17">
        <f t="shared" si="0"/>
        <v>2.2913256955810146E-2</v>
      </c>
      <c r="M4" s="9">
        <f t="shared" si="0"/>
        <v>1.4586709886547812E-2</v>
      </c>
      <c r="N4" s="9">
        <f t="shared" si="0"/>
        <v>2.4012393493415954E-2</v>
      </c>
      <c r="O4" s="9">
        <f t="shared" si="0"/>
        <v>3.386454183266932E-2</v>
      </c>
      <c r="P4" s="9">
        <f t="shared" si="0"/>
        <v>3.3989266547406083E-2</v>
      </c>
    </row>
    <row r="5" spans="1:16" x14ac:dyDescent="0.3">
      <c r="A5" s="9" t="s">
        <v>21</v>
      </c>
      <c r="B5" s="10">
        <v>1.958347447233481E-2</v>
      </c>
      <c r="C5" s="10">
        <v>1.6666666666666666E-2</v>
      </c>
      <c r="D5" s="10">
        <v>1.3093289689034371E-2</v>
      </c>
      <c r="E5" s="10">
        <v>1.1345218800648298E-2</v>
      </c>
      <c r="F5" s="10">
        <v>2.2463206816421378E-2</v>
      </c>
      <c r="G5" s="10">
        <v>1.2948207171314742E-2</v>
      </c>
      <c r="H5" s="10">
        <v>8.9445438282647581E-3</v>
      </c>
      <c r="I5" s="9">
        <v>5.0123228948874589E-2</v>
      </c>
      <c r="J5" s="9">
        <f t="shared" si="0"/>
        <v>5.0123228948874589E-2</v>
      </c>
      <c r="K5" s="9">
        <f t="shared" si="0"/>
        <v>5.1587301587301584E-2</v>
      </c>
      <c r="L5" s="17">
        <f t="shared" si="0"/>
        <v>3.6006546644844518E-2</v>
      </c>
      <c r="M5" s="9">
        <f t="shared" si="0"/>
        <v>2.5931928687196112E-2</v>
      </c>
      <c r="N5" s="9">
        <f t="shared" si="0"/>
        <v>4.6475600309837328E-2</v>
      </c>
      <c r="O5" s="9">
        <f t="shared" si="0"/>
        <v>4.6812749003984064E-2</v>
      </c>
      <c r="P5" s="9">
        <f t="shared" si="0"/>
        <v>4.2933810375670844E-2</v>
      </c>
    </row>
    <row r="6" spans="1:16" x14ac:dyDescent="0.3">
      <c r="A6" s="9" t="s">
        <v>24</v>
      </c>
      <c r="B6" s="10">
        <v>2.5683015429899664E-2</v>
      </c>
      <c r="C6" s="10">
        <v>1.1111111111111112E-2</v>
      </c>
      <c r="D6" s="10">
        <v>9.8199672667757774E-3</v>
      </c>
      <c r="E6" s="10">
        <v>8.1037277147487843E-3</v>
      </c>
      <c r="F6" s="10">
        <v>1.0844306738962044E-2</v>
      </c>
      <c r="G6" s="10">
        <v>1.1952191235059761E-2</v>
      </c>
      <c r="H6" s="10">
        <v>2.3255813953488372E-2</v>
      </c>
      <c r="I6" s="9">
        <v>7.5806244378774257E-2</v>
      </c>
      <c r="J6" s="9">
        <f t="shared" si="0"/>
        <v>7.5806244378774257E-2</v>
      </c>
      <c r="K6" s="9">
        <f t="shared" si="0"/>
        <v>6.2698412698412698E-2</v>
      </c>
      <c r="L6" s="17">
        <f t="shared" si="0"/>
        <v>4.5826513911620292E-2</v>
      </c>
      <c r="M6" s="9">
        <f t="shared" si="0"/>
        <v>3.4035656401944898E-2</v>
      </c>
      <c r="N6" s="9">
        <f t="shared" si="0"/>
        <v>5.7319907048799371E-2</v>
      </c>
      <c r="O6" s="9">
        <f t="shared" si="0"/>
        <v>5.8764940239043828E-2</v>
      </c>
      <c r="P6" s="9">
        <f t="shared" si="0"/>
        <v>6.6189624329159216E-2</v>
      </c>
    </row>
    <row r="7" spans="1:16" x14ac:dyDescent="0.3">
      <c r="A7" s="9" t="s">
        <v>25</v>
      </c>
      <c r="B7" s="10">
        <v>6.2037307418265915E-2</v>
      </c>
      <c r="C7" s="10">
        <v>0.11031746031746031</v>
      </c>
      <c r="D7" s="10">
        <v>9.1653027823240585E-2</v>
      </c>
      <c r="E7" s="10">
        <v>0.10210696920583469</v>
      </c>
      <c r="F7" s="10">
        <v>0.12780790085205268</v>
      </c>
      <c r="G7" s="10">
        <v>0.12350597609561753</v>
      </c>
      <c r="H7" s="10">
        <v>0.12522361359570661</v>
      </c>
      <c r="I7" s="9">
        <v>0.13784355179704016</v>
      </c>
      <c r="J7" s="9">
        <f t="shared" si="0"/>
        <v>0.13784355179704016</v>
      </c>
      <c r="K7" s="9">
        <f t="shared" si="0"/>
        <v>0.17301587301587301</v>
      </c>
      <c r="L7" s="17">
        <f t="shared" si="0"/>
        <v>0.13747954173486088</v>
      </c>
      <c r="M7" s="9">
        <f t="shared" si="0"/>
        <v>0.13614262560777959</v>
      </c>
      <c r="N7" s="9">
        <f t="shared" si="0"/>
        <v>0.18512780790085204</v>
      </c>
      <c r="O7" s="9">
        <f t="shared" si="0"/>
        <v>0.18227091633466136</v>
      </c>
      <c r="P7" s="9">
        <f t="shared" si="0"/>
        <v>0.19141323792486581</v>
      </c>
    </row>
    <row r="8" spans="1:16" x14ac:dyDescent="0.3">
      <c r="A8" s="9" t="s">
        <v>22</v>
      </c>
      <c r="B8" s="10">
        <v>6.7237452256082603E-2</v>
      </c>
      <c r="C8" s="10">
        <v>0.1246031746031746</v>
      </c>
      <c r="D8" s="10">
        <v>0.16366612111292964</v>
      </c>
      <c r="E8" s="10">
        <v>0.19773095623987033</v>
      </c>
      <c r="F8" s="10">
        <v>0.16498838109992253</v>
      </c>
      <c r="G8" s="10">
        <v>0.12350597609561753</v>
      </c>
      <c r="H8" s="10">
        <v>9.1234347048300538E-2</v>
      </c>
      <c r="I8" s="9">
        <v>0.20508100405312277</v>
      </c>
      <c r="J8" s="9">
        <f t="shared" si="0"/>
        <v>0.20508100405312277</v>
      </c>
      <c r="K8" s="9">
        <f t="shared" si="0"/>
        <v>0.29761904761904762</v>
      </c>
      <c r="L8" s="17">
        <f t="shared" si="0"/>
        <v>0.30114566284779054</v>
      </c>
      <c r="M8" s="9">
        <f t="shared" si="0"/>
        <v>0.33387358184764993</v>
      </c>
      <c r="N8" s="9">
        <f t="shared" si="0"/>
        <v>0.35011618900077457</v>
      </c>
      <c r="O8" s="9">
        <f t="shared" si="0"/>
        <v>0.30577689243027889</v>
      </c>
      <c r="P8" s="9">
        <f t="shared" si="0"/>
        <v>0.28264758497316633</v>
      </c>
    </row>
    <row r="9" spans="1:16" x14ac:dyDescent="0.3">
      <c r="A9" s="9" t="s">
        <v>19</v>
      </c>
      <c r="B9" s="10">
        <v>0.7949189959468772</v>
      </c>
      <c r="C9" s="10">
        <v>0.70238095238095233</v>
      </c>
      <c r="D9" s="10">
        <v>0.69885433715220946</v>
      </c>
      <c r="E9" s="10">
        <v>0.66612641815235007</v>
      </c>
      <c r="F9" s="10">
        <v>0.64988381099922543</v>
      </c>
      <c r="G9" s="10">
        <v>0.69422310756972117</v>
      </c>
      <c r="H9" s="10">
        <v>0.71735241502683367</v>
      </c>
      <c r="I9" s="9">
        <v>1</v>
      </c>
      <c r="J9" s="9">
        <f t="shared" si="0"/>
        <v>1</v>
      </c>
      <c r="K9" s="9">
        <f t="shared" si="0"/>
        <v>1</v>
      </c>
      <c r="L9" s="17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1" t="s">
        <v>27</v>
      </c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40</v>
      </c>
      <c r="J11" s="8"/>
      <c r="K11" s="13" t="s">
        <v>41</v>
      </c>
      <c r="L11" s="13" t="s">
        <v>42</v>
      </c>
      <c r="M11" s="13" t="s">
        <v>43</v>
      </c>
      <c r="N11" s="13" t="s">
        <v>44</v>
      </c>
      <c r="O11" s="13" t="s">
        <v>45</v>
      </c>
      <c r="P11" s="13" t="s">
        <v>46</v>
      </c>
    </row>
    <row r="12" spans="1:16" x14ac:dyDescent="0.3">
      <c r="B12" s="8" t="s">
        <v>49</v>
      </c>
      <c r="C12" s="9">
        <f>C2-B2</f>
        <v>1.7097240275963134E-3</v>
      </c>
      <c r="D12" s="9">
        <f>D2-B2</f>
        <v>2.7050131177785292E-4</v>
      </c>
      <c r="E12" s="9">
        <f>E2-B2</f>
        <v>-1.3979912357105222E-3</v>
      </c>
      <c r="F12" s="9">
        <f>F2-B2</f>
        <v>4.6556377403574305E-3</v>
      </c>
      <c r="G12" s="9">
        <f>G2-B2</f>
        <v>-6.5541857659011556E-4</v>
      </c>
      <c r="H12" s="9">
        <f>H2-B2</f>
        <v>7.2724397534881888E-4</v>
      </c>
      <c r="J12" s="8" t="s">
        <v>49</v>
      </c>
      <c r="K12" s="8">
        <f>(J2-0) * (K2+0)</f>
        <v>2.9457030613397054E-5</v>
      </c>
      <c r="L12" s="8">
        <f t="shared" ref="L12" si="1">(K2-0) * (L2+0)</f>
        <v>3.1174499259605646E-5</v>
      </c>
      <c r="M12" s="8">
        <f>(J2-0) * (M2+0)</f>
        <v>1.5038840588687311E-5</v>
      </c>
      <c r="N12" s="8">
        <f>(J2-0) * (N2+0)</f>
        <v>4.312454520474084E-5</v>
      </c>
      <c r="O12" s="8">
        <f>(J2-0) * (O2+0)</f>
        <v>1.8483993313187392E-5</v>
      </c>
      <c r="P12" s="8">
        <f>(J2-0) * (P2+0)</f>
        <v>2.4898831779660297E-5</v>
      </c>
    </row>
    <row r="13" spans="1:16" x14ac:dyDescent="0.3">
      <c r="B13" s="8" t="s">
        <v>50</v>
      </c>
      <c r="C13" s="9">
        <f t="shared" ref="C13:C19" si="2">C3-B3</f>
        <v>7.1120429529783254E-3</v>
      </c>
      <c r="D13" s="9">
        <f t="shared" ref="D13:D19" si="3">D3-B3</f>
        <v>-6.2813012914297479E-3</v>
      </c>
      <c r="E13" s="9">
        <f t="shared" ref="E13:E19" si="4">E3-B3</f>
        <v>-7.9338781707385848E-3</v>
      </c>
      <c r="F13" s="9">
        <f t="shared" ref="F13:F19" si="5">F3-B3</f>
        <v>-1.0340969902181626E-3</v>
      </c>
      <c r="G13" s="9">
        <f t="shared" ref="G13:G19" si="6">G3-B3</f>
        <v>-5.9048028739351957E-4</v>
      </c>
      <c r="H13" s="9">
        <f t="shared" ref="H13:H19" si="7">H3-B3</f>
        <v>8.3344639428411752E-3</v>
      </c>
      <c r="J13" s="8" t="s">
        <v>50</v>
      </c>
      <c r="K13" s="8">
        <f>(J3-J2) * (K3+K2)</f>
        <v>2.8057228365592745E-4</v>
      </c>
      <c r="L13" s="8">
        <f>(J3-J2) * (L3+L2)</f>
        <v>1.2510145615303884E-4</v>
      </c>
      <c r="M13" s="8">
        <f>(J3-J2) * (M3+M2)</f>
        <v>7.7428068992612165E-5</v>
      </c>
      <c r="N13" s="8">
        <f>(J3-J2) * (N3+N2)</f>
        <v>2.5903317581649259E-4</v>
      </c>
      <c r="O13" s="8">
        <f>(J3-J2) * (O3+O2)</f>
        <v>1.6178147722380656E-4</v>
      </c>
      <c r="P13" s="8">
        <f>(J3-J2) * (P3+P2)</f>
        <v>2.7347760182292212E-4</v>
      </c>
    </row>
    <row r="14" spans="1:16" x14ac:dyDescent="0.3">
      <c r="B14" s="8" t="s">
        <v>51</v>
      </c>
      <c r="C14" s="9">
        <f t="shared" si="2"/>
        <v>-4.4408865364794978E-3</v>
      </c>
      <c r="D14" s="9">
        <f t="shared" si="3"/>
        <v>-1.6156975410777357E-3</v>
      </c>
      <c r="E14" s="9">
        <f t="shared" si="4"/>
        <v>-6.6211751835428597E-3</v>
      </c>
      <c r="F14" s="9">
        <f t="shared" si="5"/>
        <v>-1.0148901733263091E-2</v>
      </c>
      <c r="G14" s="9">
        <f t="shared" si="6"/>
        <v>4.5706862201131786E-3</v>
      </c>
      <c r="H14" s="9">
        <f t="shared" si="7"/>
        <v>-5.6121958473236925E-3</v>
      </c>
      <c r="J14" s="8" t="s">
        <v>51</v>
      </c>
      <c r="K14" s="8">
        <f t="shared" ref="K14:K19" si="8">(J4-J3) * (K4+K3)</f>
        <v>9.470097906433511E-4</v>
      </c>
      <c r="L14" s="8">
        <f t="shared" ref="L14:L19" si="9">(J4-J3) * (L4+L3)</f>
        <v>5.0829348671618108E-4</v>
      </c>
      <c r="M14" s="8">
        <f t="shared" ref="M14:M19" si="10">(J4-J3) * (M4+M3)</f>
        <v>3.1790564229318771E-4</v>
      </c>
      <c r="N14" s="8">
        <f t="shared" ref="N14:N19" si="11">(J4-J3) * (N4+N3)</f>
        <v>6.837064413842259E-4</v>
      </c>
      <c r="O14" s="8">
        <f t="shared" ref="O14:O19" si="12">(J4-J3) * (O4+O3)</f>
        <v>7.6518473778719714E-4</v>
      </c>
      <c r="P14" s="8">
        <f t="shared" ref="P14:P19" si="13">(J4-J3) * (P4+P3)</f>
        <v>9.3570796085818407E-4</v>
      </c>
    </row>
    <row r="15" spans="1:16" x14ac:dyDescent="0.3">
      <c r="B15" s="8" t="s">
        <v>52</v>
      </c>
      <c r="C15" s="9">
        <f t="shared" si="2"/>
        <v>-2.9168078056681437E-3</v>
      </c>
      <c r="D15" s="9">
        <f t="shared" si="3"/>
        <v>-6.4901847833004397E-3</v>
      </c>
      <c r="E15" s="9">
        <f t="shared" si="4"/>
        <v>-8.2382556716865118E-3</v>
      </c>
      <c r="F15" s="9">
        <f t="shared" si="5"/>
        <v>2.8797323440865677E-3</v>
      </c>
      <c r="G15" s="9">
        <f t="shared" si="6"/>
        <v>-6.6352673010200685E-3</v>
      </c>
      <c r="H15" s="9">
        <f t="shared" si="7"/>
        <v>-1.0638930644070052E-2</v>
      </c>
      <c r="J15" s="8" t="s">
        <v>52</v>
      </c>
      <c r="K15" s="8">
        <f t="shared" si="8"/>
        <v>1.694125966257535E-3</v>
      </c>
      <c r="L15" s="8">
        <f t="shared" si="9"/>
        <v>1.1538544697284013E-3</v>
      </c>
      <c r="M15" s="8">
        <f t="shared" si="10"/>
        <v>7.9349572416267467E-4</v>
      </c>
      <c r="N15" s="8">
        <f t="shared" si="11"/>
        <v>1.380399827252105E-3</v>
      </c>
      <c r="O15" s="8">
        <f t="shared" si="12"/>
        <v>1.5799416655967327E-3</v>
      </c>
      <c r="P15" s="8">
        <f t="shared" si="13"/>
        <v>1.5064211132565239E-3</v>
      </c>
    </row>
    <row r="16" spans="1:16" x14ac:dyDescent="0.3">
      <c r="B16" s="8" t="s">
        <v>53</v>
      </c>
      <c r="C16" s="9">
        <f t="shared" si="2"/>
        <v>-1.4571904318788553E-2</v>
      </c>
      <c r="D16" s="9">
        <f t="shared" si="3"/>
        <v>-1.5863048163123887E-2</v>
      </c>
      <c r="E16" s="9">
        <f t="shared" si="4"/>
        <v>-1.7579287715150882E-2</v>
      </c>
      <c r="F16" s="9">
        <f t="shared" si="5"/>
        <v>-1.483870869093762E-2</v>
      </c>
      <c r="G16" s="9">
        <f t="shared" si="6"/>
        <v>-1.3730824194839904E-2</v>
      </c>
      <c r="H16" s="9">
        <f t="shared" si="7"/>
        <v>-2.4272014764112927E-3</v>
      </c>
      <c r="J16" s="8" t="s">
        <v>53</v>
      </c>
      <c r="K16" s="8">
        <f t="shared" si="8"/>
        <v>2.9352017634171048E-3</v>
      </c>
      <c r="L16" s="8">
        <f t="shared" si="9"/>
        <v>2.1017197569475994E-3</v>
      </c>
      <c r="M16" s="8">
        <f t="shared" si="10"/>
        <v>1.5401484131382299E-3</v>
      </c>
      <c r="N16" s="8">
        <f t="shared" si="11"/>
        <v>2.6657816170461307E-3</v>
      </c>
      <c r="O16" s="8">
        <f t="shared" si="12"/>
        <v>2.7115534218818374E-3</v>
      </c>
      <c r="P16" s="8">
        <f t="shared" si="13"/>
        <v>2.8026188572877996E-3</v>
      </c>
    </row>
    <row r="17" spans="2:16" x14ac:dyDescent="0.3">
      <c r="B17" s="8" t="s">
        <v>54</v>
      </c>
      <c r="C17" s="9">
        <f t="shared" si="2"/>
        <v>4.8280152899194399E-2</v>
      </c>
      <c r="D17" s="9">
        <f t="shared" si="3"/>
        <v>2.961572040497467E-2</v>
      </c>
      <c r="E17" s="9">
        <f t="shared" si="4"/>
        <v>4.0069661787568774E-2</v>
      </c>
      <c r="F17" s="9">
        <f t="shared" si="5"/>
        <v>6.5770593433786773E-2</v>
      </c>
      <c r="G17" s="9">
        <f t="shared" si="6"/>
        <v>6.1468668677351616E-2</v>
      </c>
      <c r="H17" s="9">
        <f t="shared" si="7"/>
        <v>6.3186306177440699E-2</v>
      </c>
      <c r="J17" s="8" t="s">
        <v>54</v>
      </c>
      <c r="K17" s="8">
        <f t="shared" si="8"/>
        <v>1.4623079605734106E-2</v>
      </c>
      <c r="L17" s="8">
        <f t="shared" si="9"/>
        <v>1.137181412577051E-2</v>
      </c>
      <c r="M17" s="8">
        <f t="shared" si="10"/>
        <v>1.0557402396949628E-2</v>
      </c>
      <c r="N17" s="8">
        <f t="shared" si="11"/>
        <v>1.5040803425187627E-2</v>
      </c>
      <c r="O17" s="8">
        <f t="shared" si="12"/>
        <v>1.4953215533087998E-2</v>
      </c>
      <c r="P17" s="8">
        <f t="shared" si="13"/>
        <v>1.5980987957478158E-2</v>
      </c>
    </row>
    <row r="18" spans="2:16" x14ac:dyDescent="0.3">
      <c r="B18" s="8" t="s">
        <v>55</v>
      </c>
      <c r="C18" s="9">
        <f t="shared" si="2"/>
        <v>5.7365722347092002E-2</v>
      </c>
      <c r="D18" s="9">
        <f t="shared" si="3"/>
        <v>9.6428668856847033E-2</v>
      </c>
      <c r="E18" s="9">
        <f t="shared" si="4"/>
        <v>0.13049350398378773</v>
      </c>
      <c r="F18" s="9">
        <f t="shared" si="5"/>
        <v>9.7750928843839929E-2</v>
      </c>
      <c r="G18" s="9">
        <f t="shared" si="6"/>
        <v>5.6268523839534929E-2</v>
      </c>
      <c r="H18" s="9">
        <f t="shared" si="7"/>
        <v>2.3996894792217935E-2</v>
      </c>
      <c r="J18" s="8" t="s">
        <v>55</v>
      </c>
      <c r="K18" s="8">
        <f t="shared" si="8"/>
        <v>3.1644293006235703E-2</v>
      </c>
      <c r="L18" s="8">
        <f t="shared" si="9"/>
        <v>2.949204125144049E-2</v>
      </c>
      <c r="M18" s="8">
        <f t="shared" si="10"/>
        <v>3.1602692308369457E-2</v>
      </c>
      <c r="N18" s="8">
        <f t="shared" si="11"/>
        <v>3.5988442687027944E-2</v>
      </c>
      <c r="O18" s="8">
        <f t="shared" si="12"/>
        <v>3.2815091240518401E-2</v>
      </c>
      <c r="P18" s="8">
        <f t="shared" si="13"/>
        <v>3.1874641946085663E-2</v>
      </c>
    </row>
    <row r="19" spans="2:16" x14ac:dyDescent="0.3">
      <c r="B19" s="8" t="s">
        <v>56</v>
      </c>
      <c r="C19" s="9">
        <f t="shared" si="2"/>
        <v>-9.2538043565924877E-2</v>
      </c>
      <c r="D19" s="9">
        <f t="shared" si="3"/>
        <v>-9.6064658794667745E-2</v>
      </c>
      <c r="E19" s="9">
        <f t="shared" si="4"/>
        <v>-0.12879257779452713</v>
      </c>
      <c r="F19" s="9">
        <f t="shared" si="5"/>
        <v>-0.14503518494765177</v>
      </c>
      <c r="G19" s="9">
        <f t="shared" si="6"/>
        <v>-0.10069588837715604</v>
      </c>
      <c r="H19" s="9">
        <f t="shared" si="7"/>
        <v>-7.7566580920043537E-2</v>
      </c>
      <c r="J19" s="8" t="s">
        <v>56</v>
      </c>
      <c r="K19" s="8">
        <f t="shared" si="8"/>
        <v>1.0315020304548763</v>
      </c>
      <c r="L19" s="8">
        <f t="shared" si="9"/>
        <v>1.0343054038915995</v>
      </c>
      <c r="M19" s="8">
        <f t="shared" si="10"/>
        <v>1.0603214484023986</v>
      </c>
      <c r="N19" s="8">
        <f t="shared" si="11"/>
        <v>1.07323300537212</v>
      </c>
      <c r="O19" s="8">
        <f t="shared" si="12"/>
        <v>1.0379868562613108</v>
      </c>
      <c r="P19" s="8">
        <f t="shared" si="13"/>
        <v>1.0196009304005562</v>
      </c>
    </row>
    <row r="20" spans="2:16" x14ac:dyDescent="0.3">
      <c r="J20" s="13" t="s">
        <v>47</v>
      </c>
      <c r="K20" s="13">
        <f>SUM(K12:K19)</f>
        <v>1.0836557699014335</v>
      </c>
      <c r="L20" s="13">
        <f t="shared" ref="L20:P20" si="14">SUM(L12:L19)</f>
        <v>1.0790894029376155</v>
      </c>
      <c r="M20" s="13">
        <f t="shared" si="14"/>
        <v>1.1052255597968932</v>
      </c>
      <c r="N20" s="13">
        <f t="shared" si="14"/>
        <v>1.1292942970910391</v>
      </c>
      <c r="O20" s="13">
        <f t="shared" si="14"/>
        <v>1.0909921083307199</v>
      </c>
      <c r="P20" s="13">
        <f t="shared" si="14"/>
        <v>1.0729996846691252</v>
      </c>
    </row>
    <row r="21" spans="2:16" x14ac:dyDescent="0.3">
      <c r="J21" s="16" t="s">
        <v>48</v>
      </c>
      <c r="K21" s="16">
        <f>1-K20</f>
        <v>-8.365576990143353E-2</v>
      </c>
      <c r="L21" s="16">
        <f t="shared" ref="L21:P21" si="15">1-L20</f>
        <v>-7.9089402937615461E-2</v>
      </c>
      <c r="M21" s="16">
        <f t="shared" si="15"/>
        <v>-0.10522555979689319</v>
      </c>
      <c r="N21" s="16">
        <f t="shared" si="15"/>
        <v>-0.12929429709103912</v>
      </c>
      <c r="O21" s="16">
        <f t="shared" si="15"/>
        <v>-9.0992108330719912E-2</v>
      </c>
      <c r="P21" s="16">
        <f t="shared" si="15"/>
        <v>-7.2999684669125209E-2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ARAXÁ</vt:lpstr>
      <vt:lpstr>FRUTAL-ITURAMA</vt:lpstr>
      <vt:lpstr>UBERABA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2025-04-25T02:06:39Z</dcterms:created>
  <dcterms:modified xsi:type="dcterms:W3CDTF">2025-05-03T23:54:23Z</dcterms:modified>
</cp:coreProperties>
</file>