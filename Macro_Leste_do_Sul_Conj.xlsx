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22" documentId="8_{ED009529-1DEC-4098-AC7B-63D694D500FC}" xr6:coauthVersionLast="47" xr6:coauthVersionMax="47" xr10:uidLastSave="{03492FA2-4542-4B99-9B12-C20C04CD8B0A}"/>
  <bookViews>
    <workbookView xWindow="-108" yWindow="-108" windowWidth="23256" windowHeight="12456" activeTab="2" xr2:uid="{24F8C946-44FD-4B70-A9B8-885A38FDE475}"/>
  </bookViews>
  <sheets>
    <sheet name="MANHUAÇU" sheetId="1" r:id="rId1"/>
    <sheet name="PONTE NOVA" sheetId="2" r:id="rId2"/>
    <sheet name="VIÇO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3" l="1"/>
  <c r="O13" i="3"/>
  <c r="N13" i="3"/>
  <c r="M13" i="3"/>
  <c r="L13" i="3"/>
  <c r="K13" i="3"/>
  <c r="M28" i="2"/>
  <c r="P29" i="2"/>
  <c r="P30" i="2"/>
  <c r="M32" i="2"/>
  <c r="N32" i="2"/>
  <c r="P34" i="2"/>
  <c r="N36" i="2"/>
  <c r="N37" i="2"/>
  <c r="P37" i="2"/>
  <c r="N40" i="2"/>
  <c r="N41" i="2"/>
  <c r="O41" i="2"/>
  <c r="P42" i="2"/>
  <c r="O45" i="2"/>
  <c r="P45" i="2"/>
  <c r="P25" i="2"/>
  <c r="O25" i="2"/>
  <c r="N25" i="2"/>
  <c r="M25" i="2"/>
  <c r="L25" i="2"/>
  <c r="K25" i="2"/>
  <c r="K39" i="1"/>
  <c r="K38" i="1"/>
  <c r="P37" i="1"/>
  <c r="O37" i="1"/>
  <c r="L31" i="1"/>
  <c r="P28" i="1"/>
  <c r="O28" i="1"/>
  <c r="N28" i="1"/>
  <c r="M28" i="1"/>
  <c r="L28" i="1"/>
  <c r="K28" i="1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P3" i="3"/>
  <c r="P4" i="3" s="1"/>
  <c r="P5" i="3" s="1"/>
  <c r="P6" i="3" s="1"/>
  <c r="P7" i="3" s="1"/>
  <c r="P8" i="3" s="1"/>
  <c r="P9" i="3" s="1"/>
  <c r="P10" i="3" s="1"/>
  <c r="O3" i="3"/>
  <c r="O4" i="3" s="1"/>
  <c r="O5" i="3" s="1"/>
  <c r="O6" i="3" s="1"/>
  <c r="O7" i="3" s="1"/>
  <c r="O8" i="3" s="1"/>
  <c r="O9" i="3" s="1"/>
  <c r="O10" i="3" s="1"/>
  <c r="N3" i="3"/>
  <c r="N4" i="3" s="1"/>
  <c r="N5" i="3" s="1"/>
  <c r="N6" i="3" s="1"/>
  <c r="N7" i="3" s="1"/>
  <c r="N8" i="3" s="1"/>
  <c r="N9" i="3" s="1"/>
  <c r="N10" i="3" s="1"/>
  <c r="M3" i="3"/>
  <c r="M4" i="3" s="1"/>
  <c r="M5" i="3" s="1"/>
  <c r="M6" i="3" s="1"/>
  <c r="M7" i="3" s="1"/>
  <c r="M8" i="3" s="1"/>
  <c r="M9" i="3" s="1"/>
  <c r="M10" i="3" s="1"/>
  <c r="M21" i="3" s="1"/>
  <c r="L3" i="3"/>
  <c r="L4" i="3" s="1"/>
  <c r="L5" i="3" s="1"/>
  <c r="L6" i="3" s="1"/>
  <c r="L7" i="3" s="1"/>
  <c r="L8" i="3" s="1"/>
  <c r="L9" i="3" s="1"/>
  <c r="L10" i="3" s="1"/>
  <c r="K3" i="3"/>
  <c r="K4" i="3" s="1"/>
  <c r="K5" i="3" s="1"/>
  <c r="K6" i="3" s="1"/>
  <c r="K7" i="3" s="1"/>
  <c r="K8" i="3" s="1"/>
  <c r="K9" i="3" s="1"/>
  <c r="K10" i="3" s="1"/>
  <c r="J3" i="3"/>
  <c r="J4" i="3" s="1"/>
  <c r="J5" i="3" s="1"/>
  <c r="J6" i="3" s="1"/>
  <c r="J7" i="3" s="1"/>
  <c r="J8" i="3" s="1"/>
  <c r="J9" i="3" s="1"/>
  <c r="J10" i="3" s="1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29" i="2"/>
  <c r="D29" i="2"/>
  <c r="E29" i="2"/>
  <c r="F29" i="2"/>
  <c r="G29" i="2"/>
  <c r="H29" i="2"/>
  <c r="C30" i="2"/>
  <c r="D30" i="2"/>
  <c r="E30" i="2"/>
  <c r="F30" i="2"/>
  <c r="G30" i="2"/>
  <c r="H30" i="2"/>
  <c r="C31" i="2"/>
  <c r="D31" i="2"/>
  <c r="E31" i="2"/>
  <c r="F31" i="2"/>
  <c r="G31" i="2"/>
  <c r="H31" i="2"/>
  <c r="C32" i="2"/>
  <c r="D32" i="2"/>
  <c r="E32" i="2"/>
  <c r="F32" i="2"/>
  <c r="G32" i="2"/>
  <c r="H32" i="2"/>
  <c r="C33" i="2"/>
  <c r="D33" i="2"/>
  <c r="E33" i="2"/>
  <c r="F33" i="2"/>
  <c r="G33" i="2"/>
  <c r="H33" i="2"/>
  <c r="C34" i="2"/>
  <c r="D34" i="2"/>
  <c r="E34" i="2"/>
  <c r="F34" i="2"/>
  <c r="G34" i="2"/>
  <c r="H34" i="2"/>
  <c r="C35" i="2"/>
  <c r="D35" i="2"/>
  <c r="E35" i="2"/>
  <c r="F35" i="2"/>
  <c r="G35" i="2"/>
  <c r="H35" i="2"/>
  <c r="C36" i="2"/>
  <c r="D36" i="2"/>
  <c r="E36" i="2"/>
  <c r="F36" i="2"/>
  <c r="G36" i="2"/>
  <c r="H36" i="2"/>
  <c r="C37" i="2"/>
  <c r="D37" i="2"/>
  <c r="E37" i="2"/>
  <c r="F37" i="2"/>
  <c r="G37" i="2"/>
  <c r="H37" i="2"/>
  <c r="C38" i="2"/>
  <c r="D38" i="2"/>
  <c r="E38" i="2"/>
  <c r="F38" i="2"/>
  <c r="G38" i="2"/>
  <c r="H38" i="2"/>
  <c r="C39" i="2"/>
  <c r="D39" i="2"/>
  <c r="E39" i="2"/>
  <c r="F39" i="2"/>
  <c r="G39" i="2"/>
  <c r="H39" i="2"/>
  <c r="C40" i="2"/>
  <c r="D40" i="2"/>
  <c r="E40" i="2"/>
  <c r="F40" i="2"/>
  <c r="G40" i="2"/>
  <c r="H40" i="2"/>
  <c r="C41" i="2"/>
  <c r="D41" i="2"/>
  <c r="E41" i="2"/>
  <c r="F41" i="2"/>
  <c r="G41" i="2"/>
  <c r="H41" i="2"/>
  <c r="C42" i="2"/>
  <c r="D42" i="2"/>
  <c r="E42" i="2"/>
  <c r="F42" i="2"/>
  <c r="G42" i="2"/>
  <c r="H42" i="2"/>
  <c r="C43" i="2"/>
  <c r="D43" i="2"/>
  <c r="E43" i="2"/>
  <c r="F43" i="2"/>
  <c r="G43" i="2"/>
  <c r="H43" i="2"/>
  <c r="C44" i="2"/>
  <c r="D44" i="2"/>
  <c r="E44" i="2"/>
  <c r="F44" i="2"/>
  <c r="G44" i="2"/>
  <c r="H44" i="2"/>
  <c r="C45" i="2"/>
  <c r="D45" i="2"/>
  <c r="E45" i="2"/>
  <c r="F45" i="2"/>
  <c r="G45" i="2"/>
  <c r="H45" i="2"/>
  <c r="H25" i="2"/>
  <c r="G25" i="2"/>
  <c r="F25" i="2"/>
  <c r="E25" i="2"/>
  <c r="D25" i="2"/>
  <c r="C25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45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K21" i="3" l="1"/>
  <c r="N15" i="3"/>
  <c r="O16" i="3"/>
  <c r="P16" i="3"/>
  <c r="M19" i="3"/>
  <c r="P21" i="3"/>
  <c r="N19" i="3"/>
  <c r="M15" i="3"/>
  <c r="O20" i="3"/>
  <c r="P20" i="3"/>
  <c r="L27" i="2"/>
  <c r="M36" i="2"/>
  <c r="L31" i="2"/>
  <c r="M40" i="2"/>
  <c r="L39" i="2"/>
  <c r="N44" i="2"/>
  <c r="P38" i="2"/>
  <c r="P33" i="2"/>
  <c r="O29" i="2"/>
  <c r="L35" i="2"/>
  <c r="O33" i="2"/>
  <c r="N29" i="2"/>
  <c r="K45" i="2"/>
  <c r="P41" i="2"/>
  <c r="O37" i="2"/>
  <c r="N33" i="2"/>
  <c r="N28" i="2"/>
  <c r="K26" i="2"/>
  <c r="L36" i="2"/>
  <c r="L32" i="2"/>
  <c r="L26" i="2"/>
  <c r="M45" i="2"/>
  <c r="K44" i="2"/>
  <c r="O42" i="2"/>
  <c r="M41" i="2"/>
  <c r="K40" i="2"/>
  <c r="O38" i="2"/>
  <c r="M37" i="2"/>
  <c r="K36" i="2"/>
  <c r="O34" i="2"/>
  <c r="M33" i="2"/>
  <c r="K32" i="2"/>
  <c r="O30" i="2"/>
  <c r="M29" i="2"/>
  <c r="K28" i="2"/>
  <c r="K35" i="2"/>
  <c r="K27" i="2"/>
  <c r="M26" i="2"/>
  <c r="L45" i="2"/>
  <c r="P43" i="2"/>
  <c r="N42" i="2"/>
  <c r="L41" i="2"/>
  <c r="P39" i="2"/>
  <c r="N38" i="2"/>
  <c r="L37" i="2"/>
  <c r="P35" i="2"/>
  <c r="N34" i="2"/>
  <c r="L33" i="2"/>
  <c r="P31" i="2"/>
  <c r="N30" i="2"/>
  <c r="L29" i="2"/>
  <c r="P27" i="2"/>
  <c r="L43" i="2"/>
  <c r="K43" i="2"/>
  <c r="L44" i="2"/>
  <c r="N26" i="2"/>
  <c r="O43" i="2"/>
  <c r="M42" i="2"/>
  <c r="K41" i="2"/>
  <c r="O39" i="2"/>
  <c r="M38" i="2"/>
  <c r="K37" i="2"/>
  <c r="O35" i="2"/>
  <c r="M34" i="2"/>
  <c r="K33" i="2"/>
  <c r="O31" i="2"/>
  <c r="M30" i="2"/>
  <c r="K29" i="2"/>
  <c r="O27" i="2"/>
  <c r="M44" i="2"/>
  <c r="K39" i="2"/>
  <c r="K31" i="2"/>
  <c r="L28" i="2"/>
  <c r="O26" i="2"/>
  <c r="P44" i="2"/>
  <c r="N43" i="2"/>
  <c r="L42" i="2"/>
  <c r="P40" i="2"/>
  <c r="N39" i="2"/>
  <c r="L38" i="2"/>
  <c r="P36" i="2"/>
  <c r="N35" i="2"/>
  <c r="L34" i="2"/>
  <c r="P32" i="2"/>
  <c r="N31" i="2"/>
  <c r="L30" i="2"/>
  <c r="P28" i="2"/>
  <c r="N27" i="2"/>
  <c r="L40" i="2"/>
  <c r="P26" i="2"/>
  <c r="O44" i="2"/>
  <c r="M43" i="2"/>
  <c r="K42" i="2"/>
  <c r="O40" i="2"/>
  <c r="M39" i="2"/>
  <c r="K38" i="2"/>
  <c r="O36" i="2"/>
  <c r="M35" i="2"/>
  <c r="K34" i="2"/>
  <c r="O32" i="2"/>
  <c r="M31" i="2"/>
  <c r="K30" i="2"/>
  <c r="O28" i="2"/>
  <c r="M27" i="2"/>
  <c r="L43" i="1"/>
  <c r="K30" i="1"/>
  <c r="K47" i="1"/>
  <c r="K31" i="1"/>
  <c r="O33" i="1"/>
  <c r="P50" i="1"/>
  <c r="P33" i="1"/>
  <c r="L39" i="1"/>
  <c r="L47" i="1"/>
  <c r="K50" i="1"/>
  <c r="K29" i="1"/>
  <c r="K34" i="1"/>
  <c r="O41" i="1"/>
  <c r="O49" i="1"/>
  <c r="O45" i="1"/>
  <c r="P45" i="1"/>
  <c r="O29" i="1"/>
  <c r="K35" i="1"/>
  <c r="P41" i="1"/>
  <c r="P49" i="1"/>
  <c r="M50" i="1"/>
  <c r="P29" i="1"/>
  <c r="L35" i="1"/>
  <c r="K43" i="1"/>
  <c r="K14" i="3"/>
  <c r="L14" i="3"/>
  <c r="M14" i="3"/>
  <c r="O15" i="3"/>
  <c r="K17" i="3"/>
  <c r="M18" i="3"/>
  <c r="O19" i="3"/>
  <c r="N14" i="3"/>
  <c r="P15" i="3"/>
  <c r="L17" i="3"/>
  <c r="N18" i="3"/>
  <c r="P19" i="3"/>
  <c r="L21" i="3"/>
  <c r="O18" i="3"/>
  <c r="P14" i="3"/>
  <c r="L16" i="3"/>
  <c r="N17" i="3"/>
  <c r="P18" i="3"/>
  <c r="L20" i="3"/>
  <c r="N21" i="3"/>
  <c r="K18" i="3"/>
  <c r="O14" i="3"/>
  <c r="K16" i="3"/>
  <c r="M17" i="3"/>
  <c r="K15" i="3"/>
  <c r="M16" i="3"/>
  <c r="O17" i="3"/>
  <c r="K19" i="3"/>
  <c r="M20" i="3"/>
  <c r="O21" i="3"/>
  <c r="L18" i="3"/>
  <c r="K20" i="3"/>
  <c r="L15" i="3"/>
  <c r="N16" i="3"/>
  <c r="P17" i="3"/>
  <c r="L19" i="3"/>
  <c r="N20" i="3"/>
  <c r="M31" i="1"/>
  <c r="O32" i="1"/>
  <c r="M35" i="1"/>
  <c r="O36" i="1"/>
  <c r="M39" i="1"/>
  <c r="O40" i="1"/>
  <c r="K42" i="1"/>
  <c r="M43" i="1"/>
  <c r="O44" i="1"/>
  <c r="K46" i="1"/>
  <c r="M47" i="1"/>
  <c r="O48" i="1"/>
  <c r="L30" i="1"/>
  <c r="N31" i="1"/>
  <c r="P32" i="1"/>
  <c r="L34" i="1"/>
  <c r="N35" i="1"/>
  <c r="P36" i="1"/>
  <c r="L38" i="1"/>
  <c r="N39" i="1"/>
  <c r="P40" i="1"/>
  <c r="L42" i="1"/>
  <c r="N43" i="1"/>
  <c r="P44" i="1"/>
  <c r="L46" i="1"/>
  <c r="N47" i="1"/>
  <c r="P48" i="1"/>
  <c r="L50" i="1"/>
  <c r="M32" i="1"/>
  <c r="M36" i="1"/>
  <c r="M30" i="1"/>
  <c r="K33" i="1"/>
  <c r="M34" i="1"/>
  <c r="O35" i="1"/>
  <c r="K37" i="1"/>
  <c r="M38" i="1"/>
  <c r="O39" i="1"/>
  <c r="K41" i="1"/>
  <c r="M42" i="1"/>
  <c r="O43" i="1"/>
  <c r="K45" i="1"/>
  <c r="M46" i="1"/>
  <c r="O47" i="1"/>
  <c r="K49" i="1"/>
  <c r="L29" i="1"/>
  <c r="N30" i="1"/>
  <c r="P31" i="1"/>
  <c r="L33" i="1"/>
  <c r="N34" i="1"/>
  <c r="P35" i="1"/>
  <c r="L37" i="1"/>
  <c r="N38" i="1"/>
  <c r="P39" i="1"/>
  <c r="L41" i="1"/>
  <c r="N42" i="1"/>
  <c r="P43" i="1"/>
  <c r="L45" i="1"/>
  <c r="N46" i="1"/>
  <c r="P47" i="1"/>
  <c r="L49" i="1"/>
  <c r="N50" i="1"/>
  <c r="M44" i="1"/>
  <c r="N32" i="1"/>
  <c r="O30" i="1"/>
  <c r="K32" i="1"/>
  <c r="M33" i="1"/>
  <c r="O34" i="1"/>
  <c r="K36" i="1"/>
  <c r="M37" i="1"/>
  <c r="O38" i="1"/>
  <c r="K40" i="1"/>
  <c r="M41" i="1"/>
  <c r="O42" i="1"/>
  <c r="K44" i="1"/>
  <c r="M45" i="1"/>
  <c r="O46" i="1"/>
  <c r="K48" i="1"/>
  <c r="M49" i="1"/>
  <c r="O50" i="1"/>
  <c r="M40" i="1"/>
  <c r="M48" i="1"/>
  <c r="N36" i="1"/>
  <c r="N40" i="1"/>
  <c r="N44" i="1"/>
  <c r="N48" i="1"/>
  <c r="O31" i="1"/>
  <c r="M29" i="1"/>
  <c r="N29" i="1"/>
  <c r="P30" i="1"/>
  <c r="L32" i="1"/>
  <c r="N33" i="1"/>
  <c r="P34" i="1"/>
  <c r="L36" i="1"/>
  <c r="N37" i="1"/>
  <c r="P38" i="1"/>
  <c r="L40" i="1"/>
  <c r="N41" i="1"/>
  <c r="P42" i="1"/>
  <c r="L44" i="1"/>
  <c r="N45" i="1"/>
  <c r="P46" i="1"/>
  <c r="L48" i="1"/>
  <c r="N49" i="1"/>
  <c r="L22" i="3" l="1"/>
  <c r="L23" i="3" s="1"/>
  <c r="P22" i="3"/>
  <c r="P23" i="3" s="1"/>
  <c r="M22" i="3"/>
  <c r="M23" i="3" s="1"/>
  <c r="K22" i="3"/>
  <c r="K23" i="3" s="1"/>
  <c r="N22" i="3"/>
  <c r="N23" i="3" s="1"/>
  <c r="O22" i="3"/>
  <c r="O23" i="3" s="1"/>
  <c r="N46" i="2"/>
  <c r="N47" i="2" s="1"/>
  <c r="L46" i="2"/>
  <c r="L47" i="2" s="1"/>
  <c r="P46" i="2"/>
  <c r="P47" i="2" s="1"/>
  <c r="K46" i="2"/>
  <c r="K47" i="2" s="1"/>
  <c r="O46" i="2"/>
  <c r="O47" i="2" s="1"/>
  <c r="M46" i="2"/>
  <c r="M47" i="2" s="1"/>
  <c r="O51" i="1"/>
  <c r="O52" i="1" s="1"/>
  <c r="P51" i="1"/>
  <c r="P52" i="1" s="1"/>
  <c r="M51" i="1"/>
  <c r="M52" i="1" s="1"/>
  <c r="K51" i="1"/>
  <c r="K52" i="1" s="1"/>
  <c r="N51" i="1"/>
  <c r="N52" i="1" s="1"/>
  <c r="L51" i="1"/>
  <c r="L52" i="1" s="1"/>
</calcChain>
</file>

<file path=xl/sharedStrings.xml><?xml version="1.0" encoding="utf-8"?>
<sst xmlns="http://schemas.openxmlformats.org/spreadsheetml/2006/main" count="252" uniqueCount="75">
  <si>
    <t>MANHUAÇU</t>
  </si>
  <si>
    <t>ABRE CAMPO</t>
  </si>
  <si>
    <t>ALTO CAPARAÓ</t>
  </si>
  <si>
    <t>ALTO JEQUITIBÁ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</si>
  <si>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</si>
  <si>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</si>
  <si>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</si>
  <si>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</si>
  <si>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</si>
  <si>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</si>
  <si>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</si>
  <si>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</si>
  <si>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</si>
  <si>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</si>
  <si>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</si>
  <si>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</si>
  <si>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</si>
  <si>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</si>
  <si>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</si>
  <si>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</si>
  <si>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</si>
  <si>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</si>
  <si>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</si>
  <si>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</si>
  <si>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</si>
  <si>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</si>
  <si>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</si>
  <si>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</si>
  <si>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</si>
  <si>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</si>
  <si>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</si>
  <si>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PONTE NOVA</t>
  </si>
  <si>
    <t>ACAIACA</t>
  </si>
  <si>
    <t>ALVINÓPOLIS</t>
  </si>
  <si>
    <t>AMPARO DO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</si>
  <si>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</si>
  <si>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</si>
  <si>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</si>
  <si>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</si>
  <si>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</si>
  <si>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</si>
  <si>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</si>
  <si>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RAUL SOARES</t>
  </si>
  <si>
    <t>RIO CASCA</t>
  </si>
  <si>
    <t>RIO DOCE</t>
  </si>
  <si>
    <t>SANTA CRUZ DO ESCALVADO</t>
  </si>
  <si>
    <t>SANTO ANTÔNIO DO GRAMA</t>
  </si>
  <si>
    <t>SÃO JOSÉ DO GOIABAL</t>
  </si>
  <si>
    <t>SÃO PEDRO DOS FERROS</t>
  </si>
  <si>
    <t>SEM-PEIXE</t>
  </si>
  <si>
    <t>SERICITA</t>
  </si>
  <si>
    <t>URUCÂNIA</t>
  </si>
  <si>
    <t>VIÇOSA</t>
  </si>
  <si>
    <t>ARAPONGA</t>
  </si>
  <si>
    <t>CAJURI</t>
  </si>
  <si>
    <t>CANAÃ</t>
  </si>
  <si>
    <t>PAULA CÂNDIDO</t>
  </si>
  <si>
    <t>PEDRA DO ANTA</t>
  </si>
  <si>
    <t>PORTO FIRME</t>
  </si>
  <si>
    <t>SÃO MIGUEL DO ANTA</t>
  </si>
  <si>
    <t>TEIXEIRAS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</si>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</sst>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MANHUAÇU!$J$1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MANHUAÇU!$J$2:$J$24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D6-47CC-87EB-87146B0A985E}"/>
            </c:ext>
          </c:extLst>
        </c:ser>
        <c:ser>
          <c:idx val="1"/>
          <c:order val="1"/>
          <c:tx>
            <c:strRef>
              <c:f>MANHUAÇU!$K$1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MANHUAÇU!$K$2:$K$24</c:f>
              <c:numCache>
                <c:formatCode>0.00</c:formatCode>
                <c:ptCount val="23"/>
                <c:pt idx="0">
                  <c:v>9.3023255813953487E-3</c:v>
                </c:pt>
                <c:pt idx="1">
                  <c:v>1.1627906976744186E-2</c:v>
                </c:pt>
                <c:pt idx="2">
                  <c:v>3.255813953488372E-2</c:v>
                </c:pt>
                <c:pt idx="3">
                  <c:v>5.1162790697674418E-2</c:v>
                </c:pt>
                <c:pt idx="4">
                  <c:v>6.0465116279069767E-2</c:v>
                </c:pt>
                <c:pt idx="5">
                  <c:v>8.1395348837209308E-2</c:v>
                </c:pt>
                <c:pt idx="6">
                  <c:v>8.3720930232558138E-2</c:v>
                </c:pt>
                <c:pt idx="7">
                  <c:v>9.7674418604651161E-2</c:v>
                </c:pt>
                <c:pt idx="8">
                  <c:v>0.11395348837209301</c:v>
                </c:pt>
                <c:pt idx="9">
                  <c:v>0.13488372093023254</c:v>
                </c:pt>
                <c:pt idx="10">
                  <c:v>0.14651162790697672</c:v>
                </c:pt>
                <c:pt idx="11">
                  <c:v>0.16744186046511625</c:v>
                </c:pt>
                <c:pt idx="12">
                  <c:v>0.1767441860465116</c:v>
                </c:pt>
                <c:pt idx="13">
                  <c:v>0.1953488372093023</c:v>
                </c:pt>
                <c:pt idx="14">
                  <c:v>0.24651162790697673</c:v>
                </c:pt>
                <c:pt idx="15">
                  <c:v>0.33488372093023255</c:v>
                </c:pt>
                <c:pt idx="16">
                  <c:v>0.35813953488372091</c:v>
                </c:pt>
                <c:pt idx="17">
                  <c:v>0.38604651162790693</c:v>
                </c:pt>
                <c:pt idx="18">
                  <c:v>0.45348837209302323</c:v>
                </c:pt>
                <c:pt idx="19">
                  <c:v>0.48837209302325579</c:v>
                </c:pt>
                <c:pt idx="20">
                  <c:v>0.52093023255813953</c:v>
                </c:pt>
                <c:pt idx="21">
                  <c:v>0.65116279069767447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D6-47CC-87EB-87146B0A985E}"/>
            </c:ext>
          </c:extLst>
        </c:ser>
        <c:ser>
          <c:idx val="2"/>
          <c:order val="2"/>
          <c:tx>
            <c:strRef>
              <c:f>MANHUAÇU!$L$1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MANHUAÇU!$L$2:$L$24</c:f>
              <c:numCache>
                <c:formatCode>0.00</c:formatCode>
                <c:ptCount val="23"/>
                <c:pt idx="0">
                  <c:v>5.5555555555555558E-3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5.5555555555555552E-2</c:v>
                </c:pt>
                <c:pt idx="4">
                  <c:v>7.2222222222222215E-2</c:v>
                </c:pt>
                <c:pt idx="5">
                  <c:v>9.9999999999999992E-2</c:v>
                </c:pt>
                <c:pt idx="6">
                  <c:v>9.9999999999999992E-2</c:v>
                </c:pt>
                <c:pt idx="7">
                  <c:v>0.10555555555555554</c:v>
                </c:pt>
                <c:pt idx="8">
                  <c:v>0.1222222222222222</c:v>
                </c:pt>
                <c:pt idx="9">
                  <c:v>0.1222222222222222</c:v>
                </c:pt>
                <c:pt idx="10">
                  <c:v>0.19999999999999998</c:v>
                </c:pt>
                <c:pt idx="11">
                  <c:v>0.22222222222222221</c:v>
                </c:pt>
                <c:pt idx="12">
                  <c:v>0.23888888888888887</c:v>
                </c:pt>
                <c:pt idx="13">
                  <c:v>0.26666666666666666</c:v>
                </c:pt>
                <c:pt idx="14">
                  <c:v>0.33333333333333331</c:v>
                </c:pt>
                <c:pt idx="15">
                  <c:v>0.39444444444444443</c:v>
                </c:pt>
                <c:pt idx="16">
                  <c:v>0.52777777777777779</c:v>
                </c:pt>
                <c:pt idx="17">
                  <c:v>0.56666666666666665</c:v>
                </c:pt>
                <c:pt idx="18">
                  <c:v>0.6166666666666667</c:v>
                </c:pt>
                <c:pt idx="19">
                  <c:v>0.65</c:v>
                </c:pt>
                <c:pt idx="20">
                  <c:v>0.66666666666666674</c:v>
                </c:pt>
                <c:pt idx="21">
                  <c:v>0.72777777777777786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D6-47CC-87EB-87146B0A985E}"/>
            </c:ext>
          </c:extLst>
        </c:ser>
        <c:ser>
          <c:idx val="3"/>
          <c:order val="3"/>
          <c:tx>
            <c:strRef>
              <c:f>MANHUAÇU!$M$1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MANHUAÇU!$M$2:$M$24</c:f>
              <c:numCache>
                <c:formatCode>0.00</c:formatCode>
                <c:ptCount val="23"/>
                <c:pt idx="0">
                  <c:v>1.953125E-2</c:v>
                </c:pt>
                <c:pt idx="1">
                  <c:v>2.734375E-2</c:v>
                </c:pt>
                <c:pt idx="2">
                  <c:v>3.90625E-2</c:v>
                </c:pt>
                <c:pt idx="3">
                  <c:v>5.078125E-2</c:v>
                </c:pt>
                <c:pt idx="4">
                  <c:v>5.859375E-2</c:v>
                </c:pt>
                <c:pt idx="5">
                  <c:v>0.109375</c:v>
                </c:pt>
                <c:pt idx="6">
                  <c:v>0.109375</c:v>
                </c:pt>
                <c:pt idx="7">
                  <c:v>0.125</c:v>
                </c:pt>
                <c:pt idx="8">
                  <c:v>0.1484375</c:v>
                </c:pt>
                <c:pt idx="9">
                  <c:v>0.1875</c:v>
                </c:pt>
                <c:pt idx="10">
                  <c:v>0.1875</c:v>
                </c:pt>
                <c:pt idx="11">
                  <c:v>0.2109375</c:v>
                </c:pt>
                <c:pt idx="12">
                  <c:v>0.234375</c:v>
                </c:pt>
                <c:pt idx="13">
                  <c:v>0.26171875</c:v>
                </c:pt>
                <c:pt idx="14">
                  <c:v>0.30078125</c:v>
                </c:pt>
                <c:pt idx="15">
                  <c:v>0.41015625</c:v>
                </c:pt>
                <c:pt idx="16">
                  <c:v>0.4296875</c:v>
                </c:pt>
                <c:pt idx="17">
                  <c:v>0.44140625</c:v>
                </c:pt>
                <c:pt idx="18">
                  <c:v>0.47265625</c:v>
                </c:pt>
                <c:pt idx="19">
                  <c:v>0.51953125</c:v>
                </c:pt>
                <c:pt idx="20">
                  <c:v>0.5546875</c:v>
                </c:pt>
                <c:pt idx="21">
                  <c:v>0.640625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D6-47CC-87EB-87146B0A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16320"/>
        <c:axId val="1918614400"/>
      </c:scatterChart>
      <c:valAx>
        <c:axId val="19186163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4400"/>
        <c:crosses val="autoZero"/>
        <c:crossBetween val="midCat"/>
      </c:valAx>
      <c:valAx>
        <c:axId val="19186144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MANHUAÇU!$J$1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MANHUAÇU!$J$2:$J$24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F5-462A-AB7E-C15E9A1401A3}"/>
            </c:ext>
          </c:extLst>
        </c:ser>
        <c:ser>
          <c:idx val="1"/>
          <c:order val="1"/>
          <c:tx>
            <c:strRef>
              <c:f>MANHUAÇU!$N$1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MANHUAÇU!$N$2:$N$24</c:f>
              <c:numCache>
                <c:formatCode>0.00</c:formatCode>
                <c:ptCount val="23"/>
                <c:pt idx="0">
                  <c:v>8.152173913043478E-3</c:v>
                </c:pt>
                <c:pt idx="1">
                  <c:v>1.6304347826086956E-2</c:v>
                </c:pt>
                <c:pt idx="2">
                  <c:v>2.1739130434782608E-2</c:v>
                </c:pt>
                <c:pt idx="3">
                  <c:v>2.4456521739130432E-2</c:v>
                </c:pt>
                <c:pt idx="4">
                  <c:v>3.5326086956521736E-2</c:v>
                </c:pt>
                <c:pt idx="5">
                  <c:v>7.6086956521739135E-2</c:v>
                </c:pt>
                <c:pt idx="6">
                  <c:v>0.1141304347826087</c:v>
                </c:pt>
                <c:pt idx="7">
                  <c:v>0.11684782608695653</c:v>
                </c:pt>
                <c:pt idx="8">
                  <c:v>0.14130434782608697</c:v>
                </c:pt>
                <c:pt idx="9">
                  <c:v>0.15489130434782611</c:v>
                </c:pt>
                <c:pt idx="10">
                  <c:v>0.1766304347826087</c:v>
                </c:pt>
                <c:pt idx="11">
                  <c:v>0.19293478260869565</c:v>
                </c:pt>
                <c:pt idx="12">
                  <c:v>0.22010869565217392</c:v>
                </c:pt>
                <c:pt idx="13">
                  <c:v>0.26358695652173914</c:v>
                </c:pt>
                <c:pt idx="14">
                  <c:v>0.3233695652173913</c:v>
                </c:pt>
                <c:pt idx="15">
                  <c:v>0.38315217391304346</c:v>
                </c:pt>
                <c:pt idx="16">
                  <c:v>0.40217391304347827</c:v>
                </c:pt>
                <c:pt idx="17">
                  <c:v>0.45923913043478259</c:v>
                </c:pt>
                <c:pt idx="18">
                  <c:v>0.5</c:v>
                </c:pt>
                <c:pt idx="19">
                  <c:v>0.55163043478260865</c:v>
                </c:pt>
                <c:pt idx="20">
                  <c:v>0.62771739130434778</c:v>
                </c:pt>
                <c:pt idx="21">
                  <c:v>0.67391304347826086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F5-462A-AB7E-C15E9A1401A3}"/>
            </c:ext>
          </c:extLst>
        </c:ser>
        <c:ser>
          <c:idx val="2"/>
          <c:order val="2"/>
          <c:tx>
            <c:strRef>
              <c:f>MANHUAÇU!$O$1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MANHUAÇU!$O$2:$O$24</c:f>
              <c:numCache>
                <c:formatCode>0.00</c:formatCode>
                <c:ptCount val="23"/>
                <c:pt idx="0">
                  <c:v>2.9850746268656717E-3</c:v>
                </c:pt>
                <c:pt idx="1">
                  <c:v>8.9552238805970154E-3</c:v>
                </c:pt>
                <c:pt idx="2">
                  <c:v>1.492537313432836E-2</c:v>
                </c:pt>
                <c:pt idx="3">
                  <c:v>2.6865671641791045E-2</c:v>
                </c:pt>
                <c:pt idx="4">
                  <c:v>5.3731343283582089E-2</c:v>
                </c:pt>
                <c:pt idx="5">
                  <c:v>0.12238805970149254</c:v>
                </c:pt>
                <c:pt idx="6">
                  <c:v>0.17313432835820897</c:v>
                </c:pt>
                <c:pt idx="7">
                  <c:v>0.17910447761194032</c:v>
                </c:pt>
                <c:pt idx="8">
                  <c:v>0.2</c:v>
                </c:pt>
                <c:pt idx="9">
                  <c:v>0.20597014925373136</c:v>
                </c:pt>
                <c:pt idx="10">
                  <c:v>0.22388059701492538</c:v>
                </c:pt>
                <c:pt idx="11">
                  <c:v>0.25074626865671645</c:v>
                </c:pt>
                <c:pt idx="12">
                  <c:v>0.2686567164179105</c:v>
                </c:pt>
                <c:pt idx="13">
                  <c:v>0.2895522388059702</c:v>
                </c:pt>
                <c:pt idx="14">
                  <c:v>0.35820895522388063</c:v>
                </c:pt>
                <c:pt idx="15">
                  <c:v>0.42089552238805972</c:v>
                </c:pt>
                <c:pt idx="16">
                  <c:v>0.44776119402985076</c:v>
                </c:pt>
                <c:pt idx="17">
                  <c:v>0.48656716417910451</c:v>
                </c:pt>
                <c:pt idx="18">
                  <c:v>0.5104477611940299</c:v>
                </c:pt>
                <c:pt idx="19">
                  <c:v>0.53731343283582089</c:v>
                </c:pt>
                <c:pt idx="20">
                  <c:v>0.6</c:v>
                </c:pt>
                <c:pt idx="21">
                  <c:v>0.66865671641791047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F5-462A-AB7E-C15E9A1401A3}"/>
            </c:ext>
          </c:extLst>
        </c:ser>
        <c:ser>
          <c:idx val="3"/>
          <c:order val="3"/>
          <c:tx>
            <c:strRef>
              <c:f>MANHUAÇU!$P$1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MANHUAÇU!$P$2:$P$24</c:f>
              <c:numCache>
                <c:formatCode>0.00</c:formatCode>
                <c:ptCount val="23"/>
                <c:pt idx="0">
                  <c:v>4.7393364928909956E-3</c:v>
                </c:pt>
                <c:pt idx="1">
                  <c:v>9.4786729857819912E-3</c:v>
                </c:pt>
                <c:pt idx="2">
                  <c:v>2.3696682464454978E-2</c:v>
                </c:pt>
                <c:pt idx="3">
                  <c:v>3.3175355450236969E-2</c:v>
                </c:pt>
                <c:pt idx="4">
                  <c:v>4.7393364928909956E-2</c:v>
                </c:pt>
                <c:pt idx="5">
                  <c:v>9.9526066350710901E-2</c:v>
                </c:pt>
                <c:pt idx="6">
                  <c:v>0.10900473933649289</c:v>
                </c:pt>
                <c:pt idx="7">
                  <c:v>0.12322274881516587</c:v>
                </c:pt>
                <c:pt idx="8">
                  <c:v>0.13270142180094785</c:v>
                </c:pt>
                <c:pt idx="9">
                  <c:v>0.14218009478672983</c:v>
                </c:pt>
                <c:pt idx="10">
                  <c:v>0.1516587677725118</c:v>
                </c:pt>
                <c:pt idx="11">
                  <c:v>0.17535545023696678</c:v>
                </c:pt>
                <c:pt idx="12">
                  <c:v>0.18483412322274878</c:v>
                </c:pt>
                <c:pt idx="13">
                  <c:v>0.18483412322274878</c:v>
                </c:pt>
                <c:pt idx="14">
                  <c:v>0.32701421800947861</c:v>
                </c:pt>
                <c:pt idx="15">
                  <c:v>0.39336492890995256</c:v>
                </c:pt>
                <c:pt idx="16">
                  <c:v>0.40758293838862553</c:v>
                </c:pt>
                <c:pt idx="17">
                  <c:v>0.43127962085308053</c:v>
                </c:pt>
                <c:pt idx="18">
                  <c:v>0.48815165876777245</c:v>
                </c:pt>
                <c:pt idx="19">
                  <c:v>0.52132701421800942</c:v>
                </c:pt>
                <c:pt idx="20">
                  <c:v>0.61137440758293837</c:v>
                </c:pt>
                <c:pt idx="21">
                  <c:v>0.69194312796208535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5-462A-AB7E-C15E9A14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202496"/>
        <c:axId val="333204416"/>
      </c:scatterChart>
      <c:valAx>
        <c:axId val="333202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04416"/>
        <c:crosses val="autoZero"/>
        <c:crossBetween val="midCat"/>
      </c:valAx>
      <c:valAx>
        <c:axId val="333204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0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'PONTE NOVA'!$J$1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NOVA'!$J$2:$J$22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D2-40F6-A95C-CF154A588CA5}"/>
            </c:ext>
          </c:extLst>
        </c:ser>
        <c:ser>
          <c:idx val="1"/>
          <c:order val="1"/>
          <c:tx>
            <c:strRef>
              <c:f>'PONTE NOVA'!$K$1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NOVA'!$K$2:$K$22</c:f>
              <c:numCache>
                <c:formatCode>0.00</c:formatCode>
                <c:ptCount val="21"/>
                <c:pt idx="0">
                  <c:v>1.171875E-2</c:v>
                </c:pt>
                <c:pt idx="1">
                  <c:v>1.953125E-2</c:v>
                </c:pt>
                <c:pt idx="2">
                  <c:v>1.953125E-2</c:v>
                </c:pt>
                <c:pt idx="3">
                  <c:v>5.078125E-2</c:v>
                </c:pt>
                <c:pt idx="4">
                  <c:v>6.25E-2</c:v>
                </c:pt>
                <c:pt idx="5">
                  <c:v>7.03125E-2</c:v>
                </c:pt>
                <c:pt idx="6">
                  <c:v>0.11328125</c:v>
                </c:pt>
                <c:pt idx="7">
                  <c:v>0.13671875</c:v>
                </c:pt>
                <c:pt idx="8">
                  <c:v>0.16015625</c:v>
                </c:pt>
                <c:pt idx="9">
                  <c:v>0.19140625</c:v>
                </c:pt>
                <c:pt idx="10">
                  <c:v>0.21484375</c:v>
                </c:pt>
                <c:pt idx="11">
                  <c:v>0.21875</c:v>
                </c:pt>
                <c:pt idx="12">
                  <c:v>0.265625</c:v>
                </c:pt>
                <c:pt idx="13">
                  <c:v>0.3125</c:v>
                </c:pt>
                <c:pt idx="14">
                  <c:v>0.3359375</c:v>
                </c:pt>
                <c:pt idx="15">
                  <c:v>0.38671875</c:v>
                </c:pt>
                <c:pt idx="16">
                  <c:v>0.41015625</c:v>
                </c:pt>
                <c:pt idx="17">
                  <c:v>0.515625</c:v>
                </c:pt>
                <c:pt idx="18">
                  <c:v>0.61328125</c:v>
                </c:pt>
                <c:pt idx="19">
                  <c:v>0.828125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D2-40F6-A95C-CF154A588CA5}"/>
            </c:ext>
          </c:extLst>
        </c:ser>
        <c:ser>
          <c:idx val="2"/>
          <c:order val="2"/>
          <c:tx>
            <c:strRef>
              <c:f>'PONTE NOVA'!$L$1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NOVA'!$L$2:$L$22</c:f>
              <c:numCache>
                <c:formatCode>0.00</c:formatCode>
                <c:ptCount val="21"/>
                <c:pt idx="0">
                  <c:v>1.4184397163120567E-2</c:v>
                </c:pt>
                <c:pt idx="1">
                  <c:v>2.1276595744680851E-2</c:v>
                </c:pt>
                <c:pt idx="2">
                  <c:v>3.5460992907801414E-2</c:v>
                </c:pt>
                <c:pt idx="3">
                  <c:v>5.6737588652482268E-2</c:v>
                </c:pt>
                <c:pt idx="4">
                  <c:v>7.0921985815602828E-2</c:v>
                </c:pt>
                <c:pt idx="5">
                  <c:v>7.8014184397163108E-2</c:v>
                </c:pt>
                <c:pt idx="6">
                  <c:v>9.9290780141843962E-2</c:v>
                </c:pt>
                <c:pt idx="7">
                  <c:v>0.15602836879432624</c:v>
                </c:pt>
                <c:pt idx="8">
                  <c:v>0.16312056737588654</c:v>
                </c:pt>
                <c:pt idx="9">
                  <c:v>0.19148936170212766</c:v>
                </c:pt>
                <c:pt idx="10">
                  <c:v>0.20567375886524822</c:v>
                </c:pt>
                <c:pt idx="11">
                  <c:v>0.22695035460992907</c:v>
                </c:pt>
                <c:pt idx="12">
                  <c:v>0.28368794326241131</c:v>
                </c:pt>
                <c:pt idx="13">
                  <c:v>0.31914893617021273</c:v>
                </c:pt>
                <c:pt idx="14">
                  <c:v>0.37588652482269502</c:v>
                </c:pt>
                <c:pt idx="15">
                  <c:v>0.41134751773049644</c:v>
                </c:pt>
                <c:pt idx="16">
                  <c:v>0.43262411347517726</c:v>
                </c:pt>
                <c:pt idx="17">
                  <c:v>0.52482269503546097</c:v>
                </c:pt>
                <c:pt idx="18">
                  <c:v>0.6028368794326241</c:v>
                </c:pt>
                <c:pt idx="19">
                  <c:v>0.71631205673758869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D2-40F6-A95C-CF154A588CA5}"/>
            </c:ext>
          </c:extLst>
        </c:ser>
        <c:ser>
          <c:idx val="3"/>
          <c:order val="3"/>
          <c:tx>
            <c:strRef>
              <c:f>'PONTE NOVA'!$M$1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NOVA'!$M$2:$M$22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3.4246575342465752E-2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8.2191780821917804E-2</c:v>
                </c:pt>
                <c:pt idx="8">
                  <c:v>0.1095890410958904</c:v>
                </c:pt>
                <c:pt idx="9">
                  <c:v>0.14383561643835616</c:v>
                </c:pt>
                <c:pt idx="10">
                  <c:v>0.15753424657534246</c:v>
                </c:pt>
                <c:pt idx="11">
                  <c:v>0.18493150684931506</c:v>
                </c:pt>
                <c:pt idx="12">
                  <c:v>0.21917808219178081</c:v>
                </c:pt>
                <c:pt idx="13">
                  <c:v>0.28082191780821919</c:v>
                </c:pt>
                <c:pt idx="14">
                  <c:v>0.33561643835616439</c:v>
                </c:pt>
                <c:pt idx="15">
                  <c:v>0.36986301369863017</c:v>
                </c:pt>
                <c:pt idx="16">
                  <c:v>0.38356164383561647</c:v>
                </c:pt>
                <c:pt idx="17">
                  <c:v>0.49315068493150688</c:v>
                </c:pt>
                <c:pt idx="18">
                  <c:v>0.60273972602739723</c:v>
                </c:pt>
                <c:pt idx="19">
                  <c:v>0.71917808219178081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D2-40F6-A95C-CF154A58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86832"/>
        <c:axId val="297190960"/>
      </c:scatterChart>
      <c:valAx>
        <c:axId val="2487868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190960"/>
        <c:crosses val="autoZero"/>
        <c:crossBetween val="midCat"/>
      </c:valAx>
      <c:valAx>
        <c:axId val="2971909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86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'PONTE NOVA'!$J$1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NOVA'!$J$2:$J$22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88-4FF5-BA39-F1E5AB15FCA8}"/>
            </c:ext>
          </c:extLst>
        </c:ser>
        <c:ser>
          <c:idx val="1"/>
          <c:order val="1"/>
          <c:tx>
            <c:strRef>
              <c:f>'PONTE NOVA'!$N$1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NOVA'!$N$2:$N$22</c:f>
              <c:numCache>
                <c:formatCode>0.00</c:formatCode>
                <c:ptCount val="21"/>
                <c:pt idx="0">
                  <c:v>0</c:v>
                </c:pt>
                <c:pt idx="1">
                  <c:v>1.65016501650165E-2</c:v>
                </c:pt>
                <c:pt idx="2">
                  <c:v>4.2904290429042903E-2</c:v>
                </c:pt>
                <c:pt idx="3">
                  <c:v>5.6105610561056105E-2</c:v>
                </c:pt>
                <c:pt idx="4">
                  <c:v>6.9306930693069313E-2</c:v>
                </c:pt>
                <c:pt idx="5">
                  <c:v>8.2508250825082508E-2</c:v>
                </c:pt>
                <c:pt idx="6">
                  <c:v>8.2508250825082508E-2</c:v>
                </c:pt>
                <c:pt idx="7">
                  <c:v>8.5808580858085806E-2</c:v>
                </c:pt>
                <c:pt idx="8">
                  <c:v>9.9009900990099015E-2</c:v>
                </c:pt>
                <c:pt idx="9">
                  <c:v>0.11551155115511552</c:v>
                </c:pt>
                <c:pt idx="10">
                  <c:v>0.15181518151815182</c:v>
                </c:pt>
                <c:pt idx="11">
                  <c:v>0.19801980198019803</c:v>
                </c:pt>
                <c:pt idx="12">
                  <c:v>0.22112211221122113</c:v>
                </c:pt>
                <c:pt idx="13">
                  <c:v>0.25082508250825086</c:v>
                </c:pt>
                <c:pt idx="14">
                  <c:v>0.29372937293729379</c:v>
                </c:pt>
                <c:pt idx="15">
                  <c:v>0.33663366336633671</c:v>
                </c:pt>
                <c:pt idx="16">
                  <c:v>0.35973597359735981</c:v>
                </c:pt>
                <c:pt idx="17">
                  <c:v>0.46534653465346543</c:v>
                </c:pt>
                <c:pt idx="18">
                  <c:v>0.58415841584158423</c:v>
                </c:pt>
                <c:pt idx="19">
                  <c:v>0.80528052805280537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88-4FF5-BA39-F1E5AB15FCA8}"/>
            </c:ext>
          </c:extLst>
        </c:ser>
        <c:ser>
          <c:idx val="2"/>
          <c:order val="2"/>
          <c:tx>
            <c:strRef>
              <c:f>'PONTE NOVA'!$O$1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NOVA'!$O$2:$O$22</c:f>
              <c:numCache>
                <c:formatCode>0.00</c:formatCode>
                <c:ptCount val="21"/>
                <c:pt idx="0">
                  <c:v>0</c:v>
                </c:pt>
                <c:pt idx="1">
                  <c:v>1.2552301255230125E-2</c:v>
                </c:pt>
                <c:pt idx="2">
                  <c:v>1.6736401673640166E-2</c:v>
                </c:pt>
                <c:pt idx="3">
                  <c:v>5.0209205020920494E-2</c:v>
                </c:pt>
                <c:pt idx="4">
                  <c:v>7.949790794979078E-2</c:v>
                </c:pt>
                <c:pt idx="5">
                  <c:v>8.3682008368200819E-2</c:v>
                </c:pt>
                <c:pt idx="6">
                  <c:v>0.10041841004184099</c:v>
                </c:pt>
                <c:pt idx="7">
                  <c:v>0.11297071129707112</c:v>
                </c:pt>
                <c:pt idx="8">
                  <c:v>0.12552301255230125</c:v>
                </c:pt>
                <c:pt idx="9">
                  <c:v>0.14225941422594141</c:v>
                </c:pt>
                <c:pt idx="10">
                  <c:v>0.15899581589958156</c:v>
                </c:pt>
                <c:pt idx="11">
                  <c:v>0.17573221757322172</c:v>
                </c:pt>
                <c:pt idx="12">
                  <c:v>0.19246861924686187</c:v>
                </c:pt>
                <c:pt idx="13">
                  <c:v>0.23430962343096229</c:v>
                </c:pt>
                <c:pt idx="14">
                  <c:v>0.2677824267782426</c:v>
                </c:pt>
                <c:pt idx="15">
                  <c:v>0.30543933054393296</c:v>
                </c:pt>
                <c:pt idx="16">
                  <c:v>0.31380753138075307</c:v>
                </c:pt>
                <c:pt idx="17">
                  <c:v>0.39330543933054385</c:v>
                </c:pt>
                <c:pt idx="18">
                  <c:v>0.49372384937238484</c:v>
                </c:pt>
                <c:pt idx="19">
                  <c:v>0.85355648535564843</c:v>
                </c:pt>
                <c:pt idx="2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88-4FF5-BA39-F1E5AB15FCA8}"/>
            </c:ext>
          </c:extLst>
        </c:ser>
        <c:ser>
          <c:idx val="3"/>
          <c:order val="3"/>
          <c:tx>
            <c:strRef>
              <c:f>'PONTE NOVA'!$P$1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NOVA'!$P$2:$P$22</c:f>
              <c:numCache>
                <c:formatCode>0.00</c:formatCode>
                <c:ptCount val="21"/>
                <c:pt idx="0">
                  <c:v>0</c:v>
                </c:pt>
                <c:pt idx="1">
                  <c:v>8.8495575221238937E-3</c:v>
                </c:pt>
                <c:pt idx="2">
                  <c:v>8.8495575221238937E-3</c:v>
                </c:pt>
                <c:pt idx="3">
                  <c:v>1.7699115044247787E-2</c:v>
                </c:pt>
                <c:pt idx="4">
                  <c:v>3.5398230088495575E-2</c:v>
                </c:pt>
                <c:pt idx="5">
                  <c:v>4.4247787610619468E-2</c:v>
                </c:pt>
                <c:pt idx="6">
                  <c:v>6.1946902654867256E-2</c:v>
                </c:pt>
                <c:pt idx="7">
                  <c:v>6.1946902654867256E-2</c:v>
                </c:pt>
                <c:pt idx="8">
                  <c:v>6.1946902654867256E-2</c:v>
                </c:pt>
                <c:pt idx="9">
                  <c:v>7.0796460176991149E-2</c:v>
                </c:pt>
                <c:pt idx="10">
                  <c:v>7.9646017699115043E-2</c:v>
                </c:pt>
                <c:pt idx="11">
                  <c:v>0.11504424778761062</c:v>
                </c:pt>
                <c:pt idx="12">
                  <c:v>0.12389380530973451</c:v>
                </c:pt>
                <c:pt idx="13">
                  <c:v>0.22123893805309736</c:v>
                </c:pt>
                <c:pt idx="14">
                  <c:v>0.2831858407079646</c:v>
                </c:pt>
                <c:pt idx="15">
                  <c:v>0.30088495575221241</c:v>
                </c:pt>
                <c:pt idx="16">
                  <c:v>0.3451327433628319</c:v>
                </c:pt>
                <c:pt idx="17">
                  <c:v>0.40707964601769914</c:v>
                </c:pt>
                <c:pt idx="18">
                  <c:v>0.51327433628318586</c:v>
                </c:pt>
                <c:pt idx="19">
                  <c:v>0.84955752212389379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88-4FF5-BA39-F1E5AB15F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941216"/>
        <c:axId val="1877937856"/>
      </c:scatterChart>
      <c:valAx>
        <c:axId val="18779412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937856"/>
        <c:crosses val="autoZero"/>
        <c:crossBetween val="midCat"/>
      </c:valAx>
      <c:valAx>
        <c:axId val="1877937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94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VIÇOSA!$J$1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VIÇOSA!$J$2:$J$10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5-498D-B795-78B2459D2F5B}"/>
            </c:ext>
          </c:extLst>
        </c:ser>
        <c:ser>
          <c:idx val="1"/>
          <c:order val="1"/>
          <c:tx>
            <c:strRef>
              <c:f>VIÇOSA!$K$1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VIÇOSA!$K$2:$K$10</c:f>
              <c:numCache>
                <c:formatCode>0.00</c:formatCode>
                <c:ptCount val="9"/>
                <c:pt idx="0">
                  <c:v>4.0268456375838924E-2</c:v>
                </c:pt>
                <c:pt idx="1">
                  <c:v>6.0402684563758385E-2</c:v>
                </c:pt>
                <c:pt idx="2">
                  <c:v>0.11409395973154363</c:v>
                </c:pt>
                <c:pt idx="3">
                  <c:v>0.14093959731543623</c:v>
                </c:pt>
                <c:pt idx="4">
                  <c:v>0.24832214765100669</c:v>
                </c:pt>
                <c:pt idx="5">
                  <c:v>0.27516778523489932</c:v>
                </c:pt>
                <c:pt idx="6">
                  <c:v>0.43624161073825501</c:v>
                </c:pt>
                <c:pt idx="7">
                  <c:v>0.4563758389261745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5-498D-B795-78B2459D2F5B}"/>
            </c:ext>
          </c:extLst>
        </c:ser>
        <c:ser>
          <c:idx val="2"/>
          <c:order val="2"/>
          <c:tx>
            <c:strRef>
              <c:f>VIÇOSA!$L$1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VIÇOSA!$L$2:$L$10</c:f>
              <c:numCache>
                <c:formatCode>0.00</c:formatCode>
                <c:ptCount val="9"/>
                <c:pt idx="0">
                  <c:v>3.3707865168539325E-2</c:v>
                </c:pt>
                <c:pt idx="1">
                  <c:v>8.98876404494382E-2</c:v>
                </c:pt>
                <c:pt idx="2">
                  <c:v>8.98876404494382E-2</c:v>
                </c:pt>
                <c:pt idx="3">
                  <c:v>0.1797752808988764</c:v>
                </c:pt>
                <c:pt idx="4">
                  <c:v>0.21348314606741572</c:v>
                </c:pt>
                <c:pt idx="5">
                  <c:v>0.2584269662921348</c:v>
                </c:pt>
                <c:pt idx="6">
                  <c:v>0.32584269662921345</c:v>
                </c:pt>
                <c:pt idx="7">
                  <c:v>0.3595505617977528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75-498D-B795-78B2459D2F5B}"/>
            </c:ext>
          </c:extLst>
        </c:ser>
        <c:ser>
          <c:idx val="3"/>
          <c:order val="3"/>
          <c:tx>
            <c:strRef>
              <c:f>VIÇOSA!$M$1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VIÇOSA!$M$2:$M$10</c:f>
              <c:numCache>
                <c:formatCode>0.00</c:formatCode>
                <c:ptCount val="9"/>
                <c:pt idx="0">
                  <c:v>8.98876404494382E-2</c:v>
                </c:pt>
                <c:pt idx="1">
                  <c:v>0.19101123595505617</c:v>
                </c:pt>
                <c:pt idx="2">
                  <c:v>0.19101123595505617</c:v>
                </c:pt>
                <c:pt idx="3">
                  <c:v>0.2247191011235955</c:v>
                </c:pt>
                <c:pt idx="4">
                  <c:v>0.23595505617977527</c:v>
                </c:pt>
                <c:pt idx="5">
                  <c:v>0.2696629213483146</c:v>
                </c:pt>
                <c:pt idx="6">
                  <c:v>0.38202247191011235</c:v>
                </c:pt>
                <c:pt idx="7">
                  <c:v>0.4382022471910112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75-498D-B795-78B2459D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28624"/>
        <c:axId val="96329584"/>
      </c:scatterChart>
      <c:valAx>
        <c:axId val="96328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29584"/>
        <c:crosses val="autoZero"/>
        <c:crossBetween val="midCat"/>
      </c:valAx>
      <c:valAx>
        <c:axId val="9632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VIÇOSA!$J$1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VIÇOSA!$J$2:$J$10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4-4B08-86B5-61A747EA922E}"/>
            </c:ext>
          </c:extLst>
        </c:ser>
        <c:ser>
          <c:idx val="1"/>
          <c:order val="1"/>
          <c:tx>
            <c:strRef>
              <c:f>VIÇOSA!$N$1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VIÇOSA!$N$2:$N$10</c:f>
              <c:numCache>
                <c:formatCode>0.00</c:formatCode>
                <c:ptCount val="9"/>
                <c:pt idx="0">
                  <c:v>2.097902097902098E-2</c:v>
                </c:pt>
                <c:pt idx="1">
                  <c:v>0.13986013986013987</c:v>
                </c:pt>
                <c:pt idx="2">
                  <c:v>0.20279720279720281</c:v>
                </c:pt>
                <c:pt idx="3">
                  <c:v>0.25174825174825177</c:v>
                </c:pt>
                <c:pt idx="4">
                  <c:v>0.28671328671328672</c:v>
                </c:pt>
                <c:pt idx="5">
                  <c:v>0.38461538461538464</c:v>
                </c:pt>
                <c:pt idx="6">
                  <c:v>0.45454545454545459</c:v>
                </c:pt>
                <c:pt idx="7">
                  <c:v>0.49650349650349657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4-4B08-86B5-61A747EA922E}"/>
            </c:ext>
          </c:extLst>
        </c:ser>
        <c:ser>
          <c:idx val="2"/>
          <c:order val="2"/>
          <c:tx>
            <c:strRef>
              <c:f>VIÇOSA!$O$1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VIÇOSA!$O$2:$O$10</c:f>
              <c:numCache>
                <c:formatCode>0.00</c:formatCode>
                <c:ptCount val="9"/>
                <c:pt idx="0">
                  <c:v>3.7735849056603772E-2</c:v>
                </c:pt>
                <c:pt idx="1">
                  <c:v>0.14150943396226415</c:v>
                </c:pt>
                <c:pt idx="2">
                  <c:v>0.22641509433962265</c:v>
                </c:pt>
                <c:pt idx="3">
                  <c:v>0.29245283018867924</c:v>
                </c:pt>
                <c:pt idx="4">
                  <c:v>0.32075471698113206</c:v>
                </c:pt>
                <c:pt idx="5">
                  <c:v>0.37735849056603771</c:v>
                </c:pt>
                <c:pt idx="6">
                  <c:v>0.42452830188679241</c:v>
                </c:pt>
                <c:pt idx="7">
                  <c:v>0.490566037735849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74-4B08-86B5-61A747EA922E}"/>
            </c:ext>
          </c:extLst>
        </c:ser>
        <c:ser>
          <c:idx val="3"/>
          <c:order val="3"/>
          <c:tx>
            <c:strRef>
              <c:f>VIÇOSA!$P$1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VIÇOSA!$P$2:$P$10</c:f>
              <c:numCache>
                <c:formatCode>0.00</c:formatCode>
                <c:ptCount val="9"/>
                <c:pt idx="0">
                  <c:v>7.0175438596491224E-2</c:v>
                </c:pt>
                <c:pt idx="1">
                  <c:v>8.771929824561403E-2</c:v>
                </c:pt>
                <c:pt idx="2">
                  <c:v>0.19298245614035087</c:v>
                </c:pt>
                <c:pt idx="3">
                  <c:v>0.19298245614035087</c:v>
                </c:pt>
                <c:pt idx="4">
                  <c:v>0.21052631578947367</c:v>
                </c:pt>
                <c:pt idx="5">
                  <c:v>0.2807017543859649</c:v>
                </c:pt>
                <c:pt idx="6">
                  <c:v>0.40350877192982454</c:v>
                </c:pt>
                <c:pt idx="7">
                  <c:v>0.54385964912280693</c:v>
                </c:pt>
                <c:pt idx="8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74-4B08-86B5-61A747EA9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8448"/>
        <c:axId val="195388928"/>
      </c:scatterChart>
      <c:valAx>
        <c:axId val="195388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8928"/>
        <c:crosses val="autoZero"/>
        <c:crossBetween val="midCat"/>
      </c:valAx>
      <c:valAx>
        <c:axId val="195388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203200</xdr:colOff>
      <xdr:row>0</xdr:row>
      <xdr:rowOff>110067</xdr:rowOff>
    </xdr:from>
    <xdr:to>
      <xdr:col>23</xdr:col>
      <xdr:colOff>508000</xdr:colOff>
      <xdr:row>14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5EB031-385F-471A-6EAB-AA1FAD5F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245534</xdr:colOff>
      <xdr:row>14</xdr:row>
      <xdr:rowOff>169333</xdr:rowOff>
    </xdr:from>
    <xdr:to>
      <xdr:col>23</xdr:col>
      <xdr:colOff>550334</xdr:colOff>
      <xdr:row>28</xdr:row>
      <xdr:rowOff>127000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6512E0-3860-A498-353B-769BA5165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225777</xdr:colOff>
      <xdr:row>0</xdr:row>
      <xdr:rowOff>100659</xdr:rowOff>
    </xdr:from>
    <xdr:to>
      <xdr:col>23</xdr:col>
      <xdr:colOff>517407</xdr:colOff>
      <xdr:row>14</xdr:row>
      <xdr:rowOff>162748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2BE728F-20B4-E009-F425-35CA59292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235184</xdr:colOff>
      <xdr:row>15</xdr:row>
      <xdr:rowOff>110067</xdr:rowOff>
    </xdr:from>
    <xdr:to>
      <xdr:col>23</xdr:col>
      <xdr:colOff>526814</xdr:colOff>
      <xdr:row>29</xdr:row>
      <xdr:rowOff>162749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2D25F4A-C8C1-8931-4283-A893F0BB6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388938</xdr:colOff>
      <xdr:row>0</xdr:row>
      <xdr:rowOff>116681</xdr:rowOff>
    </xdr:from>
    <xdr:to>
      <xdr:col>24</xdr:col>
      <xdr:colOff>71438</xdr:colOff>
      <xdr:row>13</xdr:row>
      <xdr:rowOff>129381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CE6F6F6-D1AA-2B48-C2B7-981AD5432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404813</xdr:colOff>
      <xdr:row>13</xdr:row>
      <xdr:rowOff>180180</xdr:rowOff>
    </xdr:from>
    <xdr:to>
      <xdr:col>24</xdr:col>
      <xdr:colOff>87313</xdr:colOff>
      <xdr:row>29</xdr:row>
      <xdr:rowOff>2380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5A8F46C-446D-2964-812E-3A0626489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88BC-50C5-48D8-AA18-CBA3B1D54160}">
  <dimension ref="A1:P52"/>
  <sheetViews>
    <sheetView zoomScale="90" workbookViewId="0">
      <selection activeCell="I22" sqref="I22"/>
    </sheetView>
  </sheetViews>
  <sheetFormatPr defaultRowHeight="14.4" x14ac:dyDescent="0.3"/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8" t="s">
        <v>20</v>
      </c>
      <c r="B2" s="9">
        <v>8.0780486687398699E-3</v>
      </c>
      <c r="C2" s="9">
        <v>9.3023255813953487E-3</v>
      </c>
      <c r="D2" s="9">
        <v>5.5555555555555558E-3</v>
      </c>
      <c r="E2" s="9">
        <v>1.953125E-2</v>
      </c>
      <c r="F2" s="9">
        <v>8.152173913043478E-3</v>
      </c>
      <c r="G2" s="9">
        <v>2.9850746268656717E-3</v>
      </c>
      <c r="H2" s="9">
        <v>4.7393364928909956E-3</v>
      </c>
      <c r="I2" s="9">
        <v>8.0780486687398699E-3</v>
      </c>
      <c r="J2" s="9">
        <v>8.0780486687398699E-3</v>
      </c>
      <c r="K2" s="9">
        <v>9.3023255813953487E-3</v>
      </c>
      <c r="L2" s="9">
        <v>5.5555555555555558E-3</v>
      </c>
      <c r="M2" s="9">
        <v>1.953125E-2</v>
      </c>
      <c r="N2" s="9">
        <v>8.152173913043478E-3</v>
      </c>
      <c r="O2" s="9">
        <v>2.9850746268656717E-3</v>
      </c>
      <c r="P2" s="9">
        <v>4.7393364928909956E-3</v>
      </c>
    </row>
    <row r="3" spans="1:16" x14ac:dyDescent="0.3">
      <c r="A3" s="8" t="s">
        <v>22</v>
      </c>
      <c r="B3" s="9">
        <v>8.8569317732762921E-3</v>
      </c>
      <c r="C3" s="9">
        <v>2.3255813953488372E-3</v>
      </c>
      <c r="D3" s="9">
        <v>1.1111111111111112E-2</v>
      </c>
      <c r="E3" s="9">
        <v>7.8125E-3</v>
      </c>
      <c r="F3" s="9">
        <v>8.152173913043478E-3</v>
      </c>
      <c r="G3" s="9">
        <v>5.9701492537313433E-3</v>
      </c>
      <c r="H3" s="9">
        <v>4.7393364928909956E-3</v>
      </c>
      <c r="I3" s="9">
        <v>1.6934980442016162E-2</v>
      </c>
      <c r="J3" s="9">
        <f>J2+B3</f>
        <v>1.6934980442016162E-2</v>
      </c>
      <c r="K3" s="9">
        <f t="shared" ref="K3:P18" si="0">K2+C3</f>
        <v>1.1627906976744186E-2</v>
      </c>
      <c r="L3" s="9">
        <f t="shared" si="0"/>
        <v>1.6666666666666666E-2</v>
      </c>
      <c r="M3" s="9">
        <f t="shared" si="0"/>
        <v>2.734375E-2</v>
      </c>
      <c r="N3" s="9">
        <f t="shared" si="0"/>
        <v>1.6304347826086956E-2</v>
      </c>
      <c r="O3" s="9">
        <f t="shared" si="0"/>
        <v>8.9552238805970154E-3</v>
      </c>
      <c r="P3" s="9">
        <f t="shared" si="0"/>
        <v>9.4786729857819912E-3</v>
      </c>
    </row>
    <row r="4" spans="1:16" x14ac:dyDescent="0.3">
      <c r="A4" s="8" t="s">
        <v>6</v>
      </c>
      <c r="B4" s="9">
        <v>1.3117880521622596E-2</v>
      </c>
      <c r="C4" s="9">
        <v>2.0930232558139535E-2</v>
      </c>
      <c r="D4" s="9">
        <v>1.6666666666666666E-2</v>
      </c>
      <c r="E4" s="9">
        <v>1.171875E-2</v>
      </c>
      <c r="F4" s="9">
        <v>5.434782608695652E-3</v>
      </c>
      <c r="G4" s="9">
        <v>5.9701492537313433E-3</v>
      </c>
      <c r="H4" s="9">
        <v>1.4218009478672985E-2</v>
      </c>
      <c r="I4" s="9">
        <v>3.005286096363876E-2</v>
      </c>
      <c r="J4" s="9">
        <f t="shared" ref="J4:P19" si="1">J3+B4</f>
        <v>3.005286096363876E-2</v>
      </c>
      <c r="K4" s="9">
        <f t="shared" si="0"/>
        <v>3.255813953488372E-2</v>
      </c>
      <c r="L4" s="9">
        <f t="shared" si="0"/>
        <v>3.3333333333333333E-2</v>
      </c>
      <c r="M4" s="9">
        <f t="shared" si="0"/>
        <v>3.90625E-2</v>
      </c>
      <c r="N4" s="9">
        <f t="shared" si="0"/>
        <v>2.1739130434782608E-2</v>
      </c>
      <c r="O4" s="9">
        <f t="shared" si="0"/>
        <v>1.492537313432836E-2</v>
      </c>
      <c r="P4" s="9">
        <f t="shared" si="0"/>
        <v>2.3696682464454978E-2</v>
      </c>
    </row>
    <row r="5" spans="1:16" x14ac:dyDescent="0.3">
      <c r="A5" s="8" t="s">
        <v>5</v>
      </c>
      <c r="B5" s="9">
        <v>1.6307865001231322E-2</v>
      </c>
      <c r="C5" s="9">
        <v>1.8604651162790697E-2</v>
      </c>
      <c r="D5" s="9">
        <v>2.2222222222222223E-2</v>
      </c>
      <c r="E5" s="9">
        <v>1.171875E-2</v>
      </c>
      <c r="F5" s="9">
        <v>2.717391304347826E-3</v>
      </c>
      <c r="G5" s="9">
        <v>1.1940298507462687E-2</v>
      </c>
      <c r="H5" s="9">
        <v>9.4786729857819912E-3</v>
      </c>
      <c r="I5" s="9">
        <v>4.6360725964870078E-2</v>
      </c>
      <c r="J5" s="9">
        <f t="shared" si="1"/>
        <v>4.6360725964870078E-2</v>
      </c>
      <c r="K5" s="9">
        <f t="shared" si="0"/>
        <v>5.1162790697674418E-2</v>
      </c>
      <c r="L5" s="9">
        <f t="shared" si="0"/>
        <v>5.5555555555555552E-2</v>
      </c>
      <c r="M5" s="9">
        <f t="shared" si="0"/>
        <v>5.078125E-2</v>
      </c>
      <c r="N5" s="9">
        <f t="shared" si="0"/>
        <v>2.4456521739130432E-2</v>
      </c>
      <c r="O5" s="9">
        <f t="shared" si="0"/>
        <v>2.6865671641791045E-2</v>
      </c>
      <c r="P5" s="9">
        <f t="shared" si="0"/>
        <v>3.3175355450236969E-2</v>
      </c>
    </row>
    <row r="6" spans="1:16" x14ac:dyDescent="0.3">
      <c r="A6" s="8" t="s">
        <v>2</v>
      </c>
      <c r="B6" s="9">
        <v>1.7003705421828198E-2</v>
      </c>
      <c r="C6" s="9">
        <v>9.3023255813953487E-3</v>
      </c>
      <c r="D6" s="9">
        <v>1.6666666666666666E-2</v>
      </c>
      <c r="E6" s="9">
        <v>7.8125E-3</v>
      </c>
      <c r="F6" s="9">
        <v>1.0869565217391304E-2</v>
      </c>
      <c r="G6" s="9">
        <v>2.6865671641791045E-2</v>
      </c>
      <c r="H6" s="9">
        <v>1.4218009478672985E-2</v>
      </c>
      <c r="I6" s="9">
        <v>6.3364431386698283E-2</v>
      </c>
      <c r="J6" s="9">
        <f t="shared" si="1"/>
        <v>6.3364431386698283E-2</v>
      </c>
      <c r="K6" s="9">
        <f t="shared" si="0"/>
        <v>6.0465116279069767E-2</v>
      </c>
      <c r="L6" s="9">
        <f t="shared" si="0"/>
        <v>7.2222222222222215E-2</v>
      </c>
      <c r="M6" s="9">
        <f t="shared" si="0"/>
        <v>5.859375E-2</v>
      </c>
      <c r="N6" s="9">
        <f t="shared" si="0"/>
        <v>3.5326086956521736E-2</v>
      </c>
      <c r="O6" s="9">
        <f t="shared" si="0"/>
        <v>5.3731343283582089E-2</v>
      </c>
      <c r="P6" s="9">
        <f t="shared" si="0"/>
        <v>4.7393364928909956E-2</v>
      </c>
    </row>
    <row r="7" spans="1:16" x14ac:dyDescent="0.3">
      <c r="A7" s="8" t="s">
        <v>10</v>
      </c>
      <c r="B7" s="9">
        <v>1.7894266618559182E-2</v>
      </c>
      <c r="C7" s="9">
        <v>2.0930232558139535E-2</v>
      </c>
      <c r="D7" s="9">
        <v>2.7777777777777776E-2</v>
      </c>
      <c r="E7" s="9">
        <v>5.078125E-2</v>
      </c>
      <c r="F7" s="9">
        <v>4.0760869565217392E-2</v>
      </c>
      <c r="G7" s="9">
        <v>6.8656716417910449E-2</v>
      </c>
      <c r="H7" s="9">
        <v>5.2132701421800945E-2</v>
      </c>
      <c r="I7" s="9">
        <v>8.1258698005257465E-2</v>
      </c>
      <c r="J7" s="9">
        <f t="shared" si="1"/>
        <v>8.1258698005257465E-2</v>
      </c>
      <c r="K7" s="9">
        <f t="shared" si="0"/>
        <v>8.1395348837209308E-2</v>
      </c>
      <c r="L7" s="9">
        <f t="shared" si="0"/>
        <v>9.9999999999999992E-2</v>
      </c>
      <c r="M7" s="9">
        <f t="shared" si="0"/>
        <v>0.109375</v>
      </c>
      <c r="N7" s="9">
        <f t="shared" si="0"/>
        <v>7.6086956521739135E-2</v>
      </c>
      <c r="O7" s="9">
        <f t="shared" si="0"/>
        <v>0.12238805970149254</v>
      </c>
      <c r="P7" s="9">
        <f t="shared" si="0"/>
        <v>9.9526066350710901E-2</v>
      </c>
    </row>
    <row r="8" spans="1:16" x14ac:dyDescent="0.3">
      <c r="A8" s="8" t="s">
        <v>16</v>
      </c>
      <c r="B8" s="9">
        <v>2.0752080362409726E-2</v>
      </c>
      <c r="C8" s="9">
        <v>2.3255813953488372E-3</v>
      </c>
      <c r="D8" s="9">
        <v>0</v>
      </c>
      <c r="E8" s="9">
        <v>0</v>
      </c>
      <c r="F8" s="9">
        <v>3.8043478260869568E-2</v>
      </c>
      <c r="G8" s="9">
        <v>5.0746268656716415E-2</v>
      </c>
      <c r="H8" s="9">
        <v>9.4786729857819912E-3</v>
      </c>
      <c r="I8" s="9">
        <v>0.1020107783676672</v>
      </c>
      <c r="J8" s="9">
        <f t="shared" si="1"/>
        <v>0.1020107783676672</v>
      </c>
      <c r="K8" s="9">
        <f t="shared" si="0"/>
        <v>8.3720930232558138E-2</v>
      </c>
      <c r="L8" s="9">
        <f t="shared" si="0"/>
        <v>9.9999999999999992E-2</v>
      </c>
      <c r="M8" s="9">
        <f t="shared" si="0"/>
        <v>0.109375</v>
      </c>
      <c r="N8" s="9">
        <f t="shared" si="0"/>
        <v>0.1141304347826087</v>
      </c>
      <c r="O8" s="9">
        <f t="shared" si="0"/>
        <v>0.17313432835820897</v>
      </c>
      <c r="P8" s="9">
        <f t="shared" si="0"/>
        <v>0.10900473933649289</v>
      </c>
    </row>
    <row r="9" spans="1:16" x14ac:dyDescent="0.3">
      <c r="A9" s="8" t="s">
        <v>7</v>
      </c>
      <c r="B9" s="9">
        <v>2.2616245439811236E-2</v>
      </c>
      <c r="C9" s="9">
        <v>1.3953488372093023E-2</v>
      </c>
      <c r="D9" s="9">
        <v>5.5555555555555558E-3</v>
      </c>
      <c r="E9" s="9">
        <v>1.5625E-2</v>
      </c>
      <c r="F9" s="9">
        <v>2.717391304347826E-3</v>
      </c>
      <c r="G9" s="9">
        <v>5.9701492537313433E-3</v>
      </c>
      <c r="H9" s="9">
        <v>1.4218009478672985E-2</v>
      </c>
      <c r="I9" s="9">
        <v>0.12462702380747843</v>
      </c>
      <c r="J9" s="9">
        <f t="shared" si="1"/>
        <v>0.12462702380747843</v>
      </c>
      <c r="K9" s="9">
        <f t="shared" si="0"/>
        <v>9.7674418604651161E-2</v>
      </c>
      <c r="L9" s="9">
        <f t="shared" si="0"/>
        <v>0.10555555555555554</v>
      </c>
      <c r="M9" s="9">
        <f t="shared" si="0"/>
        <v>0.125</v>
      </c>
      <c r="N9" s="9">
        <f t="shared" si="0"/>
        <v>0.11684782608695653</v>
      </c>
      <c r="O9" s="9">
        <f t="shared" si="0"/>
        <v>0.17910447761194032</v>
      </c>
      <c r="P9" s="9">
        <f t="shared" si="0"/>
        <v>0.12322274881516587</v>
      </c>
    </row>
    <row r="10" spans="1:16" x14ac:dyDescent="0.3">
      <c r="A10" s="8" t="s">
        <v>3</v>
      </c>
      <c r="B10" s="9">
        <v>2.3727299280105838E-2</v>
      </c>
      <c r="C10" s="9">
        <v>1.627906976744186E-2</v>
      </c>
      <c r="D10" s="9">
        <v>1.6666666666666666E-2</v>
      </c>
      <c r="E10" s="9">
        <v>2.34375E-2</v>
      </c>
      <c r="F10" s="9">
        <v>2.4456521739130436E-2</v>
      </c>
      <c r="G10" s="9">
        <v>2.0895522388059702E-2</v>
      </c>
      <c r="H10" s="9">
        <v>9.4786729857819912E-3</v>
      </c>
      <c r="I10" s="9">
        <v>0.14835432308758428</v>
      </c>
      <c r="J10" s="9">
        <f t="shared" si="1"/>
        <v>0.14835432308758428</v>
      </c>
      <c r="K10" s="9">
        <f t="shared" si="0"/>
        <v>0.11395348837209301</v>
      </c>
      <c r="L10" s="9">
        <f t="shared" si="0"/>
        <v>0.1222222222222222</v>
      </c>
      <c r="M10" s="9">
        <f t="shared" si="0"/>
        <v>0.1484375</v>
      </c>
      <c r="N10" s="9">
        <f t="shared" si="0"/>
        <v>0.14130434782608697</v>
      </c>
      <c r="O10" s="9">
        <f t="shared" si="0"/>
        <v>0.2</v>
      </c>
      <c r="P10" s="9">
        <f t="shared" si="0"/>
        <v>0.13270142180094785</v>
      </c>
    </row>
    <row r="11" spans="1:16" x14ac:dyDescent="0.3">
      <c r="A11" s="8" t="s">
        <v>15</v>
      </c>
      <c r="B11" s="9">
        <v>2.3733026361756841E-2</v>
      </c>
      <c r="C11" s="9">
        <v>2.0930232558139535E-2</v>
      </c>
      <c r="D11" s="9">
        <v>0</v>
      </c>
      <c r="E11" s="9">
        <v>3.90625E-2</v>
      </c>
      <c r="F11" s="9">
        <v>1.358695652173913E-2</v>
      </c>
      <c r="G11" s="9">
        <v>5.9701492537313433E-3</v>
      </c>
      <c r="H11" s="9">
        <v>9.4786729857819912E-3</v>
      </c>
      <c r="I11" s="9">
        <v>0.17208734944934112</v>
      </c>
      <c r="J11" s="9">
        <f t="shared" si="1"/>
        <v>0.17208734944934112</v>
      </c>
      <c r="K11" s="9">
        <f t="shared" si="0"/>
        <v>0.13488372093023254</v>
      </c>
      <c r="L11" s="9">
        <f t="shared" si="0"/>
        <v>0.1222222222222222</v>
      </c>
      <c r="M11" s="9">
        <f t="shared" si="0"/>
        <v>0.1875</v>
      </c>
      <c r="N11" s="9">
        <f t="shared" si="0"/>
        <v>0.15489130434782611</v>
      </c>
      <c r="O11" s="9">
        <f t="shared" si="0"/>
        <v>0.20597014925373136</v>
      </c>
      <c r="P11" s="9">
        <f t="shared" si="0"/>
        <v>0.14218009478672983</v>
      </c>
    </row>
    <row r="12" spans="1:16" x14ac:dyDescent="0.3">
      <c r="A12" s="8" t="s">
        <v>12</v>
      </c>
      <c r="B12" s="9">
        <v>2.4740992732333385E-2</v>
      </c>
      <c r="C12" s="9">
        <v>1.1627906976744186E-2</v>
      </c>
      <c r="D12" s="9">
        <v>7.7777777777777779E-2</v>
      </c>
      <c r="E12" s="9">
        <v>0</v>
      </c>
      <c r="F12" s="9">
        <v>2.1739130434782608E-2</v>
      </c>
      <c r="G12" s="9">
        <v>1.7910447761194031E-2</v>
      </c>
      <c r="H12" s="9">
        <v>9.4786729857819912E-3</v>
      </c>
      <c r="I12" s="9">
        <v>0.1968283421816745</v>
      </c>
      <c r="J12" s="9">
        <f t="shared" si="1"/>
        <v>0.1968283421816745</v>
      </c>
      <c r="K12" s="9">
        <f t="shared" si="0"/>
        <v>0.14651162790697672</v>
      </c>
      <c r="L12" s="9">
        <f t="shared" si="0"/>
        <v>0.19999999999999998</v>
      </c>
      <c r="M12" s="9">
        <f t="shared" si="0"/>
        <v>0.1875</v>
      </c>
      <c r="N12" s="9">
        <f t="shared" si="0"/>
        <v>0.1766304347826087</v>
      </c>
      <c r="O12" s="9">
        <f t="shared" si="0"/>
        <v>0.22388059701492538</v>
      </c>
      <c r="P12" s="9">
        <f t="shared" si="0"/>
        <v>0.1516587677725118</v>
      </c>
    </row>
    <row r="13" spans="1:16" x14ac:dyDescent="0.3">
      <c r="A13" s="8" t="s">
        <v>18</v>
      </c>
      <c r="B13" s="9">
        <v>2.4798263548843416E-2</v>
      </c>
      <c r="C13" s="9">
        <v>2.0930232558139535E-2</v>
      </c>
      <c r="D13" s="9">
        <v>2.2222222222222223E-2</v>
      </c>
      <c r="E13" s="9">
        <v>2.34375E-2</v>
      </c>
      <c r="F13" s="9">
        <v>1.6304347826086956E-2</v>
      </c>
      <c r="G13" s="9">
        <v>2.6865671641791045E-2</v>
      </c>
      <c r="H13" s="9">
        <v>2.3696682464454975E-2</v>
      </c>
      <c r="I13" s="9">
        <v>0.2216266057305179</v>
      </c>
      <c r="J13" s="9">
        <f t="shared" si="1"/>
        <v>0.2216266057305179</v>
      </c>
      <c r="K13" s="9">
        <f t="shared" si="0"/>
        <v>0.16744186046511625</v>
      </c>
      <c r="L13" s="9">
        <f t="shared" si="0"/>
        <v>0.22222222222222221</v>
      </c>
      <c r="M13" s="9">
        <f t="shared" si="0"/>
        <v>0.2109375</v>
      </c>
      <c r="N13" s="9">
        <f t="shared" si="0"/>
        <v>0.19293478260869565</v>
      </c>
      <c r="O13" s="9">
        <f t="shared" si="0"/>
        <v>0.25074626865671645</v>
      </c>
      <c r="P13" s="9">
        <f t="shared" si="0"/>
        <v>0.17535545023696678</v>
      </c>
    </row>
    <row r="14" spans="1:16" x14ac:dyDescent="0.3">
      <c r="A14" s="8" t="s">
        <v>4</v>
      </c>
      <c r="B14" s="9">
        <v>2.6682473412023434E-2</v>
      </c>
      <c r="C14" s="9">
        <v>9.3023255813953487E-3</v>
      </c>
      <c r="D14" s="9">
        <v>1.6666666666666666E-2</v>
      </c>
      <c r="E14" s="9">
        <v>2.34375E-2</v>
      </c>
      <c r="F14" s="9">
        <v>2.717391304347826E-2</v>
      </c>
      <c r="G14" s="9">
        <v>1.7910447761194031E-2</v>
      </c>
      <c r="H14" s="9">
        <v>9.4786729857819912E-3</v>
      </c>
      <c r="I14" s="9">
        <v>0.24830907914254133</v>
      </c>
      <c r="J14" s="9">
        <f t="shared" si="1"/>
        <v>0.24830907914254133</v>
      </c>
      <c r="K14" s="9">
        <f t="shared" si="0"/>
        <v>0.1767441860465116</v>
      </c>
      <c r="L14" s="9">
        <f t="shared" si="0"/>
        <v>0.23888888888888887</v>
      </c>
      <c r="M14" s="9">
        <f t="shared" si="0"/>
        <v>0.234375</v>
      </c>
      <c r="N14" s="9">
        <f t="shared" si="0"/>
        <v>0.22010869565217392</v>
      </c>
      <c r="O14" s="9">
        <f t="shared" si="0"/>
        <v>0.2686567164179105</v>
      </c>
      <c r="P14" s="9">
        <f t="shared" si="0"/>
        <v>0.18483412322274878</v>
      </c>
    </row>
    <row r="15" spans="1:16" x14ac:dyDescent="0.3">
      <c r="A15" s="8" t="s">
        <v>19</v>
      </c>
      <c r="B15" s="9">
        <v>3.3746828628535758E-2</v>
      </c>
      <c r="C15" s="9">
        <v>1.8604651162790697E-2</v>
      </c>
      <c r="D15" s="9">
        <v>2.7777777777777776E-2</v>
      </c>
      <c r="E15" s="9">
        <v>2.734375E-2</v>
      </c>
      <c r="F15" s="9">
        <v>4.3478260869565216E-2</v>
      </c>
      <c r="G15" s="9">
        <v>2.0895522388059702E-2</v>
      </c>
      <c r="H15" s="9">
        <v>0</v>
      </c>
      <c r="I15" s="9">
        <v>0.28205590777107709</v>
      </c>
      <c r="J15" s="9">
        <f t="shared" si="1"/>
        <v>0.28205590777107709</v>
      </c>
      <c r="K15" s="9">
        <f t="shared" si="0"/>
        <v>0.1953488372093023</v>
      </c>
      <c r="L15" s="9">
        <f t="shared" si="0"/>
        <v>0.26666666666666666</v>
      </c>
      <c r="M15" s="9">
        <f t="shared" si="0"/>
        <v>0.26171875</v>
      </c>
      <c r="N15" s="9">
        <f t="shared" si="0"/>
        <v>0.26358695652173914</v>
      </c>
      <c r="O15" s="9">
        <f t="shared" si="0"/>
        <v>0.2895522388059702</v>
      </c>
      <c r="P15" s="9">
        <f t="shared" si="0"/>
        <v>0.18483412322274878</v>
      </c>
    </row>
    <row r="16" spans="1:16" x14ac:dyDescent="0.3">
      <c r="A16" s="8" t="s">
        <v>1</v>
      </c>
      <c r="B16" s="9">
        <v>3.8468807449787812E-2</v>
      </c>
      <c r="C16" s="9">
        <v>5.1162790697674418E-2</v>
      </c>
      <c r="D16" s="9">
        <v>6.6666666666666666E-2</v>
      </c>
      <c r="E16" s="9">
        <v>3.90625E-2</v>
      </c>
      <c r="F16" s="9">
        <v>5.9782608695652176E-2</v>
      </c>
      <c r="G16" s="9">
        <v>6.8656716417910449E-2</v>
      </c>
      <c r="H16" s="9">
        <v>0.14218009478672985</v>
      </c>
      <c r="I16" s="9">
        <v>0.3205247152208649</v>
      </c>
      <c r="J16" s="9">
        <f t="shared" si="1"/>
        <v>0.3205247152208649</v>
      </c>
      <c r="K16" s="9">
        <f t="shared" si="0"/>
        <v>0.24651162790697673</v>
      </c>
      <c r="L16" s="9">
        <f t="shared" si="0"/>
        <v>0.33333333333333331</v>
      </c>
      <c r="M16" s="9">
        <f t="shared" si="0"/>
        <v>0.30078125</v>
      </c>
      <c r="N16" s="9">
        <f t="shared" si="0"/>
        <v>0.3233695652173913</v>
      </c>
      <c r="O16" s="9">
        <f t="shared" si="0"/>
        <v>0.35820895522388063</v>
      </c>
      <c r="P16" s="9">
        <f t="shared" si="0"/>
        <v>0.32701421800947861</v>
      </c>
    </row>
    <row r="17" spans="1:16" x14ac:dyDescent="0.3">
      <c r="A17" s="8" t="s">
        <v>17</v>
      </c>
      <c r="B17" s="9">
        <v>4.6942024752446895E-2</v>
      </c>
      <c r="C17" s="9">
        <v>8.8372093023255813E-2</v>
      </c>
      <c r="D17" s="9">
        <v>6.1111111111111109E-2</v>
      </c>
      <c r="E17" s="9">
        <v>0.109375</v>
      </c>
      <c r="F17" s="9">
        <v>5.9782608695652176E-2</v>
      </c>
      <c r="G17" s="9">
        <v>6.2686567164179099E-2</v>
      </c>
      <c r="H17" s="9">
        <v>6.6350710900473939E-2</v>
      </c>
      <c r="I17" s="9">
        <v>0.36746673997331181</v>
      </c>
      <c r="J17" s="9">
        <f t="shared" si="1"/>
        <v>0.36746673997331181</v>
      </c>
      <c r="K17" s="9">
        <f t="shared" si="0"/>
        <v>0.33488372093023255</v>
      </c>
      <c r="L17" s="9">
        <f t="shared" si="0"/>
        <v>0.39444444444444443</v>
      </c>
      <c r="M17" s="9">
        <f t="shared" si="0"/>
        <v>0.41015625</v>
      </c>
      <c r="N17" s="9">
        <f t="shared" si="0"/>
        <v>0.38315217391304346</v>
      </c>
      <c r="O17" s="9">
        <f t="shared" si="0"/>
        <v>0.42089552238805972</v>
      </c>
      <c r="P17" s="9">
        <f t="shared" si="0"/>
        <v>0.39336492890995256</v>
      </c>
    </row>
    <row r="18" spans="1:16" x14ac:dyDescent="0.3">
      <c r="A18" s="8" t="s">
        <v>13</v>
      </c>
      <c r="B18" s="9">
        <v>5.4687902685428585E-2</v>
      </c>
      <c r="C18" s="9">
        <v>2.3255813953488372E-2</v>
      </c>
      <c r="D18" s="9">
        <v>0.13333333333333333</v>
      </c>
      <c r="E18" s="9">
        <v>1.953125E-2</v>
      </c>
      <c r="F18" s="9">
        <v>1.9021739130434784E-2</v>
      </c>
      <c r="G18" s="9">
        <v>2.6865671641791045E-2</v>
      </c>
      <c r="H18" s="9">
        <v>1.4218009478672985E-2</v>
      </c>
      <c r="I18" s="9">
        <v>0.42215464265874036</v>
      </c>
      <c r="J18" s="9">
        <f t="shared" si="1"/>
        <v>0.42215464265874036</v>
      </c>
      <c r="K18" s="9">
        <f t="shared" si="0"/>
        <v>0.35813953488372091</v>
      </c>
      <c r="L18" s="9">
        <f t="shared" si="0"/>
        <v>0.52777777777777779</v>
      </c>
      <c r="M18" s="9">
        <f t="shared" si="0"/>
        <v>0.4296875</v>
      </c>
      <c r="N18" s="9">
        <f t="shared" si="0"/>
        <v>0.40217391304347827</v>
      </c>
      <c r="O18" s="9">
        <f t="shared" si="0"/>
        <v>0.44776119402985076</v>
      </c>
      <c r="P18" s="9">
        <f t="shared" si="0"/>
        <v>0.40758293838862553</v>
      </c>
    </row>
    <row r="19" spans="1:16" x14ac:dyDescent="0.3">
      <c r="A19" s="8" t="s">
        <v>21</v>
      </c>
      <c r="B19" s="9">
        <v>5.6795468732997727E-2</v>
      </c>
      <c r="C19" s="9">
        <v>2.7906976744186046E-2</v>
      </c>
      <c r="D19" s="9">
        <v>3.888888888888889E-2</v>
      </c>
      <c r="E19" s="9">
        <v>1.171875E-2</v>
      </c>
      <c r="F19" s="9">
        <v>5.7065217391304345E-2</v>
      </c>
      <c r="G19" s="9">
        <v>3.880597014925373E-2</v>
      </c>
      <c r="H19" s="9">
        <v>2.3696682464454975E-2</v>
      </c>
      <c r="I19" s="9">
        <v>0.4789501113917381</v>
      </c>
      <c r="J19" s="9">
        <f t="shared" si="1"/>
        <v>0.4789501113917381</v>
      </c>
      <c r="K19" s="9">
        <f t="shared" si="1"/>
        <v>0.38604651162790693</v>
      </c>
      <c r="L19" s="9">
        <f t="shared" si="1"/>
        <v>0.56666666666666665</v>
      </c>
      <c r="M19" s="9">
        <f t="shared" si="1"/>
        <v>0.44140625</v>
      </c>
      <c r="N19" s="9">
        <f t="shared" si="1"/>
        <v>0.45923913043478259</v>
      </c>
      <c r="O19" s="9">
        <f t="shared" si="1"/>
        <v>0.48656716417910451</v>
      </c>
      <c r="P19" s="9">
        <f t="shared" si="1"/>
        <v>0.43127962085308053</v>
      </c>
    </row>
    <row r="20" spans="1:16" x14ac:dyDescent="0.3">
      <c r="A20" s="8" t="s">
        <v>9</v>
      </c>
      <c r="B20" s="9">
        <v>5.7024551999037852E-2</v>
      </c>
      <c r="C20" s="9">
        <v>6.7441860465116285E-2</v>
      </c>
      <c r="D20" s="9">
        <v>0.05</v>
      </c>
      <c r="E20" s="9">
        <v>3.125E-2</v>
      </c>
      <c r="F20" s="9">
        <v>4.0760869565217392E-2</v>
      </c>
      <c r="G20" s="9">
        <v>2.3880597014925373E-2</v>
      </c>
      <c r="H20" s="9">
        <v>5.6872037914691941E-2</v>
      </c>
      <c r="I20" s="9">
        <v>0.53597466339077593</v>
      </c>
      <c r="J20" s="9">
        <f t="shared" ref="J20:P24" si="2">J19+B20</f>
        <v>0.53597466339077593</v>
      </c>
      <c r="K20" s="9">
        <f t="shared" si="2"/>
        <v>0.45348837209302323</v>
      </c>
      <c r="L20" s="9">
        <f t="shared" si="2"/>
        <v>0.6166666666666667</v>
      </c>
      <c r="M20" s="9">
        <f t="shared" si="2"/>
        <v>0.47265625</v>
      </c>
      <c r="N20" s="9">
        <f t="shared" si="2"/>
        <v>0.5</v>
      </c>
      <c r="O20" s="9">
        <f t="shared" si="2"/>
        <v>0.5104477611940299</v>
      </c>
      <c r="P20" s="9">
        <f t="shared" si="2"/>
        <v>0.48815165876777245</v>
      </c>
    </row>
    <row r="21" spans="1:16" x14ac:dyDescent="0.3">
      <c r="A21" s="8" t="s">
        <v>8</v>
      </c>
      <c r="B21" s="9">
        <v>5.7651667439822689E-2</v>
      </c>
      <c r="C21" s="9">
        <v>3.4883720930232558E-2</v>
      </c>
      <c r="D21" s="9">
        <v>3.3333333333333333E-2</v>
      </c>
      <c r="E21" s="9">
        <v>4.6875E-2</v>
      </c>
      <c r="F21" s="9">
        <v>5.1630434782608696E-2</v>
      </c>
      <c r="G21" s="9">
        <v>2.6865671641791045E-2</v>
      </c>
      <c r="H21" s="9">
        <v>3.3175355450236969E-2</v>
      </c>
      <c r="I21" s="9">
        <v>0.59362633083059857</v>
      </c>
      <c r="J21" s="9">
        <f t="shared" si="2"/>
        <v>0.59362633083059857</v>
      </c>
      <c r="K21" s="9">
        <f t="shared" si="2"/>
        <v>0.48837209302325579</v>
      </c>
      <c r="L21" s="9">
        <f t="shared" si="2"/>
        <v>0.65</v>
      </c>
      <c r="M21" s="9">
        <f t="shared" si="2"/>
        <v>0.51953125</v>
      </c>
      <c r="N21" s="9">
        <f t="shared" si="2"/>
        <v>0.55163043478260865</v>
      </c>
      <c r="O21" s="9">
        <f t="shared" si="2"/>
        <v>0.53731343283582089</v>
      </c>
      <c r="P21" s="9">
        <f t="shared" si="2"/>
        <v>0.52132701421800942</v>
      </c>
    </row>
    <row r="22" spans="1:16" x14ac:dyDescent="0.3">
      <c r="A22" s="8" t="s">
        <v>11</v>
      </c>
      <c r="B22" s="9">
        <v>6.5557903659032468E-2</v>
      </c>
      <c r="C22" s="9">
        <v>3.255813953488372E-2</v>
      </c>
      <c r="D22" s="9">
        <v>1.6666666666666666E-2</v>
      </c>
      <c r="E22" s="9">
        <v>3.515625E-2</v>
      </c>
      <c r="F22" s="9">
        <v>7.6086956521739135E-2</v>
      </c>
      <c r="G22" s="9">
        <v>6.2686567164179099E-2</v>
      </c>
      <c r="H22" s="9">
        <v>9.004739336492891E-2</v>
      </c>
      <c r="I22" s="9">
        <v>0.65918423448963104</v>
      </c>
      <c r="J22" s="9">
        <f t="shared" si="2"/>
        <v>0.65918423448963104</v>
      </c>
      <c r="K22" s="9">
        <f t="shared" si="2"/>
        <v>0.52093023255813953</v>
      </c>
      <c r="L22" s="9">
        <f t="shared" si="2"/>
        <v>0.66666666666666674</v>
      </c>
      <c r="M22" s="9">
        <f t="shared" si="2"/>
        <v>0.5546875</v>
      </c>
      <c r="N22" s="9">
        <f t="shared" si="2"/>
        <v>0.62771739130434778</v>
      </c>
      <c r="O22" s="9">
        <f t="shared" si="2"/>
        <v>0.6</v>
      </c>
      <c r="P22" s="9">
        <f t="shared" si="2"/>
        <v>0.61137440758293837</v>
      </c>
    </row>
    <row r="23" spans="1:16" x14ac:dyDescent="0.3">
      <c r="A23" s="8" t="s">
        <v>14</v>
      </c>
      <c r="B23" s="9">
        <v>7.7158107543139245E-2</v>
      </c>
      <c r="C23" s="9">
        <v>0.13023255813953488</v>
      </c>
      <c r="D23" s="9">
        <v>6.1111111111111109E-2</v>
      </c>
      <c r="E23" s="9">
        <v>8.59375E-2</v>
      </c>
      <c r="F23" s="9">
        <v>4.619565217391304E-2</v>
      </c>
      <c r="G23" s="9">
        <v>6.8656716417910449E-2</v>
      </c>
      <c r="H23" s="9">
        <v>8.0568720379146919E-2</v>
      </c>
      <c r="I23" s="9">
        <v>0.73634234203277027</v>
      </c>
      <c r="J23" s="9">
        <f t="shared" si="2"/>
        <v>0.73634234203277027</v>
      </c>
      <c r="K23" s="9">
        <f t="shared" si="2"/>
        <v>0.65116279069767447</v>
      </c>
      <c r="L23" s="9">
        <f t="shared" si="2"/>
        <v>0.72777777777777786</v>
      </c>
      <c r="M23" s="9">
        <f t="shared" si="2"/>
        <v>0.640625</v>
      </c>
      <c r="N23" s="9">
        <f t="shared" si="2"/>
        <v>0.67391304347826086</v>
      </c>
      <c r="O23" s="9">
        <f t="shared" si="2"/>
        <v>0.66865671641791047</v>
      </c>
      <c r="P23" s="9">
        <f t="shared" si="2"/>
        <v>0.69194312796208535</v>
      </c>
    </row>
    <row r="24" spans="1:16" x14ac:dyDescent="0.3">
      <c r="A24" s="8" t="s">
        <v>0</v>
      </c>
      <c r="B24" s="9">
        <v>0.26365765796722962</v>
      </c>
      <c r="C24" s="9">
        <v>0.34883720930232559</v>
      </c>
      <c r="D24" s="9">
        <v>0.2722222222222222</v>
      </c>
      <c r="E24" s="9">
        <v>0.359375</v>
      </c>
      <c r="F24" s="9">
        <v>0.32608695652173914</v>
      </c>
      <c r="G24" s="9">
        <v>0.33134328358208953</v>
      </c>
      <c r="H24" s="9">
        <v>0.30805687203791471</v>
      </c>
      <c r="I24" s="9">
        <v>0.99999999999999989</v>
      </c>
      <c r="J24" s="9">
        <f t="shared" si="2"/>
        <v>0.99999999999999989</v>
      </c>
      <c r="K24" s="9">
        <f t="shared" si="2"/>
        <v>1</v>
      </c>
      <c r="L24" s="9">
        <f t="shared" si="2"/>
        <v>1</v>
      </c>
      <c r="M24" s="9">
        <f t="shared" si="2"/>
        <v>1</v>
      </c>
      <c r="N24" s="9">
        <f t="shared" si="2"/>
        <v>1</v>
      </c>
      <c r="O24" s="9">
        <f t="shared" si="2"/>
        <v>1</v>
      </c>
      <c r="P24" s="9">
        <f t="shared" si="2"/>
        <v>1</v>
      </c>
    </row>
    <row r="27" spans="1:16" ht="28.8" x14ac:dyDescent="0.3">
      <c r="B27" s="10" t="s">
        <v>23</v>
      </c>
      <c r="C27" s="11" t="s">
        <v>61</v>
      </c>
      <c r="D27" s="11" t="s">
        <v>62</v>
      </c>
      <c r="E27" s="11" t="s">
        <v>63</v>
      </c>
      <c r="F27" s="11" t="s">
        <v>64</v>
      </c>
      <c r="G27" s="11" t="s">
        <v>65</v>
      </c>
      <c r="H27" s="11" t="s">
        <v>66</v>
      </c>
      <c r="J27" s="8"/>
      <c r="K27" s="12" t="s">
        <v>67</v>
      </c>
      <c r="L27" s="12" t="s">
        <v>68</v>
      </c>
      <c r="M27" s="12" t="s">
        <v>69</v>
      </c>
      <c r="N27" s="12" t="s">
        <v>70</v>
      </c>
      <c r="O27" s="12" t="s">
        <v>71</v>
      </c>
      <c r="P27" s="12" t="s">
        <v>72</v>
      </c>
    </row>
    <row r="28" spans="1:16" x14ac:dyDescent="0.3">
      <c r="B28" s="8" t="s">
        <v>20</v>
      </c>
      <c r="C28" s="9">
        <f>C2-B2</f>
        <v>1.2242769126554788E-3</v>
      </c>
      <c r="D28" s="9">
        <f>D2-B2</f>
        <v>-2.5224931131843141E-3</v>
      </c>
      <c r="E28" s="9">
        <f>E2-B2</f>
        <v>1.145320133126013E-2</v>
      </c>
      <c r="F28" s="9">
        <f>F2-B2</f>
        <v>7.4125244303608132E-5</v>
      </c>
      <c r="G28" s="9">
        <f>G2-B2</f>
        <v>-5.0929740418741987E-3</v>
      </c>
      <c r="H28" s="9">
        <f>H2-B2</f>
        <v>-3.3387121758488743E-3</v>
      </c>
      <c r="J28" s="8" t="s">
        <v>20</v>
      </c>
      <c r="K28" s="8">
        <f>(J2-0) * ((K2+0))</f>
        <v>7.5144638778975526E-5</v>
      </c>
      <c r="L28" s="8">
        <f>(J2-0) * ((L2+0))</f>
        <v>4.4878048159665945E-5</v>
      </c>
      <c r="M28" s="8">
        <f>(J2-0) * ((M2+0))</f>
        <v>1.577743880613256E-4</v>
      </c>
      <c r="N28" s="8">
        <f>(J2-0) * ((N2+0))</f>
        <v>6.5853657625596768E-5</v>
      </c>
      <c r="O28" s="8">
        <f>(J2-0) * ((O2+0))</f>
        <v>2.4113578115641402E-5</v>
      </c>
      <c r="P28" s="8">
        <f>(J2-0) * ((P2+0))</f>
        <v>3.8284590847108389E-5</v>
      </c>
    </row>
    <row r="29" spans="1:16" x14ac:dyDescent="0.3">
      <c r="B29" s="8" t="s">
        <v>22</v>
      </c>
      <c r="C29" s="9">
        <f t="shared" ref="C29:C50" si="3">C3-B3</f>
        <v>-6.531350377927455E-3</v>
      </c>
      <c r="D29" s="9">
        <f t="shared" ref="D29:D50" si="4">D3-B3</f>
        <v>2.2541793378348194E-3</v>
      </c>
      <c r="E29" s="9">
        <f t="shared" ref="E29:E50" si="5">E3-B3</f>
        <v>-1.0444317732762921E-3</v>
      </c>
      <c r="F29" s="9">
        <f t="shared" ref="F29:F50" si="6">F3-B3</f>
        <v>-7.047578602328141E-4</v>
      </c>
      <c r="G29" s="9">
        <f t="shared" ref="G29:G50" si="7">G3-B3</f>
        <v>-2.8867825195449488E-3</v>
      </c>
      <c r="H29" s="9">
        <f t="shared" ref="H29:H50" si="8">H3-B3</f>
        <v>-4.1175952803852965E-3</v>
      </c>
      <c r="J29" s="8" t="s">
        <v>22</v>
      </c>
      <c r="K29" s="8">
        <f>(J3-J2) * ((K3+K2))</f>
        <v>1.8537764176624797E-4</v>
      </c>
      <c r="L29" s="8">
        <f>(J3-J2) * ((L3+L2))</f>
        <v>1.9682070607280651E-4</v>
      </c>
      <c r="M29" s="8">
        <f>(J3-J2) * ((M3+M2))</f>
        <v>4.1516867687232619E-4</v>
      </c>
      <c r="N29" s="8">
        <f>(J3-J2) * ((N3+N2))</f>
        <v>2.1660974445512668E-4</v>
      </c>
      <c r="O29" s="8">
        <f>(J3-J2) * ((O3+O2))</f>
        <v>1.0575440923314976E-4</v>
      </c>
      <c r="P29" s="8">
        <f>(J3-J2) * ((P3+P2))</f>
        <v>1.2592793990440226E-4</v>
      </c>
    </row>
    <row r="30" spans="1:16" x14ac:dyDescent="0.3">
      <c r="B30" s="8" t="s">
        <v>6</v>
      </c>
      <c r="C30" s="9">
        <f t="shared" si="3"/>
        <v>7.8123520365169386E-3</v>
      </c>
      <c r="D30" s="9">
        <f t="shared" si="4"/>
        <v>3.5487861450440705E-3</v>
      </c>
      <c r="E30" s="9">
        <f t="shared" si="5"/>
        <v>-1.399130521622596E-3</v>
      </c>
      <c r="F30" s="9">
        <f t="shared" si="6"/>
        <v>-7.683097912926944E-3</v>
      </c>
      <c r="G30" s="9">
        <f t="shared" si="7"/>
        <v>-7.1477312678912526E-3</v>
      </c>
      <c r="H30" s="9">
        <f t="shared" si="8"/>
        <v>1.1001289570503892E-3</v>
      </c>
      <c r="J30" s="8" t="s">
        <v>6</v>
      </c>
      <c r="K30" s="8">
        <f t="shared" ref="K30:K50" si="9">(J4-J3) * ((K4+K3))</f>
        <v>5.7962727886239388E-4</v>
      </c>
      <c r="L30" s="8">
        <f t="shared" ref="L30:L50" si="10">(J4-J3) * ((L4+L3))</f>
        <v>6.5589402608112995E-4</v>
      </c>
      <c r="M30" s="8">
        <f t="shared" ref="M30:M50" si="11">(J4-J3) * ((M4+M3))</f>
        <v>8.7110925338900066E-4</v>
      </c>
      <c r="N30" s="8">
        <f t="shared" ref="N30:N50" si="12">(J4-J3) * ((N4+N3))</f>
        <v>4.990498024530336E-4</v>
      </c>
      <c r="O30" s="8">
        <f t="shared" ref="O30:O50" si="13">(J4-J3) * ((O4+O3))</f>
        <v>3.1326281842680834E-4</v>
      </c>
      <c r="P30" s="8">
        <f t="shared" ref="P30:P50" si="14">(J4-J3) * ((P4+P3))</f>
        <v>4.351903490585696E-4</v>
      </c>
    </row>
    <row r="31" spans="1:16" x14ac:dyDescent="0.3">
      <c r="B31" s="8" t="s">
        <v>5</v>
      </c>
      <c r="C31" s="9">
        <f t="shared" si="3"/>
        <v>2.2967861615593756E-3</v>
      </c>
      <c r="D31" s="9">
        <f t="shared" si="4"/>
        <v>5.9143572209909012E-3</v>
      </c>
      <c r="E31" s="9">
        <f t="shared" si="5"/>
        <v>-4.5891150012313218E-3</v>
      </c>
      <c r="F31" s="9">
        <f t="shared" si="6"/>
        <v>-1.3590473696883496E-2</v>
      </c>
      <c r="G31" s="9">
        <f t="shared" si="7"/>
        <v>-4.3675664937686352E-3</v>
      </c>
      <c r="H31" s="9">
        <f t="shared" si="8"/>
        <v>-6.8291920154493306E-3</v>
      </c>
      <c r="J31" s="8" t="s">
        <v>5</v>
      </c>
      <c r="K31" s="8">
        <f t="shared" si="9"/>
        <v>1.3653096280100638E-3</v>
      </c>
      <c r="L31" s="8">
        <f t="shared" si="10"/>
        <v>1.4495880001094503E-3</v>
      </c>
      <c r="M31" s="8">
        <f t="shared" si="11"/>
        <v>1.4651597462043762E-3</v>
      </c>
      <c r="N31" s="8">
        <f t="shared" si="12"/>
        <v>7.5335245929601191E-4</v>
      </c>
      <c r="O31" s="8">
        <f t="shared" si="13"/>
        <v>6.8152271646936859E-4</v>
      </c>
      <c r="P31" s="8">
        <f t="shared" si="14"/>
        <v>9.2746151665770542E-4</v>
      </c>
    </row>
    <row r="32" spans="1:16" x14ac:dyDescent="0.3">
      <c r="B32" s="8" t="s">
        <v>2</v>
      </c>
      <c r="C32" s="9">
        <f t="shared" si="3"/>
        <v>-7.7013798404328496E-3</v>
      </c>
      <c r="D32" s="9">
        <f t="shared" si="4"/>
        <v>-3.3703875516153184E-4</v>
      </c>
      <c r="E32" s="9">
        <f t="shared" si="5"/>
        <v>-9.1912054218281983E-3</v>
      </c>
      <c r="F32" s="9">
        <f t="shared" si="6"/>
        <v>-6.1341402044368942E-3</v>
      </c>
      <c r="G32" s="9">
        <f t="shared" si="7"/>
        <v>9.8619662199628463E-3</v>
      </c>
      <c r="H32" s="9">
        <f t="shared" si="8"/>
        <v>-2.7856959431552131E-3</v>
      </c>
      <c r="J32" s="8" t="s">
        <v>2</v>
      </c>
      <c r="K32" s="8">
        <f t="shared" si="9"/>
        <v>1.8980880470877996E-3</v>
      </c>
      <c r="L32" s="8">
        <f t="shared" si="10"/>
        <v>2.1726956927891595E-3</v>
      </c>
      <c r="M32" s="8">
        <f t="shared" si="11"/>
        <v>1.8597802805124599E-3</v>
      </c>
      <c r="N32" s="8">
        <f t="shared" si="12"/>
        <v>1.0165258676092948E-3</v>
      </c>
      <c r="O32" s="8">
        <f t="shared" si="13"/>
        <v>1.370447899669736E-3</v>
      </c>
      <c r="P32" s="8">
        <f t="shared" si="14"/>
        <v>1.369966787540661E-3</v>
      </c>
    </row>
    <row r="33" spans="2:16" x14ac:dyDescent="0.3">
      <c r="B33" s="8" t="s">
        <v>10</v>
      </c>
      <c r="C33" s="9">
        <f t="shared" si="3"/>
        <v>3.0359659395803526E-3</v>
      </c>
      <c r="D33" s="9">
        <f t="shared" si="4"/>
        <v>9.8835111592185942E-3</v>
      </c>
      <c r="E33" s="9">
        <f t="shared" si="5"/>
        <v>3.2886983381440818E-2</v>
      </c>
      <c r="F33" s="9">
        <f t="shared" si="6"/>
        <v>2.286660294665821E-2</v>
      </c>
      <c r="G33" s="9">
        <f t="shared" si="7"/>
        <v>5.0762449799351267E-2</v>
      </c>
      <c r="H33" s="9">
        <f t="shared" si="8"/>
        <v>3.4238434803241763E-2</v>
      </c>
      <c r="J33" s="8" t="s">
        <v>10</v>
      </c>
      <c r="K33" s="8">
        <f t="shared" si="9"/>
        <v>2.5384889854235121E-3</v>
      </c>
      <c r="L33" s="8">
        <f t="shared" si="10"/>
        <v>3.0817903620851926E-3</v>
      </c>
      <c r="M33" s="8">
        <f t="shared" si="11"/>
        <v>3.0056775960861128E-3</v>
      </c>
      <c r="N33" s="8">
        <f t="shared" si="12"/>
        <v>1.9936547047851262E-3</v>
      </c>
      <c r="O33" s="8">
        <f t="shared" si="13"/>
        <v>3.1515275537163929E-3</v>
      </c>
      <c r="P33" s="8">
        <f t="shared" si="14"/>
        <v>2.6290154747646193E-3</v>
      </c>
    </row>
    <row r="34" spans="2:16" x14ac:dyDescent="0.3">
      <c r="B34" s="8" t="s">
        <v>16</v>
      </c>
      <c r="C34" s="9">
        <f t="shared" si="3"/>
        <v>-1.8426498967060889E-2</v>
      </c>
      <c r="D34" s="9">
        <f t="shared" si="4"/>
        <v>-2.0752080362409726E-2</v>
      </c>
      <c r="E34" s="9">
        <f t="shared" si="5"/>
        <v>-2.0752080362409726E-2</v>
      </c>
      <c r="F34" s="9">
        <f t="shared" si="6"/>
        <v>1.7291397898459841E-2</v>
      </c>
      <c r="G34" s="9">
        <f t="shared" si="7"/>
        <v>2.9994188294306688E-2</v>
      </c>
      <c r="H34" s="9">
        <f t="shared" si="8"/>
        <v>-1.1273407376627735E-2</v>
      </c>
      <c r="J34" s="8" t="s">
        <v>16</v>
      </c>
      <c r="K34" s="8">
        <f t="shared" si="9"/>
        <v>3.4265062923978865E-3</v>
      </c>
      <c r="L34" s="8">
        <f t="shared" si="10"/>
        <v>4.1504160724819463E-3</v>
      </c>
      <c r="M34" s="8">
        <f t="shared" si="11"/>
        <v>4.5395175792771296E-3</v>
      </c>
      <c r="N34" s="8">
        <f t="shared" si="12"/>
        <v>3.9474065906757649E-3</v>
      </c>
      <c r="O34" s="8">
        <f t="shared" si="13"/>
        <v>6.1327043459061597E-3</v>
      </c>
      <c r="P34" s="8">
        <f t="shared" si="14"/>
        <v>4.3274480376589014E-3</v>
      </c>
    </row>
    <row r="35" spans="2:16" x14ac:dyDescent="0.3">
      <c r="B35" s="8" t="s">
        <v>7</v>
      </c>
      <c r="C35" s="9">
        <f t="shared" si="3"/>
        <v>-8.6627570677182131E-3</v>
      </c>
      <c r="D35" s="9">
        <f t="shared" si="4"/>
        <v>-1.706068988425568E-2</v>
      </c>
      <c r="E35" s="9">
        <f t="shared" si="5"/>
        <v>-6.9912454398112361E-3</v>
      </c>
      <c r="F35" s="9">
        <f t="shared" si="6"/>
        <v>-1.9898854135463412E-2</v>
      </c>
      <c r="G35" s="9">
        <f t="shared" si="7"/>
        <v>-1.6646096186079894E-2</v>
      </c>
      <c r="H35" s="9">
        <f t="shared" si="8"/>
        <v>-8.398235961138251E-3</v>
      </c>
      <c r="J35" s="8" t="s">
        <v>7</v>
      </c>
      <c r="K35" s="8">
        <f t="shared" si="9"/>
        <v>4.1024817309425034E-3</v>
      </c>
      <c r="L35" s="8">
        <f t="shared" si="10"/>
        <v>4.6488948959611982E-3</v>
      </c>
      <c r="M35" s="8">
        <f t="shared" si="11"/>
        <v>5.3006825249557587E-3</v>
      </c>
      <c r="N35" s="8">
        <f t="shared" si="12"/>
        <v>5.2238610390868351E-3</v>
      </c>
      <c r="O35" s="8">
        <f t="shared" si="13"/>
        <v>7.9663192892469436E-3</v>
      </c>
      <c r="P35" s="8">
        <f t="shared" si="14"/>
        <v>5.252113869908771E-3</v>
      </c>
    </row>
    <row r="36" spans="2:16" x14ac:dyDescent="0.3">
      <c r="B36" s="8" t="s">
        <v>3</v>
      </c>
      <c r="C36" s="9">
        <f t="shared" si="3"/>
        <v>-7.4482295126639779E-3</v>
      </c>
      <c r="D36" s="9">
        <f t="shared" si="4"/>
        <v>-7.0606326134391717E-3</v>
      </c>
      <c r="E36" s="9">
        <f t="shared" si="5"/>
        <v>-2.8979928010583814E-4</v>
      </c>
      <c r="F36" s="9">
        <f t="shared" si="6"/>
        <v>7.292224590245977E-4</v>
      </c>
      <c r="G36" s="9">
        <f t="shared" si="7"/>
        <v>-2.831776892046136E-3</v>
      </c>
      <c r="H36" s="9">
        <f t="shared" si="8"/>
        <v>-1.4248626294323847E-2</v>
      </c>
      <c r="J36" s="8" t="s">
        <v>3</v>
      </c>
      <c r="K36" s="8">
        <f t="shared" si="9"/>
        <v>5.0213586848596092E-3</v>
      </c>
      <c r="L36" s="8">
        <f t="shared" si="10"/>
        <v>5.4045515026907758E-3</v>
      </c>
      <c r="M36" s="8">
        <f t="shared" si="11"/>
        <v>6.4879333969039433E-3</v>
      </c>
      <c r="N36" s="8">
        <f t="shared" si="12"/>
        <v>6.1252538902447171E-3</v>
      </c>
      <c r="O36" s="8">
        <f t="shared" si="13"/>
        <v>8.9951253987266954E-3</v>
      </c>
      <c r="P36" s="8">
        <f t="shared" si="14"/>
        <v>6.0723893892214017E-3</v>
      </c>
    </row>
    <row r="37" spans="2:16" x14ac:dyDescent="0.3">
      <c r="B37" s="8" t="s">
        <v>15</v>
      </c>
      <c r="C37" s="9">
        <f t="shared" si="3"/>
        <v>-2.802793803617306E-3</v>
      </c>
      <c r="D37" s="9">
        <f t="shared" si="4"/>
        <v>-2.3733026361756841E-2</v>
      </c>
      <c r="E37" s="9">
        <f t="shared" si="5"/>
        <v>1.5329473638243159E-2</v>
      </c>
      <c r="F37" s="9">
        <f t="shared" si="6"/>
        <v>-1.0146069840017711E-2</v>
      </c>
      <c r="G37" s="9">
        <f t="shared" si="7"/>
        <v>-1.7762877108025498E-2</v>
      </c>
      <c r="H37" s="9">
        <f t="shared" si="8"/>
        <v>-1.4254353375974849E-2</v>
      </c>
      <c r="J37" s="8" t="s">
        <v>15</v>
      </c>
      <c r="K37" s="8">
        <f t="shared" si="9"/>
        <v>5.9056600481580965E-3</v>
      </c>
      <c r="L37" s="8">
        <f t="shared" si="10"/>
        <v>5.8014064439850035E-3</v>
      </c>
      <c r="M37" s="8">
        <f t="shared" si="11"/>
        <v>7.9728135434026879E-3</v>
      </c>
      <c r="N37" s="8">
        <f t="shared" si="12"/>
        <v>7.0296192212812381E-3</v>
      </c>
      <c r="O37" s="8">
        <f t="shared" si="13"/>
        <v>9.6349002543251652E-3</v>
      </c>
      <c r="P37" s="8">
        <f t="shared" si="14"/>
        <v>6.5237702795350539E-3</v>
      </c>
    </row>
    <row r="38" spans="2:16" x14ac:dyDescent="0.3">
      <c r="B38" s="8" t="s">
        <v>12</v>
      </c>
      <c r="C38" s="9">
        <f t="shared" si="3"/>
        <v>-1.3113085755589199E-2</v>
      </c>
      <c r="D38" s="9">
        <f t="shared" si="4"/>
        <v>5.3036785045444394E-2</v>
      </c>
      <c r="E38" s="9">
        <f t="shared" si="5"/>
        <v>-2.4740992732333385E-2</v>
      </c>
      <c r="F38" s="9">
        <f t="shared" si="6"/>
        <v>-3.0018622975507767E-3</v>
      </c>
      <c r="G38" s="9">
        <f t="shared" si="7"/>
        <v>-6.8305449711393539E-3</v>
      </c>
      <c r="H38" s="9">
        <f t="shared" si="8"/>
        <v>-1.5262319746551394E-2</v>
      </c>
      <c r="J38" s="8" t="s">
        <v>12</v>
      </c>
      <c r="K38" s="8">
        <f t="shared" si="9"/>
        <v>6.9620002804938108E-3</v>
      </c>
      <c r="L38" s="8">
        <f t="shared" si="10"/>
        <v>7.9720976581963091E-3</v>
      </c>
      <c r="M38" s="8">
        <f t="shared" si="11"/>
        <v>9.2778722746250167E-3</v>
      </c>
      <c r="N38" s="8">
        <f t="shared" si="12"/>
        <v>8.2021769384366099E-3</v>
      </c>
      <c r="O38" s="8">
        <f t="shared" si="13"/>
        <v>1.0634934189420915E-2</v>
      </c>
      <c r="P38" s="8">
        <f t="shared" si="14"/>
        <v>7.2698651630553031E-3</v>
      </c>
    </row>
    <row r="39" spans="2:16" x14ac:dyDescent="0.3">
      <c r="B39" s="8" t="s">
        <v>18</v>
      </c>
      <c r="C39" s="9">
        <f t="shared" si="3"/>
        <v>-3.8680309907038815E-3</v>
      </c>
      <c r="D39" s="9">
        <f t="shared" si="4"/>
        <v>-2.576041326621193E-3</v>
      </c>
      <c r="E39" s="9">
        <f t="shared" si="5"/>
        <v>-1.3607635488434161E-3</v>
      </c>
      <c r="F39" s="9">
        <f t="shared" si="6"/>
        <v>-8.49391572275646E-3</v>
      </c>
      <c r="G39" s="9">
        <f t="shared" si="7"/>
        <v>2.0674080929476285E-3</v>
      </c>
      <c r="H39" s="9">
        <f t="shared" si="8"/>
        <v>-1.1015810843884415E-3</v>
      </c>
      <c r="J39" s="8" t="s">
        <v>18</v>
      </c>
      <c r="K39" s="8">
        <f t="shared" si="9"/>
        <v>7.7855013467299037E-3</v>
      </c>
      <c r="L39" s="8">
        <f t="shared" si="10"/>
        <v>1.0470377942844991E-2</v>
      </c>
      <c r="M39" s="8">
        <f t="shared" si="11"/>
        <v>9.8805581327422939E-3</v>
      </c>
      <c r="N39" s="8">
        <f t="shared" si="12"/>
        <v>9.1645756593551706E-3</v>
      </c>
      <c r="O39" s="8">
        <f t="shared" si="13"/>
        <v>1.1769922102286869E-2</v>
      </c>
      <c r="P39" s="8">
        <f t="shared" si="14"/>
        <v>8.1093847624179836E-3</v>
      </c>
    </row>
    <row r="40" spans="2:16" x14ac:dyDescent="0.3">
      <c r="B40" s="8" t="s">
        <v>4</v>
      </c>
      <c r="C40" s="9">
        <f t="shared" si="3"/>
        <v>-1.7380147830628086E-2</v>
      </c>
      <c r="D40" s="9">
        <f t="shared" si="4"/>
        <v>-1.0015806745356768E-2</v>
      </c>
      <c r="E40" s="9">
        <f t="shared" si="5"/>
        <v>-3.2449734120234344E-3</v>
      </c>
      <c r="F40" s="9">
        <f t="shared" si="6"/>
        <v>4.9143963145482569E-4</v>
      </c>
      <c r="G40" s="9">
        <f t="shared" si="7"/>
        <v>-8.7720256508294035E-3</v>
      </c>
      <c r="H40" s="9">
        <f t="shared" si="8"/>
        <v>-1.7203800426241443E-2</v>
      </c>
      <c r="J40" s="8" t="s">
        <v>4</v>
      </c>
      <c r="K40" s="8">
        <f t="shared" si="9"/>
        <v>9.1837350348359693E-3</v>
      </c>
      <c r="L40" s="8">
        <f t="shared" si="10"/>
        <v>1.2303584962210802E-2</v>
      </c>
      <c r="M40" s="8">
        <f t="shared" si="11"/>
        <v>1.1882038941291683E-2</v>
      </c>
      <c r="N40" s="8">
        <f t="shared" si="12"/>
        <v>1.1021021626705329E-2</v>
      </c>
      <c r="O40" s="8">
        <f t="shared" si="13"/>
        <v>1.3858956339379334E-2</v>
      </c>
      <c r="P40" s="8">
        <f t="shared" si="14"/>
        <v>9.6107487171269209E-3</v>
      </c>
    </row>
    <row r="41" spans="2:16" x14ac:dyDescent="0.3">
      <c r="B41" s="8" t="s">
        <v>19</v>
      </c>
      <c r="C41" s="9">
        <f t="shared" si="3"/>
        <v>-1.514217746574506E-2</v>
      </c>
      <c r="D41" s="9">
        <f t="shared" si="4"/>
        <v>-5.9690508507579815E-3</v>
      </c>
      <c r="E41" s="9">
        <f t="shared" si="5"/>
        <v>-6.4030786285357577E-3</v>
      </c>
      <c r="F41" s="9">
        <f t="shared" si="6"/>
        <v>9.7314322410294585E-3</v>
      </c>
      <c r="G41" s="9">
        <f t="shared" si="7"/>
        <v>-1.2851306240476056E-2</v>
      </c>
      <c r="H41" s="9">
        <f t="shared" si="8"/>
        <v>-3.3746828628535758E-2</v>
      </c>
      <c r="J41" s="8" t="s">
        <v>19</v>
      </c>
      <c r="K41" s="8">
        <f t="shared" si="9"/>
        <v>1.2556959489687722E-2</v>
      </c>
      <c r="L41" s="8">
        <f t="shared" si="10"/>
        <v>1.7060896695537522E-2</v>
      </c>
      <c r="M41" s="8">
        <f t="shared" si="11"/>
        <v>1.6741590764937662E-2</v>
      </c>
      <c r="N41" s="8">
        <f t="shared" si="12"/>
        <v>1.6323194282280885E-2</v>
      </c>
      <c r="O41" s="8">
        <f t="shared" si="13"/>
        <v>1.8837781950854292E-2</v>
      </c>
      <c r="P41" s="8">
        <f t="shared" si="14"/>
        <v>1.2475130962207528E-2</v>
      </c>
    </row>
    <row r="42" spans="2:16" x14ac:dyDescent="0.3">
      <c r="B42" s="8" t="s">
        <v>1</v>
      </c>
      <c r="C42" s="9">
        <f t="shared" si="3"/>
        <v>1.2693983247886606E-2</v>
      </c>
      <c r="D42" s="9">
        <f t="shared" si="4"/>
        <v>2.8197859216878854E-2</v>
      </c>
      <c r="E42" s="9">
        <f t="shared" si="5"/>
        <v>5.9369255021218814E-4</v>
      </c>
      <c r="F42" s="9">
        <f t="shared" si="6"/>
        <v>2.1313801245864364E-2</v>
      </c>
      <c r="G42" s="9">
        <f t="shared" si="7"/>
        <v>3.0187908968122637E-2</v>
      </c>
      <c r="H42" s="9">
        <f t="shared" si="8"/>
        <v>0.10371128733694204</v>
      </c>
      <c r="J42" s="8" t="s">
        <v>1</v>
      </c>
      <c r="K42" s="8">
        <f t="shared" si="9"/>
        <v>1.6997845152231822E-2</v>
      </c>
      <c r="L42" s="8">
        <f t="shared" si="10"/>
        <v>2.3081284469872686E-2</v>
      </c>
      <c r="M42" s="8">
        <f t="shared" si="11"/>
        <v>2.1638704190505644E-2</v>
      </c>
      <c r="N42" s="8">
        <f t="shared" si="12"/>
        <v>2.2579517416179799E-2</v>
      </c>
      <c r="O42" s="8">
        <f t="shared" si="13"/>
        <v>2.4918600646578977E-2</v>
      </c>
      <c r="P42" s="8">
        <f t="shared" si="14"/>
        <v>1.9690195282355844E-2</v>
      </c>
    </row>
    <row r="43" spans="2:16" x14ac:dyDescent="0.3">
      <c r="B43" s="8" t="s">
        <v>17</v>
      </c>
      <c r="C43" s="9">
        <f t="shared" si="3"/>
        <v>4.1430068270808917E-2</v>
      </c>
      <c r="D43" s="9">
        <f t="shared" si="4"/>
        <v>1.4169086358664214E-2</v>
      </c>
      <c r="E43" s="9">
        <f t="shared" si="5"/>
        <v>6.2432975247553105E-2</v>
      </c>
      <c r="F43" s="9">
        <f t="shared" si="6"/>
        <v>1.284058394320528E-2</v>
      </c>
      <c r="G43" s="9">
        <f t="shared" si="7"/>
        <v>1.5744542411732204E-2</v>
      </c>
      <c r="H43" s="9">
        <f t="shared" si="8"/>
        <v>1.9408686148027043E-2</v>
      </c>
      <c r="J43" s="8" t="s">
        <v>17</v>
      </c>
      <c r="K43" s="8">
        <f t="shared" si="9"/>
        <v>2.7291874856073782E-2</v>
      </c>
      <c r="L43" s="8">
        <f t="shared" si="10"/>
        <v>3.4163362458725248E-2</v>
      </c>
      <c r="M43" s="8">
        <f t="shared" si="11"/>
        <v>3.3372845722442722E-2</v>
      </c>
      <c r="N43" s="8">
        <f t="shared" si="12"/>
        <v>3.3165560966402712E-2</v>
      </c>
      <c r="O43" s="8">
        <f t="shared" si="13"/>
        <v>3.6572741672801924E-2</v>
      </c>
      <c r="P43" s="8">
        <f t="shared" si="14"/>
        <v>3.3816055745838527E-2</v>
      </c>
    </row>
    <row r="44" spans="2:16" x14ac:dyDescent="0.3">
      <c r="B44" s="8" t="s">
        <v>13</v>
      </c>
      <c r="C44" s="9">
        <f t="shared" si="3"/>
        <v>-3.1432088731940214E-2</v>
      </c>
      <c r="D44" s="9">
        <f t="shared" si="4"/>
        <v>7.8645430647904746E-2</v>
      </c>
      <c r="E44" s="9">
        <f t="shared" si="5"/>
        <v>-3.5156652685428585E-2</v>
      </c>
      <c r="F44" s="9">
        <f t="shared" si="6"/>
        <v>-3.5666163554993802E-2</v>
      </c>
      <c r="G44" s="9">
        <f t="shared" si="7"/>
        <v>-2.7822231043637541E-2</v>
      </c>
      <c r="H44" s="9">
        <f t="shared" si="8"/>
        <v>-4.0469893206755599E-2</v>
      </c>
      <c r="J44" s="8" t="s">
        <v>13</v>
      </c>
      <c r="K44" s="8">
        <f t="shared" si="9"/>
        <v>3.7899988372692352E-2</v>
      </c>
      <c r="L44" s="8">
        <f t="shared" si="10"/>
        <v>5.0434399143228559E-2</v>
      </c>
      <c r="M44" s="8">
        <f t="shared" si="11"/>
        <v>4.5929293270965392E-2</v>
      </c>
      <c r="N44" s="8">
        <f t="shared" si="12"/>
        <v>4.2947836619806667E-2</v>
      </c>
      <c r="O44" s="8">
        <f t="shared" si="13"/>
        <v>4.7505013974506599E-2</v>
      </c>
      <c r="P44" s="8">
        <f t="shared" si="14"/>
        <v>4.3802159022926189E-2</v>
      </c>
    </row>
    <row r="45" spans="2:16" x14ac:dyDescent="0.3">
      <c r="B45" s="8" t="s">
        <v>21</v>
      </c>
      <c r="C45" s="9">
        <f t="shared" si="3"/>
        <v>-2.8888491988811681E-2</v>
      </c>
      <c r="D45" s="9">
        <f t="shared" si="4"/>
        <v>-1.7906579844108837E-2</v>
      </c>
      <c r="E45" s="9">
        <f t="shared" si="5"/>
        <v>-4.5076718732997727E-2</v>
      </c>
      <c r="F45" s="9">
        <f t="shared" si="6"/>
        <v>2.6974865830661776E-4</v>
      </c>
      <c r="G45" s="9">
        <f t="shared" si="7"/>
        <v>-1.7989498583743997E-2</v>
      </c>
      <c r="H45" s="9">
        <f t="shared" si="8"/>
        <v>-3.3098786268542749E-2</v>
      </c>
      <c r="J45" s="8" t="s">
        <v>21</v>
      </c>
      <c r="K45" s="8">
        <f t="shared" si="9"/>
        <v>4.2266395336184356E-2</v>
      </c>
      <c r="L45" s="8">
        <f t="shared" si="10"/>
        <v>6.2159485224447523E-2</v>
      </c>
      <c r="M45" s="8">
        <f t="shared" si="11"/>
        <v>4.9474177841634742E-2</v>
      </c>
      <c r="N45" s="8">
        <f t="shared" si="12"/>
        <v>4.892435757706598E-2</v>
      </c>
      <c r="O45" s="8">
        <f t="shared" si="13"/>
        <v>5.3065617055009826E-2</v>
      </c>
      <c r="P45" s="8">
        <f t="shared" si="14"/>
        <v>4.7643592254694778E-2</v>
      </c>
    </row>
    <row r="46" spans="2:16" x14ac:dyDescent="0.3">
      <c r="B46" s="8" t="s">
        <v>9</v>
      </c>
      <c r="C46" s="9">
        <f t="shared" si="3"/>
        <v>1.0417308466078433E-2</v>
      </c>
      <c r="D46" s="9">
        <f t="shared" si="4"/>
        <v>-7.0245519990378494E-3</v>
      </c>
      <c r="E46" s="9">
        <f t="shared" si="5"/>
        <v>-2.5774551999037852E-2</v>
      </c>
      <c r="F46" s="9">
        <f t="shared" si="6"/>
        <v>-1.626368243382046E-2</v>
      </c>
      <c r="G46" s="9">
        <f t="shared" si="7"/>
        <v>-3.3143954984112475E-2</v>
      </c>
      <c r="H46" s="9">
        <f t="shared" si="8"/>
        <v>-1.5251408434591163E-4</v>
      </c>
      <c r="J46" s="8" t="s">
        <v>9</v>
      </c>
      <c r="K46" s="8">
        <f t="shared" si="9"/>
        <v>4.7874100631750363E-2</v>
      </c>
      <c r="L46" s="8">
        <f t="shared" si="10"/>
        <v>6.7479053198861438E-2</v>
      </c>
      <c r="M46" s="8">
        <f t="shared" si="11"/>
        <v>5.2124004561620516E-2</v>
      </c>
      <c r="N46" s="8">
        <f t="shared" si="12"/>
        <v>5.4700181672990095E-2</v>
      </c>
      <c r="O46" s="8">
        <f t="shared" si="13"/>
        <v>5.6854329455757129E-2</v>
      </c>
      <c r="P46" s="8">
        <f t="shared" si="14"/>
        <v>5.2430156814281224E-2</v>
      </c>
    </row>
    <row r="47" spans="2:16" x14ac:dyDescent="0.3">
      <c r="B47" s="8" t="s">
        <v>8</v>
      </c>
      <c r="C47" s="9">
        <f t="shared" si="3"/>
        <v>-2.2767946509590131E-2</v>
      </c>
      <c r="D47" s="9">
        <f t="shared" si="4"/>
        <v>-2.4318334106489356E-2</v>
      </c>
      <c r="E47" s="9">
        <f t="shared" si="5"/>
        <v>-1.0776667439822689E-2</v>
      </c>
      <c r="F47" s="9">
        <f t="shared" si="6"/>
        <v>-6.0212326572139929E-3</v>
      </c>
      <c r="G47" s="9">
        <f t="shared" si="7"/>
        <v>-3.0785995798031644E-2</v>
      </c>
      <c r="H47" s="9">
        <f t="shared" si="8"/>
        <v>-2.447631198958572E-2</v>
      </c>
      <c r="J47" s="8" t="s">
        <v>8</v>
      </c>
      <c r="K47" s="8">
        <f t="shared" si="9"/>
        <v>5.4299826309600389E-2</v>
      </c>
      <c r="L47" s="8">
        <f t="shared" si="10"/>
        <v>7.3025445423775343E-2</v>
      </c>
      <c r="M47" s="8">
        <f t="shared" si="11"/>
        <v>5.7201263787949028E-2</v>
      </c>
      <c r="N47" s="8">
        <f t="shared" si="12"/>
        <v>6.0628248095683047E-2</v>
      </c>
      <c r="O47" s="8">
        <f t="shared" si="13"/>
        <v>6.0405179914560438E-2</v>
      </c>
      <c r="P47" s="8">
        <f t="shared" si="14"/>
        <v>5.8198128742569764E-2</v>
      </c>
    </row>
    <row r="48" spans="2:16" x14ac:dyDescent="0.3">
      <c r="B48" s="8" t="s">
        <v>11</v>
      </c>
      <c r="C48" s="9">
        <f t="shared" si="3"/>
        <v>-3.2999764124148748E-2</v>
      </c>
      <c r="D48" s="9">
        <f t="shared" si="4"/>
        <v>-4.8891236992365805E-2</v>
      </c>
      <c r="E48" s="9">
        <f t="shared" si="5"/>
        <v>-3.0401653659032468E-2</v>
      </c>
      <c r="F48" s="9">
        <f t="shared" si="6"/>
        <v>1.0529052862706667E-2</v>
      </c>
      <c r="G48" s="9">
        <f t="shared" si="7"/>
        <v>-2.8713364948533687E-3</v>
      </c>
      <c r="H48" s="9">
        <f t="shared" si="8"/>
        <v>2.4489489705896442E-2</v>
      </c>
      <c r="J48" s="8" t="s">
        <v>11</v>
      </c>
      <c r="K48" s="8">
        <f t="shared" si="9"/>
        <v>6.6167744623302535E-2</v>
      </c>
      <c r="L48" s="8">
        <f t="shared" si="10"/>
        <v>8.6317906484392762E-2</v>
      </c>
      <c r="M48" s="8">
        <f t="shared" si="11"/>
        <v>7.042352932122628E-2</v>
      </c>
      <c r="N48" s="8">
        <f t="shared" si="12"/>
        <v>7.7315571163098076E-2</v>
      </c>
      <c r="O48" s="8">
        <f t="shared" si="13"/>
        <v>7.4559884459974232E-2</v>
      </c>
      <c r="P48" s="8">
        <f t="shared" si="14"/>
        <v>7.4257530684875644E-2</v>
      </c>
    </row>
    <row r="49" spans="2:16" x14ac:dyDescent="0.3">
      <c r="B49" s="8" t="s">
        <v>14</v>
      </c>
      <c r="C49" s="9">
        <f t="shared" si="3"/>
        <v>5.3074450596395636E-2</v>
      </c>
      <c r="D49" s="9">
        <f t="shared" si="4"/>
        <v>-1.6046996432028136E-2</v>
      </c>
      <c r="E49" s="9">
        <f t="shared" si="5"/>
        <v>8.7793924568607545E-3</v>
      </c>
      <c r="F49" s="9">
        <f t="shared" si="6"/>
        <v>-3.0962455369226205E-2</v>
      </c>
      <c r="G49" s="9">
        <f t="shared" si="7"/>
        <v>-8.5013911252287966E-3</v>
      </c>
      <c r="H49" s="9">
        <f t="shared" si="8"/>
        <v>3.4106128360076732E-3</v>
      </c>
      <c r="J49" s="8" t="s">
        <v>14</v>
      </c>
      <c r="K49" s="8">
        <f t="shared" si="9"/>
        <v>9.0436479538935285E-2</v>
      </c>
      <c r="L49" s="8">
        <f t="shared" si="10"/>
        <v>0.1075926944073775</v>
      </c>
      <c r="M49" s="8">
        <f t="shared" si="11"/>
        <v>9.2228050422658608E-2</v>
      </c>
      <c r="N49" s="8">
        <f t="shared" si="12"/>
        <v>0.10043134106837959</v>
      </c>
      <c r="O49" s="8">
        <f t="shared" si="13"/>
        <v>9.7887151360699018E-2</v>
      </c>
      <c r="P49" s="8">
        <f t="shared" si="14"/>
        <v>0.10056151457044213</v>
      </c>
    </row>
    <row r="50" spans="2:16" x14ac:dyDescent="0.3">
      <c r="B50" s="8" t="s">
        <v>0</v>
      </c>
      <c r="C50" s="9">
        <f t="shared" si="3"/>
        <v>8.5179551335095971E-2</v>
      </c>
      <c r="D50" s="9">
        <f t="shared" si="4"/>
        <v>8.5645642549925793E-3</v>
      </c>
      <c r="E50" s="9">
        <f t="shared" si="5"/>
        <v>9.5717342032770381E-2</v>
      </c>
      <c r="F50" s="9">
        <f t="shared" si="6"/>
        <v>6.2429298554509516E-2</v>
      </c>
      <c r="G50" s="9">
        <f t="shared" si="7"/>
        <v>6.7685625614859912E-2</v>
      </c>
      <c r="H50" s="9">
        <f t="shared" si="8"/>
        <v>4.4399214070685089E-2</v>
      </c>
      <c r="J50" s="8" t="s">
        <v>0</v>
      </c>
      <c r="K50" s="8">
        <f t="shared" si="9"/>
        <v>0.4353417143179838</v>
      </c>
      <c r="L50" s="8">
        <f t="shared" si="10"/>
        <v>0.45554184237671341</v>
      </c>
      <c r="M50" s="8">
        <f t="shared" si="11"/>
        <v>0.43256334510248612</v>
      </c>
      <c r="N50" s="8">
        <f t="shared" si="12"/>
        <v>0.44133999268427565</v>
      </c>
      <c r="O50" s="8">
        <f t="shared" si="13"/>
        <v>0.43995412180203392</v>
      </c>
      <c r="P50" s="8">
        <f t="shared" si="14"/>
        <v>0.4460937625322321</v>
      </c>
    </row>
    <row r="51" spans="2:16" x14ac:dyDescent="0.3">
      <c r="J51" s="13" t="s">
        <v>73</v>
      </c>
      <c r="K51" s="12">
        <f>SUM(K28:K50)</f>
        <v>0.88016220826678926</v>
      </c>
      <c r="L51" s="12">
        <f t="shared" ref="L51:P51" si="15">SUM(L28:L50)</f>
        <v>1.0352093661966004</v>
      </c>
      <c r="M51" s="12">
        <f t="shared" si="15"/>
        <v>0.93481289132075074</v>
      </c>
      <c r="N51" s="12">
        <f t="shared" si="15"/>
        <v>0.95361476274817236</v>
      </c>
      <c r="O51" s="12">
        <f t="shared" si="15"/>
        <v>0.98519991318769962</v>
      </c>
      <c r="P51" s="12">
        <f t="shared" si="15"/>
        <v>0.94165979349012108</v>
      </c>
    </row>
    <row r="52" spans="2:16" x14ac:dyDescent="0.3">
      <c r="J52" s="14" t="s">
        <v>74</v>
      </c>
      <c r="K52" s="15">
        <f>1-K51</f>
        <v>0.11983779173321074</v>
      </c>
      <c r="L52" s="15">
        <f t="shared" ref="L52:P52" si="16">1-L51</f>
        <v>-3.5209366196600422E-2</v>
      </c>
      <c r="M52" s="15">
        <f t="shared" si="16"/>
        <v>6.5187108679249262E-2</v>
      </c>
      <c r="N52" s="15">
        <f t="shared" si="16"/>
        <v>4.6385237251827638E-2</v>
      </c>
      <c r="O52" s="15">
        <f t="shared" si="16"/>
        <v>1.4800086812300384E-2</v>
      </c>
      <c r="P52" s="15">
        <f t="shared" si="16"/>
        <v>5.8340206509878922E-2</v>
      </c>
    </row>
  </sheetData>
  <sortState xmlns:xlrd2="http://schemas.microsoft.com/office/spreadsheetml/2017/richdata2" ref="A2:P25">
    <sortCondition ref="B1:B2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860-9565-4C9C-B333-24CA2CB1792A}">
  <dimension ref="A1:P47"/>
  <sheetViews>
    <sheetView zoomScale="81" workbookViewId="0">
      <selection activeCell="J2" sqref="J2:P2"/>
    </sheetView>
  </sheetViews>
  <sheetFormatPr defaultRowHeight="14.4" x14ac:dyDescent="0.3"/>
  <cols>
    <col min="11" max="11" width="12" bestFit="1" customWidth="1"/>
    <col min="16" max="16" width="12" bestFit="1" customWidth="1"/>
  </cols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8" t="s">
        <v>49</v>
      </c>
      <c r="B2" s="9">
        <v>1.2250326564541029E-2</v>
      </c>
      <c r="C2" s="9">
        <v>1.171875E-2</v>
      </c>
      <c r="D2" s="9">
        <v>1.4184397163120567E-2</v>
      </c>
      <c r="E2" s="9">
        <v>0</v>
      </c>
      <c r="F2" s="9">
        <v>0</v>
      </c>
      <c r="G2" s="9">
        <v>0</v>
      </c>
      <c r="H2" s="9">
        <v>0</v>
      </c>
      <c r="I2" s="9">
        <v>1.2250326564541029E-2</v>
      </c>
      <c r="J2" s="9">
        <v>1.2250326564541029E-2</v>
      </c>
      <c r="K2" s="9">
        <v>1.171875E-2</v>
      </c>
      <c r="L2" s="9">
        <v>1.4184397163120567E-2</v>
      </c>
      <c r="M2" s="9">
        <v>0</v>
      </c>
      <c r="N2" s="9">
        <v>0</v>
      </c>
      <c r="O2" s="9">
        <v>0</v>
      </c>
      <c r="P2" s="9">
        <v>0</v>
      </c>
    </row>
    <row r="3" spans="1:16" x14ac:dyDescent="0.3">
      <c r="A3" s="8" t="s">
        <v>44</v>
      </c>
      <c r="B3" s="9">
        <v>1.2492578078612992E-2</v>
      </c>
      <c r="C3" s="9">
        <v>7.8125E-3</v>
      </c>
      <c r="D3" s="9">
        <v>7.0921985815602835E-3</v>
      </c>
      <c r="E3" s="9">
        <v>0</v>
      </c>
      <c r="F3" s="9">
        <v>1.65016501650165E-2</v>
      </c>
      <c r="G3" s="9">
        <v>1.2552301255230125E-2</v>
      </c>
      <c r="H3" s="9">
        <v>8.8495575221238937E-3</v>
      </c>
      <c r="I3" s="9">
        <v>2.4742904643154019E-2</v>
      </c>
      <c r="J3" s="9">
        <f>J2+B3</f>
        <v>2.4742904643154019E-2</v>
      </c>
      <c r="K3" s="9">
        <f t="shared" ref="K3:P18" si="0">K2+C3</f>
        <v>1.953125E-2</v>
      </c>
      <c r="L3" s="9">
        <f t="shared" si="0"/>
        <v>2.1276595744680851E-2</v>
      </c>
      <c r="M3" s="9">
        <f t="shared" si="0"/>
        <v>0</v>
      </c>
      <c r="N3" s="9">
        <f t="shared" si="0"/>
        <v>1.65016501650165E-2</v>
      </c>
      <c r="O3" s="9">
        <f t="shared" si="0"/>
        <v>1.2552301255230125E-2</v>
      </c>
      <c r="P3" s="9">
        <f t="shared" si="0"/>
        <v>8.8495575221238937E-3</v>
      </c>
    </row>
    <row r="4" spans="1:16" x14ac:dyDescent="0.3">
      <c r="A4" s="8" t="s">
        <v>36</v>
      </c>
      <c r="B4" s="9">
        <v>1.7950362189763685E-2</v>
      </c>
      <c r="C4" s="9">
        <v>0</v>
      </c>
      <c r="D4" s="9">
        <v>1.4184397163120567E-2</v>
      </c>
      <c r="E4" s="9">
        <v>1.3698630136986301E-2</v>
      </c>
      <c r="F4" s="9">
        <v>2.6402640264026403E-2</v>
      </c>
      <c r="G4" s="9">
        <v>4.1841004184100415E-3</v>
      </c>
      <c r="H4" s="9">
        <v>0</v>
      </c>
      <c r="I4" s="9">
        <v>4.2693266832917701E-2</v>
      </c>
      <c r="J4" s="9">
        <f t="shared" ref="J4:P19" si="1">J3+B4</f>
        <v>4.2693266832917701E-2</v>
      </c>
      <c r="K4" s="9">
        <f t="shared" si="0"/>
        <v>1.953125E-2</v>
      </c>
      <c r="L4" s="9">
        <f t="shared" si="0"/>
        <v>3.5460992907801414E-2</v>
      </c>
      <c r="M4" s="9">
        <f t="shared" si="0"/>
        <v>1.3698630136986301E-2</v>
      </c>
      <c r="N4" s="9">
        <f t="shared" si="0"/>
        <v>4.2904290429042903E-2</v>
      </c>
      <c r="O4" s="9">
        <f t="shared" si="0"/>
        <v>1.6736401673640166E-2</v>
      </c>
      <c r="P4" s="9">
        <f t="shared" si="0"/>
        <v>8.8495575221238937E-3</v>
      </c>
    </row>
    <row r="5" spans="1:16" x14ac:dyDescent="0.3">
      <c r="A5" s="8" t="s">
        <v>46</v>
      </c>
      <c r="B5" s="9">
        <v>1.83398646241539E-2</v>
      </c>
      <c r="C5" s="9">
        <v>3.125E-2</v>
      </c>
      <c r="D5" s="9">
        <v>2.1276595744680851E-2</v>
      </c>
      <c r="E5" s="9">
        <v>6.8493150684931503E-3</v>
      </c>
      <c r="F5" s="9">
        <v>1.3201320132013201E-2</v>
      </c>
      <c r="G5" s="9">
        <v>3.3472803347280332E-2</v>
      </c>
      <c r="H5" s="9">
        <v>8.8495575221238937E-3</v>
      </c>
      <c r="I5" s="9">
        <v>6.10331314570716E-2</v>
      </c>
      <c r="J5" s="9">
        <f t="shared" si="1"/>
        <v>6.10331314570716E-2</v>
      </c>
      <c r="K5" s="9">
        <f t="shared" si="0"/>
        <v>5.078125E-2</v>
      </c>
      <c r="L5" s="9">
        <f t="shared" si="0"/>
        <v>5.6737588652482268E-2</v>
      </c>
      <c r="M5" s="9">
        <f t="shared" si="0"/>
        <v>2.0547945205479451E-2</v>
      </c>
      <c r="N5" s="9">
        <f t="shared" si="0"/>
        <v>5.6105610561056105E-2</v>
      </c>
      <c r="O5" s="9">
        <f t="shared" si="0"/>
        <v>5.0209205020920494E-2</v>
      </c>
      <c r="P5" s="9">
        <f t="shared" si="0"/>
        <v>1.7699115044247787E-2</v>
      </c>
    </row>
    <row r="6" spans="1:16" x14ac:dyDescent="0.3">
      <c r="A6" s="8" t="s">
        <v>32</v>
      </c>
      <c r="B6" s="9">
        <v>1.8976368602303763E-2</v>
      </c>
      <c r="C6" s="9">
        <v>1.171875E-2</v>
      </c>
      <c r="D6" s="9">
        <v>1.4184397163120567E-2</v>
      </c>
      <c r="E6" s="9">
        <v>1.3698630136986301E-2</v>
      </c>
      <c r="F6" s="9">
        <v>1.3201320132013201E-2</v>
      </c>
      <c r="G6" s="9">
        <v>2.9288702928870293E-2</v>
      </c>
      <c r="H6" s="9">
        <v>1.7699115044247787E-2</v>
      </c>
      <c r="I6" s="9">
        <v>8.0009500059375363E-2</v>
      </c>
      <c r="J6" s="9">
        <f t="shared" si="1"/>
        <v>8.0009500059375363E-2</v>
      </c>
      <c r="K6" s="9">
        <f t="shared" si="0"/>
        <v>6.25E-2</v>
      </c>
      <c r="L6" s="9">
        <f t="shared" si="0"/>
        <v>7.0921985815602828E-2</v>
      </c>
      <c r="M6" s="9">
        <f t="shared" si="0"/>
        <v>3.4246575342465752E-2</v>
      </c>
      <c r="N6" s="9">
        <f t="shared" si="0"/>
        <v>6.9306930693069313E-2</v>
      </c>
      <c r="O6" s="9">
        <f t="shared" si="0"/>
        <v>7.949790794979078E-2</v>
      </c>
      <c r="P6" s="9">
        <f t="shared" si="0"/>
        <v>3.5398230088495575E-2</v>
      </c>
    </row>
    <row r="7" spans="1:16" x14ac:dyDescent="0.3">
      <c r="A7" s="8" t="s">
        <v>41</v>
      </c>
      <c r="B7" s="9">
        <v>1.9669872936705853E-2</v>
      </c>
      <c r="C7" s="9">
        <v>7.8125E-3</v>
      </c>
      <c r="D7" s="9">
        <v>7.0921985815602835E-3</v>
      </c>
      <c r="E7" s="9">
        <v>0</v>
      </c>
      <c r="F7" s="9">
        <v>1.3201320132013201E-2</v>
      </c>
      <c r="G7" s="9">
        <v>4.1841004184100415E-3</v>
      </c>
      <c r="H7" s="9">
        <v>8.8495575221238937E-3</v>
      </c>
      <c r="I7" s="9">
        <v>9.967937299608122E-2</v>
      </c>
      <c r="J7" s="9">
        <f t="shared" si="1"/>
        <v>9.967937299608122E-2</v>
      </c>
      <c r="K7" s="9">
        <f t="shared" si="0"/>
        <v>7.03125E-2</v>
      </c>
      <c r="L7" s="9">
        <f t="shared" si="0"/>
        <v>7.8014184397163108E-2</v>
      </c>
      <c r="M7" s="9">
        <f t="shared" si="0"/>
        <v>3.4246575342465752E-2</v>
      </c>
      <c r="N7" s="9">
        <f t="shared" si="0"/>
        <v>8.2508250825082508E-2</v>
      </c>
      <c r="O7" s="9">
        <f t="shared" si="0"/>
        <v>8.3682008368200819E-2</v>
      </c>
      <c r="P7" s="9">
        <f t="shared" si="0"/>
        <v>4.4247787610619468E-2</v>
      </c>
    </row>
    <row r="8" spans="1:16" x14ac:dyDescent="0.3">
      <c r="A8" s="8" t="s">
        <v>34</v>
      </c>
      <c r="B8" s="9">
        <v>2.2054387839924E-2</v>
      </c>
      <c r="C8" s="9">
        <v>4.296875E-2</v>
      </c>
      <c r="D8" s="9">
        <v>2.1276595744680851E-2</v>
      </c>
      <c r="E8" s="9">
        <v>6.8493150684931503E-3</v>
      </c>
      <c r="F8" s="9">
        <v>0</v>
      </c>
      <c r="G8" s="9">
        <v>1.6736401673640166E-2</v>
      </c>
      <c r="H8" s="9">
        <v>1.7699115044247787E-2</v>
      </c>
      <c r="I8" s="9">
        <v>0.12173376083600522</v>
      </c>
      <c r="J8" s="9">
        <f t="shared" si="1"/>
        <v>0.12173376083600522</v>
      </c>
      <c r="K8" s="9">
        <f t="shared" si="0"/>
        <v>0.11328125</v>
      </c>
      <c r="L8" s="9">
        <f t="shared" si="0"/>
        <v>9.9290780141843962E-2</v>
      </c>
      <c r="M8" s="9">
        <f t="shared" si="0"/>
        <v>4.1095890410958902E-2</v>
      </c>
      <c r="N8" s="9">
        <f t="shared" si="0"/>
        <v>8.2508250825082508E-2</v>
      </c>
      <c r="O8" s="9">
        <f t="shared" si="0"/>
        <v>0.10041841004184099</v>
      </c>
      <c r="P8" s="9">
        <f t="shared" si="0"/>
        <v>6.1946902654867256E-2</v>
      </c>
    </row>
    <row r="9" spans="1:16" x14ac:dyDescent="0.3">
      <c r="A9" s="8" t="s">
        <v>40</v>
      </c>
      <c r="B9" s="9">
        <v>2.2187388671179194E-2</v>
      </c>
      <c r="C9" s="9">
        <v>2.34375E-2</v>
      </c>
      <c r="D9" s="9">
        <v>5.6737588652482268E-2</v>
      </c>
      <c r="E9" s="9">
        <v>4.1095890410958902E-2</v>
      </c>
      <c r="F9" s="9">
        <v>3.3003300330033004E-3</v>
      </c>
      <c r="G9" s="9">
        <v>1.2552301255230125E-2</v>
      </c>
      <c r="H9" s="9">
        <v>0</v>
      </c>
      <c r="I9" s="9">
        <v>0.1439211495071844</v>
      </c>
      <c r="J9" s="9">
        <f t="shared" si="1"/>
        <v>0.1439211495071844</v>
      </c>
      <c r="K9" s="9">
        <f t="shared" si="0"/>
        <v>0.13671875</v>
      </c>
      <c r="L9" s="9">
        <f t="shared" si="0"/>
        <v>0.15602836879432624</v>
      </c>
      <c r="M9" s="9">
        <f t="shared" si="0"/>
        <v>8.2191780821917804E-2</v>
      </c>
      <c r="N9" s="9">
        <f t="shared" si="0"/>
        <v>8.5808580858085806E-2</v>
      </c>
      <c r="O9" s="9">
        <f t="shared" si="0"/>
        <v>0.11297071129707112</v>
      </c>
      <c r="P9" s="9">
        <f t="shared" si="0"/>
        <v>6.1946902654867256E-2</v>
      </c>
    </row>
    <row r="10" spans="1:16" x14ac:dyDescent="0.3">
      <c r="A10" s="8" t="s">
        <v>45</v>
      </c>
      <c r="B10" s="9">
        <v>2.2291889324308277E-2</v>
      </c>
      <c r="C10" s="9">
        <v>2.34375E-2</v>
      </c>
      <c r="D10" s="9">
        <v>7.0921985815602835E-3</v>
      </c>
      <c r="E10" s="9">
        <v>2.7397260273972601E-2</v>
      </c>
      <c r="F10" s="9">
        <v>1.3201320132013201E-2</v>
      </c>
      <c r="G10" s="9">
        <v>1.2552301255230125E-2</v>
      </c>
      <c r="H10" s="9">
        <v>0</v>
      </c>
      <c r="I10" s="9">
        <v>0.16621303883149269</v>
      </c>
      <c r="J10" s="9">
        <f t="shared" si="1"/>
        <v>0.16621303883149269</v>
      </c>
      <c r="K10" s="9">
        <f t="shared" si="0"/>
        <v>0.16015625</v>
      </c>
      <c r="L10" s="9">
        <f t="shared" si="0"/>
        <v>0.16312056737588654</v>
      </c>
      <c r="M10" s="9">
        <f t="shared" si="0"/>
        <v>0.1095890410958904</v>
      </c>
      <c r="N10" s="9">
        <f t="shared" si="0"/>
        <v>9.9009900990099015E-2</v>
      </c>
      <c r="O10" s="9">
        <f t="shared" si="0"/>
        <v>0.12552301255230125</v>
      </c>
      <c r="P10" s="9">
        <f t="shared" si="0"/>
        <v>6.1946902654867256E-2</v>
      </c>
    </row>
    <row r="11" spans="1:16" x14ac:dyDescent="0.3">
      <c r="A11" s="8" t="s">
        <v>35</v>
      </c>
      <c r="B11" s="9">
        <v>2.3298895618097615E-2</v>
      </c>
      <c r="C11" s="9">
        <v>3.125E-2</v>
      </c>
      <c r="D11" s="9">
        <v>2.8368794326241134E-2</v>
      </c>
      <c r="E11" s="9">
        <v>3.4246575342465752E-2</v>
      </c>
      <c r="F11" s="9">
        <v>1.65016501650165E-2</v>
      </c>
      <c r="G11" s="9">
        <v>1.6736401673640166E-2</v>
      </c>
      <c r="H11" s="9">
        <v>8.8495575221238937E-3</v>
      </c>
      <c r="I11" s="9">
        <v>0.1895119344495903</v>
      </c>
      <c r="J11" s="9">
        <f t="shared" si="1"/>
        <v>0.1895119344495903</v>
      </c>
      <c r="K11" s="9">
        <f t="shared" si="0"/>
        <v>0.19140625</v>
      </c>
      <c r="L11" s="9">
        <f t="shared" si="0"/>
        <v>0.19148936170212766</v>
      </c>
      <c r="M11" s="9">
        <f t="shared" si="0"/>
        <v>0.14383561643835616</v>
      </c>
      <c r="N11" s="9">
        <f t="shared" si="0"/>
        <v>0.11551155115511552</v>
      </c>
      <c r="O11" s="9">
        <f t="shared" si="0"/>
        <v>0.14225941422594141</v>
      </c>
      <c r="P11" s="9">
        <f t="shared" si="0"/>
        <v>7.0796460176991149E-2</v>
      </c>
    </row>
    <row r="12" spans="1:16" x14ac:dyDescent="0.3">
      <c r="A12" s="8" t="s">
        <v>37</v>
      </c>
      <c r="B12" s="9">
        <v>2.4828405177532358E-2</v>
      </c>
      <c r="C12" s="9">
        <v>2.34375E-2</v>
      </c>
      <c r="D12" s="9">
        <v>1.4184397163120567E-2</v>
      </c>
      <c r="E12" s="9">
        <v>1.3698630136986301E-2</v>
      </c>
      <c r="F12" s="9">
        <v>3.6303630363036306E-2</v>
      </c>
      <c r="G12" s="9">
        <v>1.6736401673640166E-2</v>
      </c>
      <c r="H12" s="9">
        <v>8.8495575221238937E-3</v>
      </c>
      <c r="I12" s="9">
        <v>0.21434033962712265</v>
      </c>
      <c r="J12" s="9">
        <f t="shared" si="1"/>
        <v>0.21434033962712265</v>
      </c>
      <c r="K12" s="9">
        <f t="shared" si="0"/>
        <v>0.21484375</v>
      </c>
      <c r="L12" s="9">
        <f t="shared" si="0"/>
        <v>0.20567375886524822</v>
      </c>
      <c r="M12" s="9">
        <f t="shared" si="0"/>
        <v>0.15753424657534246</v>
      </c>
      <c r="N12" s="9">
        <f t="shared" si="0"/>
        <v>0.15181518151815182</v>
      </c>
      <c r="O12" s="9">
        <f t="shared" si="0"/>
        <v>0.15899581589958156</v>
      </c>
      <c r="P12" s="9">
        <f t="shared" si="0"/>
        <v>7.9646017699115043E-2</v>
      </c>
    </row>
    <row r="13" spans="1:16" x14ac:dyDescent="0.3">
      <c r="A13" s="8" t="s">
        <v>47</v>
      </c>
      <c r="B13" s="9">
        <v>2.5441159007243794E-2</v>
      </c>
      <c r="C13" s="9">
        <v>3.90625E-3</v>
      </c>
      <c r="D13" s="9">
        <v>2.1276595744680851E-2</v>
      </c>
      <c r="E13" s="9">
        <v>2.7397260273972601E-2</v>
      </c>
      <c r="F13" s="9">
        <v>4.6204620462046202E-2</v>
      </c>
      <c r="G13" s="9">
        <v>1.6736401673640166E-2</v>
      </c>
      <c r="H13" s="9">
        <v>3.5398230088495575E-2</v>
      </c>
      <c r="I13" s="9">
        <v>0.23978149863436643</v>
      </c>
      <c r="J13" s="9">
        <f t="shared" si="1"/>
        <v>0.23978149863436643</v>
      </c>
      <c r="K13" s="9">
        <f t="shared" si="0"/>
        <v>0.21875</v>
      </c>
      <c r="L13" s="9">
        <f t="shared" si="0"/>
        <v>0.22695035460992907</v>
      </c>
      <c r="M13" s="9">
        <f t="shared" si="0"/>
        <v>0.18493150684931506</v>
      </c>
      <c r="N13" s="9">
        <f t="shared" si="0"/>
        <v>0.19801980198019803</v>
      </c>
      <c r="O13" s="9">
        <f t="shared" si="0"/>
        <v>0.17573221757322172</v>
      </c>
      <c r="P13" s="9">
        <f t="shared" si="0"/>
        <v>0.11504424778761062</v>
      </c>
    </row>
    <row r="14" spans="1:16" x14ac:dyDescent="0.3">
      <c r="A14" s="8" t="s">
        <v>50</v>
      </c>
      <c r="B14" s="9">
        <v>3.486521790761192E-2</v>
      </c>
      <c r="C14" s="9">
        <v>4.6875E-2</v>
      </c>
      <c r="D14" s="9">
        <v>5.6737588652482268E-2</v>
      </c>
      <c r="E14" s="9">
        <v>3.4246575342465752E-2</v>
      </c>
      <c r="F14" s="9">
        <v>2.3102310231023101E-2</v>
      </c>
      <c r="G14" s="9">
        <v>1.6736401673640166E-2</v>
      </c>
      <c r="H14" s="9">
        <v>8.8495575221238937E-3</v>
      </c>
      <c r="I14" s="9">
        <v>0.27464671654197836</v>
      </c>
      <c r="J14" s="9">
        <f t="shared" si="1"/>
        <v>0.27464671654197836</v>
      </c>
      <c r="K14" s="9">
        <f t="shared" si="0"/>
        <v>0.265625</v>
      </c>
      <c r="L14" s="9">
        <f t="shared" si="0"/>
        <v>0.28368794326241131</v>
      </c>
      <c r="M14" s="9">
        <f t="shared" si="0"/>
        <v>0.21917808219178081</v>
      </c>
      <c r="N14" s="9">
        <f t="shared" si="0"/>
        <v>0.22112211221122113</v>
      </c>
      <c r="O14" s="9">
        <f t="shared" si="0"/>
        <v>0.19246861924686187</v>
      </c>
      <c r="P14" s="9">
        <f t="shared" si="0"/>
        <v>0.12389380530973451</v>
      </c>
    </row>
    <row r="15" spans="1:16" x14ac:dyDescent="0.3">
      <c r="A15" s="8" t="s">
        <v>48</v>
      </c>
      <c r="B15" s="9">
        <v>3.6261726635791476E-2</v>
      </c>
      <c r="C15" s="9">
        <v>4.6875E-2</v>
      </c>
      <c r="D15" s="9">
        <v>3.5460992907801421E-2</v>
      </c>
      <c r="E15" s="9">
        <v>6.1643835616438353E-2</v>
      </c>
      <c r="F15" s="9">
        <v>2.9702970297029702E-2</v>
      </c>
      <c r="G15" s="9">
        <v>4.1841004184100417E-2</v>
      </c>
      <c r="H15" s="9">
        <v>9.7345132743362831E-2</v>
      </c>
      <c r="I15" s="9">
        <v>0.31090844317776983</v>
      </c>
      <c r="J15" s="9">
        <f t="shared" si="1"/>
        <v>0.31090844317776983</v>
      </c>
      <c r="K15" s="9">
        <f t="shared" si="0"/>
        <v>0.3125</v>
      </c>
      <c r="L15" s="9">
        <f t="shared" si="0"/>
        <v>0.31914893617021273</v>
      </c>
      <c r="M15" s="9">
        <f t="shared" si="0"/>
        <v>0.28082191780821919</v>
      </c>
      <c r="N15" s="9">
        <f t="shared" si="0"/>
        <v>0.25082508250825086</v>
      </c>
      <c r="O15" s="9">
        <f t="shared" si="0"/>
        <v>0.23430962343096229</v>
      </c>
      <c r="P15" s="9">
        <f t="shared" si="0"/>
        <v>0.22123893805309736</v>
      </c>
    </row>
    <row r="16" spans="1:16" x14ac:dyDescent="0.3">
      <c r="A16" s="8" t="s">
        <v>38</v>
      </c>
      <c r="B16" s="9">
        <v>4.8958555990974942E-2</v>
      </c>
      <c r="C16" s="9">
        <v>2.34375E-2</v>
      </c>
      <c r="D16" s="9">
        <v>5.6737588652482268E-2</v>
      </c>
      <c r="E16" s="9">
        <v>5.4794520547945202E-2</v>
      </c>
      <c r="F16" s="9">
        <v>4.2904290429042903E-2</v>
      </c>
      <c r="G16" s="9">
        <v>3.3472803347280332E-2</v>
      </c>
      <c r="H16" s="9">
        <v>6.1946902654867256E-2</v>
      </c>
      <c r="I16" s="9">
        <v>0.35986699916874476</v>
      </c>
      <c r="J16" s="9">
        <f t="shared" si="1"/>
        <v>0.35986699916874476</v>
      </c>
      <c r="K16" s="9">
        <f t="shared" si="0"/>
        <v>0.3359375</v>
      </c>
      <c r="L16" s="9">
        <f t="shared" si="0"/>
        <v>0.37588652482269502</v>
      </c>
      <c r="M16" s="9">
        <f t="shared" si="0"/>
        <v>0.33561643835616439</v>
      </c>
      <c r="N16" s="9">
        <f t="shared" si="0"/>
        <v>0.29372937293729379</v>
      </c>
      <c r="O16" s="9">
        <f t="shared" si="0"/>
        <v>0.2677824267782426</v>
      </c>
      <c r="P16" s="9">
        <f t="shared" si="0"/>
        <v>0.2831858407079646</v>
      </c>
    </row>
    <row r="17" spans="1:16" x14ac:dyDescent="0.3">
      <c r="A17" s="8" t="s">
        <v>51</v>
      </c>
      <c r="B17" s="9">
        <v>4.9082056762854764E-2</v>
      </c>
      <c r="C17" s="9">
        <v>5.078125E-2</v>
      </c>
      <c r="D17" s="9">
        <v>3.5460992907801421E-2</v>
      </c>
      <c r="E17" s="9">
        <v>3.4246575342465752E-2</v>
      </c>
      <c r="F17" s="9">
        <v>4.2904290429042903E-2</v>
      </c>
      <c r="G17" s="9">
        <v>3.7656903765690378E-2</v>
      </c>
      <c r="H17" s="9">
        <v>1.7699115044247787E-2</v>
      </c>
      <c r="I17" s="9">
        <v>0.40894905593159953</v>
      </c>
      <c r="J17" s="9">
        <f t="shared" si="1"/>
        <v>0.40894905593159953</v>
      </c>
      <c r="K17" s="9">
        <f t="shared" si="0"/>
        <v>0.38671875</v>
      </c>
      <c r="L17" s="9">
        <f t="shared" si="0"/>
        <v>0.41134751773049644</v>
      </c>
      <c r="M17" s="9">
        <f t="shared" si="0"/>
        <v>0.36986301369863017</v>
      </c>
      <c r="N17" s="9">
        <f t="shared" si="0"/>
        <v>0.33663366336633671</v>
      </c>
      <c r="O17" s="9">
        <f t="shared" si="0"/>
        <v>0.30543933054393296</v>
      </c>
      <c r="P17" s="9">
        <f t="shared" si="0"/>
        <v>0.30088495575221241</v>
      </c>
    </row>
    <row r="18" spans="1:16" x14ac:dyDescent="0.3">
      <c r="A18" s="8" t="s">
        <v>39</v>
      </c>
      <c r="B18" s="9">
        <v>5.8168863555397222E-2</v>
      </c>
      <c r="C18" s="9">
        <v>2.34375E-2</v>
      </c>
      <c r="D18" s="9">
        <v>2.1276595744680851E-2</v>
      </c>
      <c r="E18" s="9">
        <v>1.3698630136986301E-2</v>
      </c>
      <c r="F18" s="9">
        <v>2.3102310231023101E-2</v>
      </c>
      <c r="G18" s="9">
        <v>8.368200836820083E-3</v>
      </c>
      <c r="H18" s="9">
        <v>4.4247787610619468E-2</v>
      </c>
      <c r="I18" s="9">
        <v>0.46711791948699677</v>
      </c>
      <c r="J18" s="9">
        <f t="shared" si="1"/>
        <v>0.46711791948699677</v>
      </c>
      <c r="K18" s="9">
        <f t="shared" si="0"/>
        <v>0.41015625</v>
      </c>
      <c r="L18" s="9">
        <f t="shared" si="0"/>
        <v>0.43262411347517726</v>
      </c>
      <c r="M18" s="9">
        <f t="shared" si="0"/>
        <v>0.38356164383561647</v>
      </c>
      <c r="N18" s="9">
        <f t="shared" si="0"/>
        <v>0.35973597359735981</v>
      </c>
      <c r="O18" s="9">
        <f t="shared" si="0"/>
        <v>0.31380753138075307</v>
      </c>
      <c r="P18" s="9">
        <f t="shared" si="0"/>
        <v>0.3451327433628319</v>
      </c>
    </row>
    <row r="19" spans="1:16" x14ac:dyDescent="0.3">
      <c r="A19" s="8" t="s">
        <v>43</v>
      </c>
      <c r="B19" s="9">
        <v>6.3574397339983379E-2</v>
      </c>
      <c r="C19" s="9">
        <v>0.10546875</v>
      </c>
      <c r="D19" s="9">
        <v>9.2198581560283682E-2</v>
      </c>
      <c r="E19" s="9">
        <v>0.1095890410958904</v>
      </c>
      <c r="F19" s="9">
        <v>0.10561056105610561</v>
      </c>
      <c r="G19" s="9">
        <v>7.9497907949790794E-2</v>
      </c>
      <c r="H19" s="9">
        <v>6.1946902654867256E-2</v>
      </c>
      <c r="I19" s="9">
        <v>0.53069231682698015</v>
      </c>
      <c r="J19" s="9">
        <f t="shared" si="1"/>
        <v>0.53069231682698015</v>
      </c>
      <c r="K19" s="9">
        <f t="shared" si="1"/>
        <v>0.515625</v>
      </c>
      <c r="L19" s="9">
        <f t="shared" si="1"/>
        <v>0.52482269503546097</v>
      </c>
      <c r="M19" s="9">
        <f t="shared" si="1"/>
        <v>0.49315068493150688</v>
      </c>
      <c r="N19" s="9">
        <f t="shared" si="1"/>
        <v>0.46534653465346543</v>
      </c>
      <c r="O19" s="9">
        <f t="shared" si="1"/>
        <v>0.39330543933054385</v>
      </c>
      <c r="P19" s="9">
        <f t="shared" si="1"/>
        <v>0.40707964601769914</v>
      </c>
    </row>
    <row r="20" spans="1:16" x14ac:dyDescent="0.3">
      <c r="A20" s="8" t="s">
        <v>33</v>
      </c>
      <c r="B20" s="9">
        <v>7.189169932312077E-2</v>
      </c>
      <c r="C20" s="9">
        <v>9.765625E-2</v>
      </c>
      <c r="D20" s="9">
        <v>7.8014184397163122E-2</v>
      </c>
      <c r="E20" s="9">
        <v>0.1095890410958904</v>
      </c>
      <c r="F20" s="9">
        <v>0.11881188118811881</v>
      </c>
      <c r="G20" s="9">
        <v>0.100418410041841</v>
      </c>
      <c r="H20" s="9">
        <v>0.10619469026548672</v>
      </c>
      <c r="I20" s="9">
        <v>0.60258401615010093</v>
      </c>
      <c r="J20" s="9">
        <f t="shared" ref="J20:P22" si="2">J19+B20</f>
        <v>0.60258401615010093</v>
      </c>
      <c r="K20" s="9">
        <f t="shared" si="2"/>
        <v>0.61328125</v>
      </c>
      <c r="L20" s="9">
        <f t="shared" si="2"/>
        <v>0.6028368794326241</v>
      </c>
      <c r="M20" s="9">
        <f t="shared" si="2"/>
        <v>0.60273972602739723</v>
      </c>
      <c r="N20" s="9">
        <f t="shared" si="2"/>
        <v>0.58415841584158423</v>
      </c>
      <c r="O20" s="9">
        <f t="shared" si="2"/>
        <v>0.49372384937238484</v>
      </c>
      <c r="P20" s="9">
        <f t="shared" si="2"/>
        <v>0.51327433628318586</v>
      </c>
    </row>
    <row r="21" spans="1:16" x14ac:dyDescent="0.3">
      <c r="A21" s="8" t="s">
        <v>42</v>
      </c>
      <c r="B21" s="9">
        <v>0.11239995249970312</v>
      </c>
      <c r="C21" s="9">
        <v>0.21484375</v>
      </c>
      <c r="D21" s="9">
        <v>0.11347517730496454</v>
      </c>
      <c r="E21" s="9">
        <v>0.11643835616438356</v>
      </c>
      <c r="F21" s="9">
        <v>0.22112211221122113</v>
      </c>
      <c r="G21" s="9">
        <v>0.35983263598326359</v>
      </c>
      <c r="H21" s="9">
        <v>0.33628318584070799</v>
      </c>
      <c r="I21" s="9">
        <v>0.71498396864980407</v>
      </c>
      <c r="J21" s="9">
        <f t="shared" si="2"/>
        <v>0.71498396864980407</v>
      </c>
      <c r="K21" s="9">
        <f t="shared" si="2"/>
        <v>0.828125</v>
      </c>
      <c r="L21" s="9">
        <f t="shared" si="2"/>
        <v>0.71631205673758869</v>
      </c>
      <c r="M21" s="9">
        <f t="shared" si="2"/>
        <v>0.71917808219178081</v>
      </c>
      <c r="N21" s="9">
        <f t="shared" si="2"/>
        <v>0.80528052805280537</v>
      </c>
      <c r="O21" s="9">
        <f t="shared" si="2"/>
        <v>0.85355648535564843</v>
      </c>
      <c r="P21" s="9">
        <f t="shared" si="2"/>
        <v>0.84955752212389379</v>
      </c>
    </row>
    <row r="22" spans="1:16" x14ac:dyDescent="0.3">
      <c r="A22" s="8" t="s">
        <v>31</v>
      </c>
      <c r="B22" s="9">
        <v>0.28501603135019593</v>
      </c>
      <c r="C22" s="9">
        <v>0.171875</v>
      </c>
      <c r="D22" s="9">
        <v>0.28368794326241137</v>
      </c>
      <c r="E22" s="9">
        <v>0.28082191780821919</v>
      </c>
      <c r="F22" s="9">
        <v>0.19471947194719472</v>
      </c>
      <c r="G22" s="9">
        <v>0.14644351464435146</v>
      </c>
      <c r="H22" s="9">
        <v>0.15044247787610621</v>
      </c>
      <c r="I22" s="9">
        <v>1</v>
      </c>
      <c r="J22" s="9">
        <f t="shared" si="2"/>
        <v>1</v>
      </c>
      <c r="K22" s="9">
        <f t="shared" si="2"/>
        <v>1</v>
      </c>
      <c r="L22" s="9">
        <f t="shared" si="2"/>
        <v>1</v>
      </c>
      <c r="M22" s="9">
        <f t="shared" si="2"/>
        <v>1</v>
      </c>
      <c r="N22" s="9">
        <f t="shared" si="2"/>
        <v>1</v>
      </c>
      <c r="O22" s="9">
        <f t="shared" si="2"/>
        <v>0.99999999999999989</v>
      </c>
      <c r="P22" s="9">
        <f t="shared" si="2"/>
        <v>1</v>
      </c>
    </row>
    <row r="24" spans="1:16" ht="28.8" x14ac:dyDescent="0.3">
      <c r="B24" s="1" t="s">
        <v>23</v>
      </c>
      <c r="C24" s="3" t="s">
        <v>61</v>
      </c>
      <c r="D24" s="3" t="s">
        <v>62</v>
      </c>
      <c r="E24" s="3" t="s">
        <v>63</v>
      </c>
      <c r="F24" s="3" t="s">
        <v>64</v>
      </c>
      <c r="G24" s="3" t="s">
        <v>65</v>
      </c>
      <c r="H24" s="3" t="s">
        <v>66</v>
      </c>
      <c r="J24" s="8"/>
      <c r="K24" s="12" t="s">
        <v>67</v>
      </c>
      <c r="L24" s="12" t="s">
        <v>68</v>
      </c>
      <c r="M24" s="12" t="s">
        <v>69</v>
      </c>
      <c r="N24" s="12" t="s">
        <v>70</v>
      </c>
      <c r="O24" s="12" t="s">
        <v>71</v>
      </c>
      <c r="P24" s="12" t="s">
        <v>72</v>
      </c>
    </row>
    <row r="25" spans="1:16" x14ac:dyDescent="0.3">
      <c r="B25" s="8" t="s">
        <v>49</v>
      </c>
      <c r="C25" s="9">
        <f>C2-B2</f>
        <v>-5.3157656454102913E-4</v>
      </c>
      <c r="D25" s="9">
        <f>D2-B2</f>
        <v>1.9340705985795379E-3</v>
      </c>
      <c r="E25" s="9">
        <f>E2-B2</f>
        <v>-1.2250326564541029E-2</v>
      </c>
      <c r="F25" s="9">
        <f>F2-B2</f>
        <v>-1.2250326564541029E-2</v>
      </c>
      <c r="G25" s="9">
        <f>G2-B2</f>
        <v>-1.2250326564541029E-2</v>
      </c>
      <c r="H25" s="9">
        <f>H2-B2</f>
        <v>-1.2250326564541029E-2</v>
      </c>
      <c r="J25" s="8" t="s">
        <v>49</v>
      </c>
      <c r="K25" s="8">
        <f>(J2-0) * ((K2+0))</f>
        <v>1.4355851442821518E-4</v>
      </c>
      <c r="L25" s="8">
        <f>(J2-0) * ((L2+0))</f>
        <v>1.737634973693763E-4</v>
      </c>
      <c r="M25" s="8">
        <f>(J2-0) * ((M2+0))</f>
        <v>0</v>
      </c>
      <c r="N25" s="8">
        <f>(J2-0) * ((N2+0))</f>
        <v>0</v>
      </c>
      <c r="O25" s="8">
        <f>(J2-0) * ((O2+0))</f>
        <v>0</v>
      </c>
      <c r="P25" s="8">
        <f>(J2-0) * ((P2+0))</f>
        <v>0</v>
      </c>
    </row>
    <row r="26" spans="1:16" x14ac:dyDescent="0.3">
      <c r="B26" s="8" t="s">
        <v>44</v>
      </c>
      <c r="C26" s="9">
        <f t="shared" ref="C26:C45" si="3">C3-B3</f>
        <v>-4.6800780786129918E-3</v>
      </c>
      <c r="D26" s="9">
        <f t="shared" ref="D26:D45" si="4">D3-B3</f>
        <v>-5.4003794970527083E-3</v>
      </c>
      <c r="E26" s="9">
        <f t="shared" ref="E26:E45" si="5">E3-B3</f>
        <v>-1.2492578078612992E-2</v>
      </c>
      <c r="F26" s="9">
        <f t="shared" ref="F26:F45" si="6">F3-B3</f>
        <v>4.0090720864035083E-3</v>
      </c>
      <c r="G26" s="9">
        <f t="shared" ref="G26:G45" si="7">G3-B3</f>
        <v>5.9723176617133486E-5</v>
      </c>
      <c r="H26" s="9">
        <f t="shared" ref="H26:H45" si="8">H3-B3</f>
        <v>-3.6430205564890981E-3</v>
      </c>
      <c r="J26" s="8" t="s">
        <v>44</v>
      </c>
      <c r="K26" s="8">
        <f>(J3-J2) * ((K3+K2))</f>
        <v>3.9039306495665594E-4</v>
      </c>
      <c r="L26" s="8">
        <f>(J3-J2) * ((L3+L2))</f>
        <v>4.4299922264585067E-4</v>
      </c>
      <c r="M26" s="8">
        <f>(J3-J2) * ((M3+M2))</f>
        <v>0</v>
      </c>
      <c r="N26" s="8">
        <f>(J3-J2) * ((N3+N2))</f>
        <v>2.0614815311242556E-4</v>
      </c>
      <c r="O26" s="8">
        <f>(J3-J2) * ((O3+O2))</f>
        <v>1.5681060349723419E-4</v>
      </c>
      <c r="P26" s="8">
        <f>(J3-J2) * ((P3+P2))</f>
        <v>1.1055378830630964E-4</v>
      </c>
    </row>
    <row r="27" spans="1:16" x14ac:dyDescent="0.3">
      <c r="B27" s="8" t="s">
        <v>36</v>
      </c>
      <c r="C27" s="9">
        <f t="shared" si="3"/>
        <v>-1.7950362189763685E-2</v>
      </c>
      <c r="D27" s="9">
        <f t="shared" si="4"/>
        <v>-3.7659650266431179E-3</v>
      </c>
      <c r="E27" s="9">
        <f t="shared" si="5"/>
        <v>-4.2517320527773843E-3</v>
      </c>
      <c r="F27" s="9">
        <f t="shared" si="6"/>
        <v>8.4522780742627181E-3</v>
      </c>
      <c r="G27" s="9">
        <f t="shared" si="7"/>
        <v>-1.3766261771353643E-2</v>
      </c>
      <c r="H27" s="9">
        <f t="shared" si="8"/>
        <v>-1.7950362189763685E-2</v>
      </c>
      <c r="J27" s="8" t="s">
        <v>36</v>
      </c>
      <c r="K27" s="8">
        <f t="shared" ref="K27:K45" si="9">(J4-J3) * ((K4+K3))</f>
        <v>7.0118602303764375E-4</v>
      </c>
      <c r="L27" s="8">
        <f t="shared" ref="L27:L45" si="10">(J4-J3) * ((L4+L3))</f>
        <v>1.0184602660858826E-3</v>
      </c>
      <c r="M27" s="8">
        <f t="shared" ref="M27:M45" si="11">(J4-J3) * ((M4+M3))</f>
        <v>2.4589537246251617E-4</v>
      </c>
      <c r="N27" s="8">
        <f t="shared" ref="N27:N45" si="12">(J4-J3) * ((N4+N3))</f>
        <v>1.0663581498869513E-3</v>
      </c>
      <c r="O27" s="8">
        <f t="shared" ref="O27:O45" si="13">(J4-J3) * ((O4+O3))</f>
        <v>5.2574282564161415E-4</v>
      </c>
      <c r="P27" s="8">
        <f t="shared" ref="P27:P45" si="14">(J4-J3) * ((P4+P3))</f>
        <v>3.1770552548254305E-4</v>
      </c>
    </row>
    <row r="28" spans="1:16" x14ac:dyDescent="0.3">
      <c r="B28" s="8" t="s">
        <v>46</v>
      </c>
      <c r="C28" s="9">
        <f t="shared" si="3"/>
        <v>1.29101353758461E-2</v>
      </c>
      <c r="D28" s="9">
        <f t="shared" si="4"/>
        <v>2.936731120526951E-3</v>
      </c>
      <c r="E28" s="9">
        <f t="shared" si="5"/>
        <v>-1.1490549555660749E-2</v>
      </c>
      <c r="F28" s="9">
        <f t="shared" si="6"/>
        <v>-5.1385444921406981E-3</v>
      </c>
      <c r="G28" s="9">
        <f t="shared" si="7"/>
        <v>1.5132938723126432E-2</v>
      </c>
      <c r="H28" s="9">
        <f t="shared" si="8"/>
        <v>-9.4903071020300059E-3</v>
      </c>
      <c r="J28" s="8" t="s">
        <v>46</v>
      </c>
      <c r="K28" s="8">
        <f t="shared" si="9"/>
        <v>1.2895217313858211E-3</v>
      </c>
      <c r="L28" s="8">
        <f t="shared" si="10"/>
        <v>1.6909095043546147E-3</v>
      </c>
      <c r="M28" s="8">
        <f t="shared" si="11"/>
        <v>6.280775556217089E-4</v>
      </c>
      <c r="N28" s="8">
        <f t="shared" si="12"/>
        <v>1.8158281806092971E-3</v>
      </c>
      <c r="O28" s="8">
        <f t="shared" si="13"/>
        <v>1.2277733639600935E-3</v>
      </c>
      <c r="P28" s="8">
        <f t="shared" si="14"/>
        <v>4.8689906081824514E-4</v>
      </c>
    </row>
    <row r="29" spans="1:16" x14ac:dyDescent="0.3">
      <c r="B29" s="8" t="s">
        <v>32</v>
      </c>
      <c r="C29" s="9">
        <f t="shared" si="3"/>
        <v>-7.2576186023037628E-3</v>
      </c>
      <c r="D29" s="9">
        <f t="shared" si="4"/>
        <v>-4.7919714391831958E-3</v>
      </c>
      <c r="E29" s="9">
        <f t="shared" si="5"/>
        <v>-5.2777384653174622E-3</v>
      </c>
      <c r="F29" s="9">
        <f t="shared" si="6"/>
        <v>-5.7750484702905613E-3</v>
      </c>
      <c r="G29" s="9">
        <f t="shared" si="7"/>
        <v>1.031233432656653E-2</v>
      </c>
      <c r="H29" s="9">
        <f t="shared" si="8"/>
        <v>-1.2772535580559755E-3</v>
      </c>
      <c r="J29" s="8" t="s">
        <v>32</v>
      </c>
      <c r="K29" s="8">
        <f t="shared" si="9"/>
        <v>2.1496667557297233E-3</v>
      </c>
      <c r="L29" s="8">
        <f t="shared" si="10"/>
        <v>2.4225151407196292E-3</v>
      </c>
      <c r="M29" s="8">
        <f t="shared" si="11"/>
        <v>1.0398010193043157E-3</v>
      </c>
      <c r="N29" s="8">
        <f t="shared" si="12"/>
        <v>2.3798746101899113E-3</v>
      </c>
      <c r="O29" s="8">
        <f t="shared" si="13"/>
        <v>2.4613699860728724E-3</v>
      </c>
      <c r="P29" s="8">
        <f t="shared" si="14"/>
        <v>1.0075947930426776E-3</v>
      </c>
    </row>
    <row r="30" spans="1:16" x14ac:dyDescent="0.3">
      <c r="B30" s="8" t="s">
        <v>41</v>
      </c>
      <c r="C30" s="9">
        <f t="shared" si="3"/>
        <v>-1.1857372936705853E-2</v>
      </c>
      <c r="D30" s="9">
        <f t="shared" si="4"/>
        <v>-1.257767435514557E-2</v>
      </c>
      <c r="E30" s="9">
        <f t="shared" si="5"/>
        <v>-1.9669872936705853E-2</v>
      </c>
      <c r="F30" s="9">
        <f t="shared" si="6"/>
        <v>-6.4685528046926517E-3</v>
      </c>
      <c r="G30" s="9">
        <f t="shared" si="7"/>
        <v>-1.5485772518295811E-2</v>
      </c>
      <c r="H30" s="9">
        <f t="shared" si="8"/>
        <v>-1.082031541458196E-2</v>
      </c>
      <c r="J30" s="8" t="s">
        <v>41</v>
      </c>
      <c r="K30" s="8">
        <f t="shared" si="9"/>
        <v>2.6124049994062466E-3</v>
      </c>
      <c r="L30" s="8">
        <f t="shared" si="10"/>
        <v>2.929555543764702E-3</v>
      </c>
      <c r="M30" s="8">
        <f t="shared" si="11"/>
        <v>1.3472515710072504E-3</v>
      </c>
      <c r="N30" s="8">
        <f t="shared" si="12"/>
        <v>2.9861853303249815E-3</v>
      </c>
      <c r="O30" s="8">
        <f t="shared" si="13"/>
        <v>3.2097282197971898E-3</v>
      </c>
      <c r="P30" s="8">
        <f t="shared" si="14"/>
        <v>1.5666270480562186E-3</v>
      </c>
    </row>
    <row r="31" spans="1:16" x14ac:dyDescent="0.3">
      <c r="B31" s="8" t="s">
        <v>34</v>
      </c>
      <c r="C31" s="9">
        <f t="shared" si="3"/>
        <v>2.0914362160076E-2</v>
      </c>
      <c r="D31" s="9">
        <f t="shared" si="4"/>
        <v>-7.7779209524314954E-4</v>
      </c>
      <c r="E31" s="9">
        <f t="shared" si="5"/>
        <v>-1.520507277143085E-2</v>
      </c>
      <c r="F31" s="9">
        <f t="shared" si="6"/>
        <v>-2.2054387839924E-2</v>
      </c>
      <c r="G31" s="9">
        <f t="shared" si="7"/>
        <v>-5.3179861662838342E-3</v>
      </c>
      <c r="H31" s="9">
        <f t="shared" si="8"/>
        <v>-4.3552727956762127E-3</v>
      </c>
      <c r="J31" s="8" t="s">
        <v>34</v>
      </c>
      <c r="K31" s="8">
        <f t="shared" si="9"/>
        <v>4.049047767486047E-3</v>
      </c>
      <c r="L31" s="8">
        <f t="shared" si="10"/>
        <v>3.910352453887234E-3</v>
      </c>
      <c r="M31" s="8">
        <f t="shared" si="11"/>
        <v>1.6616319605422191E-3</v>
      </c>
      <c r="N31" s="8">
        <f t="shared" si="12"/>
        <v>3.6393379273801981E-3</v>
      </c>
      <c r="O31" s="8">
        <f t="shared" si="13"/>
        <v>4.0602220291073472E-3</v>
      </c>
      <c r="P31" s="8">
        <f t="shared" si="14"/>
        <v>2.3420588856556462E-3</v>
      </c>
    </row>
    <row r="32" spans="1:16" x14ac:dyDescent="0.3">
      <c r="B32" s="8" t="s">
        <v>40</v>
      </c>
      <c r="C32" s="9">
        <f t="shared" si="3"/>
        <v>1.2501113288208056E-3</v>
      </c>
      <c r="D32" s="9">
        <f t="shared" si="4"/>
        <v>3.455019998130307E-2</v>
      </c>
      <c r="E32" s="9">
        <f t="shared" si="5"/>
        <v>1.8908501739779707E-2</v>
      </c>
      <c r="F32" s="9">
        <f t="shared" si="6"/>
        <v>-1.8887058638175892E-2</v>
      </c>
      <c r="G32" s="9">
        <f t="shared" si="7"/>
        <v>-9.6350874159490691E-3</v>
      </c>
      <c r="H32" s="9">
        <f t="shared" si="8"/>
        <v>-2.2187388671179194E-2</v>
      </c>
      <c r="J32" s="8" t="s">
        <v>40</v>
      </c>
      <c r="K32" s="8">
        <f t="shared" si="9"/>
        <v>5.546847167794796E-3</v>
      </c>
      <c r="L32" s="8">
        <f t="shared" si="10"/>
        <v>5.6648651926414937E-3</v>
      </c>
      <c r="M32" s="8">
        <f t="shared" si="11"/>
        <v>2.7354314800083924E-3</v>
      </c>
      <c r="N32" s="8">
        <f t="shared" si="12"/>
        <v>3.7345109644559018E-3</v>
      </c>
      <c r="O32" s="8">
        <f t="shared" si="13"/>
        <v>4.7345473733478591E-3</v>
      </c>
      <c r="P32" s="8">
        <f t="shared" si="14"/>
        <v>2.7488800123584831E-3</v>
      </c>
    </row>
    <row r="33" spans="2:16" x14ac:dyDescent="0.3">
      <c r="B33" s="8" t="s">
        <v>45</v>
      </c>
      <c r="C33" s="9">
        <f t="shared" si="3"/>
        <v>1.1456106756917231E-3</v>
      </c>
      <c r="D33" s="9">
        <f t="shared" si="4"/>
        <v>-1.5199690742747993E-2</v>
      </c>
      <c r="E33" s="9">
        <f t="shared" si="5"/>
        <v>5.1053709496643243E-3</v>
      </c>
      <c r="F33" s="9">
        <f t="shared" si="6"/>
        <v>-9.0905691922950754E-3</v>
      </c>
      <c r="G33" s="9">
        <f t="shared" si="7"/>
        <v>-9.7395880690781516E-3</v>
      </c>
      <c r="H33" s="9">
        <f t="shared" si="8"/>
        <v>-2.2291889324308277E-2</v>
      </c>
      <c r="J33" s="8" t="s">
        <v>45</v>
      </c>
      <c r="K33" s="8">
        <f t="shared" si="9"/>
        <v>6.6179046431540222E-3</v>
      </c>
      <c r="L33" s="8">
        <f t="shared" si="10"/>
        <v>7.1144327630771123E-3</v>
      </c>
      <c r="M33" s="8">
        <f t="shared" si="11"/>
        <v>4.2751568567166573E-3</v>
      </c>
      <c r="N33" s="8">
        <f t="shared" si="12"/>
        <v>4.1199531424464158E-3</v>
      </c>
      <c r="O33" s="8">
        <f t="shared" si="13"/>
        <v>5.3164756965923517E-3</v>
      </c>
      <c r="P33" s="8">
        <f t="shared" si="14"/>
        <v>2.7618269959319998E-3</v>
      </c>
    </row>
    <row r="34" spans="2:16" x14ac:dyDescent="0.3">
      <c r="B34" s="8" t="s">
        <v>35</v>
      </c>
      <c r="C34" s="9">
        <f t="shared" si="3"/>
        <v>7.9511043819023852E-3</v>
      </c>
      <c r="D34" s="9">
        <f t="shared" si="4"/>
        <v>5.0698987081435193E-3</v>
      </c>
      <c r="E34" s="9">
        <f t="shared" si="5"/>
        <v>1.0947679724368137E-2</v>
      </c>
      <c r="F34" s="9">
        <f t="shared" si="6"/>
        <v>-6.7972454530811147E-3</v>
      </c>
      <c r="G34" s="9">
        <f t="shared" si="7"/>
        <v>-6.5624939444574489E-3</v>
      </c>
      <c r="H34" s="9">
        <f t="shared" si="8"/>
        <v>-1.4449338095973721E-2</v>
      </c>
      <c r="J34" s="8" t="s">
        <v>35</v>
      </c>
      <c r="K34" s="8">
        <f t="shared" si="9"/>
        <v>8.1910179907374418E-3</v>
      </c>
      <c r="L34" s="8">
        <f t="shared" si="10"/>
        <v>8.2620197227296511E-3</v>
      </c>
      <c r="M34" s="8">
        <f t="shared" si="11"/>
        <v>5.9045146429425469E-3</v>
      </c>
      <c r="N34" s="8">
        <f t="shared" si="12"/>
        <v>4.9981129213740759E-3</v>
      </c>
      <c r="O34" s="8">
        <f t="shared" si="13"/>
        <v>6.239034809867143E-3</v>
      </c>
      <c r="P34" s="8">
        <f t="shared" si="14"/>
        <v>3.0927737546147271E-3</v>
      </c>
    </row>
    <row r="35" spans="2:16" x14ac:dyDescent="0.3">
      <c r="B35" s="8" t="s">
        <v>37</v>
      </c>
      <c r="C35" s="9">
        <f t="shared" si="3"/>
        <v>-1.3909051775323582E-3</v>
      </c>
      <c r="D35" s="9">
        <f t="shared" si="4"/>
        <v>-1.0644008014411791E-2</v>
      </c>
      <c r="E35" s="9">
        <f t="shared" si="5"/>
        <v>-1.1129775040546058E-2</v>
      </c>
      <c r="F35" s="9">
        <f t="shared" si="6"/>
        <v>1.1475225185503948E-2</v>
      </c>
      <c r="G35" s="9">
        <f t="shared" si="7"/>
        <v>-8.0920035038921923E-3</v>
      </c>
      <c r="H35" s="9">
        <f t="shared" si="8"/>
        <v>-1.5978847655408464E-2</v>
      </c>
      <c r="J35" s="8" t="s">
        <v>37</v>
      </c>
      <c r="K35" s="8">
        <f t="shared" si="9"/>
        <v>1.0086539603372517E-2</v>
      </c>
      <c r="L35" s="8">
        <f t="shared" si="10"/>
        <v>9.8609268790199392E-3</v>
      </c>
      <c r="M35" s="8">
        <f t="shared" si="11"/>
        <v>7.4825330672015295E-3</v>
      </c>
      <c r="N35" s="8">
        <f t="shared" si="12"/>
        <v>6.6372964335977567E-3</v>
      </c>
      <c r="O35" s="8">
        <f t="shared" si="13"/>
        <v>7.4796869154072337E-3</v>
      </c>
      <c r="P35" s="8">
        <f t="shared" si="14"/>
        <v>3.7352467966199109E-3</v>
      </c>
    </row>
    <row r="36" spans="2:16" x14ac:dyDescent="0.3">
      <c r="B36" s="8" t="s">
        <v>47</v>
      </c>
      <c r="C36" s="9">
        <f t="shared" si="3"/>
        <v>-2.1534909007243794E-2</v>
      </c>
      <c r="D36" s="9">
        <f t="shared" si="4"/>
        <v>-4.1645632625629432E-3</v>
      </c>
      <c r="E36" s="9">
        <f t="shared" si="5"/>
        <v>1.9561012667288075E-3</v>
      </c>
      <c r="F36" s="9">
        <f t="shared" si="6"/>
        <v>2.0763461454802408E-2</v>
      </c>
      <c r="G36" s="9">
        <f t="shared" si="7"/>
        <v>-8.7047573336036278E-3</v>
      </c>
      <c r="H36" s="9">
        <f t="shared" si="8"/>
        <v>9.957071081251781E-3</v>
      </c>
      <c r="J36" s="8" t="s">
        <v>47</v>
      </c>
      <c r="K36" s="8">
        <f t="shared" si="9"/>
        <v>1.1031127538297108E-2</v>
      </c>
      <c r="L36" s="8">
        <f t="shared" si="10"/>
        <v>1.1006458861289861E-2</v>
      </c>
      <c r="M36" s="8">
        <f t="shared" si="11"/>
        <v>8.7127256874122531E-3</v>
      </c>
      <c r="N36" s="8">
        <f t="shared" si="12"/>
        <v>8.9002074414780228E-3</v>
      </c>
      <c r="O36" s="8">
        <f t="shared" si="13"/>
        <v>8.5158691237636058E-3</v>
      </c>
      <c r="P36" s="8">
        <f t="shared" si="14"/>
        <v>4.9531460014102932E-3</v>
      </c>
    </row>
    <row r="37" spans="2:16" x14ac:dyDescent="0.3">
      <c r="B37" s="8" t="s">
        <v>50</v>
      </c>
      <c r="C37" s="9">
        <f t="shared" si="3"/>
        <v>1.200978209238808E-2</v>
      </c>
      <c r="D37" s="9">
        <f t="shared" si="4"/>
        <v>2.1872370744870348E-2</v>
      </c>
      <c r="E37" s="9">
        <f t="shared" si="5"/>
        <v>-6.1864256514616855E-4</v>
      </c>
      <c r="F37" s="9">
        <f t="shared" si="6"/>
        <v>-1.1762907676588819E-2</v>
      </c>
      <c r="G37" s="9">
        <f t="shared" si="7"/>
        <v>-1.8128816233971754E-2</v>
      </c>
      <c r="H37" s="9">
        <f t="shared" si="8"/>
        <v>-2.6015660385488026E-2</v>
      </c>
      <c r="J37" s="8" t="s">
        <v>50</v>
      </c>
      <c r="K37" s="8">
        <f t="shared" si="9"/>
        <v>1.6887839923999531E-2</v>
      </c>
      <c r="L37" s="8">
        <f t="shared" si="10"/>
        <v>1.7803515527291199E-2</v>
      </c>
      <c r="M37" s="8">
        <f t="shared" si="11"/>
        <v>1.4089368880473314E-2</v>
      </c>
      <c r="N37" s="8">
        <f t="shared" si="12"/>
        <v>1.4613474172497412E-2</v>
      </c>
      <c r="O37" s="8">
        <f t="shared" si="13"/>
        <v>1.2837402409497278E-2</v>
      </c>
      <c r="P37" s="8">
        <f t="shared" si="14"/>
        <v>8.3306272876594884E-3</v>
      </c>
    </row>
    <row r="38" spans="2:16" x14ac:dyDescent="0.3">
      <c r="B38" s="8" t="s">
        <v>48</v>
      </c>
      <c r="C38" s="9">
        <f t="shared" si="3"/>
        <v>1.0613273364208524E-2</v>
      </c>
      <c r="D38" s="9">
        <f t="shared" si="4"/>
        <v>-8.0073372799005504E-4</v>
      </c>
      <c r="E38" s="9">
        <f t="shared" si="5"/>
        <v>2.5382108980646877E-2</v>
      </c>
      <c r="F38" s="9">
        <f t="shared" si="6"/>
        <v>-6.5587563387617745E-3</v>
      </c>
      <c r="G38" s="9">
        <f t="shared" si="7"/>
        <v>5.5792775483089405E-3</v>
      </c>
      <c r="H38" s="9">
        <f t="shared" si="8"/>
        <v>6.1083406107571354E-2</v>
      </c>
      <c r="J38" s="8" t="s">
        <v>48</v>
      </c>
      <c r="K38" s="8">
        <f t="shared" si="9"/>
        <v>2.0963810711316942E-2</v>
      </c>
      <c r="L38" s="8">
        <f t="shared" si="10"/>
        <v>2.1859906127959391E-2</v>
      </c>
      <c r="M38" s="8">
        <f t="shared" si="11"/>
        <v>1.8130863317895735E-2</v>
      </c>
      <c r="N38" s="8">
        <f t="shared" si="12"/>
        <v>1.7113620161446141E-2</v>
      </c>
      <c r="O38" s="8">
        <f t="shared" si="13"/>
        <v>1.5475715970086732E-2</v>
      </c>
      <c r="P38" s="8">
        <f t="shared" si="14"/>
        <v>1.251510919288378E-2</v>
      </c>
    </row>
    <row r="39" spans="2:16" x14ac:dyDescent="0.3">
      <c r="B39" s="8" t="s">
        <v>38</v>
      </c>
      <c r="C39" s="9">
        <f t="shared" si="3"/>
        <v>-2.5521055990974942E-2</v>
      </c>
      <c r="D39" s="9">
        <f t="shared" si="4"/>
        <v>7.7790326615073263E-3</v>
      </c>
      <c r="E39" s="9">
        <f t="shared" si="5"/>
        <v>5.8359645569702606E-3</v>
      </c>
      <c r="F39" s="9">
        <f t="shared" si="6"/>
        <v>-6.0542655619320387E-3</v>
      </c>
      <c r="G39" s="9">
        <f t="shared" si="7"/>
        <v>-1.548575264369461E-2</v>
      </c>
      <c r="H39" s="9">
        <f t="shared" si="8"/>
        <v>1.2988346663892314E-2</v>
      </c>
      <c r="J39" s="8" t="s">
        <v>38</v>
      </c>
      <c r="K39" s="8">
        <f t="shared" si="9"/>
        <v>3.1746563650397804E-2</v>
      </c>
      <c r="L39" s="8">
        <f t="shared" si="10"/>
        <v>3.402793253273434E-2</v>
      </c>
      <c r="M39" s="8">
        <f t="shared" si="11"/>
        <v>3.0179931775258517E-2</v>
      </c>
      <c r="N39" s="8">
        <f t="shared" si="12"/>
        <v>2.6660599797065556E-2</v>
      </c>
      <c r="O39" s="8">
        <f t="shared" si="13"/>
        <v>2.4581701752790751E-2</v>
      </c>
      <c r="P39" s="8">
        <f t="shared" si="14"/>
        <v>2.4695908774208592E-2</v>
      </c>
    </row>
    <row r="40" spans="2:16" x14ac:dyDescent="0.3">
      <c r="B40" s="8" t="s">
        <v>51</v>
      </c>
      <c r="C40" s="9">
        <f t="shared" si="3"/>
        <v>1.6991932371452356E-3</v>
      </c>
      <c r="D40" s="9">
        <f t="shared" si="4"/>
        <v>-1.3621063855053343E-2</v>
      </c>
      <c r="E40" s="9">
        <f t="shared" si="5"/>
        <v>-1.4835481420389013E-2</v>
      </c>
      <c r="F40" s="9">
        <f t="shared" si="6"/>
        <v>-6.1777663338118613E-3</v>
      </c>
      <c r="G40" s="9">
        <f t="shared" si="7"/>
        <v>-1.1425152997164387E-2</v>
      </c>
      <c r="H40" s="9">
        <f t="shared" si="8"/>
        <v>-3.1382941718606977E-2</v>
      </c>
      <c r="J40" s="8" t="s">
        <v>51</v>
      </c>
      <c r="K40" s="8">
        <f t="shared" si="9"/>
        <v>3.5469455082531763E-2</v>
      </c>
      <c r="L40" s="8">
        <f t="shared" si="10"/>
        <v>3.8639065962247365E-2</v>
      </c>
      <c r="M40" s="8">
        <f t="shared" si="11"/>
        <v>3.4626382510781102E-2</v>
      </c>
      <c r="N40" s="8">
        <f t="shared" si="12"/>
        <v>3.0939514329060273E-2</v>
      </c>
      <c r="O40" s="8">
        <f t="shared" si="13"/>
        <v>2.8134902830590381E-2</v>
      </c>
      <c r="P40" s="8">
        <f t="shared" si="14"/>
        <v>2.86673959853842E-2</v>
      </c>
    </row>
    <row r="41" spans="2:16" x14ac:dyDescent="0.3">
      <c r="B41" s="8" t="s">
        <v>39</v>
      </c>
      <c r="C41" s="9">
        <f t="shared" si="3"/>
        <v>-3.4731363555397222E-2</v>
      </c>
      <c r="D41" s="9">
        <f t="shared" si="4"/>
        <v>-3.6892267810716375E-2</v>
      </c>
      <c r="E41" s="9">
        <f t="shared" si="5"/>
        <v>-4.4470233418410922E-2</v>
      </c>
      <c r="F41" s="9">
        <f t="shared" si="6"/>
        <v>-3.5066553324374125E-2</v>
      </c>
      <c r="G41" s="9">
        <f t="shared" si="7"/>
        <v>-4.9800662718577138E-2</v>
      </c>
      <c r="H41" s="9">
        <f t="shared" si="8"/>
        <v>-1.3921075944777754E-2</v>
      </c>
      <c r="J41" s="8" t="s">
        <v>39</v>
      </c>
      <c r="K41" s="8">
        <f t="shared" si="9"/>
        <v>4.6353313145707176E-2</v>
      </c>
      <c r="L41" s="8">
        <f t="shared" si="10"/>
        <v>4.9092870660228882E-2</v>
      </c>
      <c r="M41" s="8">
        <f t="shared" si="11"/>
        <v>4.3825856103381494E-2</v>
      </c>
      <c r="N41" s="8">
        <f t="shared" si="12"/>
        <v>4.0507030396662771E-2</v>
      </c>
      <c r="O41" s="8">
        <f t="shared" si="13"/>
        <v>3.6020886218404977E-2</v>
      </c>
      <c r="P41" s="8">
        <f t="shared" si="14"/>
        <v>3.7578115394194686E-2</v>
      </c>
    </row>
    <row r="42" spans="2:16" x14ac:dyDescent="0.3">
      <c r="B42" s="8" t="s">
        <v>43</v>
      </c>
      <c r="C42" s="9">
        <f t="shared" si="3"/>
        <v>4.1894352660016621E-2</v>
      </c>
      <c r="D42" s="9">
        <f t="shared" si="4"/>
        <v>2.8624184220300303E-2</v>
      </c>
      <c r="E42" s="9">
        <f t="shared" si="5"/>
        <v>4.6014643755907025E-2</v>
      </c>
      <c r="F42" s="9">
        <f t="shared" si="6"/>
        <v>4.2036163716122232E-2</v>
      </c>
      <c r="G42" s="9">
        <f t="shared" si="7"/>
        <v>1.5923510609807415E-2</v>
      </c>
      <c r="H42" s="9">
        <f t="shared" si="8"/>
        <v>-1.6274946851161237E-3</v>
      </c>
      <c r="J42" s="8" t="s">
        <v>43</v>
      </c>
      <c r="K42" s="8">
        <f t="shared" si="9"/>
        <v>5.8855985037406487E-2</v>
      </c>
      <c r="L42" s="8">
        <f t="shared" si="10"/>
        <v>6.0869103836154292E-2</v>
      </c>
      <c r="M42" s="8">
        <f t="shared" si="11"/>
        <v>5.5736457941903239E-2</v>
      </c>
      <c r="N42" s="8">
        <f t="shared" si="12"/>
        <v>5.2454123217808082E-2</v>
      </c>
      <c r="O42" s="8">
        <f t="shared" si="13"/>
        <v>4.4954280964256015E-2</v>
      </c>
      <c r="P42" s="8">
        <f t="shared" si="14"/>
        <v>4.7821449326536175E-2</v>
      </c>
    </row>
    <row r="43" spans="2:16" x14ac:dyDescent="0.3">
      <c r="B43" s="8" t="s">
        <v>33</v>
      </c>
      <c r="C43" s="9">
        <f t="shared" si="3"/>
        <v>2.576455067687923E-2</v>
      </c>
      <c r="D43" s="9">
        <f t="shared" si="4"/>
        <v>6.1224850740423525E-3</v>
      </c>
      <c r="E43" s="9">
        <f t="shared" si="5"/>
        <v>3.7697341772769635E-2</v>
      </c>
      <c r="F43" s="9">
        <f t="shared" si="6"/>
        <v>4.6920181864998037E-2</v>
      </c>
      <c r="G43" s="9">
        <f t="shared" si="7"/>
        <v>2.8526710718720233E-2</v>
      </c>
      <c r="H43" s="9">
        <f t="shared" si="8"/>
        <v>3.4302990942365955E-2</v>
      </c>
      <c r="J43" s="8" t="s">
        <v>33</v>
      </c>
      <c r="K43" s="8">
        <f t="shared" si="9"/>
        <v>8.1158988688991823E-2</v>
      </c>
      <c r="L43" s="8">
        <f t="shared" si="10"/>
        <v>8.1069363066497896E-2</v>
      </c>
      <c r="M43" s="8">
        <f t="shared" si="11"/>
        <v>7.8785423915748803E-2</v>
      </c>
      <c r="N43" s="8">
        <f t="shared" si="12"/>
        <v>7.5450694339116858E-2</v>
      </c>
      <c r="O43" s="8">
        <f t="shared" si="13"/>
        <v>6.3770042914232647E-2</v>
      </c>
      <c r="P43" s="8">
        <f t="shared" si="14"/>
        <v>6.616581176641205E-2</v>
      </c>
    </row>
    <row r="44" spans="2:16" x14ac:dyDescent="0.3">
      <c r="B44" s="8" t="s">
        <v>42</v>
      </c>
      <c r="C44" s="9">
        <f t="shared" si="3"/>
        <v>0.10244379750029688</v>
      </c>
      <c r="D44" s="9">
        <f t="shared" si="4"/>
        <v>1.0752248052614127E-3</v>
      </c>
      <c r="E44" s="9">
        <f t="shared" si="5"/>
        <v>4.0384036646804317E-3</v>
      </c>
      <c r="F44" s="9">
        <f t="shared" si="6"/>
        <v>0.10872215971151801</v>
      </c>
      <c r="G44" s="9">
        <f t="shared" si="7"/>
        <v>0.24743268348356046</v>
      </c>
      <c r="H44" s="9">
        <f t="shared" si="8"/>
        <v>0.22388323334100485</v>
      </c>
      <c r="J44" s="8" t="s">
        <v>42</v>
      </c>
      <c r="K44" s="8">
        <f t="shared" si="9"/>
        <v>0.16201399403277522</v>
      </c>
      <c r="L44" s="8">
        <f t="shared" si="10"/>
        <v>0.14827227776556584</v>
      </c>
      <c r="M44" s="8">
        <f t="shared" si="11"/>
        <v>0.14858349885234728</v>
      </c>
      <c r="N44" s="8">
        <f t="shared" si="12"/>
        <v>0.15617287129496707</v>
      </c>
      <c r="O44" s="8">
        <f t="shared" si="13"/>
        <v>0.15143424562721508</v>
      </c>
      <c r="P44" s="8">
        <f t="shared" si="14"/>
        <v>0.1531822361500379</v>
      </c>
    </row>
    <row r="45" spans="2:16" x14ac:dyDescent="0.3">
      <c r="B45" s="8" t="s">
        <v>31</v>
      </c>
      <c r="C45" s="9">
        <f t="shared" si="3"/>
        <v>-0.11314103135019593</v>
      </c>
      <c r="D45" s="9">
        <f t="shared" si="4"/>
        <v>-1.3280880877845624E-3</v>
      </c>
      <c r="E45" s="9">
        <f t="shared" si="5"/>
        <v>-4.1941135419767406E-3</v>
      </c>
      <c r="F45" s="9">
        <f t="shared" si="6"/>
        <v>-9.0296559403001214E-2</v>
      </c>
      <c r="G45" s="9">
        <f t="shared" si="7"/>
        <v>-0.13857251670584447</v>
      </c>
      <c r="H45" s="9">
        <f t="shared" si="8"/>
        <v>-0.13457355347408972</v>
      </c>
      <c r="J45" s="8" t="s">
        <v>31</v>
      </c>
      <c r="K45" s="8">
        <f t="shared" si="9"/>
        <v>0.52104493231207694</v>
      </c>
      <c r="L45" s="8">
        <f t="shared" si="10"/>
        <v>0.48917645096983986</v>
      </c>
      <c r="M45" s="8">
        <f t="shared" si="11"/>
        <v>0.48999331417054232</v>
      </c>
      <c r="N45" s="8">
        <f t="shared" si="12"/>
        <v>0.51453389157939666</v>
      </c>
      <c r="O45" s="8">
        <f t="shared" si="13"/>
        <v>0.52829331333948448</v>
      </c>
      <c r="P45" s="8">
        <f t="shared" si="14"/>
        <v>0.52715354470965436</v>
      </c>
    </row>
    <row r="46" spans="2:16" x14ac:dyDescent="0.3">
      <c r="J46" s="13" t="s">
        <v>73</v>
      </c>
      <c r="K46" s="12">
        <f>SUM(K25:K45)</f>
        <v>1.0273040983849899</v>
      </c>
      <c r="L46" s="12">
        <f t="shared" ref="L46:P46" si="15">SUM(L25:L45)</f>
        <v>0.99530774549610446</v>
      </c>
      <c r="M46" s="12">
        <f t="shared" si="15"/>
        <v>0.94798411668155125</v>
      </c>
      <c r="N46" s="12">
        <f t="shared" si="15"/>
        <v>0.96892963254287667</v>
      </c>
      <c r="O46" s="12">
        <f t="shared" si="15"/>
        <v>0.94942975297361287</v>
      </c>
      <c r="P46" s="12">
        <f t="shared" si="15"/>
        <v>0.92923351124926823</v>
      </c>
    </row>
    <row r="47" spans="2:16" x14ac:dyDescent="0.3">
      <c r="J47" s="14" t="s">
        <v>74</v>
      </c>
      <c r="K47" s="15">
        <f>1-K46</f>
        <v>-2.7304098384989928E-2</v>
      </c>
      <c r="L47" s="15">
        <f t="shared" ref="L47:P47" si="16">1-L46</f>
        <v>4.6922545038955432E-3</v>
      </c>
      <c r="M47" s="15">
        <f t="shared" si="16"/>
        <v>5.2015883318448752E-2</v>
      </c>
      <c r="N47" s="15">
        <f t="shared" si="16"/>
        <v>3.1070367457123327E-2</v>
      </c>
      <c r="O47" s="15">
        <f t="shared" si="16"/>
        <v>5.0570247026387127E-2</v>
      </c>
      <c r="P47" s="15">
        <f t="shared" si="16"/>
        <v>7.0766488750731771E-2</v>
      </c>
    </row>
  </sheetData>
  <sortState xmlns:xlrd2="http://schemas.microsoft.com/office/spreadsheetml/2017/richdata2" ref="A2:P23">
    <sortCondition ref="B1:B2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DA39-C734-40D4-A7E1-74904445EB78}">
  <dimension ref="A1:P23"/>
  <sheetViews>
    <sheetView tabSelected="1" zoomScale="96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9" t="s">
        <v>57</v>
      </c>
      <c r="B2" s="9">
        <v>2.1223049953036831E-2</v>
      </c>
      <c r="C2" s="9">
        <v>4.0268456375838924E-2</v>
      </c>
      <c r="D2" s="9">
        <v>3.3707865168539325E-2</v>
      </c>
      <c r="E2" s="9">
        <v>8.98876404494382E-2</v>
      </c>
      <c r="F2" s="9">
        <v>2.097902097902098E-2</v>
      </c>
      <c r="G2" s="9">
        <v>3.7735849056603772E-2</v>
      </c>
      <c r="H2" s="9">
        <v>7.0175438596491224E-2</v>
      </c>
      <c r="I2" s="9">
        <v>2.1223049953036831E-2</v>
      </c>
      <c r="J2" s="9">
        <v>2.1223049953036831E-2</v>
      </c>
      <c r="K2" s="9">
        <v>4.0268456375838924E-2</v>
      </c>
      <c r="L2" s="9">
        <v>3.3707865168539325E-2</v>
      </c>
      <c r="M2" s="9">
        <v>8.98876404494382E-2</v>
      </c>
      <c r="N2" s="9">
        <v>2.097902097902098E-2</v>
      </c>
      <c r="O2" s="9">
        <v>3.7735849056603772E-2</v>
      </c>
      <c r="P2" s="9">
        <v>7.0175438596491224E-2</v>
      </c>
    </row>
    <row r="3" spans="1:16" x14ac:dyDescent="0.3">
      <c r="A3" s="9" t="s">
        <v>54</v>
      </c>
      <c r="B3" s="9">
        <v>2.8400169210803679E-2</v>
      </c>
      <c r="C3" s="9">
        <v>2.0134228187919462E-2</v>
      </c>
      <c r="D3" s="9">
        <v>5.6179775280898875E-2</v>
      </c>
      <c r="E3" s="9">
        <v>0.10112359550561797</v>
      </c>
      <c r="F3" s="9">
        <v>0.11888111888111888</v>
      </c>
      <c r="G3" s="9">
        <v>0.10377358490566038</v>
      </c>
      <c r="H3" s="9">
        <v>1.7543859649122806E-2</v>
      </c>
      <c r="I3" s="9">
        <v>4.9623219163840507E-2</v>
      </c>
      <c r="J3" s="9">
        <f t="shared" ref="J3:P10" si="0">J2+B3</f>
        <v>4.9623219163840507E-2</v>
      </c>
      <c r="K3" s="9">
        <f t="shared" si="0"/>
        <v>6.0402684563758385E-2</v>
      </c>
      <c r="L3" s="9">
        <f t="shared" si="0"/>
        <v>8.98876404494382E-2</v>
      </c>
      <c r="M3" s="9">
        <f t="shared" si="0"/>
        <v>0.19101123595505617</v>
      </c>
      <c r="N3" s="9">
        <f t="shared" si="0"/>
        <v>0.13986013986013987</v>
      </c>
      <c r="O3" s="9">
        <f t="shared" si="0"/>
        <v>0.14150943396226415</v>
      </c>
      <c r="P3" s="9">
        <f t="shared" si="0"/>
        <v>8.771929824561403E-2</v>
      </c>
    </row>
    <row r="4" spans="1:16" x14ac:dyDescent="0.3">
      <c r="A4" s="9" t="s">
        <v>55</v>
      </c>
      <c r="B4" s="9">
        <v>3.2501380215241876E-2</v>
      </c>
      <c r="C4" s="9">
        <v>5.3691275167785234E-2</v>
      </c>
      <c r="D4" s="9">
        <v>0</v>
      </c>
      <c r="E4" s="9">
        <v>0</v>
      </c>
      <c r="F4" s="9">
        <v>6.2937062937062943E-2</v>
      </c>
      <c r="G4" s="9">
        <v>8.4905660377358486E-2</v>
      </c>
      <c r="H4" s="9">
        <v>0.10526315789473684</v>
      </c>
      <c r="I4" s="9">
        <v>8.2124599379082383E-2</v>
      </c>
      <c r="J4" s="9">
        <f t="shared" si="0"/>
        <v>8.2124599379082383E-2</v>
      </c>
      <c r="K4" s="9">
        <f t="shared" si="0"/>
        <v>0.11409395973154363</v>
      </c>
      <c r="L4" s="9">
        <f t="shared" si="0"/>
        <v>8.98876404494382E-2</v>
      </c>
      <c r="M4" s="9">
        <f t="shared" si="0"/>
        <v>0.19101123595505617</v>
      </c>
      <c r="N4" s="9">
        <f t="shared" si="0"/>
        <v>0.20279720279720281</v>
      </c>
      <c r="O4" s="9">
        <f t="shared" si="0"/>
        <v>0.22641509433962265</v>
      </c>
      <c r="P4" s="9">
        <f t="shared" si="0"/>
        <v>0.19298245614035087</v>
      </c>
    </row>
    <row r="5" spans="1:16" x14ac:dyDescent="0.3">
      <c r="A5" s="9" t="s">
        <v>59</v>
      </c>
      <c r="B5" s="9">
        <v>4.9823977744477346E-2</v>
      </c>
      <c r="C5" s="9">
        <v>2.6845637583892617E-2</v>
      </c>
      <c r="D5" s="9">
        <v>8.98876404494382E-2</v>
      </c>
      <c r="E5" s="9">
        <v>3.3707865168539325E-2</v>
      </c>
      <c r="F5" s="9">
        <v>4.8951048951048952E-2</v>
      </c>
      <c r="G5" s="9">
        <v>6.6037735849056603E-2</v>
      </c>
      <c r="H5" s="9">
        <v>0</v>
      </c>
      <c r="I5" s="9">
        <v>0.13194857712355973</v>
      </c>
      <c r="J5" s="9">
        <f t="shared" si="0"/>
        <v>0.13194857712355973</v>
      </c>
      <c r="K5" s="9">
        <f t="shared" si="0"/>
        <v>0.14093959731543623</v>
      </c>
      <c r="L5" s="9">
        <f t="shared" si="0"/>
        <v>0.1797752808988764</v>
      </c>
      <c r="M5" s="9">
        <f t="shared" si="0"/>
        <v>0.2247191011235955</v>
      </c>
      <c r="N5" s="9">
        <f t="shared" si="0"/>
        <v>0.25174825174825177</v>
      </c>
      <c r="O5" s="9">
        <f t="shared" si="0"/>
        <v>0.29245283018867924</v>
      </c>
      <c r="P5" s="9">
        <f t="shared" si="0"/>
        <v>0.19298245614035087</v>
      </c>
    </row>
    <row r="6" spans="1:16" x14ac:dyDescent="0.3">
      <c r="A6" s="9" t="s">
        <v>53</v>
      </c>
      <c r="B6" s="9">
        <v>6.0707960794717179E-2</v>
      </c>
      <c r="C6" s="9">
        <v>0.10738255033557047</v>
      </c>
      <c r="D6" s="9">
        <v>3.3707865168539325E-2</v>
      </c>
      <c r="E6" s="9">
        <v>1.1235955056179775E-2</v>
      </c>
      <c r="F6" s="9">
        <v>3.4965034965034968E-2</v>
      </c>
      <c r="G6" s="9">
        <v>2.8301886792452831E-2</v>
      </c>
      <c r="H6" s="9">
        <v>1.7543859649122806E-2</v>
      </c>
      <c r="I6" s="9">
        <v>0.19265653791827692</v>
      </c>
      <c r="J6" s="9">
        <f t="shared" si="0"/>
        <v>0.19265653791827692</v>
      </c>
      <c r="K6" s="9">
        <f t="shared" si="0"/>
        <v>0.24832214765100669</v>
      </c>
      <c r="L6" s="9">
        <f t="shared" si="0"/>
        <v>0.21348314606741572</v>
      </c>
      <c r="M6" s="9">
        <f t="shared" si="0"/>
        <v>0.23595505617977527</v>
      </c>
      <c r="N6" s="9">
        <f t="shared" si="0"/>
        <v>0.28671328671328672</v>
      </c>
      <c r="O6" s="9">
        <f t="shared" si="0"/>
        <v>0.32075471698113206</v>
      </c>
      <c r="P6" s="9">
        <f t="shared" si="0"/>
        <v>0.21052631578947367</v>
      </c>
    </row>
    <row r="7" spans="1:16" x14ac:dyDescent="0.3">
      <c r="A7" s="9" t="s">
        <v>56</v>
      </c>
      <c r="B7" s="9">
        <v>6.8810003513275167E-2</v>
      </c>
      <c r="C7" s="9">
        <v>2.6845637583892617E-2</v>
      </c>
      <c r="D7" s="9">
        <v>4.49438202247191E-2</v>
      </c>
      <c r="E7" s="9">
        <v>3.3707865168539325E-2</v>
      </c>
      <c r="F7" s="9">
        <v>9.7902097902097904E-2</v>
      </c>
      <c r="G7" s="9">
        <v>5.6603773584905662E-2</v>
      </c>
      <c r="H7" s="9">
        <v>7.0175438596491224E-2</v>
      </c>
      <c r="I7" s="9">
        <v>0.26146654143155207</v>
      </c>
      <c r="J7" s="9">
        <f t="shared" si="0"/>
        <v>0.26146654143155207</v>
      </c>
      <c r="K7" s="9">
        <f t="shared" si="0"/>
        <v>0.27516778523489932</v>
      </c>
      <c r="L7" s="9">
        <f t="shared" si="0"/>
        <v>0.2584269662921348</v>
      </c>
      <c r="M7" s="9">
        <f t="shared" si="0"/>
        <v>0.2696629213483146</v>
      </c>
      <c r="N7" s="9">
        <f t="shared" si="0"/>
        <v>0.38461538461538464</v>
      </c>
      <c r="O7" s="9">
        <f t="shared" si="0"/>
        <v>0.37735849056603771</v>
      </c>
      <c r="P7" s="9">
        <f t="shared" si="0"/>
        <v>0.2807017543859649</v>
      </c>
    </row>
    <row r="8" spans="1:16" x14ac:dyDescent="0.3">
      <c r="A8" s="9" t="s">
        <v>58</v>
      </c>
      <c r="B8" s="9">
        <v>8.1837801406744057E-2</v>
      </c>
      <c r="C8" s="9">
        <v>0.16107382550335569</v>
      </c>
      <c r="D8" s="9">
        <v>6.741573033707865E-2</v>
      </c>
      <c r="E8" s="9">
        <v>0.11235955056179775</v>
      </c>
      <c r="F8" s="9">
        <v>6.9930069930069935E-2</v>
      </c>
      <c r="G8" s="9">
        <v>4.716981132075472E-2</v>
      </c>
      <c r="H8" s="9">
        <v>0.12280701754385964</v>
      </c>
      <c r="I8" s="9">
        <v>0.34330434283829614</v>
      </c>
      <c r="J8" s="9">
        <f t="shared" si="0"/>
        <v>0.34330434283829614</v>
      </c>
      <c r="K8" s="9">
        <f t="shared" si="0"/>
        <v>0.43624161073825501</v>
      </c>
      <c r="L8" s="9">
        <f t="shared" si="0"/>
        <v>0.32584269662921345</v>
      </c>
      <c r="M8" s="9">
        <f t="shared" si="0"/>
        <v>0.38202247191011235</v>
      </c>
      <c r="N8" s="9">
        <f t="shared" si="0"/>
        <v>0.45454545454545459</v>
      </c>
      <c r="O8" s="9">
        <f t="shared" si="0"/>
        <v>0.42452830188679241</v>
      </c>
      <c r="P8" s="9">
        <f t="shared" si="0"/>
        <v>0.40350877192982454</v>
      </c>
    </row>
    <row r="9" spans="1:16" x14ac:dyDescent="0.3">
      <c r="A9" s="9" t="s">
        <v>60</v>
      </c>
      <c r="B9" s="9">
        <v>8.374500792279399E-2</v>
      </c>
      <c r="C9" s="9">
        <v>2.0134228187919462E-2</v>
      </c>
      <c r="D9" s="9">
        <v>3.3707865168539325E-2</v>
      </c>
      <c r="E9" s="9">
        <v>5.6179775280898875E-2</v>
      </c>
      <c r="F9" s="9">
        <v>4.195804195804196E-2</v>
      </c>
      <c r="G9" s="9">
        <v>6.6037735849056603E-2</v>
      </c>
      <c r="H9" s="9">
        <v>0.14035087719298245</v>
      </c>
      <c r="I9" s="9">
        <v>0.42704935076109013</v>
      </c>
      <c r="J9" s="9">
        <f t="shared" si="0"/>
        <v>0.42704935076109013</v>
      </c>
      <c r="K9" s="9">
        <f t="shared" si="0"/>
        <v>0.4563758389261745</v>
      </c>
      <c r="L9" s="9">
        <f t="shared" si="0"/>
        <v>0.3595505617977528</v>
      </c>
      <c r="M9" s="9">
        <f t="shared" si="0"/>
        <v>0.4382022471910112</v>
      </c>
      <c r="N9" s="9">
        <f t="shared" si="0"/>
        <v>0.49650349650349657</v>
      </c>
      <c r="O9" s="9">
        <f t="shared" si="0"/>
        <v>0.490566037735849</v>
      </c>
      <c r="P9" s="9">
        <f t="shared" si="0"/>
        <v>0.54385964912280693</v>
      </c>
    </row>
    <row r="10" spans="1:16" x14ac:dyDescent="0.3">
      <c r="A10" s="9" t="s">
        <v>52</v>
      </c>
      <c r="B10" s="9">
        <v>0.57295064923890993</v>
      </c>
      <c r="C10" s="9">
        <v>0.5436241610738255</v>
      </c>
      <c r="D10" s="9">
        <v>0.6404494382022472</v>
      </c>
      <c r="E10" s="9">
        <v>0.5617977528089888</v>
      </c>
      <c r="F10" s="9">
        <v>0.50349650349650354</v>
      </c>
      <c r="G10" s="9">
        <v>0.50943396226415094</v>
      </c>
      <c r="H10" s="9">
        <v>0.45614035087719296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0.99999999999999989</v>
      </c>
    </row>
    <row r="12" spans="1:16" ht="28.8" x14ac:dyDescent="0.3">
      <c r="B12" s="1" t="s">
        <v>23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J12" s="8"/>
      <c r="K12" s="12" t="s">
        <v>67</v>
      </c>
      <c r="L12" s="12" t="s">
        <v>68</v>
      </c>
      <c r="M12" s="12" t="s">
        <v>69</v>
      </c>
      <c r="N12" s="12" t="s">
        <v>70</v>
      </c>
      <c r="O12" s="12" t="s">
        <v>71</v>
      </c>
      <c r="P12" s="12" t="s">
        <v>72</v>
      </c>
    </row>
    <row r="13" spans="1:16" x14ac:dyDescent="0.3">
      <c r="B13" s="9" t="s">
        <v>57</v>
      </c>
      <c r="C13" s="9">
        <f>C2-B2</f>
        <v>1.9045406422802093E-2</v>
      </c>
      <c r="D13" s="9">
        <f>D2-B2</f>
        <v>1.2484815215502494E-2</v>
      </c>
      <c r="E13" s="9">
        <f>E2-B2</f>
        <v>6.8664590496401362E-2</v>
      </c>
      <c r="F13" s="9">
        <f>F2-B2</f>
        <v>-2.4402897401585091E-4</v>
      </c>
      <c r="G13" s="9">
        <f>G2-B2</f>
        <v>1.6512799103566941E-2</v>
      </c>
      <c r="H13" s="9">
        <f>H2-B2</f>
        <v>4.8952388643454393E-2</v>
      </c>
      <c r="J13" s="9" t="s">
        <v>57</v>
      </c>
      <c r="K13" s="8">
        <f>($J2-0) * ((K2+0))</f>
        <v>8.5461946119611389E-4</v>
      </c>
      <c r="L13" s="8">
        <f t="shared" ref="L13:P13" si="1">($J2-0) * ((L2+0))</f>
        <v>7.1538370628214029E-4</v>
      </c>
      <c r="M13" s="8">
        <f t="shared" si="1"/>
        <v>1.907689883419041E-3</v>
      </c>
      <c r="N13" s="8">
        <f t="shared" si="1"/>
        <v>4.4523881020356991E-4</v>
      </c>
      <c r="O13" s="8">
        <f t="shared" si="1"/>
        <v>8.0086980954855965E-4</v>
      </c>
      <c r="P13" s="8">
        <f t="shared" si="1"/>
        <v>1.489336838809602E-3</v>
      </c>
    </row>
    <row r="14" spans="1:16" x14ac:dyDescent="0.3">
      <c r="B14" s="9" t="s">
        <v>54</v>
      </c>
      <c r="C14" s="9">
        <f t="shared" ref="C14:C21" si="2">C3-B3</f>
        <v>-8.2659410228842177E-3</v>
      </c>
      <c r="D14" s="9">
        <f t="shared" ref="D14:D21" si="3">D3-B3</f>
        <v>2.7779606070095195E-2</v>
      </c>
      <c r="E14" s="9">
        <f t="shared" ref="E14:E21" si="4">E3-B3</f>
        <v>7.2723426294814292E-2</v>
      </c>
      <c r="F14" s="9">
        <f t="shared" ref="F14:F21" si="5">F3-B3</f>
        <v>9.0480949670315197E-2</v>
      </c>
      <c r="G14" s="9">
        <f t="shared" ref="G14:G21" si="6">G3-B3</f>
        <v>7.5373415694856699E-2</v>
      </c>
      <c r="H14" s="9">
        <f t="shared" ref="H14:H21" si="7">H3-B3</f>
        <v>-1.0856309561680873E-2</v>
      </c>
      <c r="J14" s="9" t="s">
        <v>54</v>
      </c>
      <c r="K14" s="8">
        <f>($J3-$J2) * ((K3+K2))</f>
        <v>2.8590774373292291E-3</v>
      </c>
      <c r="L14" s="8">
        <f t="shared" ref="L14:P14" si="8">($J3-$J2) * ((L3+L2))</f>
        <v>3.510133273245398E-3</v>
      </c>
      <c r="M14" s="8">
        <f t="shared" si="8"/>
        <v>7.9775756210122683E-3</v>
      </c>
      <c r="N14" s="8">
        <f t="shared" si="8"/>
        <v>4.5678593835558369E-3</v>
      </c>
      <c r="O14" s="8">
        <f t="shared" si="8"/>
        <v>5.0905963679742433E-3</v>
      </c>
      <c r="P14" s="8">
        <f t="shared" si="8"/>
        <v>4.4842372438111061E-3</v>
      </c>
    </row>
    <row r="15" spans="1:16" x14ac:dyDescent="0.3">
      <c r="B15" s="9" t="s">
        <v>55</v>
      </c>
      <c r="C15" s="9">
        <f t="shared" si="2"/>
        <v>2.1189894952543357E-2</v>
      </c>
      <c r="D15" s="9">
        <f t="shared" si="3"/>
        <v>-3.2501380215241876E-2</v>
      </c>
      <c r="E15" s="9">
        <f t="shared" si="4"/>
        <v>-3.2501380215241876E-2</v>
      </c>
      <c r="F15" s="9">
        <f t="shared" si="5"/>
        <v>3.0435682721821067E-2</v>
      </c>
      <c r="G15" s="9">
        <f t="shared" si="6"/>
        <v>5.2404280162116609E-2</v>
      </c>
      <c r="H15" s="9">
        <f t="shared" si="7"/>
        <v>7.276177767949496E-2</v>
      </c>
      <c r="J15" s="9" t="s">
        <v>55</v>
      </c>
      <c r="K15" s="8">
        <f t="shared" ref="K15:P21" si="9">($J4-$J3) * ((K4+K3))</f>
        <v>5.6713817825254278E-3</v>
      </c>
      <c r="L15" s="8">
        <f t="shared" si="9"/>
        <v>5.842944757796292E-3</v>
      </c>
      <c r="M15" s="8">
        <f t="shared" si="9"/>
        <v>1.2416257610317121E-2</v>
      </c>
      <c r="N15" s="8">
        <f t="shared" si="9"/>
        <v>1.1136836577250715E-2</v>
      </c>
      <c r="O15" s="8">
        <f t="shared" si="9"/>
        <v>1.1958054984853144E-2</v>
      </c>
      <c r="P15" s="8">
        <f t="shared" si="9"/>
        <v>9.1231944463836846E-3</v>
      </c>
    </row>
    <row r="16" spans="1:16" x14ac:dyDescent="0.3">
      <c r="B16" s="9" t="s">
        <v>59</v>
      </c>
      <c r="C16" s="9">
        <f t="shared" si="2"/>
        <v>-2.2978340160584729E-2</v>
      </c>
      <c r="D16" s="9">
        <f t="shared" si="3"/>
        <v>4.0063662704960853E-2</v>
      </c>
      <c r="E16" s="9">
        <f t="shared" si="4"/>
        <v>-1.6116112575938021E-2</v>
      </c>
      <c r="F16" s="9">
        <f t="shared" si="5"/>
        <v>-8.7292879342839441E-4</v>
      </c>
      <c r="G16" s="9">
        <f t="shared" si="6"/>
        <v>1.6213758104579257E-2</v>
      </c>
      <c r="H16" s="9">
        <f t="shared" si="7"/>
        <v>-4.9823977744477346E-2</v>
      </c>
      <c r="J16" s="9" t="s">
        <v>59</v>
      </c>
      <c r="K16" s="8">
        <f t="shared" si="9"/>
        <v>1.2706786270403617E-2</v>
      </c>
      <c r="L16" s="8">
        <f t="shared" si="9"/>
        <v>1.3435679391769172E-2</v>
      </c>
      <c r="M16" s="8">
        <f t="shared" si="9"/>
        <v>2.0713339062310807E-2</v>
      </c>
      <c r="N16" s="8">
        <f t="shared" si="9"/>
        <v>2.2647262611126068E-2</v>
      </c>
      <c r="O16" s="8">
        <f t="shared" si="9"/>
        <v>2.5852063924021264E-2</v>
      </c>
      <c r="P16" s="8">
        <f t="shared" si="9"/>
        <v>1.9230307199622834E-2</v>
      </c>
    </row>
    <row r="17" spans="2:16" x14ac:dyDescent="0.3">
      <c r="B17" s="9" t="s">
        <v>53</v>
      </c>
      <c r="C17" s="9">
        <f t="shared" si="2"/>
        <v>4.6674589540853288E-2</v>
      </c>
      <c r="D17" s="9">
        <f t="shared" si="3"/>
        <v>-2.7000095626177854E-2</v>
      </c>
      <c r="E17" s="9">
        <f t="shared" si="4"/>
        <v>-4.9472005738537404E-2</v>
      </c>
      <c r="F17" s="9">
        <f t="shared" si="5"/>
        <v>-2.5742925829682212E-2</v>
      </c>
      <c r="G17" s="9">
        <f t="shared" si="6"/>
        <v>-3.2406074002264348E-2</v>
      </c>
      <c r="H17" s="9">
        <f t="shared" si="7"/>
        <v>-4.3164101145594373E-2</v>
      </c>
      <c r="J17" s="9" t="s">
        <v>53</v>
      </c>
      <c r="K17" s="8">
        <f t="shared" si="9"/>
        <v>2.3631286752306017E-2</v>
      </c>
      <c r="L17" s="8">
        <f t="shared" si="9"/>
        <v>2.3873917166461811E-2</v>
      </c>
      <c r="M17" s="8">
        <f t="shared" si="9"/>
        <v>2.7966588680712414E-2</v>
      </c>
      <c r="N17" s="8">
        <f t="shared" si="9"/>
        <v>3.2688901966386186E-2</v>
      </c>
      <c r="O17" s="8">
        <f t="shared" si="9"/>
        <v>3.7226579732609594E-2</v>
      </c>
      <c r="P17" s="8">
        <f t="shared" si="9"/>
        <v>2.4496194706640266E-2</v>
      </c>
    </row>
    <row r="18" spans="2:16" x14ac:dyDescent="0.3">
      <c r="B18" s="9" t="s">
        <v>56</v>
      </c>
      <c r="C18" s="9">
        <f t="shared" si="2"/>
        <v>-4.1964365929382547E-2</v>
      </c>
      <c r="D18" s="9">
        <f t="shared" si="3"/>
        <v>-2.3866183288556067E-2</v>
      </c>
      <c r="E18" s="9">
        <f t="shared" si="4"/>
        <v>-3.5102138344735842E-2</v>
      </c>
      <c r="F18" s="9">
        <f t="shared" si="5"/>
        <v>2.9092094388822737E-2</v>
      </c>
      <c r="G18" s="9">
        <f t="shared" si="6"/>
        <v>-1.2206229928369505E-2</v>
      </c>
      <c r="H18" s="9">
        <f t="shared" si="7"/>
        <v>1.3654350832160572E-3</v>
      </c>
      <c r="J18" s="9" t="s">
        <v>56</v>
      </c>
      <c r="K18" s="8">
        <f t="shared" si="9"/>
        <v>3.602134412104336E-2</v>
      </c>
      <c r="L18" s="8">
        <f t="shared" si="9"/>
        <v>3.247213648941074E-2</v>
      </c>
      <c r="M18" s="8">
        <f t="shared" si="9"/>
        <v>3.4791574810082944E-2</v>
      </c>
      <c r="N18" s="8">
        <f t="shared" si="9"/>
        <v>4.6194128232688217E-2</v>
      </c>
      <c r="O18" s="8">
        <f t="shared" si="9"/>
        <v>4.8037172263984539E-2</v>
      </c>
      <c r="P18" s="8">
        <f t="shared" si="9"/>
        <v>3.3801405234591304E-2</v>
      </c>
    </row>
    <row r="19" spans="2:16" x14ac:dyDescent="0.3">
      <c r="B19" s="9" t="s">
        <v>58</v>
      </c>
      <c r="C19" s="9">
        <f t="shared" si="2"/>
        <v>7.9236024096611637E-2</v>
      </c>
      <c r="D19" s="9">
        <f t="shared" si="3"/>
        <v>-1.4422071069665407E-2</v>
      </c>
      <c r="E19" s="9">
        <f t="shared" si="4"/>
        <v>3.0521749155053693E-2</v>
      </c>
      <c r="F19" s="9">
        <f t="shared" si="5"/>
        <v>-1.1907731476674122E-2</v>
      </c>
      <c r="G19" s="9">
        <f t="shared" si="6"/>
        <v>-3.4667990085989336E-2</v>
      </c>
      <c r="H19" s="9">
        <f t="shared" si="7"/>
        <v>4.0969216137115586E-2</v>
      </c>
      <c r="J19" s="9" t="s">
        <v>58</v>
      </c>
      <c r="K19" s="8">
        <f t="shared" si="9"/>
        <v>5.8220180866542758E-2</v>
      </c>
      <c r="L19" s="8">
        <f t="shared" si="9"/>
        <v>4.7815344642142592E-2</v>
      </c>
      <c r="M19" s="8">
        <f t="shared" si="9"/>
        <v>5.3332499793159058E-2</v>
      </c>
      <c r="N19" s="8">
        <f t="shared" si="9"/>
        <v>6.8675078103561452E-2</v>
      </c>
      <c r="O19" s="8">
        <f t="shared" si="9"/>
        <v>6.5624652071445716E-2</v>
      </c>
      <c r="P19" s="8">
        <f t="shared" si="9"/>
        <v>5.599428517303541E-2</v>
      </c>
    </row>
    <row r="20" spans="2:16" x14ac:dyDescent="0.3">
      <c r="B20" s="9" t="s">
        <v>60</v>
      </c>
      <c r="C20" s="9">
        <f t="shared" si="2"/>
        <v>-6.3610779734874529E-2</v>
      </c>
      <c r="D20" s="9">
        <f t="shared" si="3"/>
        <v>-5.0037142754254665E-2</v>
      </c>
      <c r="E20" s="9">
        <f t="shared" si="4"/>
        <v>-2.7565232641895115E-2</v>
      </c>
      <c r="F20" s="9">
        <f t="shared" si="5"/>
        <v>-4.1786965964752031E-2</v>
      </c>
      <c r="G20" s="9">
        <f t="shared" si="6"/>
        <v>-1.7707272073737387E-2</v>
      </c>
      <c r="H20" s="9">
        <f t="shared" si="7"/>
        <v>5.6605869270188458E-2</v>
      </c>
      <c r="J20" s="9" t="s">
        <v>60</v>
      </c>
      <c r="K20" s="8">
        <f t="shared" si="9"/>
        <v>7.475225539417181E-2</v>
      </c>
      <c r="L20" s="8">
        <f t="shared" si="9"/>
        <v>5.7398263857195875E-2</v>
      </c>
      <c r="M20" s="8">
        <f t="shared" si="9"/>
        <v>6.8689725599595075E-2</v>
      </c>
      <c r="N20" s="8">
        <f t="shared" si="9"/>
        <v>7.9645601940559321E-2</v>
      </c>
      <c r="O20" s="8">
        <f t="shared" si="9"/>
        <v>7.6634582721802041E-2</v>
      </c>
      <c r="P20" s="8">
        <f t="shared" si="9"/>
        <v>7.9337375926857454E-2</v>
      </c>
    </row>
    <row r="21" spans="2:16" x14ac:dyDescent="0.3">
      <c r="B21" s="9" t="s">
        <v>52</v>
      </c>
      <c r="C21" s="9">
        <f t="shared" si="2"/>
        <v>-2.932648816508443E-2</v>
      </c>
      <c r="D21" s="9">
        <f t="shared" si="3"/>
        <v>6.7498788963337275E-2</v>
      </c>
      <c r="E21" s="9">
        <f t="shared" si="4"/>
        <v>-1.1152896429921122E-2</v>
      </c>
      <c r="F21" s="9">
        <f t="shared" si="5"/>
        <v>-6.9454145742406381E-2</v>
      </c>
      <c r="G21" s="9">
        <f t="shared" si="6"/>
        <v>-6.3516686974758985E-2</v>
      </c>
      <c r="H21" s="9">
        <f t="shared" si="7"/>
        <v>-0.11681029836171697</v>
      </c>
      <c r="J21" s="9" t="s">
        <v>52</v>
      </c>
      <c r="K21" s="8">
        <f t="shared" si="9"/>
        <v>0.83443148244861365</v>
      </c>
      <c r="L21" s="8">
        <f t="shared" si="9"/>
        <v>0.77895537705514706</v>
      </c>
      <c r="M21" s="8">
        <f t="shared" si="9"/>
        <v>0.82401891126494897</v>
      </c>
      <c r="N21" s="8">
        <f t="shared" si="9"/>
        <v>0.85742264990997707</v>
      </c>
      <c r="O21" s="8">
        <f t="shared" si="9"/>
        <v>0.85402077905422402</v>
      </c>
      <c r="P21" s="8">
        <f t="shared" si="9"/>
        <v>0.88455538829866776</v>
      </c>
    </row>
    <row r="22" spans="2:16" x14ac:dyDescent="0.3">
      <c r="J22" s="13" t="s">
        <v>73</v>
      </c>
      <c r="K22" s="12">
        <f>SUM(K13:K21)</f>
        <v>1.0491484145341321</v>
      </c>
      <c r="L22" s="12">
        <f t="shared" ref="L22:P22" si="10">SUM(L13:L21)</f>
        <v>0.96401918033945111</v>
      </c>
      <c r="M22" s="12">
        <f t="shared" si="10"/>
        <v>1.0518141623255577</v>
      </c>
      <c r="N22" s="12">
        <f t="shared" si="10"/>
        <v>1.1234235575353084</v>
      </c>
      <c r="O22" s="12">
        <f t="shared" si="10"/>
        <v>1.1252453509304632</v>
      </c>
      <c r="P22" s="12">
        <f t="shared" si="10"/>
        <v>1.1125117250684196</v>
      </c>
    </row>
    <row r="23" spans="2:16" x14ac:dyDescent="0.3">
      <c r="J23" s="14" t="s">
        <v>74</v>
      </c>
      <c r="K23" s="15">
        <f>1-K22</f>
        <v>-4.9148414534132101E-2</v>
      </c>
      <c r="L23" s="15">
        <f t="shared" ref="L23:P23" si="11">1-L22</f>
        <v>3.5980819660548891E-2</v>
      </c>
      <c r="M23" s="15">
        <f t="shared" si="11"/>
        <v>-5.1814162325557689E-2</v>
      </c>
      <c r="N23" s="15">
        <f t="shared" si="11"/>
        <v>-0.12342355753530843</v>
      </c>
      <c r="O23" s="15">
        <f t="shared" si="11"/>
        <v>-0.12524535093046318</v>
      </c>
      <c r="P23" s="15">
        <f t="shared" si="11"/>
        <v>-0.11251172506841955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MANHUAÇU</vt:lpstr>
      <vt:lpstr>PONTE NOVA</vt:lpstr>
      <vt:lpstr>VIÇOSA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2025-04-20T18:51:44Z</dcterms:created>
  <dcterms:modified xsi:type="dcterms:W3CDTF">2025-08-24T17:52:00Z</dcterms:modified>
</cp:coreProperties>
</file>