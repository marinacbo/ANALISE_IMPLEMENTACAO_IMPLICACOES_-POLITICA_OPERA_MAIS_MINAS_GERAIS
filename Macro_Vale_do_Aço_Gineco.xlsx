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39" documentId="8_{100B35CF-03FE-479C-A1C0-10E5843F677A}" xr6:coauthVersionLast="47" xr6:coauthVersionMax="47" xr10:uidLastSave="{DAA53732-A3C0-4B38-9265-1E0F05EC3CB0}"/>
  <bookViews>
    <workbookView xWindow="-108" yWindow="-108" windowWidth="23256" windowHeight="12456" activeTab="1" xr2:uid="{8FDFCEA1-93D2-42CC-9056-FA0A66A25CAD}"/>
  </bookViews>
  <sheets>
    <sheet name="CARATINGA" sheetId="1" r:id="rId1"/>
    <sheet name="CORONEL FABRICIANO - TIMÓTEO" sheetId="2" r:id="rId2"/>
    <sheet name="IPATING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3" l="1"/>
  <c r="O18" i="3"/>
  <c r="N18" i="3"/>
  <c r="M18" i="3"/>
  <c r="L18" i="3"/>
  <c r="K18" i="3"/>
  <c r="P12" i="2"/>
  <c r="O12" i="2"/>
  <c r="N12" i="2"/>
  <c r="M12" i="2"/>
  <c r="L12" i="2"/>
  <c r="K12" i="2"/>
  <c r="P17" i="1"/>
  <c r="O17" i="1"/>
  <c r="N17" i="1"/>
  <c r="M17" i="1"/>
  <c r="L17" i="1"/>
  <c r="K17" i="1"/>
  <c r="C19" i="3" l="1"/>
  <c r="D19" i="3"/>
  <c r="E19" i="3"/>
  <c r="F19" i="3"/>
  <c r="G19" i="3"/>
  <c r="H19" i="3"/>
  <c r="C20" i="3"/>
  <c r="D20" i="3"/>
  <c r="E20" i="3"/>
  <c r="F20" i="3"/>
  <c r="G20" i="3"/>
  <c r="H20" i="3"/>
  <c r="C21" i="3"/>
  <c r="D21" i="3"/>
  <c r="E21" i="3"/>
  <c r="F21" i="3"/>
  <c r="G21" i="3"/>
  <c r="H21" i="3"/>
  <c r="C22" i="3"/>
  <c r="D22" i="3"/>
  <c r="E22" i="3"/>
  <c r="F22" i="3"/>
  <c r="G22" i="3"/>
  <c r="H22" i="3"/>
  <c r="C23" i="3"/>
  <c r="D23" i="3"/>
  <c r="E23" i="3"/>
  <c r="F23" i="3"/>
  <c r="G23" i="3"/>
  <c r="H23" i="3"/>
  <c r="C24" i="3"/>
  <c r="D24" i="3"/>
  <c r="E24" i="3"/>
  <c r="F24" i="3"/>
  <c r="G24" i="3"/>
  <c r="H24" i="3"/>
  <c r="C25" i="3"/>
  <c r="D25" i="3"/>
  <c r="E25" i="3"/>
  <c r="F25" i="3"/>
  <c r="G25" i="3"/>
  <c r="H25" i="3"/>
  <c r="C26" i="3"/>
  <c r="D26" i="3"/>
  <c r="E26" i="3"/>
  <c r="F26" i="3"/>
  <c r="G26" i="3"/>
  <c r="H26" i="3"/>
  <c r="C27" i="3"/>
  <c r="D27" i="3"/>
  <c r="E27" i="3"/>
  <c r="F27" i="3"/>
  <c r="G27" i="3"/>
  <c r="H27" i="3"/>
  <c r="C28" i="3"/>
  <c r="D28" i="3"/>
  <c r="E28" i="3"/>
  <c r="F28" i="3"/>
  <c r="G28" i="3"/>
  <c r="H28" i="3"/>
  <c r="C29" i="3"/>
  <c r="D29" i="3"/>
  <c r="E29" i="3"/>
  <c r="F29" i="3"/>
  <c r="G29" i="3"/>
  <c r="H29" i="3"/>
  <c r="C30" i="3"/>
  <c r="D30" i="3"/>
  <c r="E30" i="3"/>
  <c r="F30" i="3"/>
  <c r="G30" i="3"/>
  <c r="H30" i="3"/>
  <c r="C31" i="3"/>
  <c r="D31" i="3"/>
  <c r="E31" i="3"/>
  <c r="F31" i="3"/>
  <c r="G31" i="3"/>
  <c r="H31" i="3"/>
  <c r="H18" i="3"/>
  <c r="G18" i="3"/>
  <c r="F18" i="3"/>
  <c r="E18" i="3"/>
  <c r="D18" i="3"/>
  <c r="C18" i="3"/>
  <c r="P3" i="3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O3" i="3"/>
  <c r="O4" i="3" s="1"/>
  <c r="O5" i="3" s="1"/>
  <c r="O6" i="3" s="1"/>
  <c r="O7" i="3" s="1"/>
  <c r="O8" i="3" s="1"/>
  <c r="O9" i="3" s="1"/>
  <c r="O10" i="3" s="1"/>
  <c r="O11" i="3" s="1"/>
  <c r="O12" i="3" s="1"/>
  <c r="O13" i="3" s="1"/>
  <c r="O14" i="3" s="1"/>
  <c r="O15" i="3" s="1"/>
  <c r="N3" i="3"/>
  <c r="N4" i="3" s="1"/>
  <c r="N5" i="3" s="1"/>
  <c r="N6" i="3" s="1"/>
  <c r="N7" i="3" s="1"/>
  <c r="N8" i="3" s="1"/>
  <c r="N9" i="3" s="1"/>
  <c r="N10" i="3" s="1"/>
  <c r="N11" i="3" s="1"/>
  <c r="N12" i="3" s="1"/>
  <c r="N13" i="3" s="1"/>
  <c r="N14" i="3" s="1"/>
  <c r="N15" i="3" s="1"/>
  <c r="M3" i="3"/>
  <c r="M4" i="3" s="1"/>
  <c r="M5" i="3" s="1"/>
  <c r="M6" i="3" s="1"/>
  <c r="M7" i="3" s="1"/>
  <c r="M8" i="3" s="1"/>
  <c r="M9" i="3" s="1"/>
  <c r="M10" i="3" s="1"/>
  <c r="M11" i="3" s="1"/>
  <c r="M12" i="3" s="1"/>
  <c r="M13" i="3" s="1"/>
  <c r="M14" i="3" s="1"/>
  <c r="M15" i="3" s="1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K3" i="3"/>
  <c r="K4" i="3" s="1"/>
  <c r="K5" i="3" s="1"/>
  <c r="K6" i="3" s="1"/>
  <c r="K7" i="3" s="1"/>
  <c r="K8" i="3" s="1"/>
  <c r="K9" i="3" s="1"/>
  <c r="K10" i="3" s="1"/>
  <c r="K11" i="3" s="1"/>
  <c r="K12" i="3" s="1"/>
  <c r="K13" i="3" s="1"/>
  <c r="K14" i="3" s="1"/>
  <c r="K15" i="3" s="1"/>
  <c r="J3" i="3"/>
  <c r="H29" i="1"/>
  <c r="G29" i="1"/>
  <c r="F29" i="1"/>
  <c r="E29" i="1"/>
  <c r="D29" i="1"/>
  <c r="C29" i="1"/>
  <c r="H28" i="1"/>
  <c r="G28" i="1"/>
  <c r="F28" i="1"/>
  <c r="E28" i="1"/>
  <c r="D28" i="1"/>
  <c r="C28" i="1"/>
  <c r="H27" i="1"/>
  <c r="G27" i="1"/>
  <c r="F27" i="1"/>
  <c r="E27" i="1"/>
  <c r="D27" i="1"/>
  <c r="C27" i="1"/>
  <c r="H26" i="1"/>
  <c r="G26" i="1"/>
  <c r="F26" i="1"/>
  <c r="E26" i="1"/>
  <c r="D26" i="1"/>
  <c r="C26" i="1"/>
  <c r="H25" i="1"/>
  <c r="G25" i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J3" i="1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H16" i="2"/>
  <c r="G16" i="2"/>
  <c r="F16" i="2"/>
  <c r="E16" i="2"/>
  <c r="D16" i="2"/>
  <c r="C16" i="2"/>
  <c r="H15" i="2"/>
  <c r="G15" i="2"/>
  <c r="F15" i="2"/>
  <c r="E15" i="2"/>
  <c r="D15" i="2"/>
  <c r="C15" i="2"/>
  <c r="H14" i="2"/>
  <c r="G14" i="2"/>
  <c r="F14" i="2"/>
  <c r="E14" i="2"/>
  <c r="D14" i="2"/>
  <c r="C14" i="2"/>
  <c r="H13" i="2"/>
  <c r="G13" i="2"/>
  <c r="F13" i="2"/>
  <c r="E13" i="2"/>
  <c r="D13" i="2"/>
  <c r="C13" i="2"/>
  <c r="H12" i="2"/>
  <c r="G12" i="2"/>
  <c r="F12" i="2"/>
  <c r="E12" i="2"/>
  <c r="D12" i="2"/>
  <c r="C12" i="2"/>
  <c r="P3" i="2"/>
  <c r="P4" i="2" s="1"/>
  <c r="P5" i="2" s="1"/>
  <c r="P6" i="2" s="1"/>
  <c r="P7" i="2" s="1"/>
  <c r="P8" i="2" s="1"/>
  <c r="P9" i="2" s="1"/>
  <c r="O3" i="2"/>
  <c r="O4" i="2" s="1"/>
  <c r="O5" i="2" s="1"/>
  <c r="O6" i="2" s="1"/>
  <c r="O7" i="2" s="1"/>
  <c r="O8" i="2" s="1"/>
  <c r="O9" i="2" s="1"/>
  <c r="N3" i="2"/>
  <c r="N4" i="2" s="1"/>
  <c r="N5" i="2" s="1"/>
  <c r="N6" i="2" s="1"/>
  <c r="N7" i="2" s="1"/>
  <c r="N8" i="2" s="1"/>
  <c r="N9" i="2" s="1"/>
  <c r="M3" i="2"/>
  <c r="M4" i="2" s="1"/>
  <c r="M5" i="2" s="1"/>
  <c r="M6" i="2" s="1"/>
  <c r="M7" i="2" s="1"/>
  <c r="M8" i="2" s="1"/>
  <c r="M9" i="2" s="1"/>
  <c r="L3" i="2"/>
  <c r="L4" i="2" s="1"/>
  <c r="L5" i="2" s="1"/>
  <c r="L6" i="2" s="1"/>
  <c r="L7" i="2" s="1"/>
  <c r="L8" i="2" s="1"/>
  <c r="L9" i="2" s="1"/>
  <c r="K3" i="2"/>
  <c r="K4" i="2" s="1"/>
  <c r="K5" i="2" s="1"/>
  <c r="K6" i="2" s="1"/>
  <c r="K7" i="2" s="1"/>
  <c r="K8" i="2" s="1"/>
  <c r="K9" i="2" s="1"/>
  <c r="J3" i="2"/>
  <c r="J4" i="2" l="1"/>
  <c r="O13" i="2"/>
  <c r="P13" i="2"/>
  <c r="N13" i="2"/>
  <c r="M13" i="2"/>
  <c r="L13" i="2"/>
  <c r="K13" i="2"/>
  <c r="J4" i="1"/>
  <c r="N18" i="1"/>
  <c r="M18" i="1"/>
  <c r="O18" i="1"/>
  <c r="L18" i="1"/>
  <c r="K18" i="1"/>
  <c r="P18" i="1"/>
  <c r="J4" i="3"/>
  <c r="P19" i="3"/>
  <c r="O19" i="3"/>
  <c r="N19" i="3"/>
  <c r="M19" i="3"/>
  <c r="L19" i="3"/>
  <c r="K19" i="3"/>
  <c r="J5" i="2" l="1"/>
  <c r="L14" i="2"/>
  <c r="K14" i="2"/>
  <c r="P14" i="2"/>
  <c r="O14" i="2"/>
  <c r="N14" i="2"/>
  <c r="M14" i="2"/>
  <c r="J5" i="1"/>
  <c r="P19" i="1"/>
  <c r="O19" i="1"/>
  <c r="N19" i="1"/>
  <c r="M19" i="1"/>
  <c r="L19" i="1"/>
  <c r="K19" i="1"/>
  <c r="J5" i="3"/>
  <c r="K20" i="3"/>
  <c r="P20" i="3"/>
  <c r="O20" i="3"/>
  <c r="N20" i="3"/>
  <c r="M20" i="3"/>
  <c r="L20" i="3"/>
  <c r="J6" i="2" l="1"/>
  <c r="N15" i="2"/>
  <c r="M15" i="2"/>
  <c r="L15" i="2"/>
  <c r="K15" i="2"/>
  <c r="P15" i="2"/>
  <c r="O15" i="2"/>
  <c r="J6" i="1"/>
  <c r="K20" i="1"/>
  <c r="P20" i="1"/>
  <c r="O20" i="1"/>
  <c r="N20" i="1"/>
  <c r="M20" i="1"/>
  <c r="L20" i="1"/>
  <c r="J6" i="3"/>
  <c r="L21" i="3"/>
  <c r="N21" i="3"/>
  <c r="M21" i="3"/>
  <c r="K21" i="3"/>
  <c r="P21" i="3"/>
  <c r="O21" i="3"/>
  <c r="J7" i="2" l="1"/>
  <c r="P16" i="2"/>
  <c r="O16" i="2"/>
  <c r="M16" i="2"/>
  <c r="N16" i="2"/>
  <c r="L16" i="2"/>
  <c r="K16" i="2"/>
  <c r="J7" i="1"/>
  <c r="L21" i="1"/>
  <c r="K21" i="1"/>
  <c r="P21" i="1"/>
  <c r="O21" i="1"/>
  <c r="N21" i="1"/>
  <c r="M21" i="1"/>
  <c r="J7" i="3"/>
  <c r="N22" i="3"/>
  <c r="M22" i="3"/>
  <c r="L22" i="3"/>
  <c r="P22" i="3"/>
  <c r="K22" i="3"/>
  <c r="O22" i="3"/>
  <c r="J8" i="2" l="1"/>
  <c r="N17" i="2"/>
  <c r="M17" i="2"/>
  <c r="L17" i="2"/>
  <c r="K17" i="2"/>
  <c r="P17" i="2"/>
  <c r="O17" i="2"/>
  <c r="J8" i="1"/>
  <c r="N22" i="1"/>
  <c r="M22" i="1"/>
  <c r="L22" i="1"/>
  <c r="K22" i="1"/>
  <c r="P22" i="1"/>
  <c r="O22" i="1"/>
  <c r="J8" i="3"/>
  <c r="P23" i="3"/>
  <c r="O23" i="3"/>
  <c r="N23" i="3"/>
  <c r="M23" i="3"/>
  <c r="L23" i="3"/>
  <c r="K23" i="3"/>
  <c r="J9" i="2" l="1"/>
  <c r="L18" i="2"/>
  <c r="K18" i="2"/>
  <c r="P18" i="2"/>
  <c r="O18" i="2"/>
  <c r="N18" i="2"/>
  <c r="M18" i="2"/>
  <c r="J9" i="1"/>
  <c r="P23" i="1"/>
  <c r="O23" i="1"/>
  <c r="N23" i="1"/>
  <c r="M23" i="1"/>
  <c r="L23" i="1"/>
  <c r="K23" i="1"/>
  <c r="J9" i="3"/>
  <c r="L24" i="3"/>
  <c r="P24" i="3"/>
  <c r="O24" i="3"/>
  <c r="N24" i="3"/>
  <c r="K24" i="3"/>
  <c r="M24" i="3"/>
  <c r="N19" i="2" l="1"/>
  <c r="N20" i="2" s="1"/>
  <c r="N21" i="2" s="1"/>
  <c r="M19" i="2"/>
  <c r="M20" i="2" s="1"/>
  <c r="M21" i="2" s="1"/>
  <c r="P19" i="2"/>
  <c r="O19" i="2"/>
  <c r="O20" i="2" s="1"/>
  <c r="O21" i="2" s="1"/>
  <c r="L19" i="2"/>
  <c r="L20" i="2" s="1"/>
  <c r="L21" i="2" s="1"/>
  <c r="K19" i="2"/>
  <c r="K20" i="2" s="1"/>
  <c r="K21" i="2" s="1"/>
  <c r="P20" i="2"/>
  <c r="P21" i="2" s="1"/>
  <c r="J10" i="1"/>
  <c r="P24" i="1"/>
  <c r="O24" i="1"/>
  <c r="N24" i="1"/>
  <c r="M24" i="1"/>
  <c r="L24" i="1"/>
  <c r="K24" i="1"/>
  <c r="J10" i="3"/>
  <c r="L25" i="3"/>
  <c r="N25" i="3"/>
  <c r="K25" i="3"/>
  <c r="M25" i="3"/>
  <c r="P25" i="3"/>
  <c r="O25" i="3"/>
  <c r="J11" i="1" l="1"/>
  <c r="L25" i="1"/>
  <c r="K25" i="1"/>
  <c r="P25" i="1"/>
  <c r="O25" i="1"/>
  <c r="N25" i="1"/>
  <c r="M25" i="1"/>
  <c r="J11" i="3"/>
  <c r="N26" i="3"/>
  <c r="M26" i="3"/>
  <c r="L26" i="3"/>
  <c r="K26" i="3"/>
  <c r="O26" i="3"/>
  <c r="P26" i="3"/>
  <c r="J12" i="1" l="1"/>
  <c r="N26" i="1"/>
  <c r="M26" i="1"/>
  <c r="L26" i="1"/>
  <c r="K26" i="1"/>
  <c r="P26" i="1"/>
  <c r="O26" i="1"/>
  <c r="J12" i="3"/>
  <c r="P27" i="3"/>
  <c r="O27" i="3"/>
  <c r="N27" i="3"/>
  <c r="M27" i="3"/>
  <c r="L27" i="3"/>
  <c r="K27" i="3"/>
  <c r="J13" i="1" l="1"/>
  <c r="P27" i="1"/>
  <c r="O27" i="1"/>
  <c r="N27" i="1"/>
  <c r="M27" i="1"/>
  <c r="L27" i="1"/>
  <c r="K27" i="1"/>
  <c r="J13" i="3"/>
  <c r="P28" i="3"/>
  <c r="O28" i="3"/>
  <c r="L28" i="3"/>
  <c r="N28" i="3"/>
  <c r="M28" i="3"/>
  <c r="K28" i="3"/>
  <c r="J14" i="1" l="1"/>
  <c r="P28" i="1"/>
  <c r="O28" i="1"/>
  <c r="N28" i="1"/>
  <c r="M28" i="1"/>
  <c r="L28" i="1"/>
  <c r="K28" i="1"/>
  <c r="J14" i="3"/>
  <c r="L29" i="3"/>
  <c r="K29" i="3"/>
  <c r="M29" i="3"/>
  <c r="P29" i="3"/>
  <c r="O29" i="3"/>
  <c r="N29" i="3"/>
  <c r="L29" i="1" l="1"/>
  <c r="L30" i="1" s="1"/>
  <c r="L31" i="1" s="1"/>
  <c r="K29" i="1"/>
  <c r="K30" i="1" s="1"/>
  <c r="K31" i="1" s="1"/>
  <c r="P29" i="1"/>
  <c r="P30" i="1" s="1"/>
  <c r="P31" i="1" s="1"/>
  <c r="O29" i="1"/>
  <c r="O30" i="1" s="1"/>
  <c r="O31" i="1" s="1"/>
  <c r="N29" i="1"/>
  <c r="N30" i="1" s="1"/>
  <c r="N31" i="1" s="1"/>
  <c r="M29" i="1"/>
  <c r="M30" i="1" s="1"/>
  <c r="M31" i="1" s="1"/>
  <c r="N30" i="3"/>
  <c r="O30" i="3"/>
  <c r="M30" i="3"/>
  <c r="L30" i="3"/>
  <c r="K30" i="3"/>
  <c r="P30" i="3"/>
  <c r="J15" i="3"/>
  <c r="P31" i="3" l="1"/>
  <c r="P32" i="3" s="1"/>
  <c r="P33" i="3" s="1"/>
  <c r="O31" i="3"/>
  <c r="O32" i="3" s="1"/>
  <c r="O33" i="3" s="1"/>
  <c r="N31" i="3"/>
  <c r="N32" i="3" s="1"/>
  <c r="N33" i="3" s="1"/>
  <c r="M31" i="3"/>
  <c r="M32" i="3" s="1"/>
  <c r="M33" i="3" s="1"/>
  <c r="L31" i="3"/>
  <c r="L32" i="3" s="1"/>
  <c r="L33" i="3" s="1"/>
  <c r="K31" i="3"/>
  <c r="K32" i="3" s="1"/>
  <c r="K33" i="3" s="1"/>
</calcChain>
</file>

<file path=xl/sharedStrings.xml><?xml version="1.0" encoding="utf-8"?>
<sst xmlns="http://schemas.openxmlformats.org/spreadsheetml/2006/main" count="198" uniqueCount="57">
  <si>
    <t>CARATINGA</t>
  </si>
  <si>
    <t>BOM JESUS DO GALHO</t>
  </si>
  <si>
    <t>ENTRE FOLHAS</t>
  </si>
  <si>
    <t>IMBÉ DE MINAS</t>
  </si>
  <si>
    <t>INHAPIM</t>
  </si>
  <si>
    <t>PIEDADE DE CARATINGA</t>
  </si>
  <si>
    <t>SANTA BÁRBARA DO LESTE</t>
  </si>
  <si>
    <t>SANTA RITA DE MINAS</t>
  </si>
  <si>
    <t>SÃO DOMINGOS DAS DORES</t>
  </si>
  <si>
    <t>SÃO SEBASTIÃO DO ANTA</t>
  </si>
  <si>
    <t>UBAPORANGA</t>
  </si>
  <si>
    <t>VARGEM ALEGRE</t>
  </si>
  <si>
    <t>VERMELHO NOVO</t>
  </si>
  <si>
    <t>ANTÔNIO DIAS</t>
  </si>
  <si>
    <t>CORONEL FABRICIANO</t>
  </si>
  <si>
    <t>CÓRREGO NOVO</t>
  </si>
  <si>
    <t>DIONÍSIO</t>
  </si>
  <si>
    <t>JAGUARAÇU</t>
  </si>
  <si>
    <t>MARLIÉRIA</t>
  </si>
  <si>
    <t>PINGO-D'ÁGUA</t>
  </si>
  <si>
    <t>TIMÓTEO</t>
  </si>
  <si>
    <t>IPATINGA</t>
  </si>
  <si>
    <t>AÇUCENA</t>
  </si>
  <si>
    <t>BELO ORIENTE</t>
  </si>
  <si>
    <t>BRAÚNAS</t>
  </si>
  <si>
    <t>BUGRE</t>
  </si>
  <si>
    <t>DOM CAVATI</t>
  </si>
  <si>
    <t>IAPU</t>
  </si>
  <si>
    <t>IPABA</t>
  </si>
  <si>
    <t>JOANÉSIA</t>
  </si>
  <si>
    <t>MESQUITA</t>
  </si>
  <si>
    <t>NAQUE</t>
  </si>
  <si>
    <t>PERIQUITO</t>
  </si>
  <si>
    <t>SANTANA DO PARAÍSO</t>
  </si>
  <si>
    <t>SÃO JOÃO DO ORIENTE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</si>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</sst>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2" fontId="1" fillId="3" borderId="1" xfId="0" applyNumberFormat="1" applyFont="1" applyFill="1" applyBorder="1" applyAlignment="1">
      <alignment vertical="center"/>
    </xf>
    <xf numFmtId="2" fontId="1" fillId="4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vertical="center" wrapText="1"/>
    </xf>
    <xf numFmtId="2" fontId="1" fillId="5" borderId="1" xfId="0" applyNumberFormat="1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left" vertical="center" wrapText="1"/>
    </xf>
    <xf numFmtId="2" fontId="1" fillId="7" borderId="1" xfId="0" applyNumberFormat="1" applyFont="1" applyFill="1" applyBorder="1" applyAlignment="1">
      <alignment vertical="center" wrapText="1"/>
    </xf>
    <xf numFmtId="2" fontId="1" fillId="6" borderId="1" xfId="0" applyNumberFormat="1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2" fontId="0" fillId="0" borderId="2" xfId="0" applyNumberFormat="1" applyBorder="1"/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8" borderId="1" xfId="0" applyFill="1" applyBorder="1"/>
    <xf numFmtId="0" fontId="1" fillId="7" borderId="1" xfId="0" applyFont="1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CARATINGA!$J$2:$J$14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1C-4238-BEA2-91963C219DC0}"/>
            </c:ext>
          </c:extLst>
        </c:ser>
        <c:ser>
          <c:idx val="1"/>
          <c:order val="1"/>
          <c:tx>
            <c:strRef>
              <c:f>CARATINGA!$K$1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CARATINGA!$K$2:$K$14</c:f>
              <c:numCache>
                <c:formatCode>0.00</c:formatCode>
                <c:ptCount val="13"/>
                <c:pt idx="0">
                  <c:v>8.8495575221238937E-3</c:v>
                </c:pt>
                <c:pt idx="1">
                  <c:v>5.3097345132743362E-2</c:v>
                </c:pt>
                <c:pt idx="2">
                  <c:v>0.1415929203539823</c:v>
                </c:pt>
                <c:pt idx="3">
                  <c:v>0.15044247787610621</c:v>
                </c:pt>
                <c:pt idx="4">
                  <c:v>0.16814159292035399</c:v>
                </c:pt>
                <c:pt idx="5">
                  <c:v>0.21238938053097345</c:v>
                </c:pt>
                <c:pt idx="6">
                  <c:v>0.24778761061946902</c:v>
                </c:pt>
                <c:pt idx="7">
                  <c:v>0.29203539823008851</c:v>
                </c:pt>
                <c:pt idx="8">
                  <c:v>0.32743362831858408</c:v>
                </c:pt>
                <c:pt idx="9">
                  <c:v>0.33628318584070799</c:v>
                </c:pt>
                <c:pt idx="10">
                  <c:v>0.38938053097345138</c:v>
                </c:pt>
                <c:pt idx="11">
                  <c:v>0.5575221238938054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1C-4238-BEA2-91963C219DC0}"/>
            </c:ext>
          </c:extLst>
        </c:ser>
        <c:ser>
          <c:idx val="2"/>
          <c:order val="2"/>
          <c:tx>
            <c:strRef>
              <c:f>CARATINGA!$L$1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CARATINGA!$L$2:$L$14</c:f>
              <c:numCache>
                <c:formatCode>0.00</c:formatCode>
                <c:ptCount val="13"/>
                <c:pt idx="0">
                  <c:v>7.0921985815602835E-3</c:v>
                </c:pt>
                <c:pt idx="1">
                  <c:v>2.8368794326241134E-2</c:v>
                </c:pt>
                <c:pt idx="2">
                  <c:v>7.0921985815602828E-2</c:v>
                </c:pt>
                <c:pt idx="3">
                  <c:v>9.9290780141843962E-2</c:v>
                </c:pt>
                <c:pt idx="4">
                  <c:v>0.11347517730496454</c:v>
                </c:pt>
                <c:pt idx="5">
                  <c:v>0.14184397163120566</c:v>
                </c:pt>
                <c:pt idx="6">
                  <c:v>0.15602836879432622</c:v>
                </c:pt>
                <c:pt idx="7">
                  <c:v>0.18439716312056736</c:v>
                </c:pt>
                <c:pt idx="8">
                  <c:v>0.21276595744680848</c:v>
                </c:pt>
                <c:pt idx="9">
                  <c:v>0.2482269503546099</c:v>
                </c:pt>
                <c:pt idx="10">
                  <c:v>0.25531914893617019</c:v>
                </c:pt>
                <c:pt idx="11">
                  <c:v>0.41134751773049644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1C-4238-BEA2-91963C219DC0}"/>
            </c:ext>
          </c:extLst>
        </c:ser>
        <c:ser>
          <c:idx val="3"/>
          <c:order val="3"/>
          <c:tx>
            <c:strRef>
              <c:f>CARATINGA!$M$1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CARATINGA!$M$2:$M$14</c:f>
              <c:numCache>
                <c:formatCode>0.00</c:formatCode>
                <c:ptCount val="13"/>
                <c:pt idx="0">
                  <c:v>9.0909090909090905E-3</c:v>
                </c:pt>
                <c:pt idx="1">
                  <c:v>4.0909090909090909E-2</c:v>
                </c:pt>
                <c:pt idx="2">
                  <c:v>9.5454545454545459E-2</c:v>
                </c:pt>
                <c:pt idx="3">
                  <c:v>0.15</c:v>
                </c:pt>
                <c:pt idx="4">
                  <c:v>0.16363636363636364</c:v>
                </c:pt>
                <c:pt idx="5">
                  <c:v>0.19090909090909092</c:v>
                </c:pt>
                <c:pt idx="6">
                  <c:v>0.25909090909090909</c:v>
                </c:pt>
                <c:pt idx="7">
                  <c:v>0.33181818181818179</c:v>
                </c:pt>
                <c:pt idx="8">
                  <c:v>0.43181818181818177</c:v>
                </c:pt>
                <c:pt idx="9">
                  <c:v>0.56818181818181812</c:v>
                </c:pt>
                <c:pt idx="10">
                  <c:v>0.57272727272727264</c:v>
                </c:pt>
                <c:pt idx="11">
                  <c:v>0.67727272727272714</c:v>
                </c:pt>
                <c:pt idx="1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1C-4238-BEA2-91963C219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63152"/>
        <c:axId val="1856252592"/>
      </c:scatterChart>
      <c:valAx>
        <c:axId val="185626315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52592"/>
        <c:crosses val="autoZero"/>
        <c:crossBetween val="midCat"/>
      </c:valAx>
      <c:valAx>
        <c:axId val="185625259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CARATINGA!$J$1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CARATINGA!$J$2:$J$14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E8-44FA-9748-EBFF3115C2EB}"/>
            </c:ext>
          </c:extLst>
        </c:ser>
        <c:ser>
          <c:idx val="1"/>
          <c:order val="1"/>
          <c:tx>
            <c:strRef>
              <c:f>CARATINGA!$N$1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CARATINGA!$N$2:$N$14</c:f>
              <c:numCache>
                <c:formatCode>0.00</c:formatCode>
                <c:ptCount val="13"/>
                <c:pt idx="0">
                  <c:v>3.857566765578635E-2</c:v>
                </c:pt>
                <c:pt idx="1">
                  <c:v>7.4183976261127604E-2</c:v>
                </c:pt>
                <c:pt idx="2">
                  <c:v>0.10979228486646886</c:v>
                </c:pt>
                <c:pt idx="3">
                  <c:v>0.14836795252225521</c:v>
                </c:pt>
                <c:pt idx="4">
                  <c:v>0.16617210682492584</c:v>
                </c:pt>
                <c:pt idx="5">
                  <c:v>0.23442136498516322</c:v>
                </c:pt>
                <c:pt idx="6">
                  <c:v>0.26409495548961426</c:v>
                </c:pt>
                <c:pt idx="7">
                  <c:v>0.31157270029673589</c:v>
                </c:pt>
                <c:pt idx="8">
                  <c:v>0.40652818991097922</c:v>
                </c:pt>
                <c:pt idx="9">
                  <c:v>0.48961424332344211</c:v>
                </c:pt>
                <c:pt idx="10">
                  <c:v>0.51928783382789312</c:v>
                </c:pt>
                <c:pt idx="11">
                  <c:v>0.65281899109792274</c:v>
                </c:pt>
                <c:pt idx="1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E8-44FA-9748-EBFF3115C2EB}"/>
            </c:ext>
          </c:extLst>
        </c:ser>
        <c:ser>
          <c:idx val="2"/>
          <c:order val="2"/>
          <c:tx>
            <c:strRef>
              <c:f>CARATINGA!$O$1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CARATINGA!$O$2:$O$14</c:f>
              <c:numCache>
                <c:formatCode>0.00</c:formatCode>
                <c:ptCount val="13"/>
                <c:pt idx="0">
                  <c:v>1.9083969465648856E-2</c:v>
                </c:pt>
                <c:pt idx="1">
                  <c:v>6.106870229007634E-2</c:v>
                </c:pt>
                <c:pt idx="2">
                  <c:v>0.1183206106870229</c:v>
                </c:pt>
                <c:pt idx="3">
                  <c:v>0.14885496183206107</c:v>
                </c:pt>
                <c:pt idx="4">
                  <c:v>0.17938931297709923</c:v>
                </c:pt>
                <c:pt idx="5">
                  <c:v>0.20229007633587787</c:v>
                </c:pt>
                <c:pt idx="6">
                  <c:v>0.25954198473282442</c:v>
                </c:pt>
                <c:pt idx="7">
                  <c:v>0.29007633587786258</c:v>
                </c:pt>
                <c:pt idx="8">
                  <c:v>0.33587786259541985</c:v>
                </c:pt>
                <c:pt idx="9">
                  <c:v>0.41603053435114501</c:v>
                </c:pt>
                <c:pt idx="10">
                  <c:v>0.49236641221374045</c:v>
                </c:pt>
                <c:pt idx="11">
                  <c:v>0.62977099236641221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E8-44FA-9748-EBFF3115C2EB}"/>
            </c:ext>
          </c:extLst>
        </c:ser>
        <c:ser>
          <c:idx val="3"/>
          <c:order val="3"/>
          <c:tx>
            <c:strRef>
              <c:f>CARATINGA!$P$1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CARATINGA!$I$2:$I$14</c:f>
              <c:numCache>
                <c:formatCode>0.00</c:formatCode>
                <c:ptCount val="13"/>
                <c:pt idx="0">
                  <c:v>2.3684929901979929E-2</c:v>
                </c:pt>
                <c:pt idx="1">
                  <c:v>4.9961924473776703E-2</c:v>
                </c:pt>
                <c:pt idx="2">
                  <c:v>7.7649666106923892E-2</c:v>
                </c:pt>
                <c:pt idx="3">
                  <c:v>0.1091840121841684</c:v>
                </c:pt>
                <c:pt idx="4">
                  <c:v>0.14187526848127466</c:v>
                </c:pt>
                <c:pt idx="5">
                  <c:v>0.17592845706252197</c:v>
                </c:pt>
                <c:pt idx="6">
                  <c:v>0.21167063693521304</c:v>
                </c:pt>
                <c:pt idx="7">
                  <c:v>0.25175733197953687</c:v>
                </c:pt>
                <c:pt idx="8">
                  <c:v>0.29487054321084083</c:v>
                </c:pt>
                <c:pt idx="9">
                  <c:v>0.35595735541062995</c:v>
                </c:pt>
                <c:pt idx="10">
                  <c:v>0.42816417385871053</c:v>
                </c:pt>
                <c:pt idx="11">
                  <c:v>0.5454172687155856</c:v>
                </c:pt>
                <c:pt idx="12">
                  <c:v>1</c:v>
                </c:pt>
              </c:numCache>
            </c:numRef>
          </c:xVal>
          <c:yVal>
            <c:numRef>
              <c:f>CARATINGA!$P$2:$P$14</c:f>
              <c:numCache>
                <c:formatCode>0.00</c:formatCode>
                <c:ptCount val="13"/>
                <c:pt idx="0">
                  <c:v>2.3076923076923078E-2</c:v>
                </c:pt>
                <c:pt idx="1">
                  <c:v>8.461538461538462E-2</c:v>
                </c:pt>
                <c:pt idx="2">
                  <c:v>0.11538461538461539</c:v>
                </c:pt>
                <c:pt idx="3">
                  <c:v>0.15384615384615385</c:v>
                </c:pt>
                <c:pt idx="4">
                  <c:v>0.2</c:v>
                </c:pt>
                <c:pt idx="5">
                  <c:v>0.2153846153846154</c:v>
                </c:pt>
                <c:pt idx="6">
                  <c:v>0.2846153846153846</c:v>
                </c:pt>
                <c:pt idx="7">
                  <c:v>0.33076923076923076</c:v>
                </c:pt>
                <c:pt idx="8">
                  <c:v>0.42307692307692307</c:v>
                </c:pt>
                <c:pt idx="9">
                  <c:v>0.50769230769230766</c:v>
                </c:pt>
                <c:pt idx="10">
                  <c:v>0.55384615384615388</c:v>
                </c:pt>
                <c:pt idx="11">
                  <c:v>0.70000000000000007</c:v>
                </c:pt>
                <c:pt idx="1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2E8-44FA-9748-EBFF3115C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6266032"/>
        <c:axId val="1856266512"/>
      </c:scatterChart>
      <c:valAx>
        <c:axId val="1856266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6512"/>
        <c:crosses val="autoZero"/>
        <c:crossBetween val="midCat"/>
      </c:valAx>
      <c:valAx>
        <c:axId val="1856266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6266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'CORONEL FABRICIANO - TIMÓTEO'!$J$1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TIMÓTEO'!$J$2:$J$9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39-4896-AEF9-99A3FDF59F7E}"/>
            </c:ext>
          </c:extLst>
        </c:ser>
        <c:ser>
          <c:idx val="1"/>
          <c:order val="1"/>
          <c:tx>
            <c:strRef>
              <c:f>'CORONEL FABRICIANO - TIMÓTEO'!$K$1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TIMÓTEO'!$K$2:$K$9</c:f>
              <c:numCache>
                <c:formatCode>0.00</c:formatCode>
                <c:ptCount val="8"/>
                <c:pt idx="0">
                  <c:v>8.658008658008658E-3</c:v>
                </c:pt>
                <c:pt idx="1">
                  <c:v>8.6580086580086577E-2</c:v>
                </c:pt>
                <c:pt idx="2">
                  <c:v>0.10822510822510822</c:v>
                </c:pt>
                <c:pt idx="3">
                  <c:v>0.15151515151515152</c:v>
                </c:pt>
                <c:pt idx="4">
                  <c:v>0.1774891774891775</c:v>
                </c:pt>
                <c:pt idx="5">
                  <c:v>0.27705627705627706</c:v>
                </c:pt>
                <c:pt idx="6">
                  <c:v>0.51948051948051943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39-4896-AEF9-99A3FDF59F7E}"/>
            </c:ext>
          </c:extLst>
        </c:ser>
        <c:ser>
          <c:idx val="2"/>
          <c:order val="2"/>
          <c:tx>
            <c:strRef>
              <c:f>'CORONEL FABRICIANO - TIMÓTEO'!$L$1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TIMÓTEO'!$L$2:$L$9</c:f>
              <c:numCache>
                <c:formatCode>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9.8039215686274508E-3</c:v>
                </c:pt>
                <c:pt idx="3">
                  <c:v>2.9411764705882353E-2</c:v>
                </c:pt>
                <c:pt idx="4">
                  <c:v>5.8823529411764705E-2</c:v>
                </c:pt>
                <c:pt idx="5">
                  <c:v>6.8627450980392163E-2</c:v>
                </c:pt>
                <c:pt idx="6">
                  <c:v>0.16666666666666669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39-4896-AEF9-99A3FDF59F7E}"/>
            </c:ext>
          </c:extLst>
        </c:ser>
        <c:ser>
          <c:idx val="3"/>
          <c:order val="3"/>
          <c:tx>
            <c:strRef>
              <c:f>'CORONEL FABRICIANO - TIMÓTEO'!$M$1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TIMÓTEO'!$M$2:$M$9</c:f>
              <c:numCache>
                <c:formatCode>0.00</c:formatCode>
                <c:ptCount val="8"/>
                <c:pt idx="0">
                  <c:v>0</c:v>
                </c:pt>
                <c:pt idx="1">
                  <c:v>1.020408163265306E-2</c:v>
                </c:pt>
                <c:pt idx="2">
                  <c:v>3.0612244897959183E-2</c:v>
                </c:pt>
                <c:pt idx="3">
                  <c:v>3.0612244897959183E-2</c:v>
                </c:pt>
                <c:pt idx="4">
                  <c:v>4.0816326530612242E-2</c:v>
                </c:pt>
                <c:pt idx="5">
                  <c:v>4.0816326530612242E-2</c:v>
                </c:pt>
                <c:pt idx="6">
                  <c:v>0.32653061224489793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39-4896-AEF9-99A3FDF59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20000"/>
        <c:axId val="525155312"/>
      </c:scatterChart>
      <c:valAx>
        <c:axId val="12855200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5155312"/>
        <c:crosses val="autoZero"/>
        <c:crossBetween val="midCat"/>
      </c:valAx>
      <c:valAx>
        <c:axId val="52515531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552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'CORONEL FABRICIANO - TIMÓTEO'!$J$1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TIMÓTEO'!$J$2:$J$9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DF-4BF7-9607-EE2CA18AA390}"/>
            </c:ext>
          </c:extLst>
        </c:ser>
        <c:ser>
          <c:idx val="1"/>
          <c:order val="1"/>
          <c:tx>
            <c:strRef>
              <c:f>'CORONEL FABRICIANO - TIMÓTEO'!$N$1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TIMÓTEO'!$N$2:$N$9</c:f>
              <c:numCache>
                <c:formatCode>0.00</c:formatCode>
                <c:ptCount val="8"/>
                <c:pt idx="0">
                  <c:v>2.403846153846154E-2</c:v>
                </c:pt>
                <c:pt idx="1">
                  <c:v>2.8846153846153848E-2</c:v>
                </c:pt>
                <c:pt idx="2">
                  <c:v>4.807692307692308E-2</c:v>
                </c:pt>
                <c:pt idx="3">
                  <c:v>4.807692307692308E-2</c:v>
                </c:pt>
                <c:pt idx="4">
                  <c:v>0.12019230769230768</c:v>
                </c:pt>
                <c:pt idx="5">
                  <c:v>0.18269230769230768</c:v>
                </c:pt>
                <c:pt idx="6">
                  <c:v>0.41826923076923073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DF-4BF7-9607-EE2CA18AA390}"/>
            </c:ext>
          </c:extLst>
        </c:ser>
        <c:ser>
          <c:idx val="2"/>
          <c:order val="2"/>
          <c:tx>
            <c:strRef>
              <c:f>'CORONEL FABRICIANO - TIMÓTEO'!$O$1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TIMÓTEO'!$O$2:$O$9</c:f>
              <c:numCache>
                <c:formatCode>0.00</c:formatCode>
                <c:ptCount val="8"/>
                <c:pt idx="0">
                  <c:v>7.407407407407407E-2</c:v>
                </c:pt>
                <c:pt idx="1">
                  <c:v>0.10582010582010581</c:v>
                </c:pt>
                <c:pt idx="2">
                  <c:v>0.13756613756613756</c:v>
                </c:pt>
                <c:pt idx="3">
                  <c:v>0.13756613756613756</c:v>
                </c:pt>
                <c:pt idx="4">
                  <c:v>0.21693121693121692</c:v>
                </c:pt>
                <c:pt idx="5">
                  <c:v>0.34920634920634919</c:v>
                </c:pt>
                <c:pt idx="6">
                  <c:v>0.46560846560846558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DF-4BF7-9607-EE2CA18AA390}"/>
            </c:ext>
          </c:extLst>
        </c:ser>
        <c:ser>
          <c:idx val="3"/>
          <c:order val="3"/>
          <c:tx>
            <c:strRef>
              <c:f>'CORONEL FABRICIANO - TIMÓTEO'!$P$1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'CORONEL FABRICIANO - TIMÓTEO'!$I$2:$I$9</c:f>
              <c:numCache>
                <c:formatCode>0.00</c:formatCode>
                <c:ptCount val="8"/>
                <c:pt idx="0">
                  <c:v>1.1506800056506608E-2</c:v>
                </c:pt>
                <c:pt idx="1">
                  <c:v>2.4995612176317739E-2</c:v>
                </c:pt>
                <c:pt idx="2">
                  <c:v>4.2247250653892746E-2</c:v>
                </c:pt>
                <c:pt idx="3">
                  <c:v>6.3775411920325681E-2</c:v>
                </c:pt>
                <c:pt idx="4">
                  <c:v>9.5851473238556334E-2</c:v>
                </c:pt>
                <c:pt idx="5">
                  <c:v>0.13537613280765065</c:v>
                </c:pt>
                <c:pt idx="6">
                  <c:v>0.52607651508341147</c:v>
                </c:pt>
                <c:pt idx="7">
                  <c:v>1</c:v>
                </c:pt>
              </c:numCache>
            </c:numRef>
          </c:xVal>
          <c:yVal>
            <c:numRef>
              <c:f>'CORONEL FABRICIANO - TIMÓTEO'!$P$2:$P$9</c:f>
              <c:numCache>
                <c:formatCode>0.00</c:formatCode>
                <c:ptCount val="8"/>
                <c:pt idx="0">
                  <c:v>1.5625E-2</c:v>
                </c:pt>
                <c:pt idx="1">
                  <c:v>3.125E-2</c:v>
                </c:pt>
                <c:pt idx="2">
                  <c:v>3.125E-2</c:v>
                </c:pt>
                <c:pt idx="3">
                  <c:v>6.25E-2</c:v>
                </c:pt>
                <c:pt idx="4">
                  <c:v>0.203125</c:v>
                </c:pt>
                <c:pt idx="5">
                  <c:v>0.21875</c:v>
                </c:pt>
                <c:pt idx="6">
                  <c:v>0.640625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DF-4BF7-9607-EE2CA18AA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328784"/>
        <c:axId val="2094329264"/>
      </c:scatterChart>
      <c:valAx>
        <c:axId val="209432878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329264"/>
        <c:crosses val="autoZero"/>
        <c:crossBetween val="midCat"/>
      </c:valAx>
      <c:valAx>
        <c:axId val="20943292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4328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IPATINGA!$J$1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IPATINGA!$J$2:$J$15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25-4DB1-8A2B-10012E3271AE}"/>
            </c:ext>
          </c:extLst>
        </c:ser>
        <c:ser>
          <c:idx val="1"/>
          <c:order val="1"/>
          <c:tx>
            <c:strRef>
              <c:f>IPATINGA!$K$1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IPATINGA!$K$2:$K$15</c:f>
              <c:numCache>
                <c:formatCode>0.00</c:formatCode>
                <c:ptCount val="14"/>
                <c:pt idx="0">
                  <c:v>2.0661157024793389E-2</c:v>
                </c:pt>
                <c:pt idx="1">
                  <c:v>5.3719008264462811E-2</c:v>
                </c:pt>
                <c:pt idx="2">
                  <c:v>7.8512396694214878E-2</c:v>
                </c:pt>
                <c:pt idx="3">
                  <c:v>7.8512396694214878E-2</c:v>
                </c:pt>
                <c:pt idx="4">
                  <c:v>9.5041322314049589E-2</c:v>
                </c:pt>
                <c:pt idx="5">
                  <c:v>0.11983471074380166</c:v>
                </c:pt>
                <c:pt idx="6">
                  <c:v>0.14462809917355374</c:v>
                </c:pt>
                <c:pt idx="7">
                  <c:v>0.18181818181818182</c:v>
                </c:pt>
                <c:pt idx="8">
                  <c:v>0.19008264462809918</c:v>
                </c:pt>
                <c:pt idx="9">
                  <c:v>0.2231404958677686</c:v>
                </c:pt>
                <c:pt idx="10">
                  <c:v>0.34710743801652894</c:v>
                </c:pt>
                <c:pt idx="11">
                  <c:v>0.42148760330578516</c:v>
                </c:pt>
                <c:pt idx="12">
                  <c:v>0.51652892561983477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25-4DB1-8A2B-10012E3271AE}"/>
            </c:ext>
          </c:extLst>
        </c:ser>
        <c:ser>
          <c:idx val="2"/>
          <c:order val="2"/>
          <c:tx>
            <c:strRef>
              <c:f>IPATINGA!$L$1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IPATINGA!$L$2:$L$15</c:f>
              <c:numCache>
                <c:formatCode>0.00</c:formatCode>
                <c:ptCount val="14"/>
                <c:pt idx="0">
                  <c:v>4.6875E-2</c:v>
                </c:pt>
                <c:pt idx="1">
                  <c:v>6.25E-2</c:v>
                </c:pt>
                <c:pt idx="2">
                  <c:v>7.8125E-2</c:v>
                </c:pt>
                <c:pt idx="3">
                  <c:v>7.8125E-2</c:v>
                </c:pt>
                <c:pt idx="4">
                  <c:v>0.109375</c:v>
                </c:pt>
                <c:pt idx="5">
                  <c:v>0.140625</c:v>
                </c:pt>
                <c:pt idx="6">
                  <c:v>0.171875</c:v>
                </c:pt>
                <c:pt idx="7">
                  <c:v>0.21875</c:v>
                </c:pt>
                <c:pt idx="8">
                  <c:v>0.234375</c:v>
                </c:pt>
                <c:pt idx="9">
                  <c:v>0.28125</c:v>
                </c:pt>
                <c:pt idx="10">
                  <c:v>0.359375</c:v>
                </c:pt>
                <c:pt idx="11">
                  <c:v>0.40625</c:v>
                </c:pt>
                <c:pt idx="12">
                  <c:v>0.546875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D25-4DB1-8A2B-10012E3271AE}"/>
            </c:ext>
          </c:extLst>
        </c:ser>
        <c:ser>
          <c:idx val="3"/>
          <c:order val="3"/>
          <c:tx>
            <c:strRef>
              <c:f>IPATINGA!$M$1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IPATINGA!$M$2:$M$15</c:f>
              <c:numCache>
                <c:formatCode>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5.6603773584905662E-2</c:v>
                </c:pt>
                <c:pt idx="3">
                  <c:v>5.6603773584905662E-2</c:v>
                </c:pt>
                <c:pt idx="4">
                  <c:v>7.5471698113207544E-2</c:v>
                </c:pt>
                <c:pt idx="5">
                  <c:v>7.5471698113207544E-2</c:v>
                </c:pt>
                <c:pt idx="6">
                  <c:v>9.4339622641509427E-2</c:v>
                </c:pt>
                <c:pt idx="7">
                  <c:v>9.4339622641509427E-2</c:v>
                </c:pt>
                <c:pt idx="8">
                  <c:v>0.11320754716981131</c:v>
                </c:pt>
                <c:pt idx="9">
                  <c:v>0.13207547169811321</c:v>
                </c:pt>
                <c:pt idx="10">
                  <c:v>0.28301886792452829</c:v>
                </c:pt>
                <c:pt idx="11">
                  <c:v>0.35849056603773582</c:v>
                </c:pt>
                <c:pt idx="12">
                  <c:v>0.45283018867924529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D25-4DB1-8A2B-10012E327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19296"/>
        <c:axId val="304324096"/>
      </c:scatterChart>
      <c:valAx>
        <c:axId val="30431929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24096"/>
        <c:crosses val="autoZero"/>
        <c:crossBetween val="midCat"/>
      </c:valAx>
      <c:valAx>
        <c:axId val="30432409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19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IPATINGA!$J$1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IPATINGA!$J$2:$J$15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84-4B46-BC3A-B19EA68C1B98}"/>
            </c:ext>
          </c:extLst>
        </c:ser>
        <c:ser>
          <c:idx val="1"/>
          <c:order val="1"/>
          <c:tx>
            <c:strRef>
              <c:f>IPATINGA!$N$1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IPATINGA!$N$2:$N$15</c:f>
              <c:numCache>
                <c:formatCode>0.00</c:formatCode>
                <c:ptCount val="14"/>
                <c:pt idx="0">
                  <c:v>0</c:v>
                </c:pt>
                <c:pt idx="1">
                  <c:v>3.787878787878788E-3</c:v>
                </c:pt>
                <c:pt idx="2">
                  <c:v>1.893939393939394E-2</c:v>
                </c:pt>
                <c:pt idx="3">
                  <c:v>3.4090909090909088E-2</c:v>
                </c:pt>
                <c:pt idx="4">
                  <c:v>4.924242424242424E-2</c:v>
                </c:pt>
                <c:pt idx="5">
                  <c:v>7.1969696969696961E-2</c:v>
                </c:pt>
                <c:pt idx="6">
                  <c:v>8.7121212121212113E-2</c:v>
                </c:pt>
                <c:pt idx="7">
                  <c:v>0.10227272727272727</c:v>
                </c:pt>
                <c:pt idx="8">
                  <c:v>0.1212121212121212</c:v>
                </c:pt>
                <c:pt idx="9">
                  <c:v>0.12499999999999999</c:v>
                </c:pt>
                <c:pt idx="10">
                  <c:v>0.1818181818181818</c:v>
                </c:pt>
                <c:pt idx="11">
                  <c:v>0.2121212121212121</c:v>
                </c:pt>
                <c:pt idx="12">
                  <c:v>0.23484848484848483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84-4B46-BC3A-B19EA68C1B98}"/>
            </c:ext>
          </c:extLst>
        </c:ser>
        <c:ser>
          <c:idx val="2"/>
          <c:order val="2"/>
          <c:tx>
            <c:strRef>
              <c:f>IPATINGA!$O$1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IPATINGA!$O$2:$O$15</c:f>
              <c:numCache>
                <c:formatCode>0.00</c:formatCode>
                <c:ptCount val="14"/>
                <c:pt idx="0">
                  <c:v>0</c:v>
                </c:pt>
                <c:pt idx="1">
                  <c:v>1.5957446808510637E-2</c:v>
                </c:pt>
                <c:pt idx="2">
                  <c:v>2.1276595744680851E-2</c:v>
                </c:pt>
                <c:pt idx="3">
                  <c:v>3.4574468085106384E-2</c:v>
                </c:pt>
                <c:pt idx="4">
                  <c:v>5.0531914893617025E-2</c:v>
                </c:pt>
                <c:pt idx="5">
                  <c:v>8.7765957446808512E-2</c:v>
                </c:pt>
                <c:pt idx="6">
                  <c:v>0.13031914893617022</c:v>
                </c:pt>
                <c:pt idx="7">
                  <c:v>0.13829787234042554</c:v>
                </c:pt>
                <c:pt idx="8">
                  <c:v>0.16223404255319149</c:v>
                </c:pt>
                <c:pt idx="9">
                  <c:v>0.21808510638297873</c:v>
                </c:pt>
                <c:pt idx="10">
                  <c:v>0.25797872340425532</c:v>
                </c:pt>
                <c:pt idx="11">
                  <c:v>0.5292553191489362</c:v>
                </c:pt>
                <c:pt idx="12">
                  <c:v>0.6542553191489362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84-4B46-BC3A-B19EA68C1B98}"/>
            </c:ext>
          </c:extLst>
        </c:ser>
        <c:ser>
          <c:idx val="3"/>
          <c:order val="3"/>
          <c:tx>
            <c:strRef>
              <c:f>IPATINGA!$P$1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IPATINGA!$I$2:$I$15</c:f>
              <c:numCache>
                <c:formatCode>0.00</c:formatCode>
                <c:ptCount val="14"/>
                <c:pt idx="0">
                  <c:v>9.6048371348462242E-3</c:v>
                </c:pt>
                <c:pt idx="1">
                  <c:v>2.0169193642099275E-2</c:v>
                </c:pt>
                <c:pt idx="2">
                  <c:v>3.1589402855896107E-2</c:v>
                </c:pt>
                <c:pt idx="3">
                  <c:v>4.3703937645705918E-2</c:v>
                </c:pt>
                <c:pt idx="4">
                  <c:v>5.6937108085758859E-2</c:v>
                </c:pt>
                <c:pt idx="5">
                  <c:v>7.3181433541229204E-2</c:v>
                </c:pt>
                <c:pt idx="6">
                  <c:v>9.0308131082882714E-2</c:v>
                </c:pt>
                <c:pt idx="7">
                  <c:v>0.1081315650532437</c:v>
                </c:pt>
                <c:pt idx="8">
                  <c:v>0.13048016953116148</c:v>
                </c:pt>
                <c:pt idx="9">
                  <c:v>0.15720447164957774</c:v>
                </c:pt>
                <c:pt idx="10">
                  <c:v>0.20283226974548629</c:v>
                </c:pt>
                <c:pt idx="11">
                  <c:v>0.26859309869307679</c:v>
                </c:pt>
                <c:pt idx="12">
                  <c:v>0.35549951662403478</c:v>
                </c:pt>
                <c:pt idx="13">
                  <c:v>1</c:v>
                </c:pt>
              </c:numCache>
            </c:numRef>
          </c:xVal>
          <c:yVal>
            <c:numRef>
              <c:f>IPATINGA!$P$2:$P$15</c:f>
              <c:numCache>
                <c:formatCode>0.00</c:formatCode>
                <c:ptCount val="14"/>
                <c:pt idx="0">
                  <c:v>0</c:v>
                </c:pt>
                <c:pt idx="1">
                  <c:v>8.8495575221238937E-3</c:v>
                </c:pt>
                <c:pt idx="2">
                  <c:v>2.6548672566371681E-2</c:v>
                </c:pt>
                <c:pt idx="3">
                  <c:v>2.6548672566371681E-2</c:v>
                </c:pt>
                <c:pt idx="4">
                  <c:v>3.9823008849557522E-2</c:v>
                </c:pt>
                <c:pt idx="5">
                  <c:v>7.0796460176991149E-2</c:v>
                </c:pt>
                <c:pt idx="6">
                  <c:v>0.11504424778761062</c:v>
                </c:pt>
                <c:pt idx="7">
                  <c:v>0.12389380530973451</c:v>
                </c:pt>
                <c:pt idx="8">
                  <c:v>0.1415929203539823</c:v>
                </c:pt>
                <c:pt idx="9">
                  <c:v>0.18141592920353983</c:v>
                </c:pt>
                <c:pt idx="10">
                  <c:v>0.23008849557522124</c:v>
                </c:pt>
                <c:pt idx="11">
                  <c:v>0.62389380530973448</c:v>
                </c:pt>
                <c:pt idx="12">
                  <c:v>0.72123893805309736</c:v>
                </c:pt>
                <c:pt idx="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84-4B46-BC3A-B19EA68C1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44256"/>
        <c:axId val="304332256"/>
      </c:scatterChart>
      <c:valAx>
        <c:axId val="3043442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32256"/>
        <c:crosses val="autoZero"/>
        <c:crossBetween val="midCat"/>
      </c:valAx>
      <c:valAx>
        <c:axId val="304332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442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62204</xdr:colOff>
      <xdr:row>0</xdr:row>
      <xdr:rowOff>24104</xdr:rowOff>
    </xdr:from>
    <xdr:to>
      <xdr:col>23</xdr:col>
      <xdr:colOff>388776</xdr:colOff>
      <xdr:row>13</xdr:row>
      <xdr:rowOff>61426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137C068-E14C-3F6C-55DF-8D7A551141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69978</xdr:colOff>
      <xdr:row>13</xdr:row>
      <xdr:rowOff>125185</xdr:rowOff>
    </xdr:from>
    <xdr:to>
      <xdr:col>23</xdr:col>
      <xdr:colOff>396550</xdr:colOff>
      <xdr:row>27</xdr:row>
      <xdr:rowOff>76977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5C70344-A59E-5B42-E7C1-62EC09F52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91440</xdr:colOff>
      <xdr:row>0</xdr:row>
      <xdr:rowOff>57150</xdr:rowOff>
    </xdr:from>
    <xdr:to>
      <xdr:col>23</xdr:col>
      <xdr:colOff>396240</xdr:colOff>
      <xdr:row>12</xdr:row>
      <xdr:rowOff>140970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05791BD-0D5B-03C5-00F9-1B072D4F3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106680</xdr:colOff>
      <xdr:row>13</xdr:row>
      <xdr:rowOff>3810</xdr:rowOff>
    </xdr:from>
    <xdr:to>
      <xdr:col>23</xdr:col>
      <xdr:colOff>411480</xdr:colOff>
      <xdr:row>28</xdr:row>
      <xdr:rowOff>3810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AA0D87B-A788-8C9B-A927-32A74FE5C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0</xdr:row>
      <xdr:rowOff>80010</xdr:rowOff>
    </xdr:from>
    <xdr:to>
      <xdr:col>23</xdr:col>
      <xdr:colOff>381000</xdr:colOff>
      <xdr:row>13</xdr:row>
      <xdr:rowOff>163830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4E04CF4-2D28-8D64-6CFB-2A7BB3F25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99060</xdr:colOff>
      <xdr:row>14</xdr:row>
      <xdr:rowOff>34290</xdr:rowOff>
    </xdr:from>
    <xdr:to>
      <xdr:col>23</xdr:col>
      <xdr:colOff>403860</xdr:colOff>
      <xdr:row>28</xdr:row>
      <xdr:rowOff>34290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C364B7D-525D-FF6B-DA92-563BEADF9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8305-624C-4F6B-83AB-8F375FA5A787}">
  <dimension ref="A1:P31"/>
  <sheetViews>
    <sheetView zoomScale="98" workbookViewId="0">
      <selection activeCell="A16" sqref="A16"/>
    </sheetView>
  </sheetViews>
  <sheetFormatPr defaultRowHeight="14.4" x14ac:dyDescent="0.3"/>
  <sheetData>
    <row r="1" spans="1:16" ht="36.6" customHeight="1" x14ac:dyDescent="0.3">
      <c r="A1" s="1" t="s">
        <v>35</v>
      </c>
      <c r="B1" s="2" t="s">
        <v>36</v>
      </c>
      <c r="C1" s="3" t="s">
        <v>37</v>
      </c>
      <c r="D1" s="3" t="s">
        <v>38</v>
      </c>
      <c r="E1" s="3" t="s">
        <v>39</v>
      </c>
      <c r="F1" s="2" t="s">
        <v>40</v>
      </c>
      <c r="G1" s="3" t="s">
        <v>41</v>
      </c>
      <c r="H1" s="3" t="s">
        <v>42</v>
      </c>
      <c r="I1" s="4" t="s">
        <v>36</v>
      </c>
      <c r="J1" s="5" t="s">
        <v>36</v>
      </c>
      <c r="K1" s="6" t="s">
        <v>37</v>
      </c>
      <c r="L1" s="6" t="s">
        <v>38</v>
      </c>
      <c r="M1" s="6" t="s">
        <v>39</v>
      </c>
      <c r="N1" s="7" t="s">
        <v>40</v>
      </c>
      <c r="O1" s="6" t="s">
        <v>41</v>
      </c>
      <c r="P1" s="6" t="s">
        <v>42</v>
      </c>
    </row>
    <row r="2" spans="1:16" x14ac:dyDescent="0.3">
      <c r="A2" s="9" t="s">
        <v>12</v>
      </c>
      <c r="B2" s="17">
        <v>2.3684929901979929E-2</v>
      </c>
      <c r="C2" s="17">
        <v>8.8495575221238937E-3</v>
      </c>
      <c r="D2" s="17">
        <v>7.0921985815602835E-3</v>
      </c>
      <c r="E2" s="17">
        <v>9.0909090909090905E-3</v>
      </c>
      <c r="F2" s="17">
        <v>3.857566765578635E-2</v>
      </c>
      <c r="G2" s="17">
        <v>1.9083969465648856E-2</v>
      </c>
      <c r="H2" s="17">
        <v>2.3076923076923078E-2</v>
      </c>
      <c r="I2" s="9">
        <v>2.3684929901979929E-2</v>
      </c>
      <c r="J2" s="18">
        <v>2.3684929901979929E-2</v>
      </c>
      <c r="K2" s="18">
        <v>8.8495575221238937E-3</v>
      </c>
      <c r="L2" s="18">
        <v>7.0921985815602835E-3</v>
      </c>
      <c r="M2" s="18">
        <v>9.0909090909090905E-3</v>
      </c>
      <c r="N2" s="18">
        <v>3.857566765578635E-2</v>
      </c>
      <c r="O2" s="18">
        <v>1.9083969465648856E-2</v>
      </c>
      <c r="P2" s="18">
        <v>2.3076923076923078E-2</v>
      </c>
    </row>
    <row r="3" spans="1:16" x14ac:dyDescent="0.3">
      <c r="A3" s="9" t="s">
        <v>2</v>
      </c>
      <c r="B3" s="17">
        <v>2.6276994571796775E-2</v>
      </c>
      <c r="C3" s="17">
        <v>4.4247787610619468E-2</v>
      </c>
      <c r="D3" s="17">
        <v>2.1276595744680851E-2</v>
      </c>
      <c r="E3" s="17">
        <v>3.1818181818181815E-2</v>
      </c>
      <c r="F3" s="17">
        <v>3.5608308605341248E-2</v>
      </c>
      <c r="G3" s="17">
        <v>4.1984732824427481E-2</v>
      </c>
      <c r="H3" s="17">
        <v>6.1538461538461542E-2</v>
      </c>
      <c r="I3" s="9">
        <v>4.9961924473776703E-2</v>
      </c>
      <c r="J3" s="9">
        <f>J2+B3</f>
        <v>4.9961924473776703E-2</v>
      </c>
      <c r="K3" s="9">
        <f t="shared" ref="K3:P14" si="0">K2+C3</f>
        <v>5.3097345132743362E-2</v>
      </c>
      <c r="L3" s="9">
        <f t="shared" si="0"/>
        <v>2.8368794326241134E-2</v>
      </c>
      <c r="M3" s="9">
        <f t="shared" si="0"/>
        <v>4.0909090909090909E-2</v>
      </c>
      <c r="N3" s="9">
        <f t="shared" si="0"/>
        <v>7.4183976261127604E-2</v>
      </c>
      <c r="O3" s="9">
        <f t="shared" si="0"/>
        <v>6.106870229007634E-2</v>
      </c>
      <c r="P3" s="9">
        <f t="shared" si="0"/>
        <v>8.461538461538462E-2</v>
      </c>
    </row>
    <row r="4" spans="1:16" x14ac:dyDescent="0.3">
      <c r="A4" s="9" t="s">
        <v>8</v>
      </c>
      <c r="B4" s="17">
        <v>2.7687741633147186E-2</v>
      </c>
      <c r="C4" s="17">
        <v>8.8495575221238937E-2</v>
      </c>
      <c r="D4" s="17">
        <v>4.2553191489361701E-2</v>
      </c>
      <c r="E4" s="17">
        <v>5.4545454545454543E-2</v>
      </c>
      <c r="F4" s="17">
        <v>3.5608308605341248E-2</v>
      </c>
      <c r="G4" s="17">
        <v>5.7251908396946563E-2</v>
      </c>
      <c r="H4" s="17">
        <v>3.0769230769230771E-2</v>
      </c>
      <c r="I4" s="9">
        <v>7.7649666106923892E-2</v>
      </c>
      <c r="J4" s="9">
        <f t="shared" ref="J4:J14" si="1">J3+B4</f>
        <v>7.7649666106923892E-2</v>
      </c>
      <c r="K4" s="9">
        <f t="shared" si="0"/>
        <v>0.1415929203539823</v>
      </c>
      <c r="L4" s="9">
        <f t="shared" si="0"/>
        <v>7.0921985815602828E-2</v>
      </c>
      <c r="M4" s="9">
        <f t="shared" si="0"/>
        <v>9.5454545454545459E-2</v>
      </c>
      <c r="N4" s="9">
        <f t="shared" si="0"/>
        <v>0.10979228486646886</v>
      </c>
      <c r="O4" s="9">
        <f t="shared" si="0"/>
        <v>0.1183206106870229</v>
      </c>
      <c r="P4" s="9">
        <f t="shared" si="0"/>
        <v>0.11538461538461539</v>
      </c>
    </row>
    <row r="5" spans="1:16" x14ac:dyDescent="0.3">
      <c r="A5" s="9" t="s">
        <v>11</v>
      </c>
      <c r="B5" s="17">
        <v>3.15343460772445E-2</v>
      </c>
      <c r="C5" s="17">
        <v>8.8495575221238937E-3</v>
      </c>
      <c r="D5" s="17">
        <v>2.8368794326241134E-2</v>
      </c>
      <c r="E5" s="17">
        <v>5.4545454545454543E-2</v>
      </c>
      <c r="F5" s="17">
        <v>3.857566765578635E-2</v>
      </c>
      <c r="G5" s="17">
        <v>3.0534351145038167E-2</v>
      </c>
      <c r="H5" s="17">
        <v>3.8461538461538464E-2</v>
      </c>
      <c r="I5" s="9">
        <v>0.1091840121841684</v>
      </c>
      <c r="J5" s="9">
        <f t="shared" si="1"/>
        <v>0.1091840121841684</v>
      </c>
      <c r="K5" s="9">
        <f t="shared" si="0"/>
        <v>0.15044247787610621</v>
      </c>
      <c r="L5" s="9">
        <f t="shared" si="0"/>
        <v>9.9290780141843962E-2</v>
      </c>
      <c r="M5" s="9">
        <f t="shared" si="0"/>
        <v>0.15</v>
      </c>
      <c r="N5" s="9">
        <f t="shared" si="0"/>
        <v>0.14836795252225521</v>
      </c>
      <c r="O5" s="9">
        <f t="shared" si="0"/>
        <v>0.14885496183206107</v>
      </c>
      <c r="P5" s="9">
        <f t="shared" si="0"/>
        <v>0.15384615384615385</v>
      </c>
    </row>
    <row r="6" spans="1:16" x14ac:dyDescent="0.3">
      <c r="A6" s="9" t="s">
        <v>9</v>
      </c>
      <c r="B6" s="17">
        <v>3.2691256297106258E-2</v>
      </c>
      <c r="C6" s="17">
        <v>1.7699115044247787E-2</v>
      </c>
      <c r="D6" s="17">
        <v>1.4184397163120567E-2</v>
      </c>
      <c r="E6" s="17">
        <v>1.3636363636363636E-2</v>
      </c>
      <c r="F6" s="17">
        <v>1.7804154302670624E-2</v>
      </c>
      <c r="G6" s="17">
        <v>3.0534351145038167E-2</v>
      </c>
      <c r="H6" s="17">
        <v>4.6153846153846156E-2</v>
      </c>
      <c r="I6" s="9">
        <v>0.14187526848127466</v>
      </c>
      <c r="J6" s="9">
        <f t="shared" si="1"/>
        <v>0.14187526848127466</v>
      </c>
      <c r="K6" s="9">
        <f t="shared" si="0"/>
        <v>0.16814159292035399</v>
      </c>
      <c r="L6" s="9">
        <f t="shared" si="0"/>
        <v>0.11347517730496454</v>
      </c>
      <c r="M6" s="9">
        <f t="shared" si="0"/>
        <v>0.16363636363636364</v>
      </c>
      <c r="N6" s="9">
        <f t="shared" si="0"/>
        <v>0.16617210682492584</v>
      </c>
      <c r="O6" s="9">
        <f t="shared" si="0"/>
        <v>0.17938931297709923</v>
      </c>
      <c r="P6" s="9">
        <f t="shared" si="0"/>
        <v>0.2</v>
      </c>
    </row>
    <row r="7" spans="1:16" x14ac:dyDescent="0.3">
      <c r="A7" s="9" t="s">
        <v>3</v>
      </c>
      <c r="B7" s="17">
        <v>3.4053188581247312E-2</v>
      </c>
      <c r="C7" s="17">
        <v>4.4247787610619468E-2</v>
      </c>
      <c r="D7" s="17">
        <v>2.8368794326241134E-2</v>
      </c>
      <c r="E7" s="17">
        <v>2.7272727272727271E-2</v>
      </c>
      <c r="F7" s="17">
        <v>6.8249258160237386E-2</v>
      </c>
      <c r="G7" s="17">
        <v>2.2900763358778626E-2</v>
      </c>
      <c r="H7" s="17">
        <v>1.5384615384615385E-2</v>
      </c>
      <c r="I7" s="9">
        <v>0.17592845706252197</v>
      </c>
      <c r="J7" s="9">
        <f t="shared" si="1"/>
        <v>0.17592845706252197</v>
      </c>
      <c r="K7" s="9">
        <f t="shared" si="0"/>
        <v>0.21238938053097345</v>
      </c>
      <c r="L7" s="9">
        <f t="shared" si="0"/>
        <v>0.14184397163120566</v>
      </c>
      <c r="M7" s="9">
        <f t="shared" si="0"/>
        <v>0.19090909090909092</v>
      </c>
      <c r="N7" s="9">
        <f t="shared" si="0"/>
        <v>0.23442136498516322</v>
      </c>
      <c r="O7" s="9">
        <f t="shared" si="0"/>
        <v>0.20229007633587787</v>
      </c>
      <c r="P7" s="9">
        <f t="shared" si="0"/>
        <v>0.2153846153846154</v>
      </c>
    </row>
    <row r="8" spans="1:16" x14ac:dyDescent="0.3">
      <c r="A8" s="9" t="s">
        <v>7</v>
      </c>
      <c r="B8" s="17">
        <v>3.5742179872691064E-2</v>
      </c>
      <c r="C8" s="17">
        <v>3.5398230088495575E-2</v>
      </c>
      <c r="D8" s="17">
        <v>1.4184397163120567E-2</v>
      </c>
      <c r="E8" s="17">
        <v>6.8181818181818177E-2</v>
      </c>
      <c r="F8" s="17">
        <v>2.967359050445104E-2</v>
      </c>
      <c r="G8" s="17">
        <v>5.7251908396946563E-2</v>
      </c>
      <c r="H8" s="17">
        <v>6.9230769230769235E-2</v>
      </c>
      <c r="I8" s="9">
        <v>0.21167063693521304</v>
      </c>
      <c r="J8" s="9">
        <f t="shared" si="1"/>
        <v>0.21167063693521304</v>
      </c>
      <c r="K8" s="9">
        <f t="shared" si="0"/>
        <v>0.24778761061946902</v>
      </c>
      <c r="L8" s="9">
        <f t="shared" si="0"/>
        <v>0.15602836879432622</v>
      </c>
      <c r="M8" s="9">
        <f t="shared" si="0"/>
        <v>0.25909090909090909</v>
      </c>
      <c r="N8" s="9">
        <f t="shared" si="0"/>
        <v>0.26409495548961426</v>
      </c>
      <c r="O8" s="9">
        <f t="shared" si="0"/>
        <v>0.25954198473282442</v>
      </c>
      <c r="P8" s="9">
        <f t="shared" si="0"/>
        <v>0.2846153846153846</v>
      </c>
    </row>
    <row r="9" spans="1:16" x14ac:dyDescent="0.3">
      <c r="A9" s="9" t="s">
        <v>6</v>
      </c>
      <c r="B9" s="17">
        <v>4.0086695044323821E-2</v>
      </c>
      <c r="C9" s="17">
        <v>4.4247787610619468E-2</v>
      </c>
      <c r="D9" s="17">
        <v>2.8368794326241134E-2</v>
      </c>
      <c r="E9" s="17">
        <v>7.2727272727272724E-2</v>
      </c>
      <c r="F9" s="17">
        <v>4.7477744807121663E-2</v>
      </c>
      <c r="G9" s="17">
        <v>3.0534351145038167E-2</v>
      </c>
      <c r="H9" s="17">
        <v>4.6153846153846156E-2</v>
      </c>
      <c r="I9" s="9">
        <v>0.25175733197953687</v>
      </c>
      <c r="J9" s="9">
        <f t="shared" si="1"/>
        <v>0.25175733197953687</v>
      </c>
      <c r="K9" s="9">
        <f t="shared" si="0"/>
        <v>0.29203539823008851</v>
      </c>
      <c r="L9" s="9">
        <f t="shared" si="0"/>
        <v>0.18439716312056736</v>
      </c>
      <c r="M9" s="9">
        <f t="shared" si="0"/>
        <v>0.33181818181818179</v>
      </c>
      <c r="N9" s="9">
        <f t="shared" si="0"/>
        <v>0.31157270029673589</v>
      </c>
      <c r="O9" s="9">
        <f t="shared" si="0"/>
        <v>0.29007633587786258</v>
      </c>
      <c r="P9" s="9">
        <f t="shared" si="0"/>
        <v>0.33076923076923076</v>
      </c>
    </row>
    <row r="10" spans="1:16" x14ac:dyDescent="0.3">
      <c r="A10" s="9" t="s">
        <v>5</v>
      </c>
      <c r="B10" s="17">
        <v>4.311321123130394E-2</v>
      </c>
      <c r="C10" s="17">
        <v>3.5398230088495575E-2</v>
      </c>
      <c r="D10" s="17">
        <v>2.8368794326241134E-2</v>
      </c>
      <c r="E10" s="17">
        <v>0.1</v>
      </c>
      <c r="F10" s="17">
        <v>9.4955489614243327E-2</v>
      </c>
      <c r="G10" s="17">
        <v>4.5801526717557252E-2</v>
      </c>
      <c r="H10" s="17">
        <v>9.2307692307692313E-2</v>
      </c>
      <c r="I10" s="9">
        <v>0.29487054321084083</v>
      </c>
      <c r="J10" s="9">
        <f t="shared" si="1"/>
        <v>0.29487054321084083</v>
      </c>
      <c r="K10" s="9">
        <f t="shared" si="0"/>
        <v>0.32743362831858408</v>
      </c>
      <c r="L10" s="9">
        <f t="shared" si="0"/>
        <v>0.21276595744680848</v>
      </c>
      <c r="M10" s="9">
        <f t="shared" si="0"/>
        <v>0.43181818181818177</v>
      </c>
      <c r="N10" s="9">
        <f t="shared" si="0"/>
        <v>0.40652818991097922</v>
      </c>
      <c r="O10" s="9">
        <f t="shared" si="0"/>
        <v>0.33587786259541985</v>
      </c>
      <c r="P10" s="9">
        <f t="shared" si="0"/>
        <v>0.42307692307692307</v>
      </c>
    </row>
    <row r="11" spans="1:16" x14ac:dyDescent="0.3">
      <c r="A11" s="9" t="s">
        <v>10</v>
      </c>
      <c r="B11" s="17">
        <v>6.108681219978912E-2</v>
      </c>
      <c r="C11" s="17">
        <v>8.8495575221238937E-3</v>
      </c>
      <c r="D11" s="17">
        <v>3.5460992907801421E-2</v>
      </c>
      <c r="E11" s="17">
        <v>0.13636363636363635</v>
      </c>
      <c r="F11" s="17">
        <v>8.3086053412462904E-2</v>
      </c>
      <c r="G11" s="17">
        <v>8.0152671755725186E-2</v>
      </c>
      <c r="H11" s="17">
        <v>8.461538461538462E-2</v>
      </c>
      <c r="I11" s="9">
        <v>0.35595735541062995</v>
      </c>
      <c r="J11" s="9">
        <f t="shared" si="1"/>
        <v>0.35595735541062995</v>
      </c>
      <c r="K11" s="9">
        <f t="shared" si="0"/>
        <v>0.33628318584070799</v>
      </c>
      <c r="L11" s="9">
        <f t="shared" si="0"/>
        <v>0.2482269503546099</v>
      </c>
      <c r="M11" s="9">
        <f t="shared" si="0"/>
        <v>0.56818181818181812</v>
      </c>
      <c r="N11" s="9">
        <f t="shared" si="0"/>
        <v>0.48961424332344211</v>
      </c>
      <c r="O11" s="9">
        <f t="shared" si="0"/>
        <v>0.41603053435114501</v>
      </c>
      <c r="P11" s="9">
        <f t="shared" si="0"/>
        <v>0.50769230769230766</v>
      </c>
    </row>
    <row r="12" spans="1:16" x14ac:dyDescent="0.3">
      <c r="A12" s="9" t="s">
        <v>1</v>
      </c>
      <c r="B12" s="17">
        <v>7.2206818448080606E-2</v>
      </c>
      <c r="C12" s="17">
        <v>5.3097345132743362E-2</v>
      </c>
      <c r="D12" s="17">
        <v>7.0921985815602835E-3</v>
      </c>
      <c r="E12" s="17">
        <v>4.5454545454545452E-3</v>
      </c>
      <c r="F12" s="17">
        <v>2.967359050445104E-2</v>
      </c>
      <c r="G12" s="17">
        <v>7.6335877862595422E-2</v>
      </c>
      <c r="H12" s="17">
        <v>4.6153846153846156E-2</v>
      </c>
      <c r="I12" s="9">
        <v>0.42816417385871053</v>
      </c>
      <c r="J12" s="9">
        <f t="shared" si="1"/>
        <v>0.42816417385871053</v>
      </c>
      <c r="K12" s="9">
        <f t="shared" si="0"/>
        <v>0.38938053097345138</v>
      </c>
      <c r="L12" s="9">
        <f t="shared" si="0"/>
        <v>0.25531914893617019</v>
      </c>
      <c r="M12" s="9">
        <f t="shared" si="0"/>
        <v>0.57272727272727264</v>
      </c>
      <c r="N12" s="9">
        <f t="shared" si="0"/>
        <v>0.51928783382789312</v>
      </c>
      <c r="O12" s="9">
        <f t="shared" si="0"/>
        <v>0.49236641221374045</v>
      </c>
      <c r="P12" s="9">
        <f t="shared" si="0"/>
        <v>0.55384615384615388</v>
      </c>
    </row>
    <row r="13" spans="1:16" x14ac:dyDescent="0.3">
      <c r="A13" s="9" t="s">
        <v>4</v>
      </c>
      <c r="B13" s="17">
        <v>0.11725309485687507</v>
      </c>
      <c r="C13" s="17">
        <v>0.16814159292035399</v>
      </c>
      <c r="D13" s="17">
        <v>0.15602836879432624</v>
      </c>
      <c r="E13" s="17">
        <v>0.10454545454545454</v>
      </c>
      <c r="F13" s="17">
        <v>0.13353115727002968</v>
      </c>
      <c r="G13" s="17">
        <v>0.13740458015267176</v>
      </c>
      <c r="H13" s="17">
        <v>0.14615384615384616</v>
      </c>
      <c r="I13" s="9">
        <v>0.5454172687155856</v>
      </c>
      <c r="J13" s="9">
        <f t="shared" si="1"/>
        <v>0.5454172687155856</v>
      </c>
      <c r="K13" s="9">
        <f t="shared" si="0"/>
        <v>0.5575221238938054</v>
      </c>
      <c r="L13" s="9">
        <f t="shared" si="0"/>
        <v>0.41134751773049644</v>
      </c>
      <c r="M13" s="9">
        <f t="shared" si="0"/>
        <v>0.67727272727272714</v>
      </c>
      <c r="N13" s="9">
        <f t="shared" si="0"/>
        <v>0.65281899109792274</v>
      </c>
      <c r="O13" s="9">
        <f t="shared" si="0"/>
        <v>0.62977099236641221</v>
      </c>
      <c r="P13" s="9">
        <f t="shared" si="0"/>
        <v>0.70000000000000007</v>
      </c>
    </row>
    <row r="14" spans="1:16" x14ac:dyDescent="0.3">
      <c r="A14" s="9" t="s">
        <v>0</v>
      </c>
      <c r="B14" s="17">
        <v>0.4545827312844144</v>
      </c>
      <c r="C14" s="17">
        <v>0.44247787610619471</v>
      </c>
      <c r="D14" s="17">
        <v>0.58865248226950351</v>
      </c>
      <c r="E14" s="17">
        <v>0.32272727272727275</v>
      </c>
      <c r="F14" s="17">
        <v>0.34718100890207715</v>
      </c>
      <c r="G14" s="17">
        <v>0.37022900763358779</v>
      </c>
      <c r="H14" s="17">
        <v>0.3</v>
      </c>
      <c r="I14" s="9">
        <v>1</v>
      </c>
      <c r="J14" s="9">
        <f t="shared" si="1"/>
        <v>1</v>
      </c>
      <c r="K14" s="9">
        <f t="shared" si="0"/>
        <v>1</v>
      </c>
      <c r="L14" s="9">
        <f t="shared" si="0"/>
        <v>1</v>
      </c>
      <c r="M14" s="9">
        <f t="shared" si="0"/>
        <v>0.99999999999999989</v>
      </c>
      <c r="N14" s="9">
        <f t="shared" si="0"/>
        <v>0.99999999999999989</v>
      </c>
      <c r="O14" s="9">
        <f t="shared" si="0"/>
        <v>1</v>
      </c>
      <c r="P14" s="9">
        <f t="shared" si="0"/>
        <v>1</v>
      </c>
    </row>
    <row r="16" spans="1:16" ht="28.8" x14ac:dyDescent="0.3">
      <c r="B16" s="11" t="s">
        <v>35</v>
      </c>
      <c r="C16" s="12" t="s">
        <v>43</v>
      </c>
      <c r="D16" s="12" t="s">
        <v>44</v>
      </c>
      <c r="E16" s="12" t="s">
        <v>45</v>
      </c>
      <c r="F16" s="12" t="s">
        <v>46</v>
      </c>
      <c r="G16" s="12" t="s">
        <v>47</v>
      </c>
      <c r="H16" s="12" t="s">
        <v>48</v>
      </c>
      <c r="J16" s="8"/>
      <c r="K16" s="13" t="s">
        <v>49</v>
      </c>
      <c r="L16" s="13" t="s">
        <v>50</v>
      </c>
      <c r="M16" s="13" t="s">
        <v>51</v>
      </c>
      <c r="N16" s="13" t="s">
        <v>52</v>
      </c>
      <c r="O16" s="13" t="s">
        <v>53</v>
      </c>
      <c r="P16" s="13" t="s">
        <v>54</v>
      </c>
    </row>
    <row r="17" spans="2:16" x14ac:dyDescent="0.3">
      <c r="B17" s="9" t="s">
        <v>12</v>
      </c>
      <c r="C17" s="9">
        <f>C2-B2</f>
        <v>-1.4835372379856035E-2</v>
      </c>
      <c r="D17" s="9">
        <f>D2-B2</f>
        <v>-1.6592731320419645E-2</v>
      </c>
      <c r="E17" s="9">
        <f>E2-B2</f>
        <v>-1.4594020811070838E-2</v>
      </c>
      <c r="F17" s="9">
        <f>F2-B2</f>
        <v>1.4890737753806421E-2</v>
      </c>
      <c r="G17" s="9">
        <f>G2-B2</f>
        <v>-4.6009604363310731E-3</v>
      </c>
      <c r="H17" s="9">
        <f>H2-B2</f>
        <v>-6.0800682505685044E-4</v>
      </c>
      <c r="J17" s="9" t="s">
        <v>12</v>
      </c>
      <c r="K17" s="8">
        <f>($J2-0) * ((K2+0))</f>
        <v>2.0960114957504361E-4</v>
      </c>
      <c r="L17" s="8">
        <f t="shared" ref="L17:P17" si="2">($J2-0) * ((L2+0))</f>
        <v>1.6797822625517678E-4</v>
      </c>
      <c r="M17" s="8">
        <f t="shared" si="2"/>
        <v>2.153175445634539E-4</v>
      </c>
      <c r="N17" s="8">
        <f t="shared" si="2"/>
        <v>9.1366198434937411E-4</v>
      </c>
      <c r="O17" s="8">
        <f t="shared" si="2"/>
        <v>4.5200247904541847E-4</v>
      </c>
      <c r="P17" s="8">
        <f t="shared" si="2"/>
        <v>5.4657530543030604E-4</v>
      </c>
    </row>
    <row r="18" spans="2:16" x14ac:dyDescent="0.3">
      <c r="B18" s="9" t="s">
        <v>2</v>
      </c>
      <c r="C18" s="9">
        <f t="shared" ref="C18:C29" si="3">C3-B3</f>
        <v>1.7970793038822694E-2</v>
      </c>
      <c r="D18" s="9">
        <f t="shared" ref="D18:D29" si="4">D3-B3</f>
        <v>-5.000398827115924E-3</v>
      </c>
      <c r="E18" s="9">
        <f t="shared" ref="E18:E29" si="5">E3-B3</f>
        <v>5.5411872463850403E-3</v>
      </c>
      <c r="F18" s="9">
        <f t="shared" ref="F18:F29" si="6">F3-B3</f>
        <v>9.331314033544473E-3</v>
      </c>
      <c r="G18" s="9">
        <f t="shared" ref="G18:G29" si="7">G3-B3</f>
        <v>1.5707738252630707E-2</v>
      </c>
      <c r="H18" s="9">
        <f t="shared" ref="H18:H29" si="8">H3-B3</f>
        <v>3.5261466966664767E-2</v>
      </c>
      <c r="J18" s="9" t="s">
        <v>2</v>
      </c>
      <c r="K18" s="8">
        <f>($J3-$J2) * ((K3+K2))</f>
        <v>1.6277784248015701E-3</v>
      </c>
      <c r="L18" s="8">
        <f t="shared" ref="L18:P18" si="9">($J3-$J2) * ((L3+L2))</f>
        <v>9.3180831814882164E-4</v>
      </c>
      <c r="M18" s="8">
        <f t="shared" si="9"/>
        <v>1.3138497285898388E-3</v>
      </c>
      <c r="N18" s="8">
        <f t="shared" si="9"/>
        <v>2.962984551122485E-3</v>
      </c>
      <c r="O18" s="8">
        <f t="shared" si="9"/>
        <v>2.1061713206401997E-3</v>
      </c>
      <c r="P18" s="8">
        <f t="shared" si="9"/>
        <v>2.8298301846550375E-3</v>
      </c>
    </row>
    <row r="19" spans="2:16" x14ac:dyDescent="0.3">
      <c r="B19" s="9" t="s">
        <v>8</v>
      </c>
      <c r="C19" s="9">
        <f t="shared" si="3"/>
        <v>6.0807833588091748E-2</v>
      </c>
      <c r="D19" s="9">
        <f t="shared" si="4"/>
        <v>1.4865449856214515E-2</v>
      </c>
      <c r="E19" s="9">
        <f t="shared" si="5"/>
        <v>2.6857712912307357E-2</v>
      </c>
      <c r="F19" s="9">
        <f t="shared" si="6"/>
        <v>7.9205669721940618E-3</v>
      </c>
      <c r="G19" s="9">
        <f t="shared" si="7"/>
        <v>2.9564166763799377E-2</v>
      </c>
      <c r="H19" s="9">
        <f t="shared" si="8"/>
        <v>3.0814891360835851E-3</v>
      </c>
      <c r="J19" s="9" t="s">
        <v>8</v>
      </c>
      <c r="K19" s="8">
        <f t="shared" ref="K19:P29" si="10">($J4-$J3) * ((K4+K3))</f>
        <v>5.3905337692852938E-3</v>
      </c>
      <c r="L19" s="8">
        <f t="shared" si="10"/>
        <v>2.7491374671209973E-3</v>
      </c>
      <c r="M19" s="8">
        <f t="shared" si="10"/>
        <v>3.7756011317927984E-3</v>
      </c>
      <c r="N19" s="8">
        <f t="shared" si="10"/>
        <v>5.0938871847333112E-3</v>
      </c>
      <c r="O19" s="8">
        <f t="shared" si="10"/>
        <v>4.9668849494577021E-3</v>
      </c>
      <c r="P19" s="8">
        <f t="shared" si="10"/>
        <v>5.5375483266294385E-3</v>
      </c>
    </row>
    <row r="20" spans="2:16" x14ac:dyDescent="0.3">
      <c r="B20" s="9" t="s">
        <v>11</v>
      </c>
      <c r="C20" s="9">
        <f t="shared" si="3"/>
        <v>-2.2684788555120607E-2</v>
      </c>
      <c r="D20" s="9">
        <f t="shared" si="4"/>
        <v>-3.1655517510033662E-3</v>
      </c>
      <c r="E20" s="9">
        <f t="shared" si="5"/>
        <v>2.3011108468210043E-2</v>
      </c>
      <c r="F20" s="9">
        <f t="shared" si="6"/>
        <v>7.0413215785418495E-3</v>
      </c>
      <c r="G20" s="9">
        <f t="shared" si="7"/>
        <v>-9.9999493220633354E-4</v>
      </c>
      <c r="H20" s="9">
        <f t="shared" si="8"/>
        <v>6.9271923842939634E-3</v>
      </c>
      <c r="J20" s="9" t="s">
        <v>11</v>
      </c>
      <c r="K20" s="8">
        <f t="shared" si="10"/>
        <v>9.2091453145935285E-3</v>
      </c>
      <c r="L20" s="8">
        <f t="shared" si="10"/>
        <v>5.3675482684671493E-3</v>
      </c>
      <c r="M20" s="8">
        <f t="shared" si="10"/>
        <v>7.740248582596379E-3</v>
      </c>
      <c r="N20" s="8">
        <f t="shared" si="10"/>
        <v>8.1409142691996218E-3</v>
      </c>
      <c r="O20" s="8">
        <f t="shared" si="10"/>
        <v>8.4252069672027304E-3</v>
      </c>
      <c r="P20" s="8">
        <f t="shared" si="10"/>
        <v>8.4900162515658302E-3</v>
      </c>
    </row>
    <row r="21" spans="2:16" x14ac:dyDescent="0.3">
      <c r="B21" s="9" t="s">
        <v>9</v>
      </c>
      <c r="C21" s="9">
        <f t="shared" si="3"/>
        <v>-1.4992141252858471E-2</v>
      </c>
      <c r="D21" s="9">
        <f t="shared" si="4"/>
        <v>-1.8506859133985691E-2</v>
      </c>
      <c r="E21" s="9">
        <f t="shared" si="5"/>
        <v>-1.9054892660742624E-2</v>
      </c>
      <c r="F21" s="9">
        <f t="shared" si="6"/>
        <v>-1.4887101994435634E-2</v>
      </c>
      <c r="G21" s="9">
        <f t="shared" si="7"/>
        <v>-2.1569051520680914E-3</v>
      </c>
      <c r="H21" s="9">
        <f t="shared" si="8"/>
        <v>1.3462589856739898E-2</v>
      </c>
      <c r="J21" s="9" t="s">
        <v>9</v>
      </c>
      <c r="K21" s="8">
        <f t="shared" si="10"/>
        <v>1.0414913510582527E-2</v>
      </c>
      <c r="L21" s="8">
        <f t="shared" si="10"/>
        <v>6.9555864461928203E-3</v>
      </c>
      <c r="M21" s="8">
        <f t="shared" si="10"/>
        <v>1.0253166747728779E-2</v>
      </c>
      <c r="N21" s="8">
        <f t="shared" si="10"/>
        <v>1.0282709695825709E-2</v>
      </c>
      <c r="O21" s="8">
        <f t="shared" si="10"/>
        <v>1.0730717715844039E-2</v>
      </c>
      <c r="P21" s="8">
        <f t="shared" si="10"/>
        <v>1.1567675305129907E-2</v>
      </c>
    </row>
    <row r="22" spans="2:16" x14ac:dyDescent="0.3">
      <c r="B22" s="9" t="s">
        <v>3</v>
      </c>
      <c r="C22" s="9">
        <f t="shared" si="3"/>
        <v>1.0194599029372156E-2</v>
      </c>
      <c r="D22" s="9">
        <f t="shared" si="4"/>
        <v>-5.6843942550061782E-3</v>
      </c>
      <c r="E22" s="9">
        <f t="shared" si="5"/>
        <v>-6.7804613085200409E-3</v>
      </c>
      <c r="F22" s="9">
        <f t="shared" si="6"/>
        <v>3.4196069578990074E-2</v>
      </c>
      <c r="G22" s="9">
        <f t="shared" si="7"/>
        <v>-1.1152425222468686E-2</v>
      </c>
      <c r="H22" s="9">
        <f t="shared" si="8"/>
        <v>-1.8668573196631927E-2</v>
      </c>
      <c r="J22" s="9" t="s">
        <v>3</v>
      </c>
      <c r="K22" s="8">
        <f t="shared" si="10"/>
        <v>1.2958292999943669E-2</v>
      </c>
      <c r="L22" s="8">
        <f t="shared" si="10"/>
        <v>8.6944311271269729E-3</v>
      </c>
      <c r="M22" s="8">
        <f t="shared" si="10"/>
        <v>1.2073403224260411E-2</v>
      </c>
      <c r="N22" s="8">
        <f t="shared" si="10"/>
        <v>1.3641485039965543E-2</v>
      </c>
      <c r="O22" s="8">
        <f t="shared" si="10"/>
        <v>1.2997400221850117E-2</v>
      </c>
      <c r="P22" s="8">
        <f t="shared" si="10"/>
        <v>1.4145170641441192E-2</v>
      </c>
    </row>
    <row r="23" spans="2:16" x14ac:dyDescent="0.3">
      <c r="B23" s="9" t="s">
        <v>7</v>
      </c>
      <c r="C23" s="9">
        <f t="shared" si="3"/>
        <v>-3.4394978419548944E-4</v>
      </c>
      <c r="D23" s="9">
        <f t="shared" si="4"/>
        <v>-2.1557782709570497E-2</v>
      </c>
      <c r="E23" s="9">
        <f t="shared" si="5"/>
        <v>3.2439638309127113E-2</v>
      </c>
      <c r="F23" s="9">
        <f t="shared" si="6"/>
        <v>-6.0685893682400245E-3</v>
      </c>
      <c r="G23" s="9">
        <f t="shared" si="7"/>
        <v>2.1509728524255499E-2</v>
      </c>
      <c r="H23" s="9">
        <f t="shared" si="8"/>
        <v>3.348858935807817E-2</v>
      </c>
      <c r="J23" s="9" t="s">
        <v>7</v>
      </c>
      <c r="K23" s="8">
        <f t="shared" si="10"/>
        <v>1.6447728790972883E-2</v>
      </c>
      <c r="L23" s="8">
        <f t="shared" si="10"/>
        <v>1.064660677058883E-2</v>
      </c>
      <c r="M23" s="8">
        <f t="shared" si="10"/>
        <v>1.6083980942710983E-2</v>
      </c>
      <c r="N23" s="8">
        <f t="shared" si="10"/>
        <v>1.7818059995881604E-2</v>
      </c>
      <c r="O23" s="8">
        <f t="shared" si="10"/>
        <v>1.6506884597693203E-2</v>
      </c>
      <c r="P23" s="8">
        <f t="shared" si="10"/>
        <v>1.7871089936345536E-2</v>
      </c>
    </row>
    <row r="24" spans="2:16" x14ac:dyDescent="0.3">
      <c r="B24" s="9" t="s">
        <v>6</v>
      </c>
      <c r="C24" s="9">
        <f t="shared" si="3"/>
        <v>4.1610925662956474E-3</v>
      </c>
      <c r="D24" s="9">
        <f t="shared" si="4"/>
        <v>-1.1717900718082687E-2</v>
      </c>
      <c r="E24" s="9">
        <f t="shared" si="5"/>
        <v>3.2640577682948903E-2</v>
      </c>
      <c r="F24" s="9">
        <f t="shared" si="6"/>
        <v>7.3910497627978425E-3</v>
      </c>
      <c r="G24" s="9">
        <f t="shared" si="7"/>
        <v>-9.5523438992856542E-3</v>
      </c>
      <c r="H24" s="9">
        <f t="shared" si="8"/>
        <v>6.0671511095223354E-3</v>
      </c>
      <c r="J24" s="9" t="s">
        <v>6</v>
      </c>
      <c r="K24" s="8">
        <f t="shared" si="10"/>
        <v>2.1639720333661534E-2</v>
      </c>
      <c r="L24" s="8">
        <f t="shared" si="10"/>
        <v>1.3646534483174067E-2</v>
      </c>
      <c r="M24" s="8">
        <f t="shared" si="10"/>
        <v>2.3687592526191351E-2</v>
      </c>
      <c r="N24" s="8">
        <f t="shared" si="10"/>
        <v>2.3076613764388198E-2</v>
      </c>
      <c r="O24" s="8">
        <f t="shared" si="10"/>
        <v>2.2032382009094013E-2</v>
      </c>
      <c r="P24" s="8">
        <f t="shared" si="10"/>
        <v>2.4668735411891587E-2</v>
      </c>
    </row>
    <row r="25" spans="2:16" x14ac:dyDescent="0.3">
      <c r="B25" s="9" t="s">
        <v>5</v>
      </c>
      <c r="C25" s="9">
        <f t="shared" si="3"/>
        <v>-7.7149811428083651E-3</v>
      </c>
      <c r="D25" s="9">
        <f t="shared" si="4"/>
        <v>-1.4744416905062806E-2</v>
      </c>
      <c r="E25" s="9">
        <f t="shared" si="5"/>
        <v>5.6886788768696066E-2</v>
      </c>
      <c r="F25" s="9">
        <f t="shared" si="6"/>
        <v>5.1842278382939387E-2</v>
      </c>
      <c r="G25" s="9">
        <f t="shared" si="7"/>
        <v>2.6883154862533121E-3</v>
      </c>
      <c r="H25" s="9">
        <f t="shared" si="8"/>
        <v>4.9194481076388373E-2</v>
      </c>
      <c r="J25" s="9" t="s">
        <v>5</v>
      </c>
      <c r="K25" s="8">
        <f t="shared" si="10"/>
        <v>2.6707298992843166E-2</v>
      </c>
      <c r="L25" s="8">
        <f t="shared" si="10"/>
        <v>1.7122977510305119E-2</v>
      </c>
      <c r="M25" s="8">
        <f t="shared" si="10"/>
        <v>3.2922815849359383E-2</v>
      </c>
      <c r="N25" s="8">
        <f t="shared" si="10"/>
        <v>3.0959635364912634E-2</v>
      </c>
      <c r="O25" s="8">
        <f t="shared" si="10"/>
        <v>2.6986895579900187E-2</v>
      </c>
      <c r="P25" s="8">
        <f t="shared" si="10"/>
        <v>3.2500728466675295E-2</v>
      </c>
    </row>
    <row r="26" spans="2:16" x14ac:dyDescent="0.3">
      <c r="B26" s="9" t="s">
        <v>10</v>
      </c>
      <c r="C26" s="9">
        <f t="shared" si="3"/>
        <v>-5.2237254677665226E-2</v>
      </c>
      <c r="D26" s="9">
        <f t="shared" si="4"/>
        <v>-2.5625819291987699E-2</v>
      </c>
      <c r="E26" s="9">
        <f t="shared" si="5"/>
        <v>7.5276824163847234E-2</v>
      </c>
      <c r="F26" s="9">
        <f t="shared" si="6"/>
        <v>2.1999241212673784E-2</v>
      </c>
      <c r="G26" s="9">
        <f t="shared" si="7"/>
        <v>1.9065859555936066E-2</v>
      </c>
      <c r="H26" s="9">
        <f t="shared" si="8"/>
        <v>2.35285724155955E-2</v>
      </c>
      <c r="J26" s="9" t="s">
        <v>10</v>
      </c>
      <c r="K26" s="8">
        <f t="shared" si="10"/>
        <v>4.0544344380391013E-2</v>
      </c>
      <c r="L26" s="8">
        <f t="shared" si="10"/>
        <v>2.8160587184299944E-2</v>
      </c>
      <c r="M26" s="8">
        <f t="shared" si="10"/>
        <v>6.1086812199789113E-2</v>
      </c>
      <c r="N26" s="8">
        <f t="shared" si="10"/>
        <v>5.4742484523253157E-2</v>
      </c>
      <c r="O26" s="8">
        <f t="shared" si="10"/>
        <v>4.5931687035719301E-2</v>
      </c>
      <c r="P26" s="8">
        <f t="shared" si="10"/>
        <v>5.6857725201342184E-2</v>
      </c>
    </row>
    <row r="27" spans="2:16" x14ac:dyDescent="0.3">
      <c r="B27" s="9" t="s">
        <v>1</v>
      </c>
      <c r="C27" s="9">
        <f t="shared" si="3"/>
        <v>-1.9109473315337244E-2</v>
      </c>
      <c r="D27" s="9">
        <f t="shared" si="4"/>
        <v>-6.5114619866520326E-2</v>
      </c>
      <c r="E27" s="9">
        <f t="shared" si="5"/>
        <v>-6.7661363902626059E-2</v>
      </c>
      <c r="F27" s="9">
        <f t="shared" si="6"/>
        <v>-4.253322794362957E-2</v>
      </c>
      <c r="G27" s="9">
        <f t="shared" si="7"/>
        <v>4.1290594145148157E-3</v>
      </c>
      <c r="H27" s="9">
        <f t="shared" si="8"/>
        <v>-2.605297229423445E-2</v>
      </c>
      <c r="J27" s="9" t="s">
        <v>1</v>
      </c>
      <c r="K27" s="8">
        <f t="shared" si="10"/>
        <v>5.239786825435936E-2</v>
      </c>
      <c r="L27" s="8">
        <f t="shared" si="10"/>
        <v>3.6359461771728517E-2</v>
      </c>
      <c r="M27" s="8">
        <f t="shared" si="10"/>
        <v>8.2381415593037369E-2</v>
      </c>
      <c r="N27" s="8">
        <f t="shared" si="10"/>
        <v>7.2849609116757849E-2</v>
      </c>
      <c r="O27" s="8">
        <f t="shared" si="10"/>
        <v>6.5592453399401437E-2</v>
      </c>
      <c r="P27" s="8">
        <f t="shared" si="10"/>
        <v>7.6650314967962457E-2</v>
      </c>
    </row>
    <row r="28" spans="2:16" x14ac:dyDescent="0.3">
      <c r="B28" s="9" t="s">
        <v>4</v>
      </c>
      <c r="C28" s="9">
        <f t="shared" si="3"/>
        <v>5.0888498063478921E-2</v>
      </c>
      <c r="D28" s="9">
        <f t="shared" si="4"/>
        <v>3.8775273937451171E-2</v>
      </c>
      <c r="E28" s="9">
        <f t="shared" si="5"/>
        <v>-1.2707640311420534E-2</v>
      </c>
      <c r="F28" s="9">
        <f t="shared" si="6"/>
        <v>1.6278062413154604E-2</v>
      </c>
      <c r="G28" s="9">
        <f t="shared" si="7"/>
        <v>2.0151485295796689E-2</v>
      </c>
      <c r="H28" s="9">
        <f t="shared" si="8"/>
        <v>2.8900751296971089E-2</v>
      </c>
      <c r="J28" s="9" t="s">
        <v>4</v>
      </c>
      <c r="K28" s="8">
        <f t="shared" si="10"/>
        <v>0.1110272668113773</v>
      </c>
      <c r="L28" s="8">
        <f t="shared" si="10"/>
        <v>7.8168729904583373E-2</v>
      </c>
      <c r="M28" s="8">
        <f t="shared" si="10"/>
        <v>0.14656636857109381</v>
      </c>
      <c r="N28" s="8">
        <f t="shared" si="10"/>
        <v>0.13743315272541737</v>
      </c>
      <c r="O28" s="8">
        <f t="shared" si="10"/>
        <v>0.13157408354168423</v>
      </c>
      <c r="P28" s="8">
        <f t="shared" si="10"/>
        <v>0.14701734201285105</v>
      </c>
    </row>
    <row r="29" spans="2:16" x14ac:dyDescent="0.3">
      <c r="B29" s="9" t="s">
        <v>0</v>
      </c>
      <c r="C29" s="9">
        <f t="shared" si="3"/>
        <v>-1.2104855178219687E-2</v>
      </c>
      <c r="D29" s="9">
        <f t="shared" si="4"/>
        <v>0.13406975098508911</v>
      </c>
      <c r="E29" s="9">
        <f t="shared" si="5"/>
        <v>-0.13185545855714165</v>
      </c>
      <c r="F29" s="9">
        <f t="shared" si="6"/>
        <v>-0.10740172238233725</v>
      </c>
      <c r="G29" s="9">
        <f t="shared" si="7"/>
        <v>-8.4353723650826606E-2</v>
      </c>
      <c r="H29" s="9">
        <f t="shared" si="8"/>
        <v>-0.15458273128441441</v>
      </c>
      <c r="J29" s="9" t="s">
        <v>0</v>
      </c>
      <c r="K29" s="8">
        <f t="shared" si="10"/>
        <v>0.70802266111554824</v>
      </c>
      <c r="L29" s="8">
        <f t="shared" si="10"/>
        <v>0.64157420940140752</v>
      </c>
      <c r="M29" s="8">
        <f t="shared" si="10"/>
        <v>0.7624592174724949</v>
      </c>
      <c r="N29" s="8">
        <f t="shared" si="10"/>
        <v>0.75134297129204397</v>
      </c>
      <c r="O29" s="8">
        <f t="shared" si="10"/>
        <v>0.74086574907803415</v>
      </c>
      <c r="P29" s="8">
        <f t="shared" si="10"/>
        <v>0.77279064318350454</v>
      </c>
    </row>
    <row r="30" spans="2:16" x14ac:dyDescent="0.3">
      <c r="J30" s="15" t="s">
        <v>55</v>
      </c>
      <c r="K30" s="13">
        <f>SUM(K17:K29)</f>
        <v>1.016597153847935</v>
      </c>
      <c r="L30" s="13">
        <f t="shared" ref="L30:P30" si="11">SUM(L17:L29)</f>
        <v>0.85054559687939935</v>
      </c>
      <c r="M30" s="13">
        <f t="shared" si="11"/>
        <v>1.1605597901142086</v>
      </c>
      <c r="N30" s="13">
        <f t="shared" si="11"/>
        <v>1.129258169507851</v>
      </c>
      <c r="O30" s="13">
        <f t="shared" si="11"/>
        <v>1.0891685188955669</v>
      </c>
      <c r="P30" s="13">
        <f t="shared" si="11"/>
        <v>1.1714733951954244</v>
      </c>
    </row>
    <row r="31" spans="2:16" x14ac:dyDescent="0.3">
      <c r="J31" s="16" t="s">
        <v>56</v>
      </c>
      <c r="K31" s="14">
        <f>1-K30</f>
        <v>-1.6597153847935031E-2</v>
      </c>
      <c r="L31" s="14">
        <f t="shared" ref="L31:P31" si="12">1-L30</f>
        <v>0.14945440312060065</v>
      </c>
      <c r="M31" s="14">
        <f t="shared" si="12"/>
        <v>-0.16055979011420862</v>
      </c>
      <c r="N31" s="14">
        <f t="shared" si="12"/>
        <v>-0.12925816950785096</v>
      </c>
      <c r="O31" s="14">
        <f t="shared" si="12"/>
        <v>-8.9168518895566873E-2</v>
      </c>
      <c r="P31" s="14">
        <f t="shared" si="12"/>
        <v>-0.17147339519542437</v>
      </c>
    </row>
  </sheetData>
  <sortState xmlns:xlrd2="http://schemas.microsoft.com/office/spreadsheetml/2017/richdata2" ref="A2:P15">
    <sortCondition ref="B1:B15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F4937-283D-4B0A-9EF6-FF5197E3048E}">
  <dimension ref="A1:P21"/>
  <sheetViews>
    <sheetView tabSelected="1" workbookViewId="0">
      <selection activeCell="A11" sqref="A11"/>
    </sheetView>
  </sheetViews>
  <sheetFormatPr defaultRowHeight="14.4" x14ac:dyDescent="0.3"/>
  <sheetData>
    <row r="1" spans="1:16" ht="36.6" customHeight="1" x14ac:dyDescent="0.3">
      <c r="A1" s="1" t="s">
        <v>35</v>
      </c>
      <c r="B1" s="2" t="s">
        <v>36</v>
      </c>
      <c r="C1" s="3" t="s">
        <v>37</v>
      </c>
      <c r="D1" s="3" t="s">
        <v>38</v>
      </c>
      <c r="E1" s="3" t="s">
        <v>39</v>
      </c>
      <c r="F1" s="2" t="s">
        <v>40</v>
      </c>
      <c r="G1" s="3" t="s">
        <v>41</v>
      </c>
      <c r="H1" s="3" t="s">
        <v>42</v>
      </c>
      <c r="I1" s="4" t="s">
        <v>36</v>
      </c>
      <c r="J1" s="5" t="s">
        <v>36</v>
      </c>
      <c r="K1" s="6" t="s">
        <v>37</v>
      </c>
      <c r="L1" s="6" t="s">
        <v>38</v>
      </c>
      <c r="M1" s="6" t="s">
        <v>39</v>
      </c>
      <c r="N1" s="7" t="s">
        <v>40</v>
      </c>
      <c r="O1" s="6" t="s">
        <v>41</v>
      </c>
      <c r="P1" s="6" t="s">
        <v>42</v>
      </c>
    </row>
    <row r="2" spans="1:16" x14ac:dyDescent="0.3">
      <c r="A2" s="9" t="s">
        <v>15</v>
      </c>
      <c r="B2" s="17">
        <v>1.1506800056506608E-2</v>
      </c>
      <c r="C2" s="17">
        <v>8.658008658008658E-3</v>
      </c>
      <c r="D2" s="17">
        <v>0</v>
      </c>
      <c r="E2" s="17">
        <v>0</v>
      </c>
      <c r="F2" s="17">
        <v>2.403846153846154E-2</v>
      </c>
      <c r="G2" s="17">
        <v>7.407407407407407E-2</v>
      </c>
      <c r="H2" s="17">
        <v>1.5625E-2</v>
      </c>
      <c r="I2" s="9">
        <v>1.1506800056506608E-2</v>
      </c>
      <c r="J2" s="18">
        <v>1.1506800056506608E-2</v>
      </c>
      <c r="K2" s="18">
        <v>8.658008658008658E-3</v>
      </c>
      <c r="L2" s="18">
        <v>0</v>
      </c>
      <c r="M2" s="18">
        <v>0</v>
      </c>
      <c r="N2" s="18">
        <v>2.403846153846154E-2</v>
      </c>
      <c r="O2" s="18">
        <v>7.407407407407407E-2</v>
      </c>
      <c r="P2" s="18">
        <v>1.5625E-2</v>
      </c>
    </row>
    <row r="3" spans="1:16" x14ac:dyDescent="0.3">
      <c r="A3" s="9" t="s">
        <v>17</v>
      </c>
      <c r="B3" s="17">
        <v>1.3488812119811131E-2</v>
      </c>
      <c r="C3" s="17">
        <v>7.792207792207792E-2</v>
      </c>
      <c r="D3" s="17">
        <v>0</v>
      </c>
      <c r="E3" s="17">
        <v>1.020408163265306E-2</v>
      </c>
      <c r="F3" s="17">
        <v>4.807692307692308E-3</v>
      </c>
      <c r="G3" s="17">
        <v>3.1746031746031744E-2</v>
      </c>
      <c r="H3" s="17">
        <v>1.5625E-2</v>
      </c>
      <c r="I3" s="9">
        <v>2.4995612176317739E-2</v>
      </c>
      <c r="J3" s="9">
        <f t="shared" ref="J3:P9" si="0">J2+B3</f>
        <v>2.4995612176317739E-2</v>
      </c>
      <c r="K3" s="9">
        <f t="shared" si="0"/>
        <v>8.6580086580086577E-2</v>
      </c>
      <c r="L3" s="10">
        <f t="shared" si="0"/>
        <v>0</v>
      </c>
      <c r="M3" s="9">
        <f t="shared" si="0"/>
        <v>1.020408163265306E-2</v>
      </c>
      <c r="N3" s="9">
        <f t="shared" si="0"/>
        <v>2.8846153846153848E-2</v>
      </c>
      <c r="O3" s="9">
        <f t="shared" si="0"/>
        <v>0.10582010582010581</v>
      </c>
      <c r="P3" s="9">
        <f t="shared" si="0"/>
        <v>3.125E-2</v>
      </c>
    </row>
    <row r="4" spans="1:16" x14ac:dyDescent="0.3">
      <c r="A4" s="9" t="s">
        <v>18</v>
      </c>
      <c r="B4" s="17">
        <v>1.725163847757501E-2</v>
      </c>
      <c r="C4" s="17">
        <v>2.1645021645021644E-2</v>
      </c>
      <c r="D4" s="17">
        <v>9.8039215686274508E-3</v>
      </c>
      <c r="E4" s="17">
        <v>2.0408163265306121E-2</v>
      </c>
      <c r="F4" s="17">
        <v>1.9230769230769232E-2</v>
      </c>
      <c r="G4" s="17">
        <v>3.1746031746031744E-2</v>
      </c>
      <c r="H4" s="17">
        <v>0</v>
      </c>
      <c r="I4" s="9">
        <v>4.2247250653892746E-2</v>
      </c>
      <c r="J4" s="9">
        <f t="shared" si="0"/>
        <v>4.2247250653892746E-2</v>
      </c>
      <c r="K4" s="9">
        <f t="shared" si="0"/>
        <v>0.10822510822510822</v>
      </c>
      <c r="L4" s="10">
        <f t="shared" si="0"/>
        <v>9.8039215686274508E-3</v>
      </c>
      <c r="M4" s="9">
        <f t="shared" si="0"/>
        <v>3.0612244897959183E-2</v>
      </c>
      <c r="N4" s="9">
        <f t="shared" si="0"/>
        <v>4.807692307692308E-2</v>
      </c>
      <c r="O4" s="9">
        <f t="shared" si="0"/>
        <v>0.13756613756613756</v>
      </c>
      <c r="P4" s="9">
        <f t="shared" si="0"/>
        <v>3.125E-2</v>
      </c>
    </row>
    <row r="5" spans="1:16" x14ac:dyDescent="0.3">
      <c r="A5" s="9" t="s">
        <v>19</v>
      </c>
      <c r="B5" s="17">
        <v>2.1528161266432935E-2</v>
      </c>
      <c r="C5" s="17">
        <v>4.3290043290043288E-2</v>
      </c>
      <c r="D5" s="17">
        <v>1.9607843137254902E-2</v>
      </c>
      <c r="E5" s="17">
        <v>0</v>
      </c>
      <c r="F5" s="17">
        <v>0</v>
      </c>
      <c r="G5" s="17">
        <v>0</v>
      </c>
      <c r="H5" s="17">
        <v>3.125E-2</v>
      </c>
      <c r="I5" s="9">
        <v>6.3775411920325681E-2</v>
      </c>
      <c r="J5" s="9">
        <f t="shared" si="0"/>
        <v>6.3775411920325681E-2</v>
      </c>
      <c r="K5" s="9">
        <f t="shared" si="0"/>
        <v>0.15151515151515152</v>
      </c>
      <c r="L5" s="10">
        <f t="shared" si="0"/>
        <v>2.9411764705882353E-2</v>
      </c>
      <c r="M5" s="9">
        <f t="shared" si="0"/>
        <v>3.0612244897959183E-2</v>
      </c>
      <c r="N5" s="9">
        <f t="shared" si="0"/>
        <v>4.807692307692308E-2</v>
      </c>
      <c r="O5" s="9">
        <f t="shared" si="0"/>
        <v>0.13756613756613756</v>
      </c>
      <c r="P5" s="9">
        <f t="shared" si="0"/>
        <v>6.25E-2</v>
      </c>
    </row>
    <row r="6" spans="1:16" x14ac:dyDescent="0.3">
      <c r="A6" s="9" t="s">
        <v>16</v>
      </c>
      <c r="B6" s="17">
        <v>3.207606131823066E-2</v>
      </c>
      <c r="C6" s="17">
        <v>2.5974025974025976E-2</v>
      </c>
      <c r="D6" s="17">
        <v>2.9411764705882353E-2</v>
      </c>
      <c r="E6" s="17">
        <v>1.020408163265306E-2</v>
      </c>
      <c r="F6" s="17">
        <v>7.2115384615384609E-2</v>
      </c>
      <c r="G6" s="17">
        <v>7.9365079365079361E-2</v>
      </c>
      <c r="H6" s="17">
        <v>0.140625</v>
      </c>
      <c r="I6" s="9">
        <v>9.5851473238556334E-2</v>
      </c>
      <c r="J6" s="9">
        <f t="shared" si="0"/>
        <v>9.5851473238556334E-2</v>
      </c>
      <c r="K6" s="9">
        <f t="shared" si="0"/>
        <v>0.1774891774891775</v>
      </c>
      <c r="L6" s="10">
        <f t="shared" si="0"/>
        <v>5.8823529411764705E-2</v>
      </c>
      <c r="M6" s="9">
        <f t="shared" si="0"/>
        <v>4.0816326530612242E-2</v>
      </c>
      <c r="N6" s="9">
        <f t="shared" si="0"/>
        <v>0.12019230769230768</v>
      </c>
      <c r="O6" s="9">
        <f t="shared" si="0"/>
        <v>0.21693121693121692</v>
      </c>
      <c r="P6" s="9">
        <f t="shared" si="0"/>
        <v>0.203125</v>
      </c>
    </row>
    <row r="7" spans="1:16" x14ac:dyDescent="0.3">
      <c r="A7" s="9" t="s">
        <v>13</v>
      </c>
      <c r="B7" s="17">
        <v>3.952465956909431E-2</v>
      </c>
      <c r="C7" s="17">
        <v>9.9567099567099568E-2</v>
      </c>
      <c r="D7" s="17">
        <v>9.8039215686274508E-3</v>
      </c>
      <c r="E7" s="17">
        <v>0</v>
      </c>
      <c r="F7" s="17">
        <v>6.25E-2</v>
      </c>
      <c r="G7" s="17">
        <v>0.13227513227513227</v>
      </c>
      <c r="H7" s="17">
        <v>1.5625E-2</v>
      </c>
      <c r="I7" s="9">
        <v>0.13537613280765065</v>
      </c>
      <c r="J7" s="9">
        <f t="shared" si="0"/>
        <v>0.13537613280765065</v>
      </c>
      <c r="K7" s="9">
        <f t="shared" si="0"/>
        <v>0.27705627705627706</v>
      </c>
      <c r="L7" s="10">
        <f t="shared" si="0"/>
        <v>6.8627450980392163E-2</v>
      </c>
      <c r="M7" s="9">
        <f t="shared" si="0"/>
        <v>4.0816326530612242E-2</v>
      </c>
      <c r="N7" s="9">
        <f t="shared" si="0"/>
        <v>0.18269230769230768</v>
      </c>
      <c r="O7" s="9">
        <f t="shared" si="0"/>
        <v>0.34920634920634919</v>
      </c>
      <c r="P7" s="9">
        <f t="shared" si="0"/>
        <v>0.21875</v>
      </c>
    </row>
    <row r="8" spans="1:16" x14ac:dyDescent="0.3">
      <c r="A8" s="9" t="s">
        <v>20</v>
      </c>
      <c r="B8" s="17">
        <v>0.39070038227576082</v>
      </c>
      <c r="C8" s="17">
        <v>0.24242424242424243</v>
      </c>
      <c r="D8" s="17">
        <v>9.8039215686274508E-2</v>
      </c>
      <c r="E8" s="17">
        <v>0.2857142857142857</v>
      </c>
      <c r="F8" s="17">
        <v>0.23557692307692307</v>
      </c>
      <c r="G8" s="17">
        <v>0.1164021164021164</v>
      </c>
      <c r="H8" s="17">
        <v>0.421875</v>
      </c>
      <c r="I8" s="9">
        <v>0.52607651508341147</v>
      </c>
      <c r="J8" s="9">
        <f t="shared" si="0"/>
        <v>0.52607651508341147</v>
      </c>
      <c r="K8" s="9">
        <f t="shared" si="0"/>
        <v>0.51948051948051943</v>
      </c>
      <c r="L8" s="10">
        <f t="shared" si="0"/>
        <v>0.16666666666666669</v>
      </c>
      <c r="M8" s="9">
        <f t="shared" si="0"/>
        <v>0.32653061224489793</v>
      </c>
      <c r="N8" s="9">
        <f t="shared" si="0"/>
        <v>0.41826923076923073</v>
      </c>
      <c r="O8" s="9">
        <f t="shared" si="0"/>
        <v>0.46560846560846558</v>
      </c>
      <c r="P8" s="9">
        <f t="shared" si="0"/>
        <v>0.640625</v>
      </c>
    </row>
    <row r="9" spans="1:16" x14ac:dyDescent="0.3">
      <c r="A9" s="9" t="s">
        <v>14</v>
      </c>
      <c r="B9" s="17">
        <v>0.47392348491658853</v>
      </c>
      <c r="C9" s="17">
        <v>0.48051948051948051</v>
      </c>
      <c r="D9" s="17">
        <v>0.83333333333333337</v>
      </c>
      <c r="E9" s="17">
        <v>0.67346938775510201</v>
      </c>
      <c r="F9" s="17">
        <v>0.58173076923076927</v>
      </c>
      <c r="G9" s="17">
        <v>0.53439153439153442</v>
      </c>
      <c r="H9" s="17">
        <v>0.359375</v>
      </c>
      <c r="I9" s="9">
        <v>1</v>
      </c>
      <c r="J9" s="9">
        <f t="shared" si="0"/>
        <v>1</v>
      </c>
      <c r="K9" s="9">
        <f t="shared" si="0"/>
        <v>1</v>
      </c>
      <c r="L9" s="10">
        <f t="shared" si="0"/>
        <v>1</v>
      </c>
      <c r="M9" s="9">
        <f t="shared" si="0"/>
        <v>1</v>
      </c>
      <c r="N9" s="9">
        <f t="shared" si="0"/>
        <v>1</v>
      </c>
      <c r="O9" s="9">
        <f t="shared" si="0"/>
        <v>1</v>
      </c>
      <c r="P9" s="9">
        <f t="shared" si="0"/>
        <v>1</v>
      </c>
    </row>
    <row r="11" spans="1:16" ht="28.8" x14ac:dyDescent="0.3">
      <c r="B11" s="11" t="s">
        <v>35</v>
      </c>
      <c r="C11" s="12" t="s">
        <v>43</v>
      </c>
      <c r="D11" s="12" t="s">
        <v>44</v>
      </c>
      <c r="E11" s="12" t="s">
        <v>45</v>
      </c>
      <c r="F11" s="12" t="s">
        <v>46</v>
      </c>
      <c r="G11" s="12" t="s">
        <v>47</v>
      </c>
      <c r="H11" s="12" t="s">
        <v>48</v>
      </c>
      <c r="J11" s="8"/>
      <c r="K11" s="13" t="s">
        <v>49</v>
      </c>
      <c r="L11" s="13" t="s">
        <v>50</v>
      </c>
      <c r="M11" s="13" t="s">
        <v>51</v>
      </c>
      <c r="N11" s="13" t="s">
        <v>52</v>
      </c>
      <c r="O11" s="13" t="s">
        <v>53</v>
      </c>
      <c r="P11" s="13" t="s">
        <v>54</v>
      </c>
    </row>
    <row r="12" spans="1:16" x14ac:dyDescent="0.3">
      <c r="B12" s="9" t="s">
        <v>15</v>
      </c>
      <c r="C12" s="9">
        <f>C2-B2</f>
        <v>-2.8487913984979497E-3</v>
      </c>
      <c r="D12" s="9">
        <f>D2-B2</f>
        <v>-1.1506800056506608E-2</v>
      </c>
      <c r="E12" s="9">
        <f>E2-B2</f>
        <v>-1.1506800056506608E-2</v>
      </c>
      <c r="F12" s="9">
        <f>F2-B2</f>
        <v>1.2531661481954932E-2</v>
      </c>
      <c r="G12" s="9">
        <f>G2-B2</f>
        <v>6.2567274017567467E-2</v>
      </c>
      <c r="H12" s="9">
        <f>H2-B2</f>
        <v>4.1181999434933923E-3</v>
      </c>
      <c r="J12" s="9" t="s">
        <v>15</v>
      </c>
      <c r="K12" s="8">
        <f>(J2-0) * (K2+0)</f>
        <v>9.9625974515208719E-5</v>
      </c>
      <c r="L12" s="8">
        <f t="shared" ref="L12" si="1">(K2-0) * (L2+0)</f>
        <v>0</v>
      </c>
      <c r="M12" s="8">
        <f>(J2-0) * (M2+0)</f>
        <v>0</v>
      </c>
      <c r="N12" s="8">
        <f>(J2-0) * (N2+0)</f>
        <v>2.7660577058910118E-4</v>
      </c>
      <c r="O12" s="8">
        <f>(J2-0) * (O2+0)</f>
        <v>8.5235555974123021E-4</v>
      </c>
      <c r="P12" s="8">
        <f>(J2-0) * (P2+0)</f>
        <v>1.7979375088291575E-4</v>
      </c>
    </row>
    <row r="13" spans="1:16" x14ac:dyDescent="0.3">
      <c r="B13" s="9" t="s">
        <v>17</v>
      </c>
      <c r="C13" s="9">
        <f t="shared" ref="C13:C19" si="2">C3-B3</f>
        <v>6.4433265802266784E-2</v>
      </c>
      <c r="D13" s="9">
        <f t="shared" ref="D13:D19" si="3">D3-B3</f>
        <v>-1.3488812119811131E-2</v>
      </c>
      <c r="E13" s="9">
        <f t="shared" ref="E13:E19" si="4">E3-B3</f>
        <v>-3.2847304871580704E-3</v>
      </c>
      <c r="F13" s="9">
        <f t="shared" ref="F13:F19" si="5">F3-B3</f>
        <v>-8.6811198121188229E-3</v>
      </c>
      <c r="G13" s="9">
        <f t="shared" ref="G13:G19" si="6">G3-B3</f>
        <v>1.8257219626220615E-2</v>
      </c>
      <c r="H13" s="9">
        <f t="shared" ref="H13:H19" si="7">H3-B3</f>
        <v>2.1361878801888692E-3</v>
      </c>
      <c r="J13" s="9" t="s">
        <v>17</v>
      </c>
      <c r="K13" s="8">
        <f>(J3-J2) * (K3+K2)</f>
        <v>1.2846487733153458E-3</v>
      </c>
      <c r="L13" s="8">
        <f>(J3-J2) * (L3+L2)</f>
        <v>0</v>
      </c>
      <c r="M13" s="8">
        <f>(J3-J2) * (M3+M2)</f>
        <v>1.3764093999807275E-4</v>
      </c>
      <c r="N13" s="8">
        <f>(J3-J2) * (N3+N2)</f>
        <v>7.1335064095155026E-4</v>
      </c>
      <c r="O13" s="8">
        <f>(J3-J2) * (O3+O2)</f>
        <v>2.4265587940400977E-3</v>
      </c>
      <c r="P13" s="8">
        <f>(J3-J2) * (P3+P2)</f>
        <v>6.3228806811614678E-4</v>
      </c>
    </row>
    <row r="14" spans="1:16" x14ac:dyDescent="0.3">
      <c r="B14" s="9" t="s">
        <v>18</v>
      </c>
      <c r="C14" s="9">
        <f t="shared" si="2"/>
        <v>4.3933831674466337E-3</v>
      </c>
      <c r="D14" s="9">
        <f t="shared" si="3"/>
        <v>-7.4477169089475596E-3</v>
      </c>
      <c r="E14" s="9">
        <f t="shared" si="4"/>
        <v>3.1565247877311103E-3</v>
      </c>
      <c r="F14" s="9">
        <f t="shared" si="5"/>
        <v>1.9791307531942214E-3</v>
      </c>
      <c r="G14" s="9">
        <f t="shared" si="6"/>
        <v>1.4494393268456734E-2</v>
      </c>
      <c r="H14" s="9">
        <f t="shared" si="7"/>
        <v>-1.725163847757501E-2</v>
      </c>
      <c r="J14" s="9" t="s">
        <v>18</v>
      </c>
      <c r="K14" s="8">
        <f t="shared" ref="K14:K19" si="8">(J4-J3) * (K4+K3)</f>
        <v>3.3607087943327936E-3</v>
      </c>
      <c r="L14" s="8">
        <f t="shared" ref="L14:L19" si="9">(J4-J3) * (L4+L3)</f>
        <v>1.6913371056446086E-4</v>
      </c>
      <c r="M14" s="8">
        <f t="shared" ref="M14:M19" si="10">(J4-J3) * (M4+M3)</f>
        <v>7.0414850928877579E-4</v>
      </c>
      <c r="N14" s="8">
        <f t="shared" ref="N14:N19" si="11">(J4-J3) * (N4+N3)</f>
        <v>1.3270491136596161E-3</v>
      </c>
      <c r="O14" s="8">
        <f t="shared" ref="O14:O19" si="12">(J4-J3) * (O4+O3)</f>
        <v>4.1988114813145518E-3</v>
      </c>
      <c r="P14" s="8">
        <f t="shared" ref="P14:P19" si="13">(J4-J3) * (P4+P3)</f>
        <v>1.0782274048484379E-3</v>
      </c>
    </row>
    <row r="15" spans="1:16" x14ac:dyDescent="0.3">
      <c r="B15" s="9" t="s">
        <v>19</v>
      </c>
      <c r="C15" s="9">
        <f t="shared" si="2"/>
        <v>2.1761882023610353E-2</v>
      </c>
      <c r="D15" s="9">
        <f t="shared" si="3"/>
        <v>-1.9203181291780336E-3</v>
      </c>
      <c r="E15" s="9">
        <f t="shared" si="4"/>
        <v>-2.1528161266432935E-2</v>
      </c>
      <c r="F15" s="9">
        <f t="shared" si="5"/>
        <v>-2.1528161266432935E-2</v>
      </c>
      <c r="G15" s="9">
        <f t="shared" si="6"/>
        <v>-2.1528161266432935E-2</v>
      </c>
      <c r="H15" s="9">
        <f t="shared" si="7"/>
        <v>9.7218387335670647E-3</v>
      </c>
      <c r="J15" s="9" t="s">
        <v>19</v>
      </c>
      <c r="K15" s="8">
        <f t="shared" si="8"/>
        <v>5.5917301990734891E-3</v>
      </c>
      <c r="L15" s="8">
        <f t="shared" si="9"/>
        <v>8.4424161829148769E-4</v>
      </c>
      <c r="M15" s="8">
        <f t="shared" si="10"/>
        <v>1.3180506897816082E-3</v>
      </c>
      <c r="N15" s="8">
        <f t="shared" si="11"/>
        <v>2.0700155063877825E-3</v>
      </c>
      <c r="O15" s="8">
        <f t="shared" si="12"/>
        <v>5.9230919886482146E-3</v>
      </c>
      <c r="P15" s="8">
        <f t="shared" si="13"/>
        <v>2.0182651187280877E-3</v>
      </c>
    </row>
    <row r="16" spans="1:16" x14ac:dyDescent="0.3">
      <c r="B16" s="9" t="s">
        <v>16</v>
      </c>
      <c r="C16" s="9">
        <f t="shared" si="2"/>
        <v>-6.1020353442046843E-3</v>
      </c>
      <c r="D16" s="9">
        <f t="shared" si="3"/>
        <v>-2.6642966123483075E-3</v>
      </c>
      <c r="E16" s="9">
        <f t="shared" si="4"/>
        <v>-2.1871979685577601E-2</v>
      </c>
      <c r="F16" s="9">
        <f t="shared" si="5"/>
        <v>4.0039323297153949E-2</v>
      </c>
      <c r="G16" s="9">
        <f t="shared" si="6"/>
        <v>4.7289018046848701E-2</v>
      </c>
      <c r="H16" s="9">
        <f t="shared" si="7"/>
        <v>0.10854893868176935</v>
      </c>
      <c r="J16" s="9" t="s">
        <v>16</v>
      </c>
      <c r="K16" s="8">
        <f t="shared" si="8"/>
        <v>1.055316303110619E-2</v>
      </c>
      <c r="L16" s="8">
        <f t="shared" si="9"/>
        <v>2.8302407045497631E-3</v>
      </c>
      <c r="M16" s="8">
        <f t="shared" si="10"/>
        <v>2.2911472370164749E-3</v>
      </c>
      <c r="N16" s="8">
        <f t="shared" si="11"/>
        <v>5.3974141641253501E-3</v>
      </c>
      <c r="O16" s="8">
        <f t="shared" si="12"/>
        <v>1.1370878880007691E-2</v>
      </c>
      <c r="P16" s="8">
        <f t="shared" si="13"/>
        <v>8.5202037876550181E-3</v>
      </c>
    </row>
    <row r="17" spans="2:16" x14ac:dyDescent="0.3">
      <c r="B17" s="9" t="s">
        <v>13</v>
      </c>
      <c r="C17" s="9">
        <f t="shared" si="2"/>
        <v>6.0042439998005258E-2</v>
      </c>
      <c r="D17" s="9">
        <f t="shared" si="3"/>
        <v>-2.9720738000466859E-2</v>
      </c>
      <c r="E17" s="9">
        <f t="shared" si="4"/>
        <v>-3.952465956909431E-2</v>
      </c>
      <c r="F17" s="9">
        <f t="shared" si="5"/>
        <v>2.297534043090569E-2</v>
      </c>
      <c r="G17" s="9">
        <f t="shared" si="6"/>
        <v>9.2750472706037951E-2</v>
      </c>
      <c r="H17" s="9">
        <f t="shared" si="7"/>
        <v>-2.389965956909431E-2</v>
      </c>
      <c r="J17" s="9" t="s">
        <v>13</v>
      </c>
      <c r="K17" s="8">
        <f t="shared" si="8"/>
        <v>1.7965754349588327E-2</v>
      </c>
      <c r="L17" s="8">
        <f t="shared" si="9"/>
        <v>5.0374566117473143E-3</v>
      </c>
      <c r="M17" s="8">
        <f t="shared" si="10"/>
        <v>3.2265028219668826E-3</v>
      </c>
      <c r="N17" s="8">
        <f t="shared" si="11"/>
        <v>1.197141131179299E-2</v>
      </c>
      <c r="O17" s="8">
        <f t="shared" si="12"/>
        <v>2.2376394570862917E-2</v>
      </c>
      <c r="P17" s="8">
        <f t="shared" si="13"/>
        <v>1.6674465755711666E-2</v>
      </c>
    </row>
    <row r="18" spans="2:16" x14ac:dyDescent="0.3">
      <c r="B18" s="9" t="s">
        <v>20</v>
      </c>
      <c r="C18" s="9">
        <f t="shared" si="2"/>
        <v>-0.14827613985151838</v>
      </c>
      <c r="D18" s="9">
        <f t="shared" si="3"/>
        <v>-0.29266116658948632</v>
      </c>
      <c r="E18" s="9">
        <f t="shared" si="4"/>
        <v>-0.10498609656147512</v>
      </c>
      <c r="F18" s="9">
        <f t="shared" si="5"/>
        <v>-0.15512345919883774</v>
      </c>
      <c r="G18" s="9">
        <f t="shared" si="6"/>
        <v>-0.27429826587364442</v>
      </c>
      <c r="H18" s="9">
        <f t="shared" si="7"/>
        <v>3.1174617724239184E-2</v>
      </c>
      <c r="J18" s="9" t="s">
        <v>20</v>
      </c>
      <c r="K18" s="8">
        <f t="shared" si="8"/>
        <v>0.31120723090363628</v>
      </c>
      <c r="L18" s="8">
        <f t="shared" si="9"/>
        <v>9.1929501711943737E-2</v>
      </c>
      <c r="M18" s="8">
        <f t="shared" si="10"/>
        <v>0.14352258940742232</v>
      </c>
      <c r="N18" s="8">
        <f t="shared" si="11"/>
        <v>0.23479590280995241</v>
      </c>
      <c r="O18" s="8">
        <f t="shared" si="12"/>
        <v>0.3183484596321014</v>
      </c>
      <c r="P18" s="8">
        <f t="shared" si="13"/>
        <v>0.33575814101823193</v>
      </c>
    </row>
    <row r="19" spans="2:16" x14ac:dyDescent="0.3">
      <c r="B19" s="9" t="s">
        <v>14</v>
      </c>
      <c r="C19" s="9">
        <f t="shared" si="2"/>
        <v>6.5959956028919797E-3</v>
      </c>
      <c r="D19" s="9">
        <f t="shared" si="3"/>
        <v>0.35940984841674484</v>
      </c>
      <c r="E19" s="9">
        <f t="shared" si="4"/>
        <v>0.19954590283851348</v>
      </c>
      <c r="F19" s="9">
        <f t="shared" si="5"/>
        <v>0.10780728431418074</v>
      </c>
      <c r="G19" s="9">
        <f t="shared" si="6"/>
        <v>6.0468049474945884E-2</v>
      </c>
      <c r="H19" s="9">
        <f t="shared" si="7"/>
        <v>-0.11454848491658853</v>
      </c>
      <c r="J19" s="9" t="s">
        <v>14</v>
      </c>
      <c r="K19" s="8">
        <f t="shared" si="8"/>
        <v>0.72011750305507605</v>
      </c>
      <c r="L19" s="8">
        <f t="shared" si="9"/>
        <v>0.55291073240268662</v>
      </c>
      <c r="M19" s="8">
        <f t="shared" si="10"/>
        <v>0.62867401060363781</v>
      </c>
      <c r="N19" s="8">
        <f t="shared" si="11"/>
        <v>0.67215109639612314</v>
      </c>
      <c r="O19" s="8">
        <f t="shared" si="12"/>
        <v>0.6945862715444181</v>
      </c>
      <c r="P19" s="8">
        <f t="shared" si="13"/>
        <v>0.77753071744127811</v>
      </c>
    </row>
    <row r="20" spans="2:16" x14ac:dyDescent="0.3">
      <c r="J20" s="13" t="s">
        <v>55</v>
      </c>
      <c r="K20" s="13">
        <f>SUM(K12:K19)</f>
        <v>1.0701803650806436</v>
      </c>
      <c r="L20" s="13">
        <f t="shared" ref="L20:P20" si="14">SUM(L12:L19)</f>
        <v>0.65372130675978335</v>
      </c>
      <c r="M20" s="13">
        <f t="shared" si="14"/>
        <v>0.77987409020911191</v>
      </c>
      <c r="N20" s="13">
        <f t="shared" si="14"/>
        <v>0.92870284571358197</v>
      </c>
      <c r="O20" s="13">
        <f t="shared" si="14"/>
        <v>1.0600828224511343</v>
      </c>
      <c r="P20" s="13">
        <f t="shared" si="14"/>
        <v>1.1423921023454522</v>
      </c>
    </row>
    <row r="21" spans="2:16" x14ac:dyDescent="0.3">
      <c r="J21" s="14" t="s">
        <v>56</v>
      </c>
      <c r="K21" s="14">
        <f>1-K20</f>
        <v>-7.0180365080643625E-2</v>
      </c>
      <c r="L21" s="14">
        <f t="shared" ref="L21:P21" si="15">1-L20</f>
        <v>0.34627869324021665</v>
      </c>
      <c r="M21" s="14">
        <f t="shared" si="15"/>
        <v>0.22012590979088809</v>
      </c>
      <c r="N21" s="14">
        <f t="shared" si="15"/>
        <v>7.129715428641803E-2</v>
      </c>
      <c r="O21" s="14">
        <f t="shared" si="15"/>
        <v>-6.0082822451134277E-2</v>
      </c>
      <c r="P21" s="14">
        <f t="shared" si="15"/>
        <v>-0.14239210234545219</v>
      </c>
    </row>
  </sheetData>
  <sortState xmlns:xlrd2="http://schemas.microsoft.com/office/spreadsheetml/2017/richdata2" ref="A2:P10">
    <sortCondition ref="B1:B10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BEDD-EB24-4442-B8F4-801A8ABB2675}">
  <dimension ref="A1:P33"/>
  <sheetViews>
    <sheetView workbookViewId="0">
      <selection activeCell="A17" sqref="A17"/>
    </sheetView>
  </sheetViews>
  <sheetFormatPr defaultRowHeight="14.4" x14ac:dyDescent="0.3"/>
  <cols>
    <col min="13" max="14" width="12" bestFit="1" customWidth="1"/>
    <col min="16" max="16" width="12" bestFit="1" customWidth="1"/>
  </cols>
  <sheetData>
    <row r="1" spans="1:16" ht="36.6" customHeight="1" x14ac:dyDescent="0.3">
      <c r="A1" s="1" t="s">
        <v>35</v>
      </c>
      <c r="B1" s="2" t="s">
        <v>36</v>
      </c>
      <c r="C1" s="3" t="s">
        <v>37</v>
      </c>
      <c r="D1" s="3" t="s">
        <v>38</v>
      </c>
      <c r="E1" s="3" t="s">
        <v>39</v>
      </c>
      <c r="F1" s="2" t="s">
        <v>40</v>
      </c>
      <c r="G1" s="3" t="s">
        <v>41</v>
      </c>
      <c r="H1" s="3" t="s">
        <v>42</v>
      </c>
      <c r="I1" s="4" t="s">
        <v>36</v>
      </c>
      <c r="J1" s="5" t="s">
        <v>36</v>
      </c>
      <c r="K1" s="6" t="s">
        <v>37</v>
      </c>
      <c r="L1" s="6" t="s">
        <v>38</v>
      </c>
      <c r="M1" s="6" t="s">
        <v>39</v>
      </c>
      <c r="N1" s="7" t="s">
        <v>40</v>
      </c>
      <c r="O1" s="6" t="s">
        <v>41</v>
      </c>
      <c r="P1" s="6" t="s">
        <v>42</v>
      </c>
    </row>
    <row r="2" spans="1:16" x14ac:dyDescent="0.3">
      <c r="A2" s="9" t="s">
        <v>25</v>
      </c>
      <c r="B2" s="17">
        <v>9.6048371348462242E-3</v>
      </c>
      <c r="C2" s="17">
        <v>2.0661157024793389E-2</v>
      </c>
      <c r="D2" s="17">
        <v>4.6875E-2</v>
      </c>
      <c r="E2" s="17">
        <v>0</v>
      </c>
      <c r="F2" s="17">
        <v>0</v>
      </c>
      <c r="G2" s="17">
        <v>0</v>
      </c>
      <c r="H2" s="17">
        <v>0</v>
      </c>
      <c r="I2" s="9">
        <v>9.6048371348462242E-3</v>
      </c>
      <c r="J2" s="18">
        <v>9.6048371348462242E-3</v>
      </c>
      <c r="K2" s="18">
        <v>2.0661157024793389E-2</v>
      </c>
      <c r="L2" s="18">
        <v>4.6875E-2</v>
      </c>
      <c r="M2" s="18">
        <v>0</v>
      </c>
      <c r="N2" s="18">
        <v>0</v>
      </c>
      <c r="O2" s="18">
        <v>0</v>
      </c>
      <c r="P2" s="18">
        <v>0</v>
      </c>
    </row>
    <row r="3" spans="1:16" x14ac:dyDescent="0.3">
      <c r="A3" s="9" t="s">
        <v>29</v>
      </c>
      <c r="B3" s="17">
        <v>1.0564356507253051E-2</v>
      </c>
      <c r="C3" s="17">
        <v>3.3057851239669422E-2</v>
      </c>
      <c r="D3" s="17">
        <v>1.5625E-2</v>
      </c>
      <c r="E3" s="17">
        <v>0</v>
      </c>
      <c r="F3" s="17">
        <v>3.787878787878788E-3</v>
      </c>
      <c r="G3" s="17">
        <v>1.5957446808510637E-2</v>
      </c>
      <c r="H3" s="17">
        <v>8.8495575221238937E-3</v>
      </c>
      <c r="I3" s="9">
        <v>2.0169193642099275E-2</v>
      </c>
      <c r="J3" s="9">
        <f>J2+B3</f>
        <v>2.0169193642099275E-2</v>
      </c>
      <c r="K3" s="9">
        <f t="shared" ref="K3:P14" si="0">K2+C3</f>
        <v>5.3719008264462811E-2</v>
      </c>
      <c r="L3" s="9">
        <f t="shared" si="0"/>
        <v>6.25E-2</v>
      </c>
      <c r="M3" s="9">
        <f t="shared" si="0"/>
        <v>0</v>
      </c>
      <c r="N3" s="9">
        <f t="shared" si="0"/>
        <v>3.787878787878788E-3</v>
      </c>
      <c r="O3" s="9">
        <f t="shared" si="0"/>
        <v>1.5957446808510637E-2</v>
      </c>
      <c r="P3" s="9">
        <f t="shared" si="0"/>
        <v>8.8495575221238937E-3</v>
      </c>
    </row>
    <row r="4" spans="1:16" x14ac:dyDescent="0.3">
      <c r="A4" s="9" t="s">
        <v>24</v>
      </c>
      <c r="B4" s="17">
        <v>1.1420209213796828E-2</v>
      </c>
      <c r="C4" s="17">
        <v>2.4793388429752067E-2</v>
      </c>
      <c r="D4" s="17">
        <v>1.5625E-2</v>
      </c>
      <c r="E4" s="17">
        <v>5.6603773584905662E-2</v>
      </c>
      <c r="F4" s="17">
        <v>1.5151515151515152E-2</v>
      </c>
      <c r="G4" s="17">
        <v>5.3191489361702126E-3</v>
      </c>
      <c r="H4" s="17">
        <v>1.7699115044247787E-2</v>
      </c>
      <c r="I4" s="9">
        <v>3.1589402855896107E-2</v>
      </c>
      <c r="J4" s="9">
        <f t="shared" ref="J4:J14" si="1">J3+B4</f>
        <v>3.1589402855896107E-2</v>
      </c>
      <c r="K4" s="9">
        <f t="shared" si="0"/>
        <v>7.8512396694214878E-2</v>
      </c>
      <c r="L4" s="9">
        <f t="shared" si="0"/>
        <v>7.8125E-2</v>
      </c>
      <c r="M4" s="9">
        <f t="shared" si="0"/>
        <v>5.6603773584905662E-2</v>
      </c>
      <c r="N4" s="9">
        <f t="shared" si="0"/>
        <v>1.893939393939394E-2</v>
      </c>
      <c r="O4" s="9">
        <f t="shared" si="0"/>
        <v>2.1276595744680851E-2</v>
      </c>
      <c r="P4" s="9">
        <f t="shared" si="0"/>
        <v>2.6548672566371681E-2</v>
      </c>
    </row>
    <row r="5" spans="1:16" x14ac:dyDescent="0.3">
      <c r="A5" s="9" t="s">
        <v>26</v>
      </c>
      <c r="B5" s="17">
        <v>1.2114534789809808E-2</v>
      </c>
      <c r="C5" s="17">
        <v>0</v>
      </c>
      <c r="D5" s="17">
        <v>0</v>
      </c>
      <c r="E5" s="17">
        <v>0</v>
      </c>
      <c r="F5" s="17">
        <v>1.5151515151515152E-2</v>
      </c>
      <c r="G5" s="17">
        <v>1.3297872340425532E-2</v>
      </c>
      <c r="H5" s="17">
        <v>0</v>
      </c>
      <c r="I5" s="9">
        <v>4.3703937645705918E-2</v>
      </c>
      <c r="J5" s="9">
        <f t="shared" si="1"/>
        <v>4.3703937645705918E-2</v>
      </c>
      <c r="K5" s="9">
        <f t="shared" si="0"/>
        <v>7.8512396694214878E-2</v>
      </c>
      <c r="L5" s="9">
        <f t="shared" si="0"/>
        <v>7.8125E-2</v>
      </c>
      <c r="M5" s="9">
        <f t="shared" si="0"/>
        <v>5.6603773584905662E-2</v>
      </c>
      <c r="N5" s="9">
        <f t="shared" si="0"/>
        <v>3.4090909090909088E-2</v>
      </c>
      <c r="O5" s="9">
        <f t="shared" si="0"/>
        <v>3.4574468085106384E-2</v>
      </c>
      <c r="P5" s="9">
        <f t="shared" si="0"/>
        <v>2.6548672566371681E-2</v>
      </c>
    </row>
    <row r="6" spans="1:16" x14ac:dyDescent="0.3">
      <c r="A6" s="9" t="s">
        <v>30</v>
      </c>
      <c r="B6" s="17">
        <v>1.3233170440052943E-2</v>
      </c>
      <c r="C6" s="17">
        <v>1.6528925619834711E-2</v>
      </c>
      <c r="D6" s="17">
        <v>3.125E-2</v>
      </c>
      <c r="E6" s="17">
        <v>1.8867924528301886E-2</v>
      </c>
      <c r="F6" s="17">
        <v>1.5151515151515152E-2</v>
      </c>
      <c r="G6" s="17">
        <v>1.5957446808510637E-2</v>
      </c>
      <c r="H6" s="17">
        <v>1.3274336283185841E-2</v>
      </c>
      <c r="I6" s="9">
        <v>5.6937108085758859E-2</v>
      </c>
      <c r="J6" s="9">
        <f t="shared" si="1"/>
        <v>5.6937108085758859E-2</v>
      </c>
      <c r="K6" s="9">
        <f t="shared" si="0"/>
        <v>9.5041322314049589E-2</v>
      </c>
      <c r="L6" s="9">
        <f t="shared" si="0"/>
        <v>0.109375</v>
      </c>
      <c r="M6" s="9">
        <f t="shared" si="0"/>
        <v>7.5471698113207544E-2</v>
      </c>
      <c r="N6" s="9">
        <f t="shared" si="0"/>
        <v>4.924242424242424E-2</v>
      </c>
      <c r="O6" s="9">
        <f t="shared" si="0"/>
        <v>5.0531914893617025E-2</v>
      </c>
      <c r="P6" s="9">
        <f t="shared" si="0"/>
        <v>3.9823008849557522E-2</v>
      </c>
    </row>
    <row r="7" spans="1:16" x14ac:dyDescent="0.3">
      <c r="A7" s="9" t="s">
        <v>32</v>
      </c>
      <c r="B7" s="17">
        <v>1.6244325455470346E-2</v>
      </c>
      <c r="C7" s="17">
        <v>2.4793388429752067E-2</v>
      </c>
      <c r="D7" s="17">
        <v>3.125E-2</v>
      </c>
      <c r="E7" s="17">
        <v>0</v>
      </c>
      <c r="F7" s="17">
        <v>2.2727272727272728E-2</v>
      </c>
      <c r="G7" s="17">
        <v>3.7234042553191488E-2</v>
      </c>
      <c r="H7" s="17">
        <v>3.0973451327433628E-2</v>
      </c>
      <c r="I7" s="9">
        <v>7.3181433541229204E-2</v>
      </c>
      <c r="J7" s="9">
        <f t="shared" si="1"/>
        <v>7.3181433541229204E-2</v>
      </c>
      <c r="K7" s="9">
        <f t="shared" si="0"/>
        <v>0.11983471074380166</v>
      </c>
      <c r="L7" s="9">
        <f t="shared" si="0"/>
        <v>0.140625</v>
      </c>
      <c r="M7" s="9">
        <f t="shared" si="0"/>
        <v>7.5471698113207544E-2</v>
      </c>
      <c r="N7" s="9">
        <f t="shared" si="0"/>
        <v>7.1969696969696961E-2</v>
      </c>
      <c r="O7" s="9">
        <f t="shared" si="0"/>
        <v>8.7765957446808512E-2</v>
      </c>
      <c r="P7" s="9">
        <f t="shared" si="0"/>
        <v>7.0796460176991149E-2</v>
      </c>
    </row>
    <row r="8" spans="1:16" x14ac:dyDescent="0.3">
      <c r="A8" s="9" t="s">
        <v>31</v>
      </c>
      <c r="B8" s="17">
        <v>1.7126697541653507E-2</v>
      </c>
      <c r="C8" s="17">
        <v>2.4793388429752067E-2</v>
      </c>
      <c r="D8" s="17">
        <v>3.125E-2</v>
      </c>
      <c r="E8" s="17">
        <v>1.8867924528301886E-2</v>
      </c>
      <c r="F8" s="17">
        <v>1.5151515151515152E-2</v>
      </c>
      <c r="G8" s="17">
        <v>4.2553191489361701E-2</v>
      </c>
      <c r="H8" s="17">
        <v>4.4247787610619468E-2</v>
      </c>
      <c r="I8" s="9">
        <v>9.0308131082882714E-2</v>
      </c>
      <c r="J8" s="9">
        <f t="shared" si="1"/>
        <v>9.0308131082882714E-2</v>
      </c>
      <c r="K8" s="9">
        <f t="shared" si="0"/>
        <v>0.14462809917355374</v>
      </c>
      <c r="L8" s="9">
        <f t="shared" si="0"/>
        <v>0.171875</v>
      </c>
      <c r="M8" s="9">
        <f t="shared" si="0"/>
        <v>9.4339622641509427E-2</v>
      </c>
      <c r="N8" s="9">
        <f t="shared" si="0"/>
        <v>8.7121212121212113E-2</v>
      </c>
      <c r="O8" s="9">
        <f t="shared" si="0"/>
        <v>0.13031914893617022</v>
      </c>
      <c r="P8" s="9">
        <f t="shared" si="0"/>
        <v>0.11504424778761062</v>
      </c>
    </row>
    <row r="9" spans="1:16" x14ac:dyDescent="0.3">
      <c r="A9" s="9" t="s">
        <v>34</v>
      </c>
      <c r="B9" s="17">
        <v>1.7823433970360979E-2</v>
      </c>
      <c r="C9" s="17">
        <v>3.71900826446281E-2</v>
      </c>
      <c r="D9" s="17">
        <v>4.6875E-2</v>
      </c>
      <c r="E9" s="17">
        <v>0</v>
      </c>
      <c r="F9" s="17">
        <v>1.5151515151515152E-2</v>
      </c>
      <c r="G9" s="17">
        <v>7.9787234042553185E-3</v>
      </c>
      <c r="H9" s="17">
        <v>8.8495575221238937E-3</v>
      </c>
      <c r="I9" s="9">
        <v>0.1081315650532437</v>
      </c>
      <c r="J9" s="9">
        <f t="shared" si="1"/>
        <v>0.1081315650532437</v>
      </c>
      <c r="K9" s="9">
        <f t="shared" si="0"/>
        <v>0.18181818181818182</v>
      </c>
      <c r="L9" s="9">
        <f t="shared" si="0"/>
        <v>0.21875</v>
      </c>
      <c r="M9" s="9">
        <f t="shared" si="0"/>
        <v>9.4339622641509427E-2</v>
      </c>
      <c r="N9" s="9">
        <f t="shared" si="0"/>
        <v>0.10227272727272727</v>
      </c>
      <c r="O9" s="9">
        <f t="shared" si="0"/>
        <v>0.13829787234042554</v>
      </c>
      <c r="P9" s="9">
        <f t="shared" si="0"/>
        <v>0.12389380530973451</v>
      </c>
    </row>
    <row r="10" spans="1:16" x14ac:dyDescent="0.3">
      <c r="A10" s="9" t="s">
        <v>22</v>
      </c>
      <c r="B10" s="17">
        <v>2.2348604477917793E-2</v>
      </c>
      <c r="C10" s="17">
        <v>8.2644628099173556E-3</v>
      </c>
      <c r="D10" s="17">
        <v>1.5625E-2</v>
      </c>
      <c r="E10" s="17">
        <v>1.8867924528301886E-2</v>
      </c>
      <c r="F10" s="17">
        <v>1.893939393939394E-2</v>
      </c>
      <c r="G10" s="17">
        <v>2.3936170212765957E-2</v>
      </c>
      <c r="H10" s="17">
        <v>1.7699115044247787E-2</v>
      </c>
      <c r="I10" s="9">
        <v>0.13048016953116148</v>
      </c>
      <c r="J10" s="9">
        <f t="shared" si="1"/>
        <v>0.13048016953116148</v>
      </c>
      <c r="K10" s="9">
        <f t="shared" si="0"/>
        <v>0.19008264462809918</v>
      </c>
      <c r="L10" s="9">
        <f t="shared" si="0"/>
        <v>0.234375</v>
      </c>
      <c r="M10" s="9">
        <f t="shared" si="0"/>
        <v>0.11320754716981131</v>
      </c>
      <c r="N10" s="9">
        <f t="shared" si="0"/>
        <v>0.1212121212121212</v>
      </c>
      <c r="O10" s="9">
        <f t="shared" si="0"/>
        <v>0.16223404255319149</v>
      </c>
      <c r="P10" s="9">
        <f t="shared" si="0"/>
        <v>0.1415929203539823</v>
      </c>
    </row>
    <row r="11" spans="1:16" x14ac:dyDescent="0.3">
      <c r="A11" s="9" t="s">
        <v>27</v>
      </c>
      <c r="B11" s="17">
        <v>2.6724302118416261E-2</v>
      </c>
      <c r="C11" s="17">
        <v>3.3057851239669422E-2</v>
      </c>
      <c r="D11" s="17">
        <v>4.6875E-2</v>
      </c>
      <c r="E11" s="17">
        <v>1.8867924528301886E-2</v>
      </c>
      <c r="F11" s="17">
        <v>3.787878787878788E-3</v>
      </c>
      <c r="G11" s="17">
        <v>5.5851063829787231E-2</v>
      </c>
      <c r="H11" s="17">
        <v>3.9823008849557522E-2</v>
      </c>
      <c r="I11" s="9">
        <v>0.15720447164957774</v>
      </c>
      <c r="J11" s="9">
        <f t="shared" si="1"/>
        <v>0.15720447164957774</v>
      </c>
      <c r="K11" s="9">
        <f t="shared" si="0"/>
        <v>0.2231404958677686</v>
      </c>
      <c r="L11" s="9">
        <f t="shared" si="0"/>
        <v>0.28125</v>
      </c>
      <c r="M11" s="9">
        <f t="shared" si="0"/>
        <v>0.13207547169811321</v>
      </c>
      <c r="N11" s="9">
        <f t="shared" si="0"/>
        <v>0.12499999999999999</v>
      </c>
      <c r="O11" s="9">
        <f t="shared" si="0"/>
        <v>0.21808510638297873</v>
      </c>
      <c r="P11" s="9">
        <f t="shared" si="0"/>
        <v>0.18141592920353983</v>
      </c>
    </row>
    <row r="12" spans="1:16" x14ac:dyDescent="0.3">
      <c r="A12" s="9" t="s">
        <v>28</v>
      </c>
      <c r="B12" s="17">
        <v>4.5627798095908542E-2</v>
      </c>
      <c r="C12" s="17">
        <v>0.12396694214876033</v>
      </c>
      <c r="D12" s="17">
        <v>7.8125E-2</v>
      </c>
      <c r="E12" s="17">
        <v>0.15094339622641509</v>
      </c>
      <c r="F12" s="17">
        <v>5.6818181818181816E-2</v>
      </c>
      <c r="G12" s="17">
        <v>3.9893617021276598E-2</v>
      </c>
      <c r="H12" s="17">
        <v>4.8672566371681415E-2</v>
      </c>
      <c r="I12" s="9">
        <v>0.20283226974548629</v>
      </c>
      <c r="J12" s="9">
        <f t="shared" si="1"/>
        <v>0.20283226974548629</v>
      </c>
      <c r="K12" s="9">
        <f t="shared" si="0"/>
        <v>0.34710743801652894</v>
      </c>
      <c r="L12" s="9">
        <f t="shared" si="0"/>
        <v>0.359375</v>
      </c>
      <c r="M12" s="9">
        <f t="shared" si="0"/>
        <v>0.28301886792452829</v>
      </c>
      <c r="N12" s="9">
        <f t="shared" si="0"/>
        <v>0.1818181818181818</v>
      </c>
      <c r="O12" s="9">
        <f t="shared" si="0"/>
        <v>0.25797872340425532</v>
      </c>
      <c r="P12" s="9">
        <f t="shared" si="0"/>
        <v>0.23008849557522124</v>
      </c>
    </row>
    <row r="13" spans="1:16" x14ac:dyDescent="0.3">
      <c r="A13" s="9" t="s">
        <v>23</v>
      </c>
      <c r="B13" s="17">
        <v>6.5760828947590472E-2</v>
      </c>
      <c r="C13" s="17">
        <v>7.43801652892562E-2</v>
      </c>
      <c r="D13" s="17">
        <v>4.6875E-2</v>
      </c>
      <c r="E13" s="17">
        <v>7.5471698113207544E-2</v>
      </c>
      <c r="F13" s="17">
        <v>3.0303030303030304E-2</v>
      </c>
      <c r="G13" s="17">
        <v>0.27127659574468083</v>
      </c>
      <c r="H13" s="17">
        <v>0.39380530973451328</v>
      </c>
      <c r="I13" s="9">
        <v>0.26859309869307679</v>
      </c>
      <c r="J13" s="9">
        <f t="shared" si="1"/>
        <v>0.26859309869307679</v>
      </c>
      <c r="K13" s="9">
        <f t="shared" si="0"/>
        <v>0.42148760330578516</v>
      </c>
      <c r="L13" s="9">
        <f t="shared" si="0"/>
        <v>0.40625</v>
      </c>
      <c r="M13" s="9">
        <f t="shared" si="0"/>
        <v>0.35849056603773582</v>
      </c>
      <c r="N13" s="9">
        <f t="shared" si="0"/>
        <v>0.2121212121212121</v>
      </c>
      <c r="O13" s="9">
        <f t="shared" si="0"/>
        <v>0.5292553191489362</v>
      </c>
      <c r="P13" s="9">
        <f t="shared" si="0"/>
        <v>0.62389380530973448</v>
      </c>
    </row>
    <row r="14" spans="1:16" x14ac:dyDescent="0.3">
      <c r="A14" s="9" t="s">
        <v>33</v>
      </c>
      <c r="B14" s="17">
        <v>8.6906417930958005E-2</v>
      </c>
      <c r="C14" s="17">
        <v>9.5041322314049589E-2</v>
      </c>
      <c r="D14" s="17">
        <v>0.140625</v>
      </c>
      <c r="E14" s="17">
        <v>9.4339622641509441E-2</v>
      </c>
      <c r="F14" s="17">
        <v>2.2727272727272728E-2</v>
      </c>
      <c r="G14" s="17">
        <v>0.125</v>
      </c>
      <c r="H14" s="17">
        <v>9.7345132743362831E-2</v>
      </c>
      <c r="I14" s="9">
        <v>0.35549951662403478</v>
      </c>
      <c r="J14" s="9">
        <f t="shared" si="1"/>
        <v>0.35549951662403478</v>
      </c>
      <c r="K14" s="9">
        <f t="shared" si="0"/>
        <v>0.51652892561983477</v>
      </c>
      <c r="L14" s="9">
        <f t="shared" si="0"/>
        <v>0.546875</v>
      </c>
      <c r="M14" s="9">
        <f t="shared" si="0"/>
        <v>0.45283018867924529</v>
      </c>
      <c r="N14" s="9">
        <f t="shared" si="0"/>
        <v>0.23484848484848483</v>
      </c>
      <c r="O14" s="9">
        <f t="shared" si="0"/>
        <v>0.6542553191489362</v>
      </c>
      <c r="P14" s="9">
        <f t="shared" si="0"/>
        <v>0.72123893805309736</v>
      </c>
    </row>
    <row r="15" spans="1:16" x14ac:dyDescent="0.3">
      <c r="A15" s="9" t="s">
        <v>21</v>
      </c>
      <c r="B15" s="17">
        <v>0.64450048337596522</v>
      </c>
      <c r="C15" s="17">
        <v>0.48347107438016529</v>
      </c>
      <c r="D15" s="17">
        <v>0.453125</v>
      </c>
      <c r="E15" s="17">
        <v>0.54716981132075471</v>
      </c>
      <c r="F15" s="17">
        <v>0.76515151515151514</v>
      </c>
      <c r="G15" s="17">
        <v>0.34574468085106386</v>
      </c>
      <c r="H15" s="17">
        <v>0.27876106194690264</v>
      </c>
      <c r="I15" s="9">
        <v>1</v>
      </c>
      <c r="J15" s="9">
        <f t="shared" ref="J15" si="2">J14+B15</f>
        <v>1</v>
      </c>
      <c r="K15" s="9">
        <f t="shared" ref="K15" si="3">K14+C15</f>
        <v>1</v>
      </c>
      <c r="L15" s="9">
        <f t="shared" ref="L15" si="4">L14+D15</f>
        <v>1</v>
      </c>
      <c r="M15" s="9">
        <f t="shared" ref="M15" si="5">M14+E15</f>
        <v>1</v>
      </c>
      <c r="N15" s="9">
        <f t="shared" ref="N15" si="6">N14+F15</f>
        <v>1</v>
      </c>
      <c r="O15" s="9">
        <f t="shared" ref="O15" si="7">O14+G15</f>
        <v>1</v>
      </c>
      <c r="P15" s="9">
        <f t="shared" ref="P15" si="8">P14+H15</f>
        <v>1</v>
      </c>
    </row>
    <row r="17" spans="2:16" ht="28.8" x14ac:dyDescent="0.3">
      <c r="B17" s="11" t="s">
        <v>35</v>
      </c>
      <c r="C17" s="12" t="s">
        <v>43</v>
      </c>
      <c r="D17" s="12" t="s">
        <v>44</v>
      </c>
      <c r="E17" s="12" t="s">
        <v>45</v>
      </c>
      <c r="F17" s="12" t="s">
        <v>46</v>
      </c>
      <c r="G17" s="12" t="s">
        <v>47</v>
      </c>
      <c r="H17" s="12" t="s">
        <v>48</v>
      </c>
      <c r="J17" s="8"/>
      <c r="K17" s="13" t="s">
        <v>49</v>
      </c>
      <c r="L17" s="13" t="s">
        <v>50</v>
      </c>
      <c r="M17" s="13" t="s">
        <v>51</v>
      </c>
      <c r="N17" s="13" t="s">
        <v>52</v>
      </c>
      <c r="O17" s="13" t="s">
        <v>53</v>
      </c>
      <c r="P17" s="13" t="s">
        <v>54</v>
      </c>
    </row>
    <row r="18" spans="2:16" x14ac:dyDescent="0.3">
      <c r="B18" s="9" t="s">
        <v>25</v>
      </c>
      <c r="C18" s="9">
        <f>C2-B2</f>
        <v>1.1056319889947165E-2</v>
      </c>
      <c r="D18" s="9">
        <f>D2-B2</f>
        <v>3.7270162865153778E-2</v>
      </c>
      <c r="E18" s="9">
        <f>E2-B2</f>
        <v>-9.6048371348462242E-3</v>
      </c>
      <c r="F18" s="9">
        <f>F2-B2</f>
        <v>-9.6048371348462242E-3</v>
      </c>
      <c r="G18" s="9">
        <f>G2-B2</f>
        <v>-9.6048371348462242E-3</v>
      </c>
      <c r="H18" s="9">
        <f>H2-B2</f>
        <v>-9.6048371348462242E-3</v>
      </c>
      <c r="J18" s="9" t="s">
        <v>25</v>
      </c>
      <c r="K18" s="8">
        <f>(J2-0) * (K2+0)</f>
        <v>1.9844704824062447E-4</v>
      </c>
      <c r="L18" s="8">
        <f>(J2-0) * (L2+0)</f>
        <v>4.5022674069591679E-4</v>
      </c>
      <c r="M18" s="8">
        <f>(J2-0) * (M2+0)</f>
        <v>0</v>
      </c>
      <c r="N18" s="8">
        <f>(J2-0) * (N2+0)</f>
        <v>0</v>
      </c>
      <c r="O18" s="8">
        <f>(J2-0) * (O2+0)</f>
        <v>0</v>
      </c>
      <c r="P18" s="8">
        <f>(J2-0) * (P2+0)</f>
        <v>0</v>
      </c>
    </row>
    <row r="19" spans="2:16" x14ac:dyDescent="0.3">
      <c r="B19" s="9" t="s">
        <v>29</v>
      </c>
      <c r="C19" s="9">
        <f t="shared" ref="C19:C31" si="9">C3-B3</f>
        <v>2.2493494732416373E-2</v>
      </c>
      <c r="D19" s="9">
        <f t="shared" ref="D19:D31" si="10">D3-B3</f>
        <v>5.0606434927469492E-3</v>
      </c>
      <c r="E19" s="9">
        <f t="shared" ref="E19:E31" si="11">E3-B3</f>
        <v>-1.0564356507253051E-2</v>
      </c>
      <c r="F19" s="9">
        <f t="shared" ref="F19:F31" si="12">F3-B3</f>
        <v>-6.7764777193742628E-3</v>
      </c>
      <c r="G19" s="9">
        <f t="shared" ref="G19:G31" si="13">G3-B3</f>
        <v>5.3930903012575863E-3</v>
      </c>
      <c r="H19" s="9">
        <f t="shared" ref="H19:H31" si="14">H3-B3</f>
        <v>-1.7147989851291571E-3</v>
      </c>
      <c r="J19" s="9" t="s">
        <v>29</v>
      </c>
      <c r="K19" s="8">
        <f>(J3-J2) * (K3+K2)</f>
        <v>7.8577858318411124E-4</v>
      </c>
      <c r="L19" s="8">
        <f>(J3-J2) * (L3+L2)</f>
        <v>1.1554764929808023E-3</v>
      </c>
      <c r="M19" s="8">
        <f>(J3-J2) * (M3+M2)</f>
        <v>0</v>
      </c>
      <c r="N19" s="8">
        <f>(J3-J2) * (N3+N2)</f>
        <v>4.0016501921413074E-5</v>
      </c>
      <c r="O19" s="8">
        <f>(J3-J2) * (O3+O2)</f>
        <v>1.6858015703063376E-4</v>
      </c>
      <c r="P19" s="8">
        <f>(J3-J2) * (P3+P2)</f>
        <v>9.3489880595159738E-5</v>
      </c>
    </row>
    <row r="20" spans="2:16" x14ac:dyDescent="0.3">
      <c r="B20" s="9" t="s">
        <v>24</v>
      </c>
      <c r="C20" s="9">
        <f t="shared" si="9"/>
        <v>1.3373179215955239E-2</v>
      </c>
      <c r="D20" s="9">
        <f t="shared" si="10"/>
        <v>4.2047907862031719E-3</v>
      </c>
      <c r="E20" s="9">
        <f t="shared" si="11"/>
        <v>4.5183564371108834E-2</v>
      </c>
      <c r="F20" s="9">
        <f t="shared" si="12"/>
        <v>3.7313059377183239E-3</v>
      </c>
      <c r="G20" s="9">
        <f t="shared" si="13"/>
        <v>-6.1010602776266154E-3</v>
      </c>
      <c r="H20" s="9">
        <f t="shared" si="14"/>
        <v>6.2789058304509593E-3</v>
      </c>
      <c r="J20" s="9" t="s">
        <v>24</v>
      </c>
      <c r="K20" s="8">
        <f t="shared" ref="K20:K31" si="15">(J4-J3) * (K4+K3)</f>
        <v>1.5101103092623909E-3</v>
      </c>
      <c r="L20" s="8">
        <f t="shared" ref="L20:L31" si="16">(J4-J3) * (L4+L3)</f>
        <v>1.6059669206901794E-3</v>
      </c>
      <c r="M20" s="8">
        <f t="shared" ref="M20:M31" si="17">(J4-J3) * (M4+M3)</f>
        <v>6.464269366300093E-4</v>
      </c>
      <c r="N20" s="8">
        <f t="shared" ref="N20:N31" si="18">(J4-J3) * (N4+N3)</f>
        <v>2.5955020940447346E-4</v>
      </c>
      <c r="O20" s="8">
        <f t="shared" ref="O20:O31" si="19">(J4-J3) * (O4+O3)</f>
        <v>4.2522055583286072E-4</v>
      </c>
      <c r="P20" s="8">
        <f t="shared" ref="P20:P31" si="20">(J4-J3) * (P4+P3)</f>
        <v>4.0425519340873739E-4</v>
      </c>
    </row>
    <row r="21" spans="2:16" x14ac:dyDescent="0.3">
      <c r="B21" s="9" t="s">
        <v>26</v>
      </c>
      <c r="C21" s="9">
        <f t="shared" si="9"/>
        <v>-1.2114534789809808E-2</v>
      </c>
      <c r="D21" s="9">
        <f t="shared" si="10"/>
        <v>-1.2114534789809808E-2</v>
      </c>
      <c r="E21" s="9">
        <f t="shared" si="11"/>
        <v>-1.2114534789809808E-2</v>
      </c>
      <c r="F21" s="9">
        <f t="shared" si="12"/>
        <v>3.0369803617053444E-3</v>
      </c>
      <c r="G21" s="9">
        <f t="shared" si="13"/>
        <v>1.1833375506157245E-3</v>
      </c>
      <c r="H21" s="9">
        <f t="shared" si="14"/>
        <v>-1.2114534789809808E-2</v>
      </c>
      <c r="J21" s="9" t="s">
        <v>26</v>
      </c>
      <c r="K21" s="8">
        <f t="shared" si="15"/>
        <v>1.9022823223668298E-3</v>
      </c>
      <c r="L21" s="8">
        <f t="shared" si="16"/>
        <v>1.892896060907783E-3</v>
      </c>
      <c r="M21" s="8">
        <f t="shared" si="17"/>
        <v>1.3714567686577146E-3</v>
      </c>
      <c r="N21" s="8">
        <f t="shared" si="18"/>
        <v>6.4243745097476268E-4</v>
      </c>
      <c r="O21" s="8">
        <f t="shared" si="19"/>
        <v>6.7660965581384583E-4</v>
      </c>
      <c r="P21" s="8">
        <f t="shared" si="20"/>
        <v>6.4324963485715809E-4</v>
      </c>
    </row>
    <row r="22" spans="2:16" x14ac:dyDescent="0.3">
      <c r="B22" s="9" t="s">
        <v>30</v>
      </c>
      <c r="C22" s="9">
        <f t="shared" si="9"/>
        <v>3.2957551797817685E-3</v>
      </c>
      <c r="D22" s="9">
        <f t="shared" si="10"/>
        <v>1.8016829559947059E-2</v>
      </c>
      <c r="E22" s="9">
        <f t="shared" si="11"/>
        <v>5.6347540882489434E-3</v>
      </c>
      <c r="F22" s="9">
        <f t="shared" si="12"/>
        <v>1.9183447114622092E-3</v>
      </c>
      <c r="G22" s="9">
        <f t="shared" si="13"/>
        <v>2.7242763684576943E-3</v>
      </c>
      <c r="H22" s="9">
        <f t="shared" si="14"/>
        <v>4.1165843132897825E-5</v>
      </c>
      <c r="J22" s="9" t="s">
        <v>30</v>
      </c>
      <c r="K22" s="8">
        <f t="shared" si="15"/>
        <v>2.2966659441414194E-3</v>
      </c>
      <c r="L22" s="8">
        <f t="shared" si="16"/>
        <v>2.4812194575099264E-3</v>
      </c>
      <c r="M22" s="8">
        <f t="shared" si="17"/>
        <v>1.7477772279315205E-3</v>
      </c>
      <c r="N22" s="8">
        <f t="shared" si="18"/>
        <v>1.1027642033377451E-3</v>
      </c>
      <c r="O22" s="8">
        <f t="shared" si="19"/>
        <v>1.1262272714938676E-3</v>
      </c>
      <c r="P22" s="8">
        <f t="shared" si="20"/>
        <v>8.7830777256988539E-4</v>
      </c>
    </row>
    <row r="23" spans="2:16" x14ac:dyDescent="0.3">
      <c r="B23" s="9" t="s">
        <v>32</v>
      </c>
      <c r="C23" s="9">
        <f t="shared" si="9"/>
        <v>8.5490629742817209E-3</v>
      </c>
      <c r="D23" s="9">
        <f t="shared" si="10"/>
        <v>1.5005674544529654E-2</v>
      </c>
      <c r="E23" s="9">
        <f t="shared" si="11"/>
        <v>-1.6244325455470346E-2</v>
      </c>
      <c r="F23" s="9">
        <f t="shared" si="12"/>
        <v>6.482947271802382E-3</v>
      </c>
      <c r="G23" s="9">
        <f t="shared" si="13"/>
        <v>2.0989717097721142E-2</v>
      </c>
      <c r="H23" s="9">
        <f t="shared" si="14"/>
        <v>1.4729125871963282E-2</v>
      </c>
      <c r="J23" s="9" t="s">
        <v>32</v>
      </c>
      <c r="K23" s="8">
        <f t="shared" si="15"/>
        <v>3.4905162135721404E-3</v>
      </c>
      <c r="L23" s="8">
        <f t="shared" si="16"/>
        <v>4.0610813638675865E-3</v>
      </c>
      <c r="M23" s="8">
        <f t="shared" si="17"/>
        <v>2.4519736536559012E-3</v>
      </c>
      <c r="N23" s="8">
        <f t="shared" si="18"/>
        <v>1.9690091461176174E-3</v>
      </c>
      <c r="O23" s="8">
        <f t="shared" si="19"/>
        <v>2.2465556480969627E-3</v>
      </c>
      <c r="P23" s="8">
        <f t="shared" si="20"/>
        <v>1.7969386565785783E-3</v>
      </c>
    </row>
    <row r="24" spans="2:16" x14ac:dyDescent="0.3">
      <c r="B24" s="9" t="s">
        <v>31</v>
      </c>
      <c r="C24" s="9">
        <f t="shared" si="9"/>
        <v>7.6666908880985603E-3</v>
      </c>
      <c r="D24" s="9">
        <f t="shared" si="10"/>
        <v>1.4123302458346493E-2</v>
      </c>
      <c r="E24" s="9">
        <f t="shared" si="11"/>
        <v>1.7412269866483795E-3</v>
      </c>
      <c r="F24" s="9">
        <f t="shared" si="12"/>
        <v>-1.9751823901383546E-3</v>
      </c>
      <c r="G24" s="9">
        <f t="shared" si="13"/>
        <v>2.5426493947708195E-2</v>
      </c>
      <c r="H24" s="9">
        <f t="shared" si="14"/>
        <v>2.7121090068965962E-2</v>
      </c>
      <c r="J24" s="9" t="s">
        <v>31</v>
      </c>
      <c r="K24" s="8">
        <f t="shared" si="15"/>
        <v>4.5293745564703499E-3</v>
      </c>
      <c r="L24" s="8">
        <f t="shared" si="16"/>
        <v>5.3520929817667219E-3</v>
      </c>
      <c r="M24" s="8">
        <f t="shared" si="17"/>
        <v>2.9083071297147469E-3</v>
      </c>
      <c r="N24" s="8">
        <f t="shared" si="18"/>
        <v>2.7247018816266943E-3</v>
      </c>
      <c r="O24" s="8">
        <f t="shared" si="19"/>
        <v>3.7350776553606059E-3</v>
      </c>
      <c r="P24" s="8">
        <f t="shared" si="20"/>
        <v>3.1828375962364933E-3</v>
      </c>
    </row>
    <row r="25" spans="2:16" x14ac:dyDescent="0.3">
      <c r="B25" s="9" t="s">
        <v>34</v>
      </c>
      <c r="C25" s="9">
        <f t="shared" si="9"/>
        <v>1.9366648674267121E-2</v>
      </c>
      <c r="D25" s="9">
        <f t="shared" si="10"/>
        <v>2.9051566029639021E-2</v>
      </c>
      <c r="E25" s="9">
        <f t="shared" si="11"/>
        <v>-1.7823433970360979E-2</v>
      </c>
      <c r="F25" s="9">
        <f t="shared" si="12"/>
        <v>-2.6719188188458268E-3</v>
      </c>
      <c r="G25" s="9">
        <f t="shared" si="13"/>
        <v>-9.8447105661056602E-3</v>
      </c>
      <c r="H25" s="9">
        <f t="shared" si="14"/>
        <v>-8.973876448237085E-3</v>
      </c>
      <c r="J25" s="9" t="s">
        <v>34</v>
      </c>
      <c r="K25" s="8">
        <f t="shared" si="15"/>
        <v>5.818393734126107E-3</v>
      </c>
      <c r="L25" s="8">
        <f t="shared" si="16"/>
        <v>6.9622788946722605E-3</v>
      </c>
      <c r="M25" s="8">
        <f t="shared" si="17"/>
        <v>3.3629120698794308E-3</v>
      </c>
      <c r="N25" s="8">
        <f t="shared" si="18"/>
        <v>3.3756503731744289E-3</v>
      </c>
      <c r="O25" s="8">
        <f t="shared" si="19"/>
        <v>4.7876777420384565E-3</v>
      </c>
      <c r="P25" s="8">
        <f t="shared" si="20"/>
        <v>4.2586966123871377E-3</v>
      </c>
    </row>
    <row r="26" spans="2:16" x14ac:dyDescent="0.3">
      <c r="B26" s="9" t="s">
        <v>22</v>
      </c>
      <c r="C26" s="9">
        <f t="shared" si="9"/>
        <v>-1.4084141668000438E-2</v>
      </c>
      <c r="D26" s="9">
        <f t="shared" si="10"/>
        <v>-6.7236044779177932E-3</v>
      </c>
      <c r="E26" s="9">
        <f t="shared" si="11"/>
        <v>-3.4806799496159072E-3</v>
      </c>
      <c r="F26" s="9">
        <f t="shared" si="12"/>
        <v>-3.4092105385238533E-3</v>
      </c>
      <c r="G26" s="9">
        <f t="shared" si="13"/>
        <v>1.5875657348481641E-3</v>
      </c>
      <c r="H26" s="9">
        <f t="shared" si="14"/>
        <v>-4.6494894336700059E-3</v>
      </c>
      <c r="J26" s="9" t="s">
        <v>22</v>
      </c>
      <c r="K26" s="8">
        <f t="shared" si="15"/>
        <v>8.3114644752586789E-3</v>
      </c>
      <c r="L26" s="8">
        <f t="shared" si="16"/>
        <v>1.0126711404056495E-2</v>
      </c>
      <c r="M26" s="8">
        <f t="shared" si="17"/>
        <v>4.6383896086244448E-3</v>
      </c>
      <c r="N26" s="8">
        <f t="shared" si="18"/>
        <v>4.9945744855952609E-3</v>
      </c>
      <c r="O26" s="8">
        <f t="shared" si="19"/>
        <v>6.7164688989486956E-3</v>
      </c>
      <c r="P26" s="8">
        <f t="shared" si="20"/>
        <v>5.9332578259958706E-3</v>
      </c>
    </row>
    <row r="27" spans="2:16" x14ac:dyDescent="0.3">
      <c r="B27" s="9" t="s">
        <v>27</v>
      </c>
      <c r="C27" s="9">
        <f t="shared" si="9"/>
        <v>6.3335491212531611E-3</v>
      </c>
      <c r="D27" s="9">
        <f t="shared" si="10"/>
        <v>2.0150697881583739E-2</v>
      </c>
      <c r="E27" s="9">
        <f t="shared" si="11"/>
        <v>-7.8563775901143752E-3</v>
      </c>
      <c r="F27" s="9">
        <f t="shared" si="12"/>
        <v>-2.2936423330537473E-2</v>
      </c>
      <c r="G27" s="9">
        <f t="shared" si="13"/>
        <v>2.912676171137097E-2</v>
      </c>
      <c r="H27" s="9">
        <f t="shared" si="14"/>
        <v>1.309870673114126E-2</v>
      </c>
      <c r="J27" s="9" t="s">
        <v>27</v>
      </c>
      <c r="K27" s="8">
        <f t="shared" si="15"/>
        <v>1.1043100048932337E-2</v>
      </c>
      <c r="L27" s="8">
        <f t="shared" si="16"/>
        <v>1.3779718279808381E-2</v>
      </c>
      <c r="M27" s="8">
        <f t="shared" si="17"/>
        <v>6.5550175007436096E-3</v>
      </c>
      <c r="N27" s="8">
        <f t="shared" si="18"/>
        <v>6.5798471124888496E-3</v>
      </c>
      <c r="O27" s="8">
        <f t="shared" si="19"/>
        <v>1.0163763837589162E-2</v>
      </c>
      <c r="P27" s="8">
        <f t="shared" si="20"/>
        <v>8.6321860824972851E-3</v>
      </c>
    </row>
    <row r="28" spans="2:16" x14ac:dyDescent="0.3">
      <c r="B28" s="9" t="s">
        <v>28</v>
      </c>
      <c r="C28" s="9">
        <f t="shared" si="9"/>
        <v>7.8339144052851792E-2</v>
      </c>
      <c r="D28" s="9">
        <f t="shared" si="10"/>
        <v>3.2497201904091458E-2</v>
      </c>
      <c r="E28" s="9">
        <f t="shared" si="11"/>
        <v>0.10531559813050655</v>
      </c>
      <c r="F28" s="9">
        <f t="shared" si="12"/>
        <v>1.1190383722273274E-2</v>
      </c>
      <c r="G28" s="9">
        <f t="shared" si="13"/>
        <v>-5.7341810746319444E-3</v>
      </c>
      <c r="H28" s="9">
        <f t="shared" si="14"/>
        <v>3.0447682757728731E-3</v>
      </c>
      <c r="J28" s="9" t="s">
        <v>28</v>
      </c>
      <c r="K28" s="8">
        <f t="shared" si="15"/>
        <v>2.6019157591881739E-2</v>
      </c>
      <c r="L28" s="8">
        <f t="shared" si="16"/>
        <v>2.9230308155191419E-2</v>
      </c>
      <c r="M28" s="8">
        <f t="shared" si="17"/>
        <v>1.8939840719056383E-2</v>
      </c>
      <c r="N28" s="8">
        <f t="shared" si="18"/>
        <v>1.399943805215376E-2</v>
      </c>
      <c r="O28" s="8">
        <f t="shared" si="19"/>
        <v>2.1721744306296892E-2</v>
      </c>
      <c r="P28" s="8">
        <f t="shared" si="20"/>
        <v>1.8776040809378298E-2</v>
      </c>
    </row>
    <row r="29" spans="2:16" x14ac:dyDescent="0.3">
      <c r="B29" s="9" t="s">
        <v>23</v>
      </c>
      <c r="C29" s="9">
        <f t="shared" si="9"/>
        <v>8.6193363416657287E-3</v>
      </c>
      <c r="D29" s="9">
        <f t="shared" si="10"/>
        <v>-1.8885828947590472E-2</v>
      </c>
      <c r="E29" s="9">
        <f t="shared" si="11"/>
        <v>9.7108691656170726E-3</v>
      </c>
      <c r="F29" s="9">
        <f t="shared" si="12"/>
        <v>-3.5457798644560168E-2</v>
      </c>
      <c r="G29" s="9">
        <f t="shared" si="13"/>
        <v>0.20551576679709035</v>
      </c>
      <c r="H29" s="9">
        <f t="shared" si="14"/>
        <v>0.32804448078692283</v>
      </c>
      <c r="J29" s="9" t="s">
        <v>23</v>
      </c>
      <c r="K29" s="8">
        <f t="shared" si="15"/>
        <v>5.0543447042362952E-2</v>
      </c>
      <c r="L29" s="8">
        <f t="shared" si="16"/>
        <v>5.0348134662998978E-2</v>
      </c>
      <c r="M29" s="8">
        <f t="shared" si="17"/>
        <v>4.2186192155058054E-2</v>
      </c>
      <c r="N29" s="8">
        <f t="shared" si="18"/>
        <v>2.5905781100565954E-2</v>
      </c>
      <c r="O29" s="8">
        <f t="shared" si="19"/>
        <v>5.176916321406061E-2</v>
      </c>
      <c r="P29" s="8">
        <f t="shared" si="20"/>
        <v>5.6158584012765335E-2</v>
      </c>
    </row>
    <row r="30" spans="2:16" x14ac:dyDescent="0.3">
      <c r="B30" s="9" t="s">
        <v>33</v>
      </c>
      <c r="C30" s="9">
        <f t="shared" si="9"/>
        <v>8.1349043830915846E-3</v>
      </c>
      <c r="D30" s="9">
        <f t="shared" si="10"/>
        <v>5.3718582069041995E-2</v>
      </c>
      <c r="E30" s="9">
        <f t="shared" si="11"/>
        <v>7.4332047105514359E-3</v>
      </c>
      <c r="F30" s="9">
        <f t="shared" si="12"/>
        <v>-6.4179145203685284E-2</v>
      </c>
      <c r="G30" s="9">
        <f t="shared" si="13"/>
        <v>3.8093582069041995E-2</v>
      </c>
      <c r="H30" s="9">
        <f t="shared" si="14"/>
        <v>1.0438714812404826E-2</v>
      </c>
      <c r="J30" s="9" t="s">
        <v>33</v>
      </c>
      <c r="K30" s="8">
        <f t="shared" si="15"/>
        <v>8.1519656488956468E-2</v>
      </c>
      <c r="L30" s="8">
        <f t="shared" si="16"/>
        <v>8.2832679590444339E-2</v>
      </c>
      <c r="M30" s="8">
        <f t="shared" si="17"/>
        <v>7.0508980585494221E-2</v>
      </c>
      <c r="N30" s="8">
        <f t="shared" si="18"/>
        <v>3.8844535287322124E-2</v>
      </c>
      <c r="O30" s="8">
        <f t="shared" si="19"/>
        <v>0.10285467015764975</v>
      </c>
      <c r="P30" s="8">
        <f t="shared" si="20"/>
        <v>0.11690066836730631</v>
      </c>
    </row>
    <row r="31" spans="2:16" x14ac:dyDescent="0.3">
      <c r="B31" s="9" t="s">
        <v>21</v>
      </c>
      <c r="C31" s="9">
        <f t="shared" si="9"/>
        <v>-0.16102940899579993</v>
      </c>
      <c r="D31" s="9">
        <f t="shared" si="10"/>
        <v>-0.19137548337596522</v>
      </c>
      <c r="E31" s="9">
        <f t="shared" si="11"/>
        <v>-9.733067205521051E-2</v>
      </c>
      <c r="F31" s="9">
        <f t="shared" si="12"/>
        <v>0.12065103177554992</v>
      </c>
      <c r="G31" s="9">
        <f t="shared" si="13"/>
        <v>-0.29875580252490136</v>
      </c>
      <c r="H31" s="9">
        <f t="shared" si="14"/>
        <v>-0.36573942142906257</v>
      </c>
      <c r="J31" s="9" t="s">
        <v>21</v>
      </c>
      <c r="K31" s="8">
        <f t="shared" si="15"/>
        <v>0.97740362561561667</v>
      </c>
      <c r="L31" s="8">
        <f t="shared" si="16"/>
        <v>0.99696168522219619</v>
      </c>
      <c r="M31" s="8">
        <f t="shared" si="17"/>
        <v>0.93634975886696825</v>
      </c>
      <c r="N31" s="8">
        <f t="shared" si="18"/>
        <v>0.79586044538092671</v>
      </c>
      <c r="O31" s="8">
        <f t="shared" si="19"/>
        <v>1.0661683528187509</v>
      </c>
      <c r="P31" s="8">
        <f t="shared" si="20"/>
        <v>1.1093393275807544</v>
      </c>
    </row>
    <row r="32" spans="2:16" x14ac:dyDescent="0.3">
      <c r="J32" s="13" t="s">
        <v>55</v>
      </c>
      <c r="K32" s="13">
        <f>SUM(K18:K31)</f>
        <v>1.1753720199743729</v>
      </c>
      <c r="L32" s="13">
        <f t="shared" ref="L32:P32" si="21">SUM(L18:L31)</f>
        <v>1.2072404762277871</v>
      </c>
      <c r="M32" s="13">
        <f t="shared" si="21"/>
        <v>1.0916670332224143</v>
      </c>
      <c r="N32" s="13">
        <f t="shared" si="21"/>
        <v>0.89629875118560975</v>
      </c>
      <c r="O32" s="13">
        <f t="shared" si="21"/>
        <v>1.2725601119189633</v>
      </c>
      <c r="P32" s="13">
        <f t="shared" si="21"/>
        <v>1.3269978400253306</v>
      </c>
    </row>
    <row r="33" spans="10:16" x14ac:dyDescent="0.3">
      <c r="J33" s="14" t="s">
        <v>56</v>
      </c>
      <c r="K33" s="14">
        <f>1-K32</f>
        <v>-0.17537201997437291</v>
      </c>
      <c r="L33" s="14">
        <f t="shared" ref="L33:P33" si="22">1-L32</f>
        <v>-0.20724047622778707</v>
      </c>
      <c r="M33" s="14">
        <f t="shared" si="22"/>
        <v>-9.1667033222414318E-2</v>
      </c>
      <c r="N33" s="14">
        <f t="shared" si="22"/>
        <v>0.10370124881439025</v>
      </c>
      <c r="O33" s="14">
        <f t="shared" si="22"/>
        <v>-0.27256011191896334</v>
      </c>
      <c r="P33" s="14">
        <f t="shared" si="22"/>
        <v>-0.32699784002533061</v>
      </c>
    </row>
  </sheetData>
  <sortState xmlns:xlrd2="http://schemas.microsoft.com/office/spreadsheetml/2017/richdata2" ref="A2:P16">
    <sortCondition ref="B1:B16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CARATINGA</vt:lpstr>
      <vt:lpstr>CORONEL FABRICIANO - TIMÓTEO</vt:lpstr>
      <vt:lpstr>IPATINGA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2025-04-26T00:29:35Z</dcterms:created>
  <dcterms:modified xsi:type="dcterms:W3CDTF">2025-11-26T01:33:29Z</dcterms:modified>
</cp:coreProperties>
</file>