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28" documentId="8_{87A9D9BB-5695-4612-8D86-3728B2025898}" xr6:coauthVersionLast="47" xr6:coauthVersionMax="47" xr10:uidLastSave="{8D1E22C7-7DDF-4524-933B-2D68F1057873}"/>
  <bookViews>
    <workbookView xWindow="-108" yWindow="-108" windowWidth="23256" windowHeight="12456" activeTab="3" xr2:uid="{1E5F6FC4-0BEA-4BCA-9BB4-1A6107782226}"/>
  </bookViews>
  <sheets>
    <sheet name="ARAÇUAÍ" sheetId="1" r:id="rId1"/>
    <sheet name="DIAMANTINA" sheetId="2" r:id="rId2"/>
    <sheet name="SERRO" sheetId="3" r:id="rId3"/>
    <sheet name="TURMALINA-MINAS NOVA-CAPELINH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4" l="1"/>
  <c r="O12" i="4"/>
  <c r="N12" i="4"/>
  <c r="M12" i="4"/>
  <c r="L12" i="4"/>
  <c r="K12" i="4"/>
  <c r="P9" i="3"/>
  <c r="O9" i="3"/>
  <c r="N9" i="3"/>
  <c r="M9" i="3"/>
  <c r="L9" i="3"/>
  <c r="K9" i="3"/>
  <c r="P16" i="2"/>
  <c r="O16" i="2"/>
  <c r="N16" i="2"/>
  <c r="M16" i="2"/>
  <c r="L16" i="2"/>
  <c r="K16" i="2"/>
  <c r="P10" i="1" l="1"/>
  <c r="O10" i="1"/>
  <c r="N10" i="1"/>
  <c r="M10" i="1"/>
  <c r="L10" i="1"/>
  <c r="K10" i="1"/>
  <c r="E13" i="4" l="1"/>
  <c r="F13" i="4"/>
  <c r="G13" i="4"/>
  <c r="H13" i="4"/>
  <c r="E14" i="4"/>
  <c r="F14" i="4"/>
  <c r="G14" i="4"/>
  <c r="H14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E19" i="4"/>
  <c r="F19" i="4"/>
  <c r="G19" i="4"/>
  <c r="H19" i="4"/>
  <c r="H12" i="4"/>
  <c r="G12" i="4"/>
  <c r="F12" i="4"/>
  <c r="E12" i="4"/>
  <c r="D13" i="4"/>
  <c r="D14" i="4"/>
  <c r="D15" i="4"/>
  <c r="D16" i="4"/>
  <c r="D17" i="4"/>
  <c r="D18" i="4"/>
  <c r="D19" i="4"/>
  <c r="D12" i="4"/>
  <c r="C13" i="4"/>
  <c r="C14" i="4"/>
  <c r="C15" i="4"/>
  <c r="C16" i="4"/>
  <c r="C17" i="4"/>
  <c r="C18" i="4"/>
  <c r="C19" i="4"/>
  <c r="C12" i="4"/>
  <c r="P3" i="4"/>
  <c r="P4" i="4" s="1"/>
  <c r="P5" i="4" s="1"/>
  <c r="P6" i="4" s="1"/>
  <c r="P7" i="4" s="1"/>
  <c r="P8" i="4" s="1"/>
  <c r="P9" i="4" s="1"/>
  <c r="O3" i="4"/>
  <c r="O4" i="4" s="1"/>
  <c r="O5" i="4" s="1"/>
  <c r="O6" i="4" s="1"/>
  <c r="O7" i="4" s="1"/>
  <c r="O8" i="4" s="1"/>
  <c r="O9" i="4" s="1"/>
  <c r="N3" i="4"/>
  <c r="N4" i="4" s="1"/>
  <c r="N5" i="4" s="1"/>
  <c r="N6" i="4" s="1"/>
  <c r="N7" i="4" s="1"/>
  <c r="N8" i="4" s="1"/>
  <c r="N9" i="4" s="1"/>
  <c r="M3" i="4"/>
  <c r="M4" i="4" s="1"/>
  <c r="M5" i="4" s="1"/>
  <c r="M6" i="4" s="1"/>
  <c r="M7" i="4" s="1"/>
  <c r="M8" i="4" s="1"/>
  <c r="M9" i="4" s="1"/>
  <c r="L3" i="4"/>
  <c r="L4" i="4" s="1"/>
  <c r="L5" i="4" s="1"/>
  <c r="L6" i="4" s="1"/>
  <c r="L7" i="4" s="1"/>
  <c r="L8" i="4" s="1"/>
  <c r="L9" i="4" s="1"/>
  <c r="K3" i="4"/>
  <c r="K4" i="4" s="1"/>
  <c r="K5" i="4" s="1"/>
  <c r="K6" i="4" s="1"/>
  <c r="K7" i="4" s="1"/>
  <c r="K8" i="4" s="1"/>
  <c r="K9" i="4" s="1"/>
  <c r="J3" i="4"/>
  <c r="C10" i="3"/>
  <c r="D10" i="3"/>
  <c r="E10" i="3"/>
  <c r="F10" i="3"/>
  <c r="G10" i="3"/>
  <c r="H10" i="3"/>
  <c r="C11" i="3"/>
  <c r="D11" i="3"/>
  <c r="E11" i="3"/>
  <c r="F11" i="3"/>
  <c r="G11" i="3"/>
  <c r="H11" i="3"/>
  <c r="C12" i="3"/>
  <c r="D12" i="3"/>
  <c r="E12" i="3"/>
  <c r="F12" i="3"/>
  <c r="G12" i="3"/>
  <c r="H12" i="3"/>
  <c r="C13" i="3"/>
  <c r="D13" i="3"/>
  <c r="E13" i="3"/>
  <c r="F13" i="3"/>
  <c r="G13" i="3"/>
  <c r="H13" i="3"/>
  <c r="H9" i="3"/>
  <c r="G9" i="3"/>
  <c r="F9" i="3"/>
  <c r="E9" i="3"/>
  <c r="D9" i="3"/>
  <c r="C9" i="3"/>
  <c r="P3" i="3"/>
  <c r="P4" i="3" s="1"/>
  <c r="P5" i="3" s="1"/>
  <c r="P6" i="3" s="1"/>
  <c r="O3" i="3"/>
  <c r="O4" i="3" s="1"/>
  <c r="O5" i="3" s="1"/>
  <c r="O6" i="3" s="1"/>
  <c r="N3" i="3"/>
  <c r="N4" i="3" s="1"/>
  <c r="N5" i="3" s="1"/>
  <c r="N6" i="3" s="1"/>
  <c r="M3" i="3"/>
  <c r="M4" i="3" s="1"/>
  <c r="M5" i="3" s="1"/>
  <c r="M6" i="3" s="1"/>
  <c r="L3" i="3"/>
  <c r="L4" i="3" s="1"/>
  <c r="L5" i="3" s="1"/>
  <c r="L6" i="3" s="1"/>
  <c r="K3" i="3"/>
  <c r="K4" i="3" s="1"/>
  <c r="K5" i="3" s="1"/>
  <c r="K6" i="3" s="1"/>
  <c r="J3" i="3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J3" i="2"/>
  <c r="H11" i="1"/>
  <c r="H12" i="1"/>
  <c r="H13" i="1"/>
  <c r="H14" i="1"/>
  <c r="H15" i="1"/>
  <c r="G11" i="1"/>
  <c r="G12" i="1"/>
  <c r="G13" i="1"/>
  <c r="G14" i="1"/>
  <c r="G15" i="1"/>
  <c r="F11" i="1"/>
  <c r="F12" i="1"/>
  <c r="F13" i="1"/>
  <c r="F14" i="1"/>
  <c r="F15" i="1"/>
  <c r="E11" i="1"/>
  <c r="E12" i="1"/>
  <c r="E13" i="1"/>
  <c r="E14" i="1"/>
  <c r="E15" i="1"/>
  <c r="D11" i="1"/>
  <c r="D12" i="1"/>
  <c r="D13" i="1"/>
  <c r="D14" i="1"/>
  <c r="D15" i="1"/>
  <c r="C11" i="1"/>
  <c r="C12" i="1"/>
  <c r="C13" i="1"/>
  <c r="C14" i="1"/>
  <c r="C15" i="1"/>
  <c r="H10" i="1"/>
  <c r="G10" i="1"/>
  <c r="F10" i="1"/>
  <c r="E10" i="1"/>
  <c r="D10" i="1"/>
  <c r="C10" i="1"/>
  <c r="L4" i="1"/>
  <c r="L5" i="1" s="1"/>
  <c r="L6" i="1" s="1"/>
  <c r="L7" i="1" s="1"/>
  <c r="P3" i="1"/>
  <c r="P4" i="1" s="1"/>
  <c r="P5" i="1" s="1"/>
  <c r="P6" i="1" s="1"/>
  <c r="P7" i="1" s="1"/>
  <c r="O3" i="1"/>
  <c r="O4" i="1" s="1"/>
  <c r="O5" i="1" s="1"/>
  <c r="O6" i="1" s="1"/>
  <c r="O7" i="1" s="1"/>
  <c r="N3" i="1"/>
  <c r="N4" i="1" s="1"/>
  <c r="N5" i="1" s="1"/>
  <c r="N6" i="1" s="1"/>
  <c r="N7" i="1" s="1"/>
  <c r="M3" i="1"/>
  <c r="M4" i="1" s="1"/>
  <c r="M5" i="1" s="1"/>
  <c r="M6" i="1" s="1"/>
  <c r="M7" i="1" s="1"/>
  <c r="L3" i="1"/>
  <c r="K3" i="1"/>
  <c r="K4" i="1" s="1"/>
  <c r="K5" i="1" s="1"/>
  <c r="K6" i="1" s="1"/>
  <c r="K7" i="1" s="1"/>
  <c r="J3" i="1"/>
  <c r="J4" i="3" l="1"/>
  <c r="P10" i="3"/>
  <c r="O10" i="3"/>
  <c r="N10" i="3"/>
  <c r="M10" i="3"/>
  <c r="L10" i="3"/>
  <c r="K10" i="3"/>
  <c r="J4" i="4"/>
  <c r="L13" i="4"/>
  <c r="K13" i="4"/>
  <c r="P13" i="4"/>
  <c r="N13" i="4"/>
  <c r="O13" i="4"/>
  <c r="M13" i="4"/>
  <c r="J4" i="2"/>
  <c r="L17" i="2"/>
  <c r="K17" i="2"/>
  <c r="P17" i="2"/>
  <c r="N17" i="2"/>
  <c r="M17" i="2"/>
  <c r="O17" i="2"/>
  <c r="J4" i="1"/>
  <c r="N11" i="1"/>
  <c r="L11" i="1"/>
  <c r="K11" i="1"/>
  <c r="P11" i="1"/>
  <c r="O11" i="1"/>
  <c r="M11" i="1"/>
  <c r="J5" i="3" l="1"/>
  <c r="M11" i="3"/>
  <c r="N11" i="3"/>
  <c r="O11" i="3"/>
  <c r="P11" i="3"/>
  <c r="K11" i="3"/>
  <c r="L11" i="3"/>
  <c r="J5" i="4"/>
  <c r="K14" i="4"/>
  <c r="O14" i="4"/>
  <c r="P14" i="4"/>
  <c r="L14" i="4"/>
  <c r="M14" i="4"/>
  <c r="N14" i="4"/>
  <c r="J5" i="2"/>
  <c r="N18" i="2"/>
  <c r="M18" i="2"/>
  <c r="L18" i="2"/>
  <c r="K18" i="2"/>
  <c r="P18" i="2"/>
  <c r="O18" i="2"/>
  <c r="J5" i="1"/>
  <c r="P12" i="1"/>
  <c r="L12" i="1"/>
  <c r="O12" i="1"/>
  <c r="N12" i="1"/>
  <c r="M12" i="1"/>
  <c r="K12" i="1"/>
  <c r="J6" i="3" l="1"/>
  <c r="O12" i="3"/>
  <c r="P12" i="3"/>
  <c r="K12" i="3"/>
  <c r="L12" i="3"/>
  <c r="M12" i="3"/>
  <c r="N12" i="3"/>
  <c r="J6" i="4"/>
  <c r="M15" i="4"/>
  <c r="L15" i="4"/>
  <c r="N15" i="4"/>
  <c r="O15" i="4"/>
  <c r="P15" i="4"/>
  <c r="K15" i="4"/>
  <c r="J6" i="2"/>
  <c r="P19" i="2"/>
  <c r="O19" i="2"/>
  <c r="N19" i="2"/>
  <c r="K19" i="2"/>
  <c r="M19" i="2"/>
  <c r="L19" i="2"/>
  <c r="J6" i="1"/>
  <c r="P13" i="1"/>
  <c r="O13" i="1"/>
  <c r="M13" i="1"/>
  <c r="N13" i="1"/>
  <c r="L13" i="1"/>
  <c r="K13" i="1"/>
  <c r="K13" i="3" l="1"/>
  <c r="K14" i="3" s="1"/>
  <c r="K15" i="3" s="1"/>
  <c r="L13" i="3"/>
  <c r="L14" i="3" s="1"/>
  <c r="L15" i="3" s="1"/>
  <c r="M13" i="3"/>
  <c r="M14" i="3" s="1"/>
  <c r="M15" i="3" s="1"/>
  <c r="N13" i="3"/>
  <c r="N14" i="3" s="1"/>
  <c r="N15" i="3" s="1"/>
  <c r="O13" i="3"/>
  <c r="O14" i="3" s="1"/>
  <c r="O15" i="3" s="1"/>
  <c r="P13" i="3"/>
  <c r="P14" i="3" s="1"/>
  <c r="P15" i="3" s="1"/>
  <c r="J7" i="4"/>
  <c r="O16" i="4"/>
  <c r="P16" i="4"/>
  <c r="K16" i="4"/>
  <c r="L16" i="4"/>
  <c r="M16" i="4"/>
  <c r="N16" i="4"/>
  <c r="J7" i="2"/>
  <c r="P20" i="2"/>
  <c r="O20" i="2"/>
  <c r="N20" i="2"/>
  <c r="L20" i="2"/>
  <c r="K20" i="2"/>
  <c r="M20" i="2"/>
  <c r="J7" i="1"/>
  <c r="L14" i="1"/>
  <c r="P14" i="1"/>
  <c r="O14" i="1"/>
  <c r="N14" i="1"/>
  <c r="M14" i="1"/>
  <c r="K14" i="1"/>
  <c r="J8" i="4" l="1"/>
  <c r="P17" i="4"/>
  <c r="K17" i="4"/>
  <c r="O17" i="4"/>
  <c r="L17" i="4"/>
  <c r="M17" i="4"/>
  <c r="N17" i="4"/>
  <c r="J8" i="2"/>
  <c r="L21" i="2"/>
  <c r="K21" i="2"/>
  <c r="P21" i="2"/>
  <c r="O21" i="2"/>
  <c r="N21" i="2"/>
  <c r="M21" i="2"/>
  <c r="N15" i="1"/>
  <c r="N16" i="1" s="1"/>
  <c r="N17" i="1" s="1"/>
  <c r="L15" i="1"/>
  <c r="L16" i="1" s="1"/>
  <c r="L17" i="1" s="1"/>
  <c r="O15" i="1"/>
  <c r="O16" i="1" s="1"/>
  <c r="O17" i="1" s="1"/>
  <c r="M15" i="1"/>
  <c r="M16" i="1" s="1"/>
  <c r="M17" i="1" s="1"/>
  <c r="K15" i="1"/>
  <c r="K16" i="1" s="1"/>
  <c r="K17" i="1" s="1"/>
  <c r="P15" i="1"/>
  <c r="P16" i="1" s="1"/>
  <c r="P17" i="1" s="1"/>
  <c r="J9" i="4" l="1"/>
  <c r="K18" i="4"/>
  <c r="O18" i="4"/>
  <c r="P18" i="4"/>
  <c r="L18" i="4"/>
  <c r="M18" i="4"/>
  <c r="N18" i="4"/>
  <c r="J9" i="2"/>
  <c r="N22" i="2"/>
  <c r="M22" i="2"/>
  <c r="L22" i="2"/>
  <c r="P22" i="2"/>
  <c r="O22" i="2"/>
  <c r="K22" i="2"/>
  <c r="M19" i="4" l="1"/>
  <c r="M20" i="4" s="1"/>
  <c r="M21" i="4" s="1"/>
  <c r="L19" i="4"/>
  <c r="L20" i="4" s="1"/>
  <c r="L21" i="4" s="1"/>
  <c r="N19" i="4"/>
  <c r="N20" i="4" s="1"/>
  <c r="N21" i="4" s="1"/>
  <c r="O19" i="4"/>
  <c r="O20" i="4" s="1"/>
  <c r="O21" i="4" s="1"/>
  <c r="P19" i="4"/>
  <c r="P20" i="4" s="1"/>
  <c r="P21" i="4" s="1"/>
  <c r="K19" i="4"/>
  <c r="K20" i="4" s="1"/>
  <c r="K21" i="4" s="1"/>
  <c r="J10" i="2"/>
  <c r="P23" i="2"/>
  <c r="O23" i="2"/>
  <c r="N23" i="2"/>
  <c r="M23" i="2"/>
  <c r="L23" i="2"/>
  <c r="K23" i="2"/>
  <c r="J11" i="2" l="1"/>
  <c r="P24" i="2"/>
  <c r="O24" i="2"/>
  <c r="N24" i="2"/>
  <c r="M24" i="2"/>
  <c r="L24" i="2"/>
  <c r="K24" i="2"/>
  <c r="J12" i="2" l="1"/>
  <c r="L25" i="2"/>
  <c r="K25" i="2"/>
  <c r="P25" i="2"/>
  <c r="N25" i="2"/>
  <c r="O25" i="2"/>
  <c r="M25" i="2"/>
  <c r="J13" i="2" l="1"/>
  <c r="N26" i="2"/>
  <c r="M26" i="2"/>
  <c r="L26" i="2"/>
  <c r="K26" i="2"/>
  <c r="O26" i="2"/>
  <c r="P26" i="2"/>
  <c r="P27" i="2" l="1"/>
  <c r="P28" i="2" s="1"/>
  <c r="P29" i="2" s="1"/>
  <c r="N27" i="2"/>
  <c r="N28" i="2" s="1"/>
  <c r="N29" i="2" s="1"/>
  <c r="L27" i="2"/>
  <c r="L28" i="2" s="1"/>
  <c r="L29" i="2" s="1"/>
  <c r="K27" i="2"/>
  <c r="K28" i="2" s="1"/>
  <c r="K29" i="2" s="1"/>
  <c r="O27" i="2"/>
  <c r="O28" i="2" s="1"/>
  <c r="O29" i="2" s="1"/>
  <c r="M27" i="2"/>
  <c r="M28" i="2" s="1"/>
  <c r="M29" i="2" s="1"/>
</calcChain>
</file>

<file path=xl/sharedStrings.xml><?xml version="1.0" encoding="utf-8"?>
<sst xmlns="http://schemas.openxmlformats.org/spreadsheetml/2006/main" count="218" uniqueCount="66">
  <si>
    <t>ARAÇUAÍ</t>
  </si>
  <si>
    <t>BERILO</t>
  </si>
  <si>
    <t>CORONEL MURTA</t>
  </si>
  <si>
    <t>FRANCISCO BADARÓ</t>
  </si>
  <si>
    <t>JENIPAPO DE MINAS</t>
  </si>
  <si>
    <t>VIRGEM DA LAPA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</si>
  <si>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</si>
  <si>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</si>
  <si>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</si>
  <si>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</si>
  <si>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</si>
  <si>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</si>
  <si>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</si>
  <si>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</si>
  <si>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</si>
  <si>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</si>
  <si>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</si>
  <si>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</si>
  <si>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</si>
  <si>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</si>
  <si>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</si>
  <si>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</si>
  <si>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</si>
  <si>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</si>
  <si>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</si>
  <si>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</si>
  <si>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</si>
  <si>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</si>
  <si>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DIAMANTINA</t>
  </si>
  <si>
    <t>CARBONITA</t>
  </si>
  <si>
    <t>COLUNA</t>
  </si>
  <si>
    <t>CONGONHAS DO NORTE</t>
  </si>
  <si>
    <t>COUTO DE MAGALHÃES DE MINAS</t>
  </si>
  <si>
    <t>DATAS</t>
  </si>
  <si>
    <t>FELÍCIO DOS SANTOS</t>
  </si>
  <si>
    <t>GOUVEIA</t>
  </si>
  <si>
    <t>ITAMARANDIBA</t>
  </si>
  <si>
    <t>PRESIDENTE KUBITSCHEK</t>
  </si>
  <si>
    <t>SÃO GONÇALO DO RIO PRETO</t>
  </si>
  <si>
    <t>SENADOR MODESTINO GONÇALVES</t>
  </si>
  <si>
    <t>QUELUZITO</t>
  </si>
  <si>
    <t>CASA GRANDE</t>
  </si>
  <si>
    <t>CARANAÍBA</t>
  </si>
  <si>
    <t>LAMIM</t>
  </si>
  <si>
    <t>CATAS ALTAS DA NORUEGA</t>
  </si>
  <si>
    <t>SANTANA DOS MONTES</t>
  </si>
  <si>
    <t>CRISTIANO OTONI</t>
  </si>
  <si>
    <t>ITAVERAVA</t>
  </si>
  <si>
    <t>RIO ESPERA</t>
  </si>
  <si>
    <t>SENHORA DE OLIVEIRA</t>
  </si>
  <si>
    <t>PIRANGA</t>
  </si>
  <si>
    <t>CONSELHEIRO LAFAIETE</t>
  </si>
  <si>
    <t>SERRO</t>
  </si>
  <si>
    <t>ALVORADA DE MINAS</t>
  </si>
  <si>
    <t>CONCEIÇÃO DO MATO DENTRO</t>
  </si>
  <si>
    <t>SANTO ANTÔNIO DO ITAMBÉ</t>
  </si>
  <si>
    <t>SERRA AZUL DE MINAS</t>
  </si>
  <si>
    <t/>
  </si>
  <si>
    <t>ARICANDUVA</t>
  </si>
  <si>
    <t>CAPELINHA</t>
  </si>
  <si>
    <t>CHAPADA DO NORTE</t>
  </si>
  <si>
    <t>JOSÉ GONÇALVES DE MINAS</t>
  </si>
  <si>
    <t>LEME DO PRADO</t>
  </si>
  <si>
    <t>MINAS NOVAS</t>
  </si>
  <si>
    <t>TURMALINA</t>
  </si>
  <si>
    <t>VEREDINHA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</si>
</sst>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2" fontId="0" fillId="0" borderId="1" xfId="0" applyNumberFormat="1" applyBorder="1"/>
    <xf numFmtId="0" fontId="0" fillId="0" borderId="1" xfId="0" applyBorder="1"/>
    <xf numFmtId="0" fontId="0" fillId="8" borderId="1" xfId="0" applyFill="1" applyBorder="1"/>
    <xf numFmtId="0" fontId="1" fillId="6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0" fontId="1" fillId="7" borderId="2" xfId="0" applyFont="1" applyFill="1" applyBorder="1" applyAlignment="1">
      <alignment vertical="center" wrapText="1"/>
    </xf>
    <xf numFmtId="2" fontId="0" fillId="0" borderId="2" xfId="0" applyNumberForma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ARAÇUAÍ!$J$1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ARAÇUAÍ!$J$2:$J$7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CE-4172-857A-BB1B2E4FA6E2}"/>
            </c:ext>
          </c:extLst>
        </c:ser>
        <c:ser>
          <c:idx val="1"/>
          <c:order val="1"/>
          <c:tx>
            <c:strRef>
              <c:f>ARAÇUAÍ!$K$1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ARAÇUAÍ!$K$2:$K$7</c:f>
              <c:numCache>
                <c:formatCode>0.00</c:formatCode>
                <c:ptCount val="6"/>
                <c:pt idx="0">
                  <c:v>6.8965517241379309E-2</c:v>
                </c:pt>
                <c:pt idx="1">
                  <c:v>0.2413793103448276</c:v>
                </c:pt>
                <c:pt idx="2">
                  <c:v>0.37931034482758619</c:v>
                </c:pt>
                <c:pt idx="3">
                  <c:v>0.37931034482758619</c:v>
                </c:pt>
                <c:pt idx="4">
                  <c:v>0.55172413793103448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CE-4172-857A-BB1B2E4FA6E2}"/>
            </c:ext>
          </c:extLst>
        </c:ser>
        <c:ser>
          <c:idx val="2"/>
          <c:order val="2"/>
          <c:tx>
            <c:strRef>
              <c:f>ARAÇUAÍ!$L$1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ARAÇUAÍ!$L$2:$L$7</c:f>
              <c:numCache>
                <c:formatCode>0.00</c:formatCode>
                <c:ptCount val="6"/>
                <c:pt idx="0">
                  <c:v>8.3333333333333329E-2</c:v>
                </c:pt>
                <c:pt idx="1">
                  <c:v>0.20833333333333331</c:v>
                </c:pt>
                <c:pt idx="2">
                  <c:v>0.33333333333333331</c:v>
                </c:pt>
                <c:pt idx="3">
                  <c:v>0.41666666666666663</c:v>
                </c:pt>
                <c:pt idx="4">
                  <c:v>0.625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CE-4172-857A-BB1B2E4FA6E2}"/>
            </c:ext>
          </c:extLst>
        </c:ser>
        <c:ser>
          <c:idx val="3"/>
          <c:order val="3"/>
          <c:tx>
            <c:strRef>
              <c:f>ARAÇUAÍ!$M$1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ARAÇUAÍ!$M$2:$M$7</c:f>
              <c:numCache>
                <c:formatCode>0.00</c:formatCode>
                <c:ptCount val="6"/>
                <c:pt idx="0">
                  <c:v>2.7777777777777776E-2</c:v>
                </c:pt>
                <c:pt idx="1">
                  <c:v>0.1111111111111111</c:v>
                </c:pt>
                <c:pt idx="2">
                  <c:v>0.27777777777777779</c:v>
                </c:pt>
                <c:pt idx="3">
                  <c:v>0.33333333333333337</c:v>
                </c:pt>
                <c:pt idx="4">
                  <c:v>0.52777777777777779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CE-4172-857A-BB1B2E4FA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893280"/>
        <c:axId val="1738891360"/>
      </c:scatterChart>
      <c:valAx>
        <c:axId val="17388932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891360"/>
        <c:crosses val="autoZero"/>
        <c:crossBetween val="midCat"/>
      </c:valAx>
      <c:valAx>
        <c:axId val="1738891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89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ARAÇUAÍ!$J$1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ARAÇUAÍ!$J$2:$J$7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C4-4365-9906-823D2805ECFD}"/>
            </c:ext>
          </c:extLst>
        </c:ser>
        <c:ser>
          <c:idx val="1"/>
          <c:order val="1"/>
          <c:tx>
            <c:strRef>
              <c:f>ARAÇUAÍ!$N$1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ARAÇUAÍ!$N$2:$N$7</c:f>
              <c:numCache>
                <c:formatCode>0.00</c:formatCode>
                <c:ptCount val="6"/>
                <c:pt idx="0">
                  <c:v>9.6774193548387094E-2</c:v>
                </c:pt>
                <c:pt idx="1">
                  <c:v>0.20967741935483869</c:v>
                </c:pt>
                <c:pt idx="2">
                  <c:v>0.38709677419354838</c:v>
                </c:pt>
                <c:pt idx="3">
                  <c:v>0.5161290322580645</c:v>
                </c:pt>
                <c:pt idx="4">
                  <c:v>0.64516129032258063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C4-4365-9906-823D2805ECFD}"/>
            </c:ext>
          </c:extLst>
        </c:ser>
        <c:ser>
          <c:idx val="2"/>
          <c:order val="2"/>
          <c:tx>
            <c:strRef>
              <c:f>ARAÇUAÍ!$O$1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ARAÇUAÍ!$O$2:$O$7</c:f>
              <c:numCache>
                <c:formatCode>0.00</c:formatCode>
                <c:ptCount val="6"/>
                <c:pt idx="0">
                  <c:v>1.6393442622950821E-2</c:v>
                </c:pt>
                <c:pt idx="1">
                  <c:v>0.11475409836065574</c:v>
                </c:pt>
                <c:pt idx="2">
                  <c:v>0.22950819672131148</c:v>
                </c:pt>
                <c:pt idx="3">
                  <c:v>0.31147540983606559</c:v>
                </c:pt>
                <c:pt idx="4">
                  <c:v>0.50819672131147542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C4-4365-9906-823D2805ECFD}"/>
            </c:ext>
          </c:extLst>
        </c:ser>
        <c:ser>
          <c:idx val="3"/>
          <c:order val="3"/>
          <c:tx>
            <c:strRef>
              <c:f>ARAÇUAÍ!$P$1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ARAÇUAÍ!$P$2:$P$7</c:f>
              <c:numCache>
                <c:formatCode>0.00</c:formatCode>
                <c:ptCount val="6"/>
                <c:pt idx="0">
                  <c:v>5.8823529411764705E-2</c:v>
                </c:pt>
                <c:pt idx="1">
                  <c:v>0.20588235294117646</c:v>
                </c:pt>
                <c:pt idx="2">
                  <c:v>0.44117647058823528</c:v>
                </c:pt>
                <c:pt idx="3">
                  <c:v>0.52941176470588236</c:v>
                </c:pt>
                <c:pt idx="4">
                  <c:v>0.73529411764705888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C4-4365-9906-823D2805E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2944"/>
        <c:axId val="12472464"/>
      </c:scatterChart>
      <c:valAx>
        <c:axId val="12472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72464"/>
        <c:crosses val="autoZero"/>
        <c:crossBetween val="midCat"/>
      </c:valAx>
      <c:valAx>
        <c:axId val="12472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7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DIAMANTINA!$J$1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DIAMANTINA!$J$2:$J$13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F9-4E56-AB78-1C0248D04859}"/>
            </c:ext>
          </c:extLst>
        </c:ser>
        <c:ser>
          <c:idx val="1"/>
          <c:order val="1"/>
          <c:tx>
            <c:strRef>
              <c:f>DIAMANTINA!$K$1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DIAMANTINA!$K$2:$K$13</c:f>
              <c:numCache>
                <c:formatCode>0.00</c:formatCode>
                <c:ptCount val="12"/>
                <c:pt idx="0">
                  <c:v>3.1496062992125984E-2</c:v>
                </c:pt>
                <c:pt idx="1">
                  <c:v>5.5118110236220472E-2</c:v>
                </c:pt>
                <c:pt idx="2">
                  <c:v>7.874015748031496E-2</c:v>
                </c:pt>
                <c:pt idx="3">
                  <c:v>0.10236220472440945</c:v>
                </c:pt>
                <c:pt idx="4">
                  <c:v>0.14960629921259844</c:v>
                </c:pt>
                <c:pt idx="5">
                  <c:v>0.1889763779527559</c:v>
                </c:pt>
                <c:pt idx="6">
                  <c:v>0.23622047244094488</c:v>
                </c:pt>
                <c:pt idx="7">
                  <c:v>0.32283464566929132</c:v>
                </c:pt>
                <c:pt idx="8">
                  <c:v>0.37007874015748032</c:v>
                </c:pt>
                <c:pt idx="9">
                  <c:v>0.42519685039370081</c:v>
                </c:pt>
                <c:pt idx="10">
                  <c:v>0.53543307086614178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F9-4E56-AB78-1C0248D04859}"/>
            </c:ext>
          </c:extLst>
        </c:ser>
        <c:ser>
          <c:idx val="2"/>
          <c:order val="2"/>
          <c:tx>
            <c:strRef>
              <c:f>DIAMANTINA!$L$1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DIAMANTINA!$L$2:$L$13</c:f>
              <c:numCache>
                <c:formatCode>0.00</c:formatCode>
                <c:ptCount val="12"/>
                <c:pt idx="0">
                  <c:v>3.1578947368421054E-2</c:v>
                </c:pt>
                <c:pt idx="1">
                  <c:v>5.2631578947368418E-2</c:v>
                </c:pt>
                <c:pt idx="2">
                  <c:v>7.3684210526315783E-2</c:v>
                </c:pt>
                <c:pt idx="3">
                  <c:v>0.11578947368421053</c:v>
                </c:pt>
                <c:pt idx="4">
                  <c:v>0.12631578947368421</c:v>
                </c:pt>
                <c:pt idx="5">
                  <c:v>0.14736842105263159</c:v>
                </c:pt>
                <c:pt idx="6">
                  <c:v>0.2</c:v>
                </c:pt>
                <c:pt idx="7">
                  <c:v>0.23157894736842105</c:v>
                </c:pt>
                <c:pt idx="8">
                  <c:v>0.30526315789473685</c:v>
                </c:pt>
                <c:pt idx="9">
                  <c:v>0.38947368421052631</c:v>
                </c:pt>
                <c:pt idx="10">
                  <c:v>0.64210526315789473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F9-4E56-AB78-1C0248D04859}"/>
            </c:ext>
          </c:extLst>
        </c:ser>
        <c:ser>
          <c:idx val="3"/>
          <c:order val="3"/>
          <c:tx>
            <c:strRef>
              <c:f>DIAMANTINA!$M$1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DIAMANTINA!$M$2:$M$13</c:f>
              <c:numCache>
                <c:formatCode>0.00</c:formatCode>
                <c:ptCount val="12"/>
                <c:pt idx="0">
                  <c:v>8.4745762711864406E-3</c:v>
                </c:pt>
                <c:pt idx="1">
                  <c:v>2.5423728813559324E-2</c:v>
                </c:pt>
                <c:pt idx="2">
                  <c:v>3.3898305084745763E-2</c:v>
                </c:pt>
                <c:pt idx="3">
                  <c:v>4.2372881355932202E-2</c:v>
                </c:pt>
                <c:pt idx="4">
                  <c:v>0.11864406779661017</c:v>
                </c:pt>
                <c:pt idx="5">
                  <c:v>0.16101694915254239</c:v>
                </c:pt>
                <c:pt idx="6">
                  <c:v>0.16949152542372883</c:v>
                </c:pt>
                <c:pt idx="7">
                  <c:v>0.22881355932203393</c:v>
                </c:pt>
                <c:pt idx="8">
                  <c:v>0.26271186440677968</c:v>
                </c:pt>
                <c:pt idx="9">
                  <c:v>0.32203389830508478</c:v>
                </c:pt>
                <c:pt idx="10">
                  <c:v>0.76271186440677963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F9-4E56-AB78-1C0248D0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699104"/>
        <c:axId val="941016704"/>
      </c:scatterChart>
      <c:valAx>
        <c:axId val="1325699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1016704"/>
        <c:crosses val="autoZero"/>
        <c:crossBetween val="midCat"/>
      </c:valAx>
      <c:valAx>
        <c:axId val="9410167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5699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DIAMANTINA!$J$1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DIAMANTINA!$J$2:$J$13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3B-422F-9B5E-AA1274060339}"/>
            </c:ext>
          </c:extLst>
        </c:ser>
        <c:ser>
          <c:idx val="1"/>
          <c:order val="1"/>
          <c:tx>
            <c:strRef>
              <c:f>DIAMANTINA!$N$1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DIAMANTINA!$N$2:$N$13</c:f>
              <c:numCache>
                <c:formatCode>0.00</c:formatCode>
                <c:ptCount val="12"/>
                <c:pt idx="0">
                  <c:v>4.048582995951417E-3</c:v>
                </c:pt>
                <c:pt idx="1">
                  <c:v>1.2145748987854251E-2</c:v>
                </c:pt>
                <c:pt idx="2">
                  <c:v>3.643724696356275E-2</c:v>
                </c:pt>
                <c:pt idx="3">
                  <c:v>8.9068825910931168E-2</c:v>
                </c:pt>
                <c:pt idx="4">
                  <c:v>0.12955465587044535</c:v>
                </c:pt>
                <c:pt idx="5">
                  <c:v>0.15384615384615385</c:v>
                </c:pt>
                <c:pt idx="6">
                  <c:v>0.20242914979757087</c:v>
                </c:pt>
                <c:pt idx="7">
                  <c:v>0.21457489878542513</c:v>
                </c:pt>
                <c:pt idx="8">
                  <c:v>0.25910931174089069</c:v>
                </c:pt>
                <c:pt idx="9">
                  <c:v>0.46963562753036436</c:v>
                </c:pt>
                <c:pt idx="10">
                  <c:v>0.74898785425101222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3B-422F-9B5E-AA1274060339}"/>
            </c:ext>
          </c:extLst>
        </c:ser>
        <c:ser>
          <c:idx val="2"/>
          <c:order val="2"/>
          <c:tx>
            <c:strRef>
              <c:f>DIAMANTINA!$O$1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DIAMANTINA!$O$2:$O$13</c:f>
              <c:numCache>
                <c:formatCode>0.00</c:formatCode>
                <c:ptCount val="12"/>
                <c:pt idx="0">
                  <c:v>4.1666666666666664E-2</c:v>
                </c:pt>
                <c:pt idx="1">
                  <c:v>4.6296296296296294E-2</c:v>
                </c:pt>
                <c:pt idx="2">
                  <c:v>7.407407407407407E-2</c:v>
                </c:pt>
                <c:pt idx="3">
                  <c:v>0.10648148148148148</c:v>
                </c:pt>
                <c:pt idx="4">
                  <c:v>0.14814814814814814</c:v>
                </c:pt>
                <c:pt idx="5">
                  <c:v>0.22222222222222221</c:v>
                </c:pt>
                <c:pt idx="6">
                  <c:v>0.30092592592592593</c:v>
                </c:pt>
                <c:pt idx="7">
                  <c:v>0.35185185185185186</c:v>
                </c:pt>
                <c:pt idx="8">
                  <c:v>0.39814814814814814</c:v>
                </c:pt>
                <c:pt idx="9">
                  <c:v>0.57407407407407407</c:v>
                </c:pt>
                <c:pt idx="10">
                  <c:v>0.77777777777777779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3B-422F-9B5E-AA1274060339}"/>
            </c:ext>
          </c:extLst>
        </c:ser>
        <c:ser>
          <c:idx val="3"/>
          <c:order val="3"/>
          <c:tx>
            <c:strRef>
              <c:f>DIAMANTINA!$P$1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DIAMANTINA!$P$2:$P$13</c:f>
              <c:numCache>
                <c:formatCode>0.00</c:formatCode>
                <c:ptCount val="12"/>
                <c:pt idx="0">
                  <c:v>0</c:v>
                </c:pt>
                <c:pt idx="1">
                  <c:v>9.1743119266055051E-3</c:v>
                </c:pt>
                <c:pt idx="2">
                  <c:v>7.3394495412844041E-2</c:v>
                </c:pt>
                <c:pt idx="3">
                  <c:v>9.1743119266055051E-2</c:v>
                </c:pt>
                <c:pt idx="4">
                  <c:v>0.1743119266055046</c:v>
                </c:pt>
                <c:pt idx="5">
                  <c:v>0.19266055045871561</c:v>
                </c:pt>
                <c:pt idx="6">
                  <c:v>0.27522935779816515</c:v>
                </c:pt>
                <c:pt idx="7">
                  <c:v>0.33027522935779818</c:v>
                </c:pt>
                <c:pt idx="8">
                  <c:v>0.38532110091743121</c:v>
                </c:pt>
                <c:pt idx="9">
                  <c:v>0.5321100917431193</c:v>
                </c:pt>
                <c:pt idx="10">
                  <c:v>0.798165137614679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3B-422F-9B5E-AA1274060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92640"/>
        <c:axId val="2088181600"/>
      </c:scatterChart>
      <c:valAx>
        <c:axId val="2088192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1600"/>
        <c:crosses val="autoZero"/>
        <c:crossBetween val="midCat"/>
      </c:valAx>
      <c:valAx>
        <c:axId val="2088181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9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SERRO!$J$1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SERRO!$J$2:$J$6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87-487B-B79E-0479F1A58805}"/>
            </c:ext>
          </c:extLst>
        </c:ser>
        <c:ser>
          <c:idx val="1"/>
          <c:order val="1"/>
          <c:tx>
            <c:strRef>
              <c:f>SERRO!$K$1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SERRO!$K$2:$K$6</c:f>
              <c:numCache>
                <c:formatCode>0.00</c:formatCode>
                <c:ptCount val="5"/>
                <c:pt idx="0">
                  <c:v>2.3809523809523808E-2</c:v>
                </c:pt>
                <c:pt idx="1">
                  <c:v>7.1428571428571425E-2</c:v>
                </c:pt>
                <c:pt idx="2">
                  <c:v>9.5238095238095233E-2</c:v>
                </c:pt>
                <c:pt idx="3">
                  <c:v>0.42857142857142855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87-487B-B79E-0479F1A58805}"/>
            </c:ext>
          </c:extLst>
        </c:ser>
        <c:ser>
          <c:idx val="2"/>
          <c:order val="2"/>
          <c:tx>
            <c:strRef>
              <c:f>SERRO!$L$1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SERRO!$L$2:$L$6</c:f>
              <c:numCache>
                <c:formatCode>0.00</c:formatCode>
                <c:ptCount val="5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87-487B-B79E-0479F1A58805}"/>
            </c:ext>
          </c:extLst>
        </c:ser>
        <c:ser>
          <c:idx val="3"/>
          <c:order val="3"/>
          <c:tx>
            <c:strRef>
              <c:f>SERRO!$M$1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SERRO!$M$2:$M$6</c:f>
              <c:numCache>
                <c:formatCode>0.00</c:formatCode>
                <c:ptCount val="5"/>
                <c:pt idx="0">
                  <c:v>7.6923076923076927E-2</c:v>
                </c:pt>
                <c:pt idx="1">
                  <c:v>0.23076923076923078</c:v>
                </c:pt>
                <c:pt idx="2">
                  <c:v>0.23076923076923078</c:v>
                </c:pt>
                <c:pt idx="3">
                  <c:v>0.53846153846153855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87-487B-B79E-0479F1A5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700064"/>
        <c:axId val="1898462496"/>
      </c:scatterChart>
      <c:valAx>
        <c:axId val="13257000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8462496"/>
        <c:crosses val="autoZero"/>
        <c:crossBetween val="midCat"/>
      </c:valAx>
      <c:valAx>
        <c:axId val="1898462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5700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SERRO!$J$1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SERRO!$J$2:$J$6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92-49BC-8CB4-AEB7DE79F876}"/>
            </c:ext>
          </c:extLst>
        </c:ser>
        <c:ser>
          <c:idx val="1"/>
          <c:order val="1"/>
          <c:tx>
            <c:strRef>
              <c:f>SERRO!$N$1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SERRO!$N$2:$N$6</c:f>
              <c:numCache>
                <c:formatCode>0.00</c:formatCode>
                <c:ptCount val="5"/>
                <c:pt idx="0">
                  <c:v>6.8181818181818177E-2</c:v>
                </c:pt>
                <c:pt idx="1">
                  <c:v>0.18181818181818182</c:v>
                </c:pt>
                <c:pt idx="2">
                  <c:v>0.27272727272727271</c:v>
                </c:pt>
                <c:pt idx="3">
                  <c:v>0.43181818181818177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92-49BC-8CB4-AEB7DE79F876}"/>
            </c:ext>
          </c:extLst>
        </c:ser>
        <c:ser>
          <c:idx val="2"/>
          <c:order val="2"/>
          <c:tx>
            <c:strRef>
              <c:f>SERRO!$O$1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SERRO!$O$2:$O$6</c:f>
              <c:numCache>
                <c:formatCode>0.00</c:formatCode>
                <c:ptCount val="5"/>
                <c:pt idx="0">
                  <c:v>0.17475728155339806</c:v>
                </c:pt>
                <c:pt idx="1">
                  <c:v>0.30097087378640774</c:v>
                </c:pt>
                <c:pt idx="2">
                  <c:v>0.3689320388349514</c:v>
                </c:pt>
                <c:pt idx="3">
                  <c:v>0.50485436893203883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92-49BC-8CB4-AEB7DE79F876}"/>
            </c:ext>
          </c:extLst>
        </c:ser>
        <c:ser>
          <c:idx val="3"/>
          <c:order val="3"/>
          <c:tx>
            <c:strRef>
              <c:f>SERRO!$P$1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SERRO!$P$2:$P$6</c:f>
              <c:numCache>
                <c:formatCode>0.00</c:formatCode>
                <c:ptCount val="5"/>
                <c:pt idx="0">
                  <c:v>0.17582417582417584</c:v>
                </c:pt>
                <c:pt idx="1">
                  <c:v>0.2857142857142857</c:v>
                </c:pt>
                <c:pt idx="2">
                  <c:v>0.36263736263736263</c:v>
                </c:pt>
                <c:pt idx="3">
                  <c:v>0.50549450549450547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92-49BC-8CB4-AEB7DE79F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7008"/>
        <c:axId val="18854608"/>
      </c:scatterChart>
      <c:valAx>
        <c:axId val="188570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4608"/>
        <c:crosses val="autoZero"/>
        <c:crossBetween val="midCat"/>
      </c:valAx>
      <c:valAx>
        <c:axId val="1885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'TURMALINA-MINAS NOVA-CAPELINHA'!$J$1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NOVA-CAPELINHA'!$J$2:$J$9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13-4A9A-90DE-4B49A20891FF}"/>
            </c:ext>
          </c:extLst>
        </c:ser>
        <c:ser>
          <c:idx val="1"/>
          <c:order val="1"/>
          <c:tx>
            <c:strRef>
              <c:f>'TURMALINA-MINAS NOVA-CAPELINHA'!$K$1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NOVA-CAPELINHA'!$K$2:$K$9</c:f>
              <c:numCache>
                <c:formatCode>0.00</c:formatCode>
                <c:ptCount val="8"/>
                <c:pt idx="0">
                  <c:v>1.282051282051282E-2</c:v>
                </c:pt>
                <c:pt idx="1">
                  <c:v>2.564102564102564E-2</c:v>
                </c:pt>
                <c:pt idx="2">
                  <c:v>8.974358974358973E-2</c:v>
                </c:pt>
                <c:pt idx="3">
                  <c:v>0.11538461538461536</c:v>
                </c:pt>
                <c:pt idx="4">
                  <c:v>0.23076923076923075</c:v>
                </c:pt>
                <c:pt idx="5">
                  <c:v>0.39743589743589741</c:v>
                </c:pt>
                <c:pt idx="6">
                  <c:v>0.75641025641025639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13-4A9A-90DE-4B49A20891FF}"/>
            </c:ext>
          </c:extLst>
        </c:ser>
        <c:ser>
          <c:idx val="2"/>
          <c:order val="2"/>
          <c:tx>
            <c:strRef>
              <c:f>'TURMALINA-MINAS NOVA-CAPELINHA'!$L$1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NOVA-CAPELINHA'!$L$2:$L$9</c:f>
              <c:numCache>
                <c:formatCode>0.00</c:formatCode>
                <c:ptCount val="8"/>
                <c:pt idx="0">
                  <c:v>4.878048780487805E-2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0.29268292682926828</c:v>
                </c:pt>
                <c:pt idx="4">
                  <c:v>0.31707317073170732</c:v>
                </c:pt>
                <c:pt idx="5">
                  <c:v>0.48780487804878048</c:v>
                </c:pt>
                <c:pt idx="6">
                  <c:v>0.65853658536585369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13-4A9A-90DE-4B49A20891FF}"/>
            </c:ext>
          </c:extLst>
        </c:ser>
        <c:ser>
          <c:idx val="3"/>
          <c:order val="3"/>
          <c:tx>
            <c:strRef>
              <c:f>'TURMALINA-MINAS NOVA-CAPELINHA'!$M$1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NOVA-CAPELINHA'!$M$2:$M$9</c:f>
              <c:numCache>
                <c:formatCode>0.00</c:formatCode>
                <c:ptCount val="8"/>
                <c:pt idx="0">
                  <c:v>2.8571428571428571E-2</c:v>
                </c:pt>
                <c:pt idx="1">
                  <c:v>9.9999999999999992E-2</c:v>
                </c:pt>
                <c:pt idx="2">
                  <c:v>0.14285714285714285</c:v>
                </c:pt>
                <c:pt idx="3">
                  <c:v>0.22857142857142856</c:v>
                </c:pt>
                <c:pt idx="4">
                  <c:v>0.2857142857142857</c:v>
                </c:pt>
                <c:pt idx="5">
                  <c:v>0.48571428571428571</c:v>
                </c:pt>
                <c:pt idx="6">
                  <c:v>0.74285714285714288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13-4A9A-90DE-4B49A2089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796304"/>
        <c:axId val="1857795344"/>
      </c:scatterChart>
      <c:valAx>
        <c:axId val="18577963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7795344"/>
        <c:crosses val="autoZero"/>
        <c:crossBetween val="midCat"/>
      </c:valAx>
      <c:valAx>
        <c:axId val="1857795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779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'TURMALINA-MINAS NOVA-CAPELINHA'!$J$1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NOVA-CAPELINHA'!$J$2:$J$9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BE-4E48-A724-A9B685714743}"/>
            </c:ext>
          </c:extLst>
        </c:ser>
        <c:ser>
          <c:idx val="1"/>
          <c:order val="1"/>
          <c:tx>
            <c:strRef>
              <c:f>'TURMALINA-MINAS NOVA-CAPELINHA'!$N$1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NOVA-CAPELINHA'!$N$2:$N$9</c:f>
              <c:numCache>
                <c:formatCode>0.00</c:formatCode>
                <c:ptCount val="8"/>
                <c:pt idx="0">
                  <c:v>2.7649769585253458E-2</c:v>
                </c:pt>
                <c:pt idx="1">
                  <c:v>7.3732718894009217E-2</c:v>
                </c:pt>
                <c:pt idx="2">
                  <c:v>0.11059907834101382</c:v>
                </c:pt>
                <c:pt idx="3">
                  <c:v>0.13824884792626727</c:v>
                </c:pt>
                <c:pt idx="4">
                  <c:v>0.16589861751152071</c:v>
                </c:pt>
                <c:pt idx="5">
                  <c:v>0.29953917050691242</c:v>
                </c:pt>
                <c:pt idx="6">
                  <c:v>0.68202764976958519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BE-4E48-A724-A9B685714743}"/>
            </c:ext>
          </c:extLst>
        </c:ser>
        <c:ser>
          <c:idx val="2"/>
          <c:order val="2"/>
          <c:tx>
            <c:strRef>
              <c:f>'TURMALINA-MINAS NOVA-CAPELINHA'!$O$1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NOVA-CAPELINHA'!$O$2:$O$9</c:f>
              <c:numCache>
                <c:formatCode>0.00</c:formatCode>
                <c:ptCount val="8"/>
                <c:pt idx="0">
                  <c:v>1.7777777777777778E-2</c:v>
                </c:pt>
                <c:pt idx="1">
                  <c:v>5.333333333333333E-2</c:v>
                </c:pt>
                <c:pt idx="2">
                  <c:v>8.8888888888888878E-2</c:v>
                </c:pt>
                <c:pt idx="3">
                  <c:v>0.12</c:v>
                </c:pt>
                <c:pt idx="4">
                  <c:v>0.18222222222222223</c:v>
                </c:pt>
                <c:pt idx="5">
                  <c:v>0.29333333333333333</c:v>
                </c:pt>
                <c:pt idx="6">
                  <c:v>0.7022222222222223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BE-4E48-A724-A9B685714743}"/>
            </c:ext>
          </c:extLst>
        </c:ser>
        <c:ser>
          <c:idx val="3"/>
          <c:order val="3"/>
          <c:tx>
            <c:strRef>
              <c:f>'TURMALINA-MINAS NOVA-CAPELINHA'!$P$1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NOVA-CAPELINHA'!$P$2:$P$9</c:f>
              <c:numCache>
                <c:formatCode>0.00</c:formatCode>
                <c:ptCount val="8"/>
                <c:pt idx="0">
                  <c:v>3.7037037037037035E-2</c:v>
                </c:pt>
                <c:pt idx="1">
                  <c:v>6.7901234567901231E-2</c:v>
                </c:pt>
                <c:pt idx="2">
                  <c:v>9.2592592592592587E-2</c:v>
                </c:pt>
                <c:pt idx="3">
                  <c:v>0.1419753086419753</c:v>
                </c:pt>
                <c:pt idx="4">
                  <c:v>0.18518518518518517</c:v>
                </c:pt>
                <c:pt idx="5">
                  <c:v>0.30864197530864196</c:v>
                </c:pt>
                <c:pt idx="6">
                  <c:v>0.75308641975308643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BE-4E48-A724-A9B685714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045488"/>
        <c:axId val="1956046448"/>
      </c:scatterChart>
      <c:valAx>
        <c:axId val="1956045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046448"/>
        <c:crosses val="autoZero"/>
        <c:crossBetween val="midCat"/>
      </c:valAx>
      <c:valAx>
        <c:axId val="19560464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04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19050</xdr:rowOff>
    </xdr:from>
    <xdr:to>
      <xdr:col>23</xdr:col>
      <xdr:colOff>373380</xdr:colOff>
      <xdr:row>12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C2005C8-A13C-D6CA-1FA5-4E8229C91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34290</xdr:rowOff>
    </xdr:from>
    <xdr:to>
      <xdr:col>23</xdr:col>
      <xdr:colOff>396240</xdr:colOff>
      <xdr:row>28</xdr:row>
      <xdr:rowOff>34290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CDDA87F-CB29-35C1-FE6B-C9A291278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220980</xdr:colOff>
      <xdr:row>0</xdr:row>
      <xdr:rowOff>110490</xdr:rowOff>
    </xdr:from>
    <xdr:to>
      <xdr:col>23</xdr:col>
      <xdr:colOff>525780</xdr:colOff>
      <xdr:row>14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9ED384-1365-C713-0E92-A0B710F74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259080</xdr:colOff>
      <xdr:row>14</xdr:row>
      <xdr:rowOff>80010</xdr:rowOff>
    </xdr:from>
    <xdr:to>
      <xdr:col>23</xdr:col>
      <xdr:colOff>563880</xdr:colOff>
      <xdr:row>28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57B2BF-2637-A5CB-9956-42CF20B0D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80010</xdr:rowOff>
    </xdr:from>
    <xdr:to>
      <xdr:col>23</xdr:col>
      <xdr:colOff>426720</xdr:colOff>
      <xdr:row>12</xdr:row>
      <xdr:rowOff>163830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8723FF6-79ED-D6C6-0CC1-67F9B8EDC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160020</xdr:colOff>
      <xdr:row>13</xdr:row>
      <xdr:rowOff>34290</xdr:rowOff>
    </xdr:from>
    <xdr:to>
      <xdr:col>23</xdr:col>
      <xdr:colOff>464820</xdr:colOff>
      <xdr:row>28</xdr:row>
      <xdr:rowOff>34290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927DE89-61CB-17F0-3059-6C34D77E4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220980</xdr:colOff>
      <xdr:row>0</xdr:row>
      <xdr:rowOff>194310</xdr:rowOff>
    </xdr:from>
    <xdr:to>
      <xdr:col>23</xdr:col>
      <xdr:colOff>525780</xdr:colOff>
      <xdr:row>14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EB7033-DECE-8591-BD58-1881E548E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236220</xdr:colOff>
      <xdr:row>14</xdr:row>
      <xdr:rowOff>72390</xdr:rowOff>
    </xdr:from>
    <xdr:to>
      <xdr:col>23</xdr:col>
      <xdr:colOff>541020</xdr:colOff>
      <xdr:row>29</xdr:row>
      <xdr:rowOff>72390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8E32065-77D6-2528-47A9-F0060631F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F1EE-A6E7-4C6A-A8A3-4715DC5C8958}">
  <dimension ref="A1:P17"/>
  <sheetViews>
    <sheetView workbookViewId="0">
      <selection activeCell="J2" sqref="J2:P2"/>
    </sheetView>
  </sheetViews>
  <sheetFormatPr defaultRowHeight="14.4" x14ac:dyDescent="0.3"/>
  <cols>
    <col min="2" max="2" width="10.88671875" customWidth="1"/>
  </cols>
  <sheetData>
    <row r="1" spans="1:16" ht="36.6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10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8" t="s">
        <v>4</v>
      </c>
      <c r="B2" s="7">
        <v>8.6882243908975185E-2</v>
      </c>
      <c r="C2" s="7">
        <v>6.8965517241379309E-2</v>
      </c>
      <c r="D2" s="7">
        <v>8.3333333333333329E-2</v>
      </c>
      <c r="E2" s="7">
        <v>2.7777777777777776E-2</v>
      </c>
      <c r="F2" s="7">
        <v>9.6774193548387094E-2</v>
      </c>
      <c r="G2" s="7">
        <v>1.6393442622950821E-2</v>
      </c>
      <c r="H2" s="7">
        <v>5.8823529411764705E-2</v>
      </c>
      <c r="I2" s="7">
        <v>8.6882243908975185E-2</v>
      </c>
      <c r="J2" s="7">
        <v>8.6882243908975185E-2</v>
      </c>
      <c r="K2" s="7">
        <v>6.8965517241379309E-2</v>
      </c>
      <c r="L2" s="7">
        <v>8.3333333333333329E-2</v>
      </c>
      <c r="M2" s="7">
        <v>2.7777777777777776E-2</v>
      </c>
      <c r="N2" s="7">
        <v>9.6774193548387094E-2</v>
      </c>
      <c r="O2" s="7">
        <v>1.6393442622950821E-2</v>
      </c>
      <c r="P2" s="7">
        <v>5.8823529411764705E-2</v>
      </c>
    </row>
    <row r="3" spans="1:16" x14ac:dyDescent="0.3">
      <c r="A3" s="8" t="s">
        <v>2</v>
      </c>
      <c r="B3" s="7">
        <v>0.10282721811563456</v>
      </c>
      <c r="C3" s="7">
        <v>0.17241379310344829</v>
      </c>
      <c r="D3" s="7">
        <v>0.125</v>
      </c>
      <c r="E3" s="7">
        <v>8.3333333333333329E-2</v>
      </c>
      <c r="F3" s="7">
        <v>0.11290322580645161</v>
      </c>
      <c r="G3" s="7">
        <v>9.8360655737704916E-2</v>
      </c>
      <c r="H3" s="7">
        <v>0.14705882352941177</v>
      </c>
      <c r="I3" s="7">
        <v>0.18970946202460975</v>
      </c>
      <c r="J3" s="7">
        <f t="shared" ref="J3:P7" si="0">J2+B3</f>
        <v>0.18970946202460975</v>
      </c>
      <c r="K3" s="7">
        <f t="shared" si="0"/>
        <v>0.2413793103448276</v>
      </c>
      <c r="L3" s="7">
        <f t="shared" si="0"/>
        <v>0.20833333333333331</v>
      </c>
      <c r="M3" s="7">
        <f t="shared" si="0"/>
        <v>0.1111111111111111</v>
      </c>
      <c r="N3" s="7">
        <f t="shared" si="0"/>
        <v>0.20967741935483869</v>
      </c>
      <c r="O3" s="7">
        <f t="shared" si="0"/>
        <v>0.11475409836065574</v>
      </c>
      <c r="P3" s="7">
        <f t="shared" si="0"/>
        <v>0.20588235294117646</v>
      </c>
    </row>
    <row r="4" spans="1:16" x14ac:dyDescent="0.3">
      <c r="A4" s="8" t="s">
        <v>3</v>
      </c>
      <c r="B4" s="7">
        <v>0.11513209316867282</v>
      </c>
      <c r="C4" s="7">
        <v>0.13793103448275862</v>
      </c>
      <c r="D4" s="7">
        <v>0.125</v>
      </c>
      <c r="E4" s="7">
        <v>0.16666666666666666</v>
      </c>
      <c r="F4" s="7">
        <v>0.17741935483870969</v>
      </c>
      <c r="G4" s="7">
        <v>0.11475409836065574</v>
      </c>
      <c r="H4" s="7">
        <v>0.23529411764705882</v>
      </c>
      <c r="I4" s="7">
        <v>0.3048415551932826</v>
      </c>
      <c r="J4" s="7">
        <f t="shared" si="0"/>
        <v>0.3048415551932826</v>
      </c>
      <c r="K4" s="7">
        <f t="shared" si="0"/>
        <v>0.37931034482758619</v>
      </c>
      <c r="L4" s="7">
        <f t="shared" si="0"/>
        <v>0.33333333333333331</v>
      </c>
      <c r="M4" s="7">
        <f t="shared" si="0"/>
        <v>0.27777777777777779</v>
      </c>
      <c r="N4" s="7">
        <f t="shared" si="0"/>
        <v>0.38709677419354838</v>
      </c>
      <c r="O4" s="7">
        <f t="shared" si="0"/>
        <v>0.22950819672131148</v>
      </c>
      <c r="P4" s="7">
        <f t="shared" si="0"/>
        <v>0.44117647058823528</v>
      </c>
    </row>
    <row r="5" spans="1:16" x14ac:dyDescent="0.3">
      <c r="A5" s="8" t="s">
        <v>1</v>
      </c>
      <c r="B5" s="7">
        <v>0.13190334755130753</v>
      </c>
      <c r="C5" s="7">
        <v>0</v>
      </c>
      <c r="D5" s="7">
        <v>8.3333333333333329E-2</v>
      </c>
      <c r="E5" s="7">
        <v>5.5555555555555552E-2</v>
      </c>
      <c r="F5" s="7">
        <v>0.12903225806451613</v>
      </c>
      <c r="G5" s="7">
        <v>8.1967213114754092E-2</v>
      </c>
      <c r="H5" s="7">
        <v>8.8235294117647065E-2</v>
      </c>
      <c r="I5" s="7">
        <v>0.4367449027445901</v>
      </c>
      <c r="J5" s="7">
        <f t="shared" si="0"/>
        <v>0.4367449027445901</v>
      </c>
      <c r="K5" s="7">
        <f t="shared" si="0"/>
        <v>0.37931034482758619</v>
      </c>
      <c r="L5" s="7">
        <f t="shared" si="0"/>
        <v>0.41666666666666663</v>
      </c>
      <c r="M5" s="7">
        <f t="shared" si="0"/>
        <v>0.33333333333333337</v>
      </c>
      <c r="N5" s="7">
        <f t="shared" si="0"/>
        <v>0.5161290322580645</v>
      </c>
      <c r="O5" s="7">
        <f t="shared" si="0"/>
        <v>0.31147540983606559</v>
      </c>
      <c r="P5" s="7">
        <f t="shared" si="0"/>
        <v>0.52941176470588236</v>
      </c>
    </row>
    <row r="6" spans="1:16" x14ac:dyDescent="0.3">
      <c r="A6" s="8" t="s">
        <v>5</v>
      </c>
      <c r="B6" s="7">
        <v>0.15329730454007459</v>
      </c>
      <c r="C6" s="7">
        <v>0.17241379310344829</v>
      </c>
      <c r="D6" s="7">
        <v>0.20833333333333334</v>
      </c>
      <c r="E6" s="7">
        <v>0.19444444444444445</v>
      </c>
      <c r="F6" s="7">
        <v>0.12903225806451613</v>
      </c>
      <c r="G6" s="7">
        <v>0.19672131147540983</v>
      </c>
      <c r="H6" s="7">
        <v>0.20588235294117646</v>
      </c>
      <c r="I6" s="7">
        <v>0.59004220728466472</v>
      </c>
      <c r="J6" s="7">
        <f t="shared" si="0"/>
        <v>0.59004220728466472</v>
      </c>
      <c r="K6" s="7">
        <f t="shared" si="0"/>
        <v>0.55172413793103448</v>
      </c>
      <c r="L6" s="7">
        <f t="shared" si="0"/>
        <v>0.625</v>
      </c>
      <c r="M6" s="7">
        <f t="shared" si="0"/>
        <v>0.52777777777777779</v>
      </c>
      <c r="N6" s="7">
        <f t="shared" si="0"/>
        <v>0.64516129032258063</v>
      </c>
      <c r="O6" s="7">
        <f t="shared" si="0"/>
        <v>0.50819672131147542</v>
      </c>
      <c r="P6" s="7">
        <f t="shared" si="0"/>
        <v>0.73529411764705888</v>
      </c>
    </row>
    <row r="7" spans="1:16" x14ac:dyDescent="0.3">
      <c r="A7" s="8" t="s">
        <v>0</v>
      </c>
      <c r="B7" s="7">
        <v>0.40995779271533533</v>
      </c>
      <c r="C7" s="7">
        <v>0.44827586206896552</v>
      </c>
      <c r="D7" s="7">
        <v>0.375</v>
      </c>
      <c r="E7" s="7">
        <v>0.47222222222222221</v>
      </c>
      <c r="F7" s="7">
        <v>0.35483870967741937</v>
      </c>
      <c r="G7" s="7">
        <v>0.49180327868852458</v>
      </c>
      <c r="H7" s="7">
        <v>0.26470588235294118</v>
      </c>
      <c r="I7" s="7">
        <v>1</v>
      </c>
      <c r="J7" s="7">
        <f t="shared" si="0"/>
        <v>1</v>
      </c>
      <c r="K7" s="7">
        <f t="shared" si="0"/>
        <v>1</v>
      </c>
      <c r="L7" s="7">
        <f t="shared" si="0"/>
        <v>1</v>
      </c>
      <c r="M7" s="7">
        <f t="shared" si="0"/>
        <v>1</v>
      </c>
      <c r="N7" s="7">
        <f t="shared" si="0"/>
        <v>1</v>
      </c>
      <c r="O7" s="7">
        <f t="shared" si="0"/>
        <v>1</v>
      </c>
      <c r="P7" s="7">
        <f t="shared" si="0"/>
        <v>1</v>
      </c>
    </row>
    <row r="9" spans="1:16" ht="28.8" x14ac:dyDescent="0.3">
      <c r="B9" s="1" t="s">
        <v>6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J9" s="8"/>
      <c r="K9" s="9" t="s">
        <v>20</v>
      </c>
      <c r="L9" s="9" t="s">
        <v>21</v>
      </c>
      <c r="M9" s="9" t="s">
        <v>22</v>
      </c>
      <c r="N9" s="9" t="s">
        <v>23</v>
      </c>
      <c r="O9" s="9" t="s">
        <v>24</v>
      </c>
      <c r="P9" s="9" t="s">
        <v>25</v>
      </c>
    </row>
    <row r="10" spans="1:16" x14ac:dyDescent="0.3">
      <c r="B10" s="8" t="s">
        <v>4</v>
      </c>
      <c r="C10" s="7">
        <f>C2-B2</f>
        <v>-1.7916726667595875E-2</v>
      </c>
      <c r="D10" s="7">
        <f>D2-B2</f>
        <v>-3.548910575641856E-3</v>
      </c>
      <c r="E10" s="7">
        <f>E2-B2</f>
        <v>-5.9104466131197408E-2</v>
      </c>
      <c r="F10" s="7">
        <f>F2-B2</f>
        <v>9.8919496394119094E-3</v>
      </c>
      <c r="G10" s="7">
        <f>G2-B2</f>
        <v>-7.0488801286024361E-2</v>
      </c>
      <c r="H10" s="7">
        <f>H2-B2</f>
        <v>-2.805871449721048E-2</v>
      </c>
      <c r="J10" s="8" t="s">
        <v>4</v>
      </c>
      <c r="K10" s="8">
        <f>(J2-0) * ((K2+0))</f>
        <v>5.9918788902741504E-3</v>
      </c>
      <c r="L10" s="8">
        <f>(J2-0) * ((L2+0))</f>
        <v>7.2401869924145984E-3</v>
      </c>
      <c r="M10" s="8">
        <f>(J2-0) * ((M2+0))</f>
        <v>2.4133956641381993E-3</v>
      </c>
      <c r="N10" s="8">
        <f>(J2-0) * ((N2+0))</f>
        <v>8.4079590879653394E-3</v>
      </c>
      <c r="O10" s="8">
        <f>(J2-0) * ((O2+0))</f>
        <v>1.4242990804750031E-3</v>
      </c>
      <c r="P10" s="8">
        <f>(J2-0) * ((P2+0))</f>
        <v>5.1107202299397166E-3</v>
      </c>
    </row>
    <row r="11" spans="1:16" x14ac:dyDescent="0.3">
      <c r="B11" s="8" t="s">
        <v>2</v>
      </c>
      <c r="C11" s="7">
        <f t="shared" ref="C11:C15" si="1">C3-B3</f>
        <v>6.9586574987813732E-2</v>
      </c>
      <c r="D11" s="7">
        <f t="shared" ref="D11:D15" si="2">D3-B3</f>
        <v>2.2172781884365445E-2</v>
      </c>
      <c r="E11" s="7">
        <f t="shared" ref="E11:E15" si="3">E3-B3</f>
        <v>-1.9493884782301227E-2</v>
      </c>
      <c r="F11" s="7">
        <f t="shared" ref="F11:F15" si="4">F3-B3</f>
        <v>1.0076007690817054E-2</v>
      </c>
      <c r="G11" s="7">
        <f t="shared" ref="G11:G15" si="5">G3-B3</f>
        <v>-4.4665623779296393E-3</v>
      </c>
      <c r="H11" s="7">
        <f t="shared" ref="H11:H15" si="6">H3-B3</f>
        <v>4.4231605413777214E-2</v>
      </c>
      <c r="J11" s="8" t="s">
        <v>2</v>
      </c>
      <c r="K11" s="8">
        <f>(J3-J2) * ((K3+K2))</f>
        <v>3.19118952772659E-2</v>
      </c>
      <c r="L11" s="8">
        <f>(J3-J2) * ((L3+L2))</f>
        <v>2.9991271950393413E-2</v>
      </c>
      <c r="M11" s="8">
        <f>(J3-J2) * ((M3+M2))</f>
        <v>1.4281558071615913E-2</v>
      </c>
      <c r="N11" s="8">
        <f>(J3-J2) * ((N3+N2))</f>
        <v>3.1511566841888008E-2</v>
      </c>
      <c r="O11" s="8">
        <f>(J3-J2) * ((O3+O2))</f>
        <v>1.3485536802050436E-2</v>
      </c>
      <c r="P11" s="8">
        <f>(J3-J2) * ((P3+P2))</f>
        <v>2.7218969501197385E-2</v>
      </c>
    </row>
    <row r="12" spans="1:16" x14ac:dyDescent="0.3">
      <c r="B12" s="8" t="s">
        <v>3</v>
      </c>
      <c r="C12" s="7">
        <f t="shared" si="1"/>
        <v>2.2798941314085802E-2</v>
      </c>
      <c r="D12" s="7">
        <f t="shared" si="2"/>
        <v>9.8679068313271834E-3</v>
      </c>
      <c r="E12" s="7">
        <f t="shared" si="3"/>
        <v>5.1534573497993841E-2</v>
      </c>
      <c r="F12" s="7">
        <f t="shared" si="4"/>
        <v>6.228726167003687E-2</v>
      </c>
      <c r="G12" s="7">
        <f t="shared" si="5"/>
        <v>-3.7799480801707641E-4</v>
      </c>
      <c r="H12" s="7">
        <f t="shared" si="6"/>
        <v>0.120162024478386</v>
      </c>
      <c r="J12" s="8" t="s">
        <v>3</v>
      </c>
      <c r="K12" s="8">
        <f t="shared" ref="K12:K15" si="7">(J4-J3) * ((K4+K3))</f>
        <v>7.1461299208141774E-2</v>
      </c>
      <c r="L12" s="8">
        <f t="shared" ref="L12:L15" si="8">(J4-J3) * ((L4+L3))</f>
        <v>6.2363217133031119E-2</v>
      </c>
      <c r="M12" s="8">
        <f t="shared" ref="M12:M15" si="9">(J4-J3) * ((M4+M3))</f>
        <v>4.4773591787817216E-2</v>
      </c>
      <c r="N12" s="8">
        <f t="shared" ref="N12:N15" si="10">(J4-J3) * ((N4+N3))</f>
        <v>6.87078620522725E-2</v>
      </c>
      <c r="O12" s="8">
        <f t="shared" ref="O12:O15" si="11">(J4-J3) * ((O4+O3))</f>
        <v>3.9635638631838194E-2</v>
      </c>
      <c r="P12" s="8">
        <f t="shared" ref="P12:P15" si="12">(J4-J3) * ((P4+P3))</f>
        <v>7.4497236756200069E-2</v>
      </c>
    </row>
    <row r="13" spans="1:16" x14ac:dyDescent="0.3">
      <c r="B13" s="8" t="s">
        <v>1</v>
      </c>
      <c r="C13" s="7">
        <f t="shared" si="1"/>
        <v>-0.13190334755130753</v>
      </c>
      <c r="D13" s="7">
        <f t="shared" si="2"/>
        <v>-4.8570014217974203E-2</v>
      </c>
      <c r="E13" s="7">
        <f t="shared" si="3"/>
        <v>-7.6347791995751979E-2</v>
      </c>
      <c r="F13" s="7">
        <f t="shared" si="4"/>
        <v>-2.8710894867914061E-3</v>
      </c>
      <c r="G13" s="7">
        <f t="shared" si="5"/>
        <v>-4.9936134436553439E-2</v>
      </c>
      <c r="H13" s="7">
        <f t="shared" si="6"/>
        <v>-4.3668053433660467E-2</v>
      </c>
      <c r="J13" s="8" t="s">
        <v>1</v>
      </c>
      <c r="K13" s="8">
        <f t="shared" si="7"/>
        <v>0.10006460848719879</v>
      </c>
      <c r="L13" s="8">
        <f t="shared" si="8"/>
        <v>9.8927510663480628E-2</v>
      </c>
      <c r="M13" s="8">
        <f t="shared" si="9"/>
        <v>8.0607601281354593E-2</v>
      </c>
      <c r="N13" s="8">
        <f t="shared" si="10"/>
        <v>0.1191385074656971</v>
      </c>
      <c r="O13" s="8">
        <f t="shared" si="11"/>
        <v>7.1357548675297505E-2</v>
      </c>
      <c r="P13" s="8">
        <f t="shared" si="12"/>
        <v>0.12802383732921022</v>
      </c>
    </row>
    <row r="14" spans="1:16" x14ac:dyDescent="0.3">
      <c r="B14" s="8" t="s">
        <v>5</v>
      </c>
      <c r="C14" s="7">
        <f t="shared" si="1"/>
        <v>1.9116488563373696E-2</v>
      </c>
      <c r="D14" s="7">
        <f t="shared" si="2"/>
        <v>5.5036028793258751E-2</v>
      </c>
      <c r="E14" s="7">
        <f t="shared" si="3"/>
        <v>4.1147139904369856E-2</v>
      </c>
      <c r="F14" s="7">
        <f t="shared" si="4"/>
        <v>-2.4265046475558466E-2</v>
      </c>
      <c r="G14" s="7">
        <f t="shared" si="5"/>
        <v>4.3424006935335241E-2</v>
      </c>
      <c r="H14" s="7">
        <f t="shared" si="6"/>
        <v>5.2585048401101869E-2</v>
      </c>
      <c r="J14" s="8" t="s">
        <v>5</v>
      </c>
      <c r="K14" s="8">
        <f t="shared" si="7"/>
        <v>0.14272507664075912</v>
      </c>
      <c r="L14" s="8">
        <f t="shared" si="8"/>
        <v>0.15968469222924436</v>
      </c>
      <c r="M14" s="8">
        <f t="shared" si="9"/>
        <v>0.13200601224284203</v>
      </c>
      <c r="N14" s="8">
        <f t="shared" si="10"/>
        <v>0.17802267624008664</v>
      </c>
      <c r="O14" s="8">
        <f t="shared" si="11"/>
        <v>0.12565352831153659</v>
      </c>
      <c r="P14" s="8">
        <f t="shared" si="12"/>
        <v>0.1938760028006826</v>
      </c>
    </row>
    <row r="15" spans="1:16" x14ac:dyDescent="0.3">
      <c r="B15" s="8" t="s">
        <v>0</v>
      </c>
      <c r="C15" s="7">
        <f t="shared" si="1"/>
        <v>3.8318069353630191E-2</v>
      </c>
      <c r="D15" s="7">
        <f t="shared" si="2"/>
        <v>-3.4957792715335334E-2</v>
      </c>
      <c r="E15" s="7">
        <f t="shared" si="3"/>
        <v>6.2264429506886876E-2</v>
      </c>
      <c r="F15" s="7">
        <f t="shared" si="4"/>
        <v>-5.5119083037915961E-2</v>
      </c>
      <c r="G15" s="7">
        <f t="shared" si="5"/>
        <v>8.1845485973189247E-2</v>
      </c>
      <c r="H15" s="7">
        <f t="shared" si="6"/>
        <v>-0.14525191036239415</v>
      </c>
      <c r="J15" s="8" t="s">
        <v>0</v>
      </c>
      <c r="K15" s="8">
        <f t="shared" si="7"/>
        <v>0.63614140248931339</v>
      </c>
      <c r="L15" s="8">
        <f t="shared" si="8"/>
        <v>0.66618141316241986</v>
      </c>
      <c r="M15" s="8">
        <f t="shared" si="9"/>
        <v>0.62632440553731772</v>
      </c>
      <c r="N15" s="8">
        <f t="shared" si="10"/>
        <v>0.67444669124135803</v>
      </c>
      <c r="O15" s="8">
        <f t="shared" si="11"/>
        <v>0.61829699884935807</v>
      </c>
      <c r="P15" s="8">
        <f t="shared" si="12"/>
        <v>0.71139734618249362</v>
      </c>
    </row>
    <row r="16" spans="1:16" x14ac:dyDescent="0.3">
      <c r="J16" s="11" t="s">
        <v>26</v>
      </c>
      <c r="K16" s="9">
        <f>SUM(K10:K15)</f>
        <v>0.98829616099295314</v>
      </c>
      <c r="L16" s="9">
        <f t="shared" ref="L16:P16" si="13">SUM(L10:L15)</f>
        <v>1.0243882921309839</v>
      </c>
      <c r="M16" s="9">
        <f t="shared" si="13"/>
        <v>0.90040656458508561</v>
      </c>
      <c r="N16" s="9">
        <f t="shared" si="13"/>
        <v>1.0802352629292677</v>
      </c>
      <c r="O16" s="9">
        <f t="shared" si="13"/>
        <v>0.86985355035055578</v>
      </c>
      <c r="P16" s="9">
        <f t="shared" si="13"/>
        <v>1.1401241127997235</v>
      </c>
    </row>
    <row r="17" spans="10:16" x14ac:dyDescent="0.3">
      <c r="J17" s="12" t="s">
        <v>27</v>
      </c>
      <c r="K17" s="13">
        <f>1-K16</f>
        <v>1.1703839007046857E-2</v>
      </c>
      <c r="L17" s="13">
        <f t="shared" ref="L17:P17" si="14">1-L16</f>
        <v>-2.4388292130983924E-2</v>
      </c>
      <c r="M17" s="13">
        <f t="shared" si="14"/>
        <v>9.9593435414914389E-2</v>
      </c>
      <c r="N17" s="13">
        <f t="shared" si="14"/>
        <v>-8.0235262929267748E-2</v>
      </c>
      <c r="O17" s="13">
        <f t="shared" si="14"/>
        <v>0.13014644964944422</v>
      </c>
      <c r="P17" s="13">
        <f t="shared" si="14"/>
        <v>-0.14012411279972348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F471-295F-4D4A-A152-857BFE70D681}">
  <dimension ref="A1:P29"/>
  <sheetViews>
    <sheetView workbookViewId="0">
      <selection activeCell="J2" sqref="J2:P2"/>
    </sheetView>
  </sheetViews>
  <sheetFormatPr defaultRowHeight="14.4" x14ac:dyDescent="0.3"/>
  <cols>
    <col min="1" max="1" width="12.5546875" customWidth="1"/>
  </cols>
  <sheetData>
    <row r="1" spans="1:16" ht="36.6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10" t="s">
        <v>7</v>
      </c>
      <c r="K1" s="6" t="s">
        <v>8</v>
      </c>
      <c r="L1" s="14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8" t="s">
        <v>37</v>
      </c>
      <c r="B2" s="7">
        <v>2.0993408069866062E-2</v>
      </c>
      <c r="C2" s="7">
        <v>3.1496062992125984E-2</v>
      </c>
      <c r="D2" s="7">
        <v>3.1578947368421054E-2</v>
      </c>
      <c r="E2" s="7">
        <v>8.4745762711864406E-3</v>
      </c>
      <c r="F2" s="7">
        <v>4.048582995951417E-3</v>
      </c>
      <c r="G2" s="7">
        <v>4.1666666666666664E-2</v>
      </c>
      <c r="H2" s="7">
        <v>0</v>
      </c>
      <c r="I2" s="7">
        <v>2.0993408069866062E-2</v>
      </c>
      <c r="J2" s="7">
        <v>2.0993408069866062E-2</v>
      </c>
      <c r="K2" s="7">
        <v>3.1496062992125984E-2</v>
      </c>
      <c r="L2" s="7">
        <v>3.1578947368421054E-2</v>
      </c>
      <c r="M2" s="7">
        <v>8.4745762711864406E-3</v>
      </c>
      <c r="N2" s="7">
        <v>4.048582995951417E-3</v>
      </c>
      <c r="O2" s="7">
        <v>4.1666666666666664E-2</v>
      </c>
      <c r="P2" s="7">
        <v>0</v>
      </c>
    </row>
    <row r="3" spans="1:16" x14ac:dyDescent="0.3">
      <c r="A3" s="8" t="s">
        <v>38</v>
      </c>
      <c r="B3" s="7">
        <v>2.2239016948678116E-2</v>
      </c>
      <c r="C3" s="7">
        <v>2.3622047244094488E-2</v>
      </c>
      <c r="D3" s="7">
        <v>2.1052631578947368E-2</v>
      </c>
      <c r="E3" s="7">
        <v>1.6949152542372881E-2</v>
      </c>
      <c r="F3" s="7">
        <v>8.0971659919028341E-3</v>
      </c>
      <c r="G3" s="7">
        <v>4.6296296296296294E-3</v>
      </c>
      <c r="H3" s="7">
        <v>9.1743119266055051E-3</v>
      </c>
      <c r="I3" s="7">
        <v>4.3232425018544178E-2</v>
      </c>
      <c r="J3" s="7">
        <f t="shared" ref="J3:P13" si="0">J2+B3</f>
        <v>4.3232425018544178E-2</v>
      </c>
      <c r="K3" s="7">
        <f t="shared" si="0"/>
        <v>5.5118110236220472E-2</v>
      </c>
      <c r="L3" s="15">
        <f t="shared" si="0"/>
        <v>5.2631578947368418E-2</v>
      </c>
      <c r="M3" s="7">
        <f t="shared" si="0"/>
        <v>2.5423728813559324E-2</v>
      </c>
      <c r="N3" s="7">
        <f t="shared" si="0"/>
        <v>1.2145748987854251E-2</v>
      </c>
      <c r="O3" s="7">
        <f t="shared" si="0"/>
        <v>4.6296296296296294E-2</v>
      </c>
      <c r="P3" s="7">
        <f t="shared" si="0"/>
        <v>9.1743119266055051E-3</v>
      </c>
    </row>
    <row r="4" spans="1:16" x14ac:dyDescent="0.3">
      <c r="A4" s="8" t="s">
        <v>39</v>
      </c>
      <c r="B4" s="7">
        <v>2.8383087710458915E-2</v>
      </c>
      <c r="C4" s="7">
        <v>2.3622047244094488E-2</v>
      </c>
      <c r="D4" s="7">
        <v>2.1052631578947368E-2</v>
      </c>
      <c r="E4" s="7">
        <v>8.4745762711864406E-3</v>
      </c>
      <c r="F4" s="7">
        <v>2.4291497975708502E-2</v>
      </c>
      <c r="G4" s="7">
        <v>2.7777777777777776E-2</v>
      </c>
      <c r="H4" s="7">
        <v>6.4220183486238536E-2</v>
      </c>
      <c r="I4" s="7">
        <v>7.16155127290031E-2</v>
      </c>
      <c r="J4" s="7">
        <f t="shared" si="0"/>
        <v>7.16155127290031E-2</v>
      </c>
      <c r="K4" s="7">
        <f t="shared" si="0"/>
        <v>7.874015748031496E-2</v>
      </c>
      <c r="L4" s="15">
        <f t="shared" si="0"/>
        <v>7.3684210526315783E-2</v>
      </c>
      <c r="M4" s="7">
        <f t="shared" si="0"/>
        <v>3.3898305084745763E-2</v>
      </c>
      <c r="N4" s="7">
        <f t="shared" si="0"/>
        <v>3.643724696356275E-2</v>
      </c>
      <c r="O4" s="7">
        <f t="shared" si="0"/>
        <v>7.407407407407407E-2</v>
      </c>
      <c r="P4" s="7">
        <f t="shared" si="0"/>
        <v>7.3394495412844041E-2</v>
      </c>
    </row>
    <row r="5" spans="1:16" x14ac:dyDescent="0.3">
      <c r="A5" s="8" t="s">
        <v>32</v>
      </c>
      <c r="B5" s="7">
        <v>3.104225273264195E-2</v>
      </c>
      <c r="C5" s="7">
        <v>2.3622047244094488E-2</v>
      </c>
      <c r="D5" s="7">
        <v>4.2105263157894736E-2</v>
      </c>
      <c r="E5" s="7">
        <v>8.4745762711864406E-3</v>
      </c>
      <c r="F5" s="7">
        <v>5.2631578947368418E-2</v>
      </c>
      <c r="G5" s="7">
        <v>3.2407407407407406E-2</v>
      </c>
      <c r="H5" s="7">
        <v>1.834862385321101E-2</v>
      </c>
      <c r="I5" s="7">
        <v>0.10265776546164505</v>
      </c>
      <c r="J5" s="7">
        <f t="shared" si="0"/>
        <v>0.10265776546164505</v>
      </c>
      <c r="K5" s="7">
        <f t="shared" si="0"/>
        <v>0.10236220472440945</v>
      </c>
      <c r="L5" s="15">
        <f t="shared" si="0"/>
        <v>0.11578947368421053</v>
      </c>
      <c r="M5" s="7">
        <f t="shared" si="0"/>
        <v>4.2372881355932202E-2</v>
      </c>
      <c r="N5" s="7">
        <f t="shared" si="0"/>
        <v>8.9068825910931168E-2</v>
      </c>
      <c r="O5" s="7">
        <f t="shared" si="0"/>
        <v>0.10648148148148148</v>
      </c>
      <c r="P5" s="7">
        <f t="shared" si="0"/>
        <v>9.1743119266055051E-2</v>
      </c>
    </row>
    <row r="6" spans="1:16" x14ac:dyDescent="0.3">
      <c r="A6" s="8" t="s">
        <v>34</v>
      </c>
      <c r="B6" s="7">
        <v>3.258176932443213E-2</v>
      </c>
      <c r="C6" s="7">
        <v>4.7244094488188976E-2</v>
      </c>
      <c r="D6" s="7">
        <v>1.0526315789473684E-2</v>
      </c>
      <c r="E6" s="7">
        <v>7.6271186440677971E-2</v>
      </c>
      <c r="F6" s="7">
        <v>4.048582995951417E-2</v>
      </c>
      <c r="G6" s="7">
        <v>4.1666666666666664E-2</v>
      </c>
      <c r="H6" s="7">
        <v>8.2568807339449546E-2</v>
      </c>
      <c r="I6" s="7">
        <v>0.1352395347860772</v>
      </c>
      <c r="J6" s="7">
        <f t="shared" si="0"/>
        <v>0.1352395347860772</v>
      </c>
      <c r="K6" s="7">
        <f t="shared" si="0"/>
        <v>0.14960629921259844</v>
      </c>
      <c r="L6" s="15">
        <f t="shared" si="0"/>
        <v>0.12631578947368421</v>
      </c>
      <c r="M6" s="7">
        <f t="shared" si="0"/>
        <v>0.11864406779661017</v>
      </c>
      <c r="N6" s="7">
        <f t="shared" si="0"/>
        <v>0.12955465587044535</v>
      </c>
      <c r="O6" s="7">
        <f t="shared" si="0"/>
        <v>0.14814814814814814</v>
      </c>
      <c r="P6" s="7">
        <f t="shared" si="0"/>
        <v>0.1743119266055046</v>
      </c>
    </row>
    <row r="7" spans="1:16" x14ac:dyDescent="0.3">
      <c r="A7" s="8" t="s">
        <v>31</v>
      </c>
      <c r="B7" s="7">
        <v>3.531791017620467E-2</v>
      </c>
      <c r="C7" s="7">
        <v>3.937007874015748E-2</v>
      </c>
      <c r="D7" s="7">
        <v>2.1052631578947368E-2</v>
      </c>
      <c r="E7" s="7">
        <v>4.2372881355932202E-2</v>
      </c>
      <c r="F7" s="7">
        <v>2.4291497975708502E-2</v>
      </c>
      <c r="G7" s="7">
        <v>7.407407407407407E-2</v>
      </c>
      <c r="H7" s="7">
        <v>1.834862385321101E-2</v>
      </c>
      <c r="I7" s="7">
        <v>0.17055744496228187</v>
      </c>
      <c r="J7" s="7">
        <f t="shared" si="0"/>
        <v>0.17055744496228187</v>
      </c>
      <c r="K7" s="7">
        <f t="shared" si="0"/>
        <v>0.1889763779527559</v>
      </c>
      <c r="L7" s="15">
        <f t="shared" si="0"/>
        <v>0.14736842105263159</v>
      </c>
      <c r="M7" s="7">
        <f t="shared" si="0"/>
        <v>0.16101694915254239</v>
      </c>
      <c r="N7" s="7">
        <f t="shared" si="0"/>
        <v>0.15384615384615385</v>
      </c>
      <c r="O7" s="7">
        <f t="shared" si="0"/>
        <v>0.22222222222222221</v>
      </c>
      <c r="P7" s="7">
        <f t="shared" si="0"/>
        <v>0.19266055045871561</v>
      </c>
    </row>
    <row r="8" spans="1:16" x14ac:dyDescent="0.3">
      <c r="A8" s="8" t="s">
        <v>33</v>
      </c>
      <c r="B8" s="7">
        <v>3.8005066409147525E-2</v>
      </c>
      <c r="C8" s="7">
        <v>4.7244094488188976E-2</v>
      </c>
      <c r="D8" s="7">
        <v>5.2631578947368418E-2</v>
      </c>
      <c r="E8" s="7">
        <v>8.4745762711864406E-3</v>
      </c>
      <c r="F8" s="7">
        <v>4.8582995951417005E-2</v>
      </c>
      <c r="G8" s="7">
        <v>7.8703703703703706E-2</v>
      </c>
      <c r="H8" s="7">
        <v>8.2568807339449546E-2</v>
      </c>
      <c r="I8" s="7">
        <v>0.20856251137142939</v>
      </c>
      <c r="J8" s="7">
        <f t="shared" si="0"/>
        <v>0.20856251137142939</v>
      </c>
      <c r="K8" s="7">
        <f t="shared" si="0"/>
        <v>0.23622047244094488</v>
      </c>
      <c r="L8" s="15">
        <f t="shared" si="0"/>
        <v>0.2</v>
      </c>
      <c r="M8" s="7">
        <f t="shared" si="0"/>
        <v>0.16949152542372883</v>
      </c>
      <c r="N8" s="7">
        <f t="shared" si="0"/>
        <v>0.20242914979757087</v>
      </c>
      <c r="O8" s="7">
        <f t="shared" si="0"/>
        <v>0.30092592592592593</v>
      </c>
      <c r="P8" s="7">
        <f t="shared" si="0"/>
        <v>0.27522935779816515</v>
      </c>
    </row>
    <row r="9" spans="1:16" x14ac:dyDescent="0.3">
      <c r="A9" s="8" t="s">
        <v>30</v>
      </c>
      <c r="B9" s="7">
        <v>6.1650641698506668E-2</v>
      </c>
      <c r="C9" s="7">
        <v>8.6614173228346455E-2</v>
      </c>
      <c r="D9" s="7">
        <v>3.1578947368421054E-2</v>
      </c>
      <c r="E9" s="7">
        <v>5.9322033898305086E-2</v>
      </c>
      <c r="F9" s="7">
        <v>1.2145748987854251E-2</v>
      </c>
      <c r="G9" s="7">
        <v>5.0925925925925923E-2</v>
      </c>
      <c r="H9" s="7">
        <v>5.5045871559633031E-2</v>
      </c>
      <c r="I9" s="7">
        <v>0.27021315306993604</v>
      </c>
      <c r="J9" s="7">
        <f t="shared" si="0"/>
        <v>0.27021315306993604</v>
      </c>
      <c r="K9" s="7">
        <f t="shared" si="0"/>
        <v>0.32283464566929132</v>
      </c>
      <c r="L9" s="15">
        <f t="shared" si="0"/>
        <v>0.23157894736842105</v>
      </c>
      <c r="M9" s="7">
        <f t="shared" si="0"/>
        <v>0.22881355932203393</v>
      </c>
      <c r="N9" s="7">
        <f t="shared" si="0"/>
        <v>0.21457489878542513</v>
      </c>
      <c r="O9" s="7">
        <f t="shared" si="0"/>
        <v>0.35185185185185186</v>
      </c>
      <c r="P9" s="7">
        <f t="shared" si="0"/>
        <v>0.33027522935779818</v>
      </c>
    </row>
    <row r="10" spans="1:16" x14ac:dyDescent="0.3">
      <c r="A10" s="8" t="s">
        <v>29</v>
      </c>
      <c r="B10" s="7">
        <v>6.5940294747449307E-2</v>
      </c>
      <c r="C10" s="7">
        <v>4.7244094488188976E-2</v>
      </c>
      <c r="D10" s="7">
        <v>7.3684210526315783E-2</v>
      </c>
      <c r="E10" s="7">
        <v>3.3898305084745763E-2</v>
      </c>
      <c r="F10" s="7">
        <v>4.4534412955465584E-2</v>
      </c>
      <c r="G10" s="7">
        <v>4.6296296296296294E-2</v>
      </c>
      <c r="H10" s="7">
        <v>5.5045871559633031E-2</v>
      </c>
      <c r="I10" s="7">
        <v>0.33615344781738532</v>
      </c>
      <c r="J10" s="7">
        <f t="shared" si="0"/>
        <v>0.33615344781738532</v>
      </c>
      <c r="K10" s="7">
        <f t="shared" si="0"/>
        <v>0.37007874015748032</v>
      </c>
      <c r="L10" s="15">
        <f t="shared" si="0"/>
        <v>0.30526315789473685</v>
      </c>
      <c r="M10" s="7">
        <f t="shared" si="0"/>
        <v>0.26271186440677968</v>
      </c>
      <c r="N10" s="7">
        <f t="shared" si="0"/>
        <v>0.25910931174089069</v>
      </c>
      <c r="O10" s="7">
        <f t="shared" si="0"/>
        <v>0.39814814814814814</v>
      </c>
      <c r="P10" s="7">
        <f t="shared" si="0"/>
        <v>0.38532110091743121</v>
      </c>
    </row>
    <row r="11" spans="1:16" x14ac:dyDescent="0.3">
      <c r="A11" s="8" t="s">
        <v>35</v>
      </c>
      <c r="B11" s="7">
        <v>8.2651047571062689E-2</v>
      </c>
      <c r="C11" s="7">
        <v>5.5118110236220472E-2</v>
      </c>
      <c r="D11" s="7">
        <v>8.4210526315789472E-2</v>
      </c>
      <c r="E11" s="7">
        <v>5.9322033898305086E-2</v>
      </c>
      <c r="F11" s="7">
        <v>0.21052631578947367</v>
      </c>
      <c r="G11" s="7">
        <v>0.17592592592592593</v>
      </c>
      <c r="H11" s="7">
        <v>0.14678899082568808</v>
      </c>
      <c r="I11" s="7">
        <v>0.41880449538844799</v>
      </c>
      <c r="J11" s="7">
        <f t="shared" si="0"/>
        <v>0.41880449538844799</v>
      </c>
      <c r="K11" s="7">
        <f t="shared" si="0"/>
        <v>0.42519685039370081</v>
      </c>
      <c r="L11" s="15">
        <f t="shared" si="0"/>
        <v>0.38947368421052631</v>
      </c>
      <c r="M11" s="7">
        <f t="shared" si="0"/>
        <v>0.32203389830508478</v>
      </c>
      <c r="N11" s="7">
        <f t="shared" si="0"/>
        <v>0.46963562753036436</v>
      </c>
      <c r="O11" s="7">
        <f t="shared" si="0"/>
        <v>0.57407407407407407</v>
      </c>
      <c r="P11" s="7">
        <f t="shared" si="0"/>
        <v>0.5321100917431193</v>
      </c>
    </row>
    <row r="12" spans="1:16" x14ac:dyDescent="0.3">
      <c r="A12" s="8" t="s">
        <v>36</v>
      </c>
      <c r="B12" s="7">
        <v>0.24583280849813158</v>
      </c>
      <c r="C12" s="7">
        <v>0.11023622047244094</v>
      </c>
      <c r="D12" s="7">
        <v>0.25263157894736843</v>
      </c>
      <c r="E12" s="7">
        <v>0.44067796610169491</v>
      </c>
      <c r="F12" s="7">
        <v>0.2793522267206478</v>
      </c>
      <c r="G12" s="7">
        <v>0.20370370370370369</v>
      </c>
      <c r="H12" s="7">
        <v>0.26605504587155965</v>
      </c>
      <c r="I12" s="7">
        <v>0.6646373038865796</v>
      </c>
      <c r="J12" s="7">
        <f t="shared" si="0"/>
        <v>0.6646373038865796</v>
      </c>
      <c r="K12" s="7">
        <f t="shared" si="0"/>
        <v>0.53543307086614178</v>
      </c>
      <c r="L12" s="15">
        <f t="shared" si="0"/>
        <v>0.64210526315789473</v>
      </c>
      <c r="M12" s="7">
        <f t="shared" si="0"/>
        <v>0.76271186440677963</v>
      </c>
      <c r="N12" s="7">
        <f t="shared" si="0"/>
        <v>0.74898785425101222</v>
      </c>
      <c r="O12" s="7">
        <f t="shared" si="0"/>
        <v>0.77777777777777779</v>
      </c>
      <c r="P12" s="7">
        <f t="shared" si="0"/>
        <v>0.798165137614679</v>
      </c>
    </row>
    <row r="13" spans="1:16" x14ac:dyDescent="0.3">
      <c r="A13" s="8" t="s">
        <v>28</v>
      </c>
      <c r="B13" s="7">
        <v>0.3353626961134204</v>
      </c>
      <c r="C13" s="7">
        <v>0.46456692913385828</v>
      </c>
      <c r="D13" s="7">
        <v>0.35789473684210527</v>
      </c>
      <c r="E13" s="7">
        <v>0.23728813559322035</v>
      </c>
      <c r="F13" s="7">
        <v>0.25101214574898784</v>
      </c>
      <c r="G13" s="7">
        <v>0.22222222222222221</v>
      </c>
      <c r="H13" s="7">
        <v>0.20183486238532111</v>
      </c>
      <c r="I13" s="7">
        <v>1</v>
      </c>
      <c r="J13" s="7">
        <f t="shared" si="0"/>
        <v>1</v>
      </c>
      <c r="K13" s="7">
        <f t="shared" si="0"/>
        <v>1</v>
      </c>
      <c r="L13" s="15">
        <f t="shared" si="0"/>
        <v>1</v>
      </c>
      <c r="M13" s="7">
        <f t="shared" si="0"/>
        <v>1</v>
      </c>
      <c r="N13" s="7">
        <f t="shared" si="0"/>
        <v>1</v>
      </c>
      <c r="O13" s="7">
        <f t="shared" si="0"/>
        <v>1</v>
      </c>
      <c r="P13" s="7">
        <f t="shared" si="0"/>
        <v>1</v>
      </c>
    </row>
    <row r="15" spans="1:16" ht="28.8" x14ac:dyDescent="0.3">
      <c r="B15" s="1" t="s">
        <v>6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J15" s="8"/>
      <c r="K15" s="9" t="s">
        <v>20</v>
      </c>
      <c r="L15" s="9" t="s">
        <v>21</v>
      </c>
      <c r="M15" s="9" t="s">
        <v>22</v>
      </c>
      <c r="N15" s="9" t="s">
        <v>23</v>
      </c>
      <c r="O15" s="9" t="s">
        <v>24</v>
      </c>
      <c r="P15" s="9" t="s">
        <v>25</v>
      </c>
    </row>
    <row r="16" spans="1:16" x14ac:dyDescent="0.3">
      <c r="B16" s="8" t="s">
        <v>37</v>
      </c>
      <c r="C16" s="7">
        <f>C2-B2</f>
        <v>1.0502654922259921E-2</v>
      </c>
      <c r="D16" s="7">
        <f>D2-B2</f>
        <v>1.0585539298554991E-2</v>
      </c>
      <c r="E16" s="7">
        <f>E2-B2</f>
        <v>-1.2518831798679622E-2</v>
      </c>
      <c r="F16" s="7">
        <f>F2-B2</f>
        <v>-1.6944825073914645E-2</v>
      </c>
      <c r="G16" s="7">
        <f>G2-B2</f>
        <v>2.0673258596800602E-2</v>
      </c>
      <c r="H16" s="7">
        <f>H2-B2</f>
        <v>-2.0993408069866062E-2</v>
      </c>
      <c r="J16" s="8" t="s">
        <v>40</v>
      </c>
      <c r="K16" s="8">
        <f>($J2-0) * ((K2+0))</f>
        <v>6.6120970298790742E-4</v>
      </c>
      <c r="L16" s="8">
        <f t="shared" ref="L16:P16" si="1">($J2-0) * ((L2+0))</f>
        <v>6.6294972852208622E-4</v>
      </c>
      <c r="M16" s="8">
        <f t="shared" si="1"/>
        <v>1.7791023788022087E-4</v>
      </c>
      <c r="N16" s="8">
        <f t="shared" si="1"/>
        <v>8.4993554938728993E-5</v>
      </c>
      <c r="O16" s="8">
        <f t="shared" si="1"/>
        <v>8.7472533624441927E-4</v>
      </c>
      <c r="P16" s="8">
        <f t="shared" si="1"/>
        <v>0</v>
      </c>
    </row>
    <row r="17" spans="2:16" x14ac:dyDescent="0.3">
      <c r="B17" s="8" t="s">
        <v>38</v>
      </c>
      <c r="C17" s="7">
        <f t="shared" ref="C17:C27" si="2">C3-B3</f>
        <v>1.3830302954163723E-3</v>
      </c>
      <c r="D17" s="7">
        <f t="shared" ref="D17:D27" si="3">D3-B3</f>
        <v>-1.1863853697307476E-3</v>
      </c>
      <c r="E17" s="7">
        <f t="shared" ref="E17:E27" si="4">E3-B3</f>
        <v>-5.2898644063052343E-3</v>
      </c>
      <c r="F17" s="7">
        <f t="shared" ref="F17:F27" si="5">F3-B3</f>
        <v>-1.4141850956775281E-2</v>
      </c>
      <c r="G17" s="7">
        <f t="shared" ref="G17:G27" si="6">G3-B3</f>
        <v>-1.7609387319048486E-2</v>
      </c>
      <c r="H17" s="7">
        <f t="shared" ref="H17:H27" si="7">H3-B3</f>
        <v>-1.306470502207261E-2</v>
      </c>
      <c r="J17" s="8" t="s">
        <v>41</v>
      </c>
      <c r="K17" s="8">
        <f>($J3-$J2) * ((K3+K2))</f>
        <v>1.9262140664209392E-3</v>
      </c>
      <c r="L17" s="8">
        <f t="shared" ref="L17:P17" si="8">($J3-$J2) * ((L3+L2))</f>
        <v>1.8727593219939466E-3</v>
      </c>
      <c r="M17" s="8">
        <f t="shared" si="8"/>
        <v>7.5386498131112256E-4</v>
      </c>
      <c r="N17" s="8">
        <f t="shared" si="8"/>
        <v>3.6014602346037437E-4</v>
      </c>
      <c r="O17" s="8">
        <f t="shared" si="8"/>
        <v>1.9562098241892789E-3</v>
      </c>
      <c r="P17" s="8">
        <f t="shared" si="8"/>
        <v>2.040276784282396E-4</v>
      </c>
    </row>
    <row r="18" spans="2:16" x14ac:dyDescent="0.3">
      <c r="B18" s="8" t="s">
        <v>39</v>
      </c>
      <c r="C18" s="7">
        <f t="shared" si="2"/>
        <v>-4.7610404663644273E-3</v>
      </c>
      <c r="D18" s="7">
        <f t="shared" si="3"/>
        <v>-7.3304561315115473E-3</v>
      </c>
      <c r="E18" s="7">
        <f t="shared" si="4"/>
        <v>-1.9908511439272476E-2</v>
      </c>
      <c r="F18" s="7">
        <f t="shared" si="5"/>
        <v>-4.0915897347504129E-3</v>
      </c>
      <c r="G18" s="7">
        <f t="shared" si="6"/>
        <v>-6.0530993268113897E-4</v>
      </c>
      <c r="H18" s="7">
        <f t="shared" si="7"/>
        <v>3.583709577577962E-2</v>
      </c>
      <c r="J18" s="8" t="s">
        <v>42</v>
      </c>
      <c r="K18" s="8">
        <f t="shared" ref="K18:P27" si="9">($J4-$J3) * ((K4+K3))</f>
        <v>3.7993109533685167E-3</v>
      </c>
      <c r="L18" s="8">
        <f t="shared" si="9"/>
        <v>3.5852321318474429E-3</v>
      </c>
      <c r="M18" s="8">
        <f t="shared" si="9"/>
        <v>1.6837424912984106E-3</v>
      </c>
      <c r="N18" s="8">
        <f t="shared" si="9"/>
        <v>1.3789354353259395E-3</v>
      </c>
      <c r="O18" s="8">
        <f t="shared" si="9"/>
        <v>3.4164827799626481E-3</v>
      </c>
      <c r="P18" s="8">
        <f t="shared" si="9"/>
        <v>2.3435577008635807E-3</v>
      </c>
    </row>
    <row r="19" spans="2:16" x14ac:dyDescent="0.3">
      <c r="B19" s="8" t="s">
        <v>32</v>
      </c>
      <c r="C19" s="7">
        <f t="shared" si="2"/>
        <v>-7.4202054885474621E-3</v>
      </c>
      <c r="D19" s="7">
        <f t="shared" si="3"/>
        <v>1.1063010425252786E-2</v>
      </c>
      <c r="E19" s="7">
        <f t="shared" si="4"/>
        <v>-2.2567676461455508E-2</v>
      </c>
      <c r="F19" s="7">
        <f t="shared" si="5"/>
        <v>2.1589326214726468E-2</v>
      </c>
      <c r="G19" s="7">
        <f t="shared" si="6"/>
        <v>1.3651546747654557E-3</v>
      </c>
      <c r="H19" s="7">
        <f t="shared" si="7"/>
        <v>-1.269362887943094E-2</v>
      </c>
      <c r="J19" s="8" t="s">
        <v>43</v>
      </c>
      <c r="K19" s="8">
        <f t="shared" si="9"/>
        <v>5.6218252980375196E-3</v>
      </c>
      <c r="L19" s="8">
        <f t="shared" si="9"/>
        <v>5.8816899914479488E-3</v>
      </c>
      <c r="M19" s="8">
        <f t="shared" si="9"/>
        <v>2.3676294457099793E-3</v>
      </c>
      <c r="N19" s="8">
        <f t="shared" si="9"/>
        <v>3.8959912336514191E-3</v>
      </c>
      <c r="O19" s="8">
        <f t="shared" si="9"/>
        <v>5.6048511878381306E-3</v>
      </c>
      <c r="P19" s="8">
        <f t="shared" si="9"/>
        <v>5.1262435705280293E-3</v>
      </c>
    </row>
    <row r="20" spans="2:16" x14ac:dyDescent="0.3">
      <c r="B20" s="8" t="s">
        <v>34</v>
      </c>
      <c r="C20" s="7">
        <f t="shared" si="2"/>
        <v>1.4662325163756845E-2</v>
      </c>
      <c r="D20" s="7">
        <f t="shared" si="3"/>
        <v>-2.2055453534958448E-2</v>
      </c>
      <c r="E20" s="7">
        <f t="shared" si="4"/>
        <v>4.3689417116245841E-2</v>
      </c>
      <c r="F20" s="7">
        <f t="shared" si="5"/>
        <v>7.90406063508204E-3</v>
      </c>
      <c r="G20" s="7">
        <f t="shared" si="6"/>
        <v>9.0848973422345339E-3</v>
      </c>
      <c r="H20" s="7">
        <f t="shared" si="7"/>
        <v>4.9987038015017415E-2</v>
      </c>
      <c r="J20" s="8" t="s">
        <v>44</v>
      </c>
      <c r="K20" s="8">
        <f t="shared" si="9"/>
        <v>8.209579672297863E-3</v>
      </c>
      <c r="L20" s="8">
        <f t="shared" si="9"/>
        <v>7.8882178364414659E-3</v>
      </c>
      <c r="M20" s="8">
        <f t="shared" si="9"/>
        <v>5.2462170946119564E-3</v>
      </c>
      <c r="N20" s="8">
        <f t="shared" si="9"/>
        <v>7.1231398523050032E-3</v>
      </c>
      <c r="O20" s="8">
        <f t="shared" si="9"/>
        <v>8.2962838557581863E-3</v>
      </c>
      <c r="P20" s="8">
        <f t="shared" si="9"/>
        <v>8.6685441321883699E-3</v>
      </c>
    </row>
    <row r="21" spans="2:16" x14ac:dyDescent="0.3">
      <c r="B21" s="8" t="s">
        <v>31</v>
      </c>
      <c r="C21" s="7">
        <f t="shared" si="2"/>
        <v>4.0521685639528099E-3</v>
      </c>
      <c r="D21" s="7">
        <f t="shared" si="3"/>
        <v>-1.4265278597257302E-2</v>
      </c>
      <c r="E21" s="7">
        <f t="shared" si="4"/>
        <v>7.0549711797275316E-3</v>
      </c>
      <c r="F21" s="7">
        <f t="shared" si="5"/>
        <v>-1.1026412200496168E-2</v>
      </c>
      <c r="G21" s="7">
        <f t="shared" si="6"/>
        <v>3.87561638978694E-2</v>
      </c>
      <c r="H21" s="7">
        <f t="shared" si="7"/>
        <v>-1.696928632299366E-2</v>
      </c>
      <c r="J21" s="8" t="s">
        <v>45</v>
      </c>
      <c r="K21" s="8">
        <f t="shared" si="9"/>
        <v>1.1958032579344888E-2</v>
      </c>
      <c r="L21" s="8">
        <f t="shared" si="9"/>
        <v>9.6659543640139102E-3</v>
      </c>
      <c r="M21" s="8">
        <f t="shared" si="9"/>
        <v>9.8770426763962228E-3</v>
      </c>
      <c r="N21" s="8">
        <f t="shared" si="9"/>
        <v>1.0009124341434522E-2</v>
      </c>
      <c r="O21" s="8">
        <f t="shared" si="9"/>
        <v>1.3080707472668396E-2</v>
      </c>
      <c r="P21" s="8">
        <f t="shared" si="9"/>
        <v>1.2960700982093457E-2</v>
      </c>
    </row>
    <row r="22" spans="2:16" x14ac:dyDescent="0.3">
      <c r="B22" s="8" t="s">
        <v>33</v>
      </c>
      <c r="C22" s="7">
        <f t="shared" si="2"/>
        <v>9.2390280790414503E-3</v>
      </c>
      <c r="D22" s="7">
        <f t="shared" si="3"/>
        <v>1.4626512538220893E-2</v>
      </c>
      <c r="E22" s="7">
        <f t="shared" si="4"/>
        <v>-2.9530490137961087E-2</v>
      </c>
      <c r="F22" s="7">
        <f t="shared" si="5"/>
        <v>1.0577929542269479E-2</v>
      </c>
      <c r="G22" s="7">
        <f t="shared" si="6"/>
        <v>4.0698637294556181E-2</v>
      </c>
      <c r="H22" s="7">
        <f t="shared" si="7"/>
        <v>4.456374093030202E-2</v>
      </c>
      <c r="J22" s="8" t="s">
        <v>46</v>
      </c>
      <c r="K22" s="8">
        <f t="shared" si="9"/>
        <v>1.6159634536172963E-2</v>
      </c>
      <c r="L22" s="8">
        <f t="shared" si="9"/>
        <v>1.3201759910545983E-2</v>
      </c>
      <c r="M22" s="8">
        <f t="shared" si="9"/>
        <v>1.2560996525057233E-2</v>
      </c>
      <c r="N22" s="8">
        <f t="shared" si="9"/>
        <v>1.3540266574918958E-2</v>
      </c>
      <c r="O22" s="8">
        <f t="shared" si="9"/>
        <v>1.9882280112192917E-2</v>
      </c>
      <c r="P22" s="8">
        <f t="shared" si="9"/>
        <v>1.7782187035472696E-2</v>
      </c>
    </row>
    <row r="23" spans="2:16" x14ac:dyDescent="0.3">
      <c r="B23" s="8" t="s">
        <v>30</v>
      </c>
      <c r="C23" s="7">
        <f t="shared" si="2"/>
        <v>2.4963531529839787E-2</v>
      </c>
      <c r="D23" s="7">
        <f t="shared" si="3"/>
        <v>-3.0071694330085615E-2</v>
      </c>
      <c r="E23" s="7">
        <f t="shared" si="4"/>
        <v>-2.328607800201582E-3</v>
      </c>
      <c r="F23" s="7">
        <f t="shared" si="5"/>
        <v>-4.9504892710652421E-2</v>
      </c>
      <c r="G23" s="7">
        <f t="shared" si="6"/>
        <v>-1.0724715772580745E-2</v>
      </c>
      <c r="H23" s="7">
        <f t="shared" si="7"/>
        <v>-6.6047701388736377E-3</v>
      </c>
      <c r="J23" s="8" t="s">
        <v>47</v>
      </c>
      <c r="K23" s="8">
        <f t="shared" si="9"/>
        <v>3.4466106776330489E-2</v>
      </c>
      <c r="L23" s="8">
        <f t="shared" si="9"/>
        <v>2.6607119048829186E-2</v>
      </c>
      <c r="M23" s="8">
        <f t="shared" si="9"/>
        <v>2.4555764066354346E-2</v>
      </c>
      <c r="N23" s="8">
        <f t="shared" si="9"/>
        <v>2.5708567186016947E-2</v>
      </c>
      <c r="O23" s="8">
        <f t="shared" si="9"/>
        <v>4.0244168886525176E-2</v>
      </c>
      <c r="P23" s="8">
        <f t="shared" si="9"/>
        <v>3.7329746349554487E-2</v>
      </c>
    </row>
    <row r="24" spans="2:16" x14ac:dyDescent="0.3">
      <c r="B24" s="8" t="s">
        <v>29</v>
      </c>
      <c r="C24" s="7">
        <f t="shared" si="2"/>
        <v>-1.8696200259260332E-2</v>
      </c>
      <c r="D24" s="7">
        <f t="shared" si="3"/>
        <v>7.7439157788664753E-3</v>
      </c>
      <c r="E24" s="7">
        <f t="shared" si="4"/>
        <v>-3.2041989662703545E-2</v>
      </c>
      <c r="F24" s="7">
        <f t="shared" si="5"/>
        <v>-2.1405881791983723E-2</v>
      </c>
      <c r="G24" s="7">
        <f t="shared" si="6"/>
        <v>-1.9643998451153014E-2</v>
      </c>
      <c r="H24" s="7">
        <f t="shared" si="7"/>
        <v>-1.0894423187816277E-2</v>
      </c>
      <c r="J24" s="8" t="s">
        <v>48</v>
      </c>
      <c r="K24" s="8">
        <f t="shared" si="9"/>
        <v>4.5690912895870364E-2</v>
      </c>
      <c r="L24" s="8">
        <f t="shared" si="9"/>
        <v>3.5399526653893822E-2</v>
      </c>
      <c r="M24" s="8">
        <f t="shared" si="9"/>
        <v>3.241133131654287E-2</v>
      </c>
      <c r="N24" s="8">
        <f t="shared" si="9"/>
        <v>3.1234876459318082E-2</v>
      </c>
      <c r="O24" s="8">
        <f t="shared" si="9"/>
        <v>4.945522106058696E-2</v>
      </c>
      <c r="P24" s="8">
        <f t="shared" si="9"/>
        <v>4.7186632938541688E-2</v>
      </c>
    </row>
    <row r="25" spans="2:16" x14ac:dyDescent="0.3">
      <c r="B25" s="8" t="s">
        <v>35</v>
      </c>
      <c r="C25" s="7">
        <f t="shared" si="2"/>
        <v>-2.7532937334842217E-2</v>
      </c>
      <c r="D25" s="7">
        <f t="shared" si="3"/>
        <v>1.5594787447267833E-3</v>
      </c>
      <c r="E25" s="7">
        <f t="shared" si="4"/>
        <v>-2.3329013672757602E-2</v>
      </c>
      <c r="F25" s="7">
        <f t="shared" si="5"/>
        <v>0.127875268218411</v>
      </c>
      <c r="G25" s="7">
        <f t="shared" si="6"/>
        <v>9.3274878354863242E-2</v>
      </c>
      <c r="H25" s="7">
        <f t="shared" si="7"/>
        <v>6.4137943254625393E-2</v>
      </c>
      <c r="J25" s="8" t="s">
        <v>49</v>
      </c>
      <c r="K25" s="8">
        <f t="shared" si="9"/>
        <v>6.5730360666750628E-2</v>
      </c>
      <c r="L25" s="8">
        <f t="shared" si="9"/>
        <v>5.7420727786211961E-2</v>
      </c>
      <c r="M25" s="8">
        <f t="shared" si="9"/>
        <v>4.8329849850875628E-2</v>
      </c>
      <c r="N25" s="8">
        <f t="shared" si="9"/>
        <v>6.0231532642879684E-2</v>
      </c>
      <c r="O25" s="8">
        <f t="shared" si="9"/>
        <v>8.0355185138533153E-2</v>
      </c>
      <c r="P25" s="8">
        <f t="shared" si="9"/>
        <v>7.5826649147763922E-2</v>
      </c>
    </row>
    <row r="26" spans="2:16" x14ac:dyDescent="0.3">
      <c r="B26" s="8" t="s">
        <v>36</v>
      </c>
      <c r="C26" s="7">
        <f t="shared" si="2"/>
        <v>-0.13559658802569063</v>
      </c>
      <c r="D26" s="7">
        <f t="shared" si="3"/>
        <v>6.7987704492368517E-3</v>
      </c>
      <c r="E26" s="7">
        <f t="shared" si="4"/>
        <v>0.19484515760356333</v>
      </c>
      <c r="F26" s="7">
        <f t="shared" si="5"/>
        <v>3.3519418222516223E-2</v>
      </c>
      <c r="G26" s="7">
        <f t="shared" si="6"/>
        <v>-4.2129104794427885E-2</v>
      </c>
      <c r="H26" s="7">
        <f t="shared" si="7"/>
        <v>2.022223737342807E-2</v>
      </c>
      <c r="J26" s="8" t="s">
        <v>50</v>
      </c>
      <c r="K26" s="8">
        <f t="shared" si="9"/>
        <v>0.23615435147064612</v>
      </c>
      <c r="L26" s="8">
        <f t="shared" si="9"/>
        <v>0.25359594981912525</v>
      </c>
      <c r="M26" s="8">
        <f t="shared" si="9"/>
        <v>0.26666609735390545</v>
      </c>
      <c r="N26" s="8">
        <f t="shared" si="9"/>
        <v>0.29957763302808754</v>
      </c>
      <c r="O26" s="8">
        <f t="shared" si="9"/>
        <v>0.3323295374141409</v>
      </c>
      <c r="P26" s="8">
        <f t="shared" si="9"/>
        <v>0.32702529570852373</v>
      </c>
    </row>
    <row r="27" spans="2:16" x14ac:dyDescent="0.3">
      <c r="B27" s="8" t="s">
        <v>28</v>
      </c>
      <c r="C27" s="7">
        <f t="shared" si="2"/>
        <v>0.12920423302043788</v>
      </c>
      <c r="D27" s="7">
        <f t="shared" si="3"/>
        <v>2.2532040728684866E-2</v>
      </c>
      <c r="E27" s="7">
        <f t="shared" si="4"/>
        <v>-9.8074560520200055E-2</v>
      </c>
      <c r="F27" s="7">
        <f t="shared" si="5"/>
        <v>-8.4350550364432564E-2</v>
      </c>
      <c r="G27" s="7">
        <f t="shared" si="6"/>
        <v>-0.11314047389119819</v>
      </c>
      <c r="H27" s="7">
        <f t="shared" si="7"/>
        <v>-0.13352783372809929</v>
      </c>
      <c r="J27" s="8" t="s">
        <v>51</v>
      </c>
      <c r="K27" s="8">
        <f t="shared" si="9"/>
        <v>0.51492697434737777</v>
      </c>
      <c r="L27" s="8">
        <f t="shared" si="9"/>
        <v>0.55070084835466926</v>
      </c>
      <c r="M27" s="8">
        <f t="shared" si="9"/>
        <v>0.59114780331857153</v>
      </c>
      <c r="N27" s="8">
        <f t="shared" si="9"/>
        <v>0.58654528227124547</v>
      </c>
      <c r="O27" s="8">
        <f t="shared" si="9"/>
        <v>0.59620034864608062</v>
      </c>
      <c r="P27" s="8">
        <f t="shared" si="9"/>
        <v>0.6030375086076184</v>
      </c>
    </row>
    <row r="28" spans="2:16" x14ac:dyDescent="0.3">
      <c r="J28" s="9" t="s">
        <v>26</v>
      </c>
      <c r="K28" s="9">
        <f t="shared" ref="K28:P28" si="10">SUM(K16:K27)</f>
        <v>0.94530451296560591</v>
      </c>
      <c r="L28" s="9">
        <f t="shared" si="10"/>
        <v>0.96648273494754222</v>
      </c>
      <c r="M28" s="9">
        <f t="shared" si="10"/>
        <v>0.995778249358515</v>
      </c>
      <c r="N28" s="9">
        <f t="shared" si="10"/>
        <v>1.0396904886035827</v>
      </c>
      <c r="O28" s="9">
        <f t="shared" si="10"/>
        <v>1.1516960017147206</v>
      </c>
      <c r="P28" s="9">
        <f t="shared" si="10"/>
        <v>1.1374910938515765</v>
      </c>
    </row>
    <row r="29" spans="2:16" x14ac:dyDescent="0.3">
      <c r="J29" s="13" t="s">
        <v>27</v>
      </c>
      <c r="K29" s="13">
        <f>1-K28</f>
        <v>5.4695487034394086E-2</v>
      </c>
      <c r="L29" s="13">
        <f t="shared" ref="L29:P29" si="11">1-L28</f>
        <v>3.3517265052457779E-2</v>
      </c>
      <c r="M29" s="13">
        <f t="shared" si="11"/>
        <v>4.2217506414850003E-3</v>
      </c>
      <c r="N29" s="13">
        <f t="shared" si="11"/>
        <v>-3.9690488603582708E-2</v>
      </c>
      <c r="O29" s="13">
        <f t="shared" si="11"/>
        <v>-0.15169600171472064</v>
      </c>
      <c r="P29" s="13">
        <f t="shared" si="11"/>
        <v>-0.13749109385157654</v>
      </c>
    </row>
  </sheetData>
  <sortState xmlns:xlrd2="http://schemas.microsoft.com/office/spreadsheetml/2017/richdata2" ref="A2:P14">
    <sortCondition ref="B1:B14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1F6C-E29D-4D1F-AC70-4FECB14858F7}">
  <dimension ref="A1:P16"/>
  <sheetViews>
    <sheetView workbookViewId="0">
      <selection activeCell="J2" sqref="J2:P2"/>
    </sheetView>
  </sheetViews>
  <sheetFormatPr defaultRowHeight="14.4" x14ac:dyDescent="0.3"/>
  <cols>
    <col min="1" max="1" width="12.21875" customWidth="1"/>
  </cols>
  <sheetData>
    <row r="1" spans="1:16" ht="36.6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5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8" t="s">
        <v>53</v>
      </c>
      <c r="B2" s="7">
        <v>7.2081258872693094E-2</v>
      </c>
      <c r="C2" s="7">
        <v>2.3809523809523808E-2</v>
      </c>
      <c r="D2" s="7">
        <v>3.125E-2</v>
      </c>
      <c r="E2" s="7">
        <v>7.6923076923076927E-2</v>
      </c>
      <c r="F2" s="7">
        <v>6.8181818181818177E-2</v>
      </c>
      <c r="G2" s="7">
        <v>0.17475728155339806</v>
      </c>
      <c r="H2" s="7">
        <v>0.17582417582417584</v>
      </c>
      <c r="I2" s="7">
        <v>7.2081258872693094E-2</v>
      </c>
      <c r="J2" s="7">
        <v>7.2081258872693094E-2</v>
      </c>
      <c r="K2" s="7">
        <v>2.3809523809523808E-2</v>
      </c>
      <c r="L2" s="7">
        <v>3.125E-2</v>
      </c>
      <c r="M2" s="7">
        <v>7.6923076923076927E-2</v>
      </c>
      <c r="N2" s="7">
        <v>6.8181818181818177E-2</v>
      </c>
      <c r="O2" s="7">
        <v>0.17475728155339806</v>
      </c>
      <c r="P2" s="7">
        <v>0.17582417582417584</v>
      </c>
    </row>
    <row r="3" spans="1:16" x14ac:dyDescent="0.3">
      <c r="A3" s="8" t="s">
        <v>55</v>
      </c>
      <c r="B3" s="7">
        <v>7.5240437486253572E-2</v>
      </c>
      <c r="C3" s="7">
        <v>4.7619047619047616E-2</v>
      </c>
      <c r="D3" s="7">
        <v>6.25E-2</v>
      </c>
      <c r="E3" s="7">
        <v>0.15384615384615385</v>
      </c>
      <c r="F3" s="7">
        <v>0.11363636363636363</v>
      </c>
      <c r="G3" s="7">
        <v>0.12621359223300971</v>
      </c>
      <c r="H3" s="7">
        <v>0.10989010989010989</v>
      </c>
      <c r="I3" s="7">
        <v>0.14732169635894665</v>
      </c>
      <c r="J3" s="7">
        <f t="shared" ref="J3:P6" si="0">J2+B3</f>
        <v>0.14732169635894665</v>
      </c>
      <c r="K3" s="7">
        <f t="shared" si="0"/>
        <v>7.1428571428571425E-2</v>
      </c>
      <c r="L3" s="7">
        <f t="shared" si="0"/>
        <v>9.375E-2</v>
      </c>
      <c r="M3" s="7">
        <f t="shared" si="0"/>
        <v>0.23076923076923078</v>
      </c>
      <c r="N3" s="7">
        <f t="shared" si="0"/>
        <v>0.18181818181818182</v>
      </c>
      <c r="O3" s="7">
        <f t="shared" si="0"/>
        <v>0.30097087378640774</v>
      </c>
      <c r="P3" s="7">
        <f t="shared" si="0"/>
        <v>0.2857142857142857</v>
      </c>
    </row>
    <row r="4" spans="1:16" x14ac:dyDescent="0.3">
      <c r="A4" s="8" t="s">
        <v>56</v>
      </c>
      <c r="B4" s="7">
        <v>8.5817687401275669E-2</v>
      </c>
      <c r="C4" s="7">
        <v>2.3809523809523808E-2</v>
      </c>
      <c r="D4" s="7">
        <v>6.25E-2</v>
      </c>
      <c r="E4" s="7">
        <v>0</v>
      </c>
      <c r="F4" s="7">
        <v>9.0909090909090912E-2</v>
      </c>
      <c r="G4" s="7">
        <v>6.7961165048543687E-2</v>
      </c>
      <c r="H4" s="7">
        <v>7.6923076923076927E-2</v>
      </c>
      <c r="I4" s="7">
        <v>0.23313938376022231</v>
      </c>
      <c r="J4" s="7">
        <f t="shared" si="0"/>
        <v>0.23313938376022231</v>
      </c>
      <c r="K4" s="7">
        <f t="shared" si="0"/>
        <v>9.5238095238095233E-2</v>
      </c>
      <c r="L4" s="7">
        <f t="shared" si="0"/>
        <v>0.15625</v>
      </c>
      <c r="M4" s="7">
        <f t="shared" si="0"/>
        <v>0.23076923076923078</v>
      </c>
      <c r="N4" s="7">
        <f t="shared" si="0"/>
        <v>0.27272727272727271</v>
      </c>
      <c r="O4" s="7">
        <f t="shared" si="0"/>
        <v>0.3689320388349514</v>
      </c>
      <c r="P4" s="7">
        <f t="shared" si="0"/>
        <v>0.36263736263736263</v>
      </c>
    </row>
    <row r="5" spans="1:16" x14ac:dyDescent="0.3">
      <c r="A5" s="8" t="s">
        <v>54</v>
      </c>
      <c r="B5" s="7">
        <v>0.34866934597004778</v>
      </c>
      <c r="C5" s="7">
        <v>0.33333333333333331</v>
      </c>
      <c r="D5" s="7">
        <v>0.34375</v>
      </c>
      <c r="E5" s="7">
        <v>0.30769230769230771</v>
      </c>
      <c r="F5" s="7">
        <v>0.15909090909090909</v>
      </c>
      <c r="G5" s="7">
        <v>0.13592233009708737</v>
      </c>
      <c r="H5" s="7">
        <v>0.14285714285714285</v>
      </c>
      <c r="I5" s="7">
        <v>0.58180872973027009</v>
      </c>
      <c r="J5" s="7">
        <f t="shared" si="0"/>
        <v>0.58180872973027009</v>
      </c>
      <c r="K5" s="7">
        <f t="shared" si="0"/>
        <v>0.42857142857142855</v>
      </c>
      <c r="L5" s="7">
        <f t="shared" si="0"/>
        <v>0.5</v>
      </c>
      <c r="M5" s="7">
        <f t="shared" si="0"/>
        <v>0.53846153846153855</v>
      </c>
      <c r="N5" s="7">
        <f t="shared" si="0"/>
        <v>0.43181818181818177</v>
      </c>
      <c r="O5" s="7">
        <f t="shared" si="0"/>
        <v>0.50485436893203883</v>
      </c>
      <c r="P5" s="7">
        <f t="shared" si="0"/>
        <v>0.50549450549450547</v>
      </c>
    </row>
    <row r="6" spans="1:16" x14ac:dyDescent="0.3">
      <c r="A6" s="8" t="s">
        <v>52</v>
      </c>
      <c r="B6" s="7">
        <v>0.41819127026972985</v>
      </c>
      <c r="C6" s="7">
        <v>0.5714285714285714</v>
      </c>
      <c r="D6" s="7">
        <v>0.5</v>
      </c>
      <c r="E6" s="7">
        <v>0.46153846153846156</v>
      </c>
      <c r="F6" s="7">
        <v>0.56818181818181823</v>
      </c>
      <c r="G6" s="7">
        <v>0.49514563106796117</v>
      </c>
      <c r="H6" s="7">
        <v>0.49450549450549453</v>
      </c>
      <c r="I6" s="7">
        <v>1</v>
      </c>
      <c r="J6" s="7">
        <f t="shared" si="0"/>
        <v>1</v>
      </c>
      <c r="K6" s="7">
        <f t="shared" si="0"/>
        <v>1</v>
      </c>
      <c r="L6" s="7">
        <f t="shared" si="0"/>
        <v>1</v>
      </c>
      <c r="M6" s="7">
        <f t="shared" si="0"/>
        <v>1</v>
      </c>
      <c r="N6" s="7">
        <f t="shared" si="0"/>
        <v>1</v>
      </c>
      <c r="O6" s="7">
        <f t="shared" si="0"/>
        <v>1</v>
      </c>
      <c r="P6" s="7">
        <f t="shared" si="0"/>
        <v>1</v>
      </c>
    </row>
    <row r="8" spans="1:16" ht="28.8" x14ac:dyDescent="0.3">
      <c r="B8" s="1" t="s">
        <v>6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J8" s="8"/>
      <c r="K8" s="9" t="s">
        <v>20</v>
      </c>
      <c r="L8" s="9" t="s">
        <v>21</v>
      </c>
      <c r="M8" s="9" t="s">
        <v>22</v>
      </c>
      <c r="N8" s="9" t="s">
        <v>23</v>
      </c>
      <c r="O8" s="9" t="s">
        <v>24</v>
      </c>
      <c r="P8" s="9" t="s">
        <v>25</v>
      </c>
    </row>
    <row r="9" spans="1:16" x14ac:dyDescent="0.3">
      <c r="B9" s="8" t="s">
        <v>53</v>
      </c>
      <c r="C9" s="7">
        <f>C2-B2</f>
        <v>-4.8271735063169285E-2</v>
      </c>
      <c r="D9" s="7">
        <f>D2-B2</f>
        <v>-4.0831258872693094E-2</v>
      </c>
      <c r="E9" s="7">
        <f>E2-B2</f>
        <v>4.8418180503838337E-3</v>
      </c>
      <c r="F9" s="7">
        <f>F2-B2</f>
        <v>-3.8994406908749168E-3</v>
      </c>
      <c r="G9" s="7">
        <f>G2-B2</f>
        <v>0.10267602268070497</v>
      </c>
      <c r="H9" s="7">
        <f>H2-B2</f>
        <v>0.10374291695148274</v>
      </c>
      <c r="J9" s="8" t="s">
        <v>53</v>
      </c>
      <c r="K9" s="8">
        <f>(J2-0) * ((K2+0))</f>
        <v>1.7162204493498354E-3</v>
      </c>
      <c r="L9" s="8">
        <f>(J2-0) * ((L2+0))</f>
        <v>2.2525393397716592E-3</v>
      </c>
      <c r="M9" s="8">
        <f>(J2-0) * ((M2+0))</f>
        <v>5.544712220976392E-3</v>
      </c>
      <c r="N9" s="8">
        <f>(J2-0) * ((N2+0))</f>
        <v>4.9146312867745286E-3</v>
      </c>
      <c r="O9" s="8">
        <f>(J2-0) * ((O2+0))</f>
        <v>1.2596724851538598E-2</v>
      </c>
      <c r="P9" s="8">
        <f>(J2-0) * ((P2+0))</f>
        <v>1.2673627933660326E-2</v>
      </c>
    </row>
    <row r="10" spans="1:16" x14ac:dyDescent="0.3">
      <c r="B10" s="8" t="s">
        <v>55</v>
      </c>
      <c r="C10" s="7">
        <f t="shared" ref="C10:C13" si="1">C3-B3</f>
        <v>-2.7621389867205956E-2</v>
      </c>
      <c r="D10" s="7">
        <f t="shared" ref="D10:D13" si="2">D3-B3</f>
        <v>-1.2740437486253572E-2</v>
      </c>
      <c r="E10" s="7">
        <f t="shared" ref="E10:E13" si="3">E3-B3</f>
        <v>7.8605716359900282E-2</v>
      </c>
      <c r="F10" s="7">
        <f t="shared" ref="F10:F13" si="4">F3-B3</f>
        <v>3.839592615011006E-2</v>
      </c>
      <c r="G10" s="7">
        <f t="shared" ref="G10:G13" si="5">G3-B3</f>
        <v>5.0973154746756136E-2</v>
      </c>
      <c r="H10" s="7">
        <f t="shared" ref="H10:H13" si="6">H3-B3</f>
        <v>3.4649672403856316E-2</v>
      </c>
      <c r="J10" s="8" t="s">
        <v>55</v>
      </c>
      <c r="K10" s="8">
        <f>(J3-J2) * ((K3+K2))</f>
        <v>7.1657559510717667E-3</v>
      </c>
      <c r="L10" s="8">
        <f>(J3-J2) * ((L3+L2))</f>
        <v>9.4050546857816948E-3</v>
      </c>
      <c r="M10" s="8">
        <f>(J3-J2) * ((M3+M2))</f>
        <v>2.3150903841924173E-2</v>
      </c>
      <c r="N10" s="8">
        <f>(J3-J2) * ((N3+N2))</f>
        <v>1.881010937156339E-2</v>
      </c>
      <c r="O10" s="8">
        <f>(J3-J2) * ((O3+O2))</f>
        <v>3.5793994532295384E-2</v>
      </c>
      <c r="P10" s="8">
        <f>(J3-J2) * ((P3+P2))</f>
        <v>3.4726355762886262E-2</v>
      </c>
    </row>
    <row r="11" spans="1:16" x14ac:dyDescent="0.3">
      <c r="B11" s="8" t="s">
        <v>56</v>
      </c>
      <c r="C11" s="7">
        <f t="shared" si="1"/>
        <v>-6.2008163591751861E-2</v>
      </c>
      <c r="D11" s="7">
        <f t="shared" si="2"/>
        <v>-2.3317687401275669E-2</v>
      </c>
      <c r="E11" s="7">
        <f t="shared" si="3"/>
        <v>-8.5817687401275669E-2</v>
      </c>
      <c r="F11" s="7">
        <f t="shared" si="4"/>
        <v>5.0914035078152425E-3</v>
      </c>
      <c r="G11" s="7">
        <f t="shared" si="5"/>
        <v>-1.7856522352731982E-2</v>
      </c>
      <c r="H11" s="7">
        <f t="shared" si="6"/>
        <v>-8.8946104781987417E-3</v>
      </c>
      <c r="J11" s="8" t="s">
        <v>56</v>
      </c>
      <c r="K11" s="8">
        <f t="shared" ref="K11:K13" si="7">(J4-J3) * ((K4+K3))</f>
        <v>1.4302947900212609E-2</v>
      </c>
      <c r="L11" s="8">
        <f t="shared" ref="L11:L13" si="8">(J4-J3) * ((L4+L3))</f>
        <v>2.1454421850318914E-2</v>
      </c>
      <c r="M11" s="8">
        <f t="shared" ref="M11:M13" si="9">(J4-J3) * ((M4+M3))</f>
        <v>3.9608163415973383E-2</v>
      </c>
      <c r="N11" s="8">
        <f t="shared" ref="N11:N13" si="10">(J4-J3) * ((N4+N3))</f>
        <v>3.9008039727852571E-2</v>
      </c>
      <c r="O11" s="8">
        <f t="shared" ref="O11:O13" si="11">(J4-J3) * ((O4+O3))</f>
        <v>5.7489518744543881E-2</v>
      </c>
      <c r="P11" s="8">
        <f t="shared" ref="P11:P13" si="12">(J4-J3) * ((P4+P3))</f>
        <v>5.5640039084343548E-2</v>
      </c>
    </row>
    <row r="12" spans="1:16" x14ac:dyDescent="0.3">
      <c r="B12" s="8" t="s">
        <v>54</v>
      </c>
      <c r="C12" s="7">
        <f t="shared" si="1"/>
        <v>-1.5336012636714469E-2</v>
      </c>
      <c r="D12" s="7">
        <f t="shared" si="2"/>
        <v>-4.9193459700477837E-3</v>
      </c>
      <c r="E12" s="7">
        <f t="shared" si="3"/>
        <v>-4.0977038277740074E-2</v>
      </c>
      <c r="F12" s="7">
        <f t="shared" si="4"/>
        <v>-0.1895784368791387</v>
      </c>
      <c r="G12" s="7">
        <f t="shared" si="5"/>
        <v>-0.21274701587296041</v>
      </c>
      <c r="H12" s="7">
        <f t="shared" si="6"/>
        <v>-0.20581220311290493</v>
      </c>
      <c r="J12" s="8" t="s">
        <v>54</v>
      </c>
      <c r="K12" s="8">
        <f t="shared" si="7"/>
        <v>0.1826363240795488</v>
      </c>
      <c r="L12" s="8">
        <f t="shared" si="8"/>
        <v>0.22881425829284385</v>
      </c>
      <c r="M12" s="8">
        <f t="shared" si="9"/>
        <v>0.26820718920772912</v>
      </c>
      <c r="N12" s="8">
        <f t="shared" si="10"/>
        <v>0.24565340284253365</v>
      </c>
      <c r="O12" s="8">
        <f t="shared" si="11"/>
        <v>0.30466253531363396</v>
      </c>
      <c r="P12" s="8">
        <f t="shared" si="12"/>
        <v>0.30269097067729422</v>
      </c>
    </row>
    <row r="13" spans="1:16" x14ac:dyDescent="0.3">
      <c r="B13" s="8" t="s">
        <v>52</v>
      </c>
      <c r="C13" s="7">
        <f t="shared" si="1"/>
        <v>0.15323730115884154</v>
      </c>
      <c r="D13" s="7">
        <f t="shared" si="2"/>
        <v>8.1808729730270147E-2</v>
      </c>
      <c r="E13" s="7">
        <f t="shared" si="3"/>
        <v>4.3347191268731711E-2</v>
      </c>
      <c r="F13" s="7">
        <f t="shared" si="4"/>
        <v>0.14999054791208838</v>
      </c>
      <c r="G13" s="7">
        <f t="shared" si="5"/>
        <v>7.6954360798231314E-2</v>
      </c>
      <c r="H13" s="7">
        <f t="shared" si="6"/>
        <v>7.6314224235764672E-2</v>
      </c>
      <c r="J13" s="8" t="s">
        <v>52</v>
      </c>
      <c r="K13" s="8">
        <f t="shared" si="7"/>
        <v>0.59741610038532844</v>
      </c>
      <c r="L13" s="8">
        <f t="shared" si="8"/>
        <v>0.62728690540459486</v>
      </c>
      <c r="M13" s="8">
        <f t="shared" si="9"/>
        <v>0.64337118503035373</v>
      </c>
      <c r="N13" s="8">
        <f t="shared" si="10"/>
        <v>0.59877386424984047</v>
      </c>
      <c r="O13" s="8">
        <f t="shared" si="11"/>
        <v>0.62931696011464211</v>
      </c>
      <c r="P13" s="8">
        <f t="shared" si="12"/>
        <v>0.62958465963684607</v>
      </c>
    </row>
    <row r="14" spans="1:16" x14ac:dyDescent="0.3">
      <c r="J14" s="9" t="s">
        <v>26</v>
      </c>
      <c r="K14" s="9">
        <f>SUM(K9:K13)</f>
        <v>0.80323734876551145</v>
      </c>
      <c r="L14" s="9">
        <f t="shared" ref="L14:P14" si="13">SUM(L9:L13)</f>
        <v>0.88921317957331092</v>
      </c>
      <c r="M14" s="9">
        <f t="shared" si="13"/>
        <v>0.97988215371695686</v>
      </c>
      <c r="N14" s="9">
        <f t="shared" si="13"/>
        <v>0.9071600474785646</v>
      </c>
      <c r="O14" s="9">
        <f t="shared" si="13"/>
        <v>1.039859733556654</v>
      </c>
      <c r="P14" s="9">
        <f t="shared" si="13"/>
        <v>1.0353156530950305</v>
      </c>
    </row>
    <row r="15" spans="1:16" x14ac:dyDescent="0.3">
      <c r="J15" s="13" t="s">
        <v>27</v>
      </c>
      <c r="K15" s="13">
        <f>1-K14</f>
        <v>0.19676265123448855</v>
      </c>
      <c r="L15" s="13">
        <f t="shared" ref="L15:P15" si="14">1-L14</f>
        <v>0.11078682042668908</v>
      </c>
      <c r="M15" s="13">
        <f t="shared" si="14"/>
        <v>2.0117846283043139E-2</v>
      </c>
      <c r="N15" s="13">
        <f t="shared" si="14"/>
        <v>9.2839952521435398E-2</v>
      </c>
      <c r="O15" s="13">
        <f t="shared" si="14"/>
        <v>-3.9859733556653953E-2</v>
      </c>
      <c r="P15" s="13">
        <f t="shared" si="14"/>
        <v>-3.5315653095030486E-2</v>
      </c>
    </row>
    <row r="16" spans="1:16" x14ac:dyDescent="0.3">
      <c r="E16" s="16" t="s">
        <v>57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8A02-0730-455F-82FB-08FE47270C6F}">
  <dimension ref="A1:P21"/>
  <sheetViews>
    <sheetView tabSelected="1" workbookViewId="0">
      <selection activeCell="J2" sqref="J2:P2"/>
    </sheetView>
  </sheetViews>
  <sheetFormatPr defaultRowHeight="14.4" x14ac:dyDescent="0.3"/>
  <cols>
    <col min="1" max="1" width="20.33203125" customWidth="1"/>
  </cols>
  <sheetData>
    <row r="1" spans="1:16" ht="29.4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5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8" t="s">
        <v>61</v>
      </c>
      <c r="B2" s="7">
        <v>3.5542068176582273E-2</v>
      </c>
      <c r="C2" s="7">
        <v>1.282051282051282E-2</v>
      </c>
      <c r="D2" s="7">
        <v>4.878048780487805E-2</v>
      </c>
      <c r="E2" s="7">
        <v>2.8571428571428571E-2</v>
      </c>
      <c r="F2" s="7">
        <v>2.7649769585253458E-2</v>
      </c>
      <c r="G2" s="7">
        <v>1.7777777777777778E-2</v>
      </c>
      <c r="H2" s="7">
        <v>3.7037037037037035E-2</v>
      </c>
      <c r="I2" s="7">
        <v>3.5542068176582273E-2</v>
      </c>
      <c r="J2" s="7">
        <v>3.5542068176582273E-2</v>
      </c>
      <c r="K2" s="7">
        <v>1.282051282051282E-2</v>
      </c>
      <c r="L2" s="7">
        <v>4.878048780487805E-2</v>
      </c>
      <c r="M2" s="7">
        <v>2.8571428571428571E-2</v>
      </c>
      <c r="N2" s="7">
        <v>2.7649769585253458E-2</v>
      </c>
      <c r="O2" s="7">
        <v>1.7777777777777778E-2</v>
      </c>
      <c r="P2" s="7">
        <v>3.7037037037037035E-2</v>
      </c>
    </row>
    <row r="3" spans="1:16" x14ac:dyDescent="0.3">
      <c r="A3" s="8" t="s">
        <v>62</v>
      </c>
      <c r="B3" s="7">
        <v>3.9108985613168203E-2</v>
      </c>
      <c r="C3" s="7">
        <v>1.282051282051282E-2</v>
      </c>
      <c r="D3" s="7">
        <v>7.3170731707317069E-2</v>
      </c>
      <c r="E3" s="7">
        <v>7.1428571428571425E-2</v>
      </c>
      <c r="F3" s="7">
        <v>4.6082949308755762E-2</v>
      </c>
      <c r="G3" s="7">
        <v>3.5555555555555556E-2</v>
      </c>
      <c r="H3" s="7">
        <v>3.0864197530864196E-2</v>
      </c>
      <c r="I3" s="7">
        <v>7.4651053789750482E-2</v>
      </c>
      <c r="J3" s="7">
        <f t="shared" ref="J3:P9" si="0">J2+B3</f>
        <v>7.4651053789750482E-2</v>
      </c>
      <c r="K3" s="7">
        <f t="shared" si="0"/>
        <v>2.564102564102564E-2</v>
      </c>
      <c r="L3" s="15">
        <f t="shared" si="0"/>
        <v>0.12195121951219512</v>
      </c>
      <c r="M3" s="7">
        <f t="shared" si="0"/>
        <v>9.9999999999999992E-2</v>
      </c>
      <c r="N3" s="7">
        <f t="shared" si="0"/>
        <v>7.3732718894009217E-2</v>
      </c>
      <c r="O3" s="7">
        <f t="shared" si="0"/>
        <v>5.333333333333333E-2</v>
      </c>
      <c r="P3" s="7">
        <f t="shared" si="0"/>
        <v>6.7901234567901231E-2</v>
      </c>
    </row>
    <row r="4" spans="1:16" x14ac:dyDescent="0.3">
      <c r="A4" s="8" t="s">
        <v>58</v>
      </c>
      <c r="B4" s="7">
        <v>4.2143645882156675E-2</v>
      </c>
      <c r="C4" s="7">
        <v>6.4102564102564097E-2</v>
      </c>
      <c r="D4" s="7">
        <v>0.12195121951219512</v>
      </c>
      <c r="E4" s="7">
        <v>4.2857142857142858E-2</v>
      </c>
      <c r="F4" s="7">
        <v>3.6866359447004608E-2</v>
      </c>
      <c r="G4" s="7">
        <v>3.5555555555555556E-2</v>
      </c>
      <c r="H4" s="7">
        <v>2.4691358024691357E-2</v>
      </c>
      <c r="I4" s="7">
        <v>0.11679469967190716</v>
      </c>
      <c r="J4" s="7">
        <f t="shared" si="0"/>
        <v>0.11679469967190716</v>
      </c>
      <c r="K4" s="7">
        <f t="shared" si="0"/>
        <v>8.974358974358973E-2</v>
      </c>
      <c r="L4" s="15">
        <f t="shared" si="0"/>
        <v>0.24390243902439024</v>
      </c>
      <c r="M4" s="7">
        <f t="shared" si="0"/>
        <v>0.14285714285714285</v>
      </c>
      <c r="N4" s="7">
        <f t="shared" si="0"/>
        <v>0.11059907834101382</v>
      </c>
      <c r="O4" s="7">
        <f t="shared" si="0"/>
        <v>8.8888888888888878E-2</v>
      </c>
      <c r="P4" s="7">
        <f t="shared" si="0"/>
        <v>9.2592592592592587E-2</v>
      </c>
    </row>
    <row r="5" spans="1:16" x14ac:dyDescent="0.3">
      <c r="A5" s="8" t="s">
        <v>65</v>
      </c>
      <c r="B5" s="7">
        <v>4.5543736445316535E-2</v>
      </c>
      <c r="C5" s="7">
        <v>2.564102564102564E-2</v>
      </c>
      <c r="D5" s="7">
        <v>4.878048780487805E-2</v>
      </c>
      <c r="E5" s="7">
        <v>8.5714285714285715E-2</v>
      </c>
      <c r="F5" s="7">
        <v>2.7649769585253458E-2</v>
      </c>
      <c r="G5" s="7">
        <v>3.111111111111111E-2</v>
      </c>
      <c r="H5" s="7">
        <v>4.9382716049382713E-2</v>
      </c>
      <c r="I5" s="7">
        <v>0.16233843611722371</v>
      </c>
      <c r="J5" s="7">
        <f t="shared" si="0"/>
        <v>0.16233843611722371</v>
      </c>
      <c r="K5" s="7">
        <f t="shared" si="0"/>
        <v>0.11538461538461536</v>
      </c>
      <c r="L5" s="15">
        <f t="shared" si="0"/>
        <v>0.29268292682926828</v>
      </c>
      <c r="M5" s="7">
        <f t="shared" si="0"/>
        <v>0.22857142857142856</v>
      </c>
      <c r="N5" s="7">
        <f t="shared" si="0"/>
        <v>0.13824884792626727</v>
      </c>
      <c r="O5" s="7">
        <f t="shared" si="0"/>
        <v>0.12</v>
      </c>
      <c r="P5" s="7">
        <f t="shared" si="0"/>
        <v>0.1419753086419753</v>
      </c>
    </row>
    <row r="6" spans="1:16" x14ac:dyDescent="0.3">
      <c r="A6" s="8" t="s">
        <v>60</v>
      </c>
      <c r="B6" s="7">
        <v>0.12181539414834881</v>
      </c>
      <c r="C6" s="7">
        <v>0.11538461538461539</v>
      </c>
      <c r="D6" s="7">
        <v>2.4390243902439025E-2</v>
      </c>
      <c r="E6" s="7">
        <v>5.7142857142857141E-2</v>
      </c>
      <c r="F6" s="7">
        <v>2.7649769585253458E-2</v>
      </c>
      <c r="G6" s="7">
        <v>6.222222222222222E-2</v>
      </c>
      <c r="H6" s="7">
        <v>4.3209876543209874E-2</v>
      </c>
      <c r="I6" s="7">
        <v>0.2841538302655725</v>
      </c>
      <c r="J6" s="7">
        <f t="shared" si="0"/>
        <v>0.2841538302655725</v>
      </c>
      <c r="K6" s="7">
        <f t="shared" si="0"/>
        <v>0.23076923076923075</v>
      </c>
      <c r="L6" s="15">
        <f t="shared" si="0"/>
        <v>0.31707317073170732</v>
      </c>
      <c r="M6" s="7">
        <f t="shared" si="0"/>
        <v>0.2857142857142857</v>
      </c>
      <c r="N6" s="7">
        <f t="shared" si="0"/>
        <v>0.16589861751152071</v>
      </c>
      <c r="O6" s="7">
        <f t="shared" si="0"/>
        <v>0.18222222222222223</v>
      </c>
      <c r="P6" s="7">
        <f t="shared" si="0"/>
        <v>0.18518518518518517</v>
      </c>
    </row>
    <row r="7" spans="1:16" x14ac:dyDescent="0.3">
      <c r="A7" s="8" t="s">
        <v>64</v>
      </c>
      <c r="B7" s="7">
        <v>0.1611070949086027</v>
      </c>
      <c r="C7" s="7">
        <v>0.16666666666666666</v>
      </c>
      <c r="D7" s="7">
        <v>0.17073170731707318</v>
      </c>
      <c r="E7" s="7">
        <v>0.2</v>
      </c>
      <c r="F7" s="7">
        <v>0.13364055299539171</v>
      </c>
      <c r="G7" s="7">
        <v>0.1111111111111111</v>
      </c>
      <c r="H7" s="7">
        <v>0.12345679012345678</v>
      </c>
      <c r="I7" s="7">
        <v>0.4452609251741752</v>
      </c>
      <c r="J7" s="7">
        <f t="shared" si="0"/>
        <v>0.4452609251741752</v>
      </c>
      <c r="K7" s="7">
        <f t="shared" si="0"/>
        <v>0.39743589743589741</v>
      </c>
      <c r="L7" s="15">
        <f t="shared" si="0"/>
        <v>0.48780487804878048</v>
      </c>
      <c r="M7" s="7">
        <f t="shared" si="0"/>
        <v>0.48571428571428571</v>
      </c>
      <c r="N7" s="7">
        <f t="shared" si="0"/>
        <v>0.29953917050691242</v>
      </c>
      <c r="O7" s="7">
        <f t="shared" si="0"/>
        <v>0.29333333333333333</v>
      </c>
      <c r="P7" s="7">
        <f t="shared" si="0"/>
        <v>0.30864197530864196</v>
      </c>
    </row>
    <row r="8" spans="1:16" x14ac:dyDescent="0.3">
      <c r="A8" s="8" t="s">
        <v>63</v>
      </c>
      <c r="B8" s="7">
        <v>0.25031180737057013</v>
      </c>
      <c r="C8" s="7">
        <v>0.35897435897435898</v>
      </c>
      <c r="D8" s="7">
        <v>0.17073170731707318</v>
      </c>
      <c r="E8" s="7">
        <v>0.25714285714285712</v>
      </c>
      <c r="F8" s="7">
        <v>0.38248847926267282</v>
      </c>
      <c r="G8" s="7">
        <v>0.40888888888888891</v>
      </c>
      <c r="H8" s="7">
        <v>0.44444444444444442</v>
      </c>
      <c r="I8" s="7">
        <v>0.69557273254474539</v>
      </c>
      <c r="J8" s="7">
        <f t="shared" si="0"/>
        <v>0.69557273254474539</v>
      </c>
      <c r="K8" s="7">
        <f t="shared" si="0"/>
        <v>0.75641025641025639</v>
      </c>
      <c r="L8" s="15">
        <f t="shared" si="0"/>
        <v>0.65853658536585369</v>
      </c>
      <c r="M8" s="7">
        <f t="shared" si="0"/>
        <v>0.74285714285714288</v>
      </c>
      <c r="N8" s="7">
        <f t="shared" si="0"/>
        <v>0.68202764976958519</v>
      </c>
      <c r="O8" s="7">
        <f t="shared" si="0"/>
        <v>0.7022222222222223</v>
      </c>
      <c r="P8" s="7">
        <f t="shared" si="0"/>
        <v>0.75308641975308643</v>
      </c>
    </row>
    <row r="9" spans="1:16" x14ac:dyDescent="0.3">
      <c r="A9" s="8" t="s">
        <v>59</v>
      </c>
      <c r="B9" s="7">
        <v>0.30442726745525467</v>
      </c>
      <c r="C9" s="7">
        <v>0.24358974358974358</v>
      </c>
      <c r="D9" s="7">
        <v>0.34146341463414637</v>
      </c>
      <c r="E9" s="7">
        <v>0.25714285714285712</v>
      </c>
      <c r="F9" s="7">
        <v>0.31797235023041476</v>
      </c>
      <c r="G9" s="7">
        <v>0.29777777777777775</v>
      </c>
      <c r="H9" s="7">
        <v>0.24691358024691357</v>
      </c>
      <c r="I9" s="7">
        <v>1</v>
      </c>
      <c r="J9" s="7">
        <f t="shared" si="0"/>
        <v>1</v>
      </c>
      <c r="K9" s="7">
        <f t="shared" si="0"/>
        <v>1</v>
      </c>
      <c r="L9" s="15">
        <f t="shared" si="0"/>
        <v>1</v>
      </c>
      <c r="M9" s="7">
        <f t="shared" si="0"/>
        <v>1</v>
      </c>
      <c r="N9" s="7">
        <f t="shared" si="0"/>
        <v>1</v>
      </c>
      <c r="O9" s="7">
        <f t="shared" si="0"/>
        <v>1</v>
      </c>
      <c r="P9" s="7">
        <f t="shared" si="0"/>
        <v>1</v>
      </c>
    </row>
    <row r="11" spans="1:16" ht="28.8" x14ac:dyDescent="0.3">
      <c r="B11" s="1" t="s">
        <v>6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J11" s="8"/>
      <c r="K11" s="9" t="s">
        <v>20</v>
      </c>
      <c r="L11" s="9" t="s">
        <v>21</v>
      </c>
      <c r="M11" s="9" t="s">
        <v>22</v>
      </c>
      <c r="N11" s="9" t="s">
        <v>23</v>
      </c>
      <c r="O11" s="9" t="s">
        <v>24</v>
      </c>
      <c r="P11" s="9" t="s">
        <v>25</v>
      </c>
    </row>
    <row r="12" spans="1:16" x14ac:dyDescent="0.3">
      <c r="B12" s="8" t="s">
        <v>61</v>
      </c>
      <c r="C12" s="7">
        <f>C2-B2</f>
        <v>-2.2721555356069453E-2</v>
      </c>
      <c r="D12" s="7">
        <f>D2-B2</f>
        <v>1.3238419628295778E-2</v>
      </c>
      <c r="E12" s="7">
        <f>E2-B2</f>
        <v>-6.9706396051537022E-3</v>
      </c>
      <c r="F12" s="7">
        <f>F2-B2</f>
        <v>-7.8922985913288148E-3</v>
      </c>
      <c r="G12" s="7">
        <f>G2-B2</f>
        <v>-1.7764290398804495E-2</v>
      </c>
      <c r="H12" s="7">
        <f>H2-B2</f>
        <v>1.4949688604547623E-3</v>
      </c>
      <c r="J12" s="8" t="s">
        <v>61</v>
      </c>
      <c r="K12" s="8">
        <f>(J2-0) * ((K2+0))</f>
        <v>4.5566754072541376E-4</v>
      </c>
      <c r="L12" s="8">
        <f>(J2-0) * ((L2+0))</f>
        <v>1.7337594232479157E-3</v>
      </c>
      <c r="M12" s="8">
        <f>(J2-0) * ((M2+0))</f>
        <v>1.0154876621880648E-3</v>
      </c>
      <c r="N12" s="8">
        <f>(J2-0) * ((N2+0))</f>
        <v>9.8272999566586931E-4</v>
      </c>
      <c r="O12" s="8">
        <f>(J2-0) * ((O2+0))</f>
        <v>6.3185898980590706E-4</v>
      </c>
      <c r="P12" s="8">
        <f>(J2-0) * ((P2+0))</f>
        <v>1.3163728954289731E-3</v>
      </c>
    </row>
    <row r="13" spans="1:16" x14ac:dyDescent="0.3">
      <c r="B13" s="8" t="s">
        <v>62</v>
      </c>
      <c r="C13" s="7">
        <f t="shared" ref="C13:C19" si="1">C3-B3</f>
        <v>-2.6288472792655383E-2</v>
      </c>
      <c r="D13" s="7">
        <f t="shared" ref="D13:D19" si="2">D3-B3</f>
        <v>3.4061746094148866E-2</v>
      </c>
      <c r="E13" s="7">
        <f t="shared" ref="E13:E19" si="3">E3-B3</f>
        <v>3.2319585815403222E-2</v>
      </c>
      <c r="F13" s="7">
        <f t="shared" ref="F13:F19" si="4">F3-B3</f>
        <v>6.9739636955875595E-3</v>
      </c>
      <c r="G13" s="7">
        <f t="shared" ref="G13:G19" si="5">G3-B3</f>
        <v>-3.5534300576126471E-3</v>
      </c>
      <c r="H13" s="7">
        <f t="shared" ref="H13:H19" si="6">H3-B3</f>
        <v>-8.2447880823040068E-3</v>
      </c>
      <c r="J13" s="8" t="s">
        <v>62</v>
      </c>
      <c r="K13" s="8">
        <f>(J3-J2) * ((K3+K2))</f>
        <v>1.5041917543526235E-3</v>
      </c>
      <c r="L13" s="8">
        <f>(J3-J2) * ((L3+L2))</f>
        <v>6.67714388517506E-3</v>
      </c>
      <c r="M13" s="8">
        <f>(J3-J2) * ((M3+M2))</f>
        <v>5.0282981502644836E-3</v>
      </c>
      <c r="N13" s="8">
        <f>(J3-J2) * ((N3+N2))</f>
        <v>3.9649662833626757E-3</v>
      </c>
      <c r="O13" s="8">
        <f>(J3-J2) * ((O3+O2))</f>
        <v>2.7810834213808505E-3</v>
      </c>
      <c r="P13" s="8">
        <f>(J3-J2) * ((P3+P2))</f>
        <v>4.1040293544682685E-3</v>
      </c>
    </row>
    <row r="14" spans="1:16" x14ac:dyDescent="0.3">
      <c r="B14" s="8" t="s">
        <v>58</v>
      </c>
      <c r="C14" s="7">
        <f t="shared" si="1"/>
        <v>2.1958918220407422E-2</v>
      </c>
      <c r="D14" s="7">
        <f t="shared" si="2"/>
        <v>7.9807573630038445E-2</v>
      </c>
      <c r="E14" s="7">
        <f t="shared" si="3"/>
        <v>7.1349697498618303E-4</v>
      </c>
      <c r="F14" s="7">
        <f t="shared" si="4"/>
        <v>-5.2772864351520662E-3</v>
      </c>
      <c r="G14" s="7">
        <f t="shared" si="5"/>
        <v>-6.588090326601119E-3</v>
      </c>
      <c r="H14" s="7">
        <f t="shared" si="6"/>
        <v>-1.7452287857465318E-2</v>
      </c>
      <c r="J14" s="8" t="s">
        <v>58</v>
      </c>
      <c r="K14" s="8">
        <f t="shared" ref="K14:K19" si="7">(J4-J3) * ((K4+K3))</f>
        <v>4.8627283710180767E-3</v>
      </c>
      <c r="L14" s="8">
        <f t="shared" ref="L14:L19" si="8">(J4-J3) * ((L4+L3))</f>
        <v>1.541840703005732E-2</v>
      </c>
      <c r="M14" s="8">
        <f t="shared" ref="M14:M19" si="9">(J4-J3) * ((M4+M3))</f>
        <v>1.0234885428523762E-2</v>
      </c>
      <c r="N14" s="8">
        <f t="shared" ref="N14:N19" si="10">(J4-J3) * ((N4+N3))</f>
        <v>7.7684139874943173E-3</v>
      </c>
      <c r="O14" s="8">
        <f t="shared" ref="O14:O19" si="11">(J4-J3) * ((O4+O3))</f>
        <v>5.9937629699067258E-3</v>
      </c>
      <c r="P14" s="8">
        <f t="shared" ref="P14:P19" si="12">(J4-J3) * ((P4+P3))</f>
        <v>6.7637950181239108E-3</v>
      </c>
    </row>
    <row r="15" spans="1:16" x14ac:dyDescent="0.3">
      <c r="B15" s="8" t="s">
        <v>65</v>
      </c>
      <c r="C15" s="7">
        <f t="shared" si="1"/>
        <v>-1.9902710804290895E-2</v>
      </c>
      <c r="D15" s="7">
        <f t="shared" si="2"/>
        <v>3.2367513595615155E-3</v>
      </c>
      <c r="E15" s="7">
        <f t="shared" si="3"/>
        <v>4.017054926896918E-2</v>
      </c>
      <c r="F15" s="7">
        <f t="shared" si="4"/>
        <v>-1.7893966860063077E-2</v>
      </c>
      <c r="G15" s="7">
        <f t="shared" si="5"/>
        <v>-1.4432625334205425E-2</v>
      </c>
      <c r="H15" s="7">
        <f t="shared" si="6"/>
        <v>3.8389796040661783E-3</v>
      </c>
      <c r="J15" s="8" t="s">
        <v>65</v>
      </c>
      <c r="K15" s="8">
        <f t="shared" si="7"/>
        <v>9.3423049118598039E-3</v>
      </c>
      <c r="L15" s="8">
        <f t="shared" si="8"/>
        <v>2.4438102482852785E-2</v>
      </c>
      <c r="M15" s="8">
        <f t="shared" si="9"/>
        <v>1.6916244965403289E-2</v>
      </c>
      <c r="N15" s="8">
        <f t="shared" si="10"/>
        <v>1.1333464368880615E-2</v>
      </c>
      <c r="O15" s="8">
        <f t="shared" si="11"/>
        <v>9.5135805019105676E-3</v>
      </c>
      <c r="P15" s="8">
        <f t="shared" si="12"/>
        <v>1.0683098672358202E-2</v>
      </c>
    </row>
    <row r="16" spans="1:16" x14ac:dyDescent="0.3">
      <c r="B16" s="8" t="s">
        <v>60</v>
      </c>
      <c r="C16" s="7">
        <f t="shared" si="1"/>
        <v>-6.4307787637334218E-3</v>
      </c>
      <c r="D16" s="7">
        <f t="shared" si="2"/>
        <v>-9.7425150245909781E-2</v>
      </c>
      <c r="E16" s="7">
        <f t="shared" si="3"/>
        <v>-6.4672537005491665E-2</v>
      </c>
      <c r="F16" s="7">
        <f t="shared" si="4"/>
        <v>-9.4165624563095351E-2</v>
      </c>
      <c r="G16" s="7">
        <f t="shared" si="5"/>
        <v>-5.9593171926126592E-2</v>
      </c>
      <c r="H16" s="7">
        <f t="shared" si="6"/>
        <v>-7.8605517605138939E-2</v>
      </c>
      <c r="J16" s="8" t="s">
        <v>60</v>
      </c>
      <c r="K16" s="8">
        <f t="shared" si="7"/>
        <v>4.2166867205197661E-2</v>
      </c>
      <c r="L16" s="8">
        <f t="shared" si="8"/>
        <v>7.4277679358749266E-2</v>
      </c>
      <c r="M16" s="8">
        <f t="shared" si="9"/>
        <v>6.264791699057938E-2</v>
      </c>
      <c r="N16" s="8">
        <f t="shared" si="10"/>
        <v>3.7049843381525435E-2</v>
      </c>
      <c r="O16" s="8">
        <f t="shared" si="11"/>
        <v>3.6815319120389857E-2</v>
      </c>
      <c r="P16" s="8">
        <f t="shared" si="12"/>
        <v>3.9853184505323991E-2</v>
      </c>
    </row>
    <row r="17" spans="2:16" x14ac:dyDescent="0.3">
      <c r="B17" s="8" t="s">
        <v>64</v>
      </c>
      <c r="C17" s="7">
        <f t="shared" si="1"/>
        <v>5.5595717580639581E-3</v>
      </c>
      <c r="D17" s="7">
        <f t="shared" si="2"/>
        <v>9.6246124084704843E-3</v>
      </c>
      <c r="E17" s="7">
        <f t="shared" si="3"/>
        <v>3.8892905091397312E-2</v>
      </c>
      <c r="F17" s="7">
        <f t="shared" si="4"/>
        <v>-2.746654191321099E-2</v>
      </c>
      <c r="G17" s="7">
        <f t="shared" si="5"/>
        <v>-4.9995983797491594E-2</v>
      </c>
      <c r="H17" s="7">
        <f t="shared" si="6"/>
        <v>-3.7650304785145916E-2</v>
      </c>
      <c r="J17" s="8" t="s">
        <v>64</v>
      </c>
      <c r="K17" s="8">
        <f t="shared" si="7"/>
        <v>0.10120830321181451</v>
      </c>
      <c r="L17" s="8">
        <f t="shared" si="8"/>
        <v>0.129671564194729</v>
      </c>
      <c r="M17" s="8">
        <f t="shared" si="9"/>
        <v>0.12428261607235064</v>
      </c>
      <c r="N17" s="8">
        <f t="shared" si="10"/>
        <v>7.4985329888335811E-2</v>
      </c>
      <c r="O17" s="8">
        <f t="shared" si="11"/>
        <v>7.6615374023202176E-2</v>
      </c>
      <c r="P17" s="8">
        <f t="shared" si="12"/>
        <v>7.9559059214124789E-2</v>
      </c>
    </row>
    <row r="18" spans="2:16" x14ac:dyDescent="0.3">
      <c r="B18" s="8" t="s">
        <v>63</v>
      </c>
      <c r="C18" s="7">
        <f t="shared" si="1"/>
        <v>0.10866255160378885</v>
      </c>
      <c r="D18" s="7">
        <f t="shared" si="2"/>
        <v>-7.9580100053496944E-2</v>
      </c>
      <c r="E18" s="7">
        <f t="shared" si="3"/>
        <v>6.8310497722869901E-3</v>
      </c>
      <c r="F18" s="7">
        <f t="shared" si="4"/>
        <v>0.13217667189210269</v>
      </c>
      <c r="G18" s="7">
        <f t="shared" si="5"/>
        <v>0.15857708151831879</v>
      </c>
      <c r="H18" s="7">
        <f t="shared" si="6"/>
        <v>0.19413263707387429</v>
      </c>
      <c r="J18" s="8" t="s">
        <v>63</v>
      </c>
      <c r="K18" s="8">
        <f t="shared" si="7"/>
        <v>0.28882131619681173</v>
      </c>
      <c r="L18" s="8">
        <f t="shared" si="8"/>
        <v>0.28694280357114144</v>
      </c>
      <c r="M18" s="8">
        <f t="shared" si="9"/>
        <v>0.3075259347695577</v>
      </c>
      <c r="N18" s="8">
        <f t="shared" si="10"/>
        <v>0.24569776483839373</v>
      </c>
      <c r="O18" s="8">
        <f t="shared" si="11"/>
        <v>0.24919931044892321</v>
      </c>
      <c r="P18" s="8">
        <f t="shared" si="12"/>
        <v>0.26576315350455598</v>
      </c>
    </row>
    <row r="19" spans="2:16" x14ac:dyDescent="0.3">
      <c r="B19" s="8" t="s">
        <v>59</v>
      </c>
      <c r="C19" s="7">
        <f t="shared" si="1"/>
        <v>-6.0837523865511084E-2</v>
      </c>
      <c r="D19" s="7">
        <f t="shared" si="2"/>
        <v>3.7036147178891698E-2</v>
      </c>
      <c r="E19" s="7">
        <f t="shared" si="3"/>
        <v>-4.7284410312397551E-2</v>
      </c>
      <c r="F19" s="7">
        <f t="shared" si="4"/>
        <v>1.3545082775160089E-2</v>
      </c>
      <c r="G19" s="7">
        <f t="shared" si="5"/>
        <v>-6.6494896774769163E-3</v>
      </c>
      <c r="H19" s="7">
        <f t="shared" si="6"/>
        <v>-5.7513687208341102E-2</v>
      </c>
      <c r="J19" s="8" t="s">
        <v>59</v>
      </c>
      <c r="K19" s="8">
        <f t="shared" si="7"/>
        <v>0.53469917488935748</v>
      </c>
      <c r="L19" s="8">
        <f t="shared" si="8"/>
        <v>0.50490376065749554</v>
      </c>
      <c r="M19" s="8">
        <f t="shared" si="9"/>
        <v>0.53057323756487229</v>
      </c>
      <c r="N19" s="8">
        <f t="shared" si="10"/>
        <v>0.51205508120353882</v>
      </c>
      <c r="O19" s="8">
        <f t="shared" si="11"/>
        <v>0.51820285971272229</v>
      </c>
      <c r="P19" s="8">
        <f t="shared" si="12"/>
        <v>0.53368730837834755</v>
      </c>
    </row>
    <row r="20" spans="2:16" x14ac:dyDescent="0.3">
      <c r="J20" s="9" t="s">
        <v>26</v>
      </c>
      <c r="K20" s="9">
        <f>SUM(K12:K19)</f>
        <v>0.98306055408113724</v>
      </c>
      <c r="L20" s="9">
        <f t="shared" ref="L20:P20" si="13">SUM(L12:L19)</f>
        <v>1.0440632206034484</v>
      </c>
      <c r="M20" s="9">
        <f t="shared" si="13"/>
        <v>1.0582246216037396</v>
      </c>
      <c r="N20" s="9">
        <f t="shared" si="13"/>
        <v>0.89383759394719731</v>
      </c>
      <c r="O20" s="9">
        <f t="shared" si="13"/>
        <v>0.89975314918824156</v>
      </c>
      <c r="P20" s="9">
        <f t="shared" si="13"/>
        <v>0.94173000154273168</v>
      </c>
    </row>
    <row r="21" spans="2:16" x14ac:dyDescent="0.3">
      <c r="J21" s="13" t="s">
        <v>27</v>
      </c>
      <c r="K21" s="13">
        <f>1-K20</f>
        <v>1.6939445918862761E-2</v>
      </c>
      <c r="L21" s="13">
        <f t="shared" ref="L21:P21" si="14">1-L20</f>
        <v>-4.4063220603448361E-2</v>
      </c>
      <c r="M21" s="13">
        <f t="shared" si="14"/>
        <v>-5.8224621603739646E-2</v>
      </c>
      <c r="N21" s="13">
        <f t="shared" si="14"/>
        <v>0.10616240605280269</v>
      </c>
      <c r="O21" s="13">
        <f t="shared" si="14"/>
        <v>0.10024685081175844</v>
      </c>
      <c r="P21" s="13">
        <f t="shared" si="14"/>
        <v>5.8269998457268324E-2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ARAÇUAÍ</vt:lpstr>
      <vt:lpstr>DIAMANTINA</vt:lpstr>
      <vt:lpstr>SERRO</vt:lpstr>
      <vt:lpstr>TURMALINA-MINAS NOVA-CAPELINHA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2025-04-20T01:54:14Z</dcterms:created>
  <dcterms:modified xsi:type="dcterms:W3CDTF">2025-08-24T00:36:07Z</dcterms:modified>
</cp:coreProperties>
</file>