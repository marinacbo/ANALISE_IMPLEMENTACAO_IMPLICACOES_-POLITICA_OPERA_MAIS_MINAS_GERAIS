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onjunto/"/>
    </mc:Choice>
  </mc:AlternateContent>
  <xr:revisionPtr revIDLastSave="111" documentId="8_{C788735B-E291-45B1-8E74-58543EA9C991}" xr6:coauthVersionLast="47" xr6:coauthVersionMax="47" xr10:uidLastSave="{3D818ADF-5E31-4DFF-9EDC-F7DD235F489B}"/>
  <bookViews>
    <workbookView xWindow="-108" yWindow="-108" windowWidth="23256" windowHeight="12456" firstSheet="2" activeTab="9" xr2:uid="{5B7693AA-BCBE-454C-B67C-0D85F527A365}"/>
  </bookViews>
  <sheets>
    <sheet name="Belo Horizonte" sheetId="1" r:id="rId1"/>
    <sheet name="Betim" sheetId="2" r:id="rId2"/>
    <sheet name="Contagem" sheetId="3" r:id="rId3"/>
    <sheet name="Curvelo" sheetId="4" r:id="rId4"/>
    <sheet name="Guanhães" sheetId="5" r:id="rId5"/>
    <sheet name="Itabira" sheetId="6" r:id="rId6"/>
    <sheet name="J Monlevade" sheetId="7" r:id="rId7"/>
    <sheet name="Ouro Preto" sheetId="8" r:id="rId8"/>
    <sheet name="Sete Lagoas" sheetId="9" r:id="rId9"/>
    <sheet name="Vespasiano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9" l="1"/>
  <c r="G51" i="9"/>
  <c r="F51" i="9"/>
  <c r="E51" i="9"/>
  <c r="D51" i="9"/>
  <c r="C51" i="9"/>
  <c r="H50" i="9"/>
  <c r="G50" i="9"/>
  <c r="F50" i="9"/>
  <c r="E50" i="9"/>
  <c r="D50" i="9"/>
  <c r="C50" i="9"/>
  <c r="H49" i="9"/>
  <c r="G49" i="9"/>
  <c r="F49" i="9"/>
  <c r="E49" i="9"/>
  <c r="D49" i="9"/>
  <c r="C49" i="9"/>
  <c r="H48" i="9"/>
  <c r="G48" i="9"/>
  <c r="F48" i="9"/>
  <c r="E48" i="9"/>
  <c r="D48" i="9"/>
  <c r="C48" i="9"/>
  <c r="H47" i="9"/>
  <c r="G47" i="9"/>
  <c r="F47" i="9"/>
  <c r="E47" i="9"/>
  <c r="D47" i="9"/>
  <c r="C47" i="9"/>
  <c r="H46" i="9"/>
  <c r="G46" i="9"/>
  <c r="F46" i="9"/>
  <c r="E46" i="9"/>
  <c r="D46" i="9"/>
  <c r="C46" i="9"/>
  <c r="H45" i="9"/>
  <c r="G45" i="9"/>
  <c r="F45" i="9"/>
  <c r="E45" i="9"/>
  <c r="D45" i="9"/>
  <c r="C45" i="9"/>
  <c r="H44" i="9"/>
  <c r="G44" i="9"/>
  <c r="F44" i="9"/>
  <c r="E44" i="9"/>
  <c r="D44" i="9"/>
  <c r="C44" i="9"/>
  <c r="H43" i="9"/>
  <c r="G43" i="9"/>
  <c r="F43" i="9"/>
  <c r="E43" i="9"/>
  <c r="D43" i="9"/>
  <c r="C43" i="9"/>
  <c r="H42" i="9"/>
  <c r="G42" i="9"/>
  <c r="F42" i="9"/>
  <c r="E42" i="9"/>
  <c r="D42" i="9"/>
  <c r="C42" i="9"/>
  <c r="H41" i="9"/>
  <c r="G41" i="9"/>
  <c r="F41" i="9"/>
  <c r="E41" i="9"/>
  <c r="D41" i="9"/>
  <c r="C41" i="9"/>
  <c r="H40" i="9"/>
  <c r="G40" i="9"/>
  <c r="F40" i="9"/>
  <c r="E40" i="9"/>
  <c r="D40" i="9"/>
  <c r="C40" i="9"/>
  <c r="H39" i="9"/>
  <c r="G39" i="9"/>
  <c r="F39" i="9"/>
  <c r="E39" i="9"/>
  <c r="D39" i="9"/>
  <c r="C39" i="9"/>
  <c r="H38" i="9"/>
  <c r="G38" i="9"/>
  <c r="F38" i="9"/>
  <c r="E38" i="9"/>
  <c r="D38" i="9"/>
  <c r="C38" i="9"/>
  <c r="H37" i="9"/>
  <c r="G37" i="9"/>
  <c r="F37" i="9"/>
  <c r="E37" i="9"/>
  <c r="D37" i="9"/>
  <c r="C37" i="9"/>
  <c r="H36" i="9"/>
  <c r="G36" i="9"/>
  <c r="F36" i="9"/>
  <c r="E36" i="9"/>
  <c r="D36" i="9"/>
  <c r="C36" i="9"/>
  <c r="H35" i="9"/>
  <c r="G35" i="9"/>
  <c r="F35" i="9"/>
  <c r="E35" i="9"/>
  <c r="D35" i="9"/>
  <c r="C35" i="9"/>
  <c r="H34" i="9"/>
  <c r="G34" i="9"/>
  <c r="F34" i="9"/>
  <c r="E34" i="9"/>
  <c r="D34" i="9"/>
  <c r="C34" i="9"/>
  <c r="H33" i="9"/>
  <c r="G33" i="9"/>
  <c r="F33" i="9"/>
  <c r="E33" i="9"/>
  <c r="D33" i="9"/>
  <c r="C33" i="9"/>
  <c r="H32" i="9"/>
  <c r="G32" i="9"/>
  <c r="F32" i="9"/>
  <c r="E32" i="9"/>
  <c r="D32" i="9"/>
  <c r="C32" i="9"/>
  <c r="H31" i="9"/>
  <c r="G31" i="9"/>
  <c r="F31" i="9"/>
  <c r="E31" i="9"/>
  <c r="D31" i="9"/>
  <c r="C31" i="9"/>
  <c r="H30" i="9"/>
  <c r="G30" i="9"/>
  <c r="F30" i="9"/>
  <c r="E30" i="9"/>
  <c r="D30" i="9"/>
  <c r="C30" i="9"/>
  <c r="H29" i="9"/>
  <c r="G29" i="9"/>
  <c r="F29" i="9"/>
  <c r="E29" i="9"/>
  <c r="D29" i="9"/>
  <c r="C29" i="9"/>
  <c r="P28" i="9"/>
  <c r="O28" i="9"/>
  <c r="N28" i="9"/>
  <c r="M28" i="9"/>
  <c r="L28" i="9"/>
  <c r="K28" i="9"/>
  <c r="H28" i="9"/>
  <c r="G28" i="9"/>
  <c r="F28" i="9"/>
  <c r="E28" i="9"/>
  <c r="D28" i="9"/>
  <c r="C28" i="9"/>
  <c r="J3" i="9" l="1"/>
  <c r="J4" i="9" l="1"/>
  <c r="O29" i="9"/>
  <c r="P11" i="10"/>
  <c r="O11" i="10"/>
  <c r="N11" i="10"/>
  <c r="M11" i="10"/>
  <c r="L11" i="10"/>
  <c r="K11" i="10"/>
  <c r="P8" i="8"/>
  <c r="O8" i="8"/>
  <c r="N8" i="8"/>
  <c r="M8" i="8"/>
  <c r="L8" i="8"/>
  <c r="K8" i="8"/>
  <c r="P8" i="7"/>
  <c r="O8" i="7"/>
  <c r="N8" i="7"/>
  <c r="M8" i="7"/>
  <c r="L8" i="7"/>
  <c r="K8" i="7"/>
  <c r="P17" i="6"/>
  <c r="O17" i="6"/>
  <c r="N17" i="6"/>
  <c r="M17" i="6"/>
  <c r="L17" i="6"/>
  <c r="K17" i="6"/>
  <c r="P13" i="5"/>
  <c r="O13" i="5"/>
  <c r="N13" i="5"/>
  <c r="M13" i="5"/>
  <c r="L13" i="5"/>
  <c r="K13" i="5"/>
  <c r="H12" i="10"/>
  <c r="H13" i="10"/>
  <c r="H14" i="10"/>
  <c r="H15" i="10"/>
  <c r="H16" i="10"/>
  <c r="H17" i="10"/>
  <c r="H11" i="10"/>
  <c r="G12" i="10"/>
  <c r="G13" i="10"/>
  <c r="G14" i="10"/>
  <c r="G15" i="10"/>
  <c r="G16" i="10"/>
  <c r="G17" i="10"/>
  <c r="G11" i="10"/>
  <c r="F12" i="10"/>
  <c r="F13" i="10"/>
  <c r="F14" i="10"/>
  <c r="F15" i="10"/>
  <c r="F16" i="10"/>
  <c r="F17" i="10"/>
  <c r="F11" i="10"/>
  <c r="E12" i="10"/>
  <c r="E13" i="10"/>
  <c r="E14" i="10"/>
  <c r="E15" i="10"/>
  <c r="E16" i="10"/>
  <c r="E17" i="10"/>
  <c r="E11" i="10"/>
  <c r="C9" i="8"/>
  <c r="C10" i="8"/>
  <c r="C8" i="8"/>
  <c r="D12" i="10"/>
  <c r="D13" i="10"/>
  <c r="D14" i="10"/>
  <c r="D15" i="10"/>
  <c r="D16" i="10"/>
  <c r="D17" i="10"/>
  <c r="D11" i="10"/>
  <c r="C12" i="10"/>
  <c r="C13" i="10"/>
  <c r="C14" i="10"/>
  <c r="C15" i="10"/>
  <c r="C16" i="10"/>
  <c r="C17" i="10"/>
  <c r="C11" i="10"/>
  <c r="P3" i="10"/>
  <c r="P4" i="10" s="1"/>
  <c r="P5" i="10" s="1"/>
  <c r="P6" i="10" s="1"/>
  <c r="P7" i="10" s="1"/>
  <c r="P8" i="10" s="1"/>
  <c r="O3" i="10"/>
  <c r="O4" i="10" s="1"/>
  <c r="O5" i="10" s="1"/>
  <c r="O6" i="10" s="1"/>
  <c r="O7" i="10" s="1"/>
  <c r="O8" i="10" s="1"/>
  <c r="N3" i="10"/>
  <c r="N4" i="10" s="1"/>
  <c r="N5" i="10" s="1"/>
  <c r="N6" i="10" s="1"/>
  <c r="N7" i="10" s="1"/>
  <c r="N8" i="10" s="1"/>
  <c r="M3" i="10"/>
  <c r="M4" i="10" s="1"/>
  <c r="M5" i="10" s="1"/>
  <c r="M6" i="10" s="1"/>
  <c r="M7" i="10" s="1"/>
  <c r="M8" i="10" s="1"/>
  <c r="L3" i="10"/>
  <c r="L4" i="10" s="1"/>
  <c r="L5" i="10" s="1"/>
  <c r="L6" i="10" s="1"/>
  <c r="L7" i="10" s="1"/>
  <c r="L8" i="10" s="1"/>
  <c r="K3" i="10"/>
  <c r="K4" i="10" s="1"/>
  <c r="K5" i="10" s="1"/>
  <c r="K6" i="10" s="1"/>
  <c r="K7" i="10" s="1"/>
  <c r="K8" i="10" s="1"/>
  <c r="J3" i="10"/>
  <c r="J4" i="10" s="1"/>
  <c r="J5" i="10" s="1"/>
  <c r="J6" i="10" s="1"/>
  <c r="J7" i="10" s="1"/>
  <c r="J8" i="10" s="1"/>
  <c r="P3" i="9"/>
  <c r="P4" i="9" s="1"/>
  <c r="P5" i="9" s="1"/>
  <c r="P6" i="9" s="1"/>
  <c r="P7" i="9" s="1"/>
  <c r="P8" i="9" s="1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O3" i="9"/>
  <c r="O4" i="9" s="1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N3" i="9"/>
  <c r="N4" i="9" s="1"/>
  <c r="N5" i="9" s="1"/>
  <c r="N6" i="9" s="1"/>
  <c r="N7" i="9" s="1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M3" i="9"/>
  <c r="M4" i="9" s="1"/>
  <c r="M5" i="9" s="1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L3" i="9"/>
  <c r="L4" i="9" s="1"/>
  <c r="L5" i="9" s="1"/>
  <c r="L6" i="9" s="1"/>
  <c r="L7" i="9" s="1"/>
  <c r="L8" i="9" s="1"/>
  <c r="L9" i="9" s="1"/>
  <c r="L10" i="9" s="1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L22" i="9" s="1"/>
  <c r="L23" i="9" s="1"/>
  <c r="L24" i="9" s="1"/>
  <c r="L25" i="9" s="1"/>
  <c r="K3" i="9"/>
  <c r="K4" i="9" s="1"/>
  <c r="K5" i="9" s="1"/>
  <c r="K6" i="9" s="1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H10" i="8"/>
  <c r="G10" i="8"/>
  <c r="F10" i="8"/>
  <c r="E10" i="8"/>
  <c r="D10" i="8"/>
  <c r="H9" i="8"/>
  <c r="G9" i="8"/>
  <c r="F9" i="8"/>
  <c r="E9" i="8"/>
  <c r="D9" i="8"/>
  <c r="H8" i="8"/>
  <c r="G8" i="8"/>
  <c r="F8" i="8"/>
  <c r="E8" i="8"/>
  <c r="D8" i="8"/>
  <c r="P3" i="8"/>
  <c r="P4" i="8" s="1"/>
  <c r="O3" i="8"/>
  <c r="O4" i="8" s="1"/>
  <c r="N3" i="8"/>
  <c r="N4" i="8" s="1"/>
  <c r="M3" i="8"/>
  <c r="M4" i="8" s="1"/>
  <c r="L3" i="8"/>
  <c r="L4" i="8" s="1"/>
  <c r="K3" i="8"/>
  <c r="K4" i="8" s="1"/>
  <c r="J3" i="8"/>
  <c r="J4" i="8" s="1"/>
  <c r="O10" i="8" s="1"/>
  <c r="H9" i="7"/>
  <c r="H10" i="7"/>
  <c r="H11" i="7"/>
  <c r="G9" i="7"/>
  <c r="G10" i="7"/>
  <c r="G11" i="7"/>
  <c r="F9" i="7"/>
  <c r="F10" i="7"/>
  <c r="F11" i="7"/>
  <c r="E9" i="7"/>
  <c r="E10" i="7"/>
  <c r="E11" i="7"/>
  <c r="D9" i="7"/>
  <c r="D10" i="7"/>
  <c r="D11" i="7"/>
  <c r="H8" i="7"/>
  <c r="G8" i="7"/>
  <c r="F8" i="7"/>
  <c r="E8" i="7"/>
  <c r="D8" i="7"/>
  <c r="C9" i="7"/>
  <c r="C10" i="7"/>
  <c r="C11" i="7"/>
  <c r="C8" i="7"/>
  <c r="P3" i="7"/>
  <c r="P4" i="7" s="1"/>
  <c r="P5" i="7" s="1"/>
  <c r="O3" i="7"/>
  <c r="O4" i="7" s="1"/>
  <c r="O5" i="7" s="1"/>
  <c r="N3" i="7"/>
  <c r="N4" i="7" s="1"/>
  <c r="N5" i="7" s="1"/>
  <c r="M3" i="7"/>
  <c r="M4" i="7" s="1"/>
  <c r="M5" i="7" s="1"/>
  <c r="L3" i="7"/>
  <c r="L4" i="7" s="1"/>
  <c r="L5" i="7" s="1"/>
  <c r="K3" i="7"/>
  <c r="K4" i="7" s="1"/>
  <c r="K5" i="7" s="1"/>
  <c r="J3" i="7"/>
  <c r="J4" i="7" s="1"/>
  <c r="J5" i="7" s="1"/>
  <c r="H29" i="6"/>
  <c r="G29" i="6"/>
  <c r="F29" i="6"/>
  <c r="E29" i="6"/>
  <c r="D29" i="6"/>
  <c r="C29" i="6"/>
  <c r="H28" i="6"/>
  <c r="G28" i="6"/>
  <c r="F28" i="6"/>
  <c r="E28" i="6"/>
  <c r="D28" i="6"/>
  <c r="C28" i="6"/>
  <c r="H27" i="6"/>
  <c r="G27" i="6"/>
  <c r="F27" i="6"/>
  <c r="E27" i="6"/>
  <c r="D27" i="6"/>
  <c r="C27" i="6"/>
  <c r="H26" i="6"/>
  <c r="G26" i="6"/>
  <c r="F26" i="6"/>
  <c r="E26" i="6"/>
  <c r="D26" i="6"/>
  <c r="C26" i="6"/>
  <c r="H25" i="6"/>
  <c r="G25" i="6"/>
  <c r="F25" i="6"/>
  <c r="E25" i="6"/>
  <c r="D25" i="6"/>
  <c r="C25" i="6"/>
  <c r="H24" i="6"/>
  <c r="G24" i="6"/>
  <c r="F24" i="6"/>
  <c r="E24" i="6"/>
  <c r="D24" i="6"/>
  <c r="C24" i="6"/>
  <c r="H23" i="6"/>
  <c r="G23" i="6"/>
  <c r="F23" i="6"/>
  <c r="E23" i="6"/>
  <c r="D23" i="6"/>
  <c r="C23" i="6"/>
  <c r="H22" i="6"/>
  <c r="G22" i="6"/>
  <c r="F22" i="6"/>
  <c r="E22" i="6"/>
  <c r="D22" i="6"/>
  <c r="C22" i="6"/>
  <c r="H21" i="6"/>
  <c r="G21" i="6"/>
  <c r="F21" i="6"/>
  <c r="E21" i="6"/>
  <c r="D21" i="6"/>
  <c r="C21" i="6"/>
  <c r="H20" i="6"/>
  <c r="G20" i="6"/>
  <c r="F20" i="6"/>
  <c r="E20" i="6"/>
  <c r="D20" i="6"/>
  <c r="C20" i="6"/>
  <c r="H19" i="6"/>
  <c r="G19" i="6"/>
  <c r="F19" i="6"/>
  <c r="E19" i="6"/>
  <c r="D19" i="6"/>
  <c r="C19" i="6"/>
  <c r="H18" i="6"/>
  <c r="G18" i="6"/>
  <c r="F18" i="6"/>
  <c r="E18" i="6"/>
  <c r="D18" i="6"/>
  <c r="C18" i="6"/>
  <c r="H17" i="6"/>
  <c r="G17" i="6"/>
  <c r="F17" i="6"/>
  <c r="E17" i="6"/>
  <c r="D17" i="6"/>
  <c r="C17" i="6"/>
  <c r="K3" i="6"/>
  <c r="K4" i="6" s="1"/>
  <c r="K5" i="6" s="1"/>
  <c r="K6" i="6" s="1"/>
  <c r="K7" i="6" s="1"/>
  <c r="K8" i="6" s="1"/>
  <c r="K9" i="6" s="1"/>
  <c r="K10" i="6" s="1"/>
  <c r="K11" i="6" s="1"/>
  <c r="K12" i="6" s="1"/>
  <c r="K13" i="6" s="1"/>
  <c r="K14" i="6" s="1"/>
  <c r="L3" i="6"/>
  <c r="L4" i="6" s="1"/>
  <c r="L5" i="6" s="1"/>
  <c r="L6" i="6" s="1"/>
  <c r="L7" i="6" s="1"/>
  <c r="L8" i="6" s="1"/>
  <c r="L9" i="6" s="1"/>
  <c r="L10" i="6" s="1"/>
  <c r="L11" i="6" s="1"/>
  <c r="L12" i="6" s="1"/>
  <c r="L13" i="6" s="1"/>
  <c r="L14" i="6" s="1"/>
  <c r="M3" i="6"/>
  <c r="M4" i="6" s="1"/>
  <c r="M5" i="6" s="1"/>
  <c r="M6" i="6" s="1"/>
  <c r="M7" i="6" s="1"/>
  <c r="M8" i="6" s="1"/>
  <c r="M9" i="6" s="1"/>
  <c r="M10" i="6" s="1"/>
  <c r="M11" i="6" s="1"/>
  <c r="M12" i="6" s="1"/>
  <c r="M13" i="6" s="1"/>
  <c r="M14" i="6" s="1"/>
  <c r="N3" i="6"/>
  <c r="N4" i="6" s="1"/>
  <c r="N5" i="6" s="1"/>
  <c r="N6" i="6" s="1"/>
  <c r="N7" i="6" s="1"/>
  <c r="N8" i="6" s="1"/>
  <c r="N9" i="6" s="1"/>
  <c r="N10" i="6" s="1"/>
  <c r="N11" i="6" s="1"/>
  <c r="N12" i="6" s="1"/>
  <c r="N13" i="6" s="1"/>
  <c r="N14" i="6" s="1"/>
  <c r="O3" i="6"/>
  <c r="O4" i="6" s="1"/>
  <c r="O5" i="6" s="1"/>
  <c r="O6" i="6" s="1"/>
  <c r="O7" i="6" s="1"/>
  <c r="O8" i="6" s="1"/>
  <c r="O9" i="6" s="1"/>
  <c r="O10" i="6" s="1"/>
  <c r="O11" i="6" s="1"/>
  <c r="O12" i="6" s="1"/>
  <c r="O13" i="6" s="1"/>
  <c r="O14" i="6" s="1"/>
  <c r="P3" i="6"/>
  <c r="P4" i="6" s="1"/>
  <c r="P5" i="6" s="1"/>
  <c r="P6" i="6" s="1"/>
  <c r="P7" i="6" s="1"/>
  <c r="P8" i="6" s="1"/>
  <c r="P9" i="6" s="1"/>
  <c r="P10" i="6" s="1"/>
  <c r="P11" i="6" s="1"/>
  <c r="P12" i="6" s="1"/>
  <c r="P13" i="6" s="1"/>
  <c r="P14" i="6" s="1"/>
  <c r="J3" i="6"/>
  <c r="H14" i="5"/>
  <c r="H15" i="5"/>
  <c r="H16" i="5"/>
  <c r="H17" i="5"/>
  <c r="H18" i="5"/>
  <c r="H19" i="5"/>
  <c r="H20" i="5"/>
  <c r="H21" i="5"/>
  <c r="H13" i="5"/>
  <c r="G14" i="5"/>
  <c r="G15" i="5"/>
  <c r="G16" i="5"/>
  <c r="G17" i="5"/>
  <c r="G18" i="5"/>
  <c r="G19" i="5"/>
  <c r="G20" i="5"/>
  <c r="G21" i="5"/>
  <c r="G13" i="5"/>
  <c r="F14" i="5"/>
  <c r="F15" i="5"/>
  <c r="F16" i="5"/>
  <c r="F17" i="5"/>
  <c r="F18" i="5"/>
  <c r="F19" i="5"/>
  <c r="F20" i="5"/>
  <c r="F21" i="5"/>
  <c r="F13" i="5"/>
  <c r="E14" i="5"/>
  <c r="E15" i="5"/>
  <c r="E16" i="5"/>
  <c r="E17" i="5"/>
  <c r="E18" i="5"/>
  <c r="E19" i="5"/>
  <c r="E20" i="5"/>
  <c r="E21" i="5"/>
  <c r="E13" i="5"/>
  <c r="D14" i="5"/>
  <c r="D15" i="5"/>
  <c r="D16" i="5"/>
  <c r="D17" i="5"/>
  <c r="D18" i="5"/>
  <c r="D19" i="5"/>
  <c r="D20" i="5"/>
  <c r="D21" i="5"/>
  <c r="D13" i="5"/>
  <c r="C14" i="5"/>
  <c r="C15" i="5"/>
  <c r="C16" i="5"/>
  <c r="C17" i="5"/>
  <c r="C18" i="5"/>
  <c r="C19" i="5"/>
  <c r="C20" i="5"/>
  <c r="C21" i="5"/>
  <c r="C13" i="5"/>
  <c r="P3" i="5"/>
  <c r="P4" i="5" s="1"/>
  <c r="P5" i="5" s="1"/>
  <c r="P6" i="5" s="1"/>
  <c r="P7" i="5" s="1"/>
  <c r="P8" i="5" s="1"/>
  <c r="P9" i="5" s="1"/>
  <c r="P10" i="5" s="1"/>
  <c r="O3" i="5"/>
  <c r="N3" i="5"/>
  <c r="N4" i="5" s="1"/>
  <c r="N5" i="5" s="1"/>
  <c r="N6" i="5" s="1"/>
  <c r="N7" i="5" s="1"/>
  <c r="N8" i="5" s="1"/>
  <c r="N9" i="5" s="1"/>
  <c r="N10" i="5" s="1"/>
  <c r="M3" i="5"/>
  <c r="M4" i="5" s="1"/>
  <c r="M5" i="5" s="1"/>
  <c r="M6" i="5" s="1"/>
  <c r="M7" i="5" s="1"/>
  <c r="M8" i="5" s="1"/>
  <c r="M9" i="5" s="1"/>
  <c r="M10" i="5" s="1"/>
  <c r="L3" i="5"/>
  <c r="L4" i="5" s="1"/>
  <c r="L5" i="5" s="1"/>
  <c r="L6" i="5" s="1"/>
  <c r="L7" i="5" s="1"/>
  <c r="L8" i="5" s="1"/>
  <c r="L9" i="5" s="1"/>
  <c r="L10" i="5" s="1"/>
  <c r="K3" i="5"/>
  <c r="K4" i="5" s="1"/>
  <c r="K5" i="5" s="1"/>
  <c r="K6" i="5" s="1"/>
  <c r="K7" i="5" s="1"/>
  <c r="K8" i="5" s="1"/>
  <c r="K9" i="5" s="1"/>
  <c r="K10" i="5" s="1"/>
  <c r="J3" i="5"/>
  <c r="J4" i="5" s="1"/>
  <c r="P3" i="3"/>
  <c r="P4" i="3" s="1"/>
  <c r="O3" i="3"/>
  <c r="O4" i="3" s="1"/>
  <c r="M29" i="9" l="1"/>
  <c r="P29" i="9"/>
  <c r="K29" i="9"/>
  <c r="N29" i="9"/>
  <c r="L29" i="9"/>
  <c r="J5" i="9"/>
  <c r="N30" i="9"/>
  <c r="M30" i="9"/>
  <c r="P30" i="9"/>
  <c r="O30" i="9"/>
  <c r="L30" i="9"/>
  <c r="K30" i="9"/>
  <c r="P10" i="8"/>
  <c r="N10" i="8"/>
  <c r="K14" i="10"/>
  <c r="M15" i="10"/>
  <c r="M10" i="8"/>
  <c r="L10" i="8"/>
  <c r="K9" i="8"/>
  <c r="K11" i="7"/>
  <c r="O10" i="7"/>
  <c r="M11" i="7"/>
  <c r="P17" i="10"/>
  <c r="L9" i="8"/>
  <c r="M9" i="8"/>
  <c r="N9" i="8"/>
  <c r="N11" i="8" s="1"/>
  <c r="N12" i="8" s="1"/>
  <c r="O9" i="8"/>
  <c r="P9" i="8"/>
  <c r="K10" i="8"/>
  <c r="O9" i="7"/>
  <c r="P11" i="7"/>
  <c r="P18" i="6"/>
  <c r="K18" i="6"/>
  <c r="P15" i="5"/>
  <c r="P14" i="5"/>
  <c r="K15" i="5"/>
  <c r="L15" i="5"/>
  <c r="K14" i="5"/>
  <c r="M15" i="5"/>
  <c r="L14" i="5"/>
  <c r="N15" i="5"/>
  <c r="M14" i="5"/>
  <c r="N14" i="5"/>
  <c r="O14" i="5"/>
  <c r="P12" i="10"/>
  <c r="L14" i="10"/>
  <c r="N15" i="10"/>
  <c r="P16" i="10"/>
  <c r="K13" i="10"/>
  <c r="M14" i="10"/>
  <c r="O15" i="10"/>
  <c r="K17" i="10"/>
  <c r="L17" i="10"/>
  <c r="N14" i="10"/>
  <c r="K12" i="10"/>
  <c r="M13" i="10"/>
  <c r="O14" i="10"/>
  <c r="K16" i="10"/>
  <c r="M17" i="10"/>
  <c r="O16" i="10"/>
  <c r="P15" i="10"/>
  <c r="L12" i="10"/>
  <c r="N13" i="10"/>
  <c r="P14" i="10"/>
  <c r="L16" i="10"/>
  <c r="N17" i="10"/>
  <c r="O12" i="10"/>
  <c r="L13" i="10"/>
  <c r="M12" i="10"/>
  <c r="O13" i="10"/>
  <c r="K15" i="10"/>
  <c r="M16" i="10"/>
  <c r="O17" i="10"/>
  <c r="N12" i="10"/>
  <c r="P13" i="10"/>
  <c r="L15" i="10"/>
  <c r="N16" i="10"/>
  <c r="M9" i="7"/>
  <c r="N9" i="7"/>
  <c r="P10" i="7"/>
  <c r="P9" i="7"/>
  <c r="L11" i="7"/>
  <c r="L10" i="7"/>
  <c r="N11" i="7"/>
  <c r="K9" i="7"/>
  <c r="M10" i="7"/>
  <c r="O11" i="7"/>
  <c r="K10" i="7"/>
  <c r="L9" i="7"/>
  <c r="N10" i="7"/>
  <c r="L18" i="6"/>
  <c r="N18" i="6"/>
  <c r="O18" i="6"/>
  <c r="M18" i="6"/>
  <c r="J4" i="6"/>
  <c r="J5" i="5"/>
  <c r="O4" i="5"/>
  <c r="O15" i="5" s="1"/>
  <c r="H17" i="4"/>
  <c r="H18" i="4"/>
  <c r="H19" i="4"/>
  <c r="H20" i="4"/>
  <c r="H21" i="4"/>
  <c r="H22" i="4"/>
  <c r="H23" i="4"/>
  <c r="H24" i="4"/>
  <c r="H25" i="4"/>
  <c r="H26" i="4"/>
  <c r="H16" i="4"/>
  <c r="G17" i="4"/>
  <c r="G18" i="4"/>
  <c r="G19" i="4"/>
  <c r="G20" i="4"/>
  <c r="G21" i="4"/>
  <c r="G22" i="4"/>
  <c r="G23" i="4"/>
  <c r="G24" i="4"/>
  <c r="G25" i="4"/>
  <c r="G26" i="4"/>
  <c r="G16" i="4"/>
  <c r="F17" i="4"/>
  <c r="F18" i="4"/>
  <c r="F19" i="4"/>
  <c r="F20" i="4"/>
  <c r="F21" i="4"/>
  <c r="F22" i="4"/>
  <c r="F23" i="4"/>
  <c r="F24" i="4"/>
  <c r="F25" i="4"/>
  <c r="F26" i="4"/>
  <c r="F16" i="4"/>
  <c r="E17" i="4"/>
  <c r="E18" i="4"/>
  <c r="E19" i="4"/>
  <c r="E20" i="4"/>
  <c r="E21" i="4"/>
  <c r="E22" i="4"/>
  <c r="E23" i="4"/>
  <c r="E24" i="4"/>
  <c r="E25" i="4"/>
  <c r="E26" i="4"/>
  <c r="E16" i="4"/>
  <c r="D17" i="4"/>
  <c r="D18" i="4"/>
  <c r="D19" i="4"/>
  <c r="D20" i="4"/>
  <c r="D21" i="4"/>
  <c r="D22" i="4"/>
  <c r="D23" i="4"/>
  <c r="D24" i="4"/>
  <c r="D25" i="4"/>
  <c r="D26" i="4"/>
  <c r="D16" i="4"/>
  <c r="C17" i="4"/>
  <c r="C18" i="4"/>
  <c r="C19" i="4"/>
  <c r="C20" i="4"/>
  <c r="C21" i="4"/>
  <c r="C22" i="4"/>
  <c r="C23" i="4"/>
  <c r="C24" i="4"/>
  <c r="C25" i="4"/>
  <c r="C26" i="4"/>
  <c r="C16" i="4"/>
  <c r="K3" i="4"/>
  <c r="K4" i="4" s="1"/>
  <c r="K5" i="4" s="1"/>
  <c r="K6" i="4" s="1"/>
  <c r="K7" i="4" s="1"/>
  <c r="K8" i="4" s="1"/>
  <c r="K9" i="4" s="1"/>
  <c r="K10" i="4" s="1"/>
  <c r="K11" i="4" s="1"/>
  <c r="K12" i="4" s="1"/>
  <c r="L3" i="4"/>
  <c r="L4" i="4" s="1"/>
  <c r="L5" i="4" s="1"/>
  <c r="L6" i="4" s="1"/>
  <c r="L7" i="4" s="1"/>
  <c r="L8" i="4" s="1"/>
  <c r="L9" i="4" s="1"/>
  <c r="L10" i="4" s="1"/>
  <c r="L11" i="4" s="1"/>
  <c r="L12" i="4" s="1"/>
  <c r="M3" i="4"/>
  <c r="M4" i="4" s="1"/>
  <c r="M5" i="4" s="1"/>
  <c r="M6" i="4" s="1"/>
  <c r="M7" i="4" s="1"/>
  <c r="M8" i="4" s="1"/>
  <c r="M9" i="4" s="1"/>
  <c r="M10" i="4" s="1"/>
  <c r="M11" i="4" s="1"/>
  <c r="M12" i="4" s="1"/>
  <c r="N3" i="4"/>
  <c r="N4" i="4" s="1"/>
  <c r="N5" i="4" s="1"/>
  <c r="N6" i="4" s="1"/>
  <c r="N7" i="4" s="1"/>
  <c r="N8" i="4" s="1"/>
  <c r="N9" i="4" s="1"/>
  <c r="N10" i="4" s="1"/>
  <c r="N11" i="4" s="1"/>
  <c r="N12" i="4" s="1"/>
  <c r="O3" i="4"/>
  <c r="O4" i="4" s="1"/>
  <c r="O5" i="4" s="1"/>
  <c r="O6" i="4" s="1"/>
  <c r="O7" i="4" s="1"/>
  <c r="O8" i="4" s="1"/>
  <c r="O9" i="4" s="1"/>
  <c r="O10" i="4" s="1"/>
  <c r="O11" i="4" s="1"/>
  <c r="O12" i="4" s="1"/>
  <c r="P3" i="4"/>
  <c r="P4" i="4" s="1"/>
  <c r="P5" i="4" s="1"/>
  <c r="P6" i="4" s="1"/>
  <c r="P7" i="4" s="1"/>
  <c r="P8" i="4" s="1"/>
  <c r="P9" i="4" s="1"/>
  <c r="P10" i="4" s="1"/>
  <c r="P11" i="4" s="1"/>
  <c r="P12" i="4" s="1"/>
  <c r="H9" i="3"/>
  <c r="H10" i="3"/>
  <c r="H8" i="3"/>
  <c r="G9" i="3"/>
  <c r="G10" i="3"/>
  <c r="G8" i="3"/>
  <c r="F9" i="3"/>
  <c r="F10" i="3"/>
  <c r="F8" i="3"/>
  <c r="E9" i="3"/>
  <c r="E10" i="3"/>
  <c r="E8" i="3"/>
  <c r="D9" i="3"/>
  <c r="D10" i="3"/>
  <c r="D8" i="3"/>
  <c r="C9" i="3"/>
  <c r="C10" i="3"/>
  <c r="C8" i="3"/>
  <c r="J6" i="9" l="1"/>
  <c r="N31" i="9"/>
  <c r="M31" i="9"/>
  <c r="P31" i="9"/>
  <c r="O31" i="9"/>
  <c r="L31" i="9"/>
  <c r="K31" i="9"/>
  <c r="M12" i="7"/>
  <c r="K16" i="5"/>
  <c r="L16" i="5"/>
  <c r="P16" i="5"/>
  <c r="N16" i="5"/>
  <c r="M16" i="5"/>
  <c r="O16" i="4"/>
  <c r="P16" i="4"/>
  <c r="N16" i="4"/>
  <c r="M16" i="4"/>
  <c r="L16" i="4"/>
  <c r="K16" i="4"/>
  <c r="L19" i="6"/>
  <c r="K19" i="6"/>
  <c r="O19" i="6"/>
  <c r="P19" i="6"/>
  <c r="N19" i="6"/>
  <c r="M19" i="6"/>
  <c r="L8" i="3"/>
  <c r="K8" i="3"/>
  <c r="P8" i="3"/>
  <c r="M8" i="3"/>
  <c r="O8" i="3"/>
  <c r="N8" i="3"/>
  <c r="M18" i="10"/>
  <c r="M19" i="10" s="1"/>
  <c r="K11" i="8"/>
  <c r="K12" i="8" s="1"/>
  <c r="P12" i="7"/>
  <c r="P13" i="7" s="1"/>
  <c r="L12" i="7"/>
  <c r="L13" i="7" s="1"/>
  <c r="K12" i="7"/>
  <c r="K13" i="7" s="1"/>
  <c r="N12" i="7"/>
  <c r="N13" i="7" s="1"/>
  <c r="O12" i="7"/>
  <c r="O13" i="7" s="1"/>
  <c r="O18" i="10"/>
  <c r="O19" i="10" s="1"/>
  <c r="L18" i="10"/>
  <c r="L19" i="10" s="1"/>
  <c r="N18" i="10"/>
  <c r="N19" i="10" s="1"/>
  <c r="K18" i="10"/>
  <c r="K19" i="10" s="1"/>
  <c r="P18" i="10"/>
  <c r="P19" i="10" s="1"/>
  <c r="M11" i="8"/>
  <c r="M12" i="8" s="1"/>
  <c r="P11" i="8"/>
  <c r="P12" i="8" s="1"/>
  <c r="O11" i="8"/>
  <c r="O12" i="8" s="1"/>
  <c r="L11" i="8"/>
  <c r="L12" i="8" s="1"/>
  <c r="M13" i="7"/>
  <c r="J5" i="6"/>
  <c r="O5" i="5"/>
  <c r="O6" i="5" s="1"/>
  <c r="O7" i="5" s="1"/>
  <c r="O8" i="5" s="1"/>
  <c r="O9" i="5" s="1"/>
  <c r="O10" i="5" s="1"/>
  <c r="J6" i="5"/>
  <c r="J3" i="4"/>
  <c r="H18" i="2"/>
  <c r="H19" i="2"/>
  <c r="H20" i="2"/>
  <c r="H21" i="2"/>
  <c r="H22" i="2"/>
  <c r="H23" i="2"/>
  <c r="H24" i="2"/>
  <c r="H25" i="2"/>
  <c r="H26" i="2"/>
  <c r="H27" i="2"/>
  <c r="H28" i="2"/>
  <c r="H29" i="2"/>
  <c r="H17" i="2"/>
  <c r="G18" i="2"/>
  <c r="G19" i="2"/>
  <c r="G20" i="2"/>
  <c r="G21" i="2"/>
  <c r="G22" i="2"/>
  <c r="G23" i="2"/>
  <c r="G24" i="2"/>
  <c r="G25" i="2"/>
  <c r="G26" i="2"/>
  <c r="G27" i="2"/>
  <c r="G28" i="2"/>
  <c r="G29" i="2"/>
  <c r="G17" i="2"/>
  <c r="F18" i="2"/>
  <c r="F19" i="2"/>
  <c r="F20" i="2"/>
  <c r="F21" i="2"/>
  <c r="F22" i="2"/>
  <c r="F23" i="2"/>
  <c r="F24" i="2"/>
  <c r="F25" i="2"/>
  <c r="F26" i="2"/>
  <c r="F27" i="2"/>
  <c r="F28" i="2"/>
  <c r="F29" i="2"/>
  <c r="F17" i="2"/>
  <c r="E18" i="2"/>
  <c r="E19" i="2"/>
  <c r="E20" i="2"/>
  <c r="E21" i="2"/>
  <c r="E22" i="2"/>
  <c r="E23" i="2"/>
  <c r="E24" i="2"/>
  <c r="E25" i="2"/>
  <c r="E26" i="2"/>
  <c r="E27" i="2"/>
  <c r="E28" i="2"/>
  <c r="E29" i="2"/>
  <c r="E17" i="2"/>
  <c r="D18" i="2"/>
  <c r="D19" i="2"/>
  <c r="D20" i="2"/>
  <c r="D21" i="2"/>
  <c r="D22" i="2"/>
  <c r="D23" i="2"/>
  <c r="D24" i="2"/>
  <c r="D25" i="2"/>
  <c r="D26" i="2"/>
  <c r="D27" i="2"/>
  <c r="D28" i="2"/>
  <c r="D29" i="2"/>
  <c r="D17" i="2"/>
  <c r="C18" i="2"/>
  <c r="C19" i="2"/>
  <c r="C20" i="2"/>
  <c r="C21" i="2"/>
  <c r="C22" i="2"/>
  <c r="C23" i="2"/>
  <c r="C24" i="2"/>
  <c r="C25" i="2"/>
  <c r="C26" i="2"/>
  <c r="C27" i="2"/>
  <c r="C28" i="2"/>
  <c r="C29" i="2"/>
  <c r="C17" i="2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H29" i="1"/>
  <c r="G29" i="1"/>
  <c r="F29" i="1"/>
  <c r="E29" i="1"/>
  <c r="D29" i="1"/>
  <c r="C29" i="1"/>
  <c r="H28" i="1"/>
  <c r="G28" i="1"/>
  <c r="F28" i="1"/>
  <c r="E28" i="1"/>
  <c r="D28" i="1"/>
  <c r="C28" i="1"/>
  <c r="H27" i="1"/>
  <c r="G27" i="1"/>
  <c r="F27" i="1"/>
  <c r="E27" i="1"/>
  <c r="D27" i="1"/>
  <c r="C27" i="1"/>
  <c r="H26" i="1"/>
  <c r="G26" i="1"/>
  <c r="F26" i="1"/>
  <c r="E26" i="1"/>
  <c r="D26" i="1"/>
  <c r="C26" i="1"/>
  <c r="H25" i="1"/>
  <c r="G25" i="1"/>
  <c r="F25" i="1"/>
  <c r="E25" i="1"/>
  <c r="D25" i="1"/>
  <c r="C25" i="1"/>
  <c r="H24" i="1"/>
  <c r="G24" i="1"/>
  <c r="F24" i="1"/>
  <c r="E24" i="1"/>
  <c r="D24" i="1"/>
  <c r="C24" i="1"/>
  <c r="H23" i="1"/>
  <c r="G23" i="1"/>
  <c r="F23" i="1"/>
  <c r="E23" i="1"/>
  <c r="D23" i="1"/>
  <c r="C23" i="1"/>
  <c r="H22" i="1"/>
  <c r="G22" i="1"/>
  <c r="F22" i="1"/>
  <c r="E22" i="1"/>
  <c r="D22" i="1"/>
  <c r="C22" i="1"/>
  <c r="H21" i="1"/>
  <c r="G21" i="1"/>
  <c r="F21" i="1"/>
  <c r="E21" i="1"/>
  <c r="D21" i="1"/>
  <c r="C21" i="1"/>
  <c r="H20" i="1"/>
  <c r="G20" i="1"/>
  <c r="F20" i="1"/>
  <c r="E20" i="1"/>
  <c r="D20" i="1"/>
  <c r="C20" i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J7" i="9" l="1"/>
  <c r="N32" i="9"/>
  <c r="M32" i="9"/>
  <c r="P32" i="9"/>
  <c r="L32" i="9"/>
  <c r="K32" i="9"/>
  <c r="O32" i="9"/>
  <c r="O16" i="5"/>
  <c r="M17" i="5"/>
  <c r="N17" i="5"/>
  <c r="L17" i="5"/>
  <c r="K17" i="5"/>
  <c r="P17" i="5"/>
  <c r="O17" i="5"/>
  <c r="P17" i="4"/>
  <c r="O17" i="4"/>
  <c r="N17" i="4"/>
  <c r="M17" i="4"/>
  <c r="L17" i="4"/>
  <c r="K17" i="4"/>
  <c r="N20" i="6"/>
  <c r="M20" i="6"/>
  <c r="L20" i="6"/>
  <c r="K20" i="6"/>
  <c r="P20" i="6"/>
  <c r="O20" i="6"/>
  <c r="P17" i="2"/>
  <c r="O17" i="2"/>
  <c r="M17" i="2"/>
  <c r="N17" i="2"/>
  <c r="L17" i="2"/>
  <c r="K17" i="2"/>
  <c r="P17" i="1"/>
  <c r="O17" i="1"/>
  <c r="K17" i="1"/>
  <c r="N17" i="1"/>
  <c r="M17" i="1"/>
  <c r="L17" i="1"/>
  <c r="J6" i="6"/>
  <c r="J7" i="5"/>
  <c r="J4" i="4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J3" i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O3" i="2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N3" i="2"/>
  <c r="N4" i="2" s="1"/>
  <c r="N5" i="2" s="1"/>
  <c r="N6" i="2" s="1"/>
  <c r="N7" i="2" s="1"/>
  <c r="N8" i="2" s="1"/>
  <c r="N9" i="2" s="1"/>
  <c r="N10" i="2" s="1"/>
  <c r="N11" i="2" s="1"/>
  <c r="N12" i="2" s="1"/>
  <c r="N13" i="2" s="1"/>
  <c r="N14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J3" i="2"/>
  <c r="J8" i="9" l="1"/>
  <c r="K33" i="9"/>
  <c r="P33" i="9"/>
  <c r="O33" i="9"/>
  <c r="N33" i="9"/>
  <c r="M33" i="9"/>
  <c r="L33" i="9"/>
  <c r="O18" i="5"/>
  <c r="N18" i="5"/>
  <c r="M18" i="5"/>
  <c r="L18" i="5"/>
  <c r="K18" i="5"/>
  <c r="P18" i="5"/>
  <c r="K18" i="4"/>
  <c r="L18" i="4"/>
  <c r="P18" i="4"/>
  <c r="O18" i="4"/>
  <c r="N18" i="4"/>
  <c r="M18" i="4"/>
  <c r="P21" i="6"/>
  <c r="O21" i="6"/>
  <c r="N21" i="6"/>
  <c r="M21" i="6"/>
  <c r="K21" i="6"/>
  <c r="L21" i="6"/>
  <c r="P18" i="2"/>
  <c r="O18" i="2"/>
  <c r="N18" i="2"/>
  <c r="M18" i="2"/>
  <c r="K18" i="2"/>
  <c r="L18" i="2"/>
  <c r="N18" i="1"/>
  <c r="P18" i="1"/>
  <c r="O18" i="1"/>
  <c r="L18" i="1"/>
  <c r="K18" i="1"/>
  <c r="M18" i="1"/>
  <c r="J7" i="6"/>
  <c r="J8" i="5"/>
  <c r="J5" i="4"/>
  <c r="J4" i="1"/>
  <c r="J4" i="2"/>
  <c r="M3" i="3"/>
  <c r="M4" i="3" s="1"/>
  <c r="J3" i="3"/>
  <c r="N3" i="3"/>
  <c r="K3" i="3"/>
  <c r="K4" i="3" s="1"/>
  <c r="L3" i="3"/>
  <c r="L4" i="3" s="1"/>
  <c r="J9" i="9" l="1"/>
  <c r="N34" i="9"/>
  <c r="M34" i="9"/>
  <c r="O34" i="9"/>
  <c r="L34" i="9"/>
  <c r="K34" i="9"/>
  <c r="P34" i="9"/>
  <c r="P19" i="5"/>
  <c r="O19" i="5"/>
  <c r="N19" i="5"/>
  <c r="M19" i="5"/>
  <c r="L19" i="5"/>
  <c r="K19" i="5"/>
  <c r="M19" i="4"/>
  <c r="L19" i="4"/>
  <c r="K19" i="4"/>
  <c r="P19" i="4"/>
  <c r="N19" i="4"/>
  <c r="O19" i="4"/>
  <c r="P22" i="6"/>
  <c r="O22" i="6"/>
  <c r="M22" i="6"/>
  <c r="N22" i="6"/>
  <c r="L22" i="6"/>
  <c r="K22" i="6"/>
  <c r="N9" i="3"/>
  <c r="M9" i="3"/>
  <c r="L9" i="3"/>
  <c r="K9" i="3"/>
  <c r="P9" i="3"/>
  <c r="O9" i="3"/>
  <c r="L19" i="2"/>
  <c r="K19" i="2"/>
  <c r="P19" i="2"/>
  <c r="M19" i="2"/>
  <c r="O19" i="2"/>
  <c r="N19" i="2"/>
  <c r="L19" i="1"/>
  <c r="O19" i="1"/>
  <c r="K19" i="1"/>
  <c r="N19" i="1"/>
  <c r="M19" i="1"/>
  <c r="P19" i="1"/>
  <c r="J8" i="6"/>
  <c r="J9" i="5"/>
  <c r="J6" i="4"/>
  <c r="J5" i="1"/>
  <c r="J5" i="2"/>
  <c r="J4" i="3"/>
  <c r="N4" i="3"/>
  <c r="J10" i="9" l="1"/>
  <c r="N35" i="9"/>
  <c r="M35" i="9"/>
  <c r="L35" i="9"/>
  <c r="P35" i="9"/>
  <c r="O35" i="9"/>
  <c r="K35" i="9"/>
  <c r="K20" i="5"/>
  <c r="P20" i="5"/>
  <c r="L20" i="5"/>
  <c r="O20" i="5"/>
  <c r="N20" i="5"/>
  <c r="M20" i="5"/>
  <c r="O20" i="4"/>
  <c r="N20" i="4"/>
  <c r="M20" i="4"/>
  <c r="L20" i="4"/>
  <c r="K20" i="4"/>
  <c r="P20" i="4"/>
  <c r="L23" i="6"/>
  <c r="O23" i="6"/>
  <c r="K23" i="6"/>
  <c r="P23" i="6"/>
  <c r="N23" i="6"/>
  <c r="M23" i="6"/>
  <c r="P10" i="3"/>
  <c r="P11" i="3" s="1"/>
  <c r="P12" i="3" s="1"/>
  <c r="O10" i="3"/>
  <c r="O11" i="3" s="1"/>
  <c r="O12" i="3" s="1"/>
  <c r="N10" i="3"/>
  <c r="N11" i="3" s="1"/>
  <c r="N12" i="3" s="1"/>
  <c r="M10" i="3"/>
  <c r="M11" i="3" s="1"/>
  <c r="M12" i="3" s="1"/>
  <c r="L10" i="3"/>
  <c r="L11" i="3" s="1"/>
  <c r="L12" i="3" s="1"/>
  <c r="K10" i="3"/>
  <c r="K11" i="3" s="1"/>
  <c r="K12" i="3" s="1"/>
  <c r="N20" i="2"/>
  <c r="K20" i="2"/>
  <c r="M20" i="2"/>
  <c r="L20" i="2"/>
  <c r="P20" i="2"/>
  <c r="O20" i="2"/>
  <c r="N20" i="1"/>
  <c r="M20" i="1"/>
  <c r="L20" i="1"/>
  <c r="K20" i="1"/>
  <c r="P20" i="1"/>
  <c r="O20" i="1"/>
  <c r="J9" i="6"/>
  <c r="J10" i="5"/>
  <c r="J7" i="4"/>
  <c r="J6" i="1"/>
  <c r="J6" i="2"/>
  <c r="J11" i="9" l="1"/>
  <c r="N36" i="9"/>
  <c r="M36" i="9"/>
  <c r="P36" i="9"/>
  <c r="L36" i="9"/>
  <c r="K36" i="9"/>
  <c r="O36" i="9"/>
  <c r="M21" i="5"/>
  <c r="M22" i="5" s="1"/>
  <c r="M23" i="5" s="1"/>
  <c r="L21" i="5"/>
  <c r="K21" i="5"/>
  <c r="K22" i="5" s="1"/>
  <c r="K23" i="5" s="1"/>
  <c r="N21" i="5"/>
  <c r="N22" i="5" s="1"/>
  <c r="N23" i="5" s="1"/>
  <c r="P21" i="5"/>
  <c r="P22" i="5" s="1"/>
  <c r="P23" i="5" s="1"/>
  <c r="O21" i="5"/>
  <c r="O22" i="5" s="1"/>
  <c r="O23" i="5" s="1"/>
  <c r="P21" i="4"/>
  <c r="O21" i="4"/>
  <c r="N21" i="4"/>
  <c r="M21" i="4"/>
  <c r="L21" i="4"/>
  <c r="K21" i="4"/>
  <c r="N24" i="6"/>
  <c r="M24" i="6"/>
  <c r="L24" i="6"/>
  <c r="K24" i="6"/>
  <c r="P24" i="6"/>
  <c r="O24" i="6"/>
  <c r="P21" i="2"/>
  <c r="O21" i="2"/>
  <c r="N21" i="2"/>
  <c r="M21" i="2"/>
  <c r="L21" i="2"/>
  <c r="K21" i="2"/>
  <c r="P21" i="1"/>
  <c r="O21" i="1"/>
  <c r="L21" i="1"/>
  <c r="K21" i="1"/>
  <c r="N21" i="1"/>
  <c r="M21" i="1"/>
  <c r="J10" i="6"/>
  <c r="L22" i="5"/>
  <c r="L23" i="5" s="1"/>
  <c r="J8" i="4"/>
  <c r="J7" i="1"/>
  <c r="J7" i="2"/>
  <c r="J12" i="9" l="1"/>
  <c r="K37" i="9"/>
  <c r="P37" i="9"/>
  <c r="O37" i="9"/>
  <c r="N37" i="9"/>
  <c r="M37" i="9"/>
  <c r="L37" i="9"/>
  <c r="K22" i="4"/>
  <c r="L22" i="4"/>
  <c r="P22" i="4"/>
  <c r="O22" i="4"/>
  <c r="N22" i="4"/>
  <c r="M22" i="4"/>
  <c r="P25" i="6"/>
  <c r="O25" i="6"/>
  <c r="N25" i="6"/>
  <c r="K25" i="6"/>
  <c r="M25" i="6"/>
  <c r="L25" i="6"/>
  <c r="O22" i="2"/>
  <c r="P22" i="2"/>
  <c r="N22" i="2"/>
  <c r="M22" i="2"/>
  <c r="K22" i="2"/>
  <c r="L22" i="2"/>
  <c r="P22" i="1"/>
  <c r="M22" i="1"/>
  <c r="O22" i="1"/>
  <c r="L22" i="1"/>
  <c r="N22" i="1"/>
  <c r="K22" i="1"/>
  <c r="J11" i="6"/>
  <c r="J9" i="4"/>
  <c r="J8" i="1"/>
  <c r="J8" i="2"/>
  <c r="J13" i="9" l="1"/>
  <c r="N38" i="9"/>
  <c r="M38" i="9"/>
  <c r="P38" i="9"/>
  <c r="L38" i="9"/>
  <c r="K38" i="9"/>
  <c r="O38" i="9"/>
  <c r="M23" i="4"/>
  <c r="L23" i="4"/>
  <c r="K23" i="4"/>
  <c r="N23" i="4"/>
  <c r="P23" i="4"/>
  <c r="O23" i="4"/>
  <c r="M26" i="6"/>
  <c r="P26" i="6"/>
  <c r="O26" i="6"/>
  <c r="N26" i="6"/>
  <c r="L26" i="6"/>
  <c r="K26" i="6"/>
  <c r="L23" i="2"/>
  <c r="K23" i="2"/>
  <c r="P23" i="2"/>
  <c r="M23" i="2"/>
  <c r="O23" i="2"/>
  <c r="N23" i="2"/>
  <c r="L23" i="1"/>
  <c r="P23" i="1"/>
  <c r="K23" i="1"/>
  <c r="N23" i="1"/>
  <c r="O23" i="1"/>
  <c r="M23" i="1"/>
  <c r="J12" i="6"/>
  <c r="J10" i="4"/>
  <c r="J9" i="1"/>
  <c r="J9" i="2"/>
  <c r="J14" i="9" l="1"/>
  <c r="N39" i="9"/>
  <c r="M39" i="9"/>
  <c r="K39" i="9"/>
  <c r="P39" i="9"/>
  <c r="O39" i="9"/>
  <c r="L39" i="9"/>
  <c r="O24" i="4"/>
  <c r="P24" i="4"/>
  <c r="N24" i="4"/>
  <c r="M24" i="4"/>
  <c r="L24" i="4"/>
  <c r="K24" i="4"/>
  <c r="L27" i="6"/>
  <c r="K27" i="6"/>
  <c r="O27" i="6"/>
  <c r="P27" i="6"/>
  <c r="N27" i="6"/>
  <c r="M27" i="6"/>
  <c r="N24" i="2"/>
  <c r="K24" i="2"/>
  <c r="M24" i="2"/>
  <c r="L24" i="2"/>
  <c r="O24" i="2"/>
  <c r="P24" i="2"/>
  <c r="N24" i="1"/>
  <c r="M24" i="1"/>
  <c r="L24" i="1"/>
  <c r="K24" i="1"/>
  <c r="P24" i="1"/>
  <c r="O24" i="1"/>
  <c r="J13" i="6"/>
  <c r="J11" i="4"/>
  <c r="J10" i="1"/>
  <c r="J10" i="2"/>
  <c r="J15" i="9" l="1"/>
  <c r="N40" i="9"/>
  <c r="M40" i="9"/>
  <c r="P40" i="9"/>
  <c r="L40" i="9"/>
  <c r="K40" i="9"/>
  <c r="O40" i="9"/>
  <c r="P25" i="4"/>
  <c r="O25" i="4"/>
  <c r="N25" i="4"/>
  <c r="M25" i="4"/>
  <c r="L25" i="4"/>
  <c r="K25" i="4"/>
  <c r="N28" i="6"/>
  <c r="M28" i="6"/>
  <c r="L28" i="6"/>
  <c r="K28" i="6"/>
  <c r="P28" i="6"/>
  <c r="O28" i="6"/>
  <c r="P25" i="2"/>
  <c r="M25" i="2"/>
  <c r="O25" i="2"/>
  <c r="N25" i="2"/>
  <c r="L25" i="2"/>
  <c r="K25" i="2"/>
  <c r="P25" i="1"/>
  <c r="O25" i="1"/>
  <c r="N25" i="1"/>
  <c r="M25" i="1"/>
  <c r="L25" i="1"/>
  <c r="K25" i="1"/>
  <c r="J14" i="6"/>
  <c r="J12" i="4"/>
  <c r="J11" i="1"/>
  <c r="J11" i="2"/>
  <c r="J16" i="9" l="1"/>
  <c r="K41" i="9"/>
  <c r="P41" i="9"/>
  <c r="O41" i="9"/>
  <c r="N41" i="9"/>
  <c r="M41" i="9"/>
  <c r="L41" i="9"/>
  <c r="K26" i="4"/>
  <c r="L26" i="4"/>
  <c r="P26" i="4"/>
  <c r="O26" i="4"/>
  <c r="N26" i="4"/>
  <c r="M26" i="4"/>
  <c r="P29" i="6"/>
  <c r="P30" i="6" s="1"/>
  <c r="P31" i="6" s="1"/>
  <c r="O29" i="6"/>
  <c r="O30" i="6" s="1"/>
  <c r="O31" i="6" s="1"/>
  <c r="N29" i="6"/>
  <c r="N30" i="6" s="1"/>
  <c r="N31" i="6" s="1"/>
  <c r="M29" i="6"/>
  <c r="M30" i="6" s="1"/>
  <c r="M31" i="6" s="1"/>
  <c r="L29" i="6"/>
  <c r="L30" i="6" s="1"/>
  <c r="L31" i="6" s="1"/>
  <c r="K29" i="6"/>
  <c r="K30" i="6" s="1"/>
  <c r="K31" i="6" s="1"/>
  <c r="O26" i="2"/>
  <c r="P26" i="2"/>
  <c r="N26" i="2"/>
  <c r="M26" i="2"/>
  <c r="K26" i="2"/>
  <c r="L26" i="2"/>
  <c r="M26" i="1"/>
  <c r="P26" i="1"/>
  <c r="N26" i="1"/>
  <c r="O26" i="1"/>
  <c r="L26" i="1"/>
  <c r="K26" i="1"/>
  <c r="J12" i="1"/>
  <c r="J12" i="2"/>
  <c r="J17" i="9" l="1"/>
  <c r="N42" i="9"/>
  <c r="M42" i="9"/>
  <c r="P42" i="9"/>
  <c r="L42" i="9"/>
  <c r="K42" i="9"/>
  <c r="O42" i="9"/>
  <c r="L27" i="2"/>
  <c r="K27" i="2"/>
  <c r="P27" i="2"/>
  <c r="O27" i="2"/>
  <c r="N27" i="2"/>
  <c r="M27" i="2"/>
  <c r="L27" i="1"/>
  <c r="K27" i="1"/>
  <c r="P27" i="1"/>
  <c r="O27" i="1"/>
  <c r="N27" i="1"/>
  <c r="M27" i="1"/>
  <c r="N27" i="4"/>
  <c r="N28" i="4" s="1"/>
  <c r="L27" i="4"/>
  <c r="L28" i="4" s="1"/>
  <c r="O27" i="4"/>
  <c r="O28" i="4" s="1"/>
  <c r="K27" i="4"/>
  <c r="K28" i="4" s="1"/>
  <c r="M27" i="4"/>
  <c r="M28" i="4" s="1"/>
  <c r="P27" i="4"/>
  <c r="P28" i="4" s="1"/>
  <c r="J13" i="1"/>
  <c r="J13" i="2"/>
  <c r="J18" i="9" l="1"/>
  <c r="N43" i="9"/>
  <c r="K43" i="9"/>
  <c r="P43" i="9"/>
  <c r="O43" i="9"/>
  <c r="M43" i="9"/>
  <c r="L43" i="9"/>
  <c r="N28" i="2"/>
  <c r="M28" i="2"/>
  <c r="L28" i="2"/>
  <c r="K28" i="2"/>
  <c r="O28" i="2"/>
  <c r="P28" i="2"/>
  <c r="N28" i="1"/>
  <c r="M28" i="1"/>
  <c r="L28" i="1"/>
  <c r="K28" i="1"/>
  <c r="P28" i="1"/>
  <c r="O28" i="1"/>
  <c r="J14" i="1"/>
  <c r="J14" i="2"/>
  <c r="J19" i="9" l="1"/>
  <c r="N44" i="9"/>
  <c r="M44" i="9"/>
  <c r="P44" i="9"/>
  <c r="O44" i="9"/>
  <c r="L44" i="9"/>
  <c r="K44" i="9"/>
  <c r="P29" i="2"/>
  <c r="P30" i="2" s="1"/>
  <c r="P31" i="2" s="1"/>
  <c r="M29" i="2"/>
  <c r="O29" i="2"/>
  <c r="N29" i="2"/>
  <c r="N30" i="2" s="1"/>
  <c r="N31" i="2" s="1"/>
  <c r="L29" i="2"/>
  <c r="L30" i="2" s="1"/>
  <c r="L31" i="2" s="1"/>
  <c r="K29" i="2"/>
  <c r="K30" i="2" s="1"/>
  <c r="K31" i="2" s="1"/>
  <c r="P29" i="1"/>
  <c r="P30" i="1" s="1"/>
  <c r="P31" i="1" s="1"/>
  <c r="O29" i="1"/>
  <c r="O30" i="1" s="1"/>
  <c r="O31" i="1" s="1"/>
  <c r="N29" i="1"/>
  <c r="N30" i="1" s="1"/>
  <c r="N31" i="1" s="1"/>
  <c r="M29" i="1"/>
  <c r="L29" i="1"/>
  <c r="L30" i="1" s="1"/>
  <c r="L31" i="1" s="1"/>
  <c r="K29" i="1"/>
  <c r="K30" i="1" s="1"/>
  <c r="K31" i="1" s="1"/>
  <c r="M30" i="1"/>
  <c r="M31" i="1" s="1"/>
  <c r="M30" i="2"/>
  <c r="M31" i="2" s="1"/>
  <c r="O30" i="2"/>
  <c r="O31" i="2" s="1"/>
  <c r="J20" i="9" l="1"/>
  <c r="N45" i="9"/>
  <c r="M45" i="9"/>
  <c r="P45" i="9"/>
  <c r="O45" i="9"/>
  <c r="L45" i="9"/>
  <c r="K45" i="9"/>
  <c r="J21" i="9" l="1"/>
  <c r="N46" i="9"/>
  <c r="M46" i="9"/>
  <c r="P46" i="9"/>
  <c r="O46" i="9"/>
  <c r="L46" i="9"/>
  <c r="K46" i="9"/>
  <c r="J22" i="9" l="1"/>
  <c r="N47" i="9"/>
  <c r="P47" i="9"/>
  <c r="O47" i="9"/>
  <c r="M47" i="9"/>
  <c r="L47" i="9"/>
  <c r="K47" i="9"/>
  <c r="J23" i="9" l="1"/>
  <c r="N48" i="9"/>
  <c r="M48" i="9"/>
  <c r="P48" i="9"/>
  <c r="O48" i="9"/>
  <c r="L48" i="9"/>
  <c r="K48" i="9"/>
  <c r="J24" i="9" l="1"/>
  <c r="N49" i="9"/>
  <c r="M49" i="9"/>
  <c r="L49" i="9"/>
  <c r="P49" i="9"/>
  <c r="O49" i="9"/>
  <c r="K49" i="9"/>
  <c r="J25" i="9" l="1"/>
  <c r="N50" i="9"/>
  <c r="M50" i="9"/>
  <c r="O50" i="9"/>
  <c r="L50" i="9"/>
  <c r="K50" i="9"/>
  <c r="P50" i="9"/>
  <c r="N51" i="9" l="1"/>
  <c r="N52" i="9" s="1"/>
  <c r="N53" i="9" s="1"/>
  <c r="L51" i="9"/>
  <c r="L52" i="9" s="1"/>
  <c r="L53" i="9" s="1"/>
  <c r="P51" i="9"/>
  <c r="P52" i="9" s="1"/>
  <c r="P53" i="9" s="1"/>
  <c r="O51" i="9"/>
  <c r="O52" i="9" s="1"/>
  <c r="O53" i="9" s="1"/>
  <c r="M51" i="9"/>
  <c r="M52" i="9" s="1"/>
  <c r="M53" i="9" s="1"/>
  <c r="K51" i="9"/>
  <c r="K52" i="9" s="1"/>
  <c r="K53" i="9" s="1"/>
</calcChain>
</file>

<file path=xl/sharedStrings.xml><?xml version="1.0" encoding="utf-8"?>
<sst xmlns="http://schemas.openxmlformats.org/spreadsheetml/2006/main" count="611" uniqueCount="131">
  <si>
    <t>Prod 2019</t>
  </si>
  <si>
    <t>Prod 2020</t>
  </si>
  <si>
    <t>Prod 2021</t>
  </si>
  <si>
    <t>Prod 2022</t>
  </si>
  <si>
    <t>Prod 2023-1-2</t>
  </si>
  <si>
    <t>Prod 2023-3</t>
  </si>
  <si>
    <t>TAQUARAÇU DE MINAS</t>
  </si>
  <si>
    <t>MOEDA</t>
  </si>
  <si>
    <t>NOVA UNIÃO</t>
  </si>
  <si>
    <t>BELO VALE</t>
  </si>
  <si>
    <t>RIO ACIMA</t>
  </si>
  <si>
    <t>RAPOSOS</t>
  </si>
  <si>
    <t>JABOTICATUBAS</t>
  </si>
  <si>
    <t>CAETÉ</t>
  </si>
  <si>
    <t>NOVA LIMA</t>
  </si>
  <si>
    <t>SABARÁ</t>
  </si>
  <si>
    <t>SANTA LUZIA</t>
  </si>
  <si>
    <t>RIBEIRÃO DAS NEVES</t>
  </si>
  <si>
    <t>BELO HORIZONTE</t>
  </si>
  <si>
    <t>BETIM</t>
  </si>
  <si>
    <t>BONFIM</t>
  </si>
  <si>
    <t>BRUMADINHO</t>
  </si>
  <si>
    <t>CRUCILÂNDIA</t>
  </si>
  <si>
    <t>ESMERALDAS</t>
  </si>
  <si>
    <t>FLORESTAL</t>
  </si>
  <si>
    <t>IGARAPÉ</t>
  </si>
  <si>
    <t>JUATUBA</t>
  </si>
  <si>
    <t>MÁRIO CAMPOS</t>
  </si>
  <si>
    <t>MATEUS LEME</t>
  </si>
  <si>
    <t>PIEDADE DOS GERAIS</t>
  </si>
  <si>
    <t>RIO MANSO</t>
  </si>
  <si>
    <t>SÃO JOAQUIM DE BICAS</t>
  </si>
  <si>
    <t>CONTAGEM</t>
  </si>
  <si>
    <t>IBIRITÉ</t>
  </si>
  <si>
    <t>SARZEDO</t>
  </si>
  <si>
    <t>CURVELO</t>
  </si>
  <si>
    <t>AUGUSTO DE LIMA</t>
  </si>
  <si>
    <t>BUENÓPOLIS</t>
  </si>
  <si>
    <t>CORINTO</t>
  </si>
  <si>
    <t>FELIXLÂNDIA</t>
  </si>
  <si>
    <t>INIMUTABA</t>
  </si>
  <si>
    <t>MONJOLOS</t>
  </si>
  <si>
    <t>MORRO DA GARÇA</t>
  </si>
  <si>
    <t>PRESIDENTE JUSCELINO</t>
  </si>
  <si>
    <t>SANTO HIPÓLITO</t>
  </si>
  <si>
    <t>TRÊS MARIAS</t>
  </si>
  <si>
    <t>GUANHÃES</t>
  </si>
  <si>
    <t>CARMÉSIA</t>
  </si>
  <si>
    <t>DOM JOAQUIM</t>
  </si>
  <si>
    <t>DORES DE GUANHÃES</t>
  </si>
  <si>
    <t>MATERLÂNDIA</t>
  </si>
  <si>
    <t>RIO VERMELHO</t>
  </si>
  <si>
    <t>SABINÓPOLIS</t>
  </si>
  <si>
    <t>SENHORA DO PORTO</t>
  </si>
  <si>
    <t>VIRGINÓPOLIS</t>
  </si>
  <si>
    <t>ITABIRA</t>
  </si>
  <si>
    <t>BARÃO DE COCAIS</t>
  </si>
  <si>
    <t>BOM JESUS DO AMPARO</t>
  </si>
  <si>
    <t>CATAS ALTAS</t>
  </si>
  <si>
    <t>FERROS</t>
  </si>
  <si>
    <t>ITAMBÉ DO MATO DENTRO</t>
  </si>
  <si>
    <t>MORRO DO PILAR</t>
  </si>
  <si>
    <t>PASSABÉM</t>
  </si>
  <si>
    <t>SANTA BÁRBARA</t>
  </si>
  <si>
    <t>SANTA MARIA DE ITABIRA</t>
  </si>
  <si>
    <t>SANTO ANTÔNIO DO RIO ABAIXO</t>
  </si>
  <si>
    <t>SÃO GONÇALO DO RIO ABAIXO</t>
  </si>
  <si>
    <t>SÃO SEBASTIÃO DO RIO PRETO</t>
  </si>
  <si>
    <t>JOÃO MONLEVADE</t>
  </si>
  <si>
    <t>BELA VISTA DE MINAS</t>
  </si>
  <si>
    <t>NOVA ERA</t>
  </si>
  <si>
    <t>RIO PIRACICABA</t>
  </si>
  <si>
    <t>OURO PRETO</t>
  </si>
  <si>
    <t>ITABIRITO</t>
  </si>
  <si>
    <t>MARIANA</t>
  </si>
  <si>
    <t>SETE LAGOAS</t>
  </si>
  <si>
    <t>BALDIM</t>
  </si>
  <si>
    <t>BIQUINHAS</t>
  </si>
  <si>
    <t>CACHOEIRA DA PRATA</t>
  </si>
  <si>
    <t>CAPIM BRANCO</t>
  </si>
  <si>
    <t>CORDISBURGO</t>
  </si>
  <si>
    <t>FORTUNA DE MINAS</t>
  </si>
  <si>
    <t>MARAVILHAS</t>
  </si>
  <si>
    <t>MORADA NOVA DE MINAS</t>
  </si>
  <si>
    <t>PAINEIRAS</t>
  </si>
  <si>
    <t>PAPAGAIOS</t>
  </si>
  <si>
    <t>PARAOPEBA</t>
  </si>
  <si>
    <t>PEQUI</t>
  </si>
  <si>
    <t>PRUDENTE DE MORAIS</t>
  </si>
  <si>
    <t>QUARTEL GERAL</t>
  </si>
  <si>
    <t>SANTANA DE PIRAPAMA</t>
  </si>
  <si>
    <t>VESPASIANO</t>
  </si>
  <si>
    <t>CONFINS</t>
  </si>
  <si>
    <t>LAGOA SANTA</t>
  </si>
  <si>
    <t>MATOZINHOS</t>
  </si>
  <si>
    <t>PEDRO LEOPOLDO</t>
  </si>
  <si>
    <t>SANTANA DO RIACHO</t>
  </si>
  <si>
    <t>SÃO JOSÉ DA LAPA</t>
  </si>
  <si>
    <t>Pop</t>
  </si>
  <si>
    <t>MUNICÍPIO</t>
  </si>
  <si>
    <t xml:space="preserve"> 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</si>
  <si>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</si>
  <si>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</si>
  <si>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</si>
  <si>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</si>
  <si>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</si>
  <si>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</si>
  <si>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</si>
  <si>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</si>
  <si>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</si>
  <si>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</si>
  <si>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</si>
  <si>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</si>
  <si>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GINI (1-ÁREA)</t>
  </si>
  <si>
    <t>SOMA_ÁREAS</t>
  </si>
  <si>
    <t>ABAETE</t>
  </si>
  <si>
    <t>ARACAI</t>
  </si>
  <si>
    <t>CAETANOPOLIS</t>
  </si>
  <si>
    <t>CEDRO DO ABAETE</t>
  </si>
  <si>
    <t>INHAUMA</t>
  </si>
  <si>
    <t>JEQUITIBA</t>
  </si>
  <si>
    <t>POMPEU</t>
  </si>
  <si>
    <t>FUNILANDIA</t>
  </si>
  <si>
    <t>CEDRO DO ABAETÉ</t>
  </si>
  <si>
    <t>ARAÇAÍ</t>
  </si>
  <si>
    <t>FUNILÂNDIA</t>
  </si>
  <si>
    <t>JEQUITIBÁ</t>
  </si>
  <si>
    <t>INHAÚMA</t>
  </si>
  <si>
    <t>CAETANÓPOLIS</t>
  </si>
  <si>
    <t>ABAETÉ</t>
  </si>
  <si>
    <t>POMPÉU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</si>
</sst>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indent="2"/>
    </xf>
    <xf numFmtId="164" fontId="0" fillId="0" borderId="0" xfId="0" applyNumberForma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2" fontId="0" fillId="0" borderId="0" xfId="0" applyNumberFormat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/>
    </xf>
    <xf numFmtId="0" fontId="0" fillId="0" borderId="0" xfId="0" applyAlignment="1">
      <alignment horizontal="left" indent="2"/>
    </xf>
    <xf numFmtId="0" fontId="2" fillId="0" borderId="0" xfId="0" applyFont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2" fontId="0" fillId="0" borderId="1" xfId="1" applyNumberFormat="1" applyFont="1" applyBorder="1"/>
    <xf numFmtId="0" fontId="0" fillId="4" borderId="1" xfId="0" applyFill="1" applyBorder="1"/>
    <xf numFmtId="0" fontId="0" fillId="4" borderId="1" xfId="0" applyFill="1" applyBorder="1" applyAlignment="1">
      <alignment horizontal="left" indent="2"/>
    </xf>
    <xf numFmtId="0" fontId="2" fillId="0" borderId="0" xfId="0" applyFont="1" applyAlignment="1">
      <alignment horizontal="left" indent="2"/>
    </xf>
    <xf numFmtId="0" fontId="2" fillId="0" borderId="0" xfId="0" applyFont="1"/>
    <xf numFmtId="0" fontId="2" fillId="10" borderId="1" xfId="0" applyFont="1" applyFill="1" applyBorder="1" applyAlignment="1">
      <alignment horizontal="left" indent="2"/>
    </xf>
    <xf numFmtId="0" fontId="2" fillId="10" borderId="1" xfId="0" applyFont="1" applyFill="1" applyBorder="1"/>
    <xf numFmtId="0" fontId="0" fillId="0" borderId="1" xfId="0" applyBorder="1" applyAlignment="1">
      <alignment horizontal="left"/>
    </xf>
    <xf numFmtId="2" fontId="0" fillId="0" borderId="2" xfId="0" applyNumberFormat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'Belo Horizonte'!$J$1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Horizonte'!$I$2:$I$14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Horizonte'!$J$2:$J$14</c:f>
              <c:numCache>
                <c:formatCode>0.000</c:formatCode>
                <c:ptCount val="13"/>
                <c:pt idx="0" formatCode="0.0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CD-40C7-9B88-5924F261EA5C}"/>
            </c:ext>
          </c:extLst>
        </c:ser>
        <c:ser>
          <c:idx val="1"/>
          <c:order val="1"/>
          <c:tx>
            <c:strRef>
              <c:f>'Belo Horizonte'!$K$1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Horizonte'!$I$2:$I$14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Horizonte'!$K$2:$K$14</c:f>
              <c:numCache>
                <c:formatCode>0.000</c:formatCode>
                <c:ptCount val="13"/>
                <c:pt idx="0" formatCode="0.00">
                  <c:v>9.4098669175964511E-4</c:v>
                </c:pt>
                <c:pt idx="1">
                  <c:v>1.6131200430165344E-3</c:v>
                </c:pt>
                <c:pt idx="2">
                  <c:v>3.7639467670385804E-3</c:v>
                </c:pt>
                <c:pt idx="3">
                  <c:v>5.3770668100551148E-3</c:v>
                </c:pt>
                <c:pt idx="4">
                  <c:v>7.2590401935744052E-3</c:v>
                </c:pt>
                <c:pt idx="5">
                  <c:v>9.1410135770936957E-3</c:v>
                </c:pt>
                <c:pt idx="6">
                  <c:v>1.075413362011023E-2</c:v>
                </c:pt>
                <c:pt idx="7">
                  <c:v>1.7475467132679123E-2</c:v>
                </c:pt>
                <c:pt idx="8">
                  <c:v>4.8528027960747414E-2</c:v>
                </c:pt>
                <c:pt idx="9">
                  <c:v>6.56002150826724E-2</c:v>
                </c:pt>
                <c:pt idx="10">
                  <c:v>0.12273154993950799</c:v>
                </c:pt>
                <c:pt idx="11">
                  <c:v>0.157951337545369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CD-40C7-9B88-5924F261EA5C}"/>
            </c:ext>
          </c:extLst>
        </c:ser>
        <c:ser>
          <c:idx val="2"/>
          <c:order val="2"/>
          <c:tx>
            <c:strRef>
              <c:f>'Belo Horizonte'!$L$1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Horizonte'!$I$2:$I$14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Horizonte'!$L$2:$L$14</c:f>
              <c:numCache>
                <c:formatCode>0.000</c:formatCode>
                <c:ptCount val="13"/>
                <c:pt idx="0" formatCode="0.00">
                  <c:v>6.9476609541454376E-4</c:v>
                </c:pt>
                <c:pt idx="1">
                  <c:v>1.1579434923575729E-3</c:v>
                </c:pt>
                <c:pt idx="2">
                  <c:v>3.0106530801296896E-3</c:v>
                </c:pt>
                <c:pt idx="3">
                  <c:v>5.0949513663733209E-3</c:v>
                </c:pt>
                <c:pt idx="4">
                  <c:v>8.5687818434460397E-3</c:v>
                </c:pt>
                <c:pt idx="5">
                  <c:v>1.1811023622047244E-2</c:v>
                </c:pt>
                <c:pt idx="6">
                  <c:v>1.3895321908290875E-2</c:v>
                </c:pt>
                <c:pt idx="7">
                  <c:v>2.1537748957850857E-2</c:v>
                </c:pt>
                <c:pt idx="8">
                  <c:v>5.6970819823992588E-2</c:v>
                </c:pt>
                <c:pt idx="9">
                  <c:v>7.4339972209356175E-2</c:v>
                </c:pt>
                <c:pt idx="10">
                  <c:v>0.17461787864752198</c:v>
                </c:pt>
                <c:pt idx="11">
                  <c:v>0.25358962482630848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CD-40C7-9B88-5924F261EA5C}"/>
            </c:ext>
          </c:extLst>
        </c:ser>
        <c:ser>
          <c:idx val="3"/>
          <c:order val="3"/>
          <c:tx>
            <c:strRef>
              <c:f>'Belo Horizonte'!$M$1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Horizonte'!$I$2:$I$14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Horizonte'!$M$2:$M$14</c:f>
              <c:numCache>
                <c:formatCode>0.000</c:formatCode>
                <c:ptCount val="13"/>
                <c:pt idx="0" formatCode="0.00">
                  <c:v>6.4020486555697821E-4</c:v>
                </c:pt>
                <c:pt idx="1">
                  <c:v>2.3474178403755869E-3</c:v>
                </c:pt>
                <c:pt idx="2">
                  <c:v>4.4814340588988479E-3</c:v>
                </c:pt>
                <c:pt idx="3">
                  <c:v>6.8288518992744348E-3</c:v>
                </c:pt>
                <c:pt idx="4">
                  <c:v>8.5360648740930439E-3</c:v>
                </c:pt>
                <c:pt idx="5">
                  <c:v>1.088348271446863E-2</c:v>
                </c:pt>
                <c:pt idx="6">
                  <c:v>1.3017498932991891E-2</c:v>
                </c:pt>
                <c:pt idx="7">
                  <c:v>2.3047375160051217E-2</c:v>
                </c:pt>
                <c:pt idx="8">
                  <c:v>5.1856594110115242E-2</c:v>
                </c:pt>
                <c:pt idx="9">
                  <c:v>7.1916346564233902E-2</c:v>
                </c:pt>
                <c:pt idx="10">
                  <c:v>0.13935125906956894</c:v>
                </c:pt>
                <c:pt idx="11">
                  <c:v>0.22087067861715751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7CD-40C7-9B88-5924F261E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459552"/>
        <c:axId val="618457632"/>
      </c:scatterChart>
      <c:valAx>
        <c:axId val="6184595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457632"/>
        <c:crosses val="autoZero"/>
        <c:crossBetween val="midCat"/>
      </c:valAx>
      <c:valAx>
        <c:axId val="61845763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459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'Belo Horizonte'!$J$1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Horizonte'!$I$2:$I$14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Horizonte'!$J$2:$J$14</c:f>
              <c:numCache>
                <c:formatCode>0.000</c:formatCode>
                <c:ptCount val="13"/>
                <c:pt idx="0" formatCode="0.0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3F-417F-8B03-812DCB054BBB}"/>
            </c:ext>
          </c:extLst>
        </c:ser>
        <c:ser>
          <c:idx val="1"/>
          <c:order val="1"/>
          <c:tx>
            <c:strRef>
              <c:f>'Belo Horizonte'!$N$1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Horizonte'!$I$2:$I$14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Horizonte'!$N$2:$N$14</c:f>
              <c:numCache>
                <c:formatCode>0.000</c:formatCode>
                <c:ptCount val="13"/>
                <c:pt idx="0" formatCode="0.00">
                  <c:v>6.9463739927757716E-4</c:v>
                </c:pt>
                <c:pt idx="1">
                  <c:v>2.0839121978327314E-3</c:v>
                </c:pt>
                <c:pt idx="2">
                  <c:v>5.1403167546540708E-3</c:v>
                </c:pt>
                <c:pt idx="3">
                  <c:v>7.9188663517643799E-3</c:v>
                </c:pt>
                <c:pt idx="4">
                  <c:v>1.2503473186996388E-2</c:v>
                </c:pt>
                <c:pt idx="5">
                  <c:v>1.7643789941650459E-2</c:v>
                </c:pt>
                <c:pt idx="6">
                  <c:v>2.0839121978327314E-2</c:v>
                </c:pt>
                <c:pt idx="7">
                  <c:v>3.0564045568213391E-2</c:v>
                </c:pt>
                <c:pt idx="8">
                  <c:v>7.7382606279522093E-2</c:v>
                </c:pt>
                <c:pt idx="9">
                  <c:v>9.0997499305362606E-2</c:v>
                </c:pt>
                <c:pt idx="10">
                  <c:v>0.1503195332036677</c:v>
                </c:pt>
                <c:pt idx="11">
                  <c:v>0.24256737982772994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3F-417F-8B03-812DCB054BBB}"/>
            </c:ext>
          </c:extLst>
        </c:ser>
        <c:ser>
          <c:idx val="2"/>
          <c:order val="2"/>
          <c:tx>
            <c:strRef>
              <c:f>'Belo Horizonte'!$O$1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Horizonte'!$I$2:$I$14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Horizonte'!$O$2:$O$14</c:f>
              <c:numCache>
                <c:formatCode>0.000</c:formatCode>
                <c:ptCount val="13"/>
                <c:pt idx="0" formatCode="0.00">
                  <c:v>7.3800738007380072E-4</c:v>
                </c:pt>
                <c:pt idx="1">
                  <c:v>2.5830258302583023E-3</c:v>
                </c:pt>
                <c:pt idx="2">
                  <c:v>3.5055350553505533E-3</c:v>
                </c:pt>
                <c:pt idx="3">
                  <c:v>4.6125461254612546E-3</c:v>
                </c:pt>
                <c:pt idx="4">
                  <c:v>7.1955719557195569E-3</c:v>
                </c:pt>
                <c:pt idx="5">
                  <c:v>1.1992619926199263E-2</c:v>
                </c:pt>
                <c:pt idx="6">
                  <c:v>1.4575645756457565E-2</c:v>
                </c:pt>
                <c:pt idx="7">
                  <c:v>2.6752767527675275E-2</c:v>
                </c:pt>
                <c:pt idx="8">
                  <c:v>7.4169741697416969E-2</c:v>
                </c:pt>
                <c:pt idx="9">
                  <c:v>8.6162361623616235E-2</c:v>
                </c:pt>
                <c:pt idx="10">
                  <c:v>0.1452029520295203</c:v>
                </c:pt>
                <c:pt idx="11">
                  <c:v>0.26974169741697418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3F-417F-8B03-812DCB054BBB}"/>
            </c:ext>
          </c:extLst>
        </c:ser>
        <c:ser>
          <c:idx val="3"/>
          <c:order val="3"/>
          <c:tx>
            <c:strRef>
              <c:f>'Belo Horizonte'!$P$1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'Belo Horizonte'!$I$2:$I$14</c:f>
              <c:numCache>
                <c:formatCode>0.000</c:formatCode>
                <c:ptCount val="13"/>
                <c:pt idx="0">
                  <c:v>1.1960479324918034E-3</c:v>
                </c:pt>
                <c:pt idx="1">
                  <c:v>2.6324666630669108E-3</c:v>
                </c:pt>
                <c:pt idx="2">
                  <c:v>4.2985149845645946E-3</c:v>
                </c:pt>
                <c:pt idx="3">
                  <c:v>6.540524252194254E-3</c:v>
                </c:pt>
                <c:pt idx="4">
                  <c:v>9.5956719321805984E-3</c:v>
                </c:pt>
                <c:pt idx="5">
                  <c:v>1.4385960022968765E-2</c:v>
                </c:pt>
                <c:pt idx="6">
                  <c:v>2.039029482581536E-2</c:v>
                </c:pt>
                <c:pt idx="7">
                  <c:v>3.3559595410659573E-2</c:v>
                </c:pt>
                <c:pt idx="8">
                  <c:v>6.1828710840316568E-2</c:v>
                </c:pt>
                <c:pt idx="9">
                  <c:v>0.10185480326463026</c:v>
                </c:pt>
                <c:pt idx="10">
                  <c:v>0.16621640687460482</c:v>
                </c:pt>
                <c:pt idx="11">
                  <c:v>0.26533017019297594</c:v>
                </c:pt>
                <c:pt idx="12">
                  <c:v>1</c:v>
                </c:pt>
              </c:numCache>
            </c:numRef>
          </c:xVal>
          <c:yVal>
            <c:numRef>
              <c:f>'Belo Horizonte'!$P$2:$P$14</c:f>
              <c:numCache>
                <c:formatCode>0.000</c:formatCode>
                <c:ptCount val="13"/>
                <c:pt idx="0" formatCode="0.00">
                  <c:v>3.6231884057971015E-4</c:v>
                </c:pt>
                <c:pt idx="1">
                  <c:v>1.0869565217391304E-3</c:v>
                </c:pt>
                <c:pt idx="2">
                  <c:v>2.1739130434782609E-3</c:v>
                </c:pt>
                <c:pt idx="3">
                  <c:v>3.2608695652173916E-3</c:v>
                </c:pt>
                <c:pt idx="4">
                  <c:v>6.1594202898550728E-3</c:v>
                </c:pt>
                <c:pt idx="5">
                  <c:v>1.0144927536231883E-2</c:v>
                </c:pt>
                <c:pt idx="6">
                  <c:v>1.3043478260869565E-2</c:v>
                </c:pt>
                <c:pt idx="7">
                  <c:v>2.8260869565217391E-2</c:v>
                </c:pt>
                <c:pt idx="8">
                  <c:v>8.2971014492753625E-2</c:v>
                </c:pt>
                <c:pt idx="9">
                  <c:v>9.2028985507246377E-2</c:v>
                </c:pt>
                <c:pt idx="10">
                  <c:v>0.16123188405797101</c:v>
                </c:pt>
                <c:pt idx="11">
                  <c:v>0.2757246376811594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3F-417F-8B03-812DCB054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139344"/>
        <c:axId val="766136944"/>
      </c:scatterChart>
      <c:valAx>
        <c:axId val="76613934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6136944"/>
        <c:crosses val="autoZero"/>
        <c:crossBetween val="midCat"/>
      </c:valAx>
      <c:valAx>
        <c:axId val="7661369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6139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Betim!$J$1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Betim!$I$2:$I$14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Betim!$J$2:$J$14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42-485D-84FA-02F4E0811B3D}"/>
            </c:ext>
          </c:extLst>
        </c:ser>
        <c:ser>
          <c:idx val="1"/>
          <c:order val="1"/>
          <c:tx>
            <c:strRef>
              <c:f>Betim!$K$1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Betim!$I$2:$I$14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Betim!$K$2:$K$14</c:f>
              <c:numCache>
                <c:formatCode>0.00</c:formatCode>
                <c:ptCount val="13"/>
                <c:pt idx="0">
                  <c:v>7.6335877862595417E-3</c:v>
                </c:pt>
                <c:pt idx="1">
                  <c:v>1.2213740458015267E-2</c:v>
                </c:pt>
                <c:pt idx="2">
                  <c:v>1.8320610687022901E-2</c:v>
                </c:pt>
                <c:pt idx="3">
                  <c:v>4.1221374045801527E-2</c:v>
                </c:pt>
                <c:pt idx="4">
                  <c:v>4.5801526717557252E-2</c:v>
                </c:pt>
                <c:pt idx="5">
                  <c:v>7.1755725190839698E-2</c:v>
                </c:pt>
                <c:pt idx="6">
                  <c:v>0.10381679389312978</c:v>
                </c:pt>
                <c:pt idx="7">
                  <c:v>0.13282442748091605</c:v>
                </c:pt>
                <c:pt idx="8">
                  <c:v>0.1603053435114504</c:v>
                </c:pt>
                <c:pt idx="9">
                  <c:v>0.21984732824427483</c:v>
                </c:pt>
                <c:pt idx="10">
                  <c:v>0.26870229007633589</c:v>
                </c:pt>
                <c:pt idx="11">
                  <c:v>0.36793893129770994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42-485D-84FA-02F4E0811B3D}"/>
            </c:ext>
          </c:extLst>
        </c:ser>
        <c:ser>
          <c:idx val="2"/>
          <c:order val="2"/>
          <c:tx>
            <c:strRef>
              <c:f>Betim!$L$1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Betim!$I$2:$I$14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Betim!$L$2:$L$14</c:f>
              <c:numCache>
                <c:formatCode>0.00</c:formatCode>
                <c:ptCount val="13"/>
                <c:pt idx="0">
                  <c:v>1.9963702359346643E-2</c:v>
                </c:pt>
                <c:pt idx="1">
                  <c:v>2.7223230490018149E-2</c:v>
                </c:pt>
                <c:pt idx="2">
                  <c:v>3.9927404718693285E-2</c:v>
                </c:pt>
                <c:pt idx="3">
                  <c:v>5.6261343012704176E-2</c:v>
                </c:pt>
                <c:pt idx="4">
                  <c:v>6.7150635208711437E-2</c:v>
                </c:pt>
                <c:pt idx="5">
                  <c:v>0.10707803992740472</c:v>
                </c:pt>
                <c:pt idx="6">
                  <c:v>0.13067150635208713</c:v>
                </c:pt>
                <c:pt idx="7">
                  <c:v>0.18693284936479132</c:v>
                </c:pt>
                <c:pt idx="8">
                  <c:v>0.22323049001814885</c:v>
                </c:pt>
                <c:pt idx="9">
                  <c:v>0.31941923774954628</c:v>
                </c:pt>
                <c:pt idx="10">
                  <c:v>0.36842105263157893</c:v>
                </c:pt>
                <c:pt idx="11">
                  <c:v>0.5480943738656987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42-485D-84FA-02F4E0811B3D}"/>
            </c:ext>
          </c:extLst>
        </c:ser>
        <c:ser>
          <c:idx val="3"/>
          <c:order val="3"/>
          <c:tx>
            <c:strRef>
              <c:f>Betim!$M$1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Betim!$I$2:$I$14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Betim!$M$2:$M$14</c:f>
              <c:numCache>
                <c:formatCode>0.00</c:formatCode>
                <c:ptCount val="13"/>
                <c:pt idx="0">
                  <c:v>1.3483146067415731E-2</c:v>
                </c:pt>
                <c:pt idx="1">
                  <c:v>1.7977528089887642E-2</c:v>
                </c:pt>
                <c:pt idx="2">
                  <c:v>2.9213483146067417E-2</c:v>
                </c:pt>
                <c:pt idx="3">
                  <c:v>5.168539325842697E-2</c:v>
                </c:pt>
                <c:pt idx="4">
                  <c:v>5.8426966292134834E-2</c:v>
                </c:pt>
                <c:pt idx="5">
                  <c:v>6.741573033707865E-2</c:v>
                </c:pt>
                <c:pt idx="6">
                  <c:v>0.1101123595505618</c:v>
                </c:pt>
                <c:pt idx="7">
                  <c:v>0.14831460674157304</c:v>
                </c:pt>
                <c:pt idx="8">
                  <c:v>0.18426966292134833</c:v>
                </c:pt>
                <c:pt idx="9">
                  <c:v>0.25393258426966292</c:v>
                </c:pt>
                <c:pt idx="10">
                  <c:v>0.32134831460674157</c:v>
                </c:pt>
                <c:pt idx="11">
                  <c:v>0.45842696629213486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42-485D-84FA-02F4E0811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577232"/>
        <c:axId val="764579152"/>
      </c:scatterChart>
      <c:valAx>
        <c:axId val="7645772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579152"/>
        <c:crosses val="autoZero"/>
        <c:crossBetween val="midCat"/>
      </c:valAx>
      <c:valAx>
        <c:axId val="76457915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577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Betim!$J$1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Betim!$I$2:$I$14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Betim!$J$2:$J$14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0A-41D9-8CBF-06E9B1C64726}"/>
            </c:ext>
          </c:extLst>
        </c:ser>
        <c:ser>
          <c:idx val="1"/>
          <c:order val="1"/>
          <c:tx>
            <c:strRef>
              <c:f>Betim!$N$1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Betim!$I$2:$I$14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Betim!$N$2:$N$14</c:f>
              <c:numCache>
                <c:formatCode>0.00</c:formatCode>
                <c:ptCount val="13"/>
                <c:pt idx="0">
                  <c:v>7.0754716981132077E-3</c:v>
                </c:pt>
                <c:pt idx="1">
                  <c:v>1.179245283018868E-2</c:v>
                </c:pt>
                <c:pt idx="2">
                  <c:v>2.2405660377358493E-2</c:v>
                </c:pt>
                <c:pt idx="3">
                  <c:v>3.5377358490566044E-2</c:v>
                </c:pt>
                <c:pt idx="4">
                  <c:v>4.3632075471698117E-2</c:v>
                </c:pt>
                <c:pt idx="5">
                  <c:v>5.5424528301886794E-2</c:v>
                </c:pt>
                <c:pt idx="6">
                  <c:v>8.8443396226415089E-2</c:v>
                </c:pt>
                <c:pt idx="7">
                  <c:v>0.15801886792452829</c:v>
                </c:pt>
                <c:pt idx="8">
                  <c:v>0.18632075471698112</c:v>
                </c:pt>
                <c:pt idx="9">
                  <c:v>0.31014150943396224</c:v>
                </c:pt>
                <c:pt idx="10">
                  <c:v>0.35495283018867924</c:v>
                </c:pt>
                <c:pt idx="11">
                  <c:v>0.47523584905660377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0A-41D9-8CBF-06E9B1C64726}"/>
            </c:ext>
          </c:extLst>
        </c:ser>
        <c:ser>
          <c:idx val="2"/>
          <c:order val="2"/>
          <c:tx>
            <c:strRef>
              <c:f>Betim!$O$1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Betim!$I$2:$I$14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Betim!$O$2:$O$14</c:f>
              <c:numCache>
                <c:formatCode>0.00</c:formatCode>
                <c:ptCount val="13"/>
                <c:pt idx="0">
                  <c:v>9.8452883263009851E-3</c:v>
                </c:pt>
                <c:pt idx="1">
                  <c:v>2.1097046413502109E-2</c:v>
                </c:pt>
                <c:pt idx="2">
                  <c:v>2.9535864978902954E-2</c:v>
                </c:pt>
                <c:pt idx="3">
                  <c:v>4.5007032348804502E-2</c:v>
                </c:pt>
                <c:pt idx="4">
                  <c:v>5.0632911392405063E-2</c:v>
                </c:pt>
                <c:pt idx="5">
                  <c:v>6.7510548523206745E-2</c:v>
                </c:pt>
                <c:pt idx="6">
                  <c:v>8.4388185654008435E-2</c:v>
                </c:pt>
                <c:pt idx="7">
                  <c:v>0.1729957805907173</c:v>
                </c:pt>
                <c:pt idx="8">
                  <c:v>0.19549929676511954</c:v>
                </c:pt>
                <c:pt idx="9">
                  <c:v>0.30520393811533053</c:v>
                </c:pt>
                <c:pt idx="10">
                  <c:v>0.33333333333333337</c:v>
                </c:pt>
                <c:pt idx="11">
                  <c:v>0.54852320675105493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10A-41D9-8CBF-06E9B1C64726}"/>
            </c:ext>
          </c:extLst>
        </c:ser>
        <c:ser>
          <c:idx val="3"/>
          <c:order val="3"/>
          <c:tx>
            <c:strRef>
              <c:f>Betim!$P$1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Betim!$I$2:$I$14</c:f>
              <c:numCache>
                <c:formatCode>0.00</c:formatCode>
                <c:ptCount val="13"/>
                <c:pt idx="0">
                  <c:v>6.7411848362175977E-3</c:v>
                </c:pt>
                <c:pt idx="1">
                  <c:v>1.3533256645771761E-2</c:v>
                </c:pt>
                <c:pt idx="2">
                  <c:v>2.1466267962766804E-2</c:v>
                </c:pt>
                <c:pt idx="3">
                  <c:v>3.0641992733875859E-2</c:v>
                </c:pt>
                <c:pt idx="4">
                  <c:v>4.0822065662943434E-2</c:v>
                </c:pt>
                <c:pt idx="5">
                  <c:v>6.1999081356218184E-2</c:v>
                </c:pt>
                <c:pt idx="6">
                  <c:v>9.9257719754724777E-2</c:v>
                </c:pt>
                <c:pt idx="7">
                  <c:v>0.14161576853390612</c:v>
                </c:pt>
                <c:pt idx="8">
                  <c:v>0.18539999169738855</c:v>
                </c:pt>
                <c:pt idx="9">
                  <c:v>0.24058289688826157</c:v>
                </c:pt>
                <c:pt idx="10">
                  <c:v>0.30025590791064782</c:v>
                </c:pt>
                <c:pt idx="11">
                  <c:v>0.39735896608383225</c:v>
                </c:pt>
                <c:pt idx="12">
                  <c:v>1</c:v>
                </c:pt>
              </c:numCache>
            </c:numRef>
          </c:xVal>
          <c:yVal>
            <c:numRef>
              <c:f>Betim!$P$2:$P$14</c:f>
              <c:numCache>
                <c:formatCode>0.00</c:formatCode>
                <c:ptCount val="13"/>
                <c:pt idx="0">
                  <c:v>1.4705882352941176E-2</c:v>
                </c:pt>
                <c:pt idx="1">
                  <c:v>2.0588235294117647E-2</c:v>
                </c:pt>
                <c:pt idx="2">
                  <c:v>3.5294117647058823E-2</c:v>
                </c:pt>
                <c:pt idx="3">
                  <c:v>4.4117647058823525E-2</c:v>
                </c:pt>
                <c:pt idx="4">
                  <c:v>6.7647058823529407E-2</c:v>
                </c:pt>
                <c:pt idx="5">
                  <c:v>8.2352941176470587E-2</c:v>
                </c:pt>
                <c:pt idx="6">
                  <c:v>0.11470588235294119</c:v>
                </c:pt>
                <c:pt idx="7">
                  <c:v>0.17058823529411765</c:v>
                </c:pt>
                <c:pt idx="8">
                  <c:v>0.19117647058823531</c:v>
                </c:pt>
                <c:pt idx="9">
                  <c:v>0.35</c:v>
                </c:pt>
                <c:pt idx="10">
                  <c:v>0.39411764705882352</c:v>
                </c:pt>
                <c:pt idx="11">
                  <c:v>0.58529411764705874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0A-41D9-8CBF-06E9B1C64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333520"/>
        <c:axId val="893350320"/>
      </c:scatterChart>
      <c:valAx>
        <c:axId val="89333352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50320"/>
        <c:crosses val="autoZero"/>
        <c:crossBetween val="midCat"/>
      </c:valAx>
      <c:valAx>
        <c:axId val="8933503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33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Contagem!$J$1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Contagem!$I$2:$I$4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Contagem!$J$2:$J$4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87-4000-B74B-74123789E878}"/>
            </c:ext>
          </c:extLst>
        </c:ser>
        <c:ser>
          <c:idx val="1"/>
          <c:order val="1"/>
          <c:tx>
            <c:strRef>
              <c:f>Contagem!$K$1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Contagem!$I$2:$I$4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Contagem!$K$2:$K$4</c:f>
              <c:numCache>
                <c:formatCode>0.00</c:formatCode>
                <c:ptCount val="3"/>
                <c:pt idx="0">
                  <c:v>4.2492917847025496E-2</c:v>
                </c:pt>
                <c:pt idx="1">
                  <c:v>0.3356940509915014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87-4000-B74B-74123789E878}"/>
            </c:ext>
          </c:extLst>
        </c:ser>
        <c:ser>
          <c:idx val="2"/>
          <c:order val="2"/>
          <c:tx>
            <c:strRef>
              <c:f>Contagem!$L$1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Contagem!$I$2:$I$4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Contagem!$L$2:$L$4</c:f>
              <c:numCache>
                <c:formatCode>0.00</c:formatCode>
                <c:ptCount val="3"/>
                <c:pt idx="0">
                  <c:v>4.6242774566473986E-2</c:v>
                </c:pt>
                <c:pt idx="1">
                  <c:v>0.29865125240847784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87-4000-B74B-74123789E878}"/>
            </c:ext>
          </c:extLst>
        </c:ser>
        <c:ser>
          <c:idx val="3"/>
          <c:order val="3"/>
          <c:tx>
            <c:strRef>
              <c:f>Contagem!$M$1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Contagem!$I$2:$I$4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Contagem!$M$2:$M$4</c:f>
              <c:numCache>
                <c:formatCode>0.00</c:formatCode>
                <c:ptCount val="3"/>
                <c:pt idx="0">
                  <c:v>4.7531992687385741E-2</c:v>
                </c:pt>
                <c:pt idx="1">
                  <c:v>0.28884826325411334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87-4000-B74B-74123789E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366160"/>
        <c:axId val="893373360"/>
      </c:scatterChart>
      <c:valAx>
        <c:axId val="89336616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73360"/>
        <c:crosses val="autoZero"/>
        <c:crossBetween val="midCat"/>
      </c:valAx>
      <c:valAx>
        <c:axId val="893373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66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Contagem!$J$1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Contagem!$I$2:$I$4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Contagem!$J$2:$J$4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EF-4686-8A60-E9EA35E78F4F}"/>
            </c:ext>
          </c:extLst>
        </c:ser>
        <c:ser>
          <c:idx val="1"/>
          <c:order val="1"/>
          <c:tx>
            <c:strRef>
              <c:f>Contagem!$N$1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Contagem!$I$2:$I$4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Contagem!$N$2:$N$4</c:f>
              <c:numCache>
                <c:formatCode>0.00</c:formatCode>
                <c:ptCount val="3"/>
                <c:pt idx="0">
                  <c:v>2.8894472361809045E-2</c:v>
                </c:pt>
                <c:pt idx="1">
                  <c:v>0.38819095477386933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EF-4686-8A60-E9EA35E78F4F}"/>
            </c:ext>
          </c:extLst>
        </c:ser>
        <c:ser>
          <c:idx val="2"/>
          <c:order val="2"/>
          <c:tx>
            <c:strRef>
              <c:f>Contagem!$O$1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Contagem!$I$2:$I$4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Contagem!$O$2:$O$4</c:f>
              <c:numCache>
                <c:formatCode>0.00</c:formatCode>
                <c:ptCount val="3"/>
                <c:pt idx="0">
                  <c:v>3.4334763948497854E-2</c:v>
                </c:pt>
                <c:pt idx="1">
                  <c:v>0.41487839771101576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EF-4686-8A60-E9EA35E78F4F}"/>
            </c:ext>
          </c:extLst>
        </c:ser>
        <c:ser>
          <c:idx val="3"/>
          <c:order val="3"/>
          <c:tx>
            <c:strRef>
              <c:f>Contagem!$P$1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Contagem!$I$2:$I$4</c:f>
              <c:numCache>
                <c:formatCode>0.00</c:formatCode>
                <c:ptCount val="3"/>
                <c:pt idx="0">
                  <c:v>3.8175684387434426E-2</c:v>
                </c:pt>
                <c:pt idx="1">
                  <c:v>0.24450376655540967</c:v>
                </c:pt>
                <c:pt idx="2">
                  <c:v>1</c:v>
                </c:pt>
              </c:numCache>
            </c:numRef>
          </c:xVal>
          <c:yVal>
            <c:numRef>
              <c:f>Contagem!$P$2:$P$4</c:f>
              <c:numCache>
                <c:formatCode>0.00</c:formatCode>
                <c:ptCount val="3"/>
                <c:pt idx="0">
                  <c:v>2.9850746268656716E-2</c:v>
                </c:pt>
                <c:pt idx="1">
                  <c:v>0.44179104477611936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EF-4686-8A60-E9EA35E78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63168"/>
        <c:axId val="562863648"/>
      </c:scatterChart>
      <c:valAx>
        <c:axId val="5628631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63648"/>
        <c:crosses val="autoZero"/>
        <c:crossBetween val="midCat"/>
      </c:valAx>
      <c:valAx>
        <c:axId val="5628636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6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Curvelo!$J$1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Curvelo!$I$2:$I$12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Curvelo!$J$2:$J$12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00-44B9-8BE9-FE87050ABDE6}"/>
            </c:ext>
          </c:extLst>
        </c:ser>
        <c:ser>
          <c:idx val="1"/>
          <c:order val="1"/>
          <c:tx>
            <c:strRef>
              <c:f>Curvelo!$K$1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Curvelo!$I$2:$I$12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Curvelo!$K$2:$K$12</c:f>
              <c:numCache>
                <c:formatCode>0.00</c:formatCode>
                <c:ptCount val="11"/>
                <c:pt idx="0">
                  <c:v>1.4285714285714285E-2</c:v>
                </c:pt>
                <c:pt idx="1">
                  <c:v>2.8571428571428571E-2</c:v>
                </c:pt>
                <c:pt idx="2">
                  <c:v>3.5714285714285712E-2</c:v>
                </c:pt>
                <c:pt idx="3">
                  <c:v>4.9999999999999996E-2</c:v>
                </c:pt>
                <c:pt idx="4">
                  <c:v>0.1</c:v>
                </c:pt>
                <c:pt idx="5">
                  <c:v>0.12142857142857144</c:v>
                </c:pt>
                <c:pt idx="6">
                  <c:v>0.15000000000000002</c:v>
                </c:pt>
                <c:pt idx="7">
                  <c:v>0.27857142857142858</c:v>
                </c:pt>
                <c:pt idx="8">
                  <c:v>0.47142857142857142</c:v>
                </c:pt>
                <c:pt idx="9">
                  <c:v>0.69285714285714284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00-44B9-8BE9-FE87050ABDE6}"/>
            </c:ext>
          </c:extLst>
        </c:ser>
        <c:ser>
          <c:idx val="2"/>
          <c:order val="2"/>
          <c:tx>
            <c:strRef>
              <c:f>Curvelo!$L$1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Curvelo!$I$2:$I$12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Curvelo!$L$2:$L$12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2.0408163265306121E-2</c:v>
                </c:pt>
                <c:pt idx="3">
                  <c:v>5.1020408163265307E-2</c:v>
                </c:pt>
                <c:pt idx="4">
                  <c:v>6.1224489795918366E-2</c:v>
                </c:pt>
                <c:pt idx="5">
                  <c:v>0.11224489795918367</c:v>
                </c:pt>
                <c:pt idx="6">
                  <c:v>0.18367346938775508</c:v>
                </c:pt>
                <c:pt idx="7">
                  <c:v>0.2857142857142857</c:v>
                </c:pt>
                <c:pt idx="8">
                  <c:v>0.3571428571428571</c:v>
                </c:pt>
                <c:pt idx="9">
                  <c:v>0.47959183673469385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D00-44B9-8BE9-FE87050ABDE6}"/>
            </c:ext>
          </c:extLst>
        </c:ser>
        <c:ser>
          <c:idx val="3"/>
          <c:order val="3"/>
          <c:tx>
            <c:strRef>
              <c:f>Curvelo!$M$1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Curvelo!$I$2:$I$12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Curvelo!$M$2:$M$12</c:f>
              <c:numCache>
                <c:formatCode>0.00</c:formatCode>
                <c:ptCount val="11"/>
                <c:pt idx="0">
                  <c:v>6.369426751592357E-3</c:v>
                </c:pt>
                <c:pt idx="1">
                  <c:v>2.5477707006369428E-2</c:v>
                </c:pt>
                <c:pt idx="2">
                  <c:v>3.1847133757961783E-2</c:v>
                </c:pt>
                <c:pt idx="3">
                  <c:v>7.6433121019108277E-2</c:v>
                </c:pt>
                <c:pt idx="4">
                  <c:v>0.11464968152866242</c:v>
                </c:pt>
                <c:pt idx="5">
                  <c:v>0.12738853503184713</c:v>
                </c:pt>
                <c:pt idx="6">
                  <c:v>0.16560509554140126</c:v>
                </c:pt>
                <c:pt idx="7">
                  <c:v>0.26751592356687898</c:v>
                </c:pt>
                <c:pt idx="8">
                  <c:v>0.36942675159235672</c:v>
                </c:pt>
                <c:pt idx="9">
                  <c:v>0.53503184713375795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D00-44B9-8BE9-FE87050AB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356080"/>
        <c:axId val="893355600"/>
      </c:scatterChart>
      <c:valAx>
        <c:axId val="89335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55600"/>
        <c:crosses val="autoZero"/>
        <c:crossBetween val="midCat"/>
      </c:valAx>
      <c:valAx>
        <c:axId val="89335560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56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Curvelo!$J$1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Curvelo!$I$2:$I$12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Curvelo!$J$2:$J$12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23-45AC-B0DD-A9CAF7C6860A}"/>
            </c:ext>
          </c:extLst>
        </c:ser>
        <c:ser>
          <c:idx val="1"/>
          <c:order val="1"/>
          <c:tx>
            <c:strRef>
              <c:f>Curvelo!$N$1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Curvelo!$I$2:$I$12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Curvelo!$N$2:$N$12</c:f>
              <c:numCache>
                <c:formatCode>0.00</c:formatCode>
                <c:ptCount val="11"/>
                <c:pt idx="0">
                  <c:v>2.0547945205479451E-2</c:v>
                </c:pt>
                <c:pt idx="1">
                  <c:v>2.7397260273972601E-2</c:v>
                </c:pt>
                <c:pt idx="2">
                  <c:v>4.7945205479452052E-2</c:v>
                </c:pt>
                <c:pt idx="3">
                  <c:v>9.5890410958904104E-2</c:v>
                </c:pt>
                <c:pt idx="4">
                  <c:v>0.11986301369863013</c:v>
                </c:pt>
                <c:pt idx="5">
                  <c:v>0.13698630136986301</c:v>
                </c:pt>
                <c:pt idx="6">
                  <c:v>0.2089041095890411</c:v>
                </c:pt>
                <c:pt idx="7">
                  <c:v>0.27397260273972601</c:v>
                </c:pt>
                <c:pt idx="8">
                  <c:v>0.36986301369863012</c:v>
                </c:pt>
                <c:pt idx="9">
                  <c:v>0.49315068493150682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23-45AC-B0DD-A9CAF7C6860A}"/>
            </c:ext>
          </c:extLst>
        </c:ser>
        <c:ser>
          <c:idx val="2"/>
          <c:order val="2"/>
          <c:tx>
            <c:strRef>
              <c:f>Curvelo!$O$1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Curvelo!$I$2:$I$12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Curvelo!$O$2:$O$12</c:f>
              <c:numCache>
                <c:formatCode>0.00</c:formatCode>
                <c:ptCount val="11"/>
                <c:pt idx="0">
                  <c:v>1.2295081967213115E-2</c:v>
                </c:pt>
                <c:pt idx="1">
                  <c:v>2.0491803278688527E-2</c:v>
                </c:pt>
                <c:pt idx="2">
                  <c:v>2.4590163934426233E-2</c:v>
                </c:pt>
                <c:pt idx="3">
                  <c:v>3.6885245901639344E-2</c:v>
                </c:pt>
                <c:pt idx="4">
                  <c:v>6.1475409836065573E-2</c:v>
                </c:pt>
                <c:pt idx="5">
                  <c:v>0.11065573770491803</c:v>
                </c:pt>
                <c:pt idx="6">
                  <c:v>0.15163934426229508</c:v>
                </c:pt>
                <c:pt idx="7">
                  <c:v>0.20081967213114754</c:v>
                </c:pt>
                <c:pt idx="8">
                  <c:v>0.29918032786885246</c:v>
                </c:pt>
                <c:pt idx="9">
                  <c:v>0.45491803278688525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23-45AC-B0DD-A9CAF7C6860A}"/>
            </c:ext>
          </c:extLst>
        </c:ser>
        <c:ser>
          <c:idx val="3"/>
          <c:order val="3"/>
          <c:tx>
            <c:strRef>
              <c:f>Curvelo!$P$1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Curvelo!$I$2:$I$12</c:f>
              <c:numCache>
                <c:formatCode>0.00</c:formatCode>
                <c:ptCount val="11"/>
                <c:pt idx="0">
                  <c:v>1.1661994393271926E-2</c:v>
                </c:pt>
                <c:pt idx="1">
                  <c:v>2.4546789480710186E-2</c:v>
                </c:pt>
                <c:pt idx="2">
                  <c:v>4.0800961153384066E-2</c:v>
                </c:pt>
                <c:pt idx="3">
                  <c:v>5.9874516085969831E-2</c:v>
                </c:pt>
                <c:pt idx="4">
                  <c:v>8.5681484448004275E-2</c:v>
                </c:pt>
                <c:pt idx="5">
                  <c:v>0.12629021492457615</c:v>
                </c:pt>
                <c:pt idx="6">
                  <c:v>0.18151381657989588</c:v>
                </c:pt>
                <c:pt idx="7">
                  <c:v>0.26442931517821389</c:v>
                </c:pt>
                <c:pt idx="8">
                  <c:v>0.39048458149779741</c:v>
                </c:pt>
                <c:pt idx="9">
                  <c:v>0.56702709918568961</c:v>
                </c:pt>
                <c:pt idx="10">
                  <c:v>1</c:v>
                </c:pt>
              </c:numCache>
            </c:numRef>
          </c:xVal>
          <c:yVal>
            <c:numRef>
              <c:f>Curvelo!$P$2:$P$12</c:f>
              <c:numCache>
                <c:formatCode>0.00</c:formatCode>
                <c:ptCount val="11"/>
                <c:pt idx="0">
                  <c:v>1.092896174863388E-2</c:v>
                </c:pt>
                <c:pt idx="1">
                  <c:v>1.6393442622950821E-2</c:v>
                </c:pt>
                <c:pt idx="2">
                  <c:v>2.7322404371584702E-2</c:v>
                </c:pt>
                <c:pt idx="3">
                  <c:v>3.825136612021858E-2</c:v>
                </c:pt>
                <c:pt idx="4">
                  <c:v>6.0109289617486336E-2</c:v>
                </c:pt>
                <c:pt idx="5">
                  <c:v>0.10382513661202186</c:v>
                </c:pt>
                <c:pt idx="6">
                  <c:v>0.12568306010928962</c:v>
                </c:pt>
                <c:pt idx="7">
                  <c:v>0.16393442622950821</c:v>
                </c:pt>
                <c:pt idx="8">
                  <c:v>0.21857923497267762</c:v>
                </c:pt>
                <c:pt idx="9">
                  <c:v>0.33879781420765032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23-45AC-B0DD-A9CAF7C68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155568"/>
        <c:axId val="627167568"/>
      </c:scatterChart>
      <c:valAx>
        <c:axId val="6271555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7167568"/>
        <c:crosses val="autoZero"/>
        <c:crossBetween val="midCat"/>
      </c:valAx>
      <c:valAx>
        <c:axId val="6271675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7155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Guanhães!$J$1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Guanhães!$I$2:$I$10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Guanhães!$J$2:$J$10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FC-47D7-AB7E-F30127459873}"/>
            </c:ext>
          </c:extLst>
        </c:ser>
        <c:ser>
          <c:idx val="1"/>
          <c:order val="1"/>
          <c:tx>
            <c:strRef>
              <c:f>Guanhães!$K$1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Guanhães!$I$2:$I$10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Guanhães!$K$2:$K$10</c:f>
              <c:numCache>
                <c:formatCode>0.00</c:formatCode>
                <c:ptCount val="9"/>
                <c:pt idx="0">
                  <c:v>0</c:v>
                </c:pt>
                <c:pt idx="1">
                  <c:v>4.5871559633027525E-2</c:v>
                </c:pt>
                <c:pt idx="2">
                  <c:v>6.4220183486238536E-2</c:v>
                </c:pt>
                <c:pt idx="3">
                  <c:v>8.2568807339449546E-2</c:v>
                </c:pt>
                <c:pt idx="4">
                  <c:v>0.12844036697247707</c:v>
                </c:pt>
                <c:pt idx="5">
                  <c:v>0.29357798165137616</c:v>
                </c:pt>
                <c:pt idx="6">
                  <c:v>0.33944954128440369</c:v>
                </c:pt>
                <c:pt idx="7">
                  <c:v>0.45871559633027525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FC-47D7-AB7E-F30127459873}"/>
            </c:ext>
          </c:extLst>
        </c:ser>
        <c:ser>
          <c:idx val="2"/>
          <c:order val="2"/>
          <c:tx>
            <c:strRef>
              <c:f>Guanhães!$L$1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Guanhães!$I$2:$I$10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Guanhães!$L$2:$L$10</c:f>
              <c:numCache>
                <c:formatCode>0.00</c:formatCode>
                <c:ptCount val="9"/>
                <c:pt idx="0">
                  <c:v>3.8461538461538464E-2</c:v>
                </c:pt>
                <c:pt idx="1">
                  <c:v>7.6923076923076927E-2</c:v>
                </c:pt>
                <c:pt idx="2">
                  <c:v>9.6153846153846159E-2</c:v>
                </c:pt>
                <c:pt idx="3">
                  <c:v>0.13461538461538464</c:v>
                </c:pt>
                <c:pt idx="4">
                  <c:v>0.19230769230769235</c:v>
                </c:pt>
                <c:pt idx="5">
                  <c:v>0.26923076923076927</c:v>
                </c:pt>
                <c:pt idx="6">
                  <c:v>0.44230769230769235</c:v>
                </c:pt>
                <c:pt idx="7">
                  <c:v>0.57692307692307698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FC-47D7-AB7E-F30127459873}"/>
            </c:ext>
          </c:extLst>
        </c:ser>
        <c:ser>
          <c:idx val="3"/>
          <c:order val="3"/>
          <c:tx>
            <c:strRef>
              <c:f>Guanhães!$M$1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Guanhães!$I$2:$I$10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Guanhães!$M$2:$M$10</c:f>
              <c:numCache>
                <c:formatCode>0.00</c:formatCode>
                <c:ptCount val="9"/>
                <c:pt idx="0">
                  <c:v>0</c:v>
                </c:pt>
                <c:pt idx="1">
                  <c:v>5.0847457627118647E-2</c:v>
                </c:pt>
                <c:pt idx="2">
                  <c:v>0.11864406779661017</c:v>
                </c:pt>
                <c:pt idx="3">
                  <c:v>0.1864406779661017</c:v>
                </c:pt>
                <c:pt idx="4">
                  <c:v>0.22033898305084745</c:v>
                </c:pt>
                <c:pt idx="5">
                  <c:v>0.32203389830508478</c:v>
                </c:pt>
                <c:pt idx="6">
                  <c:v>0.42372881355932207</c:v>
                </c:pt>
                <c:pt idx="7">
                  <c:v>0.62711864406779672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FC-47D7-AB7E-F30127459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10384"/>
        <c:axId val="2055201264"/>
      </c:scatterChart>
      <c:valAx>
        <c:axId val="20552103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01264"/>
        <c:crosses val="autoZero"/>
        <c:crossBetween val="midCat"/>
      </c:valAx>
      <c:valAx>
        <c:axId val="205520126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521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Guanhães!$J$1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Guanhães!$I$2:$I$10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Guanhães!$J$2:$J$10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AD-4376-85DF-67645756760E}"/>
            </c:ext>
          </c:extLst>
        </c:ser>
        <c:ser>
          <c:idx val="1"/>
          <c:order val="1"/>
          <c:tx>
            <c:strRef>
              <c:f>Guanhães!$N$1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Guanhães!$I$2:$I$10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Guanhães!$N$2:$N$10</c:f>
              <c:numCache>
                <c:formatCode>0.00</c:formatCode>
                <c:ptCount val="9"/>
                <c:pt idx="0">
                  <c:v>2.0202020202020204E-2</c:v>
                </c:pt>
                <c:pt idx="1">
                  <c:v>6.0606060606060608E-2</c:v>
                </c:pt>
                <c:pt idx="2">
                  <c:v>0.1111111111111111</c:v>
                </c:pt>
                <c:pt idx="3">
                  <c:v>0.18181818181818182</c:v>
                </c:pt>
                <c:pt idx="4">
                  <c:v>0.24242424242424243</c:v>
                </c:pt>
                <c:pt idx="5">
                  <c:v>0.34343434343434343</c:v>
                </c:pt>
                <c:pt idx="6">
                  <c:v>0.42424242424242425</c:v>
                </c:pt>
                <c:pt idx="7">
                  <c:v>0.55555555555555558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AD-4376-85DF-67645756760E}"/>
            </c:ext>
          </c:extLst>
        </c:ser>
        <c:ser>
          <c:idx val="2"/>
          <c:order val="2"/>
          <c:tx>
            <c:strRef>
              <c:f>Guanhães!$O$1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Guanhães!$I$2:$I$10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Guanhães!$O$2:$O$10</c:f>
              <c:numCache>
                <c:formatCode>0.00</c:formatCode>
                <c:ptCount val="9"/>
                <c:pt idx="0">
                  <c:v>0</c:v>
                </c:pt>
                <c:pt idx="1">
                  <c:v>3.4883720930232558E-2</c:v>
                </c:pt>
                <c:pt idx="2">
                  <c:v>0.11627906976744187</c:v>
                </c:pt>
                <c:pt idx="3">
                  <c:v>0.13953488372093026</c:v>
                </c:pt>
                <c:pt idx="4">
                  <c:v>0.186046511627907</c:v>
                </c:pt>
                <c:pt idx="5">
                  <c:v>0.30232558139534887</c:v>
                </c:pt>
                <c:pt idx="6">
                  <c:v>0.38372093023255816</c:v>
                </c:pt>
                <c:pt idx="7">
                  <c:v>0.51162790697674421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AD-4376-85DF-67645756760E}"/>
            </c:ext>
          </c:extLst>
        </c:ser>
        <c:ser>
          <c:idx val="3"/>
          <c:order val="3"/>
          <c:tx>
            <c:strRef>
              <c:f>Guanhães!$P$1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Guanhães!$I$2:$I$10</c:f>
              <c:numCache>
                <c:formatCode>0.00</c:formatCode>
                <c:ptCount val="9"/>
                <c:pt idx="0">
                  <c:v>2.8466856445709638E-2</c:v>
                </c:pt>
                <c:pt idx="1">
                  <c:v>6.6094475717557416E-2</c:v>
                </c:pt>
                <c:pt idx="2">
                  <c:v>0.11334303632199653</c:v>
                </c:pt>
                <c:pt idx="3">
                  <c:v>0.16081633526679651</c:v>
                </c:pt>
                <c:pt idx="4">
                  <c:v>0.21581301770081976</c:v>
                </c:pt>
                <c:pt idx="5">
                  <c:v>0.32774341302626231</c:v>
                </c:pt>
                <c:pt idx="6">
                  <c:v>0.46296098114338308</c:v>
                </c:pt>
                <c:pt idx="7">
                  <c:v>0.62738383168168488</c:v>
                </c:pt>
                <c:pt idx="8">
                  <c:v>1</c:v>
                </c:pt>
              </c:numCache>
            </c:numRef>
          </c:xVal>
          <c:yVal>
            <c:numRef>
              <c:f>Guanhães!$P$2:$P$10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7.4999999999999997E-2</c:v>
                </c:pt>
                <c:pt idx="3">
                  <c:v>0.15</c:v>
                </c:pt>
                <c:pt idx="4">
                  <c:v>0.2</c:v>
                </c:pt>
                <c:pt idx="5">
                  <c:v>0.32500000000000001</c:v>
                </c:pt>
                <c:pt idx="6">
                  <c:v>0.45</c:v>
                </c:pt>
                <c:pt idx="7">
                  <c:v>0.5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AD-4376-85DF-676457567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63856"/>
        <c:axId val="923850416"/>
      </c:scatterChart>
      <c:valAx>
        <c:axId val="9238638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50416"/>
        <c:crosses val="autoZero"/>
        <c:crossBetween val="midCat"/>
      </c:valAx>
      <c:valAx>
        <c:axId val="92385041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63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Itabira!$J$1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Itabira!$I$2:$I$14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Itabira!$J$2:$J$14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89-4274-9D76-1EBD3252E9EE}"/>
            </c:ext>
          </c:extLst>
        </c:ser>
        <c:ser>
          <c:idx val="1"/>
          <c:order val="1"/>
          <c:tx>
            <c:strRef>
              <c:f>Itabira!$K$1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Itabira!$I$2:$I$14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Itabira!$K$2:$K$14</c:f>
              <c:numCache>
                <c:formatCode>0.00</c:formatCode>
                <c:ptCount val="13"/>
                <c:pt idx="0">
                  <c:v>7.556675062972292E-3</c:v>
                </c:pt>
                <c:pt idx="1">
                  <c:v>1.5113350125944584E-2</c:v>
                </c:pt>
                <c:pt idx="2">
                  <c:v>2.2670025188916875E-2</c:v>
                </c:pt>
                <c:pt idx="3">
                  <c:v>3.2745591939546598E-2</c:v>
                </c:pt>
                <c:pt idx="4">
                  <c:v>4.0302267002518891E-2</c:v>
                </c:pt>
                <c:pt idx="5">
                  <c:v>4.534005037783375E-2</c:v>
                </c:pt>
                <c:pt idx="6">
                  <c:v>4.7858942065491183E-2</c:v>
                </c:pt>
                <c:pt idx="7">
                  <c:v>7.0528967254408062E-2</c:v>
                </c:pt>
                <c:pt idx="8">
                  <c:v>8.3123425692695221E-2</c:v>
                </c:pt>
                <c:pt idx="9">
                  <c:v>9.5717884130982381E-2</c:v>
                </c:pt>
                <c:pt idx="10">
                  <c:v>0.2115869017632242</c:v>
                </c:pt>
                <c:pt idx="11">
                  <c:v>0.23425692695214106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89-4274-9D76-1EBD3252E9EE}"/>
            </c:ext>
          </c:extLst>
        </c:ser>
        <c:ser>
          <c:idx val="2"/>
          <c:order val="2"/>
          <c:tx>
            <c:strRef>
              <c:f>Itabira!$L$1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Itabira!$I$2:$I$14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Itabira!$L$2:$L$14</c:f>
              <c:numCache>
                <c:formatCode>0.00</c:formatCode>
                <c:ptCount val="13"/>
                <c:pt idx="0">
                  <c:v>1.6483516483516484E-2</c:v>
                </c:pt>
                <c:pt idx="1">
                  <c:v>1.6483516483516484E-2</c:v>
                </c:pt>
                <c:pt idx="2">
                  <c:v>2.197802197802198E-2</c:v>
                </c:pt>
                <c:pt idx="3">
                  <c:v>4.3956043956043959E-2</c:v>
                </c:pt>
                <c:pt idx="4">
                  <c:v>6.0439560439560447E-2</c:v>
                </c:pt>
                <c:pt idx="5">
                  <c:v>7.6923076923076927E-2</c:v>
                </c:pt>
                <c:pt idx="6">
                  <c:v>8.2417582417582416E-2</c:v>
                </c:pt>
                <c:pt idx="7">
                  <c:v>0.11538461538461539</c:v>
                </c:pt>
                <c:pt idx="8">
                  <c:v>0.15384615384615385</c:v>
                </c:pt>
                <c:pt idx="9">
                  <c:v>0.17582417582417584</c:v>
                </c:pt>
                <c:pt idx="10">
                  <c:v>0.25274725274725274</c:v>
                </c:pt>
                <c:pt idx="11">
                  <c:v>0.4285714285714286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89-4274-9D76-1EBD3252E9EE}"/>
            </c:ext>
          </c:extLst>
        </c:ser>
        <c:ser>
          <c:idx val="3"/>
          <c:order val="3"/>
          <c:tx>
            <c:strRef>
              <c:f>Itabira!$M$1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Itabira!$I$2:$I$14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Itabira!$M$2:$M$14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1.2658227848101266E-2</c:v>
                </c:pt>
                <c:pt idx="6">
                  <c:v>2.5316455696202531E-2</c:v>
                </c:pt>
                <c:pt idx="7">
                  <c:v>6.3291139240506333E-2</c:v>
                </c:pt>
                <c:pt idx="8">
                  <c:v>0.10126582278481014</c:v>
                </c:pt>
                <c:pt idx="9">
                  <c:v>0.17721518987341772</c:v>
                </c:pt>
                <c:pt idx="10">
                  <c:v>0.34177215189873417</c:v>
                </c:pt>
                <c:pt idx="11">
                  <c:v>0.65822784810126578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89-4274-9D76-1EBD3252E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450432"/>
        <c:axId val="618434112"/>
      </c:scatterChart>
      <c:valAx>
        <c:axId val="6184504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434112"/>
        <c:crosses val="autoZero"/>
        <c:crossBetween val="midCat"/>
      </c:valAx>
      <c:valAx>
        <c:axId val="61843411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45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Itabira!$J$1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Itabira!$I$2:$I$14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Itabira!$J$2:$J$14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AC-43AD-8550-C889620817D8}"/>
            </c:ext>
          </c:extLst>
        </c:ser>
        <c:ser>
          <c:idx val="1"/>
          <c:order val="1"/>
          <c:tx>
            <c:strRef>
              <c:f>Itabira!$N$1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Itabira!$I$2:$I$14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Itabira!$N$2:$N$14</c:f>
              <c:numCache>
                <c:formatCode>0.00</c:formatCode>
                <c:ptCount val="13"/>
                <c:pt idx="0">
                  <c:v>1.1811023622047244E-2</c:v>
                </c:pt>
                <c:pt idx="1">
                  <c:v>2.3622047244094488E-2</c:v>
                </c:pt>
                <c:pt idx="2">
                  <c:v>2.3622047244094488E-2</c:v>
                </c:pt>
                <c:pt idx="3">
                  <c:v>2.7559055118110236E-2</c:v>
                </c:pt>
                <c:pt idx="4">
                  <c:v>3.937007874015748E-2</c:v>
                </c:pt>
                <c:pt idx="5">
                  <c:v>6.6929133858267709E-2</c:v>
                </c:pt>
                <c:pt idx="6">
                  <c:v>7.874015748031496E-2</c:v>
                </c:pt>
                <c:pt idx="7">
                  <c:v>0.1062992125984252</c:v>
                </c:pt>
                <c:pt idx="8">
                  <c:v>0.13779527559055119</c:v>
                </c:pt>
                <c:pt idx="9">
                  <c:v>0.19685039370078741</c:v>
                </c:pt>
                <c:pt idx="10">
                  <c:v>0.37795275590551181</c:v>
                </c:pt>
                <c:pt idx="11">
                  <c:v>0.46850393700787402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AC-43AD-8550-C889620817D8}"/>
            </c:ext>
          </c:extLst>
        </c:ser>
        <c:ser>
          <c:idx val="2"/>
          <c:order val="2"/>
          <c:tx>
            <c:strRef>
              <c:f>Itabira!$O$1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Itabira!$I$2:$I$14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Itabira!$O$2:$O$14</c:f>
              <c:numCache>
                <c:formatCode>0.00</c:formatCode>
                <c:ptCount val="13"/>
                <c:pt idx="0">
                  <c:v>5.681818181818182E-3</c:v>
                </c:pt>
                <c:pt idx="1">
                  <c:v>3.4090909090909088E-2</c:v>
                </c:pt>
                <c:pt idx="2">
                  <c:v>5.1136363636363633E-2</c:v>
                </c:pt>
                <c:pt idx="3">
                  <c:v>6.8181818181818177E-2</c:v>
                </c:pt>
                <c:pt idx="4">
                  <c:v>8.5227272727272721E-2</c:v>
                </c:pt>
                <c:pt idx="5">
                  <c:v>9.0909090909090898E-2</c:v>
                </c:pt>
                <c:pt idx="6">
                  <c:v>0.12499999999999999</c:v>
                </c:pt>
                <c:pt idx="7">
                  <c:v>0.22159090909090906</c:v>
                </c:pt>
                <c:pt idx="8">
                  <c:v>0.25568181818181812</c:v>
                </c:pt>
                <c:pt idx="9">
                  <c:v>0.33522727272727265</c:v>
                </c:pt>
                <c:pt idx="10">
                  <c:v>0.43181818181818177</c:v>
                </c:pt>
                <c:pt idx="11">
                  <c:v>0.5625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AC-43AD-8550-C889620817D8}"/>
            </c:ext>
          </c:extLst>
        </c:ser>
        <c:ser>
          <c:idx val="3"/>
          <c:order val="3"/>
          <c:tx>
            <c:strRef>
              <c:f>Itabira!$P$1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Itabira!$I$2:$I$14</c:f>
              <c:numCache>
                <c:formatCode>0.00</c:formatCode>
                <c:ptCount val="13"/>
                <c:pt idx="0">
                  <c:v>6.1573840699558815E-3</c:v>
                </c:pt>
                <c:pt idx="1">
                  <c:v>1.290217758095627E-2</c:v>
                </c:pt>
                <c:pt idx="2">
                  <c:v>2.0217716435382879E-2</c:v>
                </c:pt>
                <c:pt idx="3">
                  <c:v>2.8683078025471074E-2</c:v>
                </c:pt>
                <c:pt idx="4">
                  <c:v>4.1706070314159904E-2</c:v>
                </c:pt>
                <c:pt idx="5">
                  <c:v>6.4473393685140212E-2</c:v>
                </c:pt>
                <c:pt idx="6">
                  <c:v>9.0227756554197902E-2</c:v>
                </c:pt>
                <c:pt idx="7">
                  <c:v>0.13012160625236943</c:v>
                </c:pt>
                <c:pt idx="8">
                  <c:v>0.17539379345684208</c:v>
                </c:pt>
                <c:pt idx="9">
                  <c:v>0.22169498868924375</c:v>
                </c:pt>
                <c:pt idx="10">
                  <c:v>0.35447868453613401</c:v>
                </c:pt>
                <c:pt idx="11">
                  <c:v>0.49292400754883625</c:v>
                </c:pt>
                <c:pt idx="12">
                  <c:v>1</c:v>
                </c:pt>
              </c:numCache>
            </c:numRef>
          </c:xVal>
          <c:yVal>
            <c:numRef>
              <c:f>Itabira!$P$2:$P$14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9.9009900990099011E-3</c:v>
                </c:pt>
                <c:pt idx="3">
                  <c:v>9.9009900990099011E-3</c:v>
                </c:pt>
                <c:pt idx="4">
                  <c:v>2.9702970297029702E-2</c:v>
                </c:pt>
                <c:pt idx="5">
                  <c:v>6.9306930693069313E-2</c:v>
                </c:pt>
                <c:pt idx="6">
                  <c:v>8.9108910891089119E-2</c:v>
                </c:pt>
                <c:pt idx="7">
                  <c:v>0.12871287128712872</c:v>
                </c:pt>
                <c:pt idx="8">
                  <c:v>0.13861386138613863</c:v>
                </c:pt>
                <c:pt idx="9">
                  <c:v>0.15841584158415842</c:v>
                </c:pt>
                <c:pt idx="10">
                  <c:v>0.29702970297029707</c:v>
                </c:pt>
                <c:pt idx="11">
                  <c:v>0.41584158415841588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5AC-43AD-8550-C88962081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53296"/>
        <c:axId val="923863856"/>
      </c:scatterChart>
      <c:valAx>
        <c:axId val="9238532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63856"/>
        <c:crosses val="autoZero"/>
        <c:crossBetween val="midCat"/>
      </c:valAx>
      <c:valAx>
        <c:axId val="9238638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53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 Monlevade'!$J$1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 Monlevade'!$I$2:$I$5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Monlevade'!$J$2:$J$5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CD-4971-AAC3-4FE020712805}"/>
            </c:ext>
          </c:extLst>
        </c:ser>
        <c:ser>
          <c:idx val="1"/>
          <c:order val="1"/>
          <c:tx>
            <c:strRef>
              <c:f>'J Monlevade'!$K$1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 Monlevade'!$I$2:$I$5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Monlevade'!$K$2:$K$5</c:f>
              <c:numCache>
                <c:formatCode>0.00</c:formatCode>
                <c:ptCount val="4"/>
                <c:pt idx="0">
                  <c:v>0.1</c:v>
                </c:pt>
                <c:pt idx="1">
                  <c:v>0.18181818181818182</c:v>
                </c:pt>
                <c:pt idx="2">
                  <c:v>0.27272727272727271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CD-4971-AAC3-4FE020712805}"/>
            </c:ext>
          </c:extLst>
        </c:ser>
        <c:ser>
          <c:idx val="2"/>
          <c:order val="2"/>
          <c:tx>
            <c:strRef>
              <c:f>'J Monlevade'!$L$1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 Monlevade'!$I$2:$I$5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Monlevade'!$L$2:$L$5</c:f>
              <c:numCache>
                <c:formatCode>0.00</c:formatCode>
                <c:ptCount val="4"/>
                <c:pt idx="0">
                  <c:v>0.14285714285714285</c:v>
                </c:pt>
                <c:pt idx="1">
                  <c:v>0.26984126984126983</c:v>
                </c:pt>
                <c:pt idx="2">
                  <c:v>0.38095238095238093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CD-4971-AAC3-4FE020712805}"/>
            </c:ext>
          </c:extLst>
        </c:ser>
        <c:ser>
          <c:idx val="3"/>
          <c:order val="3"/>
          <c:tx>
            <c:strRef>
              <c:f>'J Monlevade'!$M$1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 Monlevade'!$I$2:$I$5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Monlevade'!$M$2:$M$5</c:f>
              <c:numCache>
                <c:formatCode>0.00</c:formatCode>
                <c:ptCount val="4"/>
                <c:pt idx="0">
                  <c:v>5.3333333333333337E-2</c:v>
                </c:pt>
                <c:pt idx="1">
                  <c:v>0.26666666666666666</c:v>
                </c:pt>
                <c:pt idx="2">
                  <c:v>0.34666666666666668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CD-4971-AAC3-4FE020712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524144"/>
        <c:axId val="655540944"/>
      </c:scatterChart>
      <c:valAx>
        <c:axId val="65552414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40944"/>
        <c:crosses val="autoZero"/>
        <c:crossBetween val="midCat"/>
      </c:valAx>
      <c:valAx>
        <c:axId val="6555409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24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 Monlevade'!$J$1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 Monlevade'!$I$2:$I$5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Monlevade'!$J$2:$J$5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0E-451D-8367-8951B58BE445}"/>
            </c:ext>
          </c:extLst>
        </c:ser>
        <c:ser>
          <c:idx val="1"/>
          <c:order val="1"/>
          <c:tx>
            <c:strRef>
              <c:f>'J Monlevade'!$N$1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 Monlevade'!$I$2:$I$5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Monlevade'!$N$2:$N$5</c:f>
              <c:numCache>
                <c:formatCode>0.00</c:formatCode>
                <c:ptCount val="4"/>
                <c:pt idx="0">
                  <c:v>0.12556053811659193</c:v>
                </c:pt>
                <c:pt idx="1">
                  <c:v>0.19282511210762332</c:v>
                </c:pt>
                <c:pt idx="2">
                  <c:v>0.21973094170403587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0E-451D-8367-8951B58BE445}"/>
            </c:ext>
          </c:extLst>
        </c:ser>
        <c:ser>
          <c:idx val="2"/>
          <c:order val="2"/>
          <c:tx>
            <c:strRef>
              <c:f>'J Monlevade'!$O$1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 Monlevade'!$I$2:$I$5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Monlevade'!$O$2:$O$5</c:f>
              <c:numCache>
                <c:formatCode>0.00</c:formatCode>
                <c:ptCount val="4"/>
                <c:pt idx="0">
                  <c:v>9.0277777777777776E-2</c:v>
                </c:pt>
                <c:pt idx="1">
                  <c:v>0.25</c:v>
                </c:pt>
                <c:pt idx="2">
                  <c:v>0.47916666666666663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0E-451D-8367-8951B58BE445}"/>
            </c:ext>
          </c:extLst>
        </c:ser>
        <c:ser>
          <c:idx val="3"/>
          <c:order val="3"/>
          <c:tx>
            <c:strRef>
              <c:f>'J Monlevade'!$P$1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 Monlevade'!$I$2:$I$5</c:f>
              <c:numCache>
                <c:formatCode>0.00</c:formatCode>
                <c:ptCount val="4"/>
                <c:pt idx="0">
                  <c:v>8.3473553295778768E-2</c:v>
                </c:pt>
                <c:pt idx="1">
                  <c:v>0.199917087326554</c:v>
                </c:pt>
                <c:pt idx="2">
                  <c:v>0.34236431178416693</c:v>
                </c:pt>
                <c:pt idx="3">
                  <c:v>1</c:v>
                </c:pt>
              </c:numCache>
            </c:numRef>
          </c:xVal>
          <c:yVal>
            <c:numRef>
              <c:f>'J Monlevade'!$P$2:$P$5</c:f>
              <c:numCache>
                <c:formatCode>0.00</c:formatCode>
                <c:ptCount val="4"/>
                <c:pt idx="0">
                  <c:v>0.11881188118811881</c:v>
                </c:pt>
                <c:pt idx="1">
                  <c:v>0.24752475247524752</c:v>
                </c:pt>
                <c:pt idx="2">
                  <c:v>0.39603960396039606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0E-451D-8367-8951B58BE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64336"/>
        <c:axId val="923856656"/>
      </c:scatterChart>
      <c:valAx>
        <c:axId val="92386433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56656"/>
        <c:crosses val="autoZero"/>
        <c:crossBetween val="midCat"/>
      </c:valAx>
      <c:valAx>
        <c:axId val="9238566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64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'Ouro Preto'!$J$1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'Ouro Preto'!$I$2:$I$4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Preto'!$J$2:$J$4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18-4FCF-B022-439929B2A3FF}"/>
            </c:ext>
          </c:extLst>
        </c:ser>
        <c:ser>
          <c:idx val="1"/>
          <c:order val="1"/>
          <c:tx>
            <c:strRef>
              <c:f>'Ouro Preto'!$K$1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'Ouro Preto'!$I$2:$I$4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Preto'!$K$2:$K$4</c:f>
              <c:numCache>
                <c:formatCode>0.00</c:formatCode>
                <c:ptCount val="3"/>
                <c:pt idx="0">
                  <c:v>0.44186046511627908</c:v>
                </c:pt>
                <c:pt idx="1">
                  <c:v>0.73255813953488369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18-4FCF-B022-439929B2A3FF}"/>
            </c:ext>
          </c:extLst>
        </c:ser>
        <c:ser>
          <c:idx val="2"/>
          <c:order val="2"/>
          <c:tx>
            <c:strRef>
              <c:f>'Ouro Preto'!$L$1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'Ouro Preto'!$I$2:$I$4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Preto'!$L$2:$L$4</c:f>
              <c:numCache>
                <c:formatCode>0.00</c:formatCode>
                <c:ptCount val="3"/>
                <c:pt idx="0">
                  <c:v>0.33333333333333331</c:v>
                </c:pt>
                <c:pt idx="1">
                  <c:v>0.54166666666666663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18-4FCF-B022-439929B2A3FF}"/>
            </c:ext>
          </c:extLst>
        </c:ser>
        <c:ser>
          <c:idx val="3"/>
          <c:order val="3"/>
          <c:tx>
            <c:strRef>
              <c:f>'Ouro Preto'!$M$1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'Ouro Preto'!$I$2:$I$4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Preto'!$M$2:$M$4</c:f>
              <c:numCache>
                <c:formatCode>0.00</c:formatCode>
                <c:ptCount val="3"/>
                <c:pt idx="0">
                  <c:v>0.39325842696629215</c:v>
                </c:pt>
                <c:pt idx="1">
                  <c:v>0.550561797752809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18-4FCF-B022-439929B2A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101904"/>
        <c:axId val="766103824"/>
      </c:scatterChart>
      <c:valAx>
        <c:axId val="7661019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6103824"/>
        <c:crosses val="autoZero"/>
        <c:crossBetween val="midCat"/>
      </c:valAx>
      <c:valAx>
        <c:axId val="7661038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6101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'Ouro Preto'!$J$1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'Ouro Preto'!$I$2:$I$4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Preto'!$J$2:$J$4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5E-4CCF-82CC-2D534D3BAB84}"/>
            </c:ext>
          </c:extLst>
        </c:ser>
        <c:ser>
          <c:idx val="1"/>
          <c:order val="1"/>
          <c:tx>
            <c:strRef>
              <c:f>'Ouro Preto'!$N$1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'Ouro Preto'!$I$2:$I$4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Preto'!$N$2:$N$4</c:f>
              <c:numCache>
                <c:formatCode>0.00</c:formatCode>
                <c:ptCount val="3"/>
                <c:pt idx="0">
                  <c:v>0.38645418326693226</c:v>
                </c:pt>
                <c:pt idx="1">
                  <c:v>0.51394422310756971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5E-4CCF-82CC-2D534D3BAB84}"/>
            </c:ext>
          </c:extLst>
        </c:ser>
        <c:ser>
          <c:idx val="2"/>
          <c:order val="2"/>
          <c:tx>
            <c:strRef>
              <c:f>'Ouro Preto'!$O$1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'Ouro Preto'!$I$2:$I$4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Preto'!$O$2:$O$4</c:f>
              <c:numCache>
                <c:formatCode>0.00</c:formatCode>
                <c:ptCount val="3"/>
                <c:pt idx="0">
                  <c:v>0.38461538461538464</c:v>
                </c:pt>
                <c:pt idx="1">
                  <c:v>0.56804733727810652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5E-4CCF-82CC-2D534D3BAB84}"/>
            </c:ext>
          </c:extLst>
        </c:ser>
        <c:ser>
          <c:idx val="3"/>
          <c:order val="3"/>
          <c:tx>
            <c:strRef>
              <c:f>'Ouro Preto'!$P$1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'Ouro Preto'!$I$2:$I$4</c:f>
              <c:numCache>
                <c:formatCode>0.00</c:formatCode>
                <c:ptCount val="3"/>
                <c:pt idx="0">
                  <c:v>0.27944107566569998</c:v>
                </c:pt>
                <c:pt idx="1">
                  <c:v>0.60546269443712109</c:v>
                </c:pt>
                <c:pt idx="2">
                  <c:v>1</c:v>
                </c:pt>
              </c:numCache>
            </c:numRef>
          </c:xVal>
          <c:yVal>
            <c:numRef>
              <c:f>'Ouro Preto'!$P$2:$P$4</c:f>
              <c:numCache>
                <c:formatCode>0.00</c:formatCode>
                <c:ptCount val="3"/>
                <c:pt idx="0">
                  <c:v>0.31967213114754101</c:v>
                </c:pt>
                <c:pt idx="1">
                  <c:v>0.49180327868852458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5E-4CCF-82CC-2D534D3BA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110192"/>
        <c:axId val="525115472"/>
      </c:scatterChart>
      <c:valAx>
        <c:axId val="5251101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15472"/>
        <c:crosses val="autoZero"/>
        <c:crossBetween val="midCat"/>
      </c:valAx>
      <c:valAx>
        <c:axId val="5251154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1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'Sete Lagoas'!$J$1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'Sete Lagoas'!$I$2:$I$25</c:f>
              <c:numCache>
                <c:formatCode>0.00</c:formatCode>
                <c:ptCount val="24"/>
                <c:pt idx="0">
                  <c:v>2.5508223629487508E-3</c:v>
                </c:pt>
                <c:pt idx="1">
                  <c:v>7.7345708720719282E-3</c:v>
                </c:pt>
                <c:pt idx="2">
                  <c:v>1.3186292821073507E-2</c:v>
                </c:pt>
                <c:pt idx="3">
                  <c:v>1.9745052587277663E-2</c:v>
                </c:pt>
                <c:pt idx="4">
                  <c:v>2.7608535495184855E-2</c:v>
                </c:pt>
                <c:pt idx="5">
                  <c:v>3.5522537986019946E-2</c:v>
                </c:pt>
                <c:pt idx="6">
                  <c:v>4.5261834973075954E-2</c:v>
                </c:pt>
                <c:pt idx="7">
                  <c:v>5.5014310981765319E-2</c:v>
                </c:pt>
                <c:pt idx="8">
                  <c:v>6.4804127551749219E-2</c:v>
                </c:pt>
                <c:pt idx="9">
                  <c:v>7.6232535811481372E-2</c:v>
                </c:pt>
                <c:pt idx="10">
                  <c:v>9.0184726714002739E-2</c:v>
                </c:pt>
                <c:pt idx="11">
                  <c:v>0.10674197089271906</c:v>
                </c:pt>
                <c:pt idx="12">
                  <c:v>0.12383076894398105</c:v>
                </c:pt>
                <c:pt idx="13">
                  <c:v>0.14165100269589476</c:v>
                </c:pt>
                <c:pt idx="14">
                  <c:v>0.16120647429620139</c:v>
                </c:pt>
                <c:pt idx="15">
                  <c:v>0.18087616408399718</c:v>
                </c:pt>
                <c:pt idx="16">
                  <c:v>0.20261276376462556</c:v>
                </c:pt>
                <c:pt idx="17">
                  <c:v>0.22662274467700921</c:v>
                </c:pt>
                <c:pt idx="18">
                  <c:v>0.25269304597140879</c:v>
                </c:pt>
                <c:pt idx="19">
                  <c:v>0.28766577637914575</c:v>
                </c:pt>
                <c:pt idx="20">
                  <c:v>0.33876303975530359</c:v>
                </c:pt>
                <c:pt idx="21">
                  <c:v>0.39335494036790841</c:v>
                </c:pt>
                <c:pt idx="22">
                  <c:v>0.46418778864002885</c:v>
                </c:pt>
                <c:pt idx="23">
                  <c:v>1.0000248432165539</c:v>
                </c:pt>
              </c:numCache>
            </c:numRef>
          </c:xVal>
          <c:yVal>
            <c:numRef>
              <c:f>'Sete Lagoas'!$J$2:$J$25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>
                  <c:v>0.46416294542347492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CE-4305-A0B9-BB0CBBE7071D}"/>
            </c:ext>
          </c:extLst>
        </c:ser>
        <c:ser>
          <c:idx val="1"/>
          <c:order val="1"/>
          <c:tx>
            <c:strRef>
              <c:f>'Sete Lagoas'!$K$1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'Sete Lagoas'!$I$2:$I$25</c:f>
              <c:numCache>
                <c:formatCode>0.00</c:formatCode>
                <c:ptCount val="24"/>
                <c:pt idx="0">
                  <c:v>2.5508223629487508E-3</c:v>
                </c:pt>
                <c:pt idx="1">
                  <c:v>7.7345708720719282E-3</c:v>
                </c:pt>
                <c:pt idx="2">
                  <c:v>1.3186292821073507E-2</c:v>
                </c:pt>
                <c:pt idx="3">
                  <c:v>1.9745052587277663E-2</c:v>
                </c:pt>
                <c:pt idx="4">
                  <c:v>2.7608535495184855E-2</c:v>
                </c:pt>
                <c:pt idx="5">
                  <c:v>3.5522537986019946E-2</c:v>
                </c:pt>
                <c:pt idx="6">
                  <c:v>4.5261834973075954E-2</c:v>
                </c:pt>
                <c:pt idx="7">
                  <c:v>5.5014310981765319E-2</c:v>
                </c:pt>
                <c:pt idx="8">
                  <c:v>6.4804127551749219E-2</c:v>
                </c:pt>
                <c:pt idx="9">
                  <c:v>7.6232535811481372E-2</c:v>
                </c:pt>
                <c:pt idx="10">
                  <c:v>9.0184726714002739E-2</c:v>
                </c:pt>
                <c:pt idx="11">
                  <c:v>0.10674197089271906</c:v>
                </c:pt>
                <c:pt idx="12">
                  <c:v>0.12383076894398105</c:v>
                </c:pt>
                <c:pt idx="13">
                  <c:v>0.14165100269589476</c:v>
                </c:pt>
                <c:pt idx="14">
                  <c:v>0.16120647429620139</c:v>
                </c:pt>
                <c:pt idx="15">
                  <c:v>0.18087616408399718</c:v>
                </c:pt>
                <c:pt idx="16">
                  <c:v>0.20261276376462556</c:v>
                </c:pt>
                <c:pt idx="17">
                  <c:v>0.22662274467700921</c:v>
                </c:pt>
                <c:pt idx="18">
                  <c:v>0.25269304597140879</c:v>
                </c:pt>
                <c:pt idx="19">
                  <c:v>0.28766577637914575</c:v>
                </c:pt>
                <c:pt idx="20">
                  <c:v>0.33876303975530359</c:v>
                </c:pt>
                <c:pt idx="21">
                  <c:v>0.39335494036790841</c:v>
                </c:pt>
                <c:pt idx="22">
                  <c:v>0.46418778864002885</c:v>
                </c:pt>
                <c:pt idx="23">
                  <c:v>1.0000248432165539</c:v>
                </c:pt>
              </c:numCache>
            </c:numRef>
          </c:xVal>
          <c:yVal>
            <c:numRef>
              <c:f>'Sete Lagoas'!$K$2:$K$25</c:f>
              <c:numCache>
                <c:formatCode>0.00</c:formatCode>
                <c:ptCount val="24"/>
                <c:pt idx="0">
                  <c:v>5.1282051282051282E-3</c:v>
                </c:pt>
                <c:pt idx="1">
                  <c:v>2.0512820512820513E-2</c:v>
                </c:pt>
                <c:pt idx="2">
                  <c:v>3.3333333333333333E-2</c:v>
                </c:pt>
                <c:pt idx="3">
                  <c:v>5.128205128205128E-2</c:v>
                </c:pt>
                <c:pt idx="4">
                  <c:v>5.3846153846153842E-2</c:v>
                </c:pt>
                <c:pt idx="5">
                  <c:v>5.6410256410256404E-2</c:v>
                </c:pt>
                <c:pt idx="6">
                  <c:v>6.6666666666666666E-2</c:v>
                </c:pt>
                <c:pt idx="7">
                  <c:v>6.6666666666666666E-2</c:v>
                </c:pt>
                <c:pt idx="8">
                  <c:v>7.6923076923076927E-2</c:v>
                </c:pt>
                <c:pt idx="9">
                  <c:v>9.2307692307692313E-2</c:v>
                </c:pt>
                <c:pt idx="10">
                  <c:v>0.1076923076923077</c:v>
                </c:pt>
                <c:pt idx="11">
                  <c:v>0.11794871794871796</c:v>
                </c:pt>
                <c:pt idx="12">
                  <c:v>0.14871794871794874</c:v>
                </c:pt>
                <c:pt idx="13">
                  <c:v>0.16666666666666669</c:v>
                </c:pt>
                <c:pt idx="14">
                  <c:v>0.18717948717948721</c:v>
                </c:pt>
                <c:pt idx="15">
                  <c:v>0.19743589743589746</c:v>
                </c:pt>
                <c:pt idx="16">
                  <c:v>0.21025641025641029</c:v>
                </c:pt>
                <c:pt idx="17">
                  <c:v>0.23589743589743592</c:v>
                </c:pt>
                <c:pt idx="18">
                  <c:v>0.27435897435897438</c:v>
                </c:pt>
                <c:pt idx="19">
                  <c:v>0.31025641025641026</c:v>
                </c:pt>
                <c:pt idx="20">
                  <c:v>0.37948717948717947</c:v>
                </c:pt>
                <c:pt idx="21">
                  <c:v>0.42307692307692307</c:v>
                </c:pt>
                <c:pt idx="22">
                  <c:v>0.47435897435897434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CE-4305-A0B9-BB0CBBE7071D}"/>
            </c:ext>
          </c:extLst>
        </c:ser>
        <c:ser>
          <c:idx val="2"/>
          <c:order val="2"/>
          <c:tx>
            <c:strRef>
              <c:f>'Sete Lagoas'!$L$1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'Sete Lagoas'!$I$2:$I$25</c:f>
              <c:numCache>
                <c:formatCode>0.00</c:formatCode>
                <c:ptCount val="24"/>
                <c:pt idx="0">
                  <c:v>2.5508223629487508E-3</c:v>
                </c:pt>
                <c:pt idx="1">
                  <c:v>7.7345708720719282E-3</c:v>
                </c:pt>
                <c:pt idx="2">
                  <c:v>1.3186292821073507E-2</c:v>
                </c:pt>
                <c:pt idx="3">
                  <c:v>1.9745052587277663E-2</c:v>
                </c:pt>
                <c:pt idx="4">
                  <c:v>2.7608535495184855E-2</c:v>
                </c:pt>
                <c:pt idx="5">
                  <c:v>3.5522537986019946E-2</c:v>
                </c:pt>
                <c:pt idx="6">
                  <c:v>4.5261834973075954E-2</c:v>
                </c:pt>
                <c:pt idx="7">
                  <c:v>5.5014310981765319E-2</c:v>
                </c:pt>
                <c:pt idx="8">
                  <c:v>6.4804127551749219E-2</c:v>
                </c:pt>
                <c:pt idx="9">
                  <c:v>7.6232535811481372E-2</c:v>
                </c:pt>
                <c:pt idx="10">
                  <c:v>9.0184726714002739E-2</c:v>
                </c:pt>
                <c:pt idx="11">
                  <c:v>0.10674197089271906</c:v>
                </c:pt>
                <c:pt idx="12">
                  <c:v>0.12383076894398105</c:v>
                </c:pt>
                <c:pt idx="13">
                  <c:v>0.14165100269589476</c:v>
                </c:pt>
                <c:pt idx="14">
                  <c:v>0.16120647429620139</c:v>
                </c:pt>
                <c:pt idx="15">
                  <c:v>0.18087616408399718</c:v>
                </c:pt>
                <c:pt idx="16">
                  <c:v>0.20261276376462556</c:v>
                </c:pt>
                <c:pt idx="17">
                  <c:v>0.22662274467700921</c:v>
                </c:pt>
                <c:pt idx="18">
                  <c:v>0.25269304597140879</c:v>
                </c:pt>
                <c:pt idx="19">
                  <c:v>0.28766577637914575</c:v>
                </c:pt>
                <c:pt idx="20">
                  <c:v>0.33876303975530359</c:v>
                </c:pt>
                <c:pt idx="21">
                  <c:v>0.39335494036790841</c:v>
                </c:pt>
                <c:pt idx="22">
                  <c:v>0.46418778864002885</c:v>
                </c:pt>
                <c:pt idx="23">
                  <c:v>1.0000248432165539</c:v>
                </c:pt>
              </c:numCache>
            </c:numRef>
          </c:xVal>
          <c:yVal>
            <c:numRef>
              <c:f>'Sete Lagoas'!$L$2:$L$25</c:f>
              <c:numCache>
                <c:formatCode>0.00</c:formatCode>
                <c:ptCount val="24"/>
                <c:pt idx="0">
                  <c:v>0</c:v>
                </c:pt>
                <c:pt idx="1">
                  <c:v>1.2618296529968454E-2</c:v>
                </c:pt>
                <c:pt idx="2">
                  <c:v>1.8927444794952682E-2</c:v>
                </c:pt>
                <c:pt idx="3">
                  <c:v>2.8391167192429023E-2</c:v>
                </c:pt>
                <c:pt idx="4">
                  <c:v>3.7854889589905363E-2</c:v>
                </c:pt>
                <c:pt idx="5">
                  <c:v>3.7854889589905363E-2</c:v>
                </c:pt>
                <c:pt idx="6">
                  <c:v>4.1009463722397478E-2</c:v>
                </c:pt>
                <c:pt idx="7">
                  <c:v>5.362776025236593E-2</c:v>
                </c:pt>
                <c:pt idx="8">
                  <c:v>6.3091482649842268E-2</c:v>
                </c:pt>
                <c:pt idx="9">
                  <c:v>6.3091482649842268E-2</c:v>
                </c:pt>
                <c:pt idx="10">
                  <c:v>6.6246056782334375E-2</c:v>
                </c:pt>
                <c:pt idx="11">
                  <c:v>9.148264984227128E-2</c:v>
                </c:pt>
                <c:pt idx="12">
                  <c:v>0.13564668769716087</c:v>
                </c:pt>
                <c:pt idx="13">
                  <c:v>0.14511041009463721</c:v>
                </c:pt>
                <c:pt idx="14">
                  <c:v>0.16719242902208201</c:v>
                </c:pt>
                <c:pt idx="15">
                  <c:v>0.17665615141955834</c:v>
                </c:pt>
                <c:pt idx="16">
                  <c:v>0.1892744479495268</c:v>
                </c:pt>
                <c:pt idx="17">
                  <c:v>0.20504731861198738</c:v>
                </c:pt>
                <c:pt idx="18">
                  <c:v>0.23974763406940064</c:v>
                </c:pt>
                <c:pt idx="19">
                  <c:v>0.26498422712933756</c:v>
                </c:pt>
                <c:pt idx="20">
                  <c:v>0.31861198738170349</c:v>
                </c:pt>
                <c:pt idx="21">
                  <c:v>0.39747634069400634</c:v>
                </c:pt>
                <c:pt idx="22">
                  <c:v>0.44164037854889593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CE-4305-A0B9-BB0CBBE7071D}"/>
            </c:ext>
          </c:extLst>
        </c:ser>
        <c:ser>
          <c:idx val="3"/>
          <c:order val="3"/>
          <c:tx>
            <c:strRef>
              <c:f>'Sete Lagoas'!$M$1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'Sete Lagoas'!$I$2:$I$25</c:f>
              <c:numCache>
                <c:formatCode>0.00</c:formatCode>
                <c:ptCount val="24"/>
                <c:pt idx="0">
                  <c:v>2.5508223629487508E-3</c:v>
                </c:pt>
                <c:pt idx="1">
                  <c:v>7.7345708720719282E-3</c:v>
                </c:pt>
                <c:pt idx="2">
                  <c:v>1.3186292821073507E-2</c:v>
                </c:pt>
                <c:pt idx="3">
                  <c:v>1.9745052587277663E-2</c:v>
                </c:pt>
                <c:pt idx="4">
                  <c:v>2.7608535495184855E-2</c:v>
                </c:pt>
                <c:pt idx="5">
                  <c:v>3.5522537986019946E-2</c:v>
                </c:pt>
                <c:pt idx="6">
                  <c:v>4.5261834973075954E-2</c:v>
                </c:pt>
                <c:pt idx="7">
                  <c:v>5.5014310981765319E-2</c:v>
                </c:pt>
                <c:pt idx="8">
                  <c:v>6.4804127551749219E-2</c:v>
                </c:pt>
                <c:pt idx="9">
                  <c:v>7.6232535811481372E-2</c:v>
                </c:pt>
                <c:pt idx="10">
                  <c:v>9.0184726714002739E-2</c:v>
                </c:pt>
                <c:pt idx="11">
                  <c:v>0.10674197089271906</c:v>
                </c:pt>
                <c:pt idx="12">
                  <c:v>0.12383076894398105</c:v>
                </c:pt>
                <c:pt idx="13">
                  <c:v>0.14165100269589476</c:v>
                </c:pt>
                <c:pt idx="14">
                  <c:v>0.16120647429620139</c:v>
                </c:pt>
                <c:pt idx="15">
                  <c:v>0.18087616408399718</c:v>
                </c:pt>
                <c:pt idx="16">
                  <c:v>0.20261276376462556</c:v>
                </c:pt>
                <c:pt idx="17">
                  <c:v>0.22662274467700921</c:v>
                </c:pt>
                <c:pt idx="18">
                  <c:v>0.25269304597140879</c:v>
                </c:pt>
                <c:pt idx="19">
                  <c:v>0.28766577637914575</c:v>
                </c:pt>
                <c:pt idx="20">
                  <c:v>0.33876303975530359</c:v>
                </c:pt>
                <c:pt idx="21">
                  <c:v>0.39335494036790841</c:v>
                </c:pt>
                <c:pt idx="22">
                  <c:v>0.46418778864002885</c:v>
                </c:pt>
                <c:pt idx="23">
                  <c:v>1.0000248432165539</c:v>
                </c:pt>
              </c:numCache>
            </c:numRef>
          </c:xVal>
          <c:yVal>
            <c:numRef>
              <c:f>'Sete Lagoas'!$M$2:$M$25</c:f>
              <c:numCache>
                <c:formatCode>0.00</c:formatCode>
                <c:ptCount val="24"/>
                <c:pt idx="0">
                  <c:v>1.1869436201780416E-2</c:v>
                </c:pt>
                <c:pt idx="1">
                  <c:v>1.483679525222552E-2</c:v>
                </c:pt>
                <c:pt idx="2">
                  <c:v>2.3738872403560832E-2</c:v>
                </c:pt>
                <c:pt idx="3">
                  <c:v>3.2640949554896145E-2</c:v>
                </c:pt>
                <c:pt idx="4">
                  <c:v>3.857566765578635E-2</c:v>
                </c:pt>
                <c:pt idx="5">
                  <c:v>4.7477744807121663E-2</c:v>
                </c:pt>
                <c:pt idx="6">
                  <c:v>5.6379821958456977E-2</c:v>
                </c:pt>
                <c:pt idx="7">
                  <c:v>8.3086053412462918E-2</c:v>
                </c:pt>
                <c:pt idx="8">
                  <c:v>8.9020771513353122E-2</c:v>
                </c:pt>
                <c:pt idx="9">
                  <c:v>0.10385756676557864</c:v>
                </c:pt>
                <c:pt idx="10">
                  <c:v>0.10979228486646884</c:v>
                </c:pt>
                <c:pt idx="11">
                  <c:v>0.14836795252225521</c:v>
                </c:pt>
                <c:pt idx="12">
                  <c:v>0.17507418397626115</c:v>
                </c:pt>
                <c:pt idx="13">
                  <c:v>0.20474777448071219</c:v>
                </c:pt>
                <c:pt idx="14">
                  <c:v>0.20771513353115728</c:v>
                </c:pt>
                <c:pt idx="15">
                  <c:v>0.2314540059347181</c:v>
                </c:pt>
                <c:pt idx="16">
                  <c:v>0.25222551928783382</c:v>
                </c:pt>
                <c:pt idx="17">
                  <c:v>0.27299703264094954</c:v>
                </c:pt>
                <c:pt idx="18">
                  <c:v>0.29080118694362017</c:v>
                </c:pt>
                <c:pt idx="19">
                  <c:v>0.31157270029673589</c:v>
                </c:pt>
                <c:pt idx="20">
                  <c:v>0.37685459940652821</c:v>
                </c:pt>
                <c:pt idx="21">
                  <c:v>0.43026706231454009</c:v>
                </c:pt>
                <c:pt idx="22">
                  <c:v>0.47774480712166179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CE-4305-A0B9-BB0CBBE70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360400"/>
        <c:axId val="893361360"/>
      </c:scatterChart>
      <c:valAx>
        <c:axId val="893360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61360"/>
        <c:crosses val="autoZero"/>
        <c:crossBetween val="midCat"/>
      </c:valAx>
      <c:valAx>
        <c:axId val="893361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6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'Sete Lagoas'!$J$1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'Sete Lagoas'!$I$2:$I$25</c:f>
              <c:numCache>
                <c:formatCode>0.00</c:formatCode>
                <c:ptCount val="24"/>
                <c:pt idx="0">
                  <c:v>2.5508223629487508E-3</c:v>
                </c:pt>
                <c:pt idx="1">
                  <c:v>7.7345708720719282E-3</c:v>
                </c:pt>
                <c:pt idx="2">
                  <c:v>1.3186292821073507E-2</c:v>
                </c:pt>
                <c:pt idx="3">
                  <c:v>1.9745052587277663E-2</c:v>
                </c:pt>
                <c:pt idx="4">
                  <c:v>2.7608535495184855E-2</c:v>
                </c:pt>
                <c:pt idx="5">
                  <c:v>3.5522537986019946E-2</c:v>
                </c:pt>
                <c:pt idx="6">
                  <c:v>4.5261834973075954E-2</c:v>
                </c:pt>
                <c:pt idx="7">
                  <c:v>5.5014310981765319E-2</c:v>
                </c:pt>
                <c:pt idx="8">
                  <c:v>6.4804127551749219E-2</c:v>
                </c:pt>
                <c:pt idx="9">
                  <c:v>7.6232535811481372E-2</c:v>
                </c:pt>
                <c:pt idx="10">
                  <c:v>9.0184726714002739E-2</c:v>
                </c:pt>
                <c:pt idx="11">
                  <c:v>0.10674197089271906</c:v>
                </c:pt>
                <c:pt idx="12">
                  <c:v>0.12383076894398105</c:v>
                </c:pt>
                <c:pt idx="13">
                  <c:v>0.14165100269589476</c:v>
                </c:pt>
                <c:pt idx="14">
                  <c:v>0.16120647429620139</c:v>
                </c:pt>
                <c:pt idx="15">
                  <c:v>0.18087616408399718</c:v>
                </c:pt>
                <c:pt idx="16">
                  <c:v>0.20261276376462556</c:v>
                </c:pt>
                <c:pt idx="17">
                  <c:v>0.22662274467700921</c:v>
                </c:pt>
                <c:pt idx="18">
                  <c:v>0.25269304597140879</c:v>
                </c:pt>
                <c:pt idx="19">
                  <c:v>0.28766577637914575</c:v>
                </c:pt>
                <c:pt idx="20">
                  <c:v>0.33876303975530359</c:v>
                </c:pt>
                <c:pt idx="21">
                  <c:v>0.39335494036790841</c:v>
                </c:pt>
                <c:pt idx="22">
                  <c:v>0.46418778864002885</c:v>
                </c:pt>
                <c:pt idx="23">
                  <c:v>1.0000248432165539</c:v>
                </c:pt>
              </c:numCache>
            </c:numRef>
          </c:xVal>
          <c:yVal>
            <c:numRef>
              <c:f>'Sete Lagoas'!$J$2:$J$25</c:f>
              <c:numCache>
                <c:formatCode>0.00</c:formatCode>
                <c:ptCount val="24"/>
                <c:pt idx="0">
                  <c:v>2.5259791463947689E-3</c:v>
                </c:pt>
                <c:pt idx="1">
                  <c:v>7.7097276555179468E-3</c:v>
                </c:pt>
                <c:pt idx="2">
                  <c:v>1.3161449604519527E-2</c:v>
                </c:pt>
                <c:pt idx="3">
                  <c:v>1.9720209370723683E-2</c:v>
                </c:pt>
                <c:pt idx="4">
                  <c:v>2.7583692278630875E-2</c:v>
                </c:pt>
                <c:pt idx="5">
                  <c:v>3.5497694769465966E-2</c:v>
                </c:pt>
                <c:pt idx="6">
                  <c:v>4.5236991756521974E-2</c:v>
                </c:pt>
                <c:pt idx="7">
                  <c:v>5.4989467765211339E-2</c:v>
                </c:pt>
                <c:pt idx="8">
                  <c:v>6.4779284335195239E-2</c:v>
                </c:pt>
                <c:pt idx="9">
                  <c:v>7.6207692594927393E-2</c:v>
                </c:pt>
                <c:pt idx="10">
                  <c:v>9.0159883497448759E-2</c:v>
                </c:pt>
                <c:pt idx="11">
                  <c:v>0.10671712767616508</c:v>
                </c:pt>
                <c:pt idx="12">
                  <c:v>0.12380592572742707</c:v>
                </c:pt>
                <c:pt idx="13">
                  <c:v>0.14162615947934076</c:v>
                </c:pt>
                <c:pt idx="14">
                  <c:v>0.16118163107964739</c:v>
                </c:pt>
                <c:pt idx="15">
                  <c:v>0.18085132086744318</c:v>
                </c:pt>
                <c:pt idx="16">
                  <c:v>0.20258792054807157</c:v>
                </c:pt>
                <c:pt idx="17">
                  <c:v>0.22659790146045522</c:v>
                </c:pt>
                <c:pt idx="18">
                  <c:v>0.2526682027548548</c:v>
                </c:pt>
                <c:pt idx="19">
                  <c:v>0.28764093316259176</c:v>
                </c:pt>
                <c:pt idx="20">
                  <c:v>0.33873819653874959</c:v>
                </c:pt>
                <c:pt idx="21">
                  <c:v>0.39333009715135447</c:v>
                </c:pt>
                <c:pt idx="22">
                  <c:v>0.46416294542347492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00-44EE-A884-8EFA50B87F99}"/>
            </c:ext>
          </c:extLst>
        </c:ser>
        <c:ser>
          <c:idx val="1"/>
          <c:order val="1"/>
          <c:tx>
            <c:strRef>
              <c:f>'Sete Lagoas'!$N$1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'Sete Lagoas'!$I$2:$I$25</c:f>
              <c:numCache>
                <c:formatCode>0.00</c:formatCode>
                <c:ptCount val="24"/>
                <c:pt idx="0">
                  <c:v>2.5508223629487508E-3</c:v>
                </c:pt>
                <c:pt idx="1">
                  <c:v>7.7345708720719282E-3</c:v>
                </c:pt>
                <c:pt idx="2">
                  <c:v>1.3186292821073507E-2</c:v>
                </c:pt>
                <c:pt idx="3">
                  <c:v>1.9745052587277663E-2</c:v>
                </c:pt>
                <c:pt idx="4">
                  <c:v>2.7608535495184855E-2</c:v>
                </c:pt>
                <c:pt idx="5">
                  <c:v>3.5522537986019946E-2</c:v>
                </c:pt>
                <c:pt idx="6">
                  <c:v>4.5261834973075954E-2</c:v>
                </c:pt>
                <c:pt idx="7">
                  <c:v>5.5014310981765319E-2</c:v>
                </c:pt>
                <c:pt idx="8">
                  <c:v>6.4804127551749219E-2</c:v>
                </c:pt>
                <c:pt idx="9">
                  <c:v>7.6232535811481372E-2</c:v>
                </c:pt>
                <c:pt idx="10">
                  <c:v>9.0184726714002739E-2</c:v>
                </c:pt>
                <c:pt idx="11">
                  <c:v>0.10674197089271906</c:v>
                </c:pt>
                <c:pt idx="12">
                  <c:v>0.12383076894398105</c:v>
                </c:pt>
                <c:pt idx="13">
                  <c:v>0.14165100269589476</c:v>
                </c:pt>
                <c:pt idx="14">
                  <c:v>0.16120647429620139</c:v>
                </c:pt>
                <c:pt idx="15">
                  <c:v>0.18087616408399718</c:v>
                </c:pt>
                <c:pt idx="16">
                  <c:v>0.20261276376462556</c:v>
                </c:pt>
                <c:pt idx="17">
                  <c:v>0.22662274467700921</c:v>
                </c:pt>
                <c:pt idx="18">
                  <c:v>0.25269304597140879</c:v>
                </c:pt>
                <c:pt idx="19">
                  <c:v>0.28766577637914575</c:v>
                </c:pt>
                <c:pt idx="20">
                  <c:v>0.33876303975530359</c:v>
                </c:pt>
                <c:pt idx="21">
                  <c:v>0.39335494036790841</c:v>
                </c:pt>
                <c:pt idx="22">
                  <c:v>0.46418778864002885</c:v>
                </c:pt>
                <c:pt idx="23">
                  <c:v>1.0000248432165539</c:v>
                </c:pt>
              </c:numCache>
            </c:numRef>
          </c:xVal>
          <c:yVal>
            <c:numRef>
              <c:f>'Sete Lagoas'!$N$2:$N$25</c:f>
              <c:numCache>
                <c:formatCode>0.00</c:formatCode>
                <c:ptCount val="24"/>
                <c:pt idx="0">
                  <c:v>1.5290519877675841E-3</c:v>
                </c:pt>
                <c:pt idx="1">
                  <c:v>9.1743119266055051E-3</c:v>
                </c:pt>
                <c:pt idx="2">
                  <c:v>1.6819571865443424E-2</c:v>
                </c:pt>
                <c:pt idx="3">
                  <c:v>2.4464831804281342E-2</c:v>
                </c:pt>
                <c:pt idx="4">
                  <c:v>4.2813455657492352E-2</c:v>
                </c:pt>
                <c:pt idx="5">
                  <c:v>5.657492354740061E-2</c:v>
                </c:pt>
                <c:pt idx="6">
                  <c:v>5.9633027522935776E-2</c:v>
                </c:pt>
                <c:pt idx="7">
                  <c:v>7.3394495412844041E-2</c:v>
                </c:pt>
                <c:pt idx="8">
                  <c:v>7.9510703363914373E-2</c:v>
                </c:pt>
                <c:pt idx="9">
                  <c:v>9.6330275229357804E-2</c:v>
                </c:pt>
                <c:pt idx="10">
                  <c:v>0.11162079510703364</c:v>
                </c:pt>
                <c:pt idx="11">
                  <c:v>0.12844036697247707</c:v>
                </c:pt>
                <c:pt idx="12">
                  <c:v>0.15749235474006118</c:v>
                </c:pt>
                <c:pt idx="13">
                  <c:v>0.18654434250764529</c:v>
                </c:pt>
                <c:pt idx="14">
                  <c:v>0.20795107033639146</c:v>
                </c:pt>
                <c:pt idx="15">
                  <c:v>0.22477064220183487</c:v>
                </c:pt>
                <c:pt idx="16">
                  <c:v>0.24311926605504589</c:v>
                </c:pt>
                <c:pt idx="17">
                  <c:v>0.25993883792048933</c:v>
                </c:pt>
                <c:pt idx="18">
                  <c:v>0.29357798165137616</c:v>
                </c:pt>
                <c:pt idx="19">
                  <c:v>0.32262996941896027</c:v>
                </c:pt>
                <c:pt idx="20">
                  <c:v>0.35168195718654438</c:v>
                </c:pt>
                <c:pt idx="21">
                  <c:v>0.3883792048929664</c:v>
                </c:pt>
                <c:pt idx="22">
                  <c:v>0.41284403669724773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00-44EE-A884-8EFA50B87F99}"/>
            </c:ext>
          </c:extLst>
        </c:ser>
        <c:ser>
          <c:idx val="2"/>
          <c:order val="2"/>
          <c:tx>
            <c:strRef>
              <c:f>'Sete Lagoas'!$O$1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'Sete Lagoas'!$I$2:$I$25</c:f>
              <c:numCache>
                <c:formatCode>0.00</c:formatCode>
                <c:ptCount val="24"/>
                <c:pt idx="0">
                  <c:v>2.5508223629487508E-3</c:v>
                </c:pt>
                <c:pt idx="1">
                  <c:v>7.7345708720719282E-3</c:v>
                </c:pt>
                <c:pt idx="2">
                  <c:v>1.3186292821073507E-2</c:v>
                </c:pt>
                <c:pt idx="3">
                  <c:v>1.9745052587277663E-2</c:v>
                </c:pt>
                <c:pt idx="4">
                  <c:v>2.7608535495184855E-2</c:v>
                </c:pt>
                <c:pt idx="5">
                  <c:v>3.5522537986019946E-2</c:v>
                </c:pt>
                <c:pt idx="6">
                  <c:v>4.5261834973075954E-2</c:v>
                </c:pt>
                <c:pt idx="7">
                  <c:v>5.5014310981765319E-2</c:v>
                </c:pt>
                <c:pt idx="8">
                  <c:v>6.4804127551749219E-2</c:v>
                </c:pt>
                <c:pt idx="9">
                  <c:v>7.6232535811481372E-2</c:v>
                </c:pt>
                <c:pt idx="10">
                  <c:v>9.0184726714002739E-2</c:v>
                </c:pt>
                <c:pt idx="11">
                  <c:v>0.10674197089271906</c:v>
                </c:pt>
                <c:pt idx="12">
                  <c:v>0.12383076894398105</c:v>
                </c:pt>
                <c:pt idx="13">
                  <c:v>0.14165100269589476</c:v>
                </c:pt>
                <c:pt idx="14">
                  <c:v>0.16120647429620139</c:v>
                </c:pt>
                <c:pt idx="15">
                  <c:v>0.18087616408399718</c:v>
                </c:pt>
                <c:pt idx="16">
                  <c:v>0.20261276376462556</c:v>
                </c:pt>
                <c:pt idx="17">
                  <c:v>0.22662274467700921</c:v>
                </c:pt>
                <c:pt idx="18">
                  <c:v>0.25269304597140879</c:v>
                </c:pt>
                <c:pt idx="19">
                  <c:v>0.28766577637914575</c:v>
                </c:pt>
                <c:pt idx="20">
                  <c:v>0.33876303975530359</c:v>
                </c:pt>
                <c:pt idx="21">
                  <c:v>0.39335494036790841</c:v>
                </c:pt>
                <c:pt idx="22">
                  <c:v>0.46418778864002885</c:v>
                </c:pt>
                <c:pt idx="23">
                  <c:v>1.0000248432165539</c:v>
                </c:pt>
              </c:numCache>
            </c:numRef>
          </c:xVal>
          <c:yVal>
            <c:numRef>
              <c:f>'Sete Lagoas'!$O$2:$O$25</c:f>
              <c:numCache>
                <c:formatCode>0.00</c:formatCode>
                <c:ptCount val="24"/>
                <c:pt idx="0">
                  <c:v>5.3191489361702126E-3</c:v>
                </c:pt>
                <c:pt idx="1">
                  <c:v>1.329787234042553E-2</c:v>
                </c:pt>
                <c:pt idx="2">
                  <c:v>2.1276595744680847E-2</c:v>
                </c:pt>
                <c:pt idx="3">
                  <c:v>3.1914893617021274E-2</c:v>
                </c:pt>
                <c:pt idx="4">
                  <c:v>3.9893617021276591E-2</c:v>
                </c:pt>
                <c:pt idx="5">
                  <c:v>4.7872340425531908E-2</c:v>
                </c:pt>
                <c:pt idx="6">
                  <c:v>5.8510638297872335E-2</c:v>
                </c:pt>
                <c:pt idx="7">
                  <c:v>9.3085106382978719E-2</c:v>
                </c:pt>
                <c:pt idx="8">
                  <c:v>0.10904255319148935</c:v>
                </c:pt>
                <c:pt idx="9">
                  <c:v>0.1276595744680851</c:v>
                </c:pt>
                <c:pt idx="10">
                  <c:v>0.14361702127659573</c:v>
                </c:pt>
                <c:pt idx="11">
                  <c:v>0.15691489361702127</c:v>
                </c:pt>
                <c:pt idx="12">
                  <c:v>0.18617021276595744</c:v>
                </c:pt>
                <c:pt idx="13">
                  <c:v>0.20478723404255317</c:v>
                </c:pt>
                <c:pt idx="14">
                  <c:v>0.2207446808510638</c:v>
                </c:pt>
                <c:pt idx="15">
                  <c:v>0.23936170212765956</c:v>
                </c:pt>
                <c:pt idx="16">
                  <c:v>0.24468085106382978</c:v>
                </c:pt>
                <c:pt idx="17">
                  <c:v>0.25531914893617019</c:v>
                </c:pt>
                <c:pt idx="18">
                  <c:v>0.29255319148936165</c:v>
                </c:pt>
                <c:pt idx="19">
                  <c:v>0.33510638297872336</c:v>
                </c:pt>
                <c:pt idx="20">
                  <c:v>0.36968085106382975</c:v>
                </c:pt>
                <c:pt idx="21">
                  <c:v>0.45744680851063824</c:v>
                </c:pt>
                <c:pt idx="22">
                  <c:v>0.51595744680851063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00-44EE-A884-8EFA50B87F99}"/>
            </c:ext>
          </c:extLst>
        </c:ser>
        <c:ser>
          <c:idx val="3"/>
          <c:order val="3"/>
          <c:tx>
            <c:strRef>
              <c:f>'Sete Lagoas'!$P$1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'Sete Lagoas'!$I$2:$I$25</c:f>
              <c:numCache>
                <c:formatCode>0.00</c:formatCode>
                <c:ptCount val="24"/>
                <c:pt idx="0">
                  <c:v>2.5508223629487508E-3</c:v>
                </c:pt>
                <c:pt idx="1">
                  <c:v>7.7345708720719282E-3</c:v>
                </c:pt>
                <c:pt idx="2">
                  <c:v>1.3186292821073507E-2</c:v>
                </c:pt>
                <c:pt idx="3">
                  <c:v>1.9745052587277663E-2</c:v>
                </c:pt>
                <c:pt idx="4">
                  <c:v>2.7608535495184855E-2</c:v>
                </c:pt>
                <c:pt idx="5">
                  <c:v>3.5522537986019946E-2</c:v>
                </c:pt>
                <c:pt idx="6">
                  <c:v>4.5261834973075954E-2</c:v>
                </c:pt>
                <c:pt idx="7">
                  <c:v>5.5014310981765319E-2</c:v>
                </c:pt>
                <c:pt idx="8">
                  <c:v>6.4804127551749219E-2</c:v>
                </c:pt>
                <c:pt idx="9">
                  <c:v>7.6232535811481372E-2</c:v>
                </c:pt>
                <c:pt idx="10">
                  <c:v>9.0184726714002739E-2</c:v>
                </c:pt>
                <c:pt idx="11">
                  <c:v>0.10674197089271906</c:v>
                </c:pt>
                <c:pt idx="12">
                  <c:v>0.12383076894398105</c:v>
                </c:pt>
                <c:pt idx="13">
                  <c:v>0.14165100269589476</c:v>
                </c:pt>
                <c:pt idx="14">
                  <c:v>0.16120647429620139</c:v>
                </c:pt>
                <c:pt idx="15">
                  <c:v>0.18087616408399718</c:v>
                </c:pt>
                <c:pt idx="16">
                  <c:v>0.20261276376462556</c:v>
                </c:pt>
                <c:pt idx="17">
                  <c:v>0.22662274467700921</c:v>
                </c:pt>
                <c:pt idx="18">
                  <c:v>0.25269304597140879</c:v>
                </c:pt>
                <c:pt idx="19">
                  <c:v>0.28766577637914575</c:v>
                </c:pt>
                <c:pt idx="20">
                  <c:v>0.33876303975530359</c:v>
                </c:pt>
                <c:pt idx="21">
                  <c:v>0.39335494036790841</c:v>
                </c:pt>
                <c:pt idx="22">
                  <c:v>0.46418778864002885</c:v>
                </c:pt>
                <c:pt idx="23">
                  <c:v>1.0000248432165539</c:v>
                </c:pt>
              </c:numCache>
            </c:numRef>
          </c:xVal>
          <c:yVal>
            <c:numRef>
              <c:f>'Sete Lagoas'!$P$2:$P$25</c:f>
              <c:numCache>
                <c:formatCode>0.00</c:formatCode>
                <c:ptCount val="24"/>
                <c:pt idx="0">
                  <c:v>1.0273972602739725E-2</c:v>
                </c:pt>
                <c:pt idx="1">
                  <c:v>1.7123287671232876E-2</c:v>
                </c:pt>
                <c:pt idx="2">
                  <c:v>2.7397260273972601E-2</c:v>
                </c:pt>
                <c:pt idx="3">
                  <c:v>3.7671232876712327E-2</c:v>
                </c:pt>
                <c:pt idx="4">
                  <c:v>4.1095890410958902E-2</c:v>
                </c:pt>
                <c:pt idx="5">
                  <c:v>4.7945205479452052E-2</c:v>
                </c:pt>
                <c:pt idx="6">
                  <c:v>5.1369863013698627E-2</c:v>
                </c:pt>
                <c:pt idx="7">
                  <c:v>8.9041095890410954E-2</c:v>
                </c:pt>
                <c:pt idx="8">
                  <c:v>0.1095890410958904</c:v>
                </c:pt>
                <c:pt idx="9">
                  <c:v>0.13013698630136986</c:v>
                </c:pt>
                <c:pt idx="10">
                  <c:v>0.14383561643835616</c:v>
                </c:pt>
                <c:pt idx="11">
                  <c:v>0.16095890410958902</c:v>
                </c:pt>
                <c:pt idx="12">
                  <c:v>0.19178082191780821</c:v>
                </c:pt>
                <c:pt idx="13">
                  <c:v>0.21575342465753422</c:v>
                </c:pt>
                <c:pt idx="14">
                  <c:v>0.23630136986301367</c:v>
                </c:pt>
                <c:pt idx="15">
                  <c:v>0.24999999999999997</c:v>
                </c:pt>
                <c:pt idx="16">
                  <c:v>0.26369863013698625</c:v>
                </c:pt>
                <c:pt idx="17">
                  <c:v>0.26712328767123283</c:v>
                </c:pt>
                <c:pt idx="18">
                  <c:v>0.29794520547945202</c:v>
                </c:pt>
                <c:pt idx="19">
                  <c:v>0.3321917808219178</c:v>
                </c:pt>
                <c:pt idx="20">
                  <c:v>0.3458904109589041</c:v>
                </c:pt>
                <c:pt idx="21">
                  <c:v>0.39383561643835618</c:v>
                </c:pt>
                <c:pt idx="22">
                  <c:v>0.42465753424657537</c:v>
                </c:pt>
                <c:pt idx="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C00-44EE-A884-8EFA50B8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454624"/>
        <c:axId val="905465664"/>
      </c:scatterChart>
      <c:valAx>
        <c:axId val="9054546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5465664"/>
        <c:crosses val="autoZero"/>
        <c:crossBetween val="midCat"/>
      </c:valAx>
      <c:valAx>
        <c:axId val="90546566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5454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Vespasiano!$J$1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Vespasiano!$I$2:$I$8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Vespasiano!$J$2:$J$8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E3-4EA9-A506-FEC14DB8E87D}"/>
            </c:ext>
          </c:extLst>
        </c:ser>
        <c:ser>
          <c:idx val="1"/>
          <c:order val="1"/>
          <c:tx>
            <c:strRef>
              <c:f>Vespasiano!$K$1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Vespasiano!$I$2:$I$8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Vespasiano!$K$2:$K$8</c:f>
              <c:numCache>
                <c:formatCode>0.00</c:formatCode>
                <c:ptCount val="7"/>
                <c:pt idx="0">
                  <c:v>3.7243947858472998E-3</c:v>
                </c:pt>
                <c:pt idx="1">
                  <c:v>2.7932960893854747E-2</c:v>
                </c:pt>
                <c:pt idx="2">
                  <c:v>6.5176908752327747E-2</c:v>
                </c:pt>
                <c:pt idx="3">
                  <c:v>0.10800744878957169</c:v>
                </c:pt>
                <c:pt idx="4">
                  <c:v>0.24394785847299813</c:v>
                </c:pt>
                <c:pt idx="5">
                  <c:v>0.42271880819366853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E3-4EA9-A506-FEC14DB8E87D}"/>
            </c:ext>
          </c:extLst>
        </c:ser>
        <c:ser>
          <c:idx val="2"/>
          <c:order val="2"/>
          <c:tx>
            <c:strRef>
              <c:f>Vespasiano!$L$1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Vespasiano!$I$2:$I$8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Vespasiano!$L$2:$L$8</c:f>
              <c:numCache>
                <c:formatCode>0.00</c:formatCode>
                <c:ptCount val="7"/>
                <c:pt idx="0">
                  <c:v>2.2026431718061676E-3</c:v>
                </c:pt>
                <c:pt idx="1">
                  <c:v>2.8634361233480177E-2</c:v>
                </c:pt>
                <c:pt idx="2">
                  <c:v>6.6079295154185022E-2</c:v>
                </c:pt>
                <c:pt idx="3">
                  <c:v>0.12555066079295155</c:v>
                </c:pt>
                <c:pt idx="4">
                  <c:v>0.25330396475770922</c:v>
                </c:pt>
                <c:pt idx="5">
                  <c:v>0.45374449339207046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E3-4EA9-A506-FEC14DB8E87D}"/>
            </c:ext>
          </c:extLst>
        </c:ser>
        <c:ser>
          <c:idx val="3"/>
          <c:order val="3"/>
          <c:tx>
            <c:strRef>
              <c:f>Vespasiano!$M$1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Vespasiano!$I$2:$I$8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Vespasiano!$M$2:$M$8</c:f>
              <c:numCache>
                <c:formatCode>0.00</c:formatCode>
                <c:ptCount val="7"/>
                <c:pt idx="0">
                  <c:v>2.9850746268656717E-3</c:v>
                </c:pt>
                <c:pt idx="1">
                  <c:v>2.0895522388059702E-2</c:v>
                </c:pt>
                <c:pt idx="2">
                  <c:v>7.4626865671641784E-2</c:v>
                </c:pt>
                <c:pt idx="3">
                  <c:v>0.12238805970149252</c:v>
                </c:pt>
                <c:pt idx="4">
                  <c:v>0.30149253731343284</c:v>
                </c:pt>
                <c:pt idx="5">
                  <c:v>0.55522388059701488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E3-4EA9-A506-FEC14DB8E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300400"/>
        <c:axId val="893301840"/>
      </c:scatterChart>
      <c:valAx>
        <c:axId val="893300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01840"/>
        <c:crosses val="autoZero"/>
        <c:crossBetween val="midCat"/>
      </c:valAx>
      <c:valAx>
        <c:axId val="8933018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0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747594050743657E-2"/>
          <c:y val="0.17997739865850101"/>
          <c:w val="0.8615579615048119"/>
          <c:h val="0.736141732283464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Vespasiano!$J$1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Vespasiano!$I$2:$I$8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Vespasiano!$J$2:$J$8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16-4A45-B193-4EA37FAC0A41}"/>
            </c:ext>
          </c:extLst>
        </c:ser>
        <c:ser>
          <c:idx val="1"/>
          <c:order val="1"/>
          <c:tx>
            <c:strRef>
              <c:f>Vespasiano!$N$1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Vespasiano!$I$2:$I$8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Vespasiano!$N$2:$N$8</c:f>
              <c:numCache>
                <c:formatCode>0.00</c:formatCode>
                <c:ptCount val="7"/>
                <c:pt idx="0">
                  <c:v>9.4043887147335428E-3</c:v>
                </c:pt>
                <c:pt idx="1">
                  <c:v>1.7241379310344827E-2</c:v>
                </c:pt>
                <c:pt idx="2">
                  <c:v>7.5235109717868343E-2</c:v>
                </c:pt>
                <c:pt idx="3">
                  <c:v>0.12539184952978055</c:v>
                </c:pt>
                <c:pt idx="4">
                  <c:v>0.2398119122257053</c:v>
                </c:pt>
                <c:pt idx="5">
                  <c:v>0.4561128526645768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16-4A45-B193-4EA37FAC0A41}"/>
            </c:ext>
          </c:extLst>
        </c:ser>
        <c:ser>
          <c:idx val="2"/>
          <c:order val="2"/>
          <c:tx>
            <c:strRef>
              <c:f>Vespasiano!$O$1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Vespasiano!$I$2:$I$8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Vespasiano!$O$2:$O$8</c:f>
              <c:numCache>
                <c:formatCode>0.00</c:formatCode>
                <c:ptCount val="7"/>
                <c:pt idx="0">
                  <c:v>1.6447368421052631E-2</c:v>
                </c:pt>
                <c:pt idx="1">
                  <c:v>3.6184210526315791E-2</c:v>
                </c:pt>
                <c:pt idx="2">
                  <c:v>0.12828947368421051</c:v>
                </c:pt>
                <c:pt idx="3">
                  <c:v>0.22039473684210525</c:v>
                </c:pt>
                <c:pt idx="4">
                  <c:v>0.35855263157894735</c:v>
                </c:pt>
                <c:pt idx="5">
                  <c:v>0.57565789473684204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16-4A45-B193-4EA37FAC0A41}"/>
            </c:ext>
          </c:extLst>
        </c:ser>
        <c:ser>
          <c:idx val="3"/>
          <c:order val="3"/>
          <c:tx>
            <c:strRef>
              <c:f>Vespasiano!$P$1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Vespasiano!$I$2:$I$8</c:f>
              <c:numCache>
                <c:formatCode>0.00</c:formatCode>
                <c:ptCount val="7"/>
                <c:pt idx="0">
                  <c:v>1.2826204047327332E-2</c:v>
                </c:pt>
                <c:pt idx="1">
                  <c:v>3.3148664405656079E-2</c:v>
                </c:pt>
                <c:pt idx="2">
                  <c:v>0.10562529964309178</c:v>
                </c:pt>
                <c:pt idx="3">
                  <c:v>0.21947191789335369</c:v>
                </c:pt>
                <c:pt idx="4">
                  <c:v>0.41227634047741651</c:v>
                </c:pt>
                <c:pt idx="5">
                  <c:v>0.60980106658143485</c:v>
                </c:pt>
                <c:pt idx="6">
                  <c:v>1</c:v>
                </c:pt>
              </c:numCache>
            </c:numRef>
          </c:xVal>
          <c:yVal>
            <c:numRef>
              <c:f>Vespasiano!$P$2:$P$8</c:f>
              <c:numCache>
                <c:formatCode>0.00</c:formatCode>
                <c:ptCount val="7"/>
                <c:pt idx="0">
                  <c:v>6.993006993006993E-3</c:v>
                </c:pt>
                <c:pt idx="1">
                  <c:v>2.4475524475524476E-2</c:v>
                </c:pt>
                <c:pt idx="2">
                  <c:v>7.3426573426573424E-2</c:v>
                </c:pt>
                <c:pt idx="3">
                  <c:v>0.11888111888111888</c:v>
                </c:pt>
                <c:pt idx="4">
                  <c:v>0.24825174825174826</c:v>
                </c:pt>
                <c:pt idx="5">
                  <c:v>0.41608391608391609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16-4A45-B193-4EA37FAC0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155312"/>
        <c:axId val="525156272"/>
      </c:scatterChart>
      <c:valAx>
        <c:axId val="5251553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56272"/>
        <c:crosses val="autoZero"/>
        <c:crossBetween val="midCat"/>
      </c:valAx>
      <c:valAx>
        <c:axId val="52515627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55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217713</xdr:colOff>
      <xdr:row>0</xdr:row>
      <xdr:rowOff>136071</xdr:rowOff>
    </xdr:from>
    <xdr:to>
      <xdr:col>23</xdr:col>
      <xdr:colOff>522513</xdr:colOff>
      <xdr:row>14</xdr:row>
      <xdr:rowOff>103414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062773-060C-3CEA-48F2-141192BB9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217714</xdr:colOff>
      <xdr:row>15</xdr:row>
      <xdr:rowOff>16329</xdr:rowOff>
    </xdr:from>
    <xdr:to>
      <xdr:col>23</xdr:col>
      <xdr:colOff>522514</xdr:colOff>
      <xdr:row>28</xdr:row>
      <xdr:rowOff>168729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9BD42C-433D-B55F-DE16-F1608FF91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177453</xdr:colOff>
      <xdr:row>0</xdr:row>
      <xdr:rowOff>32358</xdr:rowOff>
    </xdr:from>
    <xdr:to>
      <xdr:col>23</xdr:col>
      <xdr:colOff>511480</xdr:colOff>
      <xdr:row>14</xdr:row>
      <xdr:rowOff>40709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7AD9E7-BB54-A463-D20F-7178A25BDB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177453</xdr:colOff>
      <xdr:row>14</xdr:row>
      <xdr:rowOff>136743</xdr:rowOff>
    </xdr:from>
    <xdr:to>
      <xdr:col>23</xdr:col>
      <xdr:colOff>511480</xdr:colOff>
      <xdr:row>29</xdr:row>
      <xdr:rowOff>61587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FBF387F-121C-0DB1-AF5E-41B7CF45B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536619</xdr:colOff>
      <xdr:row>0</xdr:row>
      <xdr:rowOff>104103</xdr:rowOff>
    </xdr:from>
    <xdr:to>
      <xdr:col>24</xdr:col>
      <xdr:colOff>214648</xdr:colOff>
      <xdr:row>13</xdr:row>
      <xdr:rowOff>174937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A0A9AA-D36E-CAD5-FE87-69D367DD1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558084</xdr:colOff>
      <xdr:row>14</xdr:row>
      <xdr:rowOff>18244</xdr:rowOff>
    </xdr:from>
    <xdr:to>
      <xdr:col>24</xdr:col>
      <xdr:colOff>236113</xdr:colOff>
      <xdr:row>29</xdr:row>
      <xdr:rowOff>24684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4A41FEF-4850-93C4-1BC6-A79AF8187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37171</xdr:colOff>
      <xdr:row>0</xdr:row>
      <xdr:rowOff>54827</xdr:rowOff>
    </xdr:from>
    <xdr:to>
      <xdr:col>23</xdr:col>
      <xdr:colOff>315951</xdr:colOff>
      <xdr:row>14</xdr:row>
      <xdr:rowOff>56686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47DAD6-1379-5CEF-136E-8BCBEB3C0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46464</xdr:colOff>
      <xdr:row>14</xdr:row>
      <xdr:rowOff>82705</xdr:rowOff>
    </xdr:from>
    <xdr:to>
      <xdr:col>23</xdr:col>
      <xdr:colOff>325244</xdr:colOff>
      <xdr:row>29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D517E2-4340-4BF5-21A5-BD598F03C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99060</xdr:colOff>
      <xdr:row>0</xdr:row>
      <xdr:rowOff>80010</xdr:rowOff>
    </xdr:from>
    <xdr:to>
      <xdr:col>23</xdr:col>
      <xdr:colOff>403860</xdr:colOff>
      <xdr:row>14</xdr:row>
      <xdr:rowOff>64770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445BD46-BC6C-59CB-366D-2DB35A723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14</xdr:row>
      <xdr:rowOff>87630</xdr:rowOff>
    </xdr:from>
    <xdr:to>
      <xdr:col>23</xdr:col>
      <xdr:colOff>396240</xdr:colOff>
      <xdr:row>29</xdr:row>
      <xdr:rowOff>87630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F4D1DFA-90FB-EBD7-99E6-10297C5B5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54429</xdr:colOff>
      <xdr:row>0</xdr:row>
      <xdr:rowOff>55205</xdr:rowOff>
    </xdr:from>
    <xdr:to>
      <xdr:col>23</xdr:col>
      <xdr:colOff>381000</xdr:colOff>
      <xdr:row>14</xdr:row>
      <xdr:rowOff>45874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1E02136F-49CE-7F03-52C5-A27AF66E3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69980</xdr:colOff>
      <xdr:row>14</xdr:row>
      <xdr:rowOff>78532</xdr:rowOff>
    </xdr:from>
    <xdr:to>
      <xdr:col>23</xdr:col>
      <xdr:colOff>396551</xdr:colOff>
      <xdr:row>28</xdr:row>
      <xdr:rowOff>30324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2038FB4-1F86-0DAE-34A3-D02D154D3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106680</xdr:colOff>
      <xdr:row>0</xdr:row>
      <xdr:rowOff>49530</xdr:rowOff>
    </xdr:from>
    <xdr:to>
      <xdr:col>23</xdr:col>
      <xdr:colOff>411480</xdr:colOff>
      <xdr:row>14</xdr:row>
      <xdr:rowOff>49530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440BA09-7F1E-DC41-75D5-41CB0329E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121920</xdr:colOff>
      <xdr:row>14</xdr:row>
      <xdr:rowOff>80010</xdr:rowOff>
    </xdr:from>
    <xdr:to>
      <xdr:col>23</xdr:col>
      <xdr:colOff>426720</xdr:colOff>
      <xdr:row>29</xdr:row>
      <xdr:rowOff>80010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F6DE20E-25CE-0E11-2C06-F863E6EC6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45720</xdr:colOff>
      <xdr:row>0</xdr:row>
      <xdr:rowOff>41910</xdr:rowOff>
    </xdr:from>
    <xdr:to>
      <xdr:col>23</xdr:col>
      <xdr:colOff>350520</xdr:colOff>
      <xdr:row>14</xdr:row>
      <xdr:rowOff>80010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1AA0115-68AB-07D9-4A82-5AB610E03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38100</xdr:colOff>
      <xdr:row>14</xdr:row>
      <xdr:rowOff>110490</xdr:rowOff>
    </xdr:from>
    <xdr:to>
      <xdr:col>23</xdr:col>
      <xdr:colOff>342900</xdr:colOff>
      <xdr:row>29</xdr:row>
      <xdr:rowOff>110490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B6AA411-2809-3A6F-DFAA-253F7D367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45357</xdr:colOff>
      <xdr:row>0</xdr:row>
      <xdr:rowOff>75292</xdr:rowOff>
    </xdr:from>
    <xdr:to>
      <xdr:col>23</xdr:col>
      <xdr:colOff>362857</xdr:colOff>
      <xdr:row>14</xdr:row>
      <xdr:rowOff>133349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DE7A2D6-E26B-B429-5016-6DF8EF8C0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45357</xdr:colOff>
      <xdr:row>15</xdr:row>
      <xdr:rowOff>11793</xdr:rowOff>
    </xdr:from>
    <xdr:to>
      <xdr:col>23</xdr:col>
      <xdr:colOff>362857</xdr:colOff>
      <xdr:row>29</xdr:row>
      <xdr:rowOff>33564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E1EDEE1-6F0E-D3A7-F982-B0E8A7770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32425</xdr:colOff>
      <xdr:row>0</xdr:row>
      <xdr:rowOff>30804</xdr:rowOff>
    </xdr:from>
    <xdr:to>
      <xdr:col>23</xdr:col>
      <xdr:colOff>348574</xdr:colOff>
      <xdr:row>13</xdr:row>
      <xdr:rowOff>34047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D222B17-4B78-A402-557D-FD77758AF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24319</xdr:colOff>
      <xdr:row>13</xdr:row>
      <xdr:rowOff>79443</xdr:rowOff>
    </xdr:from>
    <xdr:to>
      <xdr:col>23</xdr:col>
      <xdr:colOff>340468</xdr:colOff>
      <xdr:row>28</xdr:row>
      <xdr:rowOff>25940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722EBBC-352C-5C45-9932-129E595BB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2209-8EAB-427C-A12B-5FDBB2924D4B}">
  <dimension ref="A1:P33"/>
  <sheetViews>
    <sheetView zoomScale="70" zoomScaleNormal="70" workbookViewId="0">
      <selection activeCell="E34" sqref="E34"/>
    </sheetView>
  </sheetViews>
  <sheetFormatPr defaultRowHeight="14.4" x14ac:dyDescent="0.3"/>
  <cols>
    <col min="1" max="1" width="16.6640625" customWidth="1"/>
    <col min="2" max="9" width="10.33203125" customWidth="1"/>
    <col min="10" max="10" width="17.21875" customWidth="1"/>
    <col min="11" max="16" width="12.44140625" customWidth="1"/>
  </cols>
  <sheetData>
    <row r="1" spans="1:16" ht="28.8" x14ac:dyDescent="0.3">
      <c r="A1" s="1" t="s">
        <v>99</v>
      </c>
      <c r="B1" s="10" t="s">
        <v>98</v>
      </c>
      <c r="C1" s="2" t="s">
        <v>0</v>
      </c>
      <c r="D1" s="2" t="s">
        <v>1</v>
      </c>
      <c r="E1" s="2" t="s">
        <v>2</v>
      </c>
      <c r="F1" s="10" t="s">
        <v>3</v>
      </c>
      <c r="G1" s="2" t="s">
        <v>4</v>
      </c>
      <c r="H1" s="2" t="s">
        <v>5</v>
      </c>
      <c r="I1" s="13" t="s">
        <v>98</v>
      </c>
      <c r="J1" s="11" t="s">
        <v>98</v>
      </c>
      <c r="K1" s="12" t="s">
        <v>0</v>
      </c>
      <c r="L1" s="12" t="s">
        <v>1</v>
      </c>
      <c r="M1" s="12" t="s">
        <v>2</v>
      </c>
      <c r="N1" s="11" t="s">
        <v>3</v>
      </c>
      <c r="O1" s="12" t="s">
        <v>4</v>
      </c>
      <c r="P1" s="12" t="s">
        <v>5</v>
      </c>
    </row>
    <row r="2" spans="1:16" x14ac:dyDescent="0.3">
      <c r="A2" s="3" t="s">
        <v>6</v>
      </c>
      <c r="B2" s="8">
        <v>1.1960479324918034E-3</v>
      </c>
      <c r="C2" s="8">
        <v>9.4098669175964511E-4</v>
      </c>
      <c r="D2" s="8">
        <v>6.9476609541454376E-4</v>
      </c>
      <c r="E2" s="8">
        <v>6.4020486555697821E-4</v>
      </c>
      <c r="F2" s="8">
        <v>6.9463739927757716E-4</v>
      </c>
      <c r="G2" s="8">
        <v>7.3800738007380072E-4</v>
      </c>
      <c r="H2" s="8">
        <v>3.6231884057971015E-4</v>
      </c>
      <c r="I2" s="7">
        <v>1.1960479324918034E-3</v>
      </c>
      <c r="J2" s="8">
        <v>1.1960479324918034E-3</v>
      </c>
      <c r="K2" s="8">
        <v>9.4098669175964511E-4</v>
      </c>
      <c r="L2" s="8">
        <v>6.9476609541454376E-4</v>
      </c>
      <c r="M2" s="8">
        <v>6.4020486555697821E-4</v>
      </c>
      <c r="N2" s="8">
        <v>6.9463739927757716E-4</v>
      </c>
      <c r="O2" s="8">
        <v>7.3800738007380072E-4</v>
      </c>
      <c r="P2" s="8">
        <v>3.6231884057971015E-4</v>
      </c>
    </row>
    <row r="3" spans="1:16" x14ac:dyDescent="0.3">
      <c r="A3" s="3" t="s">
        <v>7</v>
      </c>
      <c r="B3" s="8">
        <v>1.4364187305751074E-3</v>
      </c>
      <c r="C3" s="8">
        <v>6.7213335125688935E-4</v>
      </c>
      <c r="D3" s="8">
        <v>4.6317739694302917E-4</v>
      </c>
      <c r="E3" s="8">
        <v>1.7072129748186087E-3</v>
      </c>
      <c r="F3" s="8">
        <v>1.3892747985551543E-3</v>
      </c>
      <c r="G3" s="8">
        <v>1.8450184501845018E-3</v>
      </c>
      <c r="H3" s="8">
        <v>7.246376811594203E-4</v>
      </c>
      <c r="I3" s="7">
        <v>2.6324666630669108E-3</v>
      </c>
      <c r="J3" s="7">
        <f t="shared" ref="J3:P3" si="0">J2+B3</f>
        <v>2.6324666630669108E-3</v>
      </c>
      <c r="K3" s="7">
        <f t="shared" si="0"/>
        <v>1.6131200430165344E-3</v>
      </c>
      <c r="L3" s="7">
        <f t="shared" si="0"/>
        <v>1.1579434923575729E-3</v>
      </c>
      <c r="M3" s="7">
        <f t="shared" si="0"/>
        <v>2.3474178403755869E-3</v>
      </c>
      <c r="N3" s="7">
        <f t="shared" si="0"/>
        <v>2.0839121978327314E-3</v>
      </c>
      <c r="O3" s="7">
        <f t="shared" si="0"/>
        <v>2.5830258302583023E-3</v>
      </c>
      <c r="P3" s="7">
        <f t="shared" si="0"/>
        <v>1.0869565217391304E-3</v>
      </c>
    </row>
    <row r="4" spans="1:16" x14ac:dyDescent="0.3">
      <c r="A4" s="3" t="s">
        <v>8</v>
      </c>
      <c r="B4" s="8">
        <v>1.6660483214976842E-3</v>
      </c>
      <c r="C4" s="8">
        <v>2.1508267240220461E-3</v>
      </c>
      <c r="D4" s="8">
        <v>1.8527095877721167E-3</v>
      </c>
      <c r="E4" s="8">
        <v>2.134016218523261E-3</v>
      </c>
      <c r="F4" s="8">
        <v>3.0564045568213394E-3</v>
      </c>
      <c r="G4" s="8">
        <v>9.225092250922509E-4</v>
      </c>
      <c r="H4" s="8">
        <v>1.0869565217391304E-3</v>
      </c>
      <c r="I4" s="7">
        <v>4.2985149845645946E-3</v>
      </c>
      <c r="J4" s="7">
        <f t="shared" ref="J4:J14" si="1">J3+B4</f>
        <v>4.2985149845645946E-3</v>
      </c>
      <c r="K4" s="7">
        <f t="shared" ref="K4:K14" si="2">K3+C4</f>
        <v>3.7639467670385804E-3</v>
      </c>
      <c r="L4" s="7">
        <f t="shared" ref="L4:L14" si="3">L3+D4</f>
        <v>3.0106530801296896E-3</v>
      </c>
      <c r="M4" s="7">
        <f t="shared" ref="M4:M14" si="4">M3+E4</f>
        <v>4.4814340588988479E-3</v>
      </c>
      <c r="N4" s="7">
        <f t="shared" ref="N4:N14" si="5">N3+F4</f>
        <v>5.1403167546540708E-3</v>
      </c>
      <c r="O4" s="7">
        <f t="shared" ref="O4:O14" si="6">O3+G4</f>
        <v>3.5055350553505533E-3</v>
      </c>
      <c r="P4" s="7">
        <f t="shared" ref="P4:P14" si="7">P3+H4</f>
        <v>2.1739130434782609E-3</v>
      </c>
    </row>
    <row r="5" spans="1:16" x14ac:dyDescent="0.3">
      <c r="A5" s="3" t="s">
        <v>9</v>
      </c>
      <c r="B5" s="8">
        <v>2.2420092676296594E-3</v>
      </c>
      <c r="C5" s="8">
        <v>1.6131200430165346E-3</v>
      </c>
      <c r="D5" s="8">
        <v>2.0842982862436313E-3</v>
      </c>
      <c r="E5" s="8">
        <v>2.3474178403755869E-3</v>
      </c>
      <c r="F5" s="8">
        <v>2.7785495971103086E-3</v>
      </c>
      <c r="G5" s="8">
        <v>1.1070110701107011E-3</v>
      </c>
      <c r="H5" s="8">
        <v>1.0869565217391304E-3</v>
      </c>
      <c r="I5" s="7">
        <v>6.540524252194254E-3</v>
      </c>
      <c r="J5" s="7">
        <f t="shared" si="1"/>
        <v>6.540524252194254E-3</v>
      </c>
      <c r="K5" s="7">
        <f t="shared" si="2"/>
        <v>5.3770668100551148E-3</v>
      </c>
      <c r="L5" s="7">
        <f t="shared" si="3"/>
        <v>5.0949513663733209E-3</v>
      </c>
      <c r="M5" s="7">
        <f t="shared" si="4"/>
        <v>6.8288518992744348E-3</v>
      </c>
      <c r="N5" s="7">
        <f t="shared" si="5"/>
        <v>7.9188663517643799E-3</v>
      </c>
      <c r="O5" s="7">
        <f t="shared" si="6"/>
        <v>4.6125461254612546E-3</v>
      </c>
      <c r="P5" s="7">
        <f t="shared" si="7"/>
        <v>3.2608695652173916E-3</v>
      </c>
    </row>
    <row r="6" spans="1:16" x14ac:dyDescent="0.3">
      <c r="A6" s="3" t="s">
        <v>10</v>
      </c>
      <c r="B6" s="8">
        <v>3.055147679986344E-3</v>
      </c>
      <c r="C6" s="8">
        <v>1.8819733835192902E-3</v>
      </c>
      <c r="D6" s="8">
        <v>3.4738304770727188E-3</v>
      </c>
      <c r="E6" s="8">
        <v>1.7072129748186087E-3</v>
      </c>
      <c r="F6" s="8">
        <v>4.5846068352320092E-3</v>
      </c>
      <c r="G6" s="8">
        <v>2.5830258302583027E-3</v>
      </c>
      <c r="H6" s="8">
        <v>2.8985507246376812E-3</v>
      </c>
      <c r="I6" s="7">
        <v>9.5956719321805984E-3</v>
      </c>
      <c r="J6" s="7">
        <f t="shared" si="1"/>
        <v>9.5956719321805984E-3</v>
      </c>
      <c r="K6" s="7">
        <f t="shared" si="2"/>
        <v>7.2590401935744052E-3</v>
      </c>
      <c r="L6" s="7">
        <f t="shared" si="3"/>
        <v>8.5687818434460397E-3</v>
      </c>
      <c r="M6" s="7">
        <f t="shared" si="4"/>
        <v>8.5360648740930439E-3</v>
      </c>
      <c r="N6" s="7">
        <f t="shared" si="5"/>
        <v>1.2503473186996388E-2</v>
      </c>
      <c r="O6" s="7">
        <f t="shared" si="6"/>
        <v>7.1955719557195569E-3</v>
      </c>
      <c r="P6" s="7">
        <f t="shared" si="7"/>
        <v>6.1594202898550728E-3</v>
      </c>
    </row>
    <row r="7" spans="1:16" x14ac:dyDescent="0.3">
      <c r="A7" s="3" t="s">
        <v>11</v>
      </c>
      <c r="B7" s="8">
        <v>4.7902880907881662E-3</v>
      </c>
      <c r="C7" s="8">
        <v>1.8819733835192902E-3</v>
      </c>
      <c r="D7" s="8">
        <v>3.2422417786012042E-3</v>
      </c>
      <c r="E7" s="8">
        <v>2.3474178403755869E-3</v>
      </c>
      <c r="F7" s="8">
        <v>5.1403167546540708E-3</v>
      </c>
      <c r="G7" s="8">
        <v>4.7970479704797049E-3</v>
      </c>
      <c r="H7" s="8">
        <v>3.9855072463768114E-3</v>
      </c>
      <c r="I7" s="7">
        <v>1.4385960022968765E-2</v>
      </c>
      <c r="J7" s="7">
        <f t="shared" si="1"/>
        <v>1.4385960022968765E-2</v>
      </c>
      <c r="K7" s="7">
        <f t="shared" si="2"/>
        <v>9.1410135770936957E-3</v>
      </c>
      <c r="L7" s="7">
        <f t="shared" si="3"/>
        <v>1.1811023622047244E-2</v>
      </c>
      <c r="M7" s="7">
        <f t="shared" si="4"/>
        <v>1.088348271446863E-2</v>
      </c>
      <c r="N7" s="7">
        <f t="shared" si="5"/>
        <v>1.7643789941650459E-2</v>
      </c>
      <c r="O7" s="7">
        <f t="shared" si="6"/>
        <v>1.1992619926199263E-2</v>
      </c>
      <c r="P7" s="7">
        <f t="shared" si="7"/>
        <v>1.0144927536231883E-2</v>
      </c>
    </row>
    <row r="8" spans="1:16" x14ac:dyDescent="0.3">
      <c r="A8" s="3" t="s">
        <v>12</v>
      </c>
      <c r="B8" s="8">
        <v>6.004334802846594E-3</v>
      </c>
      <c r="C8" s="8">
        <v>1.6131200430165346E-3</v>
      </c>
      <c r="D8" s="8">
        <v>2.0842982862436313E-3</v>
      </c>
      <c r="E8" s="8">
        <v>2.134016218523261E-3</v>
      </c>
      <c r="F8" s="8">
        <v>3.1953320366768546E-3</v>
      </c>
      <c r="G8" s="8">
        <v>2.5830258302583027E-3</v>
      </c>
      <c r="H8" s="8">
        <v>2.8985507246376812E-3</v>
      </c>
      <c r="I8" s="7">
        <v>2.039029482581536E-2</v>
      </c>
      <c r="J8" s="7">
        <f t="shared" si="1"/>
        <v>2.039029482581536E-2</v>
      </c>
      <c r="K8" s="7">
        <f t="shared" si="2"/>
        <v>1.075413362011023E-2</v>
      </c>
      <c r="L8" s="7">
        <f t="shared" si="3"/>
        <v>1.3895321908290875E-2</v>
      </c>
      <c r="M8" s="7">
        <f t="shared" si="4"/>
        <v>1.3017498932991891E-2</v>
      </c>
      <c r="N8" s="7">
        <f t="shared" si="5"/>
        <v>2.0839121978327314E-2</v>
      </c>
      <c r="O8" s="7">
        <f t="shared" si="6"/>
        <v>1.4575645756457565E-2</v>
      </c>
      <c r="P8" s="7">
        <f t="shared" si="7"/>
        <v>1.3043478260869565E-2</v>
      </c>
    </row>
    <row r="9" spans="1:16" x14ac:dyDescent="0.3">
      <c r="A9" s="3" t="s">
        <v>13</v>
      </c>
      <c r="B9" s="8">
        <v>1.3169300584844215E-2</v>
      </c>
      <c r="C9" s="8">
        <v>6.7213335125688939E-3</v>
      </c>
      <c r="D9" s="8">
        <v>7.6424270495599814E-3</v>
      </c>
      <c r="E9" s="8">
        <v>1.0029876227059326E-2</v>
      </c>
      <c r="F9" s="8">
        <v>9.7249235898860791E-3</v>
      </c>
      <c r="G9" s="8">
        <v>1.2177121771217712E-2</v>
      </c>
      <c r="H9" s="8">
        <v>1.5217391304347827E-2</v>
      </c>
      <c r="I9" s="7">
        <v>3.3559595410659573E-2</v>
      </c>
      <c r="J9" s="7">
        <f t="shared" si="1"/>
        <v>3.3559595410659573E-2</v>
      </c>
      <c r="K9" s="7">
        <f t="shared" si="2"/>
        <v>1.7475467132679123E-2</v>
      </c>
      <c r="L9" s="7">
        <f t="shared" si="3"/>
        <v>2.1537748957850857E-2</v>
      </c>
      <c r="M9" s="7">
        <f t="shared" si="4"/>
        <v>2.3047375160051217E-2</v>
      </c>
      <c r="N9" s="7">
        <f t="shared" si="5"/>
        <v>3.0564045568213391E-2</v>
      </c>
      <c r="O9" s="7">
        <f t="shared" si="6"/>
        <v>2.6752767527675275E-2</v>
      </c>
      <c r="P9" s="7">
        <f t="shared" si="7"/>
        <v>2.8260869565217391E-2</v>
      </c>
    </row>
    <row r="10" spans="1:16" x14ac:dyDescent="0.3">
      <c r="A10" s="3" t="s">
        <v>14</v>
      </c>
      <c r="B10" s="8">
        <v>2.8269115429656995E-2</v>
      </c>
      <c r="C10" s="8">
        <v>3.1052560828068287E-2</v>
      </c>
      <c r="D10" s="8">
        <v>3.5433070866141732E-2</v>
      </c>
      <c r="E10" s="8">
        <v>2.8809218950064022E-2</v>
      </c>
      <c r="F10" s="8">
        <v>4.6818560711308695E-2</v>
      </c>
      <c r="G10" s="8">
        <v>4.74169741697417E-2</v>
      </c>
      <c r="H10" s="8">
        <v>5.4710144927536231E-2</v>
      </c>
      <c r="I10" s="7">
        <v>6.1828710840316568E-2</v>
      </c>
      <c r="J10" s="7">
        <f t="shared" si="1"/>
        <v>6.1828710840316568E-2</v>
      </c>
      <c r="K10" s="7">
        <f t="shared" si="2"/>
        <v>4.8528027960747414E-2</v>
      </c>
      <c r="L10" s="7">
        <f t="shared" si="3"/>
        <v>5.6970819823992588E-2</v>
      </c>
      <c r="M10" s="7">
        <f t="shared" si="4"/>
        <v>5.1856594110115242E-2</v>
      </c>
      <c r="N10" s="7">
        <f t="shared" si="5"/>
        <v>7.7382606279522093E-2</v>
      </c>
      <c r="O10" s="7">
        <f t="shared" si="6"/>
        <v>7.4169741697416969E-2</v>
      </c>
      <c r="P10" s="7">
        <f t="shared" si="7"/>
        <v>8.2971014492753625E-2</v>
      </c>
    </row>
    <row r="11" spans="1:16" x14ac:dyDescent="0.3">
      <c r="A11" s="3" t="s">
        <v>15</v>
      </c>
      <c r="B11" s="8">
        <v>4.0026092424313681E-2</v>
      </c>
      <c r="C11" s="8">
        <v>1.707218712192499E-2</v>
      </c>
      <c r="D11" s="8">
        <v>1.7369152385363594E-2</v>
      </c>
      <c r="E11" s="8">
        <v>2.0059752454118653E-2</v>
      </c>
      <c r="F11" s="8">
        <v>1.3614893025840511E-2</v>
      </c>
      <c r="G11" s="8">
        <v>1.1992619926199263E-2</v>
      </c>
      <c r="H11" s="8">
        <v>9.057971014492754E-3</v>
      </c>
      <c r="I11" s="7">
        <v>0.10185480326463026</v>
      </c>
      <c r="J11" s="7">
        <f t="shared" si="1"/>
        <v>0.10185480326463026</v>
      </c>
      <c r="K11" s="7">
        <f t="shared" si="2"/>
        <v>6.56002150826724E-2</v>
      </c>
      <c r="L11" s="7">
        <f t="shared" si="3"/>
        <v>7.4339972209356175E-2</v>
      </c>
      <c r="M11" s="7">
        <f t="shared" si="4"/>
        <v>7.1916346564233902E-2</v>
      </c>
      <c r="N11" s="7">
        <f t="shared" si="5"/>
        <v>9.0997499305362606E-2</v>
      </c>
      <c r="O11" s="7">
        <f t="shared" si="6"/>
        <v>8.6162361623616235E-2</v>
      </c>
      <c r="P11" s="7">
        <f t="shared" si="7"/>
        <v>9.2028985507246377E-2</v>
      </c>
    </row>
    <row r="12" spans="1:16" x14ac:dyDescent="0.3">
      <c r="A12" s="3" t="s">
        <v>16</v>
      </c>
      <c r="B12" s="8">
        <v>6.4361603609974574E-2</v>
      </c>
      <c r="C12" s="8">
        <v>5.7131334856835594E-2</v>
      </c>
      <c r="D12" s="8">
        <v>0.10027790643816582</v>
      </c>
      <c r="E12" s="8">
        <v>6.7434912505335037E-2</v>
      </c>
      <c r="F12" s="8">
        <v>5.9322033898305086E-2</v>
      </c>
      <c r="G12" s="8">
        <v>5.9040590405904057E-2</v>
      </c>
      <c r="H12" s="8">
        <v>6.9202898550724631E-2</v>
      </c>
      <c r="I12" s="7">
        <v>0.16621640687460482</v>
      </c>
      <c r="J12" s="7">
        <f t="shared" si="1"/>
        <v>0.16621640687460482</v>
      </c>
      <c r="K12" s="7">
        <f t="shared" si="2"/>
        <v>0.12273154993950799</v>
      </c>
      <c r="L12" s="7">
        <f t="shared" si="3"/>
        <v>0.17461787864752198</v>
      </c>
      <c r="M12" s="7">
        <f t="shared" si="4"/>
        <v>0.13935125906956894</v>
      </c>
      <c r="N12" s="7">
        <f t="shared" si="5"/>
        <v>0.1503195332036677</v>
      </c>
      <c r="O12" s="7">
        <f t="shared" si="6"/>
        <v>0.1452029520295203</v>
      </c>
      <c r="P12" s="7">
        <f t="shared" si="7"/>
        <v>0.16123188405797101</v>
      </c>
    </row>
    <row r="13" spans="1:16" x14ac:dyDescent="0.3">
      <c r="A13" s="3" t="s">
        <v>17</v>
      </c>
      <c r="B13" s="8">
        <v>9.9113763318371129E-2</v>
      </c>
      <c r="C13" s="8">
        <v>3.5219787605861003E-2</v>
      </c>
      <c r="D13" s="8">
        <v>7.8971746178786481E-2</v>
      </c>
      <c r="E13" s="8">
        <v>8.1519419547588567E-2</v>
      </c>
      <c r="F13" s="8">
        <v>9.2247846624062241E-2</v>
      </c>
      <c r="G13" s="8">
        <v>0.12453874538745388</v>
      </c>
      <c r="H13" s="8">
        <v>0.11449275362318841</v>
      </c>
      <c r="I13" s="7">
        <v>0.26533017019297594</v>
      </c>
      <c r="J13" s="7">
        <f t="shared" si="1"/>
        <v>0.26533017019297594</v>
      </c>
      <c r="K13" s="7">
        <f t="shared" si="2"/>
        <v>0.157951337545369</v>
      </c>
      <c r="L13" s="7">
        <f t="shared" si="3"/>
        <v>0.25358962482630848</v>
      </c>
      <c r="M13" s="7">
        <f t="shared" si="4"/>
        <v>0.22087067861715751</v>
      </c>
      <c r="N13" s="7">
        <f t="shared" si="5"/>
        <v>0.24256737982772994</v>
      </c>
      <c r="O13" s="7">
        <f t="shared" si="6"/>
        <v>0.26974169741697418</v>
      </c>
      <c r="P13" s="7">
        <f t="shared" si="7"/>
        <v>0.2757246376811594</v>
      </c>
    </row>
    <row r="14" spans="1:16" x14ac:dyDescent="0.3">
      <c r="A14" s="3" t="s">
        <v>18</v>
      </c>
      <c r="B14" s="8">
        <v>0.734669829807024</v>
      </c>
      <c r="C14" s="8">
        <v>0.84204866245463095</v>
      </c>
      <c r="D14" s="8">
        <v>0.74641037517369158</v>
      </c>
      <c r="E14" s="8">
        <v>0.77912932138284252</v>
      </c>
      <c r="F14" s="8">
        <v>0.75743262017227009</v>
      </c>
      <c r="G14" s="8">
        <v>0.73025830258302582</v>
      </c>
      <c r="H14" s="8">
        <v>0.7242753623188406</v>
      </c>
      <c r="I14" s="7">
        <v>1</v>
      </c>
      <c r="J14" s="7">
        <f t="shared" si="1"/>
        <v>1</v>
      </c>
      <c r="K14" s="7">
        <f t="shared" si="2"/>
        <v>1</v>
      </c>
      <c r="L14" s="7">
        <f t="shared" si="3"/>
        <v>1</v>
      </c>
      <c r="M14" s="7">
        <f t="shared" si="4"/>
        <v>1</v>
      </c>
      <c r="N14" s="7">
        <f t="shared" si="5"/>
        <v>1</v>
      </c>
      <c r="O14" s="7">
        <f t="shared" si="6"/>
        <v>1</v>
      </c>
      <c r="P14" s="7">
        <f t="shared" si="7"/>
        <v>1</v>
      </c>
    </row>
    <row r="16" spans="1:16" ht="28.8" x14ac:dyDescent="0.3">
      <c r="B16" s="1" t="s">
        <v>99</v>
      </c>
      <c r="C16" s="2" t="s">
        <v>101</v>
      </c>
      <c r="D16" s="2" t="s">
        <v>102</v>
      </c>
      <c r="E16" s="2" t="s">
        <v>103</v>
      </c>
      <c r="F16" s="2" t="s">
        <v>104</v>
      </c>
      <c r="G16" s="2" t="s">
        <v>105</v>
      </c>
      <c r="H16" s="2" t="s">
        <v>106</v>
      </c>
      <c r="I16" s="15"/>
      <c r="J16" s="6"/>
      <c r="K16" s="19" t="s">
        <v>107</v>
      </c>
      <c r="L16" s="19" t="s">
        <v>108</v>
      </c>
      <c r="M16" s="19" t="s">
        <v>109</v>
      </c>
      <c r="N16" s="19" t="s">
        <v>110</v>
      </c>
      <c r="O16" s="19" t="s">
        <v>111</v>
      </c>
      <c r="P16" s="19" t="s">
        <v>112</v>
      </c>
    </row>
    <row r="17" spans="2:16" x14ac:dyDescent="0.3">
      <c r="B17" s="3" t="s">
        <v>6</v>
      </c>
      <c r="C17" s="7">
        <f>C2-$B2</f>
        <v>-2.5506124073215828E-4</v>
      </c>
      <c r="D17" s="7">
        <f t="shared" ref="D17:H17" si="8">D2-$B2</f>
        <v>-5.0128183707725963E-4</v>
      </c>
      <c r="E17" s="7">
        <f t="shared" si="8"/>
        <v>-5.5584306693482518E-4</v>
      </c>
      <c r="F17" s="7">
        <f t="shared" si="8"/>
        <v>-5.0141053321422623E-4</v>
      </c>
      <c r="G17" s="7">
        <f t="shared" si="8"/>
        <v>-4.5804055241800267E-4</v>
      </c>
      <c r="H17" s="7">
        <f t="shared" si="8"/>
        <v>-8.3372909191209324E-4</v>
      </c>
      <c r="I17" s="4"/>
      <c r="J17" s="3" t="s">
        <v>6</v>
      </c>
      <c r="K17" s="6">
        <f>($J2-0) * ((K2+0))</f>
        <v>1.1254651871814254E-6</v>
      </c>
      <c r="L17" s="6">
        <f t="shared" ref="L17:P17" si="9">($J2-0) * ((L2+0))</f>
        <v>8.3097355198596811E-7</v>
      </c>
      <c r="M17" s="6">
        <f t="shared" si="9"/>
        <v>7.6571570582061678E-7</v>
      </c>
      <c r="N17" s="6">
        <f t="shared" si="9"/>
        <v>8.3081962523742946E-7</v>
      </c>
      <c r="O17" s="6">
        <f t="shared" si="9"/>
        <v>8.826922011009619E-7</v>
      </c>
      <c r="P17" s="6">
        <f t="shared" si="9"/>
        <v>4.3335070017818963E-7</v>
      </c>
    </row>
    <row r="18" spans="2:16" x14ac:dyDescent="0.3">
      <c r="B18" s="3" t="s">
        <v>7</v>
      </c>
      <c r="C18" s="7">
        <f t="shared" ref="C18:H29" si="10">C3-$B3</f>
        <v>-7.6428537931821808E-4</v>
      </c>
      <c r="D18" s="7">
        <f t="shared" si="10"/>
        <v>-9.7324133363207825E-4</v>
      </c>
      <c r="E18" s="7">
        <f t="shared" si="10"/>
        <v>2.7079424424350127E-4</v>
      </c>
      <c r="F18" s="7">
        <f t="shared" si="10"/>
        <v>-4.714393201995311E-5</v>
      </c>
      <c r="G18" s="7">
        <f t="shared" si="10"/>
        <v>4.0859971960939437E-4</v>
      </c>
      <c r="H18" s="7">
        <f t="shared" si="10"/>
        <v>-7.1178104941568713E-4</v>
      </c>
      <c r="I18" s="4"/>
      <c r="J18" s="3" t="s">
        <v>7</v>
      </c>
      <c r="K18" s="6">
        <f t="shared" ref="K18:P29" si="11">($J3-$J2) * ((K3+K2))</f>
        <v>3.6687667537205323E-6</v>
      </c>
      <c r="L18" s="6">
        <f t="shared" si="11"/>
        <v>2.6612667541919543E-6</v>
      </c>
      <c r="M18" s="6">
        <f t="shared" si="11"/>
        <v>4.2914772146930229E-6</v>
      </c>
      <c r="N18" s="6">
        <f t="shared" si="11"/>
        <v>3.991160685121166E-6</v>
      </c>
      <c r="O18" s="6">
        <f t="shared" si="11"/>
        <v>4.7703943081830135E-6</v>
      </c>
      <c r="P18" s="6">
        <f t="shared" si="11"/>
        <v>2.0817662761958079E-6</v>
      </c>
    </row>
    <row r="19" spans="2:16" x14ac:dyDescent="0.3">
      <c r="B19" s="3" t="s">
        <v>8</v>
      </c>
      <c r="C19" s="7">
        <f t="shared" si="10"/>
        <v>4.8477840252436188E-4</v>
      </c>
      <c r="D19" s="7">
        <f t="shared" si="10"/>
        <v>1.8666126627443248E-4</v>
      </c>
      <c r="E19" s="7">
        <f t="shared" si="10"/>
        <v>4.6796789702557677E-4</v>
      </c>
      <c r="F19" s="7">
        <f t="shared" si="10"/>
        <v>1.3903562353236552E-3</v>
      </c>
      <c r="G19" s="7">
        <f t="shared" si="10"/>
        <v>-7.4353909640543332E-4</v>
      </c>
      <c r="H19" s="7">
        <f t="shared" si="10"/>
        <v>-5.7909179975855376E-4</v>
      </c>
      <c r="I19" s="4"/>
      <c r="J19" s="3" t="s">
        <v>8</v>
      </c>
      <c r="K19" s="6">
        <f t="shared" si="11"/>
        <v>8.9584531334732297E-6</v>
      </c>
      <c r="L19" s="6">
        <f t="shared" si="11"/>
        <v>6.9450833225934017E-6</v>
      </c>
      <c r="M19" s="6">
        <f t="shared" si="11"/>
        <v>1.1377197244542442E-5</v>
      </c>
      <c r="N19" s="6">
        <f t="shared" si="11"/>
        <v>1.2035914520405607E-5</v>
      </c>
      <c r="O19" s="6">
        <f t="shared" si="11"/>
        <v>1.0143836643805084E-5</v>
      </c>
      <c r="P19" s="6">
        <f t="shared" si="11"/>
        <v>5.432766265753317E-6</v>
      </c>
    </row>
    <row r="20" spans="2:16" x14ac:dyDescent="0.3">
      <c r="B20" s="3" t="s">
        <v>9</v>
      </c>
      <c r="C20" s="7">
        <f t="shared" si="10"/>
        <v>-6.2888922461312485E-4</v>
      </c>
      <c r="D20" s="7">
        <f t="shared" si="10"/>
        <v>-1.5771098138602814E-4</v>
      </c>
      <c r="E20" s="7">
        <f t="shared" si="10"/>
        <v>1.0540857274592749E-4</v>
      </c>
      <c r="F20" s="7">
        <f t="shared" si="10"/>
        <v>5.3654032948064921E-4</v>
      </c>
      <c r="G20" s="7">
        <f t="shared" si="10"/>
        <v>-1.1349981975189583E-3</v>
      </c>
      <c r="H20" s="7">
        <f t="shared" si="10"/>
        <v>-1.155052745890529E-3</v>
      </c>
      <c r="I20" s="4"/>
      <c r="J20" s="3" t="s">
        <v>9</v>
      </c>
      <c r="K20" s="6">
        <f t="shared" si="11"/>
        <v>2.0494237155372611E-5</v>
      </c>
      <c r="L20" s="6">
        <f t="shared" si="11"/>
        <v>1.8172840288799925E-5</v>
      </c>
      <c r="M20" s="6">
        <f t="shared" si="11"/>
        <v>2.5357765937766104E-5</v>
      </c>
      <c r="N20" s="6">
        <f t="shared" si="11"/>
        <v>2.9278809552262852E-5</v>
      </c>
      <c r="O20" s="6">
        <f t="shared" si="11"/>
        <v>1.8200813242750003E-5</v>
      </c>
      <c r="P20" s="6">
        <f t="shared" si="11"/>
        <v>1.2184832976248148E-5</v>
      </c>
    </row>
    <row r="21" spans="2:16" x14ac:dyDescent="0.3">
      <c r="B21" s="3" t="s">
        <v>10</v>
      </c>
      <c r="C21" s="7">
        <f t="shared" si="10"/>
        <v>-1.1731742964670537E-3</v>
      </c>
      <c r="D21" s="7">
        <f t="shared" si="10"/>
        <v>4.1868279708637485E-4</v>
      </c>
      <c r="E21" s="7">
        <f t="shared" si="10"/>
        <v>-1.3479347051677353E-3</v>
      </c>
      <c r="F21" s="7">
        <f t="shared" si="10"/>
        <v>1.5294591552456652E-3</v>
      </c>
      <c r="G21" s="7">
        <f t="shared" si="10"/>
        <v>-4.7212184972804123E-4</v>
      </c>
      <c r="H21" s="7">
        <f t="shared" si="10"/>
        <v>-1.5659695534866276E-4</v>
      </c>
      <c r="I21" s="4"/>
      <c r="J21" s="3" t="s">
        <v>10</v>
      </c>
      <c r="K21" s="6">
        <f t="shared" si="11"/>
        <v>3.8605172996197927E-5</v>
      </c>
      <c r="L21" s="6">
        <f t="shared" si="11"/>
        <v>4.1744722815931985E-5</v>
      </c>
      <c r="M21" s="6">
        <f t="shared" si="11"/>
        <v>4.6942089833336921E-5</v>
      </c>
      <c r="N21" s="6">
        <f t="shared" si="11"/>
        <v>6.2393263261738361E-5</v>
      </c>
      <c r="O21" s="6">
        <f t="shared" si="11"/>
        <v>3.6075544560724363E-5</v>
      </c>
      <c r="P21" s="6">
        <f t="shared" si="11"/>
        <v>2.8780376695523535E-5</v>
      </c>
    </row>
    <row r="22" spans="2:16" x14ac:dyDescent="0.3">
      <c r="B22" s="3" t="s">
        <v>11</v>
      </c>
      <c r="C22" s="7">
        <f t="shared" si="10"/>
        <v>-2.9083147072688758E-3</v>
      </c>
      <c r="D22" s="7">
        <f t="shared" si="10"/>
        <v>-1.548046312186962E-3</v>
      </c>
      <c r="E22" s="7">
        <f t="shared" si="10"/>
        <v>-2.4428702504125793E-3</v>
      </c>
      <c r="F22" s="7">
        <f t="shared" si="10"/>
        <v>3.5002866386590458E-4</v>
      </c>
      <c r="G22" s="7">
        <f t="shared" si="10"/>
        <v>6.7598796915386422E-6</v>
      </c>
      <c r="H22" s="7">
        <f t="shared" si="10"/>
        <v>-8.0478084441135481E-4</v>
      </c>
      <c r="I22" s="4"/>
      <c r="J22" s="3" t="s">
        <v>11</v>
      </c>
      <c r="K22" s="6">
        <f t="shared" si="11"/>
        <v>7.8560982265916967E-5</v>
      </c>
      <c r="L22" s="6">
        <f t="shared" si="11"/>
        <v>9.7625139413932074E-5</v>
      </c>
      <c r="M22" s="6">
        <f t="shared" si="11"/>
        <v>9.302522754198105E-5</v>
      </c>
      <c r="N22" s="6">
        <f t="shared" si="11"/>
        <v>1.4441407553501421E-4</v>
      </c>
      <c r="O22" s="6">
        <f t="shared" si="11"/>
        <v>9.1916967055713915E-5</v>
      </c>
      <c r="P22" s="6">
        <f t="shared" si="11"/>
        <v>7.8102523219372293E-5</v>
      </c>
    </row>
    <row r="23" spans="2:16" x14ac:dyDescent="0.3">
      <c r="B23" s="3" t="s">
        <v>12</v>
      </c>
      <c r="C23" s="7">
        <f t="shared" si="10"/>
        <v>-4.3912147598300592E-3</v>
      </c>
      <c r="D23" s="7">
        <f t="shared" si="10"/>
        <v>-3.9200365166029627E-3</v>
      </c>
      <c r="E23" s="7">
        <f t="shared" si="10"/>
        <v>-3.870318584323333E-3</v>
      </c>
      <c r="F23" s="7">
        <f t="shared" si="10"/>
        <v>-2.8090027661697393E-3</v>
      </c>
      <c r="G23" s="7">
        <f t="shared" si="10"/>
        <v>-3.4213089725882912E-3</v>
      </c>
      <c r="H23" s="7">
        <f t="shared" si="10"/>
        <v>-3.1057840782089128E-3</v>
      </c>
      <c r="I23" s="4"/>
      <c r="J23" s="3" t="s">
        <v>12</v>
      </c>
      <c r="K23" s="6">
        <f t="shared" si="11"/>
        <v>1.1945712472392741E-4</v>
      </c>
      <c r="L23" s="6">
        <f t="shared" si="11"/>
        <v>1.5434950512180918E-4</v>
      </c>
      <c r="M23" s="6">
        <f t="shared" si="11"/>
        <v>1.4350949592804494E-4</v>
      </c>
      <c r="N23" s="6">
        <f t="shared" si="11"/>
        <v>2.3106428735600258E-4</v>
      </c>
      <c r="O23" s="6">
        <f t="shared" si="11"/>
        <v>1.5952476228965124E-4</v>
      </c>
      <c r="P23" s="6">
        <f t="shared" si="11"/>
        <v>1.3923095195006596E-4</v>
      </c>
    </row>
    <row r="24" spans="2:16" x14ac:dyDescent="0.3">
      <c r="B24" s="3" t="s">
        <v>13</v>
      </c>
      <c r="C24" s="7">
        <f t="shared" si="10"/>
        <v>-6.4479670722753209E-3</v>
      </c>
      <c r="D24" s="7">
        <f t="shared" si="10"/>
        <v>-5.5268735352842335E-3</v>
      </c>
      <c r="E24" s="7">
        <f t="shared" si="10"/>
        <v>-3.1394243577848886E-3</v>
      </c>
      <c r="F24" s="7">
        <f t="shared" si="10"/>
        <v>-3.4443769949581357E-3</v>
      </c>
      <c r="G24" s="7">
        <f t="shared" si="10"/>
        <v>-9.9217881362650279E-4</v>
      </c>
      <c r="H24" s="7">
        <f t="shared" si="10"/>
        <v>2.0480907195036119E-3</v>
      </c>
      <c r="I24" s="4"/>
      <c r="J24" s="3" t="s">
        <v>13</v>
      </c>
      <c r="K24" s="6">
        <f t="shared" si="11"/>
        <v>3.7176409770362743E-4</v>
      </c>
      <c r="L24" s="6">
        <f t="shared" si="11"/>
        <v>4.6662876088030675E-4</v>
      </c>
      <c r="M24" s="6">
        <f t="shared" si="11"/>
        <v>4.7494916748584557E-4</v>
      </c>
      <c r="N24" s="6">
        <f t="shared" si="11"/>
        <v>6.7694376443350353E-4</v>
      </c>
      <c r="O24" s="6">
        <f t="shared" si="11"/>
        <v>5.4426629723341394E-4</v>
      </c>
      <c r="P24" s="6">
        <f t="shared" si="11"/>
        <v>5.4394937198269568E-4</v>
      </c>
    </row>
    <row r="25" spans="2:16" x14ac:dyDescent="0.3">
      <c r="B25" s="3" t="s">
        <v>14</v>
      </c>
      <c r="C25" s="7">
        <f t="shared" si="10"/>
        <v>2.7834453984112925E-3</v>
      </c>
      <c r="D25" s="7">
        <f t="shared" si="10"/>
        <v>7.1639554364847369E-3</v>
      </c>
      <c r="E25" s="7">
        <f t="shared" si="10"/>
        <v>5.4010352040702661E-4</v>
      </c>
      <c r="F25" s="7">
        <f>F10-$B10</f>
        <v>1.85494452816517E-2</v>
      </c>
      <c r="G25" s="7">
        <f t="shared" si="10"/>
        <v>1.9147858740084706E-2</v>
      </c>
      <c r="H25" s="7">
        <f t="shared" si="10"/>
        <v>2.6441029497879236E-2</v>
      </c>
      <c r="I25" s="4"/>
      <c r="J25" s="3" t="s">
        <v>14</v>
      </c>
      <c r="K25" s="6">
        <f t="shared" si="11"/>
        <v>1.865860421556874E-3</v>
      </c>
      <c r="L25" s="6">
        <f t="shared" si="11"/>
        <v>2.2193677931110984E-3</v>
      </c>
      <c r="M25" s="6">
        <f t="shared" si="11"/>
        <v>2.1174689534378161E-3</v>
      </c>
      <c r="N25" s="6">
        <f t="shared" si="11"/>
        <v>3.0515563613286311E-3</v>
      </c>
      <c r="O25" s="6">
        <f t="shared" si="11"/>
        <v>2.8529900627347555E-3</v>
      </c>
      <c r="P25" s="6">
        <f t="shared" si="11"/>
        <v>3.1444269698930063E-3</v>
      </c>
    </row>
    <row r="26" spans="2:16" x14ac:dyDescent="0.3">
      <c r="B26" s="3" t="s">
        <v>15</v>
      </c>
      <c r="C26" s="7">
        <f t="shared" si="10"/>
        <v>-2.2953905302388691E-2</v>
      </c>
      <c r="D26" s="7">
        <f t="shared" si="10"/>
        <v>-2.2656940038950087E-2</v>
      </c>
      <c r="E26" s="7">
        <f t="shared" si="10"/>
        <v>-1.9966339970195028E-2</v>
      </c>
      <c r="F26" s="7">
        <f t="shared" si="10"/>
        <v>-2.6411199398473167E-2</v>
      </c>
      <c r="G26" s="7">
        <f t="shared" si="10"/>
        <v>-2.8033472498114418E-2</v>
      </c>
      <c r="H26" s="7">
        <f t="shared" si="10"/>
        <v>-3.0968121409820928E-2</v>
      </c>
      <c r="I26" s="4"/>
      <c r="J26" s="3" t="s">
        <v>15</v>
      </c>
      <c r="K26" s="6">
        <f t="shared" si="11"/>
        <v>4.5681076042804573E-3</v>
      </c>
      <c r="L26" s="6">
        <f t="shared" si="11"/>
        <v>5.2558578982366518E-3</v>
      </c>
      <c r="M26" s="6">
        <f t="shared" si="11"/>
        <v>4.9541471630605936E-3</v>
      </c>
      <c r="N26" s="6">
        <f t="shared" si="11"/>
        <v>6.7395976685562919E-3</v>
      </c>
      <c r="O26" s="6">
        <f t="shared" si="11"/>
        <v>6.4174675861122868E-3</v>
      </c>
      <c r="P26" s="6">
        <f t="shared" si="11"/>
        <v>7.0045661742548946E-3</v>
      </c>
    </row>
    <row r="27" spans="2:16" x14ac:dyDescent="0.3">
      <c r="B27" s="3" t="s">
        <v>16</v>
      </c>
      <c r="C27" s="7">
        <f t="shared" si="10"/>
        <v>-7.2302687531389798E-3</v>
      </c>
      <c r="D27" s="7">
        <f t="shared" si="10"/>
        <v>3.5916302828191249E-2</v>
      </c>
      <c r="E27" s="7">
        <f t="shared" si="10"/>
        <v>3.0733088953604631E-3</v>
      </c>
      <c r="F27" s="7">
        <f t="shared" si="10"/>
        <v>-5.0395697116694879E-3</v>
      </c>
      <c r="G27" s="7">
        <f t="shared" si="10"/>
        <v>-5.3210132040705169E-3</v>
      </c>
      <c r="H27" s="7">
        <f t="shared" si="10"/>
        <v>4.8412949407500572E-3</v>
      </c>
      <c r="I27" s="4"/>
      <c r="J27" s="3" t="s">
        <v>16</v>
      </c>
      <c r="K27" s="6">
        <f t="shared" si="11"/>
        <v>1.2121334407524447E-2</v>
      </c>
      <c r="L27" s="6">
        <f t="shared" si="11"/>
        <v>1.6023326512441559E-2</v>
      </c>
      <c r="M27" s="6">
        <f t="shared" si="11"/>
        <v>1.3597521889431247E-2</v>
      </c>
      <c r="N27" s="6">
        <f t="shared" si="11"/>
        <v>1.5531551190681553E-2</v>
      </c>
      <c r="O27" s="6">
        <f t="shared" si="11"/>
        <v>1.4891042606440608E-2</v>
      </c>
      <c r="P27" s="6">
        <f t="shared" si="11"/>
        <v>1.6300275696873992E-2</v>
      </c>
    </row>
    <row r="28" spans="2:16" x14ac:dyDescent="0.3">
      <c r="B28" s="3" t="s">
        <v>17</v>
      </c>
      <c r="C28" s="7">
        <f t="shared" si="10"/>
        <v>-6.3893975712510126E-2</v>
      </c>
      <c r="D28" s="7">
        <f t="shared" si="10"/>
        <v>-2.0142017139584648E-2</v>
      </c>
      <c r="E28" s="7">
        <f t="shared" si="10"/>
        <v>-1.7594343770782561E-2</v>
      </c>
      <c r="F28" s="7">
        <f t="shared" si="10"/>
        <v>-6.8659166943088878E-3</v>
      </c>
      <c r="G28" s="7">
        <f t="shared" si="10"/>
        <v>2.5424982069082752E-2</v>
      </c>
      <c r="H28" s="7">
        <f t="shared" si="10"/>
        <v>1.5378990304817278E-2</v>
      </c>
      <c r="I28" s="4"/>
      <c r="J28" s="3" t="s">
        <v>17</v>
      </c>
      <c r="K28" s="6">
        <f t="shared" si="11"/>
        <v>2.7819537277693096E-2</v>
      </c>
      <c r="L28" s="6">
        <f t="shared" si="11"/>
        <v>4.2441257150455818E-2</v>
      </c>
      <c r="M28" s="6">
        <f t="shared" si="11"/>
        <v>3.5702951873967236E-2</v>
      </c>
      <c r="N28" s="6">
        <f t="shared" si="11"/>
        <v>3.8940500509079407E-2</v>
      </c>
      <c r="O28" s="6">
        <f t="shared" si="11"/>
        <v>4.1126725775464328E-2</v>
      </c>
      <c r="P28" s="6">
        <f t="shared" si="11"/>
        <v>4.3308405276070862E-2</v>
      </c>
    </row>
    <row r="29" spans="2:16" x14ac:dyDescent="0.3">
      <c r="B29" s="3" t="s">
        <v>18</v>
      </c>
      <c r="C29" s="7">
        <f t="shared" si="10"/>
        <v>0.10737883264760695</v>
      </c>
      <c r="D29" s="7">
        <f t="shared" si="10"/>
        <v>1.1740545366667576E-2</v>
      </c>
      <c r="E29" s="7">
        <f t="shared" si="10"/>
        <v>4.4459491575818522E-2</v>
      </c>
      <c r="F29" s="7">
        <f t="shared" si="10"/>
        <v>2.2762790365246088E-2</v>
      </c>
      <c r="G29" s="7">
        <f t="shared" si="10"/>
        <v>-4.4115272239981795E-3</v>
      </c>
      <c r="H29" s="7">
        <f t="shared" si="10"/>
        <v>-1.0394467488183401E-2</v>
      </c>
      <c r="I29" s="4"/>
      <c r="J29" s="3" t="s">
        <v>18</v>
      </c>
      <c r="K29" s="6">
        <f t="shared" si="11"/>
        <v>0.85071191207927199</v>
      </c>
      <c r="L29" s="6">
        <f t="shared" si="11"/>
        <v>0.92097447631899521</v>
      </c>
      <c r="M29" s="6">
        <f t="shared" si="11"/>
        <v>0.89693685367605303</v>
      </c>
      <c r="N29" s="6">
        <f t="shared" si="11"/>
        <v>0.91287676546179808</v>
      </c>
      <c r="O29" s="6">
        <f t="shared" si="11"/>
        <v>0.93284091674021019</v>
      </c>
      <c r="P29" s="6">
        <f t="shared" si="11"/>
        <v>0.93723640244584461</v>
      </c>
    </row>
    <row r="30" spans="2:16" x14ac:dyDescent="0.3">
      <c r="J30" s="20" t="s">
        <v>114</v>
      </c>
      <c r="K30" s="19">
        <f>SUM(K17:K29)</f>
        <v>0.89772938609024633</v>
      </c>
      <c r="L30" s="19">
        <f t="shared" ref="L30:P30" si="12">SUM(L17:L29)</f>
        <v>0.98770324396538989</v>
      </c>
      <c r="M30" s="19">
        <f t="shared" si="12"/>
        <v>0.95410916169284199</v>
      </c>
      <c r="N30" s="19">
        <f t="shared" si="12"/>
        <v>0.97830092328641327</v>
      </c>
      <c r="O30" s="19">
        <f t="shared" si="12"/>
        <v>0.99899492407849755</v>
      </c>
      <c r="P30" s="19">
        <f t="shared" si="12"/>
        <v>1.0078042725030034</v>
      </c>
    </row>
    <row r="31" spans="2:16" x14ac:dyDescent="0.3">
      <c r="J31" s="23" t="s">
        <v>113</v>
      </c>
      <c r="K31" s="24">
        <f>1-K30</f>
        <v>0.10227061390975367</v>
      </c>
      <c r="L31" s="24">
        <f t="shared" ref="L31:P31" si="13">1-L30</f>
        <v>1.2296756034610112E-2</v>
      </c>
      <c r="M31" s="24">
        <f t="shared" si="13"/>
        <v>4.5890838307158011E-2</v>
      </c>
      <c r="N31" s="24">
        <f t="shared" si="13"/>
        <v>2.1699076713586729E-2</v>
      </c>
      <c r="O31" s="24">
        <f t="shared" si="13"/>
        <v>1.0050759215024518E-3</v>
      </c>
      <c r="P31" s="24">
        <f t="shared" si="13"/>
        <v>-7.8042725030034177E-3</v>
      </c>
    </row>
    <row r="32" spans="2:16" x14ac:dyDescent="0.3">
      <c r="B32" s="21"/>
      <c r="C32" s="22"/>
      <c r="D32" s="22"/>
      <c r="E32" s="22"/>
      <c r="F32" s="22"/>
      <c r="G32" s="22"/>
    </row>
    <row r="33" spans="2:2" x14ac:dyDescent="0.3">
      <c r="B33" s="22"/>
    </row>
  </sheetData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53EB-D70A-4E24-BC32-8125C2093B7E}">
  <dimension ref="A1:P934"/>
  <sheetViews>
    <sheetView zoomScale="73" workbookViewId="0">
      <selection activeCell="D35" sqref="D35"/>
    </sheetView>
  </sheetViews>
  <sheetFormatPr defaultRowHeight="14.4" x14ac:dyDescent="0.3"/>
  <cols>
    <col min="1" max="1" width="32" customWidth="1"/>
    <col min="2" max="6" width="10.6640625" style="5" customWidth="1"/>
    <col min="7" max="7" width="14" style="9" customWidth="1"/>
    <col min="8" max="8" width="10.6640625" style="9" customWidth="1"/>
    <col min="10" max="10" width="18.77734375" customWidth="1"/>
    <col min="11" max="14" width="10.6640625" customWidth="1"/>
    <col min="15" max="15" width="14.21875" customWidth="1"/>
    <col min="16" max="16" width="10.6640625" customWidth="1"/>
  </cols>
  <sheetData>
    <row r="1" spans="1:16" ht="23.4" customHeight="1" x14ac:dyDescent="0.3">
      <c r="A1" s="1" t="s">
        <v>99</v>
      </c>
      <c r="B1" s="10" t="s">
        <v>98</v>
      </c>
      <c r="C1" s="2" t="s">
        <v>0</v>
      </c>
      <c r="D1" s="2" t="s">
        <v>1</v>
      </c>
      <c r="E1" s="2" t="s">
        <v>2</v>
      </c>
      <c r="F1" s="10" t="s">
        <v>3</v>
      </c>
      <c r="G1" s="2" t="s">
        <v>4</v>
      </c>
      <c r="H1" s="2" t="s">
        <v>5</v>
      </c>
      <c r="I1" s="13" t="s">
        <v>98</v>
      </c>
      <c r="J1" s="11" t="s">
        <v>98</v>
      </c>
      <c r="K1" s="12" t="s">
        <v>0</v>
      </c>
      <c r="L1" s="12" t="s">
        <v>1</v>
      </c>
      <c r="M1" s="12" t="s">
        <v>2</v>
      </c>
      <c r="N1" s="11" t="s">
        <v>3</v>
      </c>
      <c r="O1" s="12" t="s">
        <v>4</v>
      </c>
      <c r="P1" s="12" t="s">
        <v>5</v>
      </c>
    </row>
    <row r="2" spans="1:16" x14ac:dyDescent="0.3">
      <c r="A2" s="3" t="s">
        <v>29</v>
      </c>
      <c r="B2" s="8">
        <v>6.7411848362175977E-3</v>
      </c>
      <c r="C2" s="8">
        <v>7.6335877862595417E-3</v>
      </c>
      <c r="D2" s="8">
        <v>1.9963702359346643E-2</v>
      </c>
      <c r="E2" s="8">
        <v>1.3483146067415731E-2</v>
      </c>
      <c r="F2" s="8">
        <v>7.0754716981132077E-3</v>
      </c>
      <c r="G2" s="8">
        <v>9.8452883263009851E-3</v>
      </c>
      <c r="H2" s="8">
        <v>1.4705882352941176E-2</v>
      </c>
      <c r="I2" s="8">
        <v>6.7411848362175977E-3</v>
      </c>
      <c r="J2" s="8">
        <v>6.7411848362175977E-3</v>
      </c>
      <c r="K2" s="8">
        <v>7.6335877862595417E-3</v>
      </c>
      <c r="L2" s="8">
        <v>1.9963702359346643E-2</v>
      </c>
      <c r="M2" s="8">
        <v>1.3483146067415731E-2</v>
      </c>
      <c r="N2" s="8">
        <v>7.0754716981132077E-3</v>
      </c>
      <c r="O2" s="8">
        <v>9.8452883263009851E-3</v>
      </c>
      <c r="P2" s="8">
        <v>1.4705882352941176E-2</v>
      </c>
    </row>
    <row r="3" spans="1:16" x14ac:dyDescent="0.3">
      <c r="A3" s="3" t="s">
        <v>22</v>
      </c>
      <c r="B3" s="8">
        <v>6.7920718095541635E-3</v>
      </c>
      <c r="C3" s="8">
        <v>4.5801526717557254E-3</v>
      </c>
      <c r="D3" s="8">
        <v>7.2595281306715061E-3</v>
      </c>
      <c r="E3" s="8">
        <v>4.4943820224719105E-3</v>
      </c>
      <c r="F3" s="8">
        <v>4.7169811320754715E-3</v>
      </c>
      <c r="G3" s="8">
        <v>1.1251758087201125E-2</v>
      </c>
      <c r="H3" s="8">
        <v>5.8823529411764705E-3</v>
      </c>
      <c r="I3" s="8">
        <v>1.3533256645771761E-2</v>
      </c>
      <c r="J3" s="8">
        <f t="shared" ref="J3:P3" si="0">J2+B3</f>
        <v>1.3533256645771761E-2</v>
      </c>
      <c r="K3" s="8">
        <f t="shared" si="0"/>
        <v>1.2213740458015267E-2</v>
      </c>
      <c r="L3" s="8">
        <f t="shared" si="0"/>
        <v>2.7223230490018149E-2</v>
      </c>
      <c r="M3" s="8">
        <f t="shared" si="0"/>
        <v>1.7977528089887642E-2</v>
      </c>
      <c r="N3" s="8">
        <f t="shared" si="0"/>
        <v>1.179245283018868E-2</v>
      </c>
      <c r="O3" s="8">
        <f t="shared" si="0"/>
        <v>2.1097046413502109E-2</v>
      </c>
      <c r="P3" s="8">
        <f t="shared" si="0"/>
        <v>2.0588235294117647E-2</v>
      </c>
    </row>
    <row r="4" spans="1:16" x14ac:dyDescent="0.3">
      <c r="A4" s="3" t="s">
        <v>30</v>
      </c>
      <c r="B4" s="8">
        <v>7.9330113169950433E-3</v>
      </c>
      <c r="C4" s="8">
        <v>6.1068702290076335E-3</v>
      </c>
      <c r="D4" s="8">
        <v>1.2704174228675136E-2</v>
      </c>
      <c r="E4" s="8">
        <v>1.1235955056179775E-2</v>
      </c>
      <c r="F4" s="8">
        <v>1.0613207547169811E-2</v>
      </c>
      <c r="G4" s="8">
        <v>8.4388185654008432E-3</v>
      </c>
      <c r="H4" s="8">
        <v>1.4705882352941176E-2</v>
      </c>
      <c r="I4" s="8">
        <v>2.1466267962766804E-2</v>
      </c>
      <c r="J4" s="8">
        <f t="shared" ref="J4:J14" si="1">J3+B4</f>
        <v>2.1466267962766804E-2</v>
      </c>
      <c r="K4" s="8">
        <f t="shared" ref="K4:K14" si="2">K3+C4</f>
        <v>1.8320610687022901E-2</v>
      </c>
      <c r="L4" s="8">
        <f t="shared" ref="L4:L14" si="3">L3+D4</f>
        <v>3.9927404718693285E-2</v>
      </c>
      <c r="M4" s="8">
        <f t="shared" ref="M4:M14" si="4">M3+E4</f>
        <v>2.9213483146067417E-2</v>
      </c>
      <c r="N4" s="8">
        <f t="shared" ref="N4:N14" si="5">N3+F4</f>
        <v>2.2405660377358493E-2</v>
      </c>
      <c r="O4" s="8">
        <f t="shared" ref="O4:O14" si="6">O3+G4</f>
        <v>2.9535864978902954E-2</v>
      </c>
      <c r="P4" s="8">
        <f t="shared" ref="P4:P14" si="7">P3+H4</f>
        <v>3.5294117647058823E-2</v>
      </c>
    </row>
    <row r="5" spans="1:16" x14ac:dyDescent="0.3">
      <c r="A5" s="3" t="s">
        <v>20</v>
      </c>
      <c r="B5" s="8">
        <v>9.1757247711090548E-3</v>
      </c>
      <c r="C5" s="8">
        <v>2.2900763358778626E-2</v>
      </c>
      <c r="D5" s="8">
        <v>1.6333938294010888E-2</v>
      </c>
      <c r="E5" s="8">
        <v>2.247191011235955E-2</v>
      </c>
      <c r="F5" s="8">
        <v>1.2971698113207548E-2</v>
      </c>
      <c r="G5" s="8">
        <v>1.5471167369901548E-2</v>
      </c>
      <c r="H5" s="8">
        <v>8.8235294117647058E-3</v>
      </c>
      <c r="I5" s="8">
        <v>3.0641992733875859E-2</v>
      </c>
      <c r="J5" s="8">
        <f t="shared" si="1"/>
        <v>3.0641992733875859E-2</v>
      </c>
      <c r="K5" s="8">
        <f t="shared" si="2"/>
        <v>4.1221374045801527E-2</v>
      </c>
      <c r="L5" s="8">
        <f t="shared" si="3"/>
        <v>5.6261343012704176E-2</v>
      </c>
      <c r="M5" s="8">
        <f t="shared" si="4"/>
        <v>5.168539325842697E-2</v>
      </c>
      <c r="N5" s="8">
        <f t="shared" si="5"/>
        <v>3.5377358490566044E-2</v>
      </c>
      <c r="O5" s="8">
        <f t="shared" si="6"/>
        <v>4.5007032348804502E-2</v>
      </c>
      <c r="P5" s="8">
        <f t="shared" si="7"/>
        <v>4.4117647058823525E-2</v>
      </c>
    </row>
    <row r="6" spans="1:16" x14ac:dyDescent="0.3">
      <c r="A6" s="3" t="s">
        <v>24</v>
      </c>
      <c r="B6" s="8">
        <v>1.0180072929067576E-2</v>
      </c>
      <c r="C6" s="8">
        <v>4.5801526717557254E-3</v>
      </c>
      <c r="D6" s="8">
        <v>1.0889292196007259E-2</v>
      </c>
      <c r="E6" s="8">
        <v>6.7415730337078653E-3</v>
      </c>
      <c r="F6" s="8">
        <v>8.2547169811320754E-3</v>
      </c>
      <c r="G6" s="8">
        <v>5.6258790436005627E-3</v>
      </c>
      <c r="H6" s="8">
        <v>2.3529411764705882E-2</v>
      </c>
      <c r="I6" s="8">
        <v>4.0822065662943434E-2</v>
      </c>
      <c r="J6" s="8">
        <f t="shared" si="1"/>
        <v>4.0822065662943434E-2</v>
      </c>
      <c r="K6" s="8">
        <f t="shared" si="2"/>
        <v>4.5801526717557252E-2</v>
      </c>
      <c r="L6" s="8">
        <f t="shared" si="3"/>
        <v>6.7150635208711437E-2</v>
      </c>
      <c r="M6" s="8">
        <f t="shared" si="4"/>
        <v>5.8426966292134834E-2</v>
      </c>
      <c r="N6" s="8">
        <f t="shared" si="5"/>
        <v>4.3632075471698117E-2</v>
      </c>
      <c r="O6" s="8">
        <f t="shared" si="6"/>
        <v>5.0632911392405063E-2</v>
      </c>
      <c r="P6" s="8">
        <f t="shared" si="7"/>
        <v>6.7647058823529407E-2</v>
      </c>
    </row>
    <row r="7" spans="1:16" x14ac:dyDescent="0.3">
      <c r="A7" s="3" t="s">
        <v>27</v>
      </c>
      <c r="B7" s="8">
        <v>2.1177015693274751E-2</v>
      </c>
      <c r="C7" s="8">
        <v>2.5954198473282442E-2</v>
      </c>
      <c r="D7" s="8">
        <v>3.9927404718693285E-2</v>
      </c>
      <c r="E7" s="8">
        <v>8.988764044943821E-3</v>
      </c>
      <c r="F7" s="8">
        <v>1.179245283018868E-2</v>
      </c>
      <c r="G7" s="8">
        <v>1.6877637130801686E-2</v>
      </c>
      <c r="H7" s="8">
        <v>1.4705882352941176E-2</v>
      </c>
      <c r="I7" s="8">
        <v>6.1999081356218184E-2</v>
      </c>
      <c r="J7" s="8">
        <f t="shared" si="1"/>
        <v>6.1999081356218184E-2</v>
      </c>
      <c r="K7" s="8">
        <f t="shared" si="2"/>
        <v>7.1755725190839698E-2</v>
      </c>
      <c r="L7" s="8">
        <f t="shared" si="3"/>
        <v>0.10707803992740472</v>
      </c>
      <c r="M7" s="8">
        <f t="shared" si="4"/>
        <v>6.741573033707865E-2</v>
      </c>
      <c r="N7" s="8">
        <f t="shared" si="5"/>
        <v>5.5424528301886794E-2</v>
      </c>
      <c r="O7" s="8">
        <f t="shared" si="6"/>
        <v>6.7510548523206745E-2</v>
      </c>
      <c r="P7" s="8">
        <f t="shared" si="7"/>
        <v>8.2352941176470587E-2</v>
      </c>
    </row>
    <row r="8" spans="1:16" x14ac:dyDescent="0.3">
      <c r="A8" s="3" t="s">
        <v>26</v>
      </c>
      <c r="B8" s="8">
        <v>3.7258638398506599E-2</v>
      </c>
      <c r="C8" s="8">
        <v>3.2061068702290078E-2</v>
      </c>
      <c r="D8" s="8">
        <v>2.3593466424682397E-2</v>
      </c>
      <c r="E8" s="8">
        <v>4.2696629213483148E-2</v>
      </c>
      <c r="F8" s="8">
        <v>3.3018867924528301E-2</v>
      </c>
      <c r="G8" s="8">
        <v>1.6877637130801686E-2</v>
      </c>
      <c r="H8" s="8">
        <v>3.2352941176470591E-2</v>
      </c>
      <c r="I8" s="8">
        <v>9.9257719754724777E-2</v>
      </c>
      <c r="J8" s="8">
        <f t="shared" si="1"/>
        <v>9.9257719754724777E-2</v>
      </c>
      <c r="K8" s="8">
        <f t="shared" si="2"/>
        <v>0.10381679389312978</v>
      </c>
      <c r="L8" s="8">
        <f t="shared" si="3"/>
        <v>0.13067150635208713</v>
      </c>
      <c r="M8" s="8">
        <f t="shared" si="4"/>
        <v>0.1101123595505618</v>
      </c>
      <c r="N8" s="8">
        <f t="shared" si="5"/>
        <v>8.8443396226415089E-2</v>
      </c>
      <c r="O8" s="8">
        <f t="shared" si="6"/>
        <v>8.4388185654008435E-2</v>
      </c>
      <c r="P8" s="8">
        <f t="shared" si="7"/>
        <v>0.11470588235294119</v>
      </c>
    </row>
    <row r="9" spans="1:16" x14ac:dyDescent="0.3">
      <c r="A9" s="3" t="s">
        <v>28</v>
      </c>
      <c r="B9" s="8">
        <v>4.2358048779181333E-2</v>
      </c>
      <c r="C9" s="8">
        <v>2.9007633587786259E-2</v>
      </c>
      <c r="D9" s="8">
        <v>5.6261343012704176E-2</v>
      </c>
      <c r="E9" s="8">
        <v>3.8202247191011236E-2</v>
      </c>
      <c r="F9" s="8">
        <v>6.9575471698113206E-2</v>
      </c>
      <c r="G9" s="8">
        <v>8.8607594936708861E-2</v>
      </c>
      <c r="H9" s="8">
        <v>5.5882352941176473E-2</v>
      </c>
      <c r="I9" s="8">
        <v>0.14161576853390612</v>
      </c>
      <c r="J9" s="8">
        <f t="shared" si="1"/>
        <v>0.14161576853390612</v>
      </c>
      <c r="K9" s="8">
        <f t="shared" si="2"/>
        <v>0.13282442748091605</v>
      </c>
      <c r="L9" s="8">
        <f t="shared" si="3"/>
        <v>0.18693284936479132</v>
      </c>
      <c r="M9" s="8">
        <f t="shared" si="4"/>
        <v>0.14831460674157304</v>
      </c>
      <c r="N9" s="8">
        <f t="shared" si="5"/>
        <v>0.15801886792452829</v>
      </c>
      <c r="O9" s="8">
        <f t="shared" si="6"/>
        <v>0.1729957805907173</v>
      </c>
      <c r="P9" s="8">
        <f t="shared" si="7"/>
        <v>0.17058823529411765</v>
      </c>
    </row>
    <row r="10" spans="1:16" x14ac:dyDescent="0.3">
      <c r="A10" s="3" t="s">
        <v>31</v>
      </c>
      <c r="B10" s="8">
        <v>4.378422316348244E-2</v>
      </c>
      <c r="C10" s="8">
        <v>2.748091603053435E-2</v>
      </c>
      <c r="D10" s="8">
        <v>3.6297640653357534E-2</v>
      </c>
      <c r="E10" s="8">
        <v>3.5955056179775284E-2</v>
      </c>
      <c r="F10" s="8">
        <v>2.8301886792452831E-2</v>
      </c>
      <c r="G10" s="8">
        <v>2.2503516174402251E-2</v>
      </c>
      <c r="H10" s="8">
        <v>2.0588235294117647E-2</v>
      </c>
      <c r="I10" s="8">
        <v>0.18539999169738855</v>
      </c>
      <c r="J10" s="8">
        <f t="shared" si="1"/>
        <v>0.18539999169738855</v>
      </c>
      <c r="K10" s="8">
        <f t="shared" si="2"/>
        <v>0.1603053435114504</v>
      </c>
      <c r="L10" s="8">
        <f t="shared" si="3"/>
        <v>0.22323049001814885</v>
      </c>
      <c r="M10" s="8">
        <f t="shared" si="4"/>
        <v>0.18426966292134833</v>
      </c>
      <c r="N10" s="8">
        <f t="shared" si="5"/>
        <v>0.18632075471698112</v>
      </c>
      <c r="O10" s="8">
        <f t="shared" si="6"/>
        <v>0.19549929676511954</v>
      </c>
      <c r="P10" s="8">
        <f t="shared" si="7"/>
        <v>0.19117647058823531</v>
      </c>
    </row>
    <row r="11" spans="1:16" x14ac:dyDescent="0.3">
      <c r="A11" s="3" t="s">
        <v>21</v>
      </c>
      <c r="B11" s="8">
        <v>5.5182905190873016E-2</v>
      </c>
      <c r="C11" s="8">
        <v>5.9541984732824425E-2</v>
      </c>
      <c r="D11" s="8">
        <v>9.6188747731397461E-2</v>
      </c>
      <c r="E11" s="8">
        <v>6.9662921348314602E-2</v>
      </c>
      <c r="F11" s="8">
        <v>0.12382075471698113</v>
      </c>
      <c r="G11" s="8">
        <v>0.10970464135021098</v>
      </c>
      <c r="H11" s="8">
        <v>0.1588235294117647</v>
      </c>
      <c r="I11" s="8">
        <v>0.24058289688826157</v>
      </c>
      <c r="J11" s="8">
        <f t="shared" si="1"/>
        <v>0.24058289688826157</v>
      </c>
      <c r="K11" s="8">
        <f t="shared" si="2"/>
        <v>0.21984732824427483</v>
      </c>
      <c r="L11" s="8">
        <f t="shared" si="3"/>
        <v>0.31941923774954628</v>
      </c>
      <c r="M11" s="8">
        <f t="shared" si="4"/>
        <v>0.25393258426966292</v>
      </c>
      <c r="N11" s="8">
        <f t="shared" si="5"/>
        <v>0.31014150943396224</v>
      </c>
      <c r="O11" s="8">
        <f t="shared" si="6"/>
        <v>0.30520393811533053</v>
      </c>
      <c r="P11" s="8">
        <f t="shared" si="7"/>
        <v>0.35</v>
      </c>
    </row>
    <row r="12" spans="1:16" x14ac:dyDescent="0.3">
      <c r="A12" s="3" t="s">
        <v>25</v>
      </c>
      <c r="B12" s="8">
        <v>5.9673011022386251E-2</v>
      </c>
      <c r="C12" s="8">
        <v>4.8854961832061068E-2</v>
      </c>
      <c r="D12" s="8">
        <v>4.9001814882032667E-2</v>
      </c>
      <c r="E12" s="8">
        <v>6.741573033707865E-2</v>
      </c>
      <c r="F12" s="8">
        <v>4.4811320754716978E-2</v>
      </c>
      <c r="G12" s="8">
        <v>2.8129395218002812E-2</v>
      </c>
      <c r="H12" s="8">
        <v>4.4117647058823532E-2</v>
      </c>
      <c r="I12" s="8">
        <v>0.30025590791064782</v>
      </c>
      <c r="J12" s="8">
        <f t="shared" si="1"/>
        <v>0.30025590791064782</v>
      </c>
      <c r="K12" s="8">
        <f t="shared" si="2"/>
        <v>0.26870229007633589</v>
      </c>
      <c r="L12" s="8">
        <f t="shared" si="3"/>
        <v>0.36842105263157893</v>
      </c>
      <c r="M12" s="8">
        <f t="shared" si="4"/>
        <v>0.32134831460674157</v>
      </c>
      <c r="N12" s="8">
        <f t="shared" si="5"/>
        <v>0.35495283018867924</v>
      </c>
      <c r="O12" s="8">
        <f t="shared" si="6"/>
        <v>0.33333333333333337</v>
      </c>
      <c r="P12" s="8">
        <f t="shared" si="7"/>
        <v>0.39411764705882352</v>
      </c>
    </row>
    <row r="13" spans="1:16" x14ac:dyDescent="0.3">
      <c r="A13" s="3" t="s">
        <v>23</v>
      </c>
      <c r="B13" s="8">
        <v>9.7103058173184445E-2</v>
      </c>
      <c r="C13" s="8">
        <v>9.9236641221374045E-2</v>
      </c>
      <c r="D13" s="8">
        <v>0.17967332123411978</v>
      </c>
      <c r="E13" s="8">
        <v>0.13707865168539327</v>
      </c>
      <c r="F13" s="8">
        <v>0.12028301886792453</v>
      </c>
      <c r="G13" s="8">
        <v>0.21518987341772153</v>
      </c>
      <c r="H13" s="8">
        <v>0.19117647058823528</v>
      </c>
      <c r="I13" s="8">
        <v>0.39735896608383225</v>
      </c>
      <c r="J13" s="8">
        <f t="shared" si="1"/>
        <v>0.39735896608383225</v>
      </c>
      <c r="K13" s="8">
        <f t="shared" si="2"/>
        <v>0.36793893129770994</v>
      </c>
      <c r="L13" s="8">
        <f t="shared" si="3"/>
        <v>0.5480943738656987</v>
      </c>
      <c r="M13" s="8">
        <f t="shared" si="4"/>
        <v>0.45842696629213486</v>
      </c>
      <c r="N13" s="8">
        <f t="shared" si="5"/>
        <v>0.47523584905660377</v>
      </c>
      <c r="O13" s="8">
        <f t="shared" si="6"/>
        <v>0.54852320675105493</v>
      </c>
      <c r="P13" s="8">
        <f t="shared" si="7"/>
        <v>0.58529411764705874</v>
      </c>
    </row>
    <row r="14" spans="1:16" x14ac:dyDescent="0.3">
      <c r="A14" s="3" t="s">
        <v>19</v>
      </c>
      <c r="B14" s="8">
        <v>0.60264103391616775</v>
      </c>
      <c r="C14" s="8">
        <v>0.63206106870229006</v>
      </c>
      <c r="D14" s="8">
        <v>0.4519056261343013</v>
      </c>
      <c r="E14" s="8">
        <v>0.54157303370786514</v>
      </c>
      <c r="F14" s="8">
        <v>0.52476415094339623</v>
      </c>
      <c r="G14" s="8">
        <v>0.45147679324894513</v>
      </c>
      <c r="H14" s="8">
        <v>0.4147058823529412</v>
      </c>
      <c r="I14" s="8">
        <v>1</v>
      </c>
      <c r="J14" s="8">
        <f t="shared" si="1"/>
        <v>1</v>
      </c>
      <c r="K14" s="8">
        <f t="shared" si="2"/>
        <v>1</v>
      </c>
      <c r="L14" s="8">
        <f t="shared" si="3"/>
        <v>1</v>
      </c>
      <c r="M14" s="8">
        <f t="shared" si="4"/>
        <v>1</v>
      </c>
      <c r="N14" s="8">
        <f t="shared" si="5"/>
        <v>1</v>
      </c>
      <c r="O14" s="8">
        <f t="shared" si="6"/>
        <v>1</v>
      </c>
      <c r="P14" s="8">
        <f t="shared" si="7"/>
        <v>1</v>
      </c>
    </row>
    <row r="15" spans="1:16" x14ac:dyDescent="0.3">
      <c r="A15" s="14"/>
      <c r="B15" s="26"/>
      <c r="C15" s="9"/>
      <c r="D15" s="9"/>
      <c r="E15" s="9"/>
      <c r="F15" s="9"/>
      <c r="I15" s="5"/>
      <c r="J15" s="5"/>
      <c r="K15" s="5"/>
      <c r="L15" s="5"/>
      <c r="M15" s="5"/>
      <c r="N15" s="5"/>
      <c r="O15" s="5"/>
      <c r="P15" s="5"/>
    </row>
    <row r="16" spans="1:16" x14ac:dyDescent="0.3">
      <c r="B16" s="1" t="s">
        <v>99</v>
      </c>
      <c r="C16" s="2" t="s">
        <v>101</v>
      </c>
      <c r="D16" s="2" t="s">
        <v>102</v>
      </c>
      <c r="E16" s="2" t="s">
        <v>103</v>
      </c>
      <c r="F16" s="2" t="s">
        <v>104</v>
      </c>
      <c r="G16" s="2" t="s">
        <v>105</v>
      </c>
      <c r="H16" s="2" t="s">
        <v>106</v>
      </c>
      <c r="J16" s="6"/>
      <c r="K16" s="19" t="s">
        <v>107</v>
      </c>
      <c r="L16" s="19" t="s">
        <v>108</v>
      </c>
      <c r="M16" s="19" t="s">
        <v>109</v>
      </c>
      <c r="N16" s="19" t="s">
        <v>110</v>
      </c>
      <c r="O16" s="19" t="s">
        <v>111</v>
      </c>
      <c r="P16" s="19" t="s">
        <v>112</v>
      </c>
    </row>
    <row r="17" spans="2:16" x14ac:dyDescent="0.3">
      <c r="B17" s="3" t="s">
        <v>29</v>
      </c>
      <c r="C17" s="8">
        <f>C2-B2</f>
        <v>8.9240295004194403E-4</v>
      </c>
      <c r="D17" s="8">
        <f>D2-B2</f>
        <v>1.3222517523129045E-2</v>
      </c>
      <c r="E17" s="8">
        <f>E2-B2</f>
        <v>6.741961231198133E-3</v>
      </c>
      <c r="F17" s="8">
        <f>F2-B2</f>
        <v>3.3428686189561005E-4</v>
      </c>
      <c r="G17" s="8">
        <f>G2-B2</f>
        <v>3.1041034900833875E-3</v>
      </c>
      <c r="H17" s="8">
        <f>H2-B2</f>
        <v>7.9646975167235786E-3</v>
      </c>
      <c r="J17" s="3" t="s">
        <v>29</v>
      </c>
      <c r="K17" s="6">
        <f>($J2-0) * ((K2+0))</f>
        <v>5.1459426230668683E-5</v>
      </c>
      <c r="L17" s="6">
        <f t="shared" ref="L17:P17" si="8">($J2-0) * ((L2+0))</f>
        <v>1.3457900761958906E-4</v>
      </c>
      <c r="M17" s="6">
        <f t="shared" si="8"/>
        <v>9.0892379814169858E-5</v>
      </c>
      <c r="N17" s="6">
        <f t="shared" si="8"/>
        <v>4.7697062520407533E-5</v>
      </c>
      <c r="O17" s="6">
        <f t="shared" si="8"/>
        <v>6.6368908373450337E-5</v>
      </c>
      <c r="P17" s="6">
        <f t="shared" si="8"/>
        <v>9.9135071120847024E-5</v>
      </c>
    </row>
    <row r="18" spans="2:16" x14ac:dyDescent="0.3">
      <c r="B18" s="3" t="s">
        <v>22</v>
      </c>
      <c r="C18" s="8">
        <f t="shared" ref="C18:C29" si="9">C3-B3</f>
        <v>-2.2119191377984381E-3</v>
      </c>
      <c r="D18" s="8">
        <f t="shared" ref="D18:D29" si="10">D3-B3</f>
        <v>4.6745632111734256E-4</v>
      </c>
      <c r="E18" s="8">
        <f t="shared" ref="E18:E29" si="11">E3-B3</f>
        <v>-2.297689787082253E-3</v>
      </c>
      <c r="F18" s="8">
        <f t="shared" ref="F18:F29" si="12">F3-B3</f>
        <v>-2.075090677478692E-3</v>
      </c>
      <c r="G18" s="8">
        <f t="shared" ref="G18:G29" si="13">G3-B3</f>
        <v>4.4596862776469619E-3</v>
      </c>
      <c r="H18" s="8">
        <f t="shared" ref="H18:H29" si="14">H3-B3</f>
        <v>-9.09718868377693E-4</v>
      </c>
      <c r="J18" s="3" t="s">
        <v>22</v>
      </c>
      <c r="K18" s="6">
        <f t="shared" ref="K18:P29" si="15">($J3-$J2) * ((K3+K2))</f>
        <v>1.3480447866290706E-4</v>
      </c>
      <c r="L18" s="6">
        <f t="shared" si="15"/>
        <v>3.204970363854959E-4</v>
      </c>
      <c r="M18" s="6">
        <f t="shared" si="15"/>
        <v>2.1368315805338943E-4</v>
      </c>
      <c r="N18" s="6">
        <f t="shared" si="15"/>
        <v>1.281522982934748E-4</v>
      </c>
      <c r="O18" s="6">
        <f t="shared" si="15"/>
        <v>2.1016255950800507E-4</v>
      </c>
      <c r="P18" s="6">
        <f t="shared" si="15"/>
        <v>2.3972018151367637E-4</v>
      </c>
    </row>
    <row r="19" spans="2:16" x14ac:dyDescent="0.3">
      <c r="B19" s="3" t="s">
        <v>30</v>
      </c>
      <c r="C19" s="8">
        <f t="shared" si="9"/>
        <v>-1.8261410879874098E-3</v>
      </c>
      <c r="D19" s="8">
        <f t="shared" si="10"/>
        <v>4.7711629116800932E-3</v>
      </c>
      <c r="E19" s="8">
        <f t="shared" si="11"/>
        <v>3.3029437391847317E-3</v>
      </c>
      <c r="F19" s="8">
        <f t="shared" si="12"/>
        <v>2.6801962301747674E-3</v>
      </c>
      <c r="G19" s="8">
        <f t="shared" si="13"/>
        <v>5.0580724840579988E-4</v>
      </c>
      <c r="H19" s="8">
        <f t="shared" si="14"/>
        <v>6.772871035946133E-3</v>
      </c>
      <c r="J19" s="3" t="s">
        <v>30</v>
      </c>
      <c r="K19" s="6">
        <f t="shared" si="15"/>
        <v>2.4222935319068837E-4</v>
      </c>
      <c r="L19" s="6">
        <f t="shared" si="15"/>
        <v>5.3270674905411364E-4</v>
      </c>
      <c r="M19" s="6">
        <f t="shared" si="15"/>
        <v>3.743668261952717E-4</v>
      </c>
      <c r="N19" s="6">
        <f t="shared" si="15"/>
        <v>2.7129401909534943E-4</v>
      </c>
      <c r="O19" s="6">
        <f t="shared" si="15"/>
        <v>4.0167145908835661E-4</v>
      </c>
      <c r="P19" s="6">
        <f t="shared" si="15"/>
        <v>4.4331533830266416E-4</v>
      </c>
    </row>
    <row r="20" spans="2:16" x14ac:dyDescent="0.3">
      <c r="B20" s="3" t="s">
        <v>20</v>
      </c>
      <c r="C20" s="8">
        <f t="shared" si="9"/>
        <v>1.3725038587669571E-2</v>
      </c>
      <c r="D20" s="8">
        <f t="shared" si="10"/>
        <v>7.158213522901833E-3</v>
      </c>
      <c r="E20" s="8">
        <f t="shared" si="11"/>
        <v>1.3296185341250495E-2</v>
      </c>
      <c r="F20" s="8">
        <f t="shared" si="12"/>
        <v>3.795973342098493E-3</v>
      </c>
      <c r="G20" s="8">
        <f t="shared" si="13"/>
        <v>6.2954425987924931E-3</v>
      </c>
      <c r="H20" s="8">
        <f t="shared" si="14"/>
        <v>-3.5219535934434901E-4</v>
      </c>
      <c r="J20" s="3" t="s">
        <v>20</v>
      </c>
      <c r="K20" s="6">
        <f t="shared" si="15"/>
        <v>5.4634086423397429E-4</v>
      </c>
      <c r="L20" s="6">
        <f t="shared" si="15"/>
        <v>8.8260147526094356E-4</v>
      </c>
      <c r="M20" s="6">
        <f t="shared" si="15"/>
        <v>7.4230582417960896E-4</v>
      </c>
      <c r="N20" s="6">
        <f t="shared" si="15"/>
        <v>5.3020107757587704E-4</v>
      </c>
      <c r="O20" s="6">
        <f t="shared" si="15"/>
        <v>6.8398510952008421E-4</v>
      </c>
      <c r="P20" s="6">
        <f t="shared" si="15"/>
        <v>7.2866049652924839E-4</v>
      </c>
    </row>
    <row r="21" spans="2:16" x14ac:dyDescent="0.3">
      <c r="B21" s="3" t="s">
        <v>24</v>
      </c>
      <c r="C21" s="8">
        <f t="shared" si="9"/>
        <v>-5.5999202573118511E-3</v>
      </c>
      <c r="D21" s="8">
        <f t="shared" si="10"/>
        <v>7.0921926693968268E-4</v>
      </c>
      <c r="E21" s="8">
        <f t="shared" si="11"/>
        <v>-3.4384998953597111E-3</v>
      </c>
      <c r="F21" s="8">
        <f t="shared" si="12"/>
        <v>-1.925355947935501E-3</v>
      </c>
      <c r="G21" s="8">
        <f t="shared" si="13"/>
        <v>-4.5541938854670137E-3</v>
      </c>
      <c r="H21" s="8">
        <f t="shared" si="14"/>
        <v>1.3349338835638306E-2</v>
      </c>
      <c r="J21" s="3" t="s">
        <v>24</v>
      </c>
      <c r="K21" s="6">
        <f t="shared" si="15"/>
        <v>8.8589947627000271E-4</v>
      </c>
      <c r="L21" s="6">
        <f t="shared" si="15"/>
        <v>1.2563429386145103E-3</v>
      </c>
      <c r="M21" s="6">
        <f t="shared" si="15"/>
        <v>1.1209518506164297E-3</v>
      </c>
      <c r="N21" s="6">
        <f t="shared" si="15"/>
        <v>8.0432179982019758E-4</v>
      </c>
      <c r="O21" s="6">
        <f t="shared" si="15"/>
        <v>9.736216022174334E-4</v>
      </c>
      <c r="P21" s="6">
        <f t="shared" si="15"/>
        <v>1.1377728567781406E-3</v>
      </c>
    </row>
    <row r="22" spans="2:16" x14ac:dyDescent="0.3">
      <c r="B22" s="3" t="s">
        <v>27</v>
      </c>
      <c r="C22" s="8">
        <f t="shared" si="9"/>
        <v>4.7771827800076917E-3</v>
      </c>
      <c r="D22" s="8">
        <f t="shared" si="10"/>
        <v>1.8750389025418535E-2</v>
      </c>
      <c r="E22" s="8">
        <f t="shared" si="11"/>
        <v>-1.218825164833093E-2</v>
      </c>
      <c r="F22" s="8">
        <f t="shared" si="12"/>
        <v>-9.3845628630860704E-3</v>
      </c>
      <c r="G22" s="8">
        <f t="shared" si="13"/>
        <v>-4.2993785624730642E-3</v>
      </c>
      <c r="H22" s="8">
        <f t="shared" si="14"/>
        <v>-6.4711333403335743E-3</v>
      </c>
      <c r="J22" s="3" t="s">
        <v>27</v>
      </c>
      <c r="K22" s="6">
        <f t="shared" si="15"/>
        <v>2.4895117685223753E-3</v>
      </c>
      <c r="L22" s="6">
        <f t="shared" si="15"/>
        <v>3.6896433875760006E-3</v>
      </c>
      <c r="M22" s="6">
        <f t="shared" si="15"/>
        <v>2.6649727614008675E-3</v>
      </c>
      <c r="N22" s="6">
        <f t="shared" si="15"/>
        <v>2.0977232526357067E-3</v>
      </c>
      <c r="O22" s="6">
        <f t="shared" si="15"/>
        <v>2.5019259046906877E-3</v>
      </c>
      <c r="P22" s="6">
        <f t="shared" si="15"/>
        <v>3.1765523539912127E-3</v>
      </c>
    </row>
    <row r="23" spans="2:16" x14ac:dyDescent="0.3">
      <c r="B23" s="3" t="s">
        <v>26</v>
      </c>
      <c r="C23" s="8">
        <f t="shared" si="9"/>
        <v>-5.197569696216521E-3</v>
      </c>
      <c r="D23" s="8">
        <f t="shared" si="10"/>
        <v>-1.3665171973824202E-2</v>
      </c>
      <c r="E23" s="8">
        <f t="shared" si="11"/>
        <v>5.4379908149765482E-3</v>
      </c>
      <c r="F23" s="8">
        <f t="shared" si="12"/>
        <v>-4.2397704739782979E-3</v>
      </c>
      <c r="G23" s="8">
        <f t="shared" si="13"/>
        <v>-2.0381001267704913E-2</v>
      </c>
      <c r="H23" s="8">
        <f t="shared" si="14"/>
        <v>-4.9056972220360082E-3</v>
      </c>
      <c r="J23" s="3" t="s">
        <v>26</v>
      </c>
      <c r="K23" s="6">
        <f t="shared" si="15"/>
        <v>6.5415930012645172E-3</v>
      </c>
      <c r="L23" s="6">
        <f t="shared" si="15"/>
        <v>8.8582243742365945E-3</v>
      </c>
      <c r="M23" s="6">
        <f t="shared" si="15"/>
        <v>6.6144549067011704E-3</v>
      </c>
      <c r="N23" s="6">
        <f t="shared" si="15"/>
        <v>5.3603229771436367E-3</v>
      </c>
      <c r="O23" s="6">
        <f t="shared" si="15"/>
        <v>5.6595400098997349E-3</v>
      </c>
      <c r="P23" s="6">
        <f t="shared" si="15"/>
        <v>7.3421434491174765E-3</v>
      </c>
    </row>
    <row r="24" spans="2:16" x14ac:dyDescent="0.3">
      <c r="B24" s="3" t="s">
        <v>28</v>
      </c>
      <c r="C24" s="8">
        <f t="shared" si="9"/>
        <v>-1.3350415191395074E-2</v>
      </c>
      <c r="D24" s="8">
        <f t="shared" si="10"/>
        <v>1.3903294233522843E-2</v>
      </c>
      <c r="E24" s="8">
        <f t="shared" si="11"/>
        <v>-4.1558015881700966E-3</v>
      </c>
      <c r="F24" s="8">
        <f t="shared" si="12"/>
        <v>2.7217422918931873E-2</v>
      </c>
      <c r="G24" s="8">
        <f t="shared" si="13"/>
        <v>4.6249546157527528E-2</v>
      </c>
      <c r="H24" s="8">
        <f t="shared" si="14"/>
        <v>1.352430416199514E-2</v>
      </c>
      <c r="J24" s="3" t="s">
        <v>28</v>
      </c>
      <c r="K24" s="6">
        <f t="shared" si="15"/>
        <v>1.0023660398126884E-2</v>
      </c>
      <c r="L24" s="6">
        <f t="shared" si="15"/>
        <v>1.3453100791935999E-2</v>
      </c>
      <c r="M24" s="6">
        <f t="shared" si="15"/>
        <v>1.09464620440581E-2</v>
      </c>
      <c r="N24" s="6">
        <f t="shared" si="15"/>
        <v>1.0439660607133137E-2</v>
      </c>
      <c r="O24" s="6">
        <f t="shared" si="15"/>
        <v>1.0902282597173255E-2</v>
      </c>
      <c r="P24" s="6">
        <f t="shared" si="15"/>
        <v>1.2084502151707617E-2</v>
      </c>
    </row>
    <row r="25" spans="2:16" x14ac:dyDescent="0.3">
      <c r="B25" s="3" t="s">
        <v>31</v>
      </c>
      <c r="C25" s="8">
        <f t="shared" si="9"/>
        <v>-1.630330713294809E-2</v>
      </c>
      <c r="D25" s="8">
        <f t="shared" si="10"/>
        <v>-7.4865825101249062E-3</v>
      </c>
      <c r="E25" s="8">
        <f t="shared" si="11"/>
        <v>-7.8291669837071559E-3</v>
      </c>
      <c r="F25" s="8">
        <f t="shared" si="12"/>
        <v>-1.5482336371029609E-2</v>
      </c>
      <c r="G25" s="8">
        <f t="shared" si="13"/>
        <v>-2.1280706989080189E-2</v>
      </c>
      <c r="H25" s="8">
        <f t="shared" si="14"/>
        <v>-2.3195987869364793E-2</v>
      </c>
      <c r="J25" s="3" t="s">
        <v>31</v>
      </c>
      <c r="K25" s="6">
        <f t="shared" si="15"/>
        <v>1.2834459308990274E-2</v>
      </c>
      <c r="L25" s="6">
        <f t="shared" si="15"/>
        <v>1.7958683185021834E-2</v>
      </c>
      <c r="M25" s="6">
        <f t="shared" si="15"/>
        <v>1.4561943883585169E-2</v>
      </c>
      <c r="N25" s="6">
        <f t="shared" si="15"/>
        <v>1.5076642881765176E-2</v>
      </c>
      <c r="O25" s="6">
        <f t="shared" si="15"/>
        <v>1.6134270701592682E-2</v>
      </c>
      <c r="P25" s="6">
        <f t="shared" si="15"/>
        <v>1.5839586615024531E-2</v>
      </c>
    </row>
    <row r="26" spans="2:16" x14ac:dyDescent="0.3">
      <c r="B26" s="3" t="s">
        <v>21</v>
      </c>
      <c r="C26" s="8">
        <f t="shared" si="9"/>
        <v>4.3590795419514092E-3</v>
      </c>
      <c r="D26" s="8">
        <f t="shared" si="10"/>
        <v>4.1005842540524445E-2</v>
      </c>
      <c r="E26" s="8">
        <f t="shared" si="11"/>
        <v>1.4480016157441586E-2</v>
      </c>
      <c r="F26" s="8">
        <f t="shared" si="12"/>
        <v>6.8637849526108116E-2</v>
      </c>
      <c r="G26" s="8">
        <f t="shared" si="13"/>
        <v>5.4521736159337961E-2</v>
      </c>
      <c r="H26" s="8">
        <f t="shared" si="14"/>
        <v>0.10364062422089168</v>
      </c>
      <c r="J26" s="3" t="s">
        <v>21</v>
      </c>
      <c r="K26" s="6">
        <f t="shared" si="15"/>
        <v>2.0977928843553255E-2</v>
      </c>
      <c r="L26" s="6">
        <f t="shared" si="15"/>
        <v>2.9944988479257775E-2</v>
      </c>
      <c r="M26" s="6">
        <f t="shared" si="15"/>
        <v>2.4181273061169076E-2</v>
      </c>
      <c r="N26" s="6">
        <f t="shared" si="15"/>
        <v>2.7396230053487663E-2</v>
      </c>
      <c r="O26" s="6">
        <f t="shared" si="15"/>
        <v>2.76302591391713E-2</v>
      </c>
      <c r="P26" s="6">
        <f t="shared" si="15"/>
        <v>2.9863689868001867E-2</v>
      </c>
    </row>
    <row r="27" spans="2:16" x14ac:dyDescent="0.3">
      <c r="B27" s="3" t="s">
        <v>25</v>
      </c>
      <c r="C27" s="8">
        <f t="shared" si="9"/>
        <v>-1.0818049190325182E-2</v>
      </c>
      <c r="D27" s="8">
        <f t="shared" si="10"/>
        <v>-1.0671196140353584E-2</v>
      </c>
      <c r="E27" s="8">
        <f t="shared" si="11"/>
        <v>7.7427193146923992E-3</v>
      </c>
      <c r="F27" s="8">
        <f t="shared" si="12"/>
        <v>-1.4861690267669272E-2</v>
      </c>
      <c r="G27" s="8">
        <f t="shared" si="13"/>
        <v>-3.1543615804383439E-2</v>
      </c>
      <c r="H27" s="8">
        <f t="shared" si="14"/>
        <v>-1.5555363963562718E-2</v>
      </c>
      <c r="J27" s="3" t="s">
        <v>25</v>
      </c>
      <c r="K27" s="6">
        <f t="shared" si="15"/>
        <v>2.9153226759028403E-2</v>
      </c>
      <c r="L27" s="6">
        <f t="shared" si="15"/>
        <v>4.1045501229554249E-2</v>
      </c>
      <c r="M27" s="6">
        <f t="shared" si="15"/>
        <v>3.4328743419619959E-2</v>
      </c>
      <c r="N27" s="6">
        <f t="shared" si="15"/>
        <v>3.9688181859228587E-2</v>
      </c>
      <c r="O27" s="6">
        <f t="shared" si="15"/>
        <v>3.8103441637360569E-2</v>
      </c>
      <c r="P27" s="6">
        <f t="shared" si="15"/>
        <v>4.4403740554893302E-2</v>
      </c>
    </row>
    <row r="28" spans="2:16" x14ac:dyDescent="0.3">
      <c r="B28" s="3" t="s">
        <v>23</v>
      </c>
      <c r="C28" s="8">
        <f t="shared" si="9"/>
        <v>2.1335830481895995E-3</v>
      </c>
      <c r="D28" s="8">
        <f t="shared" si="10"/>
        <v>8.2570263060935331E-2</v>
      </c>
      <c r="E28" s="8">
        <f t="shared" si="11"/>
        <v>3.9975593512208821E-2</v>
      </c>
      <c r="F28" s="8">
        <f t="shared" si="12"/>
        <v>2.3179960694740084E-2</v>
      </c>
      <c r="G28" s="8">
        <f t="shared" si="13"/>
        <v>0.11808681524453708</v>
      </c>
      <c r="H28" s="8">
        <f t="shared" si="14"/>
        <v>9.4073412415050836E-2</v>
      </c>
      <c r="J28" s="3" t="s">
        <v>23</v>
      </c>
      <c r="K28" s="6">
        <f t="shared" si="15"/>
        <v>6.1819809554531154E-2</v>
      </c>
      <c r="L28" s="6">
        <f t="shared" si="15"/>
        <v>8.8996450775786093E-2</v>
      </c>
      <c r="M28" s="6">
        <f t="shared" si="15"/>
        <v>7.5718564463134838E-2</v>
      </c>
      <c r="N28" s="6">
        <f t="shared" si="15"/>
        <v>8.0613859615473876E-2</v>
      </c>
      <c r="O28" s="6">
        <f t="shared" si="15"/>
        <v>8.5630966912217499E-2</v>
      </c>
      <c r="P28" s="6">
        <f t="shared" si="15"/>
        <v>9.5103877563736505E-2</v>
      </c>
    </row>
    <row r="29" spans="2:16" x14ac:dyDescent="0.3">
      <c r="B29" s="3" t="s">
        <v>19</v>
      </c>
      <c r="C29" s="8">
        <f t="shared" si="9"/>
        <v>2.9420034786122318E-2</v>
      </c>
      <c r="D29" s="8">
        <f t="shared" si="10"/>
        <v>-0.15073540778186645</v>
      </c>
      <c r="E29" s="8">
        <f t="shared" si="11"/>
        <v>-6.1068000208302609E-2</v>
      </c>
      <c r="F29" s="8">
        <f t="shared" si="12"/>
        <v>-7.7876882972771511E-2</v>
      </c>
      <c r="G29" s="8">
        <f t="shared" si="13"/>
        <v>-0.15116424066722262</v>
      </c>
      <c r="H29" s="8">
        <f t="shared" si="14"/>
        <v>-0.18793515156322654</v>
      </c>
      <c r="J29" s="3" t="s">
        <v>19</v>
      </c>
      <c r="K29" s="6">
        <f t="shared" si="15"/>
        <v>0.82437613189142944</v>
      </c>
      <c r="L29" s="6">
        <f t="shared" si="15"/>
        <v>0.932945194066227</v>
      </c>
      <c r="M29" s="6">
        <f t="shared" si="15"/>
        <v>0.87890793485751217</v>
      </c>
      <c r="N29" s="6">
        <f t="shared" si="15"/>
        <v>0.88903765734566731</v>
      </c>
      <c r="O29" s="6">
        <f t="shared" si="15"/>
        <v>0.93320362635963527</v>
      </c>
      <c r="P29" s="6">
        <f t="shared" si="15"/>
        <v>0.9553632861200424</v>
      </c>
    </row>
    <row r="30" spans="2:16" x14ac:dyDescent="0.3">
      <c r="G30" s="5"/>
      <c r="J30" s="20" t="s">
        <v>114</v>
      </c>
      <c r="K30" s="19">
        <f>SUM(K17:K29)</f>
        <v>0.97007705512403453</v>
      </c>
      <c r="L30" s="19">
        <f t="shared" ref="L30:P30" si="16">SUM(L17:L29)</f>
        <v>1.1400185134965302</v>
      </c>
      <c r="M30" s="19">
        <f t="shared" si="16"/>
        <v>1.0504665494360403</v>
      </c>
      <c r="N30" s="19">
        <f t="shared" si="16"/>
        <v>1.0714919448498403</v>
      </c>
      <c r="O30" s="19">
        <f t="shared" si="16"/>
        <v>1.1221021229004484</v>
      </c>
      <c r="P30" s="19">
        <f t="shared" si="16"/>
        <v>1.1658259826207595</v>
      </c>
    </row>
    <row r="31" spans="2:16" x14ac:dyDescent="0.3">
      <c r="J31" s="23" t="s">
        <v>113</v>
      </c>
      <c r="K31" s="24">
        <f>1-K30</f>
        <v>2.9922944875965474E-2</v>
      </c>
      <c r="L31" s="24">
        <f t="shared" ref="L31:P31" si="17">1-L30</f>
        <v>-0.14001851349653016</v>
      </c>
      <c r="M31" s="24">
        <f t="shared" si="17"/>
        <v>-5.0466549436040342E-2</v>
      </c>
      <c r="N31" s="24">
        <f t="shared" si="17"/>
        <v>-7.1491944849840339E-2</v>
      </c>
      <c r="O31" s="24">
        <f t="shared" si="17"/>
        <v>-0.12210212290044842</v>
      </c>
      <c r="P31" s="24">
        <f t="shared" si="17"/>
        <v>-0.16582598262075954</v>
      </c>
    </row>
    <row r="91" spans="7:8" x14ac:dyDescent="0.3">
      <c r="G91" s="5"/>
      <c r="H91" s="5"/>
    </row>
    <row r="92" spans="7:8" x14ac:dyDescent="0.3">
      <c r="G92" s="5"/>
      <c r="H92" s="5"/>
    </row>
    <row r="93" spans="7:8" x14ac:dyDescent="0.3">
      <c r="G93" s="5"/>
      <c r="H93" s="5"/>
    </row>
    <row r="94" spans="7:8" x14ac:dyDescent="0.3">
      <c r="G94" s="5"/>
      <c r="H94" s="5"/>
    </row>
    <row r="95" spans="7:8" x14ac:dyDescent="0.3">
      <c r="G95" s="5"/>
      <c r="H95" s="5"/>
    </row>
    <row r="96" spans="7:8" x14ac:dyDescent="0.3">
      <c r="G96" s="5"/>
      <c r="H96" s="5"/>
    </row>
    <row r="97" spans="7:8" x14ac:dyDescent="0.3">
      <c r="G97" s="5"/>
      <c r="H97" s="5"/>
    </row>
    <row r="98" spans="7:8" x14ac:dyDescent="0.3">
      <c r="G98" s="5"/>
      <c r="H98" s="5"/>
    </row>
    <row r="99" spans="7:8" x14ac:dyDescent="0.3">
      <c r="G99" s="5"/>
      <c r="H99" s="5"/>
    </row>
    <row r="100" spans="7:8" x14ac:dyDescent="0.3">
      <c r="G100" s="5"/>
      <c r="H100" s="5"/>
    </row>
    <row r="101" spans="7:8" x14ac:dyDescent="0.3">
      <c r="G101" s="5"/>
      <c r="H101" s="5"/>
    </row>
    <row r="102" spans="7:8" x14ac:dyDescent="0.3">
      <c r="G102" s="5"/>
      <c r="H102" s="5"/>
    </row>
    <row r="103" spans="7:8" x14ac:dyDescent="0.3">
      <c r="G103" s="5"/>
      <c r="H103" s="5"/>
    </row>
    <row r="104" spans="7:8" x14ac:dyDescent="0.3">
      <c r="G104" s="5"/>
      <c r="H104" s="5"/>
    </row>
    <row r="105" spans="7:8" x14ac:dyDescent="0.3">
      <c r="G105" s="5"/>
      <c r="H105" s="5"/>
    </row>
    <row r="106" spans="7:8" x14ac:dyDescent="0.3">
      <c r="G106" s="5"/>
      <c r="H106" s="5"/>
    </row>
    <row r="107" spans="7:8" x14ac:dyDescent="0.3">
      <c r="G107" s="5"/>
      <c r="H107" s="5"/>
    </row>
    <row r="108" spans="7:8" x14ac:dyDescent="0.3">
      <c r="G108" s="5"/>
      <c r="H108" s="5"/>
    </row>
    <row r="109" spans="7:8" x14ac:dyDescent="0.3">
      <c r="G109" s="5"/>
      <c r="H109" s="5"/>
    </row>
    <row r="110" spans="7:8" x14ac:dyDescent="0.3">
      <c r="G110" s="5"/>
      <c r="H110" s="5"/>
    </row>
    <row r="111" spans="7:8" x14ac:dyDescent="0.3">
      <c r="G111" s="5"/>
      <c r="H111" s="5"/>
    </row>
    <row r="112" spans="7:8" x14ac:dyDescent="0.3">
      <c r="G112" s="5"/>
      <c r="H112" s="5"/>
    </row>
    <row r="113" spans="7:8" x14ac:dyDescent="0.3">
      <c r="G113" s="5"/>
      <c r="H113" s="5"/>
    </row>
    <row r="114" spans="7:8" x14ac:dyDescent="0.3">
      <c r="G114" s="5"/>
      <c r="H114" s="5"/>
    </row>
    <row r="115" spans="7:8" x14ac:dyDescent="0.3">
      <c r="G115" s="5"/>
      <c r="H115" s="5"/>
    </row>
    <row r="116" spans="7:8" x14ac:dyDescent="0.3">
      <c r="G116" s="5"/>
      <c r="H116" s="5"/>
    </row>
    <row r="117" spans="7:8" x14ac:dyDescent="0.3">
      <c r="G117" s="5"/>
      <c r="H117" s="5"/>
    </row>
    <row r="118" spans="7:8" x14ac:dyDescent="0.3">
      <c r="G118" s="5"/>
      <c r="H118" s="5"/>
    </row>
    <row r="119" spans="7:8" x14ac:dyDescent="0.3">
      <c r="G119" s="5"/>
      <c r="H119" s="5"/>
    </row>
    <row r="120" spans="7:8" x14ac:dyDescent="0.3">
      <c r="G120" s="5"/>
      <c r="H120" s="5"/>
    </row>
    <row r="121" spans="7:8" x14ac:dyDescent="0.3">
      <c r="G121" s="5"/>
      <c r="H121" s="5"/>
    </row>
    <row r="122" spans="7:8" x14ac:dyDescent="0.3">
      <c r="G122" s="5"/>
      <c r="H122" s="5"/>
    </row>
    <row r="123" spans="7:8" x14ac:dyDescent="0.3">
      <c r="G123" s="5"/>
      <c r="H123" s="5"/>
    </row>
    <row r="124" spans="7:8" x14ac:dyDescent="0.3">
      <c r="G124" s="5"/>
      <c r="H124" s="5"/>
    </row>
    <row r="125" spans="7:8" x14ac:dyDescent="0.3">
      <c r="G125" s="5"/>
      <c r="H125" s="5"/>
    </row>
    <row r="126" spans="7:8" x14ac:dyDescent="0.3">
      <c r="G126" s="5"/>
      <c r="H126" s="5"/>
    </row>
    <row r="127" spans="7:8" x14ac:dyDescent="0.3">
      <c r="G127" s="5"/>
      <c r="H127" s="5"/>
    </row>
    <row r="128" spans="7:8" x14ac:dyDescent="0.3">
      <c r="G128" s="5"/>
      <c r="H128" s="5"/>
    </row>
    <row r="129" spans="7:8" x14ac:dyDescent="0.3">
      <c r="G129" s="5"/>
      <c r="H129" s="5"/>
    </row>
    <row r="130" spans="7:8" x14ac:dyDescent="0.3">
      <c r="G130" s="5"/>
      <c r="H130" s="5"/>
    </row>
    <row r="131" spans="7:8" x14ac:dyDescent="0.3">
      <c r="G131" s="5"/>
      <c r="H131" s="5"/>
    </row>
    <row r="132" spans="7:8" x14ac:dyDescent="0.3">
      <c r="G132" s="5"/>
      <c r="H132" s="5"/>
    </row>
    <row r="133" spans="7:8" x14ac:dyDescent="0.3">
      <c r="G133" s="5"/>
      <c r="H133" s="5"/>
    </row>
    <row r="134" spans="7:8" x14ac:dyDescent="0.3">
      <c r="G134" s="5"/>
      <c r="H134" s="5"/>
    </row>
    <row r="135" spans="7:8" x14ac:dyDescent="0.3">
      <c r="G135" s="5"/>
      <c r="H135" s="5"/>
    </row>
    <row r="136" spans="7:8" x14ac:dyDescent="0.3">
      <c r="G136" s="5"/>
      <c r="H136" s="5"/>
    </row>
    <row r="137" spans="7:8" x14ac:dyDescent="0.3">
      <c r="G137" s="5"/>
      <c r="H137" s="5"/>
    </row>
    <row r="138" spans="7:8" x14ac:dyDescent="0.3">
      <c r="G138" s="5"/>
      <c r="H138" s="5"/>
    </row>
    <row r="139" spans="7:8" x14ac:dyDescent="0.3">
      <c r="G139" s="5"/>
      <c r="H139" s="5"/>
    </row>
    <row r="140" spans="7:8" x14ac:dyDescent="0.3">
      <c r="G140" s="5"/>
      <c r="H140" s="5"/>
    </row>
    <row r="141" spans="7:8" x14ac:dyDescent="0.3">
      <c r="G141" s="5"/>
      <c r="H141" s="5"/>
    </row>
    <row r="142" spans="7:8" x14ac:dyDescent="0.3">
      <c r="G142" s="5"/>
      <c r="H142" s="5"/>
    </row>
    <row r="143" spans="7:8" x14ac:dyDescent="0.3">
      <c r="G143" s="5"/>
      <c r="H143" s="5"/>
    </row>
    <row r="144" spans="7:8" x14ac:dyDescent="0.3">
      <c r="G144" s="5"/>
      <c r="H144" s="5"/>
    </row>
    <row r="145" spans="7:8" x14ac:dyDescent="0.3">
      <c r="G145" s="5"/>
      <c r="H145" s="5"/>
    </row>
    <row r="146" spans="7:8" x14ac:dyDescent="0.3">
      <c r="G146" s="5"/>
      <c r="H146" s="5"/>
    </row>
    <row r="147" spans="7:8" x14ac:dyDescent="0.3">
      <c r="G147" s="5"/>
      <c r="H147" s="5"/>
    </row>
    <row r="148" spans="7:8" x14ac:dyDescent="0.3">
      <c r="G148" s="5"/>
      <c r="H148" s="5"/>
    </row>
    <row r="149" spans="7:8" x14ac:dyDescent="0.3">
      <c r="G149" s="5"/>
      <c r="H149" s="5"/>
    </row>
    <row r="150" spans="7:8" x14ac:dyDescent="0.3">
      <c r="G150" s="5"/>
      <c r="H150" s="5"/>
    </row>
    <row r="151" spans="7:8" x14ac:dyDescent="0.3">
      <c r="G151" s="5"/>
      <c r="H151" s="5"/>
    </row>
    <row r="152" spans="7:8" x14ac:dyDescent="0.3">
      <c r="G152" s="5"/>
      <c r="H152" s="5"/>
    </row>
    <row r="153" spans="7:8" x14ac:dyDescent="0.3">
      <c r="G153" s="5"/>
      <c r="H153" s="5"/>
    </row>
    <row r="154" spans="7:8" x14ac:dyDescent="0.3">
      <c r="G154" s="5"/>
      <c r="H154" s="5"/>
    </row>
    <row r="155" spans="7:8" x14ac:dyDescent="0.3">
      <c r="G155" s="5"/>
      <c r="H155" s="5"/>
    </row>
    <row r="156" spans="7:8" x14ac:dyDescent="0.3">
      <c r="G156" s="5"/>
      <c r="H156" s="5"/>
    </row>
    <row r="157" spans="7:8" x14ac:dyDescent="0.3">
      <c r="G157" s="5"/>
      <c r="H157" s="5"/>
    </row>
    <row r="158" spans="7:8" x14ac:dyDescent="0.3">
      <c r="G158" s="5"/>
      <c r="H158" s="5"/>
    </row>
    <row r="159" spans="7:8" x14ac:dyDescent="0.3">
      <c r="G159" s="5"/>
      <c r="H159" s="5"/>
    </row>
    <row r="160" spans="7:8" x14ac:dyDescent="0.3">
      <c r="G160" s="5"/>
      <c r="H160" s="5"/>
    </row>
    <row r="161" spans="7:8" x14ac:dyDescent="0.3">
      <c r="G161" s="5"/>
      <c r="H161" s="5"/>
    </row>
    <row r="162" spans="7:8" x14ac:dyDescent="0.3">
      <c r="G162" s="5"/>
      <c r="H162" s="5"/>
    </row>
    <row r="163" spans="7:8" x14ac:dyDescent="0.3">
      <c r="G163" s="5"/>
      <c r="H163" s="5"/>
    </row>
    <row r="164" spans="7:8" x14ac:dyDescent="0.3">
      <c r="G164" s="5"/>
      <c r="H164" s="5"/>
    </row>
    <row r="165" spans="7:8" x14ac:dyDescent="0.3">
      <c r="G165" s="5"/>
      <c r="H165" s="5"/>
    </row>
    <row r="166" spans="7:8" x14ac:dyDescent="0.3">
      <c r="G166" s="5"/>
      <c r="H166" s="5"/>
    </row>
    <row r="167" spans="7:8" x14ac:dyDescent="0.3">
      <c r="G167" s="5"/>
      <c r="H167" s="5"/>
    </row>
    <row r="168" spans="7:8" x14ac:dyDescent="0.3">
      <c r="G168" s="5"/>
      <c r="H168" s="5"/>
    </row>
    <row r="169" spans="7:8" x14ac:dyDescent="0.3">
      <c r="G169" s="5"/>
      <c r="H169" s="5"/>
    </row>
    <row r="170" spans="7:8" x14ac:dyDescent="0.3">
      <c r="G170" s="5"/>
      <c r="H170" s="5"/>
    </row>
    <row r="171" spans="7:8" x14ac:dyDescent="0.3">
      <c r="G171" s="5"/>
      <c r="H171" s="5"/>
    </row>
    <row r="172" spans="7:8" x14ac:dyDescent="0.3">
      <c r="G172" s="5"/>
      <c r="H172" s="5"/>
    </row>
    <row r="173" spans="7:8" x14ac:dyDescent="0.3">
      <c r="G173" s="5"/>
      <c r="H173" s="5"/>
    </row>
    <row r="174" spans="7:8" x14ac:dyDescent="0.3">
      <c r="G174" s="5"/>
      <c r="H174" s="5"/>
    </row>
    <row r="175" spans="7:8" x14ac:dyDescent="0.3">
      <c r="G175" s="5"/>
      <c r="H175" s="5"/>
    </row>
    <row r="176" spans="7:8" x14ac:dyDescent="0.3">
      <c r="G176" s="5"/>
      <c r="H176" s="5"/>
    </row>
    <row r="177" spans="7:8" x14ac:dyDescent="0.3">
      <c r="G177" s="5"/>
      <c r="H177" s="5"/>
    </row>
    <row r="178" spans="7:8" x14ac:dyDescent="0.3">
      <c r="G178" s="5"/>
      <c r="H178" s="5"/>
    </row>
    <row r="179" spans="7:8" x14ac:dyDescent="0.3">
      <c r="G179" s="5"/>
      <c r="H179" s="5"/>
    </row>
    <row r="180" spans="7:8" x14ac:dyDescent="0.3">
      <c r="G180" s="5"/>
      <c r="H180" s="5"/>
    </row>
    <row r="181" spans="7:8" x14ac:dyDescent="0.3">
      <c r="G181" s="5"/>
      <c r="H181" s="5"/>
    </row>
    <row r="182" spans="7:8" x14ac:dyDescent="0.3">
      <c r="G182" s="5"/>
      <c r="H182" s="5"/>
    </row>
    <row r="183" spans="7:8" x14ac:dyDescent="0.3">
      <c r="G183" s="5"/>
      <c r="H183" s="5"/>
    </row>
    <row r="184" spans="7:8" x14ac:dyDescent="0.3">
      <c r="G184" s="5"/>
      <c r="H184" s="5"/>
    </row>
    <row r="185" spans="7:8" x14ac:dyDescent="0.3">
      <c r="G185" s="5"/>
      <c r="H185" s="5"/>
    </row>
    <row r="186" spans="7:8" x14ac:dyDescent="0.3">
      <c r="G186" s="5"/>
      <c r="H186" s="5"/>
    </row>
    <row r="187" spans="7:8" x14ac:dyDescent="0.3">
      <c r="G187" s="5"/>
      <c r="H187" s="5"/>
    </row>
    <row r="188" spans="7:8" x14ac:dyDescent="0.3">
      <c r="G188" s="5"/>
      <c r="H188" s="5"/>
    </row>
    <row r="189" spans="7:8" x14ac:dyDescent="0.3">
      <c r="G189" s="5"/>
      <c r="H189" s="5"/>
    </row>
    <row r="190" spans="7:8" x14ac:dyDescent="0.3">
      <c r="G190" s="5"/>
      <c r="H190" s="5"/>
    </row>
    <row r="191" spans="7:8" x14ac:dyDescent="0.3">
      <c r="G191" s="5"/>
      <c r="H191" s="5"/>
    </row>
    <row r="192" spans="7:8" x14ac:dyDescent="0.3">
      <c r="G192" s="5"/>
      <c r="H192" s="5"/>
    </row>
    <row r="193" spans="7:8" x14ac:dyDescent="0.3">
      <c r="G193" s="5"/>
      <c r="H193" s="5"/>
    </row>
    <row r="194" spans="7:8" x14ac:dyDescent="0.3">
      <c r="G194" s="5"/>
      <c r="H194" s="5"/>
    </row>
    <row r="195" spans="7:8" x14ac:dyDescent="0.3">
      <c r="G195" s="5"/>
      <c r="H195" s="5"/>
    </row>
    <row r="196" spans="7:8" x14ac:dyDescent="0.3">
      <c r="G196" s="5"/>
      <c r="H196" s="5"/>
    </row>
    <row r="197" spans="7:8" x14ac:dyDescent="0.3">
      <c r="G197" s="5"/>
      <c r="H197" s="5"/>
    </row>
    <row r="198" spans="7:8" x14ac:dyDescent="0.3">
      <c r="G198" s="5"/>
      <c r="H198" s="5"/>
    </row>
    <row r="199" spans="7:8" x14ac:dyDescent="0.3">
      <c r="G199" s="5"/>
      <c r="H199" s="5"/>
    </row>
    <row r="200" spans="7:8" x14ac:dyDescent="0.3">
      <c r="G200" s="5"/>
      <c r="H200" s="5"/>
    </row>
    <row r="201" spans="7:8" x14ac:dyDescent="0.3">
      <c r="G201" s="5"/>
      <c r="H201" s="5"/>
    </row>
    <row r="202" spans="7:8" x14ac:dyDescent="0.3">
      <c r="G202" s="5"/>
      <c r="H202" s="5"/>
    </row>
    <row r="203" spans="7:8" x14ac:dyDescent="0.3">
      <c r="G203" s="5"/>
      <c r="H203" s="5"/>
    </row>
    <row r="204" spans="7:8" x14ac:dyDescent="0.3">
      <c r="G204" s="5"/>
      <c r="H204" s="5"/>
    </row>
    <row r="205" spans="7:8" x14ac:dyDescent="0.3">
      <c r="G205" s="5"/>
      <c r="H205" s="5"/>
    </row>
    <row r="206" spans="7:8" x14ac:dyDescent="0.3">
      <c r="G206" s="5"/>
      <c r="H206" s="5"/>
    </row>
    <row r="207" spans="7:8" x14ac:dyDescent="0.3">
      <c r="G207" s="5"/>
      <c r="H207" s="5"/>
    </row>
    <row r="208" spans="7:8" x14ac:dyDescent="0.3">
      <c r="G208" s="5"/>
      <c r="H208" s="5"/>
    </row>
    <row r="209" spans="7:8" x14ac:dyDescent="0.3">
      <c r="G209" s="5"/>
      <c r="H209" s="5"/>
    </row>
    <row r="210" spans="7:8" x14ac:dyDescent="0.3">
      <c r="G210" s="5"/>
      <c r="H210" s="5"/>
    </row>
    <row r="211" spans="7:8" x14ac:dyDescent="0.3">
      <c r="G211" s="5"/>
      <c r="H211" s="5"/>
    </row>
    <row r="212" spans="7:8" x14ac:dyDescent="0.3">
      <c r="G212" s="5"/>
      <c r="H212" s="5"/>
    </row>
    <row r="213" spans="7:8" x14ac:dyDescent="0.3">
      <c r="G213" s="5"/>
      <c r="H213" s="5"/>
    </row>
    <row r="214" spans="7:8" x14ac:dyDescent="0.3">
      <c r="G214" s="5"/>
      <c r="H214" s="5"/>
    </row>
    <row r="215" spans="7:8" x14ac:dyDescent="0.3">
      <c r="G215" s="5"/>
      <c r="H215" s="5"/>
    </row>
    <row r="216" spans="7:8" x14ac:dyDescent="0.3">
      <c r="G216" s="5"/>
      <c r="H216" s="5"/>
    </row>
    <row r="217" spans="7:8" x14ac:dyDescent="0.3">
      <c r="G217" s="5"/>
      <c r="H217" s="5"/>
    </row>
    <row r="218" spans="7:8" x14ac:dyDescent="0.3">
      <c r="G218" s="5"/>
      <c r="H218" s="5"/>
    </row>
    <row r="219" spans="7:8" x14ac:dyDescent="0.3">
      <c r="G219" s="5"/>
      <c r="H219" s="5"/>
    </row>
    <row r="220" spans="7:8" x14ac:dyDescent="0.3">
      <c r="G220" s="5"/>
      <c r="H220" s="5"/>
    </row>
    <row r="221" spans="7:8" x14ac:dyDescent="0.3">
      <c r="G221" s="5"/>
      <c r="H221" s="5"/>
    </row>
    <row r="222" spans="7:8" x14ac:dyDescent="0.3">
      <c r="G222" s="5"/>
      <c r="H222" s="5"/>
    </row>
    <row r="223" spans="7:8" x14ac:dyDescent="0.3">
      <c r="G223" s="5"/>
      <c r="H223" s="5"/>
    </row>
    <row r="224" spans="7:8" x14ac:dyDescent="0.3">
      <c r="G224" s="5"/>
      <c r="H224" s="5"/>
    </row>
    <row r="225" spans="7:8" x14ac:dyDescent="0.3">
      <c r="G225" s="5"/>
      <c r="H225" s="5"/>
    </row>
    <row r="226" spans="7:8" x14ac:dyDescent="0.3">
      <c r="G226" s="5"/>
      <c r="H226" s="5"/>
    </row>
    <row r="227" spans="7:8" x14ac:dyDescent="0.3">
      <c r="G227" s="5"/>
      <c r="H227" s="5"/>
    </row>
    <row r="228" spans="7:8" x14ac:dyDescent="0.3">
      <c r="G228" s="5"/>
      <c r="H228" s="5"/>
    </row>
    <row r="229" spans="7:8" x14ac:dyDescent="0.3">
      <c r="G229" s="5"/>
      <c r="H229" s="5"/>
    </row>
    <row r="230" spans="7:8" x14ac:dyDescent="0.3">
      <c r="G230" s="5"/>
      <c r="H230" s="5"/>
    </row>
    <row r="231" spans="7:8" x14ac:dyDescent="0.3">
      <c r="G231" s="5"/>
      <c r="H231" s="5"/>
    </row>
    <row r="232" spans="7:8" x14ac:dyDescent="0.3">
      <c r="G232" s="5"/>
      <c r="H232" s="5"/>
    </row>
    <row r="233" spans="7:8" x14ac:dyDescent="0.3">
      <c r="G233" s="5"/>
      <c r="H233" s="5"/>
    </row>
    <row r="234" spans="7:8" x14ac:dyDescent="0.3">
      <c r="G234" s="5"/>
      <c r="H234" s="5"/>
    </row>
    <row r="235" spans="7:8" x14ac:dyDescent="0.3">
      <c r="G235" s="5"/>
      <c r="H235" s="5"/>
    </row>
    <row r="236" spans="7:8" x14ac:dyDescent="0.3">
      <c r="G236" s="5"/>
      <c r="H236" s="5"/>
    </row>
    <row r="237" spans="7:8" x14ac:dyDescent="0.3">
      <c r="G237" s="5"/>
      <c r="H237" s="5"/>
    </row>
    <row r="238" spans="7:8" x14ac:dyDescent="0.3">
      <c r="G238" s="5"/>
      <c r="H238" s="5"/>
    </row>
    <row r="239" spans="7:8" x14ac:dyDescent="0.3">
      <c r="G239" s="5"/>
      <c r="H239" s="5"/>
    </row>
    <row r="240" spans="7:8" x14ac:dyDescent="0.3">
      <c r="G240" s="5"/>
      <c r="H240" s="5"/>
    </row>
    <row r="241" spans="7:8" x14ac:dyDescent="0.3">
      <c r="G241" s="5"/>
      <c r="H241" s="5"/>
    </row>
    <row r="242" spans="7:8" x14ac:dyDescent="0.3">
      <c r="G242" s="5"/>
      <c r="H242" s="5"/>
    </row>
    <row r="243" spans="7:8" x14ac:dyDescent="0.3">
      <c r="G243" s="5"/>
      <c r="H243" s="5"/>
    </row>
    <row r="244" spans="7:8" x14ac:dyDescent="0.3">
      <c r="G244" s="5"/>
      <c r="H244" s="5"/>
    </row>
    <row r="245" spans="7:8" x14ac:dyDescent="0.3">
      <c r="G245" s="5"/>
      <c r="H245" s="5"/>
    </row>
    <row r="246" spans="7:8" x14ac:dyDescent="0.3">
      <c r="G246" s="5"/>
      <c r="H246" s="5"/>
    </row>
    <row r="247" spans="7:8" x14ac:dyDescent="0.3">
      <c r="G247" s="5"/>
      <c r="H247" s="5"/>
    </row>
    <row r="248" spans="7:8" x14ac:dyDescent="0.3">
      <c r="G248" s="5"/>
      <c r="H248" s="5"/>
    </row>
    <row r="249" spans="7:8" x14ac:dyDescent="0.3">
      <c r="G249" s="5"/>
      <c r="H249" s="5"/>
    </row>
    <row r="250" spans="7:8" x14ac:dyDescent="0.3">
      <c r="G250" s="5"/>
      <c r="H250" s="5"/>
    </row>
    <row r="251" spans="7:8" x14ac:dyDescent="0.3">
      <c r="G251" s="5"/>
      <c r="H251" s="5"/>
    </row>
    <row r="252" spans="7:8" x14ac:dyDescent="0.3">
      <c r="G252" s="5"/>
      <c r="H252" s="5"/>
    </row>
    <row r="253" spans="7:8" x14ac:dyDescent="0.3">
      <c r="G253" s="5"/>
      <c r="H253" s="5"/>
    </row>
    <row r="254" spans="7:8" x14ac:dyDescent="0.3">
      <c r="G254" s="5"/>
      <c r="H254" s="5"/>
    </row>
    <row r="255" spans="7:8" x14ac:dyDescent="0.3">
      <c r="G255" s="5"/>
      <c r="H255" s="5"/>
    </row>
    <row r="256" spans="7:8" x14ac:dyDescent="0.3">
      <c r="G256" s="5"/>
      <c r="H256" s="5"/>
    </row>
    <row r="257" spans="7:8" x14ac:dyDescent="0.3">
      <c r="G257" s="5"/>
      <c r="H257" s="5"/>
    </row>
    <row r="258" spans="7:8" x14ac:dyDescent="0.3">
      <c r="G258" s="5"/>
      <c r="H258" s="5"/>
    </row>
    <row r="259" spans="7:8" x14ac:dyDescent="0.3">
      <c r="G259" s="5"/>
      <c r="H259" s="5"/>
    </row>
    <row r="260" spans="7:8" x14ac:dyDescent="0.3">
      <c r="G260" s="5"/>
      <c r="H260" s="5"/>
    </row>
    <row r="261" spans="7:8" x14ac:dyDescent="0.3">
      <c r="G261" s="5"/>
      <c r="H261" s="5"/>
    </row>
    <row r="262" spans="7:8" x14ac:dyDescent="0.3">
      <c r="G262" s="5"/>
      <c r="H262" s="5"/>
    </row>
    <row r="263" spans="7:8" x14ac:dyDescent="0.3">
      <c r="G263" s="5"/>
      <c r="H263" s="5"/>
    </row>
    <row r="264" spans="7:8" x14ac:dyDescent="0.3">
      <c r="G264" s="5"/>
      <c r="H264" s="5"/>
    </row>
    <row r="265" spans="7:8" x14ac:dyDescent="0.3">
      <c r="G265" s="5"/>
      <c r="H265" s="5"/>
    </row>
    <row r="266" spans="7:8" x14ac:dyDescent="0.3">
      <c r="G266" s="5"/>
      <c r="H266" s="5"/>
    </row>
    <row r="267" spans="7:8" x14ac:dyDescent="0.3">
      <c r="G267" s="5"/>
      <c r="H267" s="5"/>
    </row>
    <row r="268" spans="7:8" x14ac:dyDescent="0.3">
      <c r="G268" s="5"/>
      <c r="H268" s="5"/>
    </row>
    <row r="269" spans="7:8" x14ac:dyDescent="0.3">
      <c r="G269" s="5"/>
      <c r="H269" s="5"/>
    </row>
    <row r="270" spans="7:8" x14ac:dyDescent="0.3">
      <c r="G270" s="5"/>
      <c r="H270" s="5"/>
    </row>
    <row r="271" spans="7:8" x14ac:dyDescent="0.3">
      <c r="G271" s="5"/>
      <c r="H271" s="5"/>
    </row>
    <row r="272" spans="7:8" x14ac:dyDescent="0.3">
      <c r="G272" s="5"/>
      <c r="H272" s="5"/>
    </row>
    <row r="273" spans="7:8" x14ac:dyDescent="0.3">
      <c r="G273" s="5"/>
      <c r="H273" s="5"/>
    </row>
    <row r="274" spans="7:8" x14ac:dyDescent="0.3">
      <c r="G274" s="5"/>
      <c r="H274" s="5"/>
    </row>
    <row r="275" spans="7:8" x14ac:dyDescent="0.3">
      <c r="G275" s="5"/>
      <c r="H275" s="5"/>
    </row>
    <row r="276" spans="7:8" x14ac:dyDescent="0.3">
      <c r="G276" s="5"/>
      <c r="H276" s="5"/>
    </row>
    <row r="277" spans="7:8" x14ac:dyDescent="0.3">
      <c r="G277" s="5"/>
      <c r="H277" s="5"/>
    </row>
    <row r="278" spans="7:8" x14ac:dyDescent="0.3">
      <c r="G278" s="5"/>
      <c r="H278" s="5"/>
    </row>
    <row r="279" spans="7:8" x14ac:dyDescent="0.3">
      <c r="G279" s="5"/>
      <c r="H279" s="5"/>
    </row>
    <row r="280" spans="7:8" x14ac:dyDescent="0.3">
      <c r="G280" s="5"/>
      <c r="H280" s="5"/>
    </row>
    <row r="281" spans="7:8" x14ac:dyDescent="0.3">
      <c r="G281" s="5"/>
      <c r="H281" s="5"/>
    </row>
    <row r="282" spans="7:8" x14ac:dyDescent="0.3">
      <c r="G282" s="5"/>
      <c r="H282" s="5"/>
    </row>
    <row r="283" spans="7:8" x14ac:dyDescent="0.3">
      <c r="G283" s="5"/>
      <c r="H283" s="5"/>
    </row>
    <row r="284" spans="7:8" x14ac:dyDescent="0.3">
      <c r="G284" s="5"/>
      <c r="H284" s="5"/>
    </row>
    <row r="285" spans="7:8" x14ac:dyDescent="0.3">
      <c r="G285" s="5"/>
      <c r="H285" s="5"/>
    </row>
    <row r="286" spans="7:8" x14ac:dyDescent="0.3">
      <c r="G286" s="5"/>
      <c r="H286" s="5"/>
    </row>
    <row r="287" spans="7:8" x14ac:dyDescent="0.3">
      <c r="G287" s="5"/>
      <c r="H287" s="5"/>
    </row>
    <row r="288" spans="7:8" x14ac:dyDescent="0.3">
      <c r="G288" s="5"/>
      <c r="H288" s="5"/>
    </row>
    <row r="289" spans="7:8" x14ac:dyDescent="0.3">
      <c r="G289" s="5"/>
      <c r="H289" s="5"/>
    </row>
    <row r="290" spans="7:8" x14ac:dyDescent="0.3">
      <c r="G290" s="5"/>
      <c r="H290" s="5"/>
    </row>
    <row r="291" spans="7:8" x14ac:dyDescent="0.3">
      <c r="G291" s="5"/>
      <c r="H291" s="5"/>
    </row>
    <row r="292" spans="7:8" x14ac:dyDescent="0.3">
      <c r="G292" s="5"/>
      <c r="H292" s="5"/>
    </row>
    <row r="293" spans="7:8" x14ac:dyDescent="0.3">
      <c r="G293" s="5"/>
      <c r="H293" s="5"/>
    </row>
    <row r="294" spans="7:8" x14ac:dyDescent="0.3">
      <c r="G294" s="5"/>
      <c r="H294" s="5"/>
    </row>
    <row r="295" spans="7:8" x14ac:dyDescent="0.3">
      <c r="G295" s="5"/>
      <c r="H295" s="5"/>
    </row>
    <row r="296" spans="7:8" x14ac:dyDescent="0.3">
      <c r="G296" s="5"/>
      <c r="H296" s="5"/>
    </row>
    <row r="297" spans="7:8" x14ac:dyDescent="0.3">
      <c r="G297" s="5"/>
      <c r="H297" s="5"/>
    </row>
    <row r="298" spans="7:8" x14ac:dyDescent="0.3">
      <c r="G298" s="5"/>
      <c r="H298" s="5"/>
    </row>
    <row r="299" spans="7:8" x14ac:dyDescent="0.3">
      <c r="G299" s="5"/>
      <c r="H299" s="5"/>
    </row>
    <row r="300" spans="7:8" x14ac:dyDescent="0.3">
      <c r="G300" s="5"/>
      <c r="H300" s="5"/>
    </row>
    <row r="301" spans="7:8" x14ac:dyDescent="0.3">
      <c r="G301" s="5"/>
      <c r="H301" s="5"/>
    </row>
    <row r="302" spans="7:8" x14ac:dyDescent="0.3">
      <c r="G302" s="5"/>
      <c r="H302" s="5"/>
    </row>
    <row r="303" spans="7:8" x14ac:dyDescent="0.3">
      <c r="G303" s="5"/>
      <c r="H303" s="5"/>
    </row>
    <row r="304" spans="7:8" x14ac:dyDescent="0.3">
      <c r="G304" s="5"/>
      <c r="H304" s="5"/>
    </row>
    <row r="305" spans="7:8" x14ac:dyDescent="0.3">
      <c r="G305" s="5"/>
      <c r="H305" s="5"/>
    </row>
    <row r="306" spans="7:8" x14ac:dyDescent="0.3">
      <c r="G306" s="5"/>
      <c r="H306" s="5"/>
    </row>
    <row r="307" spans="7:8" x14ac:dyDescent="0.3">
      <c r="G307" s="5"/>
      <c r="H307" s="5"/>
    </row>
    <row r="308" spans="7:8" x14ac:dyDescent="0.3">
      <c r="G308" s="5"/>
      <c r="H308" s="5"/>
    </row>
    <row r="309" spans="7:8" x14ac:dyDescent="0.3">
      <c r="G309" s="5"/>
      <c r="H309" s="5"/>
    </row>
    <row r="310" spans="7:8" x14ac:dyDescent="0.3">
      <c r="G310" s="5"/>
      <c r="H310" s="5"/>
    </row>
    <row r="311" spans="7:8" x14ac:dyDescent="0.3">
      <c r="G311" s="5"/>
      <c r="H311" s="5"/>
    </row>
    <row r="312" spans="7:8" x14ac:dyDescent="0.3">
      <c r="G312" s="5"/>
      <c r="H312" s="5"/>
    </row>
    <row r="313" spans="7:8" x14ac:dyDescent="0.3">
      <c r="G313" s="5"/>
      <c r="H313" s="5"/>
    </row>
    <row r="314" spans="7:8" x14ac:dyDescent="0.3">
      <c r="G314" s="5"/>
      <c r="H314" s="5"/>
    </row>
    <row r="315" spans="7:8" x14ac:dyDescent="0.3">
      <c r="G315" s="5"/>
      <c r="H315" s="5"/>
    </row>
    <row r="316" spans="7:8" x14ac:dyDescent="0.3">
      <c r="G316" s="5"/>
      <c r="H316" s="5"/>
    </row>
    <row r="317" spans="7:8" x14ac:dyDescent="0.3">
      <c r="G317" s="5"/>
      <c r="H317" s="5"/>
    </row>
    <row r="318" spans="7:8" x14ac:dyDescent="0.3">
      <c r="G318" s="5"/>
      <c r="H318" s="5"/>
    </row>
    <row r="319" spans="7:8" x14ac:dyDescent="0.3">
      <c r="G319" s="5"/>
      <c r="H319" s="5"/>
    </row>
    <row r="320" spans="7:8" x14ac:dyDescent="0.3">
      <c r="G320" s="5"/>
      <c r="H320" s="5"/>
    </row>
    <row r="321" spans="7:8" x14ac:dyDescent="0.3">
      <c r="G321" s="5"/>
      <c r="H321" s="5"/>
    </row>
    <row r="322" spans="7:8" x14ac:dyDescent="0.3">
      <c r="G322" s="5"/>
      <c r="H322" s="5"/>
    </row>
    <row r="323" spans="7:8" x14ac:dyDescent="0.3">
      <c r="G323" s="5"/>
      <c r="H323" s="5"/>
    </row>
    <row r="324" spans="7:8" x14ac:dyDescent="0.3">
      <c r="G324" s="5"/>
      <c r="H324" s="5"/>
    </row>
    <row r="325" spans="7:8" x14ac:dyDescent="0.3">
      <c r="G325" s="5"/>
      <c r="H325" s="5"/>
    </row>
    <row r="326" spans="7:8" x14ac:dyDescent="0.3">
      <c r="G326" s="5"/>
      <c r="H326" s="5"/>
    </row>
    <row r="327" spans="7:8" x14ac:dyDescent="0.3">
      <c r="G327" s="5"/>
      <c r="H327" s="5"/>
    </row>
    <row r="328" spans="7:8" x14ac:dyDescent="0.3">
      <c r="G328" s="5"/>
      <c r="H328" s="5"/>
    </row>
    <row r="329" spans="7:8" x14ac:dyDescent="0.3">
      <c r="G329" s="5"/>
      <c r="H329" s="5"/>
    </row>
    <row r="330" spans="7:8" x14ac:dyDescent="0.3">
      <c r="G330" s="5"/>
      <c r="H330" s="5"/>
    </row>
    <row r="331" spans="7:8" x14ac:dyDescent="0.3">
      <c r="G331" s="5"/>
      <c r="H331" s="5"/>
    </row>
    <row r="332" spans="7:8" x14ac:dyDescent="0.3">
      <c r="G332" s="5"/>
      <c r="H332" s="5"/>
    </row>
    <row r="333" spans="7:8" x14ac:dyDescent="0.3">
      <c r="G333" s="5"/>
      <c r="H333" s="5"/>
    </row>
    <row r="334" spans="7:8" x14ac:dyDescent="0.3">
      <c r="G334" s="5"/>
      <c r="H334" s="5"/>
    </row>
    <row r="335" spans="7:8" x14ac:dyDescent="0.3">
      <c r="G335" s="5"/>
      <c r="H335" s="5"/>
    </row>
    <row r="336" spans="7:8" x14ac:dyDescent="0.3">
      <c r="G336" s="5"/>
      <c r="H336" s="5"/>
    </row>
    <row r="337" spans="7:8" x14ac:dyDescent="0.3">
      <c r="G337" s="5"/>
      <c r="H337" s="5"/>
    </row>
    <row r="338" spans="7:8" x14ac:dyDescent="0.3">
      <c r="G338" s="5"/>
      <c r="H338" s="5"/>
    </row>
    <row r="339" spans="7:8" x14ac:dyDescent="0.3">
      <c r="G339" s="5"/>
      <c r="H339" s="5"/>
    </row>
    <row r="340" spans="7:8" x14ac:dyDescent="0.3">
      <c r="G340" s="5"/>
      <c r="H340" s="5"/>
    </row>
    <row r="341" spans="7:8" x14ac:dyDescent="0.3">
      <c r="G341" s="5"/>
      <c r="H341" s="5"/>
    </row>
    <row r="342" spans="7:8" x14ac:dyDescent="0.3">
      <c r="G342" s="5"/>
      <c r="H342" s="5"/>
    </row>
    <row r="343" spans="7:8" x14ac:dyDescent="0.3">
      <c r="G343" s="5"/>
      <c r="H343" s="5"/>
    </row>
    <row r="344" spans="7:8" x14ac:dyDescent="0.3">
      <c r="G344" s="5"/>
      <c r="H344" s="5"/>
    </row>
    <row r="345" spans="7:8" x14ac:dyDescent="0.3">
      <c r="G345" s="5"/>
      <c r="H345" s="5"/>
    </row>
    <row r="346" spans="7:8" x14ac:dyDescent="0.3">
      <c r="G346" s="5"/>
      <c r="H346" s="5"/>
    </row>
    <row r="347" spans="7:8" x14ac:dyDescent="0.3">
      <c r="G347" s="5"/>
      <c r="H347" s="5"/>
    </row>
    <row r="348" spans="7:8" x14ac:dyDescent="0.3">
      <c r="G348" s="5"/>
      <c r="H348" s="5"/>
    </row>
    <row r="349" spans="7:8" x14ac:dyDescent="0.3">
      <c r="G349" s="5"/>
      <c r="H349" s="5"/>
    </row>
    <row r="350" spans="7:8" x14ac:dyDescent="0.3">
      <c r="G350" s="5"/>
      <c r="H350" s="5"/>
    </row>
    <row r="351" spans="7:8" x14ac:dyDescent="0.3">
      <c r="G351" s="5"/>
      <c r="H351" s="5"/>
    </row>
    <row r="352" spans="7:8" x14ac:dyDescent="0.3">
      <c r="G352" s="5"/>
      <c r="H352" s="5"/>
    </row>
    <row r="353" spans="7:8" x14ac:dyDescent="0.3">
      <c r="G353" s="5"/>
      <c r="H353" s="5"/>
    </row>
    <row r="354" spans="7:8" x14ac:dyDescent="0.3">
      <c r="G354" s="5"/>
      <c r="H354" s="5"/>
    </row>
    <row r="355" spans="7:8" x14ac:dyDescent="0.3">
      <c r="G355" s="5"/>
      <c r="H355" s="5"/>
    </row>
    <row r="356" spans="7:8" x14ac:dyDescent="0.3">
      <c r="G356" s="5"/>
      <c r="H356" s="5"/>
    </row>
    <row r="357" spans="7:8" x14ac:dyDescent="0.3">
      <c r="G357" s="5"/>
      <c r="H357" s="5"/>
    </row>
    <row r="358" spans="7:8" x14ac:dyDescent="0.3">
      <c r="G358" s="5"/>
      <c r="H358" s="5"/>
    </row>
    <row r="359" spans="7:8" x14ac:dyDescent="0.3">
      <c r="G359" s="5"/>
      <c r="H359" s="5"/>
    </row>
    <row r="360" spans="7:8" x14ac:dyDescent="0.3">
      <c r="G360" s="5"/>
      <c r="H360" s="5"/>
    </row>
    <row r="361" spans="7:8" x14ac:dyDescent="0.3">
      <c r="G361" s="5"/>
      <c r="H361" s="5"/>
    </row>
    <row r="362" spans="7:8" x14ac:dyDescent="0.3">
      <c r="G362" s="5"/>
      <c r="H362" s="5"/>
    </row>
    <row r="363" spans="7:8" x14ac:dyDescent="0.3">
      <c r="G363" s="5"/>
      <c r="H363" s="5"/>
    </row>
    <row r="364" spans="7:8" x14ac:dyDescent="0.3">
      <c r="G364" s="5"/>
      <c r="H364" s="5"/>
    </row>
    <row r="365" spans="7:8" x14ac:dyDescent="0.3">
      <c r="G365" s="5"/>
      <c r="H365" s="5"/>
    </row>
    <row r="366" spans="7:8" x14ac:dyDescent="0.3">
      <c r="G366" s="5"/>
      <c r="H366" s="5"/>
    </row>
    <row r="367" spans="7:8" x14ac:dyDescent="0.3">
      <c r="G367" s="5"/>
      <c r="H367" s="5"/>
    </row>
    <row r="368" spans="7:8" x14ac:dyDescent="0.3">
      <c r="G368" s="5"/>
      <c r="H368" s="5"/>
    </row>
    <row r="369" spans="7:8" x14ac:dyDescent="0.3">
      <c r="G369" s="5"/>
      <c r="H369" s="5"/>
    </row>
    <row r="370" spans="7:8" x14ac:dyDescent="0.3">
      <c r="G370" s="5"/>
      <c r="H370" s="5"/>
    </row>
    <row r="371" spans="7:8" x14ac:dyDescent="0.3">
      <c r="G371" s="5"/>
      <c r="H371" s="5"/>
    </row>
    <row r="372" spans="7:8" x14ac:dyDescent="0.3">
      <c r="G372" s="5"/>
      <c r="H372" s="5"/>
    </row>
    <row r="373" spans="7:8" x14ac:dyDescent="0.3">
      <c r="G373" s="5"/>
      <c r="H373" s="5"/>
    </row>
    <row r="374" spans="7:8" x14ac:dyDescent="0.3">
      <c r="G374" s="5"/>
      <c r="H374" s="5"/>
    </row>
    <row r="375" spans="7:8" x14ac:dyDescent="0.3">
      <c r="G375" s="5"/>
      <c r="H375" s="5"/>
    </row>
    <row r="376" spans="7:8" x14ac:dyDescent="0.3">
      <c r="G376" s="5"/>
      <c r="H376" s="5"/>
    </row>
    <row r="377" spans="7:8" x14ac:dyDescent="0.3">
      <c r="G377" s="5"/>
      <c r="H377" s="5"/>
    </row>
    <row r="378" spans="7:8" x14ac:dyDescent="0.3">
      <c r="G378" s="5"/>
      <c r="H378" s="5"/>
    </row>
    <row r="379" spans="7:8" x14ac:dyDescent="0.3">
      <c r="G379" s="5"/>
      <c r="H379" s="5"/>
    </row>
    <row r="380" spans="7:8" x14ac:dyDescent="0.3">
      <c r="G380" s="5"/>
      <c r="H380" s="5"/>
    </row>
    <row r="381" spans="7:8" x14ac:dyDescent="0.3">
      <c r="G381" s="5"/>
      <c r="H381" s="5"/>
    </row>
    <row r="382" spans="7:8" x14ac:dyDescent="0.3">
      <c r="G382" s="5"/>
      <c r="H382" s="5"/>
    </row>
    <row r="383" spans="7:8" x14ac:dyDescent="0.3">
      <c r="G383" s="5"/>
      <c r="H383" s="5"/>
    </row>
    <row r="384" spans="7:8" x14ac:dyDescent="0.3">
      <c r="G384" s="5"/>
      <c r="H384" s="5"/>
    </row>
    <row r="385" spans="7:8" x14ac:dyDescent="0.3">
      <c r="G385" s="5"/>
      <c r="H385" s="5"/>
    </row>
    <row r="386" spans="7:8" x14ac:dyDescent="0.3">
      <c r="G386" s="5"/>
      <c r="H386" s="5"/>
    </row>
    <row r="387" spans="7:8" x14ac:dyDescent="0.3">
      <c r="G387" s="5"/>
      <c r="H387" s="5"/>
    </row>
    <row r="388" spans="7:8" x14ac:dyDescent="0.3">
      <c r="G388" s="5"/>
      <c r="H388" s="5"/>
    </row>
    <row r="389" spans="7:8" x14ac:dyDescent="0.3">
      <c r="G389" s="5"/>
      <c r="H389" s="5"/>
    </row>
    <row r="390" spans="7:8" x14ac:dyDescent="0.3">
      <c r="G390" s="5"/>
      <c r="H390" s="5"/>
    </row>
    <row r="391" spans="7:8" x14ac:dyDescent="0.3">
      <c r="G391" s="5"/>
      <c r="H391" s="5"/>
    </row>
    <row r="392" spans="7:8" x14ac:dyDescent="0.3">
      <c r="G392" s="5"/>
      <c r="H392" s="5"/>
    </row>
    <row r="393" spans="7:8" x14ac:dyDescent="0.3">
      <c r="G393" s="5"/>
      <c r="H393" s="5"/>
    </row>
    <row r="394" spans="7:8" x14ac:dyDescent="0.3">
      <c r="G394" s="5"/>
      <c r="H394" s="5"/>
    </row>
    <row r="395" spans="7:8" x14ac:dyDescent="0.3">
      <c r="G395" s="5"/>
      <c r="H395" s="5"/>
    </row>
    <row r="396" spans="7:8" x14ac:dyDescent="0.3">
      <c r="G396" s="5"/>
      <c r="H396" s="5"/>
    </row>
    <row r="397" spans="7:8" x14ac:dyDescent="0.3">
      <c r="G397" s="5"/>
      <c r="H397" s="5"/>
    </row>
    <row r="398" spans="7:8" x14ac:dyDescent="0.3">
      <c r="G398" s="5"/>
      <c r="H398" s="5"/>
    </row>
    <row r="399" spans="7:8" x14ac:dyDescent="0.3">
      <c r="G399" s="5"/>
      <c r="H399" s="5"/>
    </row>
    <row r="400" spans="7:8" x14ac:dyDescent="0.3">
      <c r="G400" s="5"/>
      <c r="H400" s="5"/>
    </row>
    <row r="401" spans="7:8" x14ac:dyDescent="0.3">
      <c r="G401" s="5"/>
      <c r="H401" s="5"/>
    </row>
    <row r="402" spans="7:8" x14ac:dyDescent="0.3">
      <c r="G402" s="5"/>
      <c r="H402" s="5"/>
    </row>
    <row r="403" spans="7:8" x14ac:dyDescent="0.3">
      <c r="G403" s="5"/>
      <c r="H403" s="5"/>
    </row>
    <row r="404" spans="7:8" x14ac:dyDescent="0.3">
      <c r="G404" s="5"/>
      <c r="H404" s="5"/>
    </row>
    <row r="405" spans="7:8" x14ac:dyDescent="0.3">
      <c r="G405" s="5"/>
      <c r="H405" s="5"/>
    </row>
    <row r="406" spans="7:8" x14ac:dyDescent="0.3">
      <c r="G406" s="5"/>
      <c r="H406" s="5"/>
    </row>
    <row r="407" spans="7:8" x14ac:dyDescent="0.3">
      <c r="G407" s="5"/>
      <c r="H407" s="5"/>
    </row>
    <row r="408" spans="7:8" x14ac:dyDescent="0.3">
      <c r="G408" s="5"/>
      <c r="H408" s="5"/>
    </row>
    <row r="409" spans="7:8" x14ac:dyDescent="0.3">
      <c r="G409" s="5"/>
      <c r="H409" s="5"/>
    </row>
    <row r="410" spans="7:8" x14ac:dyDescent="0.3">
      <c r="G410" s="5"/>
      <c r="H410" s="5"/>
    </row>
    <row r="411" spans="7:8" x14ac:dyDescent="0.3">
      <c r="G411" s="5"/>
      <c r="H411" s="5"/>
    </row>
    <row r="412" spans="7:8" x14ac:dyDescent="0.3">
      <c r="G412" s="5"/>
      <c r="H412" s="5"/>
    </row>
    <row r="413" spans="7:8" x14ac:dyDescent="0.3">
      <c r="G413" s="5"/>
      <c r="H413" s="5"/>
    </row>
    <row r="414" spans="7:8" x14ac:dyDescent="0.3">
      <c r="G414" s="5"/>
      <c r="H414" s="5"/>
    </row>
    <row r="415" spans="7:8" x14ac:dyDescent="0.3">
      <c r="G415" s="5"/>
      <c r="H415" s="5"/>
    </row>
    <row r="416" spans="7:8" x14ac:dyDescent="0.3">
      <c r="G416" s="5"/>
      <c r="H416" s="5"/>
    </row>
    <row r="417" spans="7:8" x14ac:dyDescent="0.3">
      <c r="G417" s="5"/>
      <c r="H417" s="5"/>
    </row>
    <row r="418" spans="7:8" x14ac:dyDescent="0.3">
      <c r="G418" s="5"/>
      <c r="H418" s="5"/>
    </row>
    <row r="419" spans="7:8" x14ac:dyDescent="0.3">
      <c r="G419" s="5"/>
      <c r="H419" s="5"/>
    </row>
    <row r="420" spans="7:8" x14ac:dyDescent="0.3">
      <c r="G420" s="5"/>
      <c r="H420" s="5"/>
    </row>
    <row r="421" spans="7:8" x14ac:dyDescent="0.3">
      <c r="G421" s="5"/>
      <c r="H421" s="5"/>
    </row>
    <row r="422" spans="7:8" x14ac:dyDescent="0.3">
      <c r="G422" s="5"/>
      <c r="H422" s="5"/>
    </row>
    <row r="423" spans="7:8" x14ac:dyDescent="0.3">
      <c r="G423" s="5"/>
      <c r="H423" s="5"/>
    </row>
    <row r="424" spans="7:8" x14ac:dyDescent="0.3">
      <c r="G424" s="5"/>
      <c r="H424" s="5"/>
    </row>
    <row r="425" spans="7:8" x14ac:dyDescent="0.3">
      <c r="G425" s="5"/>
      <c r="H425" s="5"/>
    </row>
    <row r="426" spans="7:8" x14ac:dyDescent="0.3">
      <c r="G426" s="5"/>
      <c r="H426" s="5"/>
    </row>
    <row r="427" spans="7:8" x14ac:dyDescent="0.3">
      <c r="G427" s="5"/>
      <c r="H427" s="5"/>
    </row>
    <row r="428" spans="7:8" x14ac:dyDescent="0.3">
      <c r="G428" s="5"/>
      <c r="H428" s="5"/>
    </row>
    <row r="429" spans="7:8" x14ac:dyDescent="0.3">
      <c r="G429" s="5"/>
      <c r="H429" s="5"/>
    </row>
    <row r="430" spans="7:8" x14ac:dyDescent="0.3">
      <c r="G430" s="5"/>
      <c r="H430" s="5"/>
    </row>
    <row r="431" spans="7:8" x14ac:dyDescent="0.3">
      <c r="G431" s="5"/>
      <c r="H431" s="5"/>
    </row>
    <row r="432" spans="7:8" x14ac:dyDescent="0.3">
      <c r="G432" s="5"/>
      <c r="H432" s="5"/>
    </row>
    <row r="433" spans="7:8" x14ac:dyDescent="0.3">
      <c r="G433" s="5"/>
      <c r="H433" s="5"/>
    </row>
    <row r="434" spans="7:8" x14ac:dyDescent="0.3">
      <c r="G434" s="5"/>
      <c r="H434" s="5"/>
    </row>
    <row r="435" spans="7:8" x14ac:dyDescent="0.3">
      <c r="G435" s="5"/>
      <c r="H435" s="5"/>
    </row>
    <row r="436" spans="7:8" x14ac:dyDescent="0.3">
      <c r="G436" s="5"/>
      <c r="H436" s="5"/>
    </row>
    <row r="437" spans="7:8" x14ac:dyDescent="0.3">
      <c r="G437" s="5"/>
      <c r="H437" s="5"/>
    </row>
    <row r="438" spans="7:8" x14ac:dyDescent="0.3">
      <c r="G438" s="5"/>
      <c r="H438" s="5"/>
    </row>
    <row r="439" spans="7:8" x14ac:dyDescent="0.3">
      <c r="G439" s="5"/>
      <c r="H439" s="5"/>
    </row>
    <row r="440" spans="7:8" x14ac:dyDescent="0.3">
      <c r="G440" s="5"/>
      <c r="H440" s="5"/>
    </row>
    <row r="441" spans="7:8" x14ac:dyDescent="0.3">
      <c r="G441" s="5"/>
      <c r="H441" s="5"/>
    </row>
    <row r="442" spans="7:8" x14ac:dyDescent="0.3">
      <c r="G442" s="5"/>
      <c r="H442" s="5"/>
    </row>
    <row r="443" spans="7:8" x14ac:dyDescent="0.3">
      <c r="G443" s="5"/>
      <c r="H443" s="5"/>
    </row>
    <row r="444" spans="7:8" x14ac:dyDescent="0.3">
      <c r="G444" s="5"/>
      <c r="H444" s="5"/>
    </row>
    <row r="445" spans="7:8" x14ac:dyDescent="0.3">
      <c r="G445" s="5"/>
      <c r="H445" s="5"/>
    </row>
    <row r="446" spans="7:8" x14ac:dyDescent="0.3">
      <c r="G446" s="5"/>
      <c r="H446" s="5"/>
    </row>
    <row r="447" spans="7:8" x14ac:dyDescent="0.3">
      <c r="G447" s="5"/>
      <c r="H447" s="5"/>
    </row>
    <row r="448" spans="7:8" x14ac:dyDescent="0.3">
      <c r="G448" s="5"/>
      <c r="H448" s="5"/>
    </row>
    <row r="449" spans="7:8" x14ac:dyDescent="0.3">
      <c r="G449" s="5"/>
      <c r="H449" s="5"/>
    </row>
    <row r="450" spans="7:8" x14ac:dyDescent="0.3">
      <c r="G450" s="5"/>
      <c r="H450" s="5"/>
    </row>
    <row r="451" spans="7:8" x14ac:dyDescent="0.3">
      <c r="G451" s="5"/>
      <c r="H451" s="5"/>
    </row>
    <row r="452" spans="7:8" x14ac:dyDescent="0.3">
      <c r="G452" s="5"/>
      <c r="H452" s="5"/>
    </row>
    <row r="453" spans="7:8" x14ac:dyDescent="0.3">
      <c r="G453" s="5"/>
      <c r="H453" s="5"/>
    </row>
    <row r="454" spans="7:8" x14ac:dyDescent="0.3">
      <c r="G454" s="5"/>
      <c r="H454" s="5"/>
    </row>
    <row r="455" spans="7:8" x14ac:dyDescent="0.3">
      <c r="G455" s="5"/>
      <c r="H455" s="5"/>
    </row>
    <row r="456" spans="7:8" x14ac:dyDescent="0.3">
      <c r="G456" s="5"/>
      <c r="H456" s="5"/>
    </row>
    <row r="457" spans="7:8" x14ac:dyDescent="0.3">
      <c r="G457" s="5"/>
      <c r="H457" s="5"/>
    </row>
    <row r="458" spans="7:8" x14ac:dyDescent="0.3">
      <c r="G458" s="5"/>
      <c r="H458" s="5"/>
    </row>
    <row r="459" spans="7:8" x14ac:dyDescent="0.3">
      <c r="G459" s="5"/>
      <c r="H459" s="5"/>
    </row>
    <row r="460" spans="7:8" x14ac:dyDescent="0.3">
      <c r="G460" s="5"/>
      <c r="H460" s="5"/>
    </row>
    <row r="461" spans="7:8" x14ac:dyDescent="0.3">
      <c r="G461" s="5"/>
      <c r="H461" s="5"/>
    </row>
    <row r="462" spans="7:8" x14ac:dyDescent="0.3">
      <c r="G462" s="5"/>
      <c r="H462" s="5"/>
    </row>
    <row r="463" spans="7:8" x14ac:dyDescent="0.3">
      <c r="G463" s="5"/>
      <c r="H463" s="5"/>
    </row>
    <row r="464" spans="7:8" x14ac:dyDescent="0.3">
      <c r="G464" s="5"/>
      <c r="H464" s="5"/>
    </row>
    <row r="465" spans="7:8" x14ac:dyDescent="0.3">
      <c r="G465" s="5"/>
      <c r="H465" s="5"/>
    </row>
    <row r="466" spans="7:8" x14ac:dyDescent="0.3">
      <c r="G466" s="5"/>
      <c r="H466" s="5"/>
    </row>
    <row r="467" spans="7:8" x14ac:dyDescent="0.3">
      <c r="G467" s="5"/>
      <c r="H467" s="5"/>
    </row>
    <row r="468" spans="7:8" x14ac:dyDescent="0.3">
      <c r="G468" s="5"/>
      <c r="H468" s="5"/>
    </row>
    <row r="469" spans="7:8" x14ac:dyDescent="0.3">
      <c r="G469" s="5"/>
      <c r="H469" s="5"/>
    </row>
    <row r="470" spans="7:8" x14ac:dyDescent="0.3">
      <c r="G470" s="5"/>
      <c r="H470" s="5"/>
    </row>
    <row r="471" spans="7:8" x14ac:dyDescent="0.3">
      <c r="G471" s="5"/>
      <c r="H471" s="5"/>
    </row>
    <row r="472" spans="7:8" x14ac:dyDescent="0.3">
      <c r="G472" s="5"/>
      <c r="H472" s="5"/>
    </row>
    <row r="473" spans="7:8" x14ac:dyDescent="0.3">
      <c r="G473" s="5"/>
      <c r="H473" s="5"/>
    </row>
    <row r="474" spans="7:8" x14ac:dyDescent="0.3">
      <c r="G474" s="5"/>
      <c r="H474" s="5"/>
    </row>
    <row r="475" spans="7:8" x14ac:dyDescent="0.3">
      <c r="G475" s="5"/>
      <c r="H475" s="5"/>
    </row>
    <row r="476" spans="7:8" x14ac:dyDescent="0.3">
      <c r="G476" s="5"/>
      <c r="H476" s="5"/>
    </row>
    <row r="477" spans="7:8" x14ac:dyDescent="0.3">
      <c r="G477" s="5"/>
      <c r="H477" s="5"/>
    </row>
    <row r="478" spans="7:8" x14ac:dyDescent="0.3">
      <c r="G478" s="5"/>
      <c r="H478" s="5"/>
    </row>
    <row r="479" spans="7:8" x14ac:dyDescent="0.3">
      <c r="G479" s="5"/>
      <c r="H479" s="5"/>
    </row>
    <row r="480" spans="7:8" x14ac:dyDescent="0.3">
      <c r="G480" s="5"/>
      <c r="H480" s="5"/>
    </row>
    <row r="481" spans="7:8" x14ac:dyDescent="0.3">
      <c r="G481" s="5"/>
      <c r="H481" s="5"/>
    </row>
    <row r="482" spans="7:8" x14ac:dyDescent="0.3">
      <c r="G482" s="5"/>
      <c r="H482" s="5"/>
    </row>
    <row r="483" spans="7:8" x14ac:dyDescent="0.3">
      <c r="G483" s="5"/>
      <c r="H483" s="5"/>
    </row>
    <row r="484" spans="7:8" x14ac:dyDescent="0.3">
      <c r="G484" s="5"/>
      <c r="H484" s="5"/>
    </row>
    <row r="485" spans="7:8" x14ac:dyDescent="0.3">
      <c r="G485" s="5"/>
      <c r="H485" s="5"/>
    </row>
    <row r="486" spans="7:8" x14ac:dyDescent="0.3">
      <c r="G486" s="5"/>
      <c r="H486" s="5"/>
    </row>
    <row r="487" spans="7:8" x14ac:dyDescent="0.3">
      <c r="G487" s="5"/>
      <c r="H487" s="5"/>
    </row>
    <row r="488" spans="7:8" x14ac:dyDescent="0.3">
      <c r="G488" s="5"/>
      <c r="H488" s="5"/>
    </row>
    <row r="489" spans="7:8" x14ac:dyDescent="0.3">
      <c r="G489" s="5"/>
      <c r="H489" s="5"/>
    </row>
    <row r="490" spans="7:8" x14ac:dyDescent="0.3">
      <c r="G490" s="5"/>
      <c r="H490" s="5"/>
    </row>
    <row r="491" spans="7:8" x14ac:dyDescent="0.3">
      <c r="G491" s="5"/>
      <c r="H491" s="5"/>
    </row>
    <row r="492" spans="7:8" x14ac:dyDescent="0.3">
      <c r="G492" s="5"/>
      <c r="H492" s="5"/>
    </row>
    <row r="493" spans="7:8" x14ac:dyDescent="0.3">
      <c r="G493" s="5"/>
      <c r="H493" s="5"/>
    </row>
    <row r="494" spans="7:8" x14ac:dyDescent="0.3">
      <c r="G494" s="5"/>
      <c r="H494" s="5"/>
    </row>
    <row r="495" spans="7:8" x14ac:dyDescent="0.3">
      <c r="G495" s="5"/>
      <c r="H495" s="5"/>
    </row>
    <row r="496" spans="7:8" x14ac:dyDescent="0.3">
      <c r="G496" s="5"/>
      <c r="H496" s="5"/>
    </row>
    <row r="497" spans="7:8" x14ac:dyDescent="0.3">
      <c r="G497" s="5"/>
      <c r="H497" s="5"/>
    </row>
    <row r="498" spans="7:8" x14ac:dyDescent="0.3">
      <c r="G498" s="5"/>
      <c r="H498" s="5"/>
    </row>
    <row r="499" spans="7:8" x14ac:dyDescent="0.3">
      <c r="G499" s="5"/>
      <c r="H499" s="5"/>
    </row>
    <row r="500" spans="7:8" x14ac:dyDescent="0.3">
      <c r="G500" s="5"/>
      <c r="H500" s="5"/>
    </row>
    <row r="501" spans="7:8" x14ac:dyDescent="0.3">
      <c r="G501" s="5"/>
      <c r="H501" s="5"/>
    </row>
    <row r="502" spans="7:8" x14ac:dyDescent="0.3">
      <c r="G502" s="5"/>
      <c r="H502" s="5"/>
    </row>
    <row r="503" spans="7:8" x14ac:dyDescent="0.3">
      <c r="G503" s="5"/>
      <c r="H503" s="5"/>
    </row>
    <row r="504" spans="7:8" x14ac:dyDescent="0.3">
      <c r="G504" s="5"/>
      <c r="H504" s="5"/>
    </row>
    <row r="505" spans="7:8" x14ac:dyDescent="0.3">
      <c r="G505" s="5"/>
      <c r="H505" s="5"/>
    </row>
    <row r="506" spans="7:8" x14ac:dyDescent="0.3">
      <c r="G506" s="5"/>
      <c r="H506" s="5"/>
    </row>
    <row r="507" spans="7:8" x14ac:dyDescent="0.3">
      <c r="G507" s="5"/>
      <c r="H507" s="5"/>
    </row>
    <row r="508" spans="7:8" x14ac:dyDescent="0.3">
      <c r="G508" s="5"/>
      <c r="H508" s="5"/>
    </row>
    <row r="509" spans="7:8" x14ac:dyDescent="0.3">
      <c r="G509" s="5"/>
      <c r="H509" s="5"/>
    </row>
    <row r="510" spans="7:8" x14ac:dyDescent="0.3">
      <c r="G510" s="5"/>
      <c r="H510" s="5"/>
    </row>
    <row r="511" spans="7:8" x14ac:dyDescent="0.3">
      <c r="G511" s="5"/>
      <c r="H511" s="5"/>
    </row>
    <row r="512" spans="7:8" x14ac:dyDescent="0.3">
      <c r="G512" s="5"/>
      <c r="H512" s="5"/>
    </row>
    <row r="513" spans="7:8" x14ac:dyDescent="0.3">
      <c r="G513" s="5"/>
      <c r="H513" s="5"/>
    </row>
    <row r="514" spans="7:8" x14ac:dyDescent="0.3">
      <c r="G514" s="5"/>
      <c r="H514" s="5"/>
    </row>
    <row r="515" spans="7:8" x14ac:dyDescent="0.3">
      <c r="G515" s="5"/>
      <c r="H515" s="5"/>
    </row>
    <row r="516" spans="7:8" x14ac:dyDescent="0.3">
      <c r="G516" s="5"/>
      <c r="H516" s="5"/>
    </row>
    <row r="517" spans="7:8" x14ac:dyDescent="0.3">
      <c r="G517" s="5"/>
      <c r="H517" s="5"/>
    </row>
    <row r="518" spans="7:8" x14ac:dyDescent="0.3">
      <c r="G518" s="5"/>
      <c r="H518" s="5"/>
    </row>
    <row r="519" spans="7:8" x14ac:dyDescent="0.3">
      <c r="G519" s="5"/>
      <c r="H519" s="5"/>
    </row>
    <row r="520" spans="7:8" x14ac:dyDescent="0.3">
      <c r="G520" s="5"/>
      <c r="H520" s="5"/>
    </row>
    <row r="521" spans="7:8" x14ac:dyDescent="0.3">
      <c r="G521" s="5"/>
      <c r="H521" s="5"/>
    </row>
    <row r="522" spans="7:8" x14ac:dyDescent="0.3">
      <c r="G522" s="5"/>
      <c r="H522" s="5"/>
    </row>
    <row r="523" spans="7:8" x14ac:dyDescent="0.3">
      <c r="G523" s="5"/>
      <c r="H523" s="5"/>
    </row>
    <row r="524" spans="7:8" x14ac:dyDescent="0.3">
      <c r="G524" s="5"/>
      <c r="H524" s="5"/>
    </row>
    <row r="525" spans="7:8" x14ac:dyDescent="0.3">
      <c r="G525" s="5"/>
      <c r="H525" s="5"/>
    </row>
    <row r="526" spans="7:8" x14ac:dyDescent="0.3">
      <c r="G526" s="5"/>
      <c r="H526" s="5"/>
    </row>
    <row r="527" spans="7:8" x14ac:dyDescent="0.3">
      <c r="G527" s="5"/>
      <c r="H527" s="5"/>
    </row>
    <row r="528" spans="7:8" x14ac:dyDescent="0.3">
      <c r="G528" s="5"/>
      <c r="H528" s="5"/>
    </row>
    <row r="529" spans="7:8" x14ac:dyDescent="0.3">
      <c r="G529" s="5"/>
      <c r="H529" s="5"/>
    </row>
    <row r="530" spans="7:8" x14ac:dyDescent="0.3">
      <c r="G530" s="5"/>
      <c r="H530" s="5"/>
    </row>
    <row r="531" spans="7:8" x14ac:dyDescent="0.3">
      <c r="G531" s="5"/>
      <c r="H531" s="5"/>
    </row>
    <row r="532" spans="7:8" x14ac:dyDescent="0.3">
      <c r="G532" s="5"/>
      <c r="H532" s="5"/>
    </row>
    <row r="533" spans="7:8" x14ac:dyDescent="0.3">
      <c r="G533" s="5"/>
      <c r="H533" s="5"/>
    </row>
    <row r="534" spans="7:8" x14ac:dyDescent="0.3">
      <c r="G534" s="5"/>
      <c r="H534" s="5"/>
    </row>
    <row r="535" spans="7:8" x14ac:dyDescent="0.3">
      <c r="G535" s="5"/>
      <c r="H535" s="5"/>
    </row>
    <row r="536" spans="7:8" x14ac:dyDescent="0.3">
      <c r="G536" s="5"/>
      <c r="H536" s="5"/>
    </row>
    <row r="537" spans="7:8" x14ac:dyDescent="0.3">
      <c r="G537" s="5"/>
      <c r="H537" s="5"/>
    </row>
    <row r="538" spans="7:8" x14ac:dyDescent="0.3">
      <c r="G538" s="5"/>
      <c r="H538" s="5"/>
    </row>
    <row r="539" spans="7:8" x14ac:dyDescent="0.3">
      <c r="G539" s="5"/>
      <c r="H539" s="5"/>
    </row>
    <row r="540" spans="7:8" x14ac:dyDescent="0.3">
      <c r="G540" s="5"/>
      <c r="H540" s="5"/>
    </row>
    <row r="541" spans="7:8" x14ac:dyDescent="0.3">
      <c r="G541" s="5"/>
      <c r="H541" s="5"/>
    </row>
    <row r="542" spans="7:8" x14ac:dyDescent="0.3">
      <c r="G542" s="5"/>
      <c r="H542" s="5"/>
    </row>
    <row r="543" spans="7:8" x14ac:dyDescent="0.3">
      <c r="G543" s="5"/>
      <c r="H543" s="5"/>
    </row>
    <row r="544" spans="7:8" x14ac:dyDescent="0.3">
      <c r="G544" s="5"/>
      <c r="H544" s="5"/>
    </row>
    <row r="545" spans="7:8" x14ac:dyDescent="0.3">
      <c r="G545" s="5"/>
      <c r="H545" s="5"/>
    </row>
    <row r="546" spans="7:8" x14ac:dyDescent="0.3">
      <c r="G546" s="5"/>
      <c r="H546" s="5"/>
    </row>
    <row r="547" spans="7:8" x14ac:dyDescent="0.3">
      <c r="G547" s="5"/>
      <c r="H547" s="5"/>
    </row>
    <row r="548" spans="7:8" x14ac:dyDescent="0.3">
      <c r="G548" s="5"/>
      <c r="H548" s="5"/>
    </row>
    <row r="549" spans="7:8" x14ac:dyDescent="0.3">
      <c r="G549" s="5"/>
      <c r="H549" s="5"/>
    </row>
    <row r="550" spans="7:8" x14ac:dyDescent="0.3">
      <c r="G550" s="5"/>
      <c r="H550" s="5"/>
    </row>
    <row r="551" spans="7:8" x14ac:dyDescent="0.3">
      <c r="G551" s="5"/>
      <c r="H551" s="5"/>
    </row>
    <row r="552" spans="7:8" x14ac:dyDescent="0.3">
      <c r="G552" s="5"/>
      <c r="H552" s="5"/>
    </row>
    <row r="553" spans="7:8" x14ac:dyDescent="0.3">
      <c r="G553" s="5"/>
      <c r="H553" s="5"/>
    </row>
    <row r="554" spans="7:8" x14ac:dyDescent="0.3">
      <c r="G554" s="5"/>
      <c r="H554" s="5"/>
    </row>
    <row r="555" spans="7:8" x14ac:dyDescent="0.3">
      <c r="G555" s="5"/>
      <c r="H555" s="5"/>
    </row>
    <row r="556" spans="7:8" x14ac:dyDescent="0.3">
      <c r="G556" s="5"/>
      <c r="H556" s="5"/>
    </row>
    <row r="557" spans="7:8" x14ac:dyDescent="0.3">
      <c r="G557" s="5"/>
      <c r="H557" s="5"/>
    </row>
    <row r="558" spans="7:8" x14ac:dyDescent="0.3">
      <c r="G558" s="5"/>
      <c r="H558" s="5"/>
    </row>
    <row r="559" spans="7:8" x14ac:dyDescent="0.3">
      <c r="G559" s="5"/>
      <c r="H559" s="5"/>
    </row>
    <row r="560" spans="7:8" x14ac:dyDescent="0.3">
      <c r="G560" s="5"/>
      <c r="H560" s="5"/>
    </row>
    <row r="561" spans="7:8" x14ac:dyDescent="0.3">
      <c r="G561" s="5"/>
      <c r="H561" s="5"/>
    </row>
    <row r="562" spans="7:8" x14ac:dyDescent="0.3">
      <c r="G562" s="5"/>
      <c r="H562" s="5"/>
    </row>
    <row r="563" spans="7:8" x14ac:dyDescent="0.3">
      <c r="G563" s="5"/>
      <c r="H563" s="5"/>
    </row>
    <row r="564" spans="7:8" x14ac:dyDescent="0.3">
      <c r="G564" s="5"/>
      <c r="H564" s="5"/>
    </row>
    <row r="565" spans="7:8" x14ac:dyDescent="0.3">
      <c r="G565" s="5"/>
      <c r="H565" s="5"/>
    </row>
    <row r="566" spans="7:8" x14ac:dyDescent="0.3">
      <c r="G566" s="5"/>
      <c r="H566" s="5"/>
    </row>
    <row r="567" spans="7:8" x14ac:dyDescent="0.3">
      <c r="G567" s="5"/>
      <c r="H567" s="5"/>
    </row>
    <row r="568" spans="7:8" x14ac:dyDescent="0.3">
      <c r="G568" s="5"/>
      <c r="H568" s="5"/>
    </row>
    <row r="569" spans="7:8" x14ac:dyDescent="0.3">
      <c r="G569" s="5"/>
      <c r="H569" s="5"/>
    </row>
    <row r="570" spans="7:8" x14ac:dyDescent="0.3">
      <c r="G570" s="5"/>
      <c r="H570" s="5"/>
    </row>
    <row r="571" spans="7:8" x14ac:dyDescent="0.3">
      <c r="G571" s="5"/>
      <c r="H571" s="5"/>
    </row>
    <row r="572" spans="7:8" x14ac:dyDescent="0.3">
      <c r="G572" s="5"/>
      <c r="H572" s="5"/>
    </row>
    <row r="573" spans="7:8" x14ac:dyDescent="0.3">
      <c r="G573" s="5"/>
      <c r="H573" s="5"/>
    </row>
    <row r="574" spans="7:8" x14ac:dyDescent="0.3">
      <c r="G574" s="5"/>
      <c r="H574" s="5"/>
    </row>
    <row r="575" spans="7:8" x14ac:dyDescent="0.3">
      <c r="G575" s="5"/>
      <c r="H575" s="5"/>
    </row>
    <row r="576" spans="7:8" x14ac:dyDescent="0.3">
      <c r="G576" s="5"/>
      <c r="H576" s="5"/>
    </row>
    <row r="577" spans="7:8" x14ac:dyDescent="0.3">
      <c r="G577" s="5"/>
      <c r="H577" s="5"/>
    </row>
    <row r="578" spans="7:8" x14ac:dyDescent="0.3">
      <c r="G578" s="5"/>
      <c r="H578" s="5"/>
    </row>
    <row r="579" spans="7:8" x14ac:dyDescent="0.3">
      <c r="G579" s="5"/>
      <c r="H579" s="5"/>
    </row>
    <row r="580" spans="7:8" x14ac:dyDescent="0.3">
      <c r="G580" s="5"/>
      <c r="H580" s="5"/>
    </row>
    <row r="581" spans="7:8" x14ac:dyDescent="0.3">
      <c r="G581" s="5"/>
      <c r="H581" s="5"/>
    </row>
    <row r="582" spans="7:8" x14ac:dyDescent="0.3">
      <c r="G582" s="5"/>
      <c r="H582" s="5"/>
    </row>
    <row r="583" spans="7:8" x14ac:dyDescent="0.3">
      <c r="G583" s="5"/>
      <c r="H583" s="5"/>
    </row>
    <row r="584" spans="7:8" x14ac:dyDescent="0.3">
      <c r="G584" s="5"/>
      <c r="H584" s="5"/>
    </row>
    <row r="585" spans="7:8" x14ac:dyDescent="0.3">
      <c r="G585" s="5"/>
      <c r="H585" s="5"/>
    </row>
    <row r="586" spans="7:8" x14ac:dyDescent="0.3">
      <c r="G586" s="5"/>
      <c r="H586" s="5"/>
    </row>
    <row r="587" spans="7:8" x14ac:dyDescent="0.3">
      <c r="G587" s="5"/>
      <c r="H587" s="5"/>
    </row>
    <row r="588" spans="7:8" x14ac:dyDescent="0.3">
      <c r="G588" s="5"/>
      <c r="H588" s="5"/>
    </row>
    <row r="589" spans="7:8" x14ac:dyDescent="0.3">
      <c r="G589" s="5"/>
      <c r="H589" s="5"/>
    </row>
    <row r="590" spans="7:8" x14ac:dyDescent="0.3">
      <c r="G590" s="5"/>
      <c r="H590" s="5"/>
    </row>
    <row r="591" spans="7:8" x14ac:dyDescent="0.3">
      <c r="G591" s="5"/>
      <c r="H591" s="5"/>
    </row>
    <row r="592" spans="7:8" x14ac:dyDescent="0.3">
      <c r="G592" s="5"/>
      <c r="H592" s="5"/>
    </row>
    <row r="593" spans="7:8" x14ac:dyDescent="0.3">
      <c r="G593" s="5"/>
      <c r="H593" s="5"/>
    </row>
    <row r="594" spans="7:8" x14ac:dyDescent="0.3">
      <c r="G594" s="5"/>
      <c r="H594" s="5"/>
    </row>
    <row r="595" spans="7:8" x14ac:dyDescent="0.3">
      <c r="G595" s="5"/>
      <c r="H595" s="5"/>
    </row>
    <row r="596" spans="7:8" x14ac:dyDescent="0.3">
      <c r="G596" s="5"/>
      <c r="H596" s="5"/>
    </row>
    <row r="597" spans="7:8" x14ac:dyDescent="0.3">
      <c r="G597" s="5"/>
      <c r="H597" s="5"/>
    </row>
    <row r="598" spans="7:8" x14ac:dyDescent="0.3">
      <c r="G598" s="5"/>
      <c r="H598" s="5"/>
    </row>
    <row r="599" spans="7:8" x14ac:dyDescent="0.3">
      <c r="G599" s="5"/>
      <c r="H599" s="5"/>
    </row>
    <row r="600" spans="7:8" x14ac:dyDescent="0.3">
      <c r="G600" s="5"/>
      <c r="H600" s="5"/>
    </row>
    <row r="601" spans="7:8" x14ac:dyDescent="0.3">
      <c r="G601" s="5"/>
      <c r="H601" s="5"/>
    </row>
    <row r="602" spans="7:8" x14ac:dyDescent="0.3">
      <c r="G602" s="5"/>
      <c r="H602" s="5"/>
    </row>
    <row r="603" spans="7:8" x14ac:dyDescent="0.3">
      <c r="G603" s="5"/>
      <c r="H603" s="5"/>
    </row>
    <row r="604" spans="7:8" x14ac:dyDescent="0.3">
      <c r="G604" s="5"/>
      <c r="H604" s="5"/>
    </row>
    <row r="605" spans="7:8" x14ac:dyDescent="0.3">
      <c r="G605" s="5"/>
      <c r="H605" s="5"/>
    </row>
    <row r="606" spans="7:8" x14ac:dyDescent="0.3">
      <c r="G606" s="5"/>
      <c r="H606" s="5"/>
    </row>
    <row r="607" spans="7:8" x14ac:dyDescent="0.3">
      <c r="G607" s="5"/>
      <c r="H607" s="5"/>
    </row>
    <row r="608" spans="7:8" x14ac:dyDescent="0.3">
      <c r="G608" s="5"/>
      <c r="H608" s="5"/>
    </row>
    <row r="609" spans="7:8" x14ac:dyDescent="0.3">
      <c r="G609" s="5"/>
      <c r="H609" s="5"/>
    </row>
    <row r="610" spans="7:8" x14ac:dyDescent="0.3">
      <c r="G610" s="5"/>
      <c r="H610" s="5"/>
    </row>
    <row r="611" spans="7:8" x14ac:dyDescent="0.3">
      <c r="G611" s="5"/>
      <c r="H611" s="5"/>
    </row>
    <row r="612" spans="7:8" x14ac:dyDescent="0.3">
      <c r="G612" s="5"/>
      <c r="H612" s="5"/>
    </row>
    <row r="613" spans="7:8" x14ac:dyDescent="0.3">
      <c r="G613" s="5"/>
      <c r="H613" s="5"/>
    </row>
    <row r="614" spans="7:8" x14ac:dyDescent="0.3">
      <c r="G614" s="5"/>
      <c r="H614" s="5"/>
    </row>
    <row r="615" spans="7:8" x14ac:dyDescent="0.3">
      <c r="G615" s="5"/>
      <c r="H615" s="5"/>
    </row>
    <row r="616" spans="7:8" x14ac:dyDescent="0.3">
      <c r="G616" s="5"/>
      <c r="H616" s="5"/>
    </row>
    <row r="617" spans="7:8" x14ac:dyDescent="0.3">
      <c r="G617" s="5"/>
      <c r="H617" s="5"/>
    </row>
    <row r="618" spans="7:8" x14ac:dyDescent="0.3">
      <c r="G618" s="5"/>
      <c r="H618" s="5"/>
    </row>
    <row r="619" spans="7:8" x14ac:dyDescent="0.3">
      <c r="G619" s="5"/>
      <c r="H619" s="5"/>
    </row>
    <row r="620" spans="7:8" x14ac:dyDescent="0.3">
      <c r="G620" s="5"/>
      <c r="H620" s="5"/>
    </row>
    <row r="621" spans="7:8" x14ac:dyDescent="0.3">
      <c r="G621" s="5"/>
      <c r="H621" s="5"/>
    </row>
    <row r="622" spans="7:8" x14ac:dyDescent="0.3">
      <c r="G622" s="5"/>
      <c r="H622" s="5"/>
    </row>
    <row r="623" spans="7:8" x14ac:dyDescent="0.3">
      <c r="G623" s="5"/>
      <c r="H623" s="5"/>
    </row>
    <row r="624" spans="7:8" x14ac:dyDescent="0.3">
      <c r="G624" s="5"/>
      <c r="H624" s="5"/>
    </row>
    <row r="625" spans="7:8" x14ac:dyDescent="0.3">
      <c r="G625" s="5"/>
      <c r="H625" s="5"/>
    </row>
    <row r="626" spans="7:8" x14ac:dyDescent="0.3">
      <c r="G626" s="5"/>
      <c r="H626" s="5"/>
    </row>
    <row r="627" spans="7:8" x14ac:dyDescent="0.3">
      <c r="G627" s="5"/>
      <c r="H627" s="5"/>
    </row>
    <row r="628" spans="7:8" x14ac:dyDescent="0.3">
      <c r="G628" s="5"/>
      <c r="H628" s="5"/>
    </row>
    <row r="629" spans="7:8" x14ac:dyDescent="0.3">
      <c r="G629" s="5"/>
      <c r="H629" s="5"/>
    </row>
    <row r="630" spans="7:8" x14ac:dyDescent="0.3">
      <c r="G630" s="5"/>
      <c r="H630" s="5"/>
    </row>
    <row r="631" spans="7:8" x14ac:dyDescent="0.3">
      <c r="G631" s="5"/>
      <c r="H631" s="5"/>
    </row>
    <row r="632" spans="7:8" x14ac:dyDescent="0.3">
      <c r="G632" s="5"/>
      <c r="H632" s="5"/>
    </row>
    <row r="633" spans="7:8" x14ac:dyDescent="0.3">
      <c r="G633" s="5"/>
      <c r="H633" s="5"/>
    </row>
    <row r="634" spans="7:8" x14ac:dyDescent="0.3">
      <c r="G634" s="5"/>
      <c r="H634" s="5"/>
    </row>
    <row r="635" spans="7:8" x14ac:dyDescent="0.3">
      <c r="G635" s="5"/>
      <c r="H635" s="5"/>
    </row>
    <row r="636" spans="7:8" x14ac:dyDescent="0.3">
      <c r="G636" s="5"/>
      <c r="H636" s="5"/>
    </row>
    <row r="637" spans="7:8" x14ac:dyDescent="0.3">
      <c r="G637" s="5"/>
      <c r="H637" s="5"/>
    </row>
    <row r="638" spans="7:8" x14ac:dyDescent="0.3">
      <c r="G638" s="5"/>
      <c r="H638" s="5"/>
    </row>
    <row r="639" spans="7:8" x14ac:dyDescent="0.3">
      <c r="G639" s="5"/>
      <c r="H639" s="5"/>
    </row>
    <row r="640" spans="7:8" x14ac:dyDescent="0.3">
      <c r="G640" s="5"/>
      <c r="H640" s="5"/>
    </row>
    <row r="641" spans="7:8" x14ac:dyDescent="0.3">
      <c r="G641" s="5"/>
      <c r="H641" s="5"/>
    </row>
    <row r="642" spans="7:8" x14ac:dyDescent="0.3">
      <c r="G642" s="5"/>
      <c r="H642" s="5"/>
    </row>
    <row r="643" spans="7:8" x14ac:dyDescent="0.3">
      <c r="G643" s="5"/>
      <c r="H643" s="5"/>
    </row>
    <row r="644" spans="7:8" x14ac:dyDescent="0.3">
      <c r="G644" s="5"/>
      <c r="H644" s="5"/>
    </row>
    <row r="645" spans="7:8" x14ac:dyDescent="0.3">
      <c r="G645" s="5"/>
      <c r="H645" s="5"/>
    </row>
    <row r="646" spans="7:8" x14ac:dyDescent="0.3">
      <c r="G646" s="5"/>
      <c r="H646" s="5"/>
    </row>
    <row r="647" spans="7:8" x14ac:dyDescent="0.3">
      <c r="G647" s="5"/>
      <c r="H647" s="5"/>
    </row>
    <row r="648" spans="7:8" x14ac:dyDescent="0.3">
      <c r="G648" s="5"/>
      <c r="H648" s="5"/>
    </row>
    <row r="649" spans="7:8" x14ac:dyDescent="0.3">
      <c r="G649" s="5"/>
      <c r="H649" s="5"/>
    </row>
    <row r="650" spans="7:8" x14ac:dyDescent="0.3">
      <c r="G650" s="5"/>
      <c r="H650" s="5"/>
    </row>
    <row r="651" spans="7:8" x14ac:dyDescent="0.3">
      <c r="G651" s="5"/>
      <c r="H651" s="5"/>
    </row>
    <row r="652" spans="7:8" x14ac:dyDescent="0.3">
      <c r="G652" s="5"/>
      <c r="H652" s="5"/>
    </row>
    <row r="653" spans="7:8" x14ac:dyDescent="0.3">
      <c r="G653" s="5"/>
      <c r="H653" s="5"/>
    </row>
    <row r="654" spans="7:8" x14ac:dyDescent="0.3">
      <c r="G654" s="5"/>
      <c r="H654" s="5"/>
    </row>
    <row r="655" spans="7:8" x14ac:dyDescent="0.3">
      <c r="G655" s="5"/>
      <c r="H655" s="5"/>
    </row>
    <row r="656" spans="7:8" x14ac:dyDescent="0.3">
      <c r="G656" s="5"/>
      <c r="H656" s="5"/>
    </row>
    <row r="657" spans="7:8" x14ac:dyDescent="0.3">
      <c r="G657" s="5"/>
      <c r="H657" s="5"/>
    </row>
    <row r="658" spans="7:8" x14ac:dyDescent="0.3">
      <c r="G658" s="5"/>
      <c r="H658" s="5"/>
    </row>
    <row r="659" spans="7:8" x14ac:dyDescent="0.3">
      <c r="G659" s="5"/>
      <c r="H659" s="5"/>
    </row>
    <row r="660" spans="7:8" x14ac:dyDescent="0.3">
      <c r="G660" s="5"/>
      <c r="H660" s="5"/>
    </row>
    <row r="661" spans="7:8" x14ac:dyDescent="0.3">
      <c r="G661" s="5"/>
      <c r="H661" s="5"/>
    </row>
    <row r="662" spans="7:8" x14ac:dyDescent="0.3">
      <c r="G662" s="5"/>
      <c r="H662" s="5"/>
    </row>
    <row r="663" spans="7:8" x14ac:dyDescent="0.3">
      <c r="G663" s="5"/>
      <c r="H663" s="5"/>
    </row>
    <row r="664" spans="7:8" x14ac:dyDescent="0.3">
      <c r="G664" s="5"/>
      <c r="H664" s="5"/>
    </row>
    <row r="665" spans="7:8" x14ac:dyDescent="0.3">
      <c r="G665" s="5"/>
      <c r="H665" s="5"/>
    </row>
    <row r="666" spans="7:8" x14ac:dyDescent="0.3">
      <c r="G666" s="5"/>
      <c r="H666" s="5"/>
    </row>
    <row r="667" spans="7:8" x14ac:dyDescent="0.3">
      <c r="G667" s="5"/>
      <c r="H667" s="5"/>
    </row>
    <row r="668" spans="7:8" x14ac:dyDescent="0.3">
      <c r="G668" s="5"/>
      <c r="H668" s="5"/>
    </row>
    <row r="669" spans="7:8" x14ac:dyDescent="0.3">
      <c r="G669" s="5"/>
      <c r="H669" s="5"/>
    </row>
    <row r="670" spans="7:8" x14ac:dyDescent="0.3">
      <c r="G670" s="5"/>
      <c r="H670" s="5"/>
    </row>
    <row r="671" spans="7:8" x14ac:dyDescent="0.3">
      <c r="G671" s="5"/>
      <c r="H671" s="5"/>
    </row>
    <row r="672" spans="7:8" x14ac:dyDescent="0.3">
      <c r="G672" s="5"/>
      <c r="H672" s="5"/>
    </row>
    <row r="673" spans="7:8" x14ac:dyDescent="0.3">
      <c r="G673" s="5"/>
      <c r="H673" s="5"/>
    </row>
    <row r="674" spans="7:8" x14ac:dyDescent="0.3">
      <c r="G674" s="5"/>
      <c r="H674" s="5"/>
    </row>
    <row r="675" spans="7:8" x14ac:dyDescent="0.3">
      <c r="G675" s="5"/>
      <c r="H675" s="5"/>
    </row>
    <row r="676" spans="7:8" x14ac:dyDescent="0.3">
      <c r="G676" s="5"/>
      <c r="H676" s="5"/>
    </row>
    <row r="677" spans="7:8" x14ac:dyDescent="0.3">
      <c r="G677" s="5"/>
      <c r="H677" s="5"/>
    </row>
    <row r="678" spans="7:8" x14ac:dyDescent="0.3">
      <c r="G678" s="5"/>
      <c r="H678" s="5"/>
    </row>
    <row r="679" spans="7:8" x14ac:dyDescent="0.3">
      <c r="G679" s="5"/>
      <c r="H679" s="5"/>
    </row>
    <row r="680" spans="7:8" x14ac:dyDescent="0.3">
      <c r="G680" s="5"/>
      <c r="H680" s="5"/>
    </row>
    <row r="681" spans="7:8" x14ac:dyDescent="0.3">
      <c r="G681" s="5"/>
      <c r="H681" s="5"/>
    </row>
    <row r="682" spans="7:8" x14ac:dyDescent="0.3">
      <c r="G682" s="5"/>
      <c r="H682" s="5"/>
    </row>
    <row r="683" spans="7:8" x14ac:dyDescent="0.3">
      <c r="G683" s="5"/>
      <c r="H683" s="5"/>
    </row>
    <row r="684" spans="7:8" x14ac:dyDescent="0.3">
      <c r="G684" s="5"/>
      <c r="H684" s="5"/>
    </row>
    <row r="685" spans="7:8" x14ac:dyDescent="0.3">
      <c r="G685" s="5"/>
      <c r="H685" s="5"/>
    </row>
    <row r="686" spans="7:8" x14ac:dyDescent="0.3">
      <c r="G686" s="5"/>
      <c r="H686" s="5"/>
    </row>
    <row r="687" spans="7:8" x14ac:dyDescent="0.3">
      <c r="G687" s="5"/>
      <c r="H687" s="5"/>
    </row>
    <row r="688" spans="7:8" x14ac:dyDescent="0.3">
      <c r="G688" s="5"/>
      <c r="H688" s="5"/>
    </row>
    <row r="689" spans="7:8" x14ac:dyDescent="0.3">
      <c r="G689" s="5"/>
      <c r="H689" s="5"/>
    </row>
    <row r="690" spans="7:8" x14ac:dyDescent="0.3">
      <c r="G690" s="5"/>
      <c r="H690" s="5"/>
    </row>
    <row r="691" spans="7:8" x14ac:dyDescent="0.3">
      <c r="G691" s="5"/>
      <c r="H691" s="5"/>
    </row>
    <row r="692" spans="7:8" x14ac:dyDescent="0.3">
      <c r="G692" s="5"/>
      <c r="H692" s="5"/>
    </row>
    <row r="693" spans="7:8" x14ac:dyDescent="0.3">
      <c r="G693" s="5"/>
      <c r="H693" s="5"/>
    </row>
    <row r="694" spans="7:8" x14ac:dyDescent="0.3">
      <c r="G694" s="5"/>
      <c r="H694" s="5"/>
    </row>
    <row r="695" spans="7:8" x14ac:dyDescent="0.3">
      <c r="G695" s="5"/>
      <c r="H695" s="5"/>
    </row>
    <row r="696" spans="7:8" x14ac:dyDescent="0.3">
      <c r="G696" s="5"/>
      <c r="H696" s="5"/>
    </row>
    <row r="697" spans="7:8" x14ac:dyDescent="0.3">
      <c r="G697" s="5"/>
      <c r="H697" s="5"/>
    </row>
    <row r="698" spans="7:8" x14ac:dyDescent="0.3">
      <c r="G698" s="5"/>
      <c r="H698" s="5"/>
    </row>
    <row r="699" spans="7:8" x14ac:dyDescent="0.3">
      <c r="G699" s="5"/>
      <c r="H699" s="5"/>
    </row>
    <row r="700" spans="7:8" x14ac:dyDescent="0.3">
      <c r="G700" s="5"/>
      <c r="H700" s="5"/>
    </row>
    <row r="701" spans="7:8" x14ac:dyDescent="0.3">
      <c r="G701" s="5"/>
      <c r="H701" s="5"/>
    </row>
    <row r="702" spans="7:8" x14ac:dyDescent="0.3">
      <c r="G702" s="5"/>
      <c r="H702" s="5"/>
    </row>
    <row r="703" spans="7:8" x14ac:dyDescent="0.3">
      <c r="G703" s="5"/>
      <c r="H703" s="5"/>
    </row>
    <row r="704" spans="7:8" x14ac:dyDescent="0.3">
      <c r="G704" s="5"/>
      <c r="H704" s="5"/>
    </row>
    <row r="705" spans="7:8" x14ac:dyDescent="0.3">
      <c r="G705" s="5"/>
      <c r="H705" s="5"/>
    </row>
    <row r="706" spans="7:8" x14ac:dyDescent="0.3">
      <c r="G706" s="5"/>
      <c r="H706" s="5"/>
    </row>
    <row r="707" spans="7:8" x14ac:dyDescent="0.3">
      <c r="G707" s="5"/>
      <c r="H707" s="5"/>
    </row>
    <row r="708" spans="7:8" x14ac:dyDescent="0.3">
      <c r="G708" s="5"/>
      <c r="H708" s="5"/>
    </row>
    <row r="709" spans="7:8" x14ac:dyDescent="0.3">
      <c r="G709" s="5"/>
      <c r="H709" s="5"/>
    </row>
    <row r="710" spans="7:8" x14ac:dyDescent="0.3">
      <c r="G710" s="5"/>
      <c r="H710" s="5"/>
    </row>
    <row r="711" spans="7:8" x14ac:dyDescent="0.3">
      <c r="G711" s="5"/>
      <c r="H711" s="5"/>
    </row>
    <row r="712" spans="7:8" x14ac:dyDescent="0.3">
      <c r="G712" s="5"/>
      <c r="H712" s="5"/>
    </row>
    <row r="713" spans="7:8" x14ac:dyDescent="0.3">
      <c r="G713" s="5"/>
      <c r="H713" s="5"/>
    </row>
    <row r="714" spans="7:8" x14ac:dyDescent="0.3">
      <c r="G714" s="5"/>
      <c r="H714" s="5"/>
    </row>
    <row r="715" spans="7:8" x14ac:dyDescent="0.3">
      <c r="G715" s="5"/>
      <c r="H715" s="5"/>
    </row>
    <row r="716" spans="7:8" x14ac:dyDescent="0.3">
      <c r="G716" s="5"/>
      <c r="H716" s="5"/>
    </row>
    <row r="717" spans="7:8" x14ac:dyDescent="0.3">
      <c r="G717" s="5"/>
      <c r="H717" s="5"/>
    </row>
    <row r="718" spans="7:8" x14ac:dyDescent="0.3">
      <c r="G718" s="5"/>
      <c r="H718" s="5"/>
    </row>
    <row r="719" spans="7:8" x14ac:dyDescent="0.3">
      <c r="G719" s="5"/>
      <c r="H719" s="5"/>
    </row>
    <row r="720" spans="7:8" x14ac:dyDescent="0.3">
      <c r="G720" s="5"/>
      <c r="H720" s="5"/>
    </row>
    <row r="721" spans="7:8" x14ac:dyDescent="0.3">
      <c r="G721" s="5"/>
      <c r="H721" s="5"/>
    </row>
    <row r="722" spans="7:8" x14ac:dyDescent="0.3">
      <c r="G722" s="5"/>
      <c r="H722" s="5"/>
    </row>
    <row r="723" spans="7:8" x14ac:dyDescent="0.3">
      <c r="G723" s="5"/>
      <c r="H723" s="5"/>
    </row>
    <row r="724" spans="7:8" x14ac:dyDescent="0.3">
      <c r="G724" s="5"/>
      <c r="H724" s="5"/>
    </row>
    <row r="725" spans="7:8" x14ac:dyDescent="0.3">
      <c r="G725" s="5"/>
      <c r="H725" s="5"/>
    </row>
    <row r="726" spans="7:8" x14ac:dyDescent="0.3">
      <c r="G726" s="5"/>
      <c r="H726" s="5"/>
    </row>
    <row r="727" spans="7:8" x14ac:dyDescent="0.3">
      <c r="G727" s="5"/>
      <c r="H727" s="5"/>
    </row>
    <row r="728" spans="7:8" x14ac:dyDescent="0.3">
      <c r="G728" s="5"/>
      <c r="H728" s="5"/>
    </row>
    <row r="729" spans="7:8" x14ac:dyDescent="0.3">
      <c r="G729" s="5"/>
      <c r="H729" s="5"/>
    </row>
    <row r="730" spans="7:8" x14ac:dyDescent="0.3">
      <c r="G730" s="5"/>
      <c r="H730" s="5"/>
    </row>
    <row r="731" spans="7:8" x14ac:dyDescent="0.3">
      <c r="G731" s="5"/>
      <c r="H731" s="5"/>
    </row>
    <row r="732" spans="7:8" x14ac:dyDescent="0.3">
      <c r="G732" s="5"/>
      <c r="H732" s="5"/>
    </row>
    <row r="733" spans="7:8" x14ac:dyDescent="0.3">
      <c r="G733" s="5"/>
      <c r="H733" s="5"/>
    </row>
    <row r="734" spans="7:8" x14ac:dyDescent="0.3">
      <c r="G734" s="5"/>
      <c r="H734" s="5"/>
    </row>
    <row r="735" spans="7:8" x14ac:dyDescent="0.3">
      <c r="G735" s="5"/>
      <c r="H735" s="5"/>
    </row>
    <row r="736" spans="7:8" x14ac:dyDescent="0.3">
      <c r="G736" s="5"/>
      <c r="H736" s="5"/>
    </row>
    <row r="737" spans="7:8" x14ac:dyDescent="0.3">
      <c r="G737" s="5"/>
      <c r="H737" s="5"/>
    </row>
    <row r="738" spans="7:8" x14ac:dyDescent="0.3">
      <c r="G738" s="5"/>
      <c r="H738" s="5"/>
    </row>
    <row r="739" spans="7:8" x14ac:dyDescent="0.3">
      <c r="G739" s="5"/>
      <c r="H739" s="5"/>
    </row>
    <row r="740" spans="7:8" x14ac:dyDescent="0.3">
      <c r="G740" s="5"/>
      <c r="H740" s="5"/>
    </row>
    <row r="741" spans="7:8" x14ac:dyDescent="0.3">
      <c r="G741" s="5"/>
      <c r="H741" s="5"/>
    </row>
    <row r="742" spans="7:8" x14ac:dyDescent="0.3">
      <c r="G742" s="5"/>
      <c r="H742" s="5"/>
    </row>
    <row r="743" spans="7:8" x14ac:dyDescent="0.3">
      <c r="G743" s="5"/>
      <c r="H743" s="5"/>
    </row>
    <row r="744" spans="7:8" x14ac:dyDescent="0.3">
      <c r="G744" s="5"/>
      <c r="H744" s="5"/>
    </row>
    <row r="745" spans="7:8" x14ac:dyDescent="0.3">
      <c r="G745" s="5"/>
      <c r="H745" s="5"/>
    </row>
    <row r="746" spans="7:8" x14ac:dyDescent="0.3">
      <c r="G746" s="5"/>
      <c r="H746" s="5"/>
    </row>
    <row r="747" spans="7:8" x14ac:dyDescent="0.3">
      <c r="G747" s="5"/>
      <c r="H747" s="5"/>
    </row>
    <row r="748" spans="7:8" x14ac:dyDescent="0.3">
      <c r="G748" s="5"/>
      <c r="H748" s="5"/>
    </row>
    <row r="749" spans="7:8" x14ac:dyDescent="0.3">
      <c r="G749" s="5"/>
      <c r="H749" s="5"/>
    </row>
    <row r="750" spans="7:8" x14ac:dyDescent="0.3">
      <c r="G750" s="5"/>
      <c r="H750" s="5"/>
    </row>
    <row r="751" spans="7:8" x14ac:dyDescent="0.3">
      <c r="G751" s="5"/>
      <c r="H751" s="5"/>
    </row>
    <row r="752" spans="7:8" x14ac:dyDescent="0.3">
      <c r="G752" s="5"/>
      <c r="H752" s="5"/>
    </row>
    <row r="753" spans="7:8" x14ac:dyDescent="0.3">
      <c r="G753" s="5"/>
      <c r="H753" s="5"/>
    </row>
    <row r="754" spans="7:8" x14ac:dyDescent="0.3">
      <c r="G754" s="5"/>
      <c r="H754" s="5"/>
    </row>
    <row r="755" spans="7:8" x14ac:dyDescent="0.3">
      <c r="G755" s="5"/>
      <c r="H755" s="5"/>
    </row>
    <row r="756" spans="7:8" x14ac:dyDescent="0.3">
      <c r="G756" s="5"/>
      <c r="H756" s="5"/>
    </row>
    <row r="757" spans="7:8" x14ac:dyDescent="0.3">
      <c r="G757" s="5"/>
      <c r="H757" s="5"/>
    </row>
    <row r="758" spans="7:8" x14ac:dyDescent="0.3">
      <c r="G758" s="5"/>
      <c r="H758" s="5"/>
    </row>
    <row r="759" spans="7:8" x14ac:dyDescent="0.3">
      <c r="G759" s="5"/>
      <c r="H759" s="5"/>
    </row>
    <row r="760" spans="7:8" x14ac:dyDescent="0.3">
      <c r="G760" s="5"/>
      <c r="H760" s="5"/>
    </row>
    <row r="761" spans="7:8" x14ac:dyDescent="0.3">
      <c r="G761" s="5"/>
      <c r="H761" s="5"/>
    </row>
    <row r="762" spans="7:8" x14ac:dyDescent="0.3">
      <c r="G762" s="5"/>
      <c r="H762" s="5"/>
    </row>
    <row r="763" spans="7:8" x14ac:dyDescent="0.3">
      <c r="G763" s="5"/>
      <c r="H763" s="5"/>
    </row>
    <row r="764" spans="7:8" x14ac:dyDescent="0.3">
      <c r="G764" s="5"/>
      <c r="H764" s="5"/>
    </row>
    <row r="765" spans="7:8" x14ac:dyDescent="0.3">
      <c r="G765" s="5"/>
      <c r="H765" s="5"/>
    </row>
    <row r="766" spans="7:8" x14ac:dyDescent="0.3">
      <c r="G766" s="5"/>
      <c r="H766" s="5"/>
    </row>
    <row r="767" spans="7:8" x14ac:dyDescent="0.3">
      <c r="G767" s="5"/>
      <c r="H767" s="5"/>
    </row>
    <row r="768" spans="7:8" x14ac:dyDescent="0.3">
      <c r="G768" s="5"/>
      <c r="H768" s="5"/>
    </row>
    <row r="769" spans="7:8" x14ac:dyDescent="0.3">
      <c r="G769" s="5"/>
      <c r="H769" s="5"/>
    </row>
    <row r="770" spans="7:8" x14ac:dyDescent="0.3">
      <c r="G770" s="5"/>
      <c r="H770" s="5"/>
    </row>
    <row r="771" spans="7:8" x14ac:dyDescent="0.3">
      <c r="G771" s="5"/>
      <c r="H771" s="5"/>
    </row>
    <row r="772" spans="7:8" x14ac:dyDescent="0.3">
      <c r="G772" s="5"/>
      <c r="H772" s="5"/>
    </row>
    <row r="773" spans="7:8" x14ac:dyDescent="0.3">
      <c r="G773" s="5"/>
      <c r="H773" s="5"/>
    </row>
    <row r="774" spans="7:8" x14ac:dyDescent="0.3">
      <c r="G774" s="5"/>
      <c r="H774" s="5"/>
    </row>
    <row r="775" spans="7:8" x14ac:dyDescent="0.3">
      <c r="G775" s="5"/>
      <c r="H775" s="5"/>
    </row>
    <row r="776" spans="7:8" x14ac:dyDescent="0.3">
      <c r="G776" s="5"/>
      <c r="H776" s="5"/>
    </row>
    <row r="777" spans="7:8" x14ac:dyDescent="0.3">
      <c r="G777" s="5"/>
      <c r="H777" s="5"/>
    </row>
    <row r="778" spans="7:8" x14ac:dyDescent="0.3">
      <c r="G778" s="5"/>
      <c r="H778" s="5"/>
    </row>
    <row r="779" spans="7:8" x14ac:dyDescent="0.3">
      <c r="G779" s="5"/>
      <c r="H779" s="5"/>
    </row>
    <row r="780" spans="7:8" x14ac:dyDescent="0.3">
      <c r="G780" s="5"/>
      <c r="H780" s="5"/>
    </row>
    <row r="781" spans="7:8" x14ac:dyDescent="0.3">
      <c r="G781" s="5"/>
      <c r="H781" s="5"/>
    </row>
    <row r="782" spans="7:8" x14ac:dyDescent="0.3">
      <c r="G782" s="5"/>
      <c r="H782" s="5"/>
    </row>
    <row r="783" spans="7:8" x14ac:dyDescent="0.3">
      <c r="G783" s="5"/>
      <c r="H783" s="5"/>
    </row>
    <row r="784" spans="7:8" x14ac:dyDescent="0.3">
      <c r="G784" s="5"/>
      <c r="H784" s="5"/>
    </row>
    <row r="785" spans="7:8" x14ac:dyDescent="0.3">
      <c r="G785" s="5"/>
      <c r="H785" s="5"/>
    </row>
    <row r="786" spans="7:8" x14ac:dyDescent="0.3">
      <c r="G786" s="5"/>
      <c r="H786" s="5"/>
    </row>
    <row r="787" spans="7:8" x14ac:dyDescent="0.3">
      <c r="G787" s="5"/>
      <c r="H787" s="5"/>
    </row>
    <row r="788" spans="7:8" x14ac:dyDescent="0.3">
      <c r="G788" s="5"/>
      <c r="H788" s="5"/>
    </row>
    <row r="789" spans="7:8" x14ac:dyDescent="0.3">
      <c r="G789" s="5"/>
      <c r="H789" s="5"/>
    </row>
    <row r="790" spans="7:8" x14ac:dyDescent="0.3">
      <c r="G790" s="5"/>
      <c r="H790" s="5"/>
    </row>
    <row r="791" spans="7:8" x14ac:dyDescent="0.3">
      <c r="G791" s="5"/>
      <c r="H791" s="5"/>
    </row>
    <row r="792" spans="7:8" x14ac:dyDescent="0.3">
      <c r="G792" s="5"/>
      <c r="H792" s="5"/>
    </row>
    <row r="793" spans="7:8" x14ac:dyDescent="0.3">
      <c r="G793" s="5"/>
      <c r="H793" s="5"/>
    </row>
    <row r="794" spans="7:8" x14ac:dyDescent="0.3">
      <c r="G794" s="5"/>
      <c r="H794" s="5"/>
    </row>
    <row r="795" spans="7:8" x14ac:dyDescent="0.3">
      <c r="G795" s="5"/>
      <c r="H795" s="5"/>
    </row>
    <row r="796" spans="7:8" x14ac:dyDescent="0.3">
      <c r="G796" s="5"/>
      <c r="H796" s="5"/>
    </row>
    <row r="797" spans="7:8" x14ac:dyDescent="0.3">
      <c r="G797" s="5"/>
      <c r="H797" s="5"/>
    </row>
    <row r="798" spans="7:8" x14ac:dyDescent="0.3">
      <c r="G798" s="5"/>
      <c r="H798" s="5"/>
    </row>
    <row r="799" spans="7:8" x14ac:dyDescent="0.3">
      <c r="G799" s="5"/>
      <c r="H799" s="5"/>
    </row>
    <row r="800" spans="7:8" x14ac:dyDescent="0.3">
      <c r="G800" s="5"/>
      <c r="H800" s="5"/>
    </row>
    <row r="801" spans="7:8" x14ac:dyDescent="0.3">
      <c r="G801" s="5"/>
      <c r="H801" s="5"/>
    </row>
    <row r="802" spans="7:8" x14ac:dyDescent="0.3">
      <c r="G802" s="5"/>
      <c r="H802" s="5"/>
    </row>
    <row r="803" spans="7:8" x14ac:dyDescent="0.3">
      <c r="G803" s="5"/>
      <c r="H803" s="5"/>
    </row>
    <row r="804" spans="7:8" x14ac:dyDescent="0.3">
      <c r="G804" s="5"/>
      <c r="H804" s="5"/>
    </row>
    <row r="805" spans="7:8" x14ac:dyDescent="0.3">
      <c r="G805" s="5"/>
      <c r="H805" s="5"/>
    </row>
    <row r="806" spans="7:8" x14ac:dyDescent="0.3">
      <c r="G806" s="5"/>
      <c r="H806" s="5"/>
    </row>
    <row r="807" spans="7:8" x14ac:dyDescent="0.3">
      <c r="G807" s="5"/>
      <c r="H807" s="5"/>
    </row>
    <row r="808" spans="7:8" x14ac:dyDescent="0.3">
      <c r="G808" s="5"/>
      <c r="H808" s="5"/>
    </row>
    <row r="809" spans="7:8" x14ac:dyDescent="0.3">
      <c r="G809" s="5"/>
      <c r="H809" s="5"/>
    </row>
    <row r="810" spans="7:8" x14ac:dyDescent="0.3">
      <c r="G810" s="5"/>
      <c r="H810" s="5"/>
    </row>
    <row r="811" spans="7:8" x14ac:dyDescent="0.3">
      <c r="G811" s="5"/>
      <c r="H811" s="5"/>
    </row>
    <row r="812" spans="7:8" x14ac:dyDescent="0.3">
      <c r="G812" s="5"/>
      <c r="H812" s="5"/>
    </row>
    <row r="813" spans="7:8" x14ac:dyDescent="0.3">
      <c r="G813" s="5"/>
      <c r="H813" s="5"/>
    </row>
    <row r="814" spans="7:8" x14ac:dyDescent="0.3">
      <c r="G814" s="5"/>
      <c r="H814" s="5"/>
    </row>
    <row r="815" spans="7:8" x14ac:dyDescent="0.3">
      <c r="G815" s="5"/>
      <c r="H815" s="5"/>
    </row>
    <row r="816" spans="7:8" x14ac:dyDescent="0.3">
      <c r="G816" s="5"/>
      <c r="H816" s="5"/>
    </row>
    <row r="817" spans="7:8" x14ac:dyDescent="0.3">
      <c r="G817" s="5"/>
      <c r="H817" s="5"/>
    </row>
    <row r="818" spans="7:8" x14ac:dyDescent="0.3">
      <c r="G818" s="5"/>
      <c r="H818" s="5"/>
    </row>
    <row r="819" spans="7:8" x14ac:dyDescent="0.3">
      <c r="G819" s="5"/>
      <c r="H819" s="5"/>
    </row>
    <row r="820" spans="7:8" x14ac:dyDescent="0.3">
      <c r="G820" s="5"/>
      <c r="H820" s="5"/>
    </row>
    <row r="821" spans="7:8" x14ac:dyDescent="0.3">
      <c r="G821" s="5"/>
      <c r="H821" s="5"/>
    </row>
    <row r="822" spans="7:8" x14ac:dyDescent="0.3">
      <c r="G822" s="5"/>
      <c r="H822" s="5"/>
    </row>
    <row r="823" spans="7:8" x14ac:dyDescent="0.3">
      <c r="G823" s="5"/>
      <c r="H823" s="5"/>
    </row>
    <row r="824" spans="7:8" x14ac:dyDescent="0.3">
      <c r="G824" s="5"/>
      <c r="H824" s="5"/>
    </row>
    <row r="825" spans="7:8" x14ac:dyDescent="0.3">
      <c r="G825" s="5"/>
      <c r="H825" s="5"/>
    </row>
    <row r="826" spans="7:8" x14ac:dyDescent="0.3">
      <c r="G826" s="5"/>
      <c r="H826" s="5"/>
    </row>
    <row r="827" spans="7:8" x14ac:dyDescent="0.3">
      <c r="G827" s="5"/>
      <c r="H827" s="5"/>
    </row>
    <row r="828" spans="7:8" x14ac:dyDescent="0.3">
      <c r="G828" s="5"/>
      <c r="H828" s="5"/>
    </row>
    <row r="829" spans="7:8" x14ac:dyDescent="0.3">
      <c r="G829" s="5"/>
      <c r="H829" s="5"/>
    </row>
    <row r="830" spans="7:8" x14ac:dyDescent="0.3">
      <c r="G830" s="5"/>
      <c r="H830" s="5"/>
    </row>
    <row r="831" spans="7:8" x14ac:dyDescent="0.3">
      <c r="G831" s="5"/>
      <c r="H831" s="5"/>
    </row>
    <row r="832" spans="7:8" x14ac:dyDescent="0.3">
      <c r="G832" s="5"/>
      <c r="H832" s="5"/>
    </row>
    <row r="833" spans="7:8" x14ac:dyDescent="0.3">
      <c r="G833" s="5"/>
      <c r="H833" s="5"/>
    </row>
    <row r="834" spans="7:8" x14ac:dyDescent="0.3">
      <c r="G834" s="5"/>
      <c r="H834" s="5"/>
    </row>
    <row r="835" spans="7:8" x14ac:dyDescent="0.3">
      <c r="G835" s="5"/>
      <c r="H835" s="5"/>
    </row>
    <row r="836" spans="7:8" x14ac:dyDescent="0.3">
      <c r="G836" s="5"/>
      <c r="H836" s="5"/>
    </row>
    <row r="837" spans="7:8" x14ac:dyDescent="0.3">
      <c r="G837" s="5"/>
      <c r="H837" s="5"/>
    </row>
    <row r="838" spans="7:8" x14ac:dyDescent="0.3">
      <c r="G838" s="5"/>
      <c r="H838" s="5"/>
    </row>
    <row r="839" spans="7:8" x14ac:dyDescent="0.3">
      <c r="G839" s="5"/>
      <c r="H839" s="5"/>
    </row>
    <row r="840" spans="7:8" x14ac:dyDescent="0.3">
      <c r="G840" s="5"/>
      <c r="H840" s="5"/>
    </row>
    <row r="841" spans="7:8" x14ac:dyDescent="0.3">
      <c r="G841" s="5"/>
      <c r="H841" s="5"/>
    </row>
    <row r="842" spans="7:8" x14ac:dyDescent="0.3">
      <c r="G842" s="5"/>
      <c r="H842" s="5"/>
    </row>
    <row r="843" spans="7:8" x14ac:dyDescent="0.3">
      <c r="G843" s="5"/>
      <c r="H843" s="5"/>
    </row>
    <row r="844" spans="7:8" x14ac:dyDescent="0.3">
      <c r="G844" s="5"/>
      <c r="H844" s="5"/>
    </row>
    <row r="845" spans="7:8" x14ac:dyDescent="0.3">
      <c r="G845" s="5"/>
      <c r="H845" s="5"/>
    </row>
    <row r="846" spans="7:8" x14ac:dyDescent="0.3">
      <c r="G846" s="5"/>
      <c r="H846" s="5"/>
    </row>
    <row r="847" spans="7:8" x14ac:dyDescent="0.3">
      <c r="G847" s="5"/>
      <c r="H847" s="5"/>
    </row>
    <row r="848" spans="7:8" x14ac:dyDescent="0.3">
      <c r="G848" s="5"/>
      <c r="H848" s="5"/>
    </row>
    <row r="849" spans="7:8" x14ac:dyDescent="0.3">
      <c r="G849" s="5"/>
      <c r="H849" s="5"/>
    </row>
    <row r="850" spans="7:8" x14ac:dyDescent="0.3">
      <c r="G850" s="5"/>
      <c r="H850" s="5"/>
    </row>
    <row r="851" spans="7:8" x14ac:dyDescent="0.3">
      <c r="G851" s="5"/>
      <c r="H851" s="5"/>
    </row>
    <row r="852" spans="7:8" x14ac:dyDescent="0.3">
      <c r="G852" s="5"/>
      <c r="H852" s="5"/>
    </row>
    <row r="853" spans="7:8" x14ac:dyDescent="0.3">
      <c r="G853" s="5"/>
      <c r="H853" s="5"/>
    </row>
    <row r="854" spans="7:8" x14ac:dyDescent="0.3">
      <c r="G854" s="5"/>
      <c r="H854" s="5"/>
    </row>
    <row r="855" spans="7:8" x14ac:dyDescent="0.3">
      <c r="G855" s="5"/>
      <c r="H855" s="5"/>
    </row>
    <row r="856" spans="7:8" x14ac:dyDescent="0.3">
      <c r="G856" s="5"/>
      <c r="H856" s="5"/>
    </row>
    <row r="857" spans="7:8" x14ac:dyDescent="0.3">
      <c r="G857" s="5"/>
      <c r="H857" s="5"/>
    </row>
    <row r="858" spans="7:8" x14ac:dyDescent="0.3">
      <c r="G858" s="5"/>
      <c r="H858" s="5"/>
    </row>
    <row r="859" spans="7:8" x14ac:dyDescent="0.3">
      <c r="G859" s="5"/>
      <c r="H859" s="5"/>
    </row>
    <row r="860" spans="7:8" x14ac:dyDescent="0.3">
      <c r="G860" s="5"/>
      <c r="H860" s="5"/>
    </row>
    <row r="861" spans="7:8" x14ac:dyDescent="0.3">
      <c r="G861" s="5"/>
      <c r="H861" s="5"/>
    </row>
    <row r="862" spans="7:8" x14ac:dyDescent="0.3">
      <c r="G862" s="5"/>
      <c r="H862" s="5"/>
    </row>
    <row r="863" spans="7:8" x14ac:dyDescent="0.3">
      <c r="G863" s="5"/>
      <c r="H863" s="5"/>
    </row>
    <row r="864" spans="7:8" x14ac:dyDescent="0.3">
      <c r="G864" s="5"/>
      <c r="H864" s="5"/>
    </row>
    <row r="865" spans="7:8" x14ac:dyDescent="0.3">
      <c r="G865" s="5"/>
      <c r="H865" s="5"/>
    </row>
    <row r="866" spans="7:8" x14ac:dyDescent="0.3">
      <c r="G866" s="5"/>
      <c r="H866" s="5"/>
    </row>
    <row r="867" spans="7:8" x14ac:dyDescent="0.3">
      <c r="G867" s="5"/>
      <c r="H867" s="5"/>
    </row>
    <row r="868" spans="7:8" x14ac:dyDescent="0.3">
      <c r="G868" s="5"/>
      <c r="H868" s="5"/>
    </row>
    <row r="869" spans="7:8" x14ac:dyDescent="0.3">
      <c r="G869" s="5"/>
      <c r="H869" s="5"/>
    </row>
    <row r="870" spans="7:8" x14ac:dyDescent="0.3">
      <c r="G870" s="5"/>
      <c r="H870" s="5"/>
    </row>
    <row r="871" spans="7:8" x14ac:dyDescent="0.3">
      <c r="G871" s="5"/>
      <c r="H871" s="5"/>
    </row>
    <row r="872" spans="7:8" x14ac:dyDescent="0.3">
      <c r="G872" s="5"/>
      <c r="H872" s="5"/>
    </row>
    <row r="873" spans="7:8" x14ac:dyDescent="0.3">
      <c r="G873" s="5"/>
      <c r="H873" s="5"/>
    </row>
    <row r="874" spans="7:8" x14ac:dyDescent="0.3">
      <c r="G874" s="5"/>
      <c r="H874" s="5"/>
    </row>
    <row r="875" spans="7:8" x14ac:dyDescent="0.3">
      <c r="G875" s="5"/>
      <c r="H875" s="5"/>
    </row>
    <row r="876" spans="7:8" x14ac:dyDescent="0.3">
      <c r="G876" s="5"/>
      <c r="H876" s="5"/>
    </row>
    <row r="877" spans="7:8" x14ac:dyDescent="0.3">
      <c r="G877" s="5"/>
      <c r="H877" s="5"/>
    </row>
    <row r="878" spans="7:8" x14ac:dyDescent="0.3">
      <c r="G878" s="5"/>
      <c r="H878" s="5"/>
    </row>
    <row r="879" spans="7:8" x14ac:dyDescent="0.3">
      <c r="G879" s="5"/>
      <c r="H879" s="5"/>
    </row>
    <row r="880" spans="7:8" x14ac:dyDescent="0.3">
      <c r="G880" s="5"/>
      <c r="H880" s="5"/>
    </row>
    <row r="881" spans="7:8" x14ac:dyDescent="0.3">
      <c r="G881" s="5"/>
      <c r="H881" s="5"/>
    </row>
    <row r="882" spans="7:8" x14ac:dyDescent="0.3">
      <c r="G882" s="5"/>
      <c r="H882" s="5"/>
    </row>
    <row r="883" spans="7:8" x14ac:dyDescent="0.3">
      <c r="G883" s="5"/>
      <c r="H883" s="5"/>
    </row>
    <row r="884" spans="7:8" x14ac:dyDescent="0.3">
      <c r="G884" s="5"/>
      <c r="H884" s="5"/>
    </row>
    <row r="885" spans="7:8" x14ac:dyDescent="0.3">
      <c r="G885" s="5"/>
      <c r="H885" s="5"/>
    </row>
    <row r="886" spans="7:8" x14ac:dyDescent="0.3">
      <c r="G886" s="5"/>
      <c r="H886" s="5"/>
    </row>
    <row r="887" spans="7:8" x14ac:dyDescent="0.3">
      <c r="G887" s="5"/>
      <c r="H887" s="5"/>
    </row>
    <row r="888" spans="7:8" x14ac:dyDescent="0.3">
      <c r="G888" s="5"/>
      <c r="H888" s="5"/>
    </row>
    <row r="889" spans="7:8" x14ac:dyDescent="0.3">
      <c r="G889" s="5"/>
      <c r="H889" s="5"/>
    </row>
    <row r="890" spans="7:8" x14ac:dyDescent="0.3">
      <c r="G890" s="5"/>
      <c r="H890" s="5"/>
    </row>
    <row r="891" spans="7:8" x14ac:dyDescent="0.3">
      <c r="G891" s="5"/>
      <c r="H891" s="5"/>
    </row>
    <row r="892" spans="7:8" x14ac:dyDescent="0.3">
      <c r="G892" s="5"/>
      <c r="H892" s="5"/>
    </row>
    <row r="893" spans="7:8" x14ac:dyDescent="0.3">
      <c r="G893" s="5"/>
      <c r="H893" s="5"/>
    </row>
    <row r="894" spans="7:8" x14ac:dyDescent="0.3">
      <c r="G894" s="5"/>
      <c r="H894" s="5"/>
    </row>
    <row r="895" spans="7:8" x14ac:dyDescent="0.3">
      <c r="G895" s="5"/>
      <c r="H895" s="5"/>
    </row>
    <row r="896" spans="7:8" x14ac:dyDescent="0.3">
      <c r="G896" s="5"/>
      <c r="H896" s="5"/>
    </row>
    <row r="897" spans="7:8" x14ac:dyDescent="0.3">
      <c r="G897" s="5"/>
      <c r="H897" s="5"/>
    </row>
    <row r="898" spans="7:8" x14ac:dyDescent="0.3">
      <c r="G898" s="5"/>
      <c r="H898" s="5"/>
    </row>
    <row r="899" spans="7:8" x14ac:dyDescent="0.3">
      <c r="G899" s="5"/>
      <c r="H899" s="5"/>
    </row>
    <row r="900" spans="7:8" x14ac:dyDescent="0.3">
      <c r="G900" s="5"/>
      <c r="H900" s="5"/>
    </row>
    <row r="901" spans="7:8" x14ac:dyDescent="0.3">
      <c r="G901" s="5"/>
      <c r="H901" s="5"/>
    </row>
    <row r="902" spans="7:8" x14ac:dyDescent="0.3">
      <c r="G902" s="5"/>
      <c r="H902" s="5"/>
    </row>
    <row r="903" spans="7:8" x14ac:dyDescent="0.3">
      <c r="G903" s="5"/>
      <c r="H903" s="5"/>
    </row>
    <row r="904" spans="7:8" x14ac:dyDescent="0.3">
      <c r="G904" s="5"/>
      <c r="H904" s="5"/>
    </row>
    <row r="905" spans="7:8" x14ac:dyDescent="0.3">
      <c r="G905" s="5"/>
      <c r="H905" s="5"/>
    </row>
    <row r="906" spans="7:8" x14ac:dyDescent="0.3">
      <c r="G906" s="5"/>
      <c r="H906" s="5"/>
    </row>
    <row r="907" spans="7:8" x14ac:dyDescent="0.3">
      <c r="G907" s="5"/>
      <c r="H907" s="5"/>
    </row>
    <row r="908" spans="7:8" x14ac:dyDescent="0.3">
      <c r="G908" s="5"/>
      <c r="H908" s="5"/>
    </row>
    <row r="909" spans="7:8" x14ac:dyDescent="0.3">
      <c r="G909" s="5"/>
      <c r="H909" s="5"/>
    </row>
    <row r="910" spans="7:8" x14ac:dyDescent="0.3">
      <c r="G910" s="5"/>
      <c r="H910" s="5"/>
    </row>
    <row r="911" spans="7:8" x14ac:dyDescent="0.3">
      <c r="G911" s="5"/>
      <c r="H911" s="5"/>
    </row>
    <row r="912" spans="7:8" x14ac:dyDescent="0.3">
      <c r="G912" s="5"/>
      <c r="H912" s="5"/>
    </row>
    <row r="913" spans="7:8" x14ac:dyDescent="0.3">
      <c r="G913" s="5"/>
      <c r="H913" s="5"/>
    </row>
    <row r="914" spans="7:8" x14ac:dyDescent="0.3">
      <c r="G914" s="5"/>
      <c r="H914" s="5"/>
    </row>
    <row r="915" spans="7:8" x14ac:dyDescent="0.3">
      <c r="G915" s="5"/>
      <c r="H915" s="5"/>
    </row>
    <row r="916" spans="7:8" x14ac:dyDescent="0.3">
      <c r="G916" s="5"/>
      <c r="H916" s="5"/>
    </row>
    <row r="917" spans="7:8" x14ac:dyDescent="0.3">
      <c r="G917" s="5"/>
      <c r="H917" s="5"/>
    </row>
    <row r="918" spans="7:8" x14ac:dyDescent="0.3">
      <c r="G918" s="5"/>
      <c r="H918" s="5"/>
    </row>
    <row r="919" spans="7:8" x14ac:dyDescent="0.3">
      <c r="G919" s="5"/>
      <c r="H919" s="5"/>
    </row>
    <row r="920" spans="7:8" x14ac:dyDescent="0.3">
      <c r="G920" s="5"/>
      <c r="H920" s="5"/>
    </row>
    <row r="921" spans="7:8" x14ac:dyDescent="0.3">
      <c r="G921" s="5"/>
      <c r="H921" s="5"/>
    </row>
    <row r="922" spans="7:8" x14ac:dyDescent="0.3">
      <c r="G922" s="5"/>
      <c r="H922" s="5"/>
    </row>
    <row r="923" spans="7:8" x14ac:dyDescent="0.3">
      <c r="G923" s="5"/>
      <c r="H923" s="5"/>
    </row>
    <row r="924" spans="7:8" x14ac:dyDescent="0.3">
      <c r="G924" s="5"/>
      <c r="H924" s="5"/>
    </row>
    <row r="925" spans="7:8" x14ac:dyDescent="0.3">
      <c r="G925" s="5"/>
      <c r="H925" s="5"/>
    </row>
    <row r="926" spans="7:8" x14ac:dyDescent="0.3">
      <c r="G926" s="5"/>
      <c r="H926" s="5"/>
    </row>
    <row r="927" spans="7:8" x14ac:dyDescent="0.3">
      <c r="G927" s="5"/>
      <c r="H927" s="5"/>
    </row>
    <row r="928" spans="7:8" x14ac:dyDescent="0.3">
      <c r="G928" s="5"/>
      <c r="H928" s="5"/>
    </row>
    <row r="929" spans="7:8" x14ac:dyDescent="0.3">
      <c r="G929" s="5"/>
      <c r="H929" s="5"/>
    </row>
    <row r="930" spans="7:8" x14ac:dyDescent="0.3">
      <c r="G930" s="5"/>
      <c r="H930" s="5"/>
    </row>
    <row r="931" spans="7:8" x14ac:dyDescent="0.3">
      <c r="G931" s="5"/>
      <c r="H931" s="5"/>
    </row>
    <row r="932" spans="7:8" x14ac:dyDescent="0.3">
      <c r="G932" s="5"/>
      <c r="H932" s="5"/>
    </row>
    <row r="933" spans="7:8" x14ac:dyDescent="0.3">
      <c r="G933" s="5"/>
      <c r="H933" s="5"/>
    </row>
    <row r="934" spans="7:8" x14ac:dyDescent="0.3">
      <c r="G934" s="5"/>
      <c r="H934" s="5"/>
    </row>
  </sheetData>
  <sortState xmlns:xlrd2="http://schemas.microsoft.com/office/spreadsheetml/2017/richdata2" ref="A2:P934">
    <sortCondition ref="B1:B934"/>
  </sortState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EDA4-552B-4BBC-92A9-48FFFEFA6F43}">
  <dimension ref="A1:P12"/>
  <sheetViews>
    <sheetView zoomScale="71" zoomScaleNormal="75" workbookViewId="0">
      <selection activeCell="J2" sqref="J2:P2"/>
    </sheetView>
  </sheetViews>
  <sheetFormatPr defaultRowHeight="14.4" x14ac:dyDescent="0.3"/>
  <cols>
    <col min="1" max="16" width="9.33203125" customWidth="1"/>
  </cols>
  <sheetData>
    <row r="1" spans="1:16" ht="23.4" customHeight="1" x14ac:dyDescent="0.3">
      <c r="A1" s="1" t="s">
        <v>99</v>
      </c>
      <c r="B1" s="10" t="s">
        <v>98</v>
      </c>
      <c r="C1" s="2" t="s">
        <v>0</v>
      </c>
      <c r="D1" s="2" t="s">
        <v>1</v>
      </c>
      <c r="E1" s="2" t="s">
        <v>2</v>
      </c>
      <c r="F1" s="10" t="s">
        <v>3</v>
      </c>
      <c r="G1" s="2" t="s">
        <v>4</v>
      </c>
      <c r="H1" s="2" t="s">
        <v>5</v>
      </c>
      <c r="I1" s="13" t="s">
        <v>98</v>
      </c>
      <c r="J1" s="16" t="s">
        <v>98</v>
      </c>
      <c r="K1" s="17" t="s">
        <v>0</v>
      </c>
      <c r="L1" s="17" t="s">
        <v>1</v>
      </c>
      <c r="M1" s="17" t="s">
        <v>2</v>
      </c>
      <c r="N1" s="16" t="s">
        <v>3</v>
      </c>
      <c r="O1" s="17" t="s">
        <v>4</v>
      </c>
      <c r="P1" s="17" t="s">
        <v>5</v>
      </c>
    </row>
    <row r="2" spans="1:16" x14ac:dyDescent="0.3">
      <c r="A2" s="6" t="s">
        <v>34</v>
      </c>
      <c r="B2" s="8">
        <v>3.8175684387434426E-2</v>
      </c>
      <c r="C2" s="8">
        <v>4.2492917847025496E-2</v>
      </c>
      <c r="D2" s="8">
        <v>4.6242774566473986E-2</v>
      </c>
      <c r="E2" s="8">
        <v>4.7531992687385741E-2</v>
      </c>
      <c r="F2" s="8">
        <v>2.8894472361809045E-2</v>
      </c>
      <c r="G2" s="8">
        <v>3.4334763948497854E-2</v>
      </c>
      <c r="H2" s="8">
        <v>2.9850746268656716E-2</v>
      </c>
      <c r="I2" s="18">
        <v>3.8175684387434426E-2</v>
      </c>
      <c r="J2" s="8">
        <v>3.8175684387434426E-2</v>
      </c>
      <c r="K2" s="8">
        <v>4.2492917847025496E-2</v>
      </c>
      <c r="L2" s="8">
        <v>4.6242774566473986E-2</v>
      </c>
      <c r="M2" s="8">
        <v>4.7531992687385741E-2</v>
      </c>
      <c r="N2" s="8">
        <v>2.8894472361809045E-2</v>
      </c>
      <c r="O2" s="8">
        <v>3.4334763948497854E-2</v>
      </c>
      <c r="P2" s="8">
        <v>2.9850746268656716E-2</v>
      </c>
    </row>
    <row r="3" spans="1:16" x14ac:dyDescent="0.3">
      <c r="A3" s="6" t="s">
        <v>33</v>
      </c>
      <c r="B3" s="8">
        <v>0.20632808216797524</v>
      </c>
      <c r="C3" s="8">
        <v>0.29320113314447593</v>
      </c>
      <c r="D3" s="8">
        <v>0.25240847784200388</v>
      </c>
      <c r="E3" s="8">
        <v>0.24131627056672761</v>
      </c>
      <c r="F3" s="8">
        <v>0.3592964824120603</v>
      </c>
      <c r="G3" s="8">
        <v>0.38054363376251787</v>
      </c>
      <c r="H3" s="8">
        <v>0.41194029850746267</v>
      </c>
      <c r="I3" s="18">
        <v>0.24450376655540967</v>
      </c>
      <c r="J3" s="8">
        <f t="shared" ref="J3:P4" si="0">J2+B3</f>
        <v>0.24450376655540967</v>
      </c>
      <c r="K3" s="8">
        <f t="shared" si="0"/>
        <v>0.3356940509915014</v>
      </c>
      <c r="L3" s="8">
        <f t="shared" si="0"/>
        <v>0.29865125240847784</v>
      </c>
      <c r="M3" s="8">
        <f t="shared" si="0"/>
        <v>0.28884826325411334</v>
      </c>
      <c r="N3" s="8">
        <f t="shared" si="0"/>
        <v>0.38819095477386933</v>
      </c>
      <c r="O3" s="8">
        <f t="shared" si="0"/>
        <v>0.41487839771101576</v>
      </c>
      <c r="P3" s="8">
        <f t="shared" si="0"/>
        <v>0.44179104477611936</v>
      </c>
    </row>
    <row r="4" spans="1:16" x14ac:dyDescent="0.3">
      <c r="A4" s="6" t="s">
        <v>32</v>
      </c>
      <c r="B4" s="8">
        <v>0.75549623344459027</v>
      </c>
      <c r="C4" s="8">
        <v>0.6643059490084986</v>
      </c>
      <c r="D4" s="8">
        <v>0.7013487475915221</v>
      </c>
      <c r="E4" s="8">
        <v>0.71115173674588661</v>
      </c>
      <c r="F4" s="8">
        <v>0.61180904522613067</v>
      </c>
      <c r="G4" s="8">
        <v>0.58512160228898424</v>
      </c>
      <c r="H4" s="8">
        <v>0.55820895522388059</v>
      </c>
      <c r="I4" s="18">
        <v>1</v>
      </c>
      <c r="J4" s="8">
        <f t="shared" si="0"/>
        <v>1</v>
      </c>
      <c r="K4" s="8">
        <f t="shared" si="0"/>
        <v>1</v>
      </c>
      <c r="L4" s="8">
        <f t="shared" si="0"/>
        <v>1</v>
      </c>
      <c r="M4" s="8">
        <f t="shared" si="0"/>
        <v>1</v>
      </c>
      <c r="N4" s="8">
        <f t="shared" si="0"/>
        <v>1</v>
      </c>
      <c r="O4" s="8">
        <f t="shared" si="0"/>
        <v>1</v>
      </c>
      <c r="P4" s="8">
        <f t="shared" si="0"/>
        <v>1</v>
      </c>
    </row>
    <row r="5" spans="1:16" x14ac:dyDescent="0.3">
      <c r="M5" t="s">
        <v>100</v>
      </c>
    </row>
    <row r="6" spans="1:16" x14ac:dyDescent="0.3">
      <c r="B6" s="5"/>
    </row>
    <row r="7" spans="1:16" ht="28.8" x14ac:dyDescent="0.3">
      <c r="B7" s="1" t="s">
        <v>99</v>
      </c>
      <c r="C7" s="2" t="s">
        <v>101</v>
      </c>
      <c r="D7" s="2" t="s">
        <v>102</v>
      </c>
      <c r="E7" s="2" t="s">
        <v>103</v>
      </c>
      <c r="F7" s="2" t="s">
        <v>104</v>
      </c>
      <c r="G7" s="2" t="s">
        <v>105</v>
      </c>
      <c r="H7" s="2" t="s">
        <v>106</v>
      </c>
      <c r="J7" s="6"/>
      <c r="K7" s="19" t="s">
        <v>107</v>
      </c>
      <c r="L7" s="19" t="s">
        <v>108</v>
      </c>
      <c r="M7" s="19" t="s">
        <v>109</v>
      </c>
      <c r="N7" s="19" t="s">
        <v>110</v>
      </c>
      <c r="O7" s="19" t="s">
        <v>111</v>
      </c>
      <c r="P7" s="19" t="s">
        <v>112</v>
      </c>
    </row>
    <row r="8" spans="1:16" x14ac:dyDescent="0.3">
      <c r="B8" s="3" t="s">
        <v>34</v>
      </c>
      <c r="C8" s="8">
        <f>C2-B2</f>
        <v>4.3172334595910702E-3</v>
      </c>
      <c r="D8" s="8">
        <f>D2-B2</f>
        <v>8.0670901790395599E-3</v>
      </c>
      <c r="E8" s="8">
        <f>E2-B2</f>
        <v>9.3563082999513145E-3</v>
      </c>
      <c r="F8" s="8">
        <f>F2-B2</f>
        <v>-9.2812120256253808E-3</v>
      </c>
      <c r="G8" s="8">
        <f>G2-B2</f>
        <v>-3.8409204389365723E-3</v>
      </c>
      <c r="H8" s="8">
        <f>H2-B2</f>
        <v>-8.3249381187777104E-3</v>
      </c>
      <c r="J8" s="3" t="s">
        <v>34</v>
      </c>
      <c r="K8" s="6">
        <f>($J2-0) * ((K2+0))</f>
        <v>1.622196220429225E-3</v>
      </c>
      <c r="L8" s="6">
        <f t="shared" ref="L8:P8" si="1">($J2-0) * ((L2+0))</f>
        <v>1.7653495670489907E-3</v>
      </c>
      <c r="M8" s="6">
        <f t="shared" si="1"/>
        <v>1.8145663511394791E-3</v>
      </c>
      <c r="N8" s="6">
        <f t="shared" si="1"/>
        <v>1.103066257425869E-3</v>
      </c>
      <c r="O8" s="6">
        <f t="shared" si="1"/>
        <v>1.310753112014916E-3</v>
      </c>
      <c r="P8" s="6">
        <f t="shared" si="1"/>
        <v>1.1395726682816246E-3</v>
      </c>
    </row>
    <row r="9" spans="1:16" x14ac:dyDescent="0.3">
      <c r="B9" s="3" t="s">
        <v>33</v>
      </c>
      <c r="C9" s="8">
        <f t="shared" ref="C9" si="2">C3-B3</f>
        <v>8.6873050976500693E-2</v>
      </c>
      <c r="D9" s="8">
        <f t="shared" ref="D9:D10" si="3">D3-B3</f>
        <v>4.6080395674028635E-2</v>
      </c>
      <c r="E9" s="8">
        <f t="shared" ref="E9:E10" si="4">E3-B3</f>
        <v>3.4988188398752368E-2</v>
      </c>
      <c r="F9" s="8">
        <f t="shared" ref="F9:F10" si="5">F3-B3</f>
        <v>0.15296840024408506</v>
      </c>
      <c r="G9" s="8">
        <f t="shared" ref="G9:G10" si="6">G3-B3</f>
        <v>0.17421555159454263</v>
      </c>
      <c r="H9" s="8">
        <f t="shared" ref="H9:H10" si="7">H3-B3</f>
        <v>0.20561221633948742</v>
      </c>
      <c r="J9" s="3" t="s">
        <v>33</v>
      </c>
      <c r="K9" s="6">
        <f>($J3-$J2) * ((K3+K2))</f>
        <v>7.8030591981373063E-2</v>
      </c>
      <c r="L9" s="6">
        <f t="shared" ref="L9:P10" si="8">($J3-$J2) * ((L3+L2))</f>
        <v>7.1161323136931728E-2</v>
      </c>
      <c r="M9" s="6">
        <f t="shared" si="8"/>
        <v>6.9404693087582167E-2</v>
      </c>
      <c r="N9" s="6">
        <f t="shared" si="8"/>
        <v>8.6056436281115298E-2</v>
      </c>
      <c r="O9" s="6">
        <f t="shared" si="8"/>
        <v>9.2685290129820075E-2</v>
      </c>
      <c r="P9" s="6">
        <f t="shared" si="8"/>
        <v>9.7312946216537563E-2</v>
      </c>
    </row>
    <row r="10" spans="1:16" x14ac:dyDescent="0.3">
      <c r="B10" s="3" t="s">
        <v>32</v>
      </c>
      <c r="C10" s="8">
        <f t="shared" ref="C10" si="9">C4-B4</f>
        <v>-9.1190284436091673E-2</v>
      </c>
      <c r="D10" s="8">
        <f t="shared" si="3"/>
        <v>-5.4147485853068167E-2</v>
      </c>
      <c r="E10" s="8">
        <f t="shared" si="4"/>
        <v>-4.4344496698703662E-2</v>
      </c>
      <c r="F10" s="8">
        <f t="shared" si="5"/>
        <v>-0.1436871882184596</v>
      </c>
      <c r="G10" s="8">
        <f t="shared" si="6"/>
        <v>-0.17037463115560603</v>
      </c>
      <c r="H10" s="8">
        <f t="shared" si="7"/>
        <v>-0.19728727822070968</v>
      </c>
      <c r="J10" s="3" t="s">
        <v>32</v>
      </c>
      <c r="K10" s="6">
        <f>($J4-$J3) * ((K4+K3))</f>
        <v>1.0091118245584259</v>
      </c>
      <c r="L10" s="6">
        <f t="shared" si="8"/>
        <v>0.98112612975270497</v>
      </c>
      <c r="M10" s="6">
        <f t="shared" si="8"/>
        <v>0.97372000837008443</v>
      </c>
      <c r="N10" s="6">
        <f t="shared" si="8"/>
        <v>1.0487730376335078</v>
      </c>
      <c r="O10" s="6">
        <f t="shared" si="8"/>
        <v>1.0689353002527895</v>
      </c>
      <c r="P10" s="6">
        <f t="shared" si="8"/>
        <v>1.0892677037424987</v>
      </c>
    </row>
    <row r="11" spans="1:16" x14ac:dyDescent="0.3">
      <c r="J11" s="20" t="s">
        <v>114</v>
      </c>
      <c r="K11" s="19">
        <f>SUM(K8:K10)</f>
        <v>1.0887646127602282</v>
      </c>
      <c r="L11" s="19">
        <f t="shared" ref="L11:P11" si="10">SUM(L8:L10)</f>
        <v>1.0540528024566858</v>
      </c>
      <c r="M11" s="19">
        <f t="shared" si="10"/>
        <v>1.0449392678088061</v>
      </c>
      <c r="N11" s="19">
        <f t="shared" si="10"/>
        <v>1.135932540172049</v>
      </c>
      <c r="O11" s="19">
        <f t="shared" si="10"/>
        <v>1.1629313434946245</v>
      </c>
      <c r="P11" s="19">
        <f t="shared" si="10"/>
        <v>1.1877202226273178</v>
      </c>
    </row>
    <row r="12" spans="1:16" x14ac:dyDescent="0.3">
      <c r="J12" s="23" t="s">
        <v>113</v>
      </c>
      <c r="K12" s="24">
        <f>1-K11</f>
        <v>-8.8764612760228179E-2</v>
      </c>
      <c r="L12" s="24">
        <f t="shared" ref="L12:P12" si="11">1-L11</f>
        <v>-5.4052802456685756E-2</v>
      </c>
      <c r="M12" s="24">
        <f t="shared" si="11"/>
        <v>-4.4939267808806083E-2</v>
      </c>
      <c r="N12" s="24">
        <f t="shared" si="11"/>
        <v>-0.13593254017204903</v>
      </c>
      <c r="O12" s="24">
        <f t="shared" si="11"/>
        <v>-0.16293134349462446</v>
      </c>
      <c r="P12" s="24">
        <f t="shared" si="11"/>
        <v>-0.1877202226273178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953E-C222-4E34-AE30-666C90CE99AB}">
  <dimension ref="A1:P28"/>
  <sheetViews>
    <sheetView zoomScale="82" zoomScaleNormal="82" workbookViewId="0">
      <selection activeCell="J2" sqref="J2:P2"/>
    </sheetView>
  </sheetViews>
  <sheetFormatPr defaultRowHeight="14.4" x14ac:dyDescent="0.3"/>
  <cols>
    <col min="1" max="1" width="15.77734375" customWidth="1"/>
    <col min="2" max="8" width="12.5546875" customWidth="1"/>
    <col min="11" max="11" width="12" bestFit="1" customWidth="1"/>
    <col min="13" max="13" width="12" bestFit="1" customWidth="1"/>
    <col min="15" max="15" width="12" bestFit="1" customWidth="1"/>
    <col min="16" max="16" width="11.109375" customWidth="1"/>
  </cols>
  <sheetData>
    <row r="1" spans="1:16" ht="25.8" customHeight="1" x14ac:dyDescent="0.3">
      <c r="A1" s="1" t="s">
        <v>99</v>
      </c>
      <c r="B1" s="10" t="s">
        <v>98</v>
      </c>
      <c r="C1" s="2" t="s">
        <v>0</v>
      </c>
      <c r="D1" s="2" t="s">
        <v>1</v>
      </c>
      <c r="E1" s="2" t="s">
        <v>2</v>
      </c>
      <c r="F1" s="10" t="s">
        <v>3</v>
      </c>
      <c r="G1" s="2" t="s">
        <v>4</v>
      </c>
      <c r="H1" s="2" t="s">
        <v>5</v>
      </c>
      <c r="I1" s="13" t="s">
        <v>98</v>
      </c>
      <c r="J1" s="16" t="s">
        <v>98</v>
      </c>
      <c r="K1" s="17" t="s">
        <v>0</v>
      </c>
      <c r="L1" s="17" t="s">
        <v>1</v>
      </c>
      <c r="M1" s="17" t="s">
        <v>2</v>
      </c>
      <c r="N1" s="16" t="s">
        <v>3</v>
      </c>
      <c r="O1" s="17" t="s">
        <v>4</v>
      </c>
      <c r="P1" s="17" t="s">
        <v>5</v>
      </c>
    </row>
    <row r="2" spans="1:16" x14ac:dyDescent="0.3">
      <c r="A2" s="25" t="s">
        <v>41</v>
      </c>
      <c r="B2" s="8">
        <v>1.1661994393271926E-2</v>
      </c>
      <c r="C2" s="8">
        <v>1.4285714285714285E-2</v>
      </c>
      <c r="D2" s="8">
        <v>0</v>
      </c>
      <c r="E2" s="8">
        <v>6.369426751592357E-3</v>
      </c>
      <c r="F2" s="8">
        <v>2.0547945205479451E-2</v>
      </c>
      <c r="G2" s="8">
        <v>1.2295081967213115E-2</v>
      </c>
      <c r="H2" s="8">
        <v>1.092896174863388E-2</v>
      </c>
      <c r="I2" s="8">
        <v>1.1661994393271926E-2</v>
      </c>
      <c r="J2" s="8">
        <v>1.1661994393271926E-2</v>
      </c>
      <c r="K2" s="8">
        <v>1.4285714285714285E-2</v>
      </c>
      <c r="L2" s="8">
        <v>0</v>
      </c>
      <c r="M2" s="8">
        <v>6.369426751592357E-3</v>
      </c>
      <c r="N2" s="8">
        <v>2.0547945205479451E-2</v>
      </c>
      <c r="O2" s="8">
        <v>1.2295081967213115E-2</v>
      </c>
      <c r="P2" s="8">
        <v>1.092896174863388E-2</v>
      </c>
    </row>
    <row r="3" spans="1:16" x14ac:dyDescent="0.3">
      <c r="A3" s="25" t="s">
        <v>42</v>
      </c>
      <c r="B3" s="8">
        <v>1.2884795087438259E-2</v>
      </c>
      <c r="C3" s="8">
        <v>1.4285714285714285E-2</v>
      </c>
      <c r="D3" s="8">
        <v>0</v>
      </c>
      <c r="E3" s="8">
        <v>1.9108280254777069E-2</v>
      </c>
      <c r="F3" s="8">
        <v>6.8493150684931503E-3</v>
      </c>
      <c r="G3" s="8">
        <v>8.1967213114754103E-3</v>
      </c>
      <c r="H3" s="8">
        <v>5.4644808743169399E-3</v>
      </c>
      <c r="I3" s="8">
        <v>2.4546789480710186E-2</v>
      </c>
      <c r="J3" s="8">
        <f>J2+B3</f>
        <v>2.4546789480710186E-2</v>
      </c>
      <c r="K3" s="8">
        <f>K2+C3</f>
        <v>2.8571428571428571E-2</v>
      </c>
      <c r="L3" s="8">
        <f t="shared" ref="L3:P12" si="0">L2+D3</f>
        <v>0</v>
      </c>
      <c r="M3" s="8">
        <f t="shared" si="0"/>
        <v>2.5477707006369428E-2</v>
      </c>
      <c r="N3" s="8">
        <f t="shared" si="0"/>
        <v>2.7397260273972601E-2</v>
      </c>
      <c r="O3" s="8">
        <f t="shared" si="0"/>
        <v>2.0491803278688527E-2</v>
      </c>
      <c r="P3" s="8">
        <f t="shared" si="0"/>
        <v>1.6393442622950821E-2</v>
      </c>
    </row>
    <row r="4" spans="1:16" x14ac:dyDescent="0.3">
      <c r="A4" s="25" t="s">
        <v>44</v>
      </c>
      <c r="B4" s="8">
        <v>1.6254171672673876E-2</v>
      </c>
      <c r="C4" s="8">
        <v>7.1428571428571426E-3</v>
      </c>
      <c r="D4" s="8">
        <v>2.0408163265306121E-2</v>
      </c>
      <c r="E4" s="8">
        <v>6.369426751592357E-3</v>
      </c>
      <c r="F4" s="8">
        <v>2.0547945205479451E-2</v>
      </c>
      <c r="G4" s="8">
        <v>4.0983606557377051E-3</v>
      </c>
      <c r="H4" s="8">
        <v>1.092896174863388E-2</v>
      </c>
      <c r="I4" s="8">
        <v>4.0800961153384066E-2</v>
      </c>
      <c r="J4" s="8">
        <f t="shared" ref="J4:J12" si="1">J3+B4</f>
        <v>4.0800961153384066E-2</v>
      </c>
      <c r="K4" s="8">
        <f t="shared" ref="K4:K12" si="2">K3+C4</f>
        <v>3.5714285714285712E-2</v>
      </c>
      <c r="L4" s="8">
        <f t="shared" si="0"/>
        <v>2.0408163265306121E-2</v>
      </c>
      <c r="M4" s="8">
        <f t="shared" si="0"/>
        <v>3.1847133757961783E-2</v>
      </c>
      <c r="N4" s="8">
        <f t="shared" si="0"/>
        <v>4.7945205479452052E-2</v>
      </c>
      <c r="O4" s="8">
        <f t="shared" si="0"/>
        <v>2.4590163934426233E-2</v>
      </c>
      <c r="P4" s="8">
        <f t="shared" si="0"/>
        <v>2.7322404371584702E-2</v>
      </c>
    </row>
    <row r="5" spans="1:16" x14ac:dyDescent="0.3">
      <c r="A5" s="25" t="s">
        <v>43</v>
      </c>
      <c r="B5" s="8">
        <v>1.9073554932585769E-2</v>
      </c>
      <c r="C5" s="8">
        <v>1.4285714285714285E-2</v>
      </c>
      <c r="D5" s="8">
        <v>3.0612244897959183E-2</v>
      </c>
      <c r="E5" s="8">
        <v>4.4585987261146494E-2</v>
      </c>
      <c r="F5" s="8">
        <v>4.7945205479452052E-2</v>
      </c>
      <c r="G5" s="8">
        <v>1.2295081967213115E-2</v>
      </c>
      <c r="H5" s="8">
        <v>1.092896174863388E-2</v>
      </c>
      <c r="I5" s="8">
        <v>5.9874516085969831E-2</v>
      </c>
      <c r="J5" s="8">
        <f t="shared" si="1"/>
        <v>5.9874516085969831E-2</v>
      </c>
      <c r="K5" s="8">
        <f t="shared" si="2"/>
        <v>4.9999999999999996E-2</v>
      </c>
      <c r="L5" s="8">
        <f t="shared" si="0"/>
        <v>5.1020408163265307E-2</v>
      </c>
      <c r="M5" s="8">
        <f t="shared" si="0"/>
        <v>7.6433121019108277E-2</v>
      </c>
      <c r="N5" s="8">
        <f t="shared" si="0"/>
        <v>9.5890410958904104E-2</v>
      </c>
      <c r="O5" s="8">
        <f t="shared" si="0"/>
        <v>3.6885245901639344E-2</v>
      </c>
      <c r="P5" s="8">
        <f t="shared" si="0"/>
        <v>3.825136612021858E-2</v>
      </c>
    </row>
    <row r="6" spans="1:16" x14ac:dyDescent="0.3">
      <c r="A6" s="25" t="s">
        <v>36</v>
      </c>
      <c r="B6" s="8">
        <v>2.580696836203444E-2</v>
      </c>
      <c r="C6" s="8">
        <v>0.05</v>
      </c>
      <c r="D6" s="8">
        <v>1.020408163265306E-2</v>
      </c>
      <c r="E6" s="8">
        <v>3.8216560509554139E-2</v>
      </c>
      <c r="F6" s="8">
        <v>2.3972602739726026E-2</v>
      </c>
      <c r="G6" s="8">
        <v>2.4590163934426229E-2</v>
      </c>
      <c r="H6" s="8">
        <v>2.185792349726776E-2</v>
      </c>
      <c r="I6" s="8">
        <v>8.5681484448004275E-2</v>
      </c>
      <c r="J6" s="8">
        <f t="shared" si="1"/>
        <v>8.5681484448004275E-2</v>
      </c>
      <c r="K6" s="8">
        <f t="shared" si="2"/>
        <v>0.1</v>
      </c>
      <c r="L6" s="8">
        <f t="shared" si="0"/>
        <v>6.1224489795918366E-2</v>
      </c>
      <c r="M6" s="8">
        <f t="shared" si="0"/>
        <v>0.11464968152866242</v>
      </c>
      <c r="N6" s="8">
        <f t="shared" si="0"/>
        <v>0.11986301369863013</v>
      </c>
      <c r="O6" s="8">
        <f t="shared" si="0"/>
        <v>6.1475409836065573E-2</v>
      </c>
      <c r="P6" s="8">
        <f t="shared" si="0"/>
        <v>6.0109289617486336E-2</v>
      </c>
    </row>
    <row r="7" spans="1:16" x14ac:dyDescent="0.3">
      <c r="A7" s="25" t="s">
        <v>40</v>
      </c>
      <c r="B7" s="8">
        <v>4.0608730476571889E-2</v>
      </c>
      <c r="C7" s="8">
        <v>2.1428571428571429E-2</v>
      </c>
      <c r="D7" s="8">
        <v>5.1020408163265307E-2</v>
      </c>
      <c r="E7" s="8">
        <v>1.2738853503184714E-2</v>
      </c>
      <c r="F7" s="8">
        <v>1.7123287671232876E-2</v>
      </c>
      <c r="G7" s="8">
        <v>4.9180327868852458E-2</v>
      </c>
      <c r="H7" s="8">
        <v>4.3715846994535519E-2</v>
      </c>
      <c r="I7" s="8">
        <v>0.12629021492457615</v>
      </c>
      <c r="J7" s="8">
        <f t="shared" si="1"/>
        <v>0.12629021492457615</v>
      </c>
      <c r="K7" s="8">
        <f t="shared" si="2"/>
        <v>0.12142857142857144</v>
      </c>
      <c r="L7" s="8">
        <f t="shared" si="0"/>
        <v>0.11224489795918367</v>
      </c>
      <c r="M7" s="8">
        <f t="shared" si="0"/>
        <v>0.12738853503184713</v>
      </c>
      <c r="N7" s="8">
        <f t="shared" si="0"/>
        <v>0.13698630136986301</v>
      </c>
      <c r="O7" s="8">
        <f t="shared" si="0"/>
        <v>0.11065573770491803</v>
      </c>
      <c r="P7" s="8">
        <f t="shared" si="0"/>
        <v>0.10382513661202186</v>
      </c>
    </row>
    <row r="8" spans="1:16" x14ac:dyDescent="0.3">
      <c r="A8" s="25" t="s">
        <v>37</v>
      </c>
      <c r="B8" s="8">
        <v>5.5223601655319719E-2</v>
      </c>
      <c r="C8" s="8">
        <v>2.8571428571428571E-2</v>
      </c>
      <c r="D8" s="8">
        <v>7.1428571428571425E-2</v>
      </c>
      <c r="E8" s="8">
        <v>3.8216560509554139E-2</v>
      </c>
      <c r="F8" s="8">
        <v>7.1917808219178078E-2</v>
      </c>
      <c r="G8" s="8">
        <v>4.0983606557377046E-2</v>
      </c>
      <c r="H8" s="8">
        <v>2.185792349726776E-2</v>
      </c>
      <c r="I8" s="8">
        <v>0.18151381657989588</v>
      </c>
      <c r="J8" s="8">
        <f t="shared" si="1"/>
        <v>0.18151381657989588</v>
      </c>
      <c r="K8" s="8">
        <f t="shared" si="2"/>
        <v>0.15000000000000002</v>
      </c>
      <c r="L8" s="8">
        <f t="shared" si="0"/>
        <v>0.18367346938775508</v>
      </c>
      <c r="M8" s="8">
        <f t="shared" si="0"/>
        <v>0.16560509554140126</v>
      </c>
      <c r="N8" s="8">
        <f t="shared" si="0"/>
        <v>0.2089041095890411</v>
      </c>
      <c r="O8" s="8">
        <f t="shared" si="0"/>
        <v>0.15163934426229508</v>
      </c>
      <c r="P8" s="8">
        <f t="shared" si="0"/>
        <v>0.12568306010928962</v>
      </c>
    </row>
    <row r="9" spans="1:16" x14ac:dyDescent="0.3">
      <c r="A9" s="25" t="s">
        <v>39</v>
      </c>
      <c r="B9" s="8">
        <v>8.2915498598317983E-2</v>
      </c>
      <c r="C9" s="8">
        <v>0.12857142857142856</v>
      </c>
      <c r="D9" s="8">
        <v>0.10204081632653061</v>
      </c>
      <c r="E9" s="8">
        <v>0.10191082802547771</v>
      </c>
      <c r="F9" s="8">
        <v>6.5068493150684928E-2</v>
      </c>
      <c r="G9" s="8">
        <v>4.9180327868852458E-2</v>
      </c>
      <c r="H9" s="8">
        <v>3.825136612021858E-2</v>
      </c>
      <c r="I9" s="8">
        <v>0.26442931517821389</v>
      </c>
      <c r="J9" s="8">
        <f t="shared" si="1"/>
        <v>0.26442931517821389</v>
      </c>
      <c r="K9" s="8">
        <f t="shared" si="2"/>
        <v>0.27857142857142858</v>
      </c>
      <c r="L9" s="8">
        <f t="shared" si="0"/>
        <v>0.2857142857142857</v>
      </c>
      <c r="M9" s="8">
        <f t="shared" si="0"/>
        <v>0.26751592356687898</v>
      </c>
      <c r="N9" s="8">
        <f t="shared" si="0"/>
        <v>0.27397260273972601</v>
      </c>
      <c r="O9" s="8">
        <f t="shared" si="0"/>
        <v>0.20081967213114754</v>
      </c>
      <c r="P9" s="8">
        <f t="shared" si="0"/>
        <v>0.16393442622950821</v>
      </c>
    </row>
    <row r="10" spans="1:16" x14ac:dyDescent="0.3">
      <c r="A10" s="25" t="s">
        <v>38</v>
      </c>
      <c r="B10" s="8">
        <v>0.1260552663195835</v>
      </c>
      <c r="C10" s="8">
        <v>0.19285714285714287</v>
      </c>
      <c r="D10" s="8">
        <v>7.1428571428571425E-2</v>
      </c>
      <c r="E10" s="8">
        <v>0.10191082802547771</v>
      </c>
      <c r="F10" s="8">
        <v>9.5890410958904104E-2</v>
      </c>
      <c r="G10" s="8">
        <v>9.8360655737704916E-2</v>
      </c>
      <c r="H10" s="8">
        <v>5.4644808743169397E-2</v>
      </c>
      <c r="I10" s="8">
        <v>0.39048458149779741</v>
      </c>
      <c r="J10" s="8">
        <f t="shared" si="1"/>
        <v>0.39048458149779741</v>
      </c>
      <c r="K10" s="8">
        <f t="shared" si="2"/>
        <v>0.47142857142857142</v>
      </c>
      <c r="L10" s="8">
        <f t="shared" si="0"/>
        <v>0.3571428571428571</v>
      </c>
      <c r="M10" s="8">
        <f t="shared" si="0"/>
        <v>0.36942675159235672</v>
      </c>
      <c r="N10" s="8">
        <f t="shared" si="0"/>
        <v>0.36986301369863012</v>
      </c>
      <c r="O10" s="8">
        <f t="shared" si="0"/>
        <v>0.29918032786885246</v>
      </c>
      <c r="P10" s="8">
        <f t="shared" si="0"/>
        <v>0.21857923497267762</v>
      </c>
    </row>
    <row r="11" spans="1:16" x14ac:dyDescent="0.3">
      <c r="A11" s="25" t="s">
        <v>45</v>
      </c>
      <c r="B11" s="8">
        <v>0.17654251768789214</v>
      </c>
      <c r="C11" s="8">
        <v>0.22142857142857142</v>
      </c>
      <c r="D11" s="8">
        <v>0.12244897959183673</v>
      </c>
      <c r="E11" s="8">
        <v>0.16560509554140126</v>
      </c>
      <c r="F11" s="8">
        <v>0.12328767123287671</v>
      </c>
      <c r="G11" s="8">
        <v>0.15573770491803279</v>
      </c>
      <c r="H11" s="8">
        <v>0.12021857923497267</v>
      </c>
      <c r="I11" s="8">
        <v>0.56702709918568961</v>
      </c>
      <c r="J11" s="8">
        <f t="shared" si="1"/>
        <v>0.56702709918568961</v>
      </c>
      <c r="K11" s="8">
        <f t="shared" si="2"/>
        <v>0.69285714285714284</v>
      </c>
      <c r="L11" s="8">
        <f t="shared" si="0"/>
        <v>0.47959183673469385</v>
      </c>
      <c r="M11" s="8">
        <f t="shared" si="0"/>
        <v>0.53503184713375795</v>
      </c>
      <c r="N11" s="8">
        <f t="shared" si="0"/>
        <v>0.49315068493150682</v>
      </c>
      <c r="O11" s="8">
        <f t="shared" si="0"/>
        <v>0.45491803278688525</v>
      </c>
      <c r="P11" s="8">
        <f t="shared" si="0"/>
        <v>0.33879781420765032</v>
      </c>
    </row>
    <row r="12" spans="1:16" x14ac:dyDescent="0.3">
      <c r="A12" s="25" t="s">
        <v>35</v>
      </c>
      <c r="B12" s="8">
        <v>0.4329729008143105</v>
      </c>
      <c r="C12" s="8">
        <v>0.30714285714285716</v>
      </c>
      <c r="D12" s="8">
        <v>0.52040816326530615</v>
      </c>
      <c r="E12" s="8">
        <v>0.46496815286624205</v>
      </c>
      <c r="F12" s="8">
        <v>0.50684931506849318</v>
      </c>
      <c r="G12" s="8">
        <v>0.54508196721311475</v>
      </c>
      <c r="H12" s="8">
        <v>0.66120218579234968</v>
      </c>
      <c r="I12" s="8">
        <v>1</v>
      </c>
      <c r="J12" s="8">
        <f t="shared" si="1"/>
        <v>1</v>
      </c>
      <c r="K12" s="8">
        <f t="shared" si="2"/>
        <v>1</v>
      </c>
      <c r="L12" s="8">
        <f t="shared" si="0"/>
        <v>1</v>
      </c>
      <c r="M12" s="8">
        <f t="shared" si="0"/>
        <v>1</v>
      </c>
      <c r="N12" s="8">
        <f t="shared" si="0"/>
        <v>1</v>
      </c>
      <c r="O12" s="8">
        <f t="shared" si="0"/>
        <v>1</v>
      </c>
      <c r="P12" s="8">
        <f t="shared" si="0"/>
        <v>1</v>
      </c>
    </row>
    <row r="15" spans="1:16" x14ac:dyDescent="0.3">
      <c r="B15" s="1" t="s">
        <v>99</v>
      </c>
      <c r="C15" s="2" t="s">
        <v>101</v>
      </c>
      <c r="D15" s="2" t="s">
        <v>102</v>
      </c>
      <c r="E15" s="2" t="s">
        <v>103</v>
      </c>
      <c r="F15" s="2" t="s">
        <v>104</v>
      </c>
      <c r="G15" s="2" t="s">
        <v>105</v>
      </c>
      <c r="H15" s="2" t="s">
        <v>106</v>
      </c>
      <c r="J15" s="6"/>
      <c r="K15" s="19" t="s">
        <v>107</v>
      </c>
      <c r="L15" s="19" t="s">
        <v>108</v>
      </c>
      <c r="M15" s="19" t="s">
        <v>109</v>
      </c>
      <c r="N15" s="19" t="s">
        <v>110</v>
      </c>
      <c r="O15" s="19" t="s">
        <v>111</v>
      </c>
      <c r="P15" s="19" t="s">
        <v>112</v>
      </c>
    </row>
    <row r="16" spans="1:16" x14ac:dyDescent="0.3">
      <c r="B16" s="25" t="s">
        <v>41</v>
      </c>
      <c r="C16" s="8">
        <f>C2-B2</f>
        <v>2.6237198924423596E-3</v>
      </c>
      <c r="D16" s="8">
        <f>D2-B2</f>
        <v>-1.1661994393271926E-2</v>
      </c>
      <c r="E16" s="8">
        <f>E2-B2</f>
        <v>-5.2925676416795686E-3</v>
      </c>
      <c r="F16" s="8">
        <f>F2-B2</f>
        <v>8.8859508122075253E-3</v>
      </c>
      <c r="G16" s="8">
        <f>G2-B2</f>
        <v>6.3308757394118891E-4</v>
      </c>
      <c r="H16" s="8">
        <f>H2-B2</f>
        <v>-7.3303264463804585E-4</v>
      </c>
      <c r="J16" s="25" t="s">
        <v>41</v>
      </c>
      <c r="K16" s="6">
        <f>($J2-0) * ((K2+0))</f>
        <v>1.6659991990388464E-4</v>
      </c>
      <c r="L16" s="6">
        <f t="shared" ref="L16:P16" si="3">($J2-0) * ((L2+0))</f>
        <v>0</v>
      </c>
      <c r="M16" s="6">
        <f t="shared" si="3"/>
        <v>7.4280219065426281E-5</v>
      </c>
      <c r="N16" s="6">
        <f t="shared" si="3"/>
        <v>2.396300217795601E-4</v>
      </c>
      <c r="O16" s="6">
        <f t="shared" si="3"/>
        <v>1.4338517696645809E-4</v>
      </c>
      <c r="P16" s="6">
        <f t="shared" si="3"/>
        <v>1.2745349063685165E-4</v>
      </c>
    </row>
    <row r="17" spans="2:16" x14ac:dyDescent="0.3">
      <c r="B17" s="25" t="s">
        <v>42</v>
      </c>
      <c r="C17" s="8">
        <f t="shared" ref="C17:C26" si="4">C3-B3</f>
        <v>1.4009191982760263E-3</v>
      </c>
      <c r="D17" s="8">
        <f t="shared" ref="D17:D26" si="5">D3-B3</f>
        <v>-1.2884795087438259E-2</v>
      </c>
      <c r="E17" s="8">
        <f t="shared" ref="E17:E26" si="6">E3-B3</f>
        <v>6.2234851673388103E-3</v>
      </c>
      <c r="F17" s="8">
        <f t="shared" ref="F17:F26" si="7">F3-B3</f>
        <v>-6.0354800189451087E-3</v>
      </c>
      <c r="G17" s="8">
        <f t="shared" ref="G17:G26" si="8">G3-B3</f>
        <v>-4.6880737759628487E-3</v>
      </c>
      <c r="H17" s="8">
        <f t="shared" ref="H17:H26" si="9">H3-B3</f>
        <v>-7.4203142131213191E-3</v>
      </c>
      <c r="J17" s="25" t="s">
        <v>42</v>
      </c>
      <c r="K17" s="6">
        <f>($J3-$J2) * ((K3+K2))</f>
        <v>5.52205503747354E-4</v>
      </c>
      <c r="L17" s="6">
        <f t="shared" ref="L17:P17" si="10">($J3-$J2) * ((L3+L2))</f>
        <v>0</v>
      </c>
      <c r="M17" s="6">
        <f t="shared" si="10"/>
        <v>4.1034379259357516E-4</v>
      </c>
      <c r="N17" s="6">
        <f t="shared" si="10"/>
        <v>6.1776414802786181E-4</v>
      </c>
      <c r="O17" s="6">
        <f t="shared" si="10"/>
        <v>4.2245229794879544E-4</v>
      </c>
      <c r="P17" s="6">
        <f t="shared" si="10"/>
        <v>3.5204358162399622E-4</v>
      </c>
    </row>
    <row r="18" spans="2:16" x14ac:dyDescent="0.3">
      <c r="B18" s="25" t="s">
        <v>44</v>
      </c>
      <c r="C18" s="8">
        <f t="shared" si="4"/>
        <v>-9.1113145298167345E-3</v>
      </c>
      <c r="D18" s="8">
        <f t="shared" si="5"/>
        <v>4.1539915926322446E-3</v>
      </c>
      <c r="E18" s="8">
        <f t="shared" si="6"/>
        <v>-9.8847449210815192E-3</v>
      </c>
      <c r="F18" s="8">
        <f t="shared" si="7"/>
        <v>4.2937735328055747E-3</v>
      </c>
      <c r="G18" s="8">
        <f t="shared" si="8"/>
        <v>-1.215581101693617E-2</v>
      </c>
      <c r="H18" s="8">
        <f t="shared" si="9"/>
        <v>-5.3252099240399964E-3</v>
      </c>
      <c r="J18" s="25" t="s">
        <v>44</v>
      </c>
      <c r="K18" s="6">
        <f t="shared" ref="K18:P26" si="11">($J4-$J3) * ((K4+K3))</f>
        <v>1.0449110361004637E-3</v>
      </c>
      <c r="L18" s="6">
        <f t="shared" si="11"/>
        <v>3.317177892382424E-4</v>
      </c>
      <c r="M18" s="6">
        <f t="shared" si="11"/>
        <v>9.3176780289213322E-4</v>
      </c>
      <c r="N18" s="6">
        <f t="shared" si="11"/>
        <v>1.2246293725987169E-3</v>
      </c>
      <c r="O18" s="6">
        <f t="shared" si="11"/>
        <v>7.3277003442382262E-4</v>
      </c>
      <c r="P18" s="6">
        <f t="shared" si="11"/>
        <v>7.1056488186552495E-4</v>
      </c>
    </row>
    <row r="19" spans="2:16" x14ac:dyDescent="0.3">
      <c r="B19" s="25" t="s">
        <v>43</v>
      </c>
      <c r="C19" s="8">
        <f t="shared" si="4"/>
        <v>-4.7878406468714833E-3</v>
      </c>
      <c r="D19" s="8">
        <f t="shared" si="5"/>
        <v>1.1538689965373414E-2</v>
      </c>
      <c r="E19" s="8">
        <f t="shared" si="6"/>
        <v>2.5512432328560725E-2</v>
      </c>
      <c r="F19" s="8">
        <f t="shared" si="7"/>
        <v>2.8871650546866284E-2</v>
      </c>
      <c r="G19" s="8">
        <f t="shared" si="8"/>
        <v>-6.778472965372654E-3</v>
      </c>
      <c r="H19" s="8">
        <f t="shared" si="9"/>
        <v>-8.1445931839518888E-3</v>
      </c>
      <c r="J19" s="25" t="s">
        <v>43</v>
      </c>
      <c r="K19" s="6">
        <f t="shared" si="11"/>
        <v>1.6348761370787799E-3</v>
      </c>
      <c r="L19" s="6">
        <f t="shared" si="11"/>
        <v>1.3623967808989832E-3</v>
      </c>
      <c r="M19" s="6">
        <f t="shared" si="11"/>
        <v>2.0652893876048281E-3</v>
      </c>
      <c r="N19" s="6">
        <f t="shared" si="11"/>
        <v>2.7434565313993221E-3</v>
      </c>
      <c r="O19" s="6">
        <f t="shared" si="11"/>
        <v>1.17255460651142E-3</v>
      </c>
      <c r="P19" s="6">
        <f t="shared" si="11"/>
        <v>1.2507249136121813E-3</v>
      </c>
    </row>
    <row r="20" spans="2:16" x14ac:dyDescent="0.3">
      <c r="B20" s="25" t="s">
        <v>36</v>
      </c>
      <c r="C20" s="8">
        <f t="shared" si="4"/>
        <v>2.4193031637965563E-2</v>
      </c>
      <c r="D20" s="8">
        <f t="shared" si="5"/>
        <v>-1.560288672938138E-2</v>
      </c>
      <c r="E20" s="8">
        <f t="shared" si="6"/>
        <v>1.2409592147519698E-2</v>
      </c>
      <c r="F20" s="8">
        <f t="shared" si="7"/>
        <v>-1.8343656223084141E-3</v>
      </c>
      <c r="G20" s="8">
        <f t="shared" si="8"/>
        <v>-1.2168044276082111E-3</v>
      </c>
      <c r="H20" s="8">
        <f t="shared" si="9"/>
        <v>-3.9490448647666807E-3</v>
      </c>
      <c r="J20" s="25" t="s">
        <v>36</v>
      </c>
      <c r="K20" s="6">
        <f t="shared" si="11"/>
        <v>3.8710452543051664E-3</v>
      </c>
      <c r="L20" s="6">
        <f t="shared" si="11"/>
        <v>2.8967005304324374E-3</v>
      </c>
      <c r="M20" s="6">
        <f t="shared" si="11"/>
        <v>4.9312678398791936E-3</v>
      </c>
      <c r="N20" s="6">
        <f t="shared" si="11"/>
        <v>5.567941804137568E-3</v>
      </c>
      <c r="O20" s="6">
        <f t="shared" si="11"/>
        <v>2.5383903306919124E-3</v>
      </c>
      <c r="P20" s="6">
        <f t="shared" si="11"/>
        <v>2.5383903306919124E-3</v>
      </c>
    </row>
    <row r="21" spans="2:16" x14ac:dyDescent="0.3">
      <c r="B21" s="25" t="s">
        <v>40</v>
      </c>
      <c r="C21" s="8">
        <f t="shared" si="4"/>
        <v>-1.918015904800046E-2</v>
      </c>
      <c r="D21" s="8">
        <f t="shared" si="5"/>
        <v>1.0411677686693419E-2</v>
      </c>
      <c r="E21" s="8">
        <f t="shared" si="6"/>
        <v>-2.7869876973387175E-2</v>
      </c>
      <c r="F21" s="8">
        <f t="shared" si="7"/>
        <v>-2.3485442805339013E-2</v>
      </c>
      <c r="G21" s="8">
        <f t="shared" si="8"/>
        <v>8.5715973922805694E-3</v>
      </c>
      <c r="H21" s="8">
        <f t="shared" si="9"/>
        <v>3.1071165179636304E-3</v>
      </c>
      <c r="J21" s="25" t="s">
        <v>40</v>
      </c>
      <c r="K21" s="6">
        <f t="shared" si="11"/>
        <v>8.9919331769552011E-3</v>
      </c>
      <c r="L21" s="6">
        <f t="shared" si="11"/>
        <v>7.0443716132828765E-3</v>
      </c>
      <c r="M21" s="6">
        <f t="shared" si="11"/>
        <v>9.8288647013358675E-3</v>
      </c>
      <c r="N21" s="6">
        <f t="shared" si="11"/>
        <v>1.0430324608708528E-2</v>
      </c>
      <c r="O21" s="6">
        <f t="shared" si="11"/>
        <v>6.9900273771148309E-3</v>
      </c>
      <c r="P21" s="6">
        <f t="shared" si="11"/>
        <v>6.6571689305855537E-3</v>
      </c>
    </row>
    <row r="22" spans="2:16" x14ac:dyDescent="0.3">
      <c r="B22" s="25" t="s">
        <v>37</v>
      </c>
      <c r="C22" s="8">
        <f t="shared" si="4"/>
        <v>-2.6652173083891149E-2</v>
      </c>
      <c r="D22" s="8">
        <f t="shared" si="5"/>
        <v>1.6204969773251705E-2</v>
      </c>
      <c r="E22" s="8">
        <f t="shared" si="6"/>
        <v>-1.7007041145765581E-2</v>
      </c>
      <c r="F22" s="8">
        <f t="shared" si="7"/>
        <v>1.6694206563858359E-2</v>
      </c>
      <c r="G22" s="8">
        <f t="shared" si="8"/>
        <v>-1.4239995097942673E-2</v>
      </c>
      <c r="H22" s="8">
        <f t="shared" si="9"/>
        <v>-3.3365678158051956E-2</v>
      </c>
      <c r="J22" s="25" t="s">
        <v>37</v>
      </c>
      <c r="K22" s="6">
        <f t="shared" si="11"/>
        <v>1.4989263306443928E-2</v>
      </c>
      <c r="L22" s="6">
        <f t="shared" si="11"/>
        <v>1.6341678040859918E-2</v>
      </c>
      <c r="M22" s="6">
        <f t="shared" si="11"/>
        <v>1.6180163542322976E-2</v>
      </c>
      <c r="N22" s="6">
        <f t="shared" si="11"/>
        <v>1.9101314271189357E-2</v>
      </c>
      <c r="O22" s="6">
        <f t="shared" si="11"/>
        <v>1.4484879122706814E-2</v>
      </c>
      <c r="P22" s="6">
        <f t="shared" si="11"/>
        <v>1.2674269232368461E-2</v>
      </c>
    </row>
    <row r="23" spans="2:16" x14ac:dyDescent="0.3">
      <c r="B23" s="25" t="s">
        <v>39</v>
      </c>
      <c r="C23" s="8">
        <f t="shared" si="4"/>
        <v>4.5655929973110576E-2</v>
      </c>
      <c r="D23" s="8">
        <f t="shared" si="5"/>
        <v>1.9125317728212632E-2</v>
      </c>
      <c r="E23" s="8">
        <f t="shared" si="6"/>
        <v>1.8995329427159729E-2</v>
      </c>
      <c r="F23" s="8">
        <f t="shared" si="7"/>
        <v>-1.7847005447633055E-2</v>
      </c>
      <c r="G23" s="8">
        <f t="shared" si="8"/>
        <v>-3.3735170729465525E-2</v>
      </c>
      <c r="H23" s="8">
        <f t="shared" si="9"/>
        <v>-4.4664132478099403E-2</v>
      </c>
      <c r="J23" s="25" t="s">
        <v>39</v>
      </c>
      <c r="K23" s="6">
        <f t="shared" si="11"/>
        <v>3.5535213684993433E-2</v>
      </c>
      <c r="L23" s="6">
        <f t="shared" si="11"/>
        <v>3.8919519750230898E-2</v>
      </c>
      <c r="M23" s="6">
        <f t="shared" si="11"/>
        <v>3.5912445252774684E-2</v>
      </c>
      <c r="N23" s="6">
        <f t="shared" si="11"/>
        <v>4.0037963364256302E-2</v>
      </c>
      <c r="O23" s="6">
        <f t="shared" si="11"/>
        <v>2.9224315079735035E-2</v>
      </c>
      <c r="P23" s="6">
        <f t="shared" si="11"/>
        <v>2.4013778282572975E-2</v>
      </c>
    </row>
    <row r="24" spans="2:16" x14ac:dyDescent="0.3">
      <c r="B24" s="25" t="s">
        <v>38</v>
      </c>
      <c r="C24" s="8">
        <f t="shared" si="4"/>
        <v>6.6801876537559368E-2</v>
      </c>
      <c r="D24" s="8">
        <f t="shared" si="5"/>
        <v>-5.4626694891012073E-2</v>
      </c>
      <c r="E24" s="8">
        <f t="shared" si="6"/>
        <v>-2.4144438294105786E-2</v>
      </c>
      <c r="F24" s="8">
        <f t="shared" si="7"/>
        <v>-3.0164855360679393E-2</v>
      </c>
      <c r="G24" s="8">
        <f t="shared" si="8"/>
        <v>-2.7694610581878581E-2</v>
      </c>
      <c r="H24" s="8">
        <f t="shared" si="9"/>
        <v>-7.1410457576414094E-2</v>
      </c>
      <c r="J24" s="25" t="s">
        <v>38</v>
      </c>
      <c r="K24" s="6">
        <f t="shared" si="11"/>
        <v>9.4541449739687644E-2</v>
      </c>
      <c r="L24" s="6">
        <f t="shared" si="11"/>
        <v>8.1035528348303687E-2</v>
      </c>
      <c r="M24" s="6">
        <f t="shared" si="11"/>
        <v>8.0289978547505442E-2</v>
      </c>
      <c r="N24" s="6">
        <f t="shared" si="11"/>
        <v>8.1158870096170205E-2</v>
      </c>
      <c r="O24" s="6">
        <f t="shared" si="11"/>
        <v>6.3027633159791763E-2</v>
      </c>
      <c r="P24" s="6">
        <f t="shared" si="11"/>
        <v>4.8217861433720477E-2</v>
      </c>
    </row>
    <row r="25" spans="2:16" x14ac:dyDescent="0.3">
      <c r="B25" s="25" t="s">
        <v>45</v>
      </c>
      <c r="C25" s="8">
        <f t="shared" si="4"/>
        <v>4.4886053740679277E-2</v>
      </c>
      <c r="D25" s="8">
        <f t="shared" si="5"/>
        <v>-5.409353809605541E-2</v>
      </c>
      <c r="E25" s="8">
        <f t="shared" si="6"/>
        <v>-1.0937422146490877E-2</v>
      </c>
      <c r="F25" s="8">
        <f t="shared" si="7"/>
        <v>-5.3254846455015437E-2</v>
      </c>
      <c r="G25" s="8">
        <f t="shared" si="8"/>
        <v>-2.0804812769859349E-2</v>
      </c>
      <c r="H25" s="8">
        <f t="shared" si="9"/>
        <v>-5.632393845291947E-2</v>
      </c>
      <c r="J25" s="25" t="s">
        <v>45</v>
      </c>
      <c r="K25" s="6">
        <f t="shared" si="11"/>
        <v>0.20554593130804588</v>
      </c>
      <c r="L25" s="6">
        <f t="shared" si="11"/>
        <v>0.1477192494939506</v>
      </c>
      <c r="M25" s="6">
        <f t="shared" si="11"/>
        <v>0.15967539816357129</v>
      </c>
      <c r="N25" s="6">
        <f t="shared" si="11"/>
        <v>0.15235861115530422</v>
      </c>
      <c r="O25" s="6">
        <f t="shared" si="11"/>
        <v>0.13313042317447607</v>
      </c>
      <c r="P25" s="6">
        <f t="shared" si="11"/>
        <v>9.8400747563743202E-2</v>
      </c>
    </row>
    <row r="26" spans="2:16" x14ac:dyDescent="0.3">
      <c r="B26" s="25" t="s">
        <v>35</v>
      </c>
      <c r="C26" s="8">
        <f t="shared" si="4"/>
        <v>-0.12583004367145334</v>
      </c>
      <c r="D26" s="8">
        <f t="shared" si="5"/>
        <v>8.7435262450995643E-2</v>
      </c>
      <c r="E26" s="8">
        <f t="shared" si="6"/>
        <v>3.1995252051931544E-2</v>
      </c>
      <c r="F26" s="8">
        <f t="shared" si="7"/>
        <v>7.3876414254182676E-2</v>
      </c>
      <c r="G26" s="8">
        <f t="shared" si="8"/>
        <v>0.11210906639880425</v>
      </c>
      <c r="H26" s="8">
        <f t="shared" si="9"/>
        <v>0.22822928497803918</v>
      </c>
      <c r="J26" s="25" t="s">
        <v>35</v>
      </c>
      <c r="K26" s="6">
        <f t="shared" si="11"/>
        <v>0.73296126780708259</v>
      </c>
      <c r="L26" s="6">
        <f t="shared" si="11"/>
        <v>0.6406231695721939</v>
      </c>
      <c r="M26" s="6">
        <f t="shared" si="11"/>
        <v>0.66462719169585216</v>
      </c>
      <c r="N26" s="6">
        <f t="shared" si="11"/>
        <v>0.64649378340766894</v>
      </c>
      <c r="O26" s="6">
        <f t="shared" si="11"/>
        <v>0.62994008110278776</v>
      </c>
      <c r="P26" s="6">
        <f t="shared" si="11"/>
        <v>0.57966317322134453</v>
      </c>
    </row>
    <row r="27" spans="2:16" x14ac:dyDescent="0.3">
      <c r="J27" s="20" t="s">
        <v>114</v>
      </c>
      <c r="K27" s="19">
        <f>SUM(K16:K26)</f>
        <v>1.0998346968743444</v>
      </c>
      <c r="L27" s="19">
        <f t="shared" ref="L27:P27" si="12">SUM(L16:L26)</f>
        <v>0.93627433191939158</v>
      </c>
      <c r="M27" s="19">
        <f t="shared" si="12"/>
        <v>0.97492699094539759</v>
      </c>
      <c r="N27" s="19">
        <f t="shared" si="12"/>
        <v>0.95997428878124058</v>
      </c>
      <c r="O27" s="19">
        <f t="shared" si="12"/>
        <v>0.88180691146315471</v>
      </c>
      <c r="P27" s="19">
        <f t="shared" si="12"/>
        <v>0.77460617586276559</v>
      </c>
    </row>
    <row r="28" spans="2:16" x14ac:dyDescent="0.3">
      <c r="J28" s="23" t="s">
        <v>113</v>
      </c>
      <c r="K28" s="24">
        <f>1-K27</f>
        <v>-9.9834696874344431E-2</v>
      </c>
      <c r="L28" s="24">
        <f t="shared" ref="L28:P28" si="13">1-L27</f>
        <v>6.3725668080608422E-2</v>
      </c>
      <c r="M28" s="24">
        <f t="shared" si="13"/>
        <v>2.5073009054602413E-2</v>
      </c>
      <c r="N28" s="24">
        <f t="shared" si="13"/>
        <v>4.0025711218759419E-2</v>
      </c>
      <c r="O28" s="24">
        <f t="shared" si="13"/>
        <v>0.11819308853684529</v>
      </c>
      <c r="P28" s="24">
        <f t="shared" si="13"/>
        <v>0.22539382413723441</v>
      </c>
    </row>
  </sheetData>
  <sortState xmlns:xlrd2="http://schemas.microsoft.com/office/spreadsheetml/2017/richdata2" ref="A2:P12">
    <sortCondition ref="B1:B12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BDC3-4301-417E-8345-D50748FE6A75}">
  <dimension ref="A1:P23"/>
  <sheetViews>
    <sheetView zoomScale="71" workbookViewId="0">
      <selection activeCell="J2" sqref="J2:P2"/>
    </sheetView>
  </sheetViews>
  <sheetFormatPr defaultRowHeight="14.4" x14ac:dyDescent="0.3"/>
  <cols>
    <col min="1" max="4" width="12.77734375" customWidth="1"/>
    <col min="7" max="7" width="10.77734375" customWidth="1"/>
  </cols>
  <sheetData>
    <row r="1" spans="1:16" ht="25.8" customHeight="1" x14ac:dyDescent="0.3">
      <c r="A1" s="1" t="s">
        <v>99</v>
      </c>
      <c r="B1" s="10" t="s">
        <v>98</v>
      </c>
      <c r="C1" s="2" t="s">
        <v>0</v>
      </c>
      <c r="D1" s="2" t="s">
        <v>1</v>
      </c>
      <c r="E1" s="2" t="s">
        <v>2</v>
      </c>
      <c r="F1" s="10" t="s">
        <v>3</v>
      </c>
      <c r="G1" s="2" t="s">
        <v>4</v>
      </c>
      <c r="H1" s="2" t="s">
        <v>5</v>
      </c>
      <c r="I1" s="13" t="s">
        <v>98</v>
      </c>
      <c r="J1" s="16" t="s">
        <v>98</v>
      </c>
      <c r="K1" s="17" t="s">
        <v>0</v>
      </c>
      <c r="L1" s="17" t="s">
        <v>1</v>
      </c>
      <c r="M1" s="17" t="s">
        <v>2</v>
      </c>
      <c r="N1" s="16" t="s">
        <v>3</v>
      </c>
      <c r="O1" s="17" t="s">
        <v>4</v>
      </c>
      <c r="P1" s="17" t="s">
        <v>5</v>
      </c>
    </row>
    <row r="2" spans="1:16" x14ac:dyDescent="0.3">
      <c r="A2" s="25" t="s">
        <v>47</v>
      </c>
      <c r="B2" s="8">
        <v>2.8466856445709638E-2</v>
      </c>
      <c r="C2" s="8">
        <v>0</v>
      </c>
      <c r="D2" s="8">
        <v>3.8461538461538464E-2</v>
      </c>
      <c r="E2" s="8">
        <v>0</v>
      </c>
      <c r="F2" s="8">
        <v>2.0202020202020204E-2</v>
      </c>
      <c r="G2" s="8">
        <v>0</v>
      </c>
      <c r="H2" s="8">
        <v>0</v>
      </c>
      <c r="I2" s="8">
        <v>2.8466856445709638E-2</v>
      </c>
      <c r="J2" s="8">
        <v>2.8466856445709638E-2</v>
      </c>
      <c r="K2" s="8">
        <v>0</v>
      </c>
      <c r="L2" s="8">
        <v>3.8461538461538464E-2</v>
      </c>
      <c r="M2" s="8">
        <v>0</v>
      </c>
      <c r="N2" s="8">
        <v>2.0202020202020204E-2</v>
      </c>
      <c r="O2" s="8">
        <v>0</v>
      </c>
      <c r="P2" s="8">
        <v>0</v>
      </c>
    </row>
    <row r="3" spans="1:16" x14ac:dyDescent="0.3">
      <c r="A3" s="25" t="s">
        <v>53</v>
      </c>
      <c r="B3" s="8">
        <v>3.7627619271847774E-2</v>
      </c>
      <c r="C3" s="8">
        <v>4.5871559633027525E-2</v>
      </c>
      <c r="D3" s="8">
        <v>3.8461538461538464E-2</v>
      </c>
      <c r="E3" s="8">
        <v>5.0847457627118647E-2</v>
      </c>
      <c r="F3" s="8">
        <v>4.0404040404040407E-2</v>
      </c>
      <c r="G3" s="8">
        <v>3.4883720930232558E-2</v>
      </c>
      <c r="H3" s="8">
        <v>0</v>
      </c>
      <c r="I3" s="8">
        <v>6.6094475717557416E-2</v>
      </c>
      <c r="J3" s="8">
        <f t="shared" ref="J3:P3" si="0">J2+B3</f>
        <v>6.6094475717557416E-2</v>
      </c>
      <c r="K3" s="8">
        <f t="shared" si="0"/>
        <v>4.5871559633027525E-2</v>
      </c>
      <c r="L3" s="8">
        <f t="shared" si="0"/>
        <v>7.6923076923076927E-2</v>
      </c>
      <c r="M3" s="8">
        <f t="shared" si="0"/>
        <v>5.0847457627118647E-2</v>
      </c>
      <c r="N3" s="8">
        <f t="shared" si="0"/>
        <v>6.0606060606060608E-2</v>
      </c>
      <c r="O3" s="8">
        <f t="shared" si="0"/>
        <v>3.4883720930232558E-2</v>
      </c>
      <c r="P3" s="8">
        <f t="shared" si="0"/>
        <v>0</v>
      </c>
    </row>
    <row r="4" spans="1:16" x14ac:dyDescent="0.3">
      <c r="A4" s="25" t="s">
        <v>50</v>
      </c>
      <c r="B4" s="8">
        <v>4.7248560604439119E-2</v>
      </c>
      <c r="C4" s="8">
        <v>1.834862385321101E-2</v>
      </c>
      <c r="D4" s="8">
        <v>1.9230769230769232E-2</v>
      </c>
      <c r="E4" s="8">
        <v>6.7796610169491525E-2</v>
      </c>
      <c r="F4" s="8">
        <v>5.0505050505050504E-2</v>
      </c>
      <c r="G4" s="8">
        <v>8.1395348837209308E-2</v>
      </c>
      <c r="H4" s="8">
        <v>7.4999999999999997E-2</v>
      </c>
      <c r="I4" s="8">
        <v>0.11334303632199653</v>
      </c>
      <c r="J4" s="8">
        <f t="shared" ref="J4:J10" si="1">J3+B4</f>
        <v>0.11334303632199653</v>
      </c>
      <c r="K4" s="8">
        <f t="shared" ref="K4:K10" si="2">K3+C4</f>
        <v>6.4220183486238536E-2</v>
      </c>
      <c r="L4" s="8">
        <f t="shared" ref="L4:L10" si="3">L3+D4</f>
        <v>9.6153846153846159E-2</v>
      </c>
      <c r="M4" s="8">
        <f t="shared" ref="M4:M10" si="4">M3+E4</f>
        <v>0.11864406779661017</v>
      </c>
      <c r="N4" s="8">
        <f t="shared" ref="N4:N10" si="5">N3+F4</f>
        <v>0.1111111111111111</v>
      </c>
      <c r="O4" s="8">
        <f t="shared" ref="O4:O10" si="6">O3+G4</f>
        <v>0.11627906976744187</v>
      </c>
      <c r="P4" s="8">
        <f t="shared" ref="P4:P10" si="7">P3+H4</f>
        <v>7.4999999999999997E-2</v>
      </c>
    </row>
    <row r="5" spans="1:16" x14ac:dyDescent="0.3">
      <c r="A5" s="25" t="s">
        <v>48</v>
      </c>
      <c r="B5" s="8">
        <v>4.7473298944799985E-2</v>
      </c>
      <c r="C5" s="8">
        <v>1.834862385321101E-2</v>
      </c>
      <c r="D5" s="8">
        <v>3.8461538461538464E-2</v>
      </c>
      <c r="E5" s="8">
        <v>6.7796610169491525E-2</v>
      </c>
      <c r="F5" s="8">
        <v>7.0707070707070704E-2</v>
      </c>
      <c r="G5" s="8">
        <v>2.3255813953488372E-2</v>
      </c>
      <c r="H5" s="8">
        <v>7.4999999999999997E-2</v>
      </c>
      <c r="I5" s="8">
        <v>0.16081633526679651</v>
      </c>
      <c r="J5" s="8">
        <f t="shared" si="1"/>
        <v>0.16081633526679651</v>
      </c>
      <c r="K5" s="8">
        <f t="shared" si="2"/>
        <v>8.2568807339449546E-2</v>
      </c>
      <c r="L5" s="8">
        <f t="shared" si="3"/>
        <v>0.13461538461538464</v>
      </c>
      <c r="M5" s="8">
        <f t="shared" si="4"/>
        <v>0.1864406779661017</v>
      </c>
      <c r="N5" s="8">
        <f t="shared" si="5"/>
        <v>0.18181818181818182</v>
      </c>
      <c r="O5" s="8">
        <f t="shared" si="6"/>
        <v>0.13953488372093026</v>
      </c>
      <c r="P5" s="8">
        <f t="shared" si="7"/>
        <v>0.15</v>
      </c>
    </row>
    <row r="6" spans="1:16" x14ac:dyDescent="0.3">
      <c r="A6" s="25" t="s">
        <v>49</v>
      </c>
      <c r="B6" s="8">
        <v>5.4996682434023246E-2</v>
      </c>
      <c r="C6" s="8">
        <v>4.5871559633027525E-2</v>
      </c>
      <c r="D6" s="8">
        <v>5.7692307692307696E-2</v>
      </c>
      <c r="E6" s="8">
        <v>3.3898305084745763E-2</v>
      </c>
      <c r="F6" s="8">
        <v>6.0606060606060608E-2</v>
      </c>
      <c r="G6" s="8">
        <v>4.6511627906976744E-2</v>
      </c>
      <c r="H6" s="8">
        <v>0.05</v>
      </c>
      <c r="I6" s="8">
        <v>0.21581301770081976</v>
      </c>
      <c r="J6" s="8">
        <f t="shared" si="1"/>
        <v>0.21581301770081976</v>
      </c>
      <c r="K6" s="8">
        <f t="shared" si="2"/>
        <v>0.12844036697247707</v>
      </c>
      <c r="L6" s="8">
        <f t="shared" si="3"/>
        <v>0.19230769230769235</v>
      </c>
      <c r="M6" s="8">
        <f t="shared" si="4"/>
        <v>0.22033898305084745</v>
      </c>
      <c r="N6" s="8">
        <f t="shared" si="5"/>
        <v>0.24242424242424243</v>
      </c>
      <c r="O6" s="8">
        <f t="shared" si="6"/>
        <v>0.186046511627907</v>
      </c>
      <c r="P6" s="8">
        <f t="shared" si="7"/>
        <v>0.2</v>
      </c>
    </row>
    <row r="7" spans="1:16" x14ac:dyDescent="0.3">
      <c r="A7" s="25" t="s">
        <v>54</v>
      </c>
      <c r="B7" s="8">
        <v>0.11193039532544252</v>
      </c>
      <c r="C7" s="8">
        <v>0.16513761467889909</v>
      </c>
      <c r="D7" s="8">
        <v>7.6923076923076927E-2</v>
      </c>
      <c r="E7" s="8">
        <v>0.10169491525423729</v>
      </c>
      <c r="F7" s="8">
        <v>0.10101010101010101</v>
      </c>
      <c r="G7" s="8">
        <v>0.11627906976744186</v>
      </c>
      <c r="H7" s="8">
        <v>0.125</v>
      </c>
      <c r="I7" s="8">
        <v>0.32774341302626231</v>
      </c>
      <c r="J7" s="8">
        <f t="shared" si="1"/>
        <v>0.32774341302626231</v>
      </c>
      <c r="K7" s="8">
        <f t="shared" si="2"/>
        <v>0.29357798165137616</v>
      </c>
      <c r="L7" s="8">
        <f t="shared" si="3"/>
        <v>0.26923076923076927</v>
      </c>
      <c r="M7" s="8">
        <f t="shared" si="4"/>
        <v>0.32203389830508478</v>
      </c>
      <c r="N7" s="8">
        <f t="shared" si="5"/>
        <v>0.34343434343434343</v>
      </c>
      <c r="O7" s="8">
        <f t="shared" si="6"/>
        <v>0.30232558139534887</v>
      </c>
      <c r="P7" s="8">
        <f t="shared" si="7"/>
        <v>0.32500000000000001</v>
      </c>
    </row>
    <row r="8" spans="1:16" x14ac:dyDescent="0.3">
      <c r="A8" s="25" t="s">
        <v>51</v>
      </c>
      <c r="B8" s="8">
        <v>0.13521756811712077</v>
      </c>
      <c r="C8" s="8">
        <v>4.5871559633027525E-2</v>
      </c>
      <c r="D8" s="8">
        <v>0.17307692307692307</v>
      </c>
      <c r="E8" s="8">
        <v>0.10169491525423729</v>
      </c>
      <c r="F8" s="8">
        <v>8.0808080808080815E-2</v>
      </c>
      <c r="G8" s="8">
        <v>8.1395348837209308E-2</v>
      </c>
      <c r="H8" s="8">
        <v>0.125</v>
      </c>
      <c r="I8" s="8">
        <v>0.46296098114338308</v>
      </c>
      <c r="J8" s="8">
        <f t="shared" si="1"/>
        <v>0.46296098114338308</v>
      </c>
      <c r="K8" s="8">
        <f t="shared" si="2"/>
        <v>0.33944954128440369</v>
      </c>
      <c r="L8" s="8">
        <f t="shared" si="3"/>
        <v>0.44230769230769235</v>
      </c>
      <c r="M8" s="8">
        <f t="shared" si="4"/>
        <v>0.42372881355932207</v>
      </c>
      <c r="N8" s="8">
        <f t="shared" si="5"/>
        <v>0.42424242424242425</v>
      </c>
      <c r="O8" s="8">
        <f t="shared" si="6"/>
        <v>0.38372093023255816</v>
      </c>
      <c r="P8" s="8">
        <f t="shared" si="7"/>
        <v>0.45</v>
      </c>
    </row>
    <row r="9" spans="1:16" x14ac:dyDescent="0.3">
      <c r="A9" s="25" t="s">
        <v>52</v>
      </c>
      <c r="B9" s="8">
        <v>0.16442285053830183</v>
      </c>
      <c r="C9" s="8">
        <v>0.11926605504587157</v>
      </c>
      <c r="D9" s="8">
        <v>0.13461538461538461</v>
      </c>
      <c r="E9" s="8">
        <v>0.20338983050847459</v>
      </c>
      <c r="F9" s="8">
        <v>0.13131313131313133</v>
      </c>
      <c r="G9" s="8">
        <v>0.12790697674418605</v>
      </c>
      <c r="H9" s="8">
        <v>0.05</v>
      </c>
      <c r="I9" s="8">
        <v>0.62738383168168488</v>
      </c>
      <c r="J9" s="8">
        <f t="shared" si="1"/>
        <v>0.62738383168168488</v>
      </c>
      <c r="K9" s="8">
        <f t="shared" si="2"/>
        <v>0.45871559633027525</v>
      </c>
      <c r="L9" s="8">
        <f t="shared" si="3"/>
        <v>0.57692307692307698</v>
      </c>
      <c r="M9" s="8">
        <f t="shared" si="4"/>
        <v>0.62711864406779672</v>
      </c>
      <c r="N9" s="8">
        <f t="shared" si="5"/>
        <v>0.55555555555555558</v>
      </c>
      <c r="O9" s="8">
        <f t="shared" si="6"/>
        <v>0.51162790697674421</v>
      </c>
      <c r="P9" s="8">
        <f t="shared" si="7"/>
        <v>0.5</v>
      </c>
    </row>
    <row r="10" spans="1:16" x14ac:dyDescent="0.3">
      <c r="A10" s="25" t="s">
        <v>46</v>
      </c>
      <c r="B10" s="8">
        <v>0.37261616831831512</v>
      </c>
      <c r="C10" s="8">
        <v>0.54128440366972475</v>
      </c>
      <c r="D10" s="8">
        <v>0.42307692307692307</v>
      </c>
      <c r="E10" s="8">
        <v>0.3728813559322034</v>
      </c>
      <c r="F10" s="8">
        <v>0.44444444444444442</v>
      </c>
      <c r="G10" s="8">
        <v>0.48837209302325579</v>
      </c>
      <c r="H10" s="8">
        <v>0.5</v>
      </c>
      <c r="I10" s="8">
        <v>1</v>
      </c>
      <c r="J10" s="8">
        <f t="shared" si="1"/>
        <v>1</v>
      </c>
      <c r="K10" s="8">
        <f t="shared" si="2"/>
        <v>1</v>
      </c>
      <c r="L10" s="8">
        <f t="shared" si="3"/>
        <v>1</v>
      </c>
      <c r="M10" s="8">
        <f t="shared" si="4"/>
        <v>1</v>
      </c>
      <c r="N10" s="8">
        <f t="shared" si="5"/>
        <v>1</v>
      </c>
      <c r="O10" s="8">
        <f t="shared" si="6"/>
        <v>1</v>
      </c>
      <c r="P10" s="8">
        <f t="shared" si="7"/>
        <v>1</v>
      </c>
    </row>
    <row r="12" spans="1:16" ht="18.600000000000001" customHeight="1" x14ac:dyDescent="0.3">
      <c r="B12" s="1" t="s">
        <v>99</v>
      </c>
      <c r="C12" s="2" t="s">
        <v>101</v>
      </c>
      <c r="D12" s="2" t="s">
        <v>102</v>
      </c>
      <c r="E12" s="2" t="s">
        <v>103</v>
      </c>
      <c r="F12" s="2" t="s">
        <v>104</v>
      </c>
      <c r="G12" s="2" t="s">
        <v>105</v>
      </c>
      <c r="H12" s="2" t="s">
        <v>106</v>
      </c>
      <c r="J12" s="6"/>
      <c r="K12" s="19" t="s">
        <v>107</v>
      </c>
      <c r="L12" s="19" t="s">
        <v>108</v>
      </c>
      <c r="M12" s="19" t="s">
        <v>109</v>
      </c>
      <c r="N12" s="19" t="s">
        <v>110</v>
      </c>
      <c r="O12" s="19" t="s">
        <v>111</v>
      </c>
      <c r="P12" s="19" t="s">
        <v>112</v>
      </c>
    </row>
    <row r="13" spans="1:16" x14ac:dyDescent="0.3">
      <c r="B13" s="25" t="s">
        <v>47</v>
      </c>
      <c r="C13" s="8">
        <f>C2-B2</f>
        <v>-2.8466856445709638E-2</v>
      </c>
      <c r="D13" s="8">
        <f>D2-B2</f>
        <v>9.9946820158288256E-3</v>
      </c>
      <c r="E13" s="8">
        <f>E2-B2</f>
        <v>-2.8466856445709638E-2</v>
      </c>
      <c r="F13" s="8">
        <f>F2-B2</f>
        <v>-8.2648362436894343E-3</v>
      </c>
      <c r="G13" s="8">
        <f>G2-B2</f>
        <v>-2.8466856445709638E-2</v>
      </c>
      <c r="H13" s="8">
        <f>H2-B2</f>
        <v>-2.8466856445709638E-2</v>
      </c>
      <c r="J13" s="25" t="s">
        <v>47</v>
      </c>
      <c r="K13" s="6">
        <f>($J2-0) * ((K2+0))</f>
        <v>0</v>
      </c>
      <c r="L13" s="6">
        <f t="shared" ref="L13:P13" si="8">($J2-0) * ((L2+0))</f>
        <v>1.0948790940657554E-3</v>
      </c>
      <c r="M13" s="6">
        <f t="shared" si="8"/>
        <v>0</v>
      </c>
      <c r="N13" s="6">
        <f t="shared" si="8"/>
        <v>5.7508800900423515E-4</v>
      </c>
      <c r="O13" s="6">
        <f t="shared" si="8"/>
        <v>0</v>
      </c>
      <c r="P13" s="6">
        <f t="shared" si="8"/>
        <v>0</v>
      </c>
    </row>
    <row r="14" spans="1:16" x14ac:dyDescent="0.3">
      <c r="B14" s="25" t="s">
        <v>53</v>
      </c>
      <c r="C14" s="8">
        <f t="shared" ref="C14:C21" si="9">C3-B3</f>
        <v>8.243940361179751E-3</v>
      </c>
      <c r="D14" s="8">
        <f t="shared" ref="D14:D21" si="10">D3-B3</f>
        <v>8.3391918969068918E-4</v>
      </c>
      <c r="E14" s="8">
        <f t="shared" ref="E14:E21" si="11">E3-B3</f>
        <v>1.3219838355270873E-2</v>
      </c>
      <c r="F14" s="8">
        <f t="shared" ref="F14:F21" si="12">F3-B3</f>
        <v>2.776421132192633E-3</v>
      </c>
      <c r="G14" s="8">
        <f t="shared" ref="G14:G21" si="13">G3-B3</f>
        <v>-2.7438983416152168E-3</v>
      </c>
      <c r="H14" s="8">
        <f t="shared" ref="H14:H21" si="14">H3-B3</f>
        <v>-3.7627619271847774E-2</v>
      </c>
      <c r="J14" s="25" t="s">
        <v>53</v>
      </c>
      <c r="K14" s="6">
        <f>($J3-$J2) * ((K3+K2))</f>
        <v>1.7260375812774213E-3</v>
      </c>
      <c r="L14" s="6">
        <f t="shared" ref="L14:P14" si="15">($J3-$J2) * ((L3+L2))</f>
        <v>4.3416483775208983E-3</v>
      </c>
      <c r="M14" s="6">
        <f t="shared" si="15"/>
        <v>1.9132687765346331E-3</v>
      </c>
      <c r="N14" s="6">
        <f t="shared" si="15"/>
        <v>3.0406156987351743E-3</v>
      </c>
      <c r="O14" s="6">
        <f t="shared" si="15"/>
        <v>1.3125913699481783E-3</v>
      </c>
      <c r="P14" s="6">
        <f t="shared" si="15"/>
        <v>0</v>
      </c>
    </row>
    <row r="15" spans="1:16" x14ac:dyDescent="0.3">
      <c r="B15" s="25" t="s">
        <v>50</v>
      </c>
      <c r="C15" s="8">
        <f t="shared" si="9"/>
        <v>-2.8899936751228109E-2</v>
      </c>
      <c r="D15" s="8">
        <f t="shared" si="10"/>
        <v>-2.8017791373669887E-2</v>
      </c>
      <c r="E15" s="8">
        <f t="shared" si="11"/>
        <v>2.0548049565052406E-2</v>
      </c>
      <c r="F15" s="8">
        <f t="shared" si="12"/>
        <v>3.2564899006113854E-3</v>
      </c>
      <c r="G15" s="8">
        <f t="shared" si="13"/>
        <v>3.4146788232770189E-2</v>
      </c>
      <c r="H15" s="8">
        <f t="shared" si="14"/>
        <v>2.7751439395560878E-2</v>
      </c>
      <c r="J15" s="25" t="s">
        <v>50</v>
      </c>
      <c r="K15" s="6">
        <f t="shared" ref="K15:P21" si="16">($J4-$J3) * ((K4+K3))</f>
        <v>5.2016763968189862E-3</v>
      </c>
      <c r="L15" s="6">
        <f t="shared" si="16"/>
        <v>8.1776354892298467E-3</v>
      </c>
      <c r="M15" s="6">
        <f t="shared" si="16"/>
        <v>8.0082306109218841E-3</v>
      </c>
      <c r="N15" s="6">
        <f t="shared" si="16"/>
        <v>8.1133891947016666E-3</v>
      </c>
      <c r="O15" s="6">
        <f t="shared" si="16"/>
        <v>7.1422242774152166E-3</v>
      </c>
      <c r="P15" s="6">
        <f t="shared" si="16"/>
        <v>3.5436420453329336E-3</v>
      </c>
    </row>
    <row r="16" spans="1:16" x14ac:dyDescent="0.3">
      <c r="B16" s="25" t="s">
        <v>48</v>
      </c>
      <c r="C16" s="8">
        <f t="shared" si="9"/>
        <v>-2.9124675091588975E-2</v>
      </c>
      <c r="D16" s="8">
        <f t="shared" si="10"/>
        <v>-9.0117604832615217E-3</v>
      </c>
      <c r="E16" s="8">
        <f t="shared" si="11"/>
        <v>2.032331122469154E-2</v>
      </c>
      <c r="F16" s="8">
        <f t="shared" si="12"/>
        <v>2.3233771762270719E-2</v>
      </c>
      <c r="G16" s="8">
        <f t="shared" si="13"/>
        <v>-2.4217484991311614E-2</v>
      </c>
      <c r="H16" s="8">
        <f t="shared" si="14"/>
        <v>2.7526701055200012E-2</v>
      </c>
      <c r="J16" s="25" t="s">
        <v>48</v>
      </c>
      <c r="K16" s="6">
        <f t="shared" si="16"/>
        <v>6.9685576432733905E-3</v>
      </c>
      <c r="L16" s="6">
        <f t="shared" si="16"/>
        <v>1.0955376679569225E-2</v>
      </c>
      <c r="M16" s="6">
        <f t="shared" si="16"/>
        <v>1.4483379339091518E-2</v>
      </c>
      <c r="N16" s="6">
        <f t="shared" si="16"/>
        <v>1.3906319892921204E-2</v>
      </c>
      <c r="O16" s="6">
        <f t="shared" si="16"/>
        <v>1.2144332288204645E-2</v>
      </c>
      <c r="P16" s="6">
        <f t="shared" si="16"/>
        <v>1.0681492262579993E-2</v>
      </c>
    </row>
    <row r="17" spans="2:16" x14ac:dyDescent="0.3">
      <c r="B17" s="25" t="s">
        <v>49</v>
      </c>
      <c r="C17" s="8">
        <f t="shared" si="9"/>
        <v>-9.1251228009957205E-3</v>
      </c>
      <c r="D17" s="8">
        <f t="shared" si="10"/>
        <v>2.6956252582844495E-3</v>
      </c>
      <c r="E17" s="8">
        <f t="shared" si="11"/>
        <v>-2.1098377349277483E-2</v>
      </c>
      <c r="F17" s="8">
        <f t="shared" si="12"/>
        <v>5.6093781720373617E-3</v>
      </c>
      <c r="G17" s="8">
        <f t="shared" si="13"/>
        <v>-8.4850545270465025E-3</v>
      </c>
      <c r="H17" s="8">
        <f t="shared" si="14"/>
        <v>-4.9966824340232432E-3</v>
      </c>
      <c r="J17" s="25" t="s">
        <v>49</v>
      </c>
      <c r="K17" s="6">
        <f t="shared" si="16"/>
        <v>1.1604804550298485E-2</v>
      </c>
      <c r="L17" s="6">
        <f t="shared" si="16"/>
        <v>1.7979684641892219E-2</v>
      </c>
      <c r="M17" s="6">
        <f t="shared" si="16"/>
        <v>2.2371531837568782E-2</v>
      </c>
      <c r="N17" s="6">
        <f t="shared" si="16"/>
        <v>2.3331925881100776E-2</v>
      </c>
      <c r="O17" s="6">
        <f t="shared" si="16"/>
        <v>1.7905896606426178E-2</v>
      </c>
      <c r="P17" s="6">
        <f t="shared" si="16"/>
        <v>1.9248838851908139E-2</v>
      </c>
    </row>
    <row r="18" spans="2:16" x14ac:dyDescent="0.3">
      <c r="B18" s="25" t="s">
        <v>54</v>
      </c>
      <c r="C18" s="8">
        <f t="shared" si="9"/>
        <v>5.320721935345657E-2</v>
      </c>
      <c r="D18" s="8">
        <f t="shared" si="10"/>
        <v>-3.5007318402365595E-2</v>
      </c>
      <c r="E18" s="8">
        <f t="shared" si="11"/>
        <v>-1.0235480071205227E-2</v>
      </c>
      <c r="F18" s="8">
        <f t="shared" si="12"/>
        <v>-1.0920294315341514E-2</v>
      </c>
      <c r="G18" s="8">
        <f t="shared" si="13"/>
        <v>4.3486744419993367E-3</v>
      </c>
      <c r="H18" s="8">
        <f t="shared" si="14"/>
        <v>1.3069604674557478E-2</v>
      </c>
      <c r="J18" s="25" t="s">
        <v>54</v>
      </c>
      <c r="K18" s="6">
        <f t="shared" si="16"/>
        <v>4.7236680596058324E-2</v>
      </c>
      <c r="L18" s="6">
        <f t="shared" si="16"/>
        <v>5.1660182457896574E-2</v>
      </c>
      <c r="M18" s="6">
        <f t="shared" si="16"/>
        <v>6.070801102396884E-2</v>
      </c>
      <c r="N18" s="6">
        <f t="shared" si="16"/>
        <v>6.557538311995624E-2</v>
      </c>
      <c r="O18" s="6">
        <f t="shared" si="16"/>
        <v>5.4663681438006838E-2</v>
      </c>
      <c r="P18" s="6">
        <f t="shared" si="16"/>
        <v>5.8763457545857344E-2</v>
      </c>
    </row>
    <row r="19" spans="2:16" x14ac:dyDescent="0.3">
      <c r="B19" s="25" t="s">
        <v>51</v>
      </c>
      <c r="C19" s="8">
        <f t="shared" si="9"/>
        <v>-8.9346008484093242E-2</v>
      </c>
      <c r="D19" s="8">
        <f t="shared" si="10"/>
        <v>3.7859354959802305E-2</v>
      </c>
      <c r="E19" s="8">
        <f t="shared" si="11"/>
        <v>-3.3522652862883473E-2</v>
      </c>
      <c r="F19" s="8">
        <f t="shared" si="12"/>
        <v>-5.4409487309039953E-2</v>
      </c>
      <c r="G19" s="8">
        <f t="shared" si="13"/>
        <v>-5.382221927991146E-2</v>
      </c>
      <c r="H19" s="8">
        <f t="shared" si="14"/>
        <v>-1.0217568117120768E-2</v>
      </c>
      <c r="J19" s="25" t="s">
        <v>51</v>
      </c>
      <c r="K19" s="6">
        <f t="shared" si="16"/>
        <v>8.559644220258103E-2</v>
      </c>
      <c r="L19" s="6">
        <f t="shared" si="16"/>
        <v>9.6212500391028258E-2</v>
      </c>
      <c r="M19" s="6">
        <f t="shared" si="16"/>
        <v>0.10084022029073414</v>
      </c>
      <c r="N19" s="6">
        <f t="shared" si="16"/>
        <v>0.10380338562526444</v>
      </c>
      <c r="O19" s="6">
        <f t="shared" si="16"/>
        <v>9.2765540917559605E-2</v>
      </c>
      <c r="P19" s="6">
        <f t="shared" si="16"/>
        <v>0.1047936152907686</v>
      </c>
    </row>
    <row r="20" spans="2:16" x14ac:dyDescent="0.3">
      <c r="B20" s="25" t="s">
        <v>52</v>
      </c>
      <c r="C20" s="8">
        <f t="shared" si="9"/>
        <v>-4.5156795492430263E-2</v>
      </c>
      <c r="D20" s="8">
        <f t="shared" si="10"/>
        <v>-2.980746592291722E-2</v>
      </c>
      <c r="E20" s="8">
        <f t="shared" si="11"/>
        <v>3.896697997017276E-2</v>
      </c>
      <c r="F20" s="8">
        <f t="shared" si="12"/>
        <v>-3.3109719225170503E-2</v>
      </c>
      <c r="G20" s="8">
        <f t="shared" si="13"/>
        <v>-3.6515873794115777E-2</v>
      </c>
      <c r="H20" s="8">
        <f t="shared" si="14"/>
        <v>-0.11442285053830183</v>
      </c>
      <c r="J20" s="25" t="s">
        <v>52</v>
      </c>
      <c r="K20" s="6">
        <f t="shared" si="16"/>
        <v>0.13123658712690145</v>
      </c>
      <c r="L20" s="6">
        <f t="shared" si="16"/>
        <v>0.16758482843326916</v>
      </c>
      <c r="M20" s="6">
        <f t="shared" si="16"/>
        <v>0.17278333446397817</v>
      </c>
      <c r="N20" s="6">
        <f t="shared" si="16"/>
        <v>0.16110117679005329</v>
      </c>
      <c r="O20" s="6">
        <f t="shared" si="16"/>
        <v>0.14721580804010742</v>
      </c>
      <c r="P20" s="6">
        <f t="shared" si="16"/>
        <v>0.15620170801138669</v>
      </c>
    </row>
    <row r="21" spans="2:16" x14ac:dyDescent="0.3">
      <c r="B21" s="25" t="s">
        <v>46</v>
      </c>
      <c r="C21" s="8">
        <f t="shared" si="9"/>
        <v>0.16866823535140962</v>
      </c>
      <c r="D21" s="8">
        <f t="shared" si="10"/>
        <v>5.0460754758607951E-2</v>
      </c>
      <c r="E21" s="8">
        <f t="shared" si="11"/>
        <v>2.6518761388827361E-4</v>
      </c>
      <c r="F21" s="8">
        <f t="shared" si="12"/>
        <v>7.1828276126129298E-2</v>
      </c>
      <c r="G21" s="8">
        <f t="shared" si="13"/>
        <v>0.11575592470494067</v>
      </c>
      <c r="H21" s="8">
        <f t="shared" si="14"/>
        <v>0.12738383168168488</v>
      </c>
      <c r="J21" s="25" t="s">
        <v>46</v>
      </c>
      <c r="K21" s="6">
        <f t="shared" si="16"/>
        <v>0.54354101617075323</v>
      </c>
      <c r="L21" s="6">
        <f t="shared" si="16"/>
        <v>0.58758703465580464</v>
      </c>
      <c r="M21" s="6">
        <f t="shared" si="16"/>
        <v>0.60629071455183481</v>
      </c>
      <c r="N21" s="6">
        <f t="shared" si="16"/>
        <v>0.57962515071737908</v>
      </c>
      <c r="O21" s="6">
        <f t="shared" si="16"/>
        <v>0.56325699862070888</v>
      </c>
      <c r="P21" s="6">
        <f t="shared" si="16"/>
        <v>0.55892425247747268</v>
      </c>
    </row>
    <row r="22" spans="2:16" x14ac:dyDescent="0.3">
      <c r="J22" s="20" t="s">
        <v>114</v>
      </c>
      <c r="K22" s="19">
        <f>SUM(K13:K21)</f>
        <v>0.83311180226796233</v>
      </c>
      <c r="L22" s="19">
        <f t="shared" ref="L22:P22" si="17">SUM(L13:L21)</f>
        <v>0.94559377022027657</v>
      </c>
      <c r="M22" s="19">
        <f t="shared" si="17"/>
        <v>0.98739869089463284</v>
      </c>
      <c r="N22" s="19">
        <f t="shared" si="17"/>
        <v>0.95907243492911609</v>
      </c>
      <c r="O22" s="19">
        <f t="shared" si="17"/>
        <v>0.8964070735583769</v>
      </c>
      <c r="P22" s="19">
        <f t="shared" si="17"/>
        <v>0.9121570064853064</v>
      </c>
    </row>
    <row r="23" spans="2:16" x14ac:dyDescent="0.3">
      <c r="J23" s="23" t="s">
        <v>113</v>
      </c>
      <c r="K23" s="24">
        <f>1-K22</f>
        <v>0.16688819773203767</v>
      </c>
      <c r="L23" s="24">
        <f t="shared" ref="L23:P23" si="18">1-L22</f>
        <v>5.4406229779723425E-2</v>
      </c>
      <c r="M23" s="24">
        <f t="shared" si="18"/>
        <v>1.2601309105367164E-2</v>
      </c>
      <c r="N23" s="24">
        <f t="shared" si="18"/>
        <v>4.0927565070883909E-2</v>
      </c>
      <c r="O23" s="24">
        <f t="shared" si="18"/>
        <v>0.1035929264416231</v>
      </c>
      <c r="P23" s="24">
        <f t="shared" si="18"/>
        <v>8.7842993514693601E-2</v>
      </c>
    </row>
  </sheetData>
  <sortState xmlns:xlrd2="http://schemas.microsoft.com/office/spreadsheetml/2017/richdata2" ref="A2:P11">
    <sortCondition ref="B1:B11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5A1A-5615-45EE-8DF2-280FEF8596B9}">
  <dimension ref="A1:P31"/>
  <sheetViews>
    <sheetView zoomScale="98" zoomScaleNormal="100" workbookViewId="0">
      <selection activeCell="I17" sqref="I17"/>
    </sheetView>
  </sheetViews>
  <sheetFormatPr defaultRowHeight="14.4" x14ac:dyDescent="0.3"/>
  <cols>
    <col min="1" max="1" width="17.6640625" customWidth="1"/>
    <col min="2" max="4" width="9.88671875" customWidth="1"/>
    <col min="5" max="10" width="9" bestFit="1" customWidth="1"/>
    <col min="11" max="12" width="12.21875" bestFit="1" customWidth="1"/>
    <col min="13" max="16" width="9" bestFit="1" customWidth="1"/>
  </cols>
  <sheetData>
    <row r="1" spans="1:16" ht="25.8" customHeight="1" x14ac:dyDescent="0.3">
      <c r="A1" s="1" t="s">
        <v>99</v>
      </c>
      <c r="B1" s="10" t="s">
        <v>98</v>
      </c>
      <c r="C1" s="2" t="s">
        <v>0</v>
      </c>
      <c r="D1" s="2" t="s">
        <v>1</v>
      </c>
      <c r="E1" s="2" t="s">
        <v>2</v>
      </c>
      <c r="F1" s="10" t="s">
        <v>3</v>
      </c>
      <c r="G1" s="2" t="s">
        <v>4</v>
      </c>
      <c r="H1" s="2" t="s">
        <v>5</v>
      </c>
      <c r="I1" s="13" t="s">
        <v>98</v>
      </c>
      <c r="J1" s="16" t="s">
        <v>98</v>
      </c>
      <c r="K1" s="17" t="s">
        <v>0</v>
      </c>
      <c r="L1" s="17" t="s">
        <v>1</v>
      </c>
      <c r="M1" s="17" t="s">
        <v>2</v>
      </c>
      <c r="N1" s="16" t="s">
        <v>3</v>
      </c>
      <c r="O1" s="17" t="s">
        <v>4</v>
      </c>
      <c r="P1" s="17" t="s">
        <v>5</v>
      </c>
    </row>
    <row r="2" spans="1:16" x14ac:dyDescent="0.3">
      <c r="A2" s="3" t="s">
        <v>67</v>
      </c>
      <c r="B2" s="8">
        <v>6.1573840699558815E-3</v>
      </c>
      <c r="C2" s="8">
        <v>7.556675062972292E-3</v>
      </c>
      <c r="D2" s="8">
        <v>1.6483516483516484E-2</v>
      </c>
      <c r="E2" s="8">
        <v>0</v>
      </c>
      <c r="F2" s="8">
        <v>1.1811023622047244E-2</v>
      </c>
      <c r="G2" s="8">
        <v>5.681818181818182E-3</v>
      </c>
      <c r="H2" s="8">
        <v>0</v>
      </c>
      <c r="I2" s="8">
        <v>6.1573840699558815E-3</v>
      </c>
      <c r="J2" s="8">
        <v>6.1573840699558815E-3</v>
      </c>
      <c r="K2" s="8">
        <v>7.556675062972292E-3</v>
      </c>
      <c r="L2" s="8">
        <v>1.6483516483516484E-2</v>
      </c>
      <c r="M2" s="8">
        <v>0</v>
      </c>
      <c r="N2" s="8">
        <v>1.1811023622047244E-2</v>
      </c>
      <c r="O2" s="8">
        <v>5.681818181818182E-3</v>
      </c>
      <c r="P2" s="8">
        <v>0</v>
      </c>
    </row>
    <row r="3" spans="1:16" x14ac:dyDescent="0.3">
      <c r="A3" s="3" t="s">
        <v>62</v>
      </c>
      <c r="B3" s="8">
        <v>6.7447935110003876E-3</v>
      </c>
      <c r="C3" s="8">
        <v>7.556675062972292E-3</v>
      </c>
      <c r="D3" s="8">
        <v>0</v>
      </c>
      <c r="E3" s="8">
        <v>0</v>
      </c>
      <c r="F3" s="8">
        <v>1.1811023622047244E-2</v>
      </c>
      <c r="G3" s="8">
        <v>2.8409090909090908E-2</v>
      </c>
      <c r="H3" s="8">
        <v>0</v>
      </c>
      <c r="I3" s="8">
        <v>1.290217758095627E-2</v>
      </c>
      <c r="J3" s="8">
        <f>J2+B3</f>
        <v>1.290217758095627E-2</v>
      </c>
      <c r="K3" s="8">
        <f t="shared" ref="K3:P3" si="0">K2+C3</f>
        <v>1.5113350125944584E-2</v>
      </c>
      <c r="L3" s="8">
        <f t="shared" si="0"/>
        <v>1.6483516483516484E-2</v>
      </c>
      <c r="M3" s="8">
        <f t="shared" si="0"/>
        <v>0</v>
      </c>
      <c r="N3" s="8">
        <f t="shared" si="0"/>
        <v>2.3622047244094488E-2</v>
      </c>
      <c r="O3" s="8">
        <f t="shared" si="0"/>
        <v>3.4090909090909088E-2</v>
      </c>
      <c r="P3" s="8">
        <f t="shared" si="0"/>
        <v>0</v>
      </c>
    </row>
    <row r="4" spans="1:16" x14ac:dyDescent="0.3">
      <c r="A4" s="3" t="s">
        <v>65</v>
      </c>
      <c r="B4" s="8">
        <v>7.3155388544266092E-3</v>
      </c>
      <c r="C4" s="8">
        <v>7.556675062972292E-3</v>
      </c>
      <c r="D4" s="8">
        <v>5.4945054945054949E-3</v>
      </c>
      <c r="E4" s="8">
        <v>0</v>
      </c>
      <c r="F4" s="8">
        <v>0</v>
      </c>
      <c r="G4" s="8">
        <v>1.7045454545454544E-2</v>
      </c>
      <c r="H4" s="8">
        <v>9.9009900990099011E-3</v>
      </c>
      <c r="I4" s="8">
        <v>2.0217716435382879E-2</v>
      </c>
      <c r="J4" s="8">
        <f t="shared" ref="J4:J14" si="1">J3+B4</f>
        <v>2.0217716435382879E-2</v>
      </c>
      <c r="K4" s="8">
        <f t="shared" ref="K4:K14" si="2">K3+C4</f>
        <v>2.2670025188916875E-2</v>
      </c>
      <c r="L4" s="8">
        <f t="shared" ref="L4:L14" si="3">L3+D4</f>
        <v>2.197802197802198E-2</v>
      </c>
      <c r="M4" s="8">
        <f t="shared" ref="M4:M14" si="4">M3+E4</f>
        <v>0</v>
      </c>
      <c r="N4" s="8">
        <f t="shared" ref="N4:N14" si="5">N3+F4</f>
        <v>2.3622047244094488E-2</v>
      </c>
      <c r="O4" s="8">
        <f t="shared" ref="O4:O14" si="6">O3+G4</f>
        <v>5.1136363636363633E-2</v>
      </c>
      <c r="P4" s="8">
        <f t="shared" ref="P4:P14" si="7">P3+H4</f>
        <v>9.9009900990099011E-3</v>
      </c>
    </row>
    <row r="5" spans="1:16" x14ac:dyDescent="0.3">
      <c r="A5" s="3" t="s">
        <v>60</v>
      </c>
      <c r="B5" s="8">
        <v>8.4653615900881947E-3</v>
      </c>
      <c r="C5" s="8">
        <v>1.0075566750629723E-2</v>
      </c>
      <c r="D5" s="8">
        <v>2.197802197802198E-2</v>
      </c>
      <c r="E5" s="8">
        <v>0</v>
      </c>
      <c r="F5" s="8">
        <v>3.937007874015748E-3</v>
      </c>
      <c r="G5" s="8">
        <v>1.7045454545454544E-2</v>
      </c>
      <c r="H5" s="8">
        <v>0</v>
      </c>
      <c r="I5" s="8">
        <v>2.8683078025471074E-2</v>
      </c>
      <c r="J5" s="8">
        <f t="shared" si="1"/>
        <v>2.8683078025471074E-2</v>
      </c>
      <c r="K5" s="8">
        <f t="shared" si="2"/>
        <v>3.2745591939546598E-2</v>
      </c>
      <c r="L5" s="8">
        <f t="shared" si="3"/>
        <v>4.3956043956043959E-2</v>
      </c>
      <c r="M5" s="8">
        <f t="shared" si="4"/>
        <v>0</v>
      </c>
      <c r="N5" s="8">
        <f t="shared" si="5"/>
        <v>2.7559055118110236E-2</v>
      </c>
      <c r="O5" s="8">
        <f t="shared" si="6"/>
        <v>6.8181818181818177E-2</v>
      </c>
      <c r="P5" s="8">
        <f t="shared" si="7"/>
        <v>9.9009900990099011E-3</v>
      </c>
    </row>
    <row r="6" spans="1:16" x14ac:dyDescent="0.3">
      <c r="A6" s="3" t="s">
        <v>61</v>
      </c>
      <c r="B6" s="8">
        <v>1.3022992288688827E-2</v>
      </c>
      <c r="C6" s="8">
        <v>7.556675062972292E-3</v>
      </c>
      <c r="D6" s="8">
        <v>1.6483516483516484E-2</v>
      </c>
      <c r="E6" s="8">
        <v>0</v>
      </c>
      <c r="F6" s="8">
        <v>1.1811023622047244E-2</v>
      </c>
      <c r="G6" s="8">
        <v>1.7045454545454544E-2</v>
      </c>
      <c r="H6" s="8">
        <v>1.9801980198019802E-2</v>
      </c>
      <c r="I6" s="8">
        <v>4.1706070314159904E-2</v>
      </c>
      <c r="J6" s="8">
        <f t="shared" si="1"/>
        <v>4.1706070314159904E-2</v>
      </c>
      <c r="K6" s="8">
        <f t="shared" si="2"/>
        <v>4.0302267002518891E-2</v>
      </c>
      <c r="L6" s="8">
        <f t="shared" si="3"/>
        <v>6.0439560439560447E-2</v>
      </c>
      <c r="M6" s="8">
        <f t="shared" si="4"/>
        <v>0</v>
      </c>
      <c r="N6" s="8">
        <f t="shared" si="5"/>
        <v>3.937007874015748E-2</v>
      </c>
      <c r="O6" s="8">
        <f t="shared" si="6"/>
        <v>8.5227272727272721E-2</v>
      </c>
      <c r="P6" s="8">
        <f t="shared" si="7"/>
        <v>2.9702970297029702E-2</v>
      </c>
    </row>
    <row r="7" spans="1:16" x14ac:dyDescent="0.3">
      <c r="A7" s="3" t="s">
        <v>58</v>
      </c>
      <c r="B7" s="8">
        <v>2.2767323370980308E-2</v>
      </c>
      <c r="C7" s="8">
        <v>5.0377833753148613E-3</v>
      </c>
      <c r="D7" s="8">
        <v>1.6483516483516484E-2</v>
      </c>
      <c r="E7" s="8">
        <v>1.2658227848101266E-2</v>
      </c>
      <c r="F7" s="8">
        <v>2.7559055118110236E-2</v>
      </c>
      <c r="G7" s="8">
        <v>5.681818181818182E-3</v>
      </c>
      <c r="H7" s="8">
        <v>3.9603960396039604E-2</v>
      </c>
      <c r="I7" s="8">
        <v>6.4473393685140212E-2</v>
      </c>
      <c r="J7" s="8">
        <f t="shared" si="1"/>
        <v>6.4473393685140212E-2</v>
      </c>
      <c r="K7" s="8">
        <f t="shared" si="2"/>
        <v>4.534005037783375E-2</v>
      </c>
      <c r="L7" s="8">
        <f t="shared" si="3"/>
        <v>7.6923076923076927E-2</v>
      </c>
      <c r="M7" s="8">
        <f t="shared" si="4"/>
        <v>1.2658227848101266E-2</v>
      </c>
      <c r="N7" s="8">
        <f t="shared" si="5"/>
        <v>6.6929133858267709E-2</v>
      </c>
      <c r="O7" s="8">
        <f t="shared" si="6"/>
        <v>9.0909090909090898E-2</v>
      </c>
      <c r="P7" s="8">
        <f t="shared" si="7"/>
        <v>6.9306930693069313E-2</v>
      </c>
    </row>
    <row r="8" spans="1:16" x14ac:dyDescent="0.3">
      <c r="A8" s="3" t="s">
        <v>57</v>
      </c>
      <c r="B8" s="8">
        <v>2.5754362869057686E-2</v>
      </c>
      <c r="C8" s="8">
        <v>2.5188916876574307E-3</v>
      </c>
      <c r="D8" s="8">
        <v>5.4945054945054949E-3</v>
      </c>
      <c r="E8" s="8">
        <v>1.2658227848101266E-2</v>
      </c>
      <c r="F8" s="8">
        <v>1.1811023622047244E-2</v>
      </c>
      <c r="G8" s="8">
        <v>3.4090909090909088E-2</v>
      </c>
      <c r="H8" s="8">
        <v>1.9801980198019802E-2</v>
      </c>
      <c r="I8" s="8">
        <v>9.0227756554197902E-2</v>
      </c>
      <c r="J8" s="8">
        <f t="shared" si="1"/>
        <v>9.0227756554197902E-2</v>
      </c>
      <c r="K8" s="8">
        <f t="shared" si="2"/>
        <v>4.7858942065491183E-2</v>
      </c>
      <c r="L8" s="8">
        <f t="shared" si="3"/>
        <v>8.2417582417582416E-2</v>
      </c>
      <c r="M8" s="8">
        <f t="shared" si="4"/>
        <v>2.5316455696202531E-2</v>
      </c>
      <c r="N8" s="8">
        <f t="shared" si="5"/>
        <v>7.874015748031496E-2</v>
      </c>
      <c r="O8" s="8">
        <f t="shared" si="6"/>
        <v>0.12499999999999999</v>
      </c>
      <c r="P8" s="8">
        <f t="shared" si="7"/>
        <v>8.9108910891089119E-2</v>
      </c>
    </row>
    <row r="9" spans="1:16" x14ac:dyDescent="0.3">
      <c r="A9" s="3" t="s">
        <v>59</v>
      </c>
      <c r="B9" s="8">
        <v>3.989384969817153E-2</v>
      </c>
      <c r="C9" s="8">
        <v>2.2670025188916875E-2</v>
      </c>
      <c r="D9" s="8">
        <v>3.2967032967032968E-2</v>
      </c>
      <c r="E9" s="8">
        <v>3.7974683544303799E-2</v>
      </c>
      <c r="F9" s="8">
        <v>2.7559055118110236E-2</v>
      </c>
      <c r="G9" s="8">
        <v>9.6590909090909088E-2</v>
      </c>
      <c r="H9" s="8">
        <v>3.9603960396039604E-2</v>
      </c>
      <c r="I9" s="8">
        <v>0.13012160625236943</v>
      </c>
      <c r="J9" s="8">
        <f t="shared" si="1"/>
        <v>0.13012160625236943</v>
      </c>
      <c r="K9" s="8">
        <f t="shared" si="2"/>
        <v>7.0528967254408062E-2</v>
      </c>
      <c r="L9" s="8">
        <f t="shared" si="3"/>
        <v>0.11538461538461539</v>
      </c>
      <c r="M9" s="8">
        <f t="shared" si="4"/>
        <v>6.3291139240506333E-2</v>
      </c>
      <c r="N9" s="8">
        <f t="shared" si="5"/>
        <v>0.1062992125984252</v>
      </c>
      <c r="O9" s="8">
        <f t="shared" si="6"/>
        <v>0.22159090909090906</v>
      </c>
      <c r="P9" s="8">
        <f t="shared" si="7"/>
        <v>0.12871287128712872</v>
      </c>
    </row>
    <row r="10" spans="1:16" x14ac:dyDescent="0.3">
      <c r="A10" s="3" t="s">
        <v>64</v>
      </c>
      <c r="B10" s="8">
        <v>4.5272187204472646E-2</v>
      </c>
      <c r="C10" s="8">
        <v>1.2594458438287154E-2</v>
      </c>
      <c r="D10" s="8">
        <v>3.8461538461538464E-2</v>
      </c>
      <c r="E10" s="8">
        <v>3.7974683544303799E-2</v>
      </c>
      <c r="F10" s="8">
        <v>3.1496062992125984E-2</v>
      </c>
      <c r="G10" s="8">
        <v>3.4090909090909088E-2</v>
      </c>
      <c r="H10" s="8">
        <v>9.9009900990099011E-3</v>
      </c>
      <c r="I10" s="8">
        <v>0.17539379345684208</v>
      </c>
      <c r="J10" s="8">
        <f t="shared" si="1"/>
        <v>0.17539379345684208</v>
      </c>
      <c r="K10" s="8">
        <f t="shared" si="2"/>
        <v>8.3123425692695221E-2</v>
      </c>
      <c r="L10" s="8">
        <f t="shared" si="3"/>
        <v>0.15384615384615385</v>
      </c>
      <c r="M10" s="8">
        <f t="shared" si="4"/>
        <v>0.10126582278481014</v>
      </c>
      <c r="N10" s="8">
        <f t="shared" si="5"/>
        <v>0.13779527559055119</v>
      </c>
      <c r="O10" s="8">
        <f t="shared" si="6"/>
        <v>0.25568181818181812</v>
      </c>
      <c r="P10" s="8">
        <f t="shared" si="7"/>
        <v>0.13861386138613863</v>
      </c>
    </row>
    <row r="11" spans="1:16" x14ac:dyDescent="0.3">
      <c r="A11" s="3" t="s">
        <v>66</v>
      </c>
      <c r="B11" s="8">
        <v>4.6301195232401671E-2</v>
      </c>
      <c r="C11" s="8">
        <v>1.2594458438287154E-2</v>
      </c>
      <c r="D11" s="8">
        <v>2.197802197802198E-2</v>
      </c>
      <c r="E11" s="8">
        <v>7.5949367088607597E-2</v>
      </c>
      <c r="F11" s="8">
        <v>5.905511811023622E-2</v>
      </c>
      <c r="G11" s="8">
        <v>7.9545454545454544E-2</v>
      </c>
      <c r="H11" s="8">
        <v>1.9801980198019802E-2</v>
      </c>
      <c r="I11" s="8">
        <v>0.22169498868924375</v>
      </c>
      <c r="J11" s="8">
        <f t="shared" si="1"/>
        <v>0.22169498868924375</v>
      </c>
      <c r="K11" s="8">
        <f t="shared" si="2"/>
        <v>9.5717884130982381E-2</v>
      </c>
      <c r="L11" s="8">
        <f t="shared" si="3"/>
        <v>0.17582417582417584</v>
      </c>
      <c r="M11" s="8">
        <f t="shared" si="4"/>
        <v>0.17721518987341772</v>
      </c>
      <c r="N11" s="8">
        <f t="shared" si="5"/>
        <v>0.19685039370078741</v>
      </c>
      <c r="O11" s="8">
        <f t="shared" si="6"/>
        <v>0.33522727272727265</v>
      </c>
      <c r="P11" s="8">
        <f t="shared" si="7"/>
        <v>0.15841584158415842</v>
      </c>
    </row>
    <row r="12" spans="1:16" x14ac:dyDescent="0.3">
      <c r="A12" s="3" t="s">
        <v>63</v>
      </c>
      <c r="B12" s="8">
        <v>0.13278369584689026</v>
      </c>
      <c r="C12" s="8">
        <v>0.11586901763224182</v>
      </c>
      <c r="D12" s="8">
        <v>7.6923076923076927E-2</v>
      </c>
      <c r="E12" s="8">
        <v>0.16455696202531644</v>
      </c>
      <c r="F12" s="8">
        <v>0.18110236220472442</v>
      </c>
      <c r="G12" s="8">
        <v>9.6590909090909088E-2</v>
      </c>
      <c r="H12" s="8">
        <v>0.13861386138613863</v>
      </c>
      <c r="I12" s="8">
        <v>0.35447868453613401</v>
      </c>
      <c r="J12" s="8">
        <f t="shared" si="1"/>
        <v>0.35447868453613401</v>
      </c>
      <c r="K12" s="8">
        <f t="shared" si="2"/>
        <v>0.2115869017632242</v>
      </c>
      <c r="L12" s="8">
        <f t="shared" si="3"/>
        <v>0.25274725274725274</v>
      </c>
      <c r="M12" s="8">
        <f t="shared" si="4"/>
        <v>0.34177215189873417</v>
      </c>
      <c r="N12" s="8">
        <f t="shared" si="5"/>
        <v>0.37795275590551181</v>
      </c>
      <c r="O12" s="8">
        <f t="shared" si="6"/>
        <v>0.43181818181818177</v>
      </c>
      <c r="P12" s="8">
        <f t="shared" si="7"/>
        <v>0.29702970297029707</v>
      </c>
    </row>
    <row r="13" spans="1:16" x14ac:dyDescent="0.3">
      <c r="A13" s="3" t="s">
        <v>56</v>
      </c>
      <c r="B13" s="8">
        <v>0.13844532301270221</v>
      </c>
      <c r="C13" s="8">
        <v>2.2670025188916875E-2</v>
      </c>
      <c r="D13" s="8">
        <v>0.17582417582417584</v>
      </c>
      <c r="E13" s="8">
        <v>0.31645569620253167</v>
      </c>
      <c r="F13" s="8">
        <v>9.055118110236221E-2</v>
      </c>
      <c r="G13" s="8">
        <v>0.13068181818181818</v>
      </c>
      <c r="H13" s="8">
        <v>0.11881188118811881</v>
      </c>
      <c r="I13" s="8">
        <v>0.49292400754883625</v>
      </c>
      <c r="J13" s="8">
        <f t="shared" si="1"/>
        <v>0.49292400754883625</v>
      </c>
      <c r="K13" s="8">
        <f t="shared" si="2"/>
        <v>0.23425692695214106</v>
      </c>
      <c r="L13" s="8">
        <f t="shared" si="3"/>
        <v>0.4285714285714286</v>
      </c>
      <c r="M13" s="8">
        <f t="shared" si="4"/>
        <v>0.65822784810126578</v>
      </c>
      <c r="N13" s="8">
        <f t="shared" si="5"/>
        <v>0.46850393700787402</v>
      </c>
      <c r="O13" s="8">
        <f t="shared" si="6"/>
        <v>0.5625</v>
      </c>
      <c r="P13" s="8">
        <f t="shared" si="7"/>
        <v>0.41584158415841588</v>
      </c>
    </row>
    <row r="14" spans="1:16" x14ac:dyDescent="0.3">
      <c r="A14" s="3" t="s">
        <v>55</v>
      </c>
      <c r="B14" s="8">
        <v>0.50707599245116375</v>
      </c>
      <c r="C14" s="8">
        <v>0.76574307304785894</v>
      </c>
      <c r="D14" s="8">
        <v>0.5714285714285714</v>
      </c>
      <c r="E14" s="8">
        <v>0.34177215189873417</v>
      </c>
      <c r="F14" s="8">
        <v>0.53149606299212604</v>
      </c>
      <c r="G14" s="8">
        <v>0.4375</v>
      </c>
      <c r="H14" s="8">
        <v>0.58415841584158412</v>
      </c>
      <c r="I14" s="8">
        <v>1</v>
      </c>
      <c r="J14" s="8">
        <f t="shared" si="1"/>
        <v>1</v>
      </c>
      <c r="K14" s="8">
        <f t="shared" si="2"/>
        <v>1</v>
      </c>
      <c r="L14" s="8">
        <f t="shared" si="3"/>
        <v>1</v>
      </c>
      <c r="M14" s="8">
        <f t="shared" si="4"/>
        <v>1</v>
      </c>
      <c r="N14" s="8">
        <f t="shared" si="5"/>
        <v>1</v>
      </c>
      <c r="O14" s="8">
        <f t="shared" si="6"/>
        <v>1</v>
      </c>
      <c r="P14" s="8">
        <f t="shared" si="7"/>
        <v>1</v>
      </c>
    </row>
    <row r="16" spans="1:16" ht="28.8" x14ac:dyDescent="0.3">
      <c r="B16" s="1" t="s">
        <v>99</v>
      </c>
      <c r="C16" s="2" t="s">
        <v>101</v>
      </c>
      <c r="D16" s="2" t="s">
        <v>102</v>
      </c>
      <c r="E16" s="2" t="s">
        <v>103</v>
      </c>
      <c r="F16" s="2" t="s">
        <v>104</v>
      </c>
      <c r="G16" s="2" t="s">
        <v>105</v>
      </c>
      <c r="H16" s="2" t="s">
        <v>106</v>
      </c>
      <c r="J16" s="6"/>
      <c r="K16" s="19" t="s">
        <v>107</v>
      </c>
      <c r="L16" s="19" t="s">
        <v>108</v>
      </c>
      <c r="M16" s="19" t="s">
        <v>109</v>
      </c>
      <c r="N16" s="19" t="s">
        <v>110</v>
      </c>
      <c r="O16" s="19" t="s">
        <v>111</v>
      </c>
      <c r="P16" s="19" t="s">
        <v>112</v>
      </c>
    </row>
    <row r="17" spans="2:16" x14ac:dyDescent="0.3">
      <c r="B17" s="3" t="s">
        <v>67</v>
      </c>
      <c r="C17" s="8">
        <f>C2-B2</f>
        <v>1.3992909930164105E-3</v>
      </c>
      <c r="D17" s="8">
        <f>D2-B2</f>
        <v>1.0326132413560602E-2</v>
      </c>
      <c r="E17" s="8">
        <f>E2-B2</f>
        <v>-6.1573840699558815E-3</v>
      </c>
      <c r="F17" s="8">
        <f>F2-B2</f>
        <v>5.6536395520913624E-3</v>
      </c>
      <c r="G17" s="8">
        <f>G2-B2</f>
        <v>-4.7556588813769951E-4</v>
      </c>
      <c r="H17" s="8">
        <f>H2-B2</f>
        <v>-6.1573840699558815E-3</v>
      </c>
      <c r="J17" s="3" t="s">
        <v>67</v>
      </c>
      <c r="K17" s="6">
        <f>($J2-0) * ((K2+0))</f>
        <v>4.6529350654578448E-5</v>
      </c>
      <c r="L17" s="6">
        <f t="shared" ref="L17:P17" si="8">($J2-0) * ((L2+0))</f>
        <v>1.0149534181245959E-4</v>
      </c>
      <c r="M17" s="6">
        <f t="shared" si="8"/>
        <v>0</v>
      </c>
      <c r="N17" s="6">
        <f t="shared" si="8"/>
        <v>7.2725008700266316E-5</v>
      </c>
      <c r="O17" s="6">
        <f t="shared" si="8"/>
        <v>3.4985136761112964E-5</v>
      </c>
      <c r="P17" s="6">
        <f t="shared" si="8"/>
        <v>0</v>
      </c>
    </row>
    <row r="18" spans="2:16" x14ac:dyDescent="0.3">
      <c r="B18" s="3" t="s">
        <v>62</v>
      </c>
      <c r="C18" s="8">
        <f t="shared" ref="C18:C29" si="9">C3-B3</f>
        <v>8.1188155197190436E-4</v>
      </c>
      <c r="D18" s="8">
        <f t="shared" ref="D18:D29" si="10">D3-B3</f>
        <v>-6.7447935110003876E-3</v>
      </c>
      <c r="E18" s="8">
        <f t="shared" ref="E18:E29" si="11">E3-B3</f>
        <v>-6.7447935110003876E-3</v>
      </c>
      <c r="F18" s="8">
        <f t="shared" ref="F18:F29" si="12">F3-B3</f>
        <v>5.0662301110468563E-3</v>
      </c>
      <c r="G18" s="8">
        <f t="shared" ref="G18:G29" si="13">G3-B3</f>
        <v>2.1664297398090521E-2</v>
      </c>
      <c r="H18" s="8">
        <f t="shared" ref="H18:H29" si="14">H3-B3</f>
        <v>-6.7447935110003876E-3</v>
      </c>
      <c r="J18" s="3" t="s">
        <v>62</v>
      </c>
      <c r="K18" s="6">
        <f>($J3-$J2) * ((K3+K2))</f>
        <v>1.5290463878842188E-4</v>
      </c>
      <c r="L18" s="6">
        <f t="shared" ref="L18:P18" si="15">($J3-$J2) * ((L3+L2))</f>
        <v>2.2235583003297986E-4</v>
      </c>
      <c r="M18" s="6">
        <f t="shared" si="15"/>
        <v>0</v>
      </c>
      <c r="N18" s="6">
        <f t="shared" si="15"/>
        <v>2.3898874645276967E-4</v>
      </c>
      <c r="O18" s="6">
        <f t="shared" si="15"/>
        <v>2.6825883282387909E-4</v>
      </c>
      <c r="P18" s="6">
        <f t="shared" si="15"/>
        <v>0</v>
      </c>
    </row>
    <row r="19" spans="2:16" x14ac:dyDescent="0.3">
      <c r="B19" s="3" t="s">
        <v>65</v>
      </c>
      <c r="C19" s="8">
        <f t="shared" si="9"/>
        <v>2.4113620854568276E-4</v>
      </c>
      <c r="D19" s="8">
        <f t="shared" si="10"/>
        <v>-1.8210333599211143E-3</v>
      </c>
      <c r="E19" s="8">
        <f t="shared" si="11"/>
        <v>-7.3155388544266092E-3</v>
      </c>
      <c r="F19" s="8">
        <f t="shared" si="12"/>
        <v>-7.3155388544266092E-3</v>
      </c>
      <c r="G19" s="8">
        <f t="shared" si="13"/>
        <v>9.729915691027935E-3</v>
      </c>
      <c r="H19" s="8">
        <f t="shared" si="14"/>
        <v>2.5854512445832919E-3</v>
      </c>
      <c r="J19" s="3" t="s">
        <v>65</v>
      </c>
      <c r="K19" s="6">
        <f t="shared" ref="K19:P29" si="16">($J4-$J3) * ((K4+K3))</f>
        <v>2.7640575016725223E-4</v>
      </c>
      <c r="L19" s="6">
        <f t="shared" si="16"/>
        <v>2.8136687901640807E-4</v>
      </c>
      <c r="M19" s="6">
        <f t="shared" si="16"/>
        <v>0</v>
      </c>
      <c r="N19" s="6">
        <f t="shared" si="16"/>
        <v>3.4561600887054848E-4</v>
      </c>
      <c r="O19" s="6">
        <f t="shared" si="16"/>
        <v>6.2348342509317689E-4</v>
      </c>
      <c r="P19" s="6">
        <f t="shared" si="16"/>
        <v>7.2431077766600097E-5</v>
      </c>
    </row>
    <row r="20" spans="2:16" x14ac:dyDescent="0.3">
      <c r="B20" s="3" t="s">
        <v>60</v>
      </c>
      <c r="C20" s="8">
        <f t="shared" si="9"/>
        <v>1.610205160541528E-3</v>
      </c>
      <c r="D20" s="8">
        <f t="shared" si="10"/>
        <v>1.3512660387933785E-2</v>
      </c>
      <c r="E20" s="8">
        <f t="shared" si="11"/>
        <v>-8.4653615900881947E-3</v>
      </c>
      <c r="F20" s="8">
        <f t="shared" si="12"/>
        <v>-4.5283537160724467E-3</v>
      </c>
      <c r="G20" s="8">
        <f t="shared" si="13"/>
        <v>8.5800929553663495E-3</v>
      </c>
      <c r="H20" s="8">
        <f t="shared" si="14"/>
        <v>-8.4653615900881947E-3</v>
      </c>
      <c r="J20" s="3" t="s">
        <v>60</v>
      </c>
      <c r="K20" s="6">
        <f t="shared" si="16"/>
        <v>4.6911323673032816E-4</v>
      </c>
      <c r="L20" s="6">
        <f t="shared" si="16"/>
        <v>5.5815570923658424E-4</v>
      </c>
      <c r="M20" s="6">
        <f t="shared" si="16"/>
        <v>0</v>
      </c>
      <c r="N20" s="6">
        <f t="shared" si="16"/>
        <v>4.3326653807538006E-4</v>
      </c>
      <c r="O20" s="6">
        <f t="shared" si="16"/>
        <v>1.0100715533627959E-3</v>
      </c>
      <c r="P20" s="6">
        <f t="shared" si="16"/>
        <v>1.6763092257600387E-4</v>
      </c>
    </row>
    <row r="21" spans="2:16" x14ac:dyDescent="0.3">
      <c r="B21" s="3" t="s">
        <v>61</v>
      </c>
      <c r="C21" s="8">
        <f t="shared" si="9"/>
        <v>-5.4663172257165349E-3</v>
      </c>
      <c r="D21" s="8">
        <f t="shared" si="10"/>
        <v>3.460524194827657E-3</v>
      </c>
      <c r="E21" s="8">
        <f t="shared" si="11"/>
        <v>-1.3022992288688827E-2</v>
      </c>
      <c r="F21" s="8">
        <f t="shared" si="12"/>
        <v>-1.211968666641583E-3</v>
      </c>
      <c r="G21" s="8">
        <f t="shared" si="13"/>
        <v>4.0224622567657173E-3</v>
      </c>
      <c r="H21" s="8">
        <f t="shared" si="14"/>
        <v>6.7789879093309753E-3</v>
      </c>
      <c r="J21" s="3" t="s">
        <v>61</v>
      </c>
      <c r="K21" s="6">
        <f t="shared" si="16"/>
        <v>9.5130170370774831E-4</v>
      </c>
      <c r="L21" s="6">
        <f t="shared" si="16"/>
        <v>1.359543151016966E-3</v>
      </c>
      <c r="M21" s="6">
        <f t="shared" si="16"/>
        <v>0</v>
      </c>
      <c r="N21" s="6">
        <f t="shared" si="16"/>
        <v>8.7161759412484284E-4</v>
      </c>
      <c r="O21" s="6">
        <f t="shared" si="16"/>
        <v>1.9978454079238542E-3</v>
      </c>
      <c r="P21" s="6">
        <f t="shared" si="16"/>
        <v>5.1576207083916159E-4</v>
      </c>
    </row>
    <row r="22" spans="2:16" x14ac:dyDescent="0.3">
      <c r="B22" s="3" t="s">
        <v>58</v>
      </c>
      <c r="C22" s="8">
        <f t="shared" si="9"/>
        <v>-1.7729539995665448E-2</v>
      </c>
      <c r="D22" s="8">
        <f t="shared" si="10"/>
        <v>-6.2838068874638241E-3</v>
      </c>
      <c r="E22" s="8">
        <f t="shared" si="11"/>
        <v>-1.0109095522879042E-2</v>
      </c>
      <c r="F22" s="8">
        <f t="shared" si="12"/>
        <v>4.7917317471299278E-3</v>
      </c>
      <c r="G22" s="8">
        <f t="shared" si="13"/>
        <v>-1.7085505189162124E-2</v>
      </c>
      <c r="H22" s="8">
        <f t="shared" si="14"/>
        <v>1.6836637025059296E-2</v>
      </c>
      <c r="J22" s="3" t="s">
        <v>58</v>
      </c>
      <c r="K22" s="6">
        <f t="shared" si="16"/>
        <v>1.9498463340386156E-3</v>
      </c>
      <c r="L22" s="6">
        <f t="shared" si="16"/>
        <v>3.1273795839258669E-3</v>
      </c>
      <c r="M22" s="6">
        <f t="shared" si="16"/>
        <v>2.8819396672126972E-4</v>
      </c>
      <c r="N22" s="6">
        <f t="shared" si="16"/>
        <v>2.4201485473089304E-3</v>
      </c>
      <c r="O22" s="6">
        <f t="shared" si="16"/>
        <v>4.0101535482976675E-3</v>
      </c>
      <c r="P22" s="6">
        <f t="shared" si="16"/>
        <v>2.2541904327703275E-3</v>
      </c>
    </row>
    <row r="23" spans="2:16" x14ac:dyDescent="0.3">
      <c r="B23" s="3" t="s">
        <v>57</v>
      </c>
      <c r="C23" s="8">
        <f t="shared" si="9"/>
        <v>-2.3235471181400257E-2</v>
      </c>
      <c r="D23" s="8">
        <f t="shared" si="10"/>
        <v>-2.0259857374552191E-2</v>
      </c>
      <c r="E23" s="8">
        <f t="shared" si="11"/>
        <v>-1.3096135020956421E-2</v>
      </c>
      <c r="F23" s="8">
        <f t="shared" si="12"/>
        <v>-1.3943339247010442E-2</v>
      </c>
      <c r="G23" s="8">
        <f t="shared" si="13"/>
        <v>8.3365462218514021E-3</v>
      </c>
      <c r="H23" s="8">
        <f t="shared" si="14"/>
        <v>-5.9523826710378841E-3</v>
      </c>
      <c r="J23" s="3" t="s">
        <v>57</v>
      </c>
      <c r="K23" s="6">
        <f t="shared" si="16"/>
        <v>2.4002806704159561E-3</v>
      </c>
      <c r="L23" s="6">
        <f t="shared" si="16"/>
        <v>4.1037171604542469E-3</v>
      </c>
      <c r="M23" s="6">
        <f t="shared" si="16"/>
        <v>9.7801377983763372E-4</v>
      </c>
      <c r="N23" s="6">
        <f t="shared" si="16"/>
        <v>3.7516197880123406E-3</v>
      </c>
      <c r="O23" s="6">
        <f t="shared" si="16"/>
        <v>5.5606010740010918E-3</v>
      </c>
      <c r="P23" s="6">
        <f t="shared" si="16"/>
        <v>4.079899068365575E-3</v>
      </c>
    </row>
    <row r="24" spans="2:16" x14ac:dyDescent="0.3">
      <c r="B24" s="3" t="s">
        <v>59</v>
      </c>
      <c r="C24" s="8">
        <f t="shared" si="9"/>
        <v>-1.7223824509254654E-2</v>
      </c>
      <c r="D24" s="8">
        <f t="shared" si="10"/>
        <v>-6.9268167311385617E-3</v>
      </c>
      <c r="E24" s="8">
        <f t="shared" si="11"/>
        <v>-1.919166153867731E-3</v>
      </c>
      <c r="F24" s="8">
        <f t="shared" si="12"/>
        <v>-1.2334794580061294E-2</v>
      </c>
      <c r="G24" s="8">
        <f t="shared" si="13"/>
        <v>5.6697059392737559E-2</v>
      </c>
      <c r="H24" s="8">
        <f t="shared" si="14"/>
        <v>-2.8988930213192515E-4</v>
      </c>
      <c r="J24" s="3" t="s">
        <v>59</v>
      </c>
      <c r="K24" s="6">
        <f t="shared" si="16"/>
        <v>4.7229494604888213E-3</v>
      </c>
      <c r="L24" s="6">
        <f t="shared" si="16"/>
        <v>7.8910911490888743E-3</v>
      </c>
      <c r="M24" s="6">
        <f t="shared" si="16"/>
        <v>3.5348980745215281E-3</v>
      </c>
      <c r="N24" s="6">
        <f t="shared" si="16"/>
        <v>7.3819328181655985E-3</v>
      </c>
      <c r="O24" s="6">
        <f t="shared" si="16"/>
        <v>1.3826845634025359E-2</v>
      </c>
      <c r="P24" s="6">
        <f t="shared" si="16"/>
        <v>8.6897494392056806E-3</v>
      </c>
    </row>
    <row r="25" spans="2:16" x14ac:dyDescent="0.3">
      <c r="B25" s="3" t="s">
        <v>64</v>
      </c>
      <c r="C25" s="8">
        <f t="shared" si="9"/>
        <v>-3.2677728766185493E-2</v>
      </c>
      <c r="D25" s="8">
        <f t="shared" si="10"/>
        <v>-6.8106487429341819E-3</v>
      </c>
      <c r="E25" s="8">
        <f t="shared" si="11"/>
        <v>-7.297503660168847E-3</v>
      </c>
      <c r="F25" s="8">
        <f t="shared" si="12"/>
        <v>-1.3776124212346662E-2</v>
      </c>
      <c r="G25" s="8">
        <f t="shared" si="13"/>
        <v>-1.1181278113563557E-2</v>
      </c>
      <c r="H25" s="8">
        <f t="shared" si="14"/>
        <v>-3.5371197105462743E-2</v>
      </c>
      <c r="J25" s="3" t="s">
        <v>64</v>
      </c>
      <c r="K25" s="6">
        <f t="shared" si="16"/>
        <v>6.9561798979164537E-3</v>
      </c>
      <c r="L25" s="6">
        <f t="shared" si="16"/>
        <v>1.2188665785819562E-2</v>
      </c>
      <c r="M25" s="6">
        <f t="shared" si="16"/>
        <v>7.4498535906094244E-3</v>
      </c>
      <c r="N25" s="6">
        <f t="shared" si="16"/>
        <v>1.1050691364871279E-2</v>
      </c>
      <c r="O25" s="6">
        <f t="shared" si="16"/>
        <v>2.1607180256680125E-2</v>
      </c>
      <c r="P25" s="6">
        <f t="shared" si="16"/>
        <v>1.2102465886344175E-2</v>
      </c>
    </row>
    <row r="26" spans="2:16" x14ac:dyDescent="0.3">
      <c r="B26" s="3" t="s">
        <v>66</v>
      </c>
      <c r="C26" s="8">
        <f t="shared" si="9"/>
        <v>-3.3706736794114518E-2</v>
      </c>
      <c r="D26" s="8">
        <f t="shared" si="10"/>
        <v>-2.4323173254379691E-2</v>
      </c>
      <c r="E26" s="8">
        <f t="shared" si="11"/>
        <v>2.9648171856205927E-2</v>
      </c>
      <c r="F26" s="8">
        <f t="shared" si="12"/>
        <v>1.2753922877834549E-2</v>
      </c>
      <c r="G26" s="8">
        <f t="shared" si="13"/>
        <v>3.3244259313052874E-2</v>
      </c>
      <c r="H26" s="8">
        <f t="shared" si="14"/>
        <v>-2.6499215034381868E-2</v>
      </c>
      <c r="J26" s="3" t="s">
        <v>66</v>
      </c>
      <c r="K26" s="6">
        <f t="shared" si="16"/>
        <v>8.280566401764531E-3</v>
      </c>
      <c r="L26" s="6">
        <f t="shared" si="16"/>
        <v>1.5264130296396157E-2</v>
      </c>
      <c r="M26" s="6">
        <f t="shared" si="16"/>
        <v>1.2894003735605531E-2</v>
      </c>
      <c r="N26" s="6">
        <f t="shared" si="16"/>
        <v>1.5494494467535994E-2</v>
      </c>
      <c r="O26" s="6">
        <f t="shared" si="16"/>
        <v>2.7359797182782801E-2</v>
      </c>
      <c r="P26" s="6">
        <f t="shared" si="16"/>
        <v>1.3752830267050003E-2</v>
      </c>
    </row>
    <row r="27" spans="2:16" x14ac:dyDescent="0.3">
      <c r="B27" s="3" t="s">
        <v>63</v>
      </c>
      <c r="C27" s="8">
        <f t="shared" si="9"/>
        <v>-1.691467821464844E-2</v>
      </c>
      <c r="D27" s="8">
        <f t="shared" si="10"/>
        <v>-5.5860618923813332E-2</v>
      </c>
      <c r="E27" s="8">
        <f t="shared" si="11"/>
        <v>3.1773266178426185E-2</v>
      </c>
      <c r="F27" s="8">
        <f t="shared" si="12"/>
        <v>4.8318666357834161E-2</v>
      </c>
      <c r="G27" s="8">
        <f t="shared" si="13"/>
        <v>-3.6192786755981171E-2</v>
      </c>
      <c r="H27" s="8">
        <f t="shared" si="14"/>
        <v>5.8301655392483664E-3</v>
      </c>
      <c r="J27" s="3" t="s">
        <v>63</v>
      </c>
      <c r="K27" s="6">
        <f t="shared" si="16"/>
        <v>4.0805065222470058E-2</v>
      </c>
      <c r="L27" s="6">
        <f t="shared" si="16"/>
        <v>5.6907298220095832E-2</v>
      </c>
      <c r="M27" s="6">
        <f t="shared" si="16"/>
        <v>6.8913057338259504E-2</v>
      </c>
      <c r="N27" s="6">
        <f t="shared" si="16"/>
        <v>7.6324486589157386E-2</v>
      </c>
      <c r="O27" s="6">
        <f t="shared" si="16"/>
        <v>0.1018511303371033</v>
      </c>
      <c r="P27" s="6">
        <f t="shared" si="16"/>
        <v>6.0475742662940125E-2</v>
      </c>
    </row>
    <row r="28" spans="2:16" x14ac:dyDescent="0.3">
      <c r="B28" s="3" t="s">
        <v>56</v>
      </c>
      <c r="C28" s="8">
        <f t="shared" si="9"/>
        <v>-0.11577529782378533</v>
      </c>
      <c r="D28" s="8">
        <f t="shared" si="10"/>
        <v>3.7378852811473628E-2</v>
      </c>
      <c r="E28" s="8">
        <f t="shared" si="11"/>
        <v>0.17801037318982946</v>
      </c>
      <c r="F28" s="8">
        <f t="shared" si="12"/>
        <v>-4.7894141910339999E-2</v>
      </c>
      <c r="G28" s="8">
        <f t="shared" si="13"/>
        <v>-7.7635048308840326E-3</v>
      </c>
      <c r="H28" s="8">
        <f t="shared" si="14"/>
        <v>-1.9633441824583403E-2</v>
      </c>
      <c r="J28" s="3" t="s">
        <v>56</v>
      </c>
      <c r="K28" s="6">
        <f t="shared" si="16"/>
        <v>6.1724992879718631E-2</v>
      </c>
      <c r="L28" s="6">
        <f t="shared" si="16"/>
        <v>9.4325384909753174E-2</v>
      </c>
      <c r="M28" s="6">
        <f t="shared" si="16"/>
        <v>0.13844532301270224</v>
      </c>
      <c r="N28" s="6">
        <f t="shared" si="16"/>
        <v>0.11718797026665741</v>
      </c>
      <c r="O28" s="6">
        <f t="shared" si="16"/>
        <v>0.13765870185922097</v>
      </c>
      <c r="P28" s="6">
        <f t="shared" si="16"/>
        <v>9.869369561301547E-2</v>
      </c>
    </row>
    <row r="29" spans="2:16" x14ac:dyDescent="0.3">
      <c r="B29" s="3" t="s">
        <v>55</v>
      </c>
      <c r="C29" s="8">
        <f t="shared" si="9"/>
        <v>0.25866708059669519</v>
      </c>
      <c r="D29" s="8">
        <f t="shared" si="10"/>
        <v>6.4352578977407648E-2</v>
      </c>
      <c r="E29" s="8">
        <f t="shared" si="11"/>
        <v>-0.16530384055242958</v>
      </c>
      <c r="F29" s="8">
        <f t="shared" si="12"/>
        <v>2.4420070540962291E-2</v>
      </c>
      <c r="G29" s="8">
        <f t="shared" si="13"/>
        <v>-6.9575992451163748E-2</v>
      </c>
      <c r="H29" s="8">
        <f t="shared" si="14"/>
        <v>7.7082423390420374E-2</v>
      </c>
      <c r="J29" s="3" t="s">
        <v>55</v>
      </c>
      <c r="K29" s="6">
        <f t="shared" si="16"/>
        <v>0.6258620561739805</v>
      </c>
      <c r="L29" s="6">
        <f t="shared" si="16"/>
        <v>0.72439427493023389</v>
      </c>
      <c r="M29" s="6">
        <f t="shared" si="16"/>
        <v>0.84084753178610694</v>
      </c>
      <c r="N29" s="6">
        <f t="shared" si="16"/>
        <v>0.74464309127670902</v>
      </c>
      <c r="O29" s="6">
        <f t="shared" si="16"/>
        <v>0.79230623820494339</v>
      </c>
      <c r="P29" s="6">
        <f t="shared" si="16"/>
        <v>0.7179392764407565</v>
      </c>
    </row>
    <row r="30" spans="2:16" x14ac:dyDescent="0.3">
      <c r="J30" s="20" t="s">
        <v>114</v>
      </c>
      <c r="K30" s="19">
        <f>SUM(K17:K29)</f>
        <v>0.75459819172084186</v>
      </c>
      <c r="L30" s="19">
        <f t="shared" ref="L30:P30" si="17">SUM(L17:L29)</f>
        <v>0.92072485894688305</v>
      </c>
      <c r="M30" s="19">
        <f t="shared" si="17"/>
        <v>1.0733508752843641</v>
      </c>
      <c r="N30" s="19">
        <f t="shared" si="17"/>
        <v>0.98021664901464178</v>
      </c>
      <c r="O30" s="19">
        <f t="shared" si="17"/>
        <v>1.1081152924530195</v>
      </c>
      <c r="P30" s="19">
        <f t="shared" si="17"/>
        <v>0.91874367388162959</v>
      </c>
    </row>
    <row r="31" spans="2:16" x14ac:dyDescent="0.3">
      <c r="J31" s="23" t="s">
        <v>113</v>
      </c>
      <c r="K31" s="24">
        <f>1-K30</f>
        <v>0.24540180827915814</v>
      </c>
      <c r="L31" s="24">
        <f t="shared" ref="L31:P31" si="18">1-L30</f>
        <v>7.9275141053116949E-2</v>
      </c>
      <c r="M31" s="24">
        <f t="shared" si="18"/>
        <v>-7.3350875284364125E-2</v>
      </c>
      <c r="N31" s="24">
        <f t="shared" si="18"/>
        <v>1.9783350985358217E-2</v>
      </c>
      <c r="O31" s="24">
        <f t="shared" si="18"/>
        <v>-0.10811529245301954</v>
      </c>
      <c r="P31" s="24">
        <f t="shared" si="18"/>
        <v>8.1256326118370414E-2</v>
      </c>
    </row>
  </sheetData>
  <sortState xmlns:xlrd2="http://schemas.microsoft.com/office/spreadsheetml/2017/richdata2" ref="A2:P15">
    <sortCondition ref="B1:B15"/>
  </sortState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72EA-D5DA-4BC4-8AAF-CFCD3951F470}">
  <dimension ref="A1:P13"/>
  <sheetViews>
    <sheetView workbookViewId="0">
      <selection activeCell="J2" sqref="J2:P2"/>
    </sheetView>
  </sheetViews>
  <sheetFormatPr defaultRowHeight="14.4" x14ac:dyDescent="0.3"/>
  <cols>
    <col min="1" max="1" width="14.44140625" customWidth="1"/>
    <col min="2" max="6" width="10.33203125" customWidth="1"/>
    <col min="7" max="7" width="12.6640625" customWidth="1"/>
    <col min="8" max="16" width="10.33203125" customWidth="1"/>
  </cols>
  <sheetData>
    <row r="1" spans="1:16" ht="25.8" customHeight="1" x14ac:dyDescent="0.3">
      <c r="A1" s="1" t="s">
        <v>99</v>
      </c>
      <c r="B1" s="10" t="s">
        <v>98</v>
      </c>
      <c r="C1" s="2" t="s">
        <v>0</v>
      </c>
      <c r="D1" s="2" t="s">
        <v>1</v>
      </c>
      <c r="E1" s="2" t="s">
        <v>2</v>
      </c>
      <c r="F1" s="10" t="s">
        <v>3</v>
      </c>
      <c r="G1" s="2" t="s">
        <v>4</v>
      </c>
      <c r="H1" s="2" t="s">
        <v>5</v>
      </c>
      <c r="I1" s="13" t="s">
        <v>98</v>
      </c>
      <c r="J1" s="16" t="s">
        <v>98</v>
      </c>
      <c r="K1" s="17" t="s">
        <v>0</v>
      </c>
      <c r="L1" s="17" t="s">
        <v>1</v>
      </c>
      <c r="M1" s="17" t="s">
        <v>2</v>
      </c>
      <c r="N1" s="16" t="s">
        <v>3</v>
      </c>
      <c r="O1" s="17" t="s">
        <v>4</v>
      </c>
      <c r="P1" s="17" t="s">
        <v>5</v>
      </c>
    </row>
    <row r="2" spans="1:16" x14ac:dyDescent="0.3">
      <c r="A2" s="3" t="s">
        <v>69</v>
      </c>
      <c r="B2" s="8">
        <v>8.3473553295778768E-2</v>
      </c>
      <c r="C2" s="8">
        <v>0.1</v>
      </c>
      <c r="D2" s="8">
        <v>0.14285714285714285</v>
      </c>
      <c r="E2" s="8">
        <v>5.3333333333333337E-2</v>
      </c>
      <c r="F2" s="8">
        <v>0.12556053811659193</v>
      </c>
      <c r="G2" s="8">
        <v>9.0277777777777776E-2</v>
      </c>
      <c r="H2" s="8">
        <v>0.11881188118811881</v>
      </c>
      <c r="I2" s="8">
        <v>8.3473553295778768E-2</v>
      </c>
      <c r="J2" s="8">
        <v>8.3473553295778768E-2</v>
      </c>
      <c r="K2" s="8">
        <v>0.1</v>
      </c>
      <c r="L2" s="8">
        <v>0.14285714285714285</v>
      </c>
      <c r="M2" s="8">
        <v>5.3333333333333337E-2</v>
      </c>
      <c r="N2" s="8">
        <v>0.12556053811659193</v>
      </c>
      <c r="O2" s="8">
        <v>9.0277777777777776E-2</v>
      </c>
      <c r="P2" s="8">
        <v>0.11881188118811881</v>
      </c>
    </row>
    <row r="3" spans="1:16" x14ac:dyDescent="0.3">
      <c r="A3" s="3" t="s">
        <v>71</v>
      </c>
      <c r="B3" s="8">
        <v>0.11644353403077523</v>
      </c>
      <c r="C3" s="8">
        <v>8.1818181818181818E-2</v>
      </c>
      <c r="D3" s="8">
        <v>0.12698412698412698</v>
      </c>
      <c r="E3" s="8">
        <v>0.21333333333333335</v>
      </c>
      <c r="F3" s="8">
        <v>6.726457399103139E-2</v>
      </c>
      <c r="G3" s="8">
        <v>0.15972222222222221</v>
      </c>
      <c r="H3" s="8">
        <v>0.12871287128712872</v>
      </c>
      <c r="I3" s="8">
        <v>0.199917087326554</v>
      </c>
      <c r="J3" s="8">
        <f>J2+B3</f>
        <v>0.199917087326554</v>
      </c>
      <c r="K3" s="8">
        <f t="shared" ref="K3:P5" si="0">K2+C3</f>
        <v>0.18181818181818182</v>
      </c>
      <c r="L3" s="8">
        <f t="shared" si="0"/>
        <v>0.26984126984126983</v>
      </c>
      <c r="M3" s="8">
        <f t="shared" si="0"/>
        <v>0.26666666666666666</v>
      </c>
      <c r="N3" s="8">
        <f t="shared" si="0"/>
        <v>0.19282511210762332</v>
      </c>
      <c r="O3" s="8">
        <f t="shared" si="0"/>
        <v>0.25</v>
      </c>
      <c r="P3" s="8">
        <f t="shared" si="0"/>
        <v>0.24752475247524752</v>
      </c>
    </row>
    <row r="4" spans="1:16" x14ac:dyDescent="0.3">
      <c r="A4" s="3" t="s">
        <v>70</v>
      </c>
      <c r="B4" s="8">
        <v>0.14244722445761293</v>
      </c>
      <c r="C4" s="8">
        <v>9.0909090909090912E-2</v>
      </c>
      <c r="D4" s="8">
        <v>0.1111111111111111</v>
      </c>
      <c r="E4" s="8">
        <v>0.08</v>
      </c>
      <c r="F4" s="8">
        <v>2.6905829596412557E-2</v>
      </c>
      <c r="G4" s="8">
        <v>0.22916666666666666</v>
      </c>
      <c r="H4" s="8">
        <v>0.14851485148514851</v>
      </c>
      <c r="I4" s="8">
        <v>0.34236431178416693</v>
      </c>
      <c r="J4" s="8">
        <f t="shared" ref="J4:J5" si="1">J3+B4</f>
        <v>0.34236431178416693</v>
      </c>
      <c r="K4" s="8">
        <f t="shared" si="0"/>
        <v>0.27272727272727271</v>
      </c>
      <c r="L4" s="8">
        <f t="shared" si="0"/>
        <v>0.38095238095238093</v>
      </c>
      <c r="M4" s="8">
        <f t="shared" si="0"/>
        <v>0.34666666666666668</v>
      </c>
      <c r="N4" s="8">
        <f t="shared" si="0"/>
        <v>0.21973094170403587</v>
      </c>
      <c r="O4" s="8">
        <f t="shared" si="0"/>
        <v>0.47916666666666663</v>
      </c>
      <c r="P4" s="8">
        <f t="shared" si="0"/>
        <v>0.39603960396039606</v>
      </c>
    </row>
    <row r="5" spans="1:16" x14ac:dyDescent="0.3">
      <c r="A5" s="3" t="s">
        <v>68</v>
      </c>
      <c r="B5" s="8">
        <v>0.65763568821583307</v>
      </c>
      <c r="C5" s="8">
        <v>0.72727272727272729</v>
      </c>
      <c r="D5" s="8">
        <v>0.61904761904761907</v>
      </c>
      <c r="E5" s="8">
        <v>0.65333333333333332</v>
      </c>
      <c r="F5" s="8">
        <v>0.78026905829596416</v>
      </c>
      <c r="G5" s="8">
        <v>0.52083333333333337</v>
      </c>
      <c r="H5" s="8">
        <v>0.60396039603960394</v>
      </c>
      <c r="I5" s="8">
        <v>1</v>
      </c>
      <c r="J5" s="8">
        <f t="shared" si="1"/>
        <v>1</v>
      </c>
      <c r="K5" s="8">
        <f t="shared" si="0"/>
        <v>1</v>
      </c>
      <c r="L5" s="8">
        <f t="shared" si="0"/>
        <v>1</v>
      </c>
      <c r="M5" s="8">
        <f t="shared" si="0"/>
        <v>1</v>
      </c>
      <c r="N5" s="8">
        <f t="shared" si="0"/>
        <v>1</v>
      </c>
      <c r="O5" s="8">
        <f t="shared" si="0"/>
        <v>1</v>
      </c>
      <c r="P5" s="8">
        <f t="shared" si="0"/>
        <v>1</v>
      </c>
    </row>
    <row r="7" spans="1:16" ht="17.399999999999999" customHeight="1" x14ac:dyDescent="0.3">
      <c r="B7" s="1" t="s">
        <v>99</v>
      </c>
      <c r="C7" s="2" t="s">
        <v>101</v>
      </c>
      <c r="D7" s="2" t="s">
        <v>102</v>
      </c>
      <c r="E7" s="2" t="s">
        <v>103</v>
      </c>
      <c r="F7" s="2" t="s">
        <v>104</v>
      </c>
      <c r="G7" s="2" t="s">
        <v>105</v>
      </c>
      <c r="H7" s="2" t="s">
        <v>106</v>
      </c>
      <c r="J7" s="6"/>
      <c r="K7" s="19" t="s">
        <v>107</v>
      </c>
      <c r="L7" s="19" t="s">
        <v>108</v>
      </c>
      <c r="M7" s="19" t="s">
        <v>109</v>
      </c>
      <c r="N7" s="19" t="s">
        <v>110</v>
      </c>
      <c r="O7" s="19" t="s">
        <v>111</v>
      </c>
      <c r="P7" s="19" t="s">
        <v>112</v>
      </c>
    </row>
    <row r="8" spans="1:16" x14ac:dyDescent="0.3">
      <c r="B8" s="3" t="s">
        <v>69</v>
      </c>
      <c r="C8" s="8">
        <f>C2-B2</f>
        <v>1.6526446704221237E-2</v>
      </c>
      <c r="D8" s="8">
        <f>D2-B2</f>
        <v>5.9383589561364081E-2</v>
      </c>
      <c r="E8" s="8">
        <f>E2-B2</f>
        <v>-3.0140219962445432E-2</v>
      </c>
      <c r="F8" s="8">
        <f>F2-B2</f>
        <v>4.2086984820813161E-2</v>
      </c>
      <c r="G8" s="8">
        <f>G2-B2</f>
        <v>6.8042244819990078E-3</v>
      </c>
      <c r="H8" s="8">
        <f>H2-B2</f>
        <v>3.5338327892340038E-2</v>
      </c>
      <c r="J8" s="3" t="s">
        <v>69</v>
      </c>
      <c r="K8" s="6">
        <f>($J2-0) * ((K2+0))</f>
        <v>8.3473553295778779E-3</v>
      </c>
      <c r="L8" s="6">
        <f t="shared" ref="L8:P8" si="2">($J2-0) * ((L2+0))</f>
        <v>1.1924793327968395E-2</v>
      </c>
      <c r="M8" s="6">
        <f t="shared" si="2"/>
        <v>4.4519228424415346E-3</v>
      </c>
      <c r="N8" s="6">
        <f t="shared" si="2"/>
        <v>1.0480984270321998E-2</v>
      </c>
      <c r="O8" s="6">
        <f t="shared" si="2"/>
        <v>7.5358068947578051E-3</v>
      </c>
      <c r="P8" s="6">
        <f t="shared" si="2"/>
        <v>9.91764989652817E-3</v>
      </c>
    </row>
    <row r="9" spans="1:16" x14ac:dyDescent="0.3">
      <c r="B9" s="3" t="s">
        <v>71</v>
      </c>
      <c r="C9" s="8">
        <f t="shared" ref="C9:C11" si="3">C3-B3</f>
        <v>-3.4625352212593413E-2</v>
      </c>
      <c r="D9" s="8">
        <f t="shared" ref="D9:D11" si="4">D3-B3</f>
        <v>1.0540592953351746E-2</v>
      </c>
      <c r="E9" s="8">
        <f t="shared" ref="E9:E11" si="5">E3-B3</f>
        <v>9.6889799302558116E-2</v>
      </c>
      <c r="F9" s="8">
        <f t="shared" ref="F9:F11" si="6">F3-B3</f>
        <v>-4.9178960039743841E-2</v>
      </c>
      <c r="G9" s="8">
        <f t="shared" ref="G9:G11" si="7">G3-B3</f>
        <v>4.3278688191446979E-2</v>
      </c>
      <c r="H9" s="8">
        <f t="shared" ref="H9:H11" si="8">H3-B3</f>
        <v>1.2269337256353485E-2</v>
      </c>
      <c r="J9" s="3" t="s">
        <v>71</v>
      </c>
      <c r="K9" s="6">
        <f>($J3-$J2) * ((K3+K2))</f>
        <v>3.2815905045036661E-2</v>
      </c>
      <c r="L9" s="6">
        <f t="shared" ref="L9:P9" si="9">($J3-$J2) * ((L3+L2))</f>
        <v>4.8056061663494534E-2</v>
      </c>
      <c r="M9" s="6">
        <f t="shared" si="9"/>
        <v>3.7261930889848076E-2</v>
      </c>
      <c r="N9" s="6">
        <f t="shared" si="9"/>
        <v>3.707395029679391E-2</v>
      </c>
      <c r="O9" s="6">
        <f t="shared" si="9"/>
        <v>3.9623146996583238E-2</v>
      </c>
      <c r="P9" s="6">
        <f t="shared" si="9"/>
        <v>4.2657532268699838E-2</v>
      </c>
    </row>
    <row r="10" spans="1:16" x14ac:dyDescent="0.3">
      <c r="B10" s="3" t="s">
        <v>70</v>
      </c>
      <c r="C10" s="8">
        <f t="shared" si="3"/>
        <v>-5.1538133548522019E-2</v>
      </c>
      <c r="D10" s="8">
        <f t="shared" si="4"/>
        <v>-3.1336113346501826E-2</v>
      </c>
      <c r="E10" s="8">
        <f t="shared" si="5"/>
        <v>-6.2447224457612929E-2</v>
      </c>
      <c r="F10" s="8">
        <f t="shared" si="6"/>
        <v>-0.11554139486120038</v>
      </c>
      <c r="G10" s="8">
        <f t="shared" si="7"/>
        <v>8.6719442209053726E-2</v>
      </c>
      <c r="H10" s="8">
        <f t="shared" si="8"/>
        <v>6.067627027535577E-3</v>
      </c>
      <c r="J10" s="3" t="s">
        <v>70</v>
      </c>
      <c r="K10" s="6">
        <f t="shared" ref="K10:P11" si="10">($J4-$J3) * ((K4+K3))</f>
        <v>6.4748738389824062E-2</v>
      </c>
      <c r="L10" s="6">
        <f t="shared" si="10"/>
        <v>9.2703749250192535E-2</v>
      </c>
      <c r="M10" s="6">
        <f t="shared" si="10"/>
        <v>8.7367631000669257E-2</v>
      </c>
      <c r="N10" s="6">
        <f t="shared" si="10"/>
        <v>5.8767464798656452E-2</v>
      </c>
      <c r="O10" s="6">
        <f t="shared" si="10"/>
        <v>0.10386776783367609</v>
      </c>
      <c r="P10" s="6">
        <f t="shared" si="10"/>
        <v>9.167395633410734E-2</v>
      </c>
    </row>
    <row r="11" spans="1:16" x14ac:dyDescent="0.3">
      <c r="B11" s="3" t="s">
        <v>68</v>
      </c>
      <c r="C11" s="8">
        <f t="shared" si="3"/>
        <v>6.9637039056894223E-2</v>
      </c>
      <c r="D11" s="8">
        <f t="shared" si="4"/>
        <v>-3.8588069168214001E-2</v>
      </c>
      <c r="E11" s="8">
        <f t="shared" si="5"/>
        <v>-4.3023548824997482E-3</v>
      </c>
      <c r="F11" s="8">
        <f t="shared" si="6"/>
        <v>0.12263337008013109</v>
      </c>
      <c r="G11" s="8">
        <f t="shared" si="7"/>
        <v>-0.1368023548824997</v>
      </c>
      <c r="H11" s="8">
        <f t="shared" si="8"/>
        <v>-5.3675292176229128E-2</v>
      </c>
      <c r="J11" s="3" t="s">
        <v>68</v>
      </c>
      <c r="K11" s="6">
        <f t="shared" si="10"/>
        <v>0.83699087591106025</v>
      </c>
      <c r="L11" s="6">
        <f t="shared" si="10"/>
        <v>0.90816356944091237</v>
      </c>
      <c r="M11" s="6">
        <f t="shared" si="10"/>
        <v>0.88561606013065519</v>
      </c>
      <c r="N11" s="6">
        <f t="shared" si="10"/>
        <v>0.80213859728567982</v>
      </c>
      <c r="O11" s="6">
        <f t="shared" si="10"/>
        <v>0.97275278881925298</v>
      </c>
      <c r="P11" s="6">
        <f t="shared" si="10"/>
        <v>0.91808546572705407</v>
      </c>
    </row>
    <row r="12" spans="1:16" x14ac:dyDescent="0.3">
      <c r="J12" s="20" t="s">
        <v>114</v>
      </c>
      <c r="K12" s="19">
        <f>SUM(K8:K11)</f>
        <v>0.94290287467549883</v>
      </c>
      <c r="L12" s="19">
        <f t="shared" ref="L12:P12" si="11">SUM(L8:L11)</f>
        <v>1.0608481736825679</v>
      </c>
      <c r="M12" s="19">
        <f t="shared" si="11"/>
        <v>1.0146975448636142</v>
      </c>
      <c r="N12" s="19">
        <f t="shared" si="11"/>
        <v>0.90846099665145219</v>
      </c>
      <c r="O12" s="19">
        <f t="shared" si="11"/>
        <v>1.1237795105442701</v>
      </c>
      <c r="P12" s="19">
        <f t="shared" si="11"/>
        <v>1.0623346042263895</v>
      </c>
    </row>
    <row r="13" spans="1:16" x14ac:dyDescent="0.3">
      <c r="J13" s="23" t="s">
        <v>113</v>
      </c>
      <c r="K13" s="24">
        <f>1-K12</f>
        <v>5.7097125324501175E-2</v>
      </c>
      <c r="L13" s="24">
        <f t="shared" ref="L13:P13" si="12">1-L12</f>
        <v>-6.0848173682567896E-2</v>
      </c>
      <c r="M13" s="24">
        <f t="shared" si="12"/>
        <v>-1.4697544863614187E-2</v>
      </c>
      <c r="N13" s="24">
        <f t="shared" si="12"/>
        <v>9.1539003348547809E-2</v>
      </c>
      <c r="O13" s="24">
        <f t="shared" si="12"/>
        <v>-0.12377951054427005</v>
      </c>
      <c r="P13" s="24">
        <f t="shared" si="12"/>
        <v>-6.2334604226389478E-2</v>
      </c>
    </row>
  </sheetData>
  <sortState xmlns:xlrd2="http://schemas.microsoft.com/office/spreadsheetml/2017/richdata2" ref="A2:P6">
    <sortCondition ref="B1:B6"/>
  </sortState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24673-CCF7-46A8-9DB3-4D12816973DF}">
  <dimension ref="A1:P12"/>
  <sheetViews>
    <sheetView workbookViewId="0">
      <selection activeCell="J2" sqref="J2:P2"/>
    </sheetView>
  </sheetViews>
  <sheetFormatPr defaultRowHeight="14.4" x14ac:dyDescent="0.3"/>
  <cols>
    <col min="1" max="1" width="16.21875" customWidth="1"/>
    <col min="2" max="16" width="10.6640625" customWidth="1"/>
  </cols>
  <sheetData>
    <row r="1" spans="1:16" ht="25.8" customHeight="1" x14ac:dyDescent="0.3">
      <c r="A1" s="1" t="s">
        <v>99</v>
      </c>
      <c r="B1" s="10" t="s">
        <v>98</v>
      </c>
      <c r="C1" s="2" t="s">
        <v>0</v>
      </c>
      <c r="D1" s="2" t="s">
        <v>1</v>
      </c>
      <c r="E1" s="2" t="s">
        <v>2</v>
      </c>
      <c r="F1" s="10" t="s">
        <v>3</v>
      </c>
      <c r="G1" s="2" t="s">
        <v>4</v>
      </c>
      <c r="H1" s="2" t="s">
        <v>5</v>
      </c>
      <c r="I1" s="13" t="s">
        <v>98</v>
      </c>
      <c r="J1" s="16" t="s">
        <v>98</v>
      </c>
      <c r="K1" s="17" t="s">
        <v>0</v>
      </c>
      <c r="L1" s="17" t="s">
        <v>1</v>
      </c>
      <c r="M1" s="17" t="s">
        <v>2</v>
      </c>
      <c r="N1" s="16" t="s">
        <v>3</v>
      </c>
      <c r="O1" s="17" t="s">
        <v>4</v>
      </c>
      <c r="P1" s="17" t="s">
        <v>5</v>
      </c>
    </row>
    <row r="2" spans="1:16" x14ac:dyDescent="0.3">
      <c r="A2" s="3" t="s">
        <v>73</v>
      </c>
      <c r="B2" s="8">
        <v>0.27944107566569998</v>
      </c>
      <c r="C2" s="8">
        <v>0.44186046511627908</v>
      </c>
      <c r="D2" s="8">
        <v>0.33333333333333331</v>
      </c>
      <c r="E2" s="8">
        <v>0.39325842696629215</v>
      </c>
      <c r="F2" s="8">
        <v>0.38645418326693226</v>
      </c>
      <c r="G2" s="8">
        <v>0.38461538461538464</v>
      </c>
      <c r="H2" s="8">
        <v>0.31967213114754101</v>
      </c>
      <c r="I2" s="8">
        <v>0.27944107566569998</v>
      </c>
      <c r="J2" s="8">
        <v>0.27944107566569998</v>
      </c>
      <c r="K2" s="8">
        <v>0.44186046511627908</v>
      </c>
      <c r="L2" s="8">
        <v>0.33333333333333331</v>
      </c>
      <c r="M2" s="8">
        <v>0.39325842696629215</v>
      </c>
      <c r="N2" s="8">
        <v>0.38645418326693226</v>
      </c>
      <c r="O2" s="8">
        <v>0.38461538461538464</v>
      </c>
      <c r="P2" s="8">
        <v>0.31967213114754101</v>
      </c>
    </row>
    <row r="3" spans="1:16" x14ac:dyDescent="0.3">
      <c r="A3" s="3" t="s">
        <v>74</v>
      </c>
      <c r="B3" s="8">
        <v>0.32602161877142105</v>
      </c>
      <c r="C3" s="8">
        <v>0.29069767441860467</v>
      </c>
      <c r="D3" s="8">
        <v>0.20833333333333334</v>
      </c>
      <c r="E3" s="8">
        <v>0.15730337078651685</v>
      </c>
      <c r="F3" s="8">
        <v>0.12749003984063745</v>
      </c>
      <c r="G3" s="8">
        <v>0.18343195266272189</v>
      </c>
      <c r="H3" s="8">
        <v>0.1721311475409836</v>
      </c>
      <c r="I3" s="8">
        <v>0.60546269443712109</v>
      </c>
      <c r="J3" s="8">
        <f t="shared" ref="J3:P4" si="0">J2+B3</f>
        <v>0.60546269443712109</v>
      </c>
      <c r="K3" s="8">
        <f t="shared" si="0"/>
        <v>0.73255813953488369</v>
      </c>
      <c r="L3" s="8">
        <f t="shared" si="0"/>
        <v>0.54166666666666663</v>
      </c>
      <c r="M3" s="8">
        <f t="shared" si="0"/>
        <v>0.550561797752809</v>
      </c>
      <c r="N3" s="8">
        <f t="shared" si="0"/>
        <v>0.51394422310756971</v>
      </c>
      <c r="O3" s="8">
        <f t="shared" si="0"/>
        <v>0.56804733727810652</v>
      </c>
      <c r="P3" s="8">
        <f t="shared" si="0"/>
        <v>0.49180327868852458</v>
      </c>
    </row>
    <row r="4" spans="1:16" x14ac:dyDescent="0.3">
      <c r="A4" s="3" t="s">
        <v>72</v>
      </c>
      <c r="B4" s="8">
        <v>0.39453730556287897</v>
      </c>
      <c r="C4" s="8">
        <v>0.26744186046511625</v>
      </c>
      <c r="D4" s="8">
        <v>0.45833333333333331</v>
      </c>
      <c r="E4" s="8">
        <v>0.449438202247191</v>
      </c>
      <c r="F4" s="8">
        <v>0.48605577689243029</v>
      </c>
      <c r="G4" s="8">
        <v>0.43195266272189348</v>
      </c>
      <c r="H4" s="8">
        <v>0.50819672131147542</v>
      </c>
      <c r="I4" s="8">
        <v>1</v>
      </c>
      <c r="J4" s="8">
        <f t="shared" si="0"/>
        <v>1</v>
      </c>
      <c r="K4" s="8">
        <f t="shared" si="0"/>
        <v>1</v>
      </c>
      <c r="L4" s="8">
        <f t="shared" si="0"/>
        <v>1</v>
      </c>
      <c r="M4" s="8">
        <f t="shared" si="0"/>
        <v>1</v>
      </c>
      <c r="N4" s="8">
        <f t="shared" si="0"/>
        <v>1</v>
      </c>
      <c r="O4" s="8">
        <f t="shared" si="0"/>
        <v>1</v>
      </c>
      <c r="P4" s="8">
        <f t="shared" si="0"/>
        <v>1</v>
      </c>
    </row>
    <row r="7" spans="1:16" x14ac:dyDescent="0.3">
      <c r="B7" s="1" t="s">
        <v>99</v>
      </c>
      <c r="C7" s="2" t="s">
        <v>101</v>
      </c>
      <c r="D7" s="2" t="s">
        <v>102</v>
      </c>
      <c r="E7" s="2" t="s">
        <v>103</v>
      </c>
      <c r="F7" s="2" t="s">
        <v>104</v>
      </c>
      <c r="G7" s="2" t="s">
        <v>105</v>
      </c>
      <c r="H7" s="2" t="s">
        <v>106</v>
      </c>
      <c r="J7" s="6"/>
      <c r="K7" s="19" t="s">
        <v>107</v>
      </c>
      <c r="L7" s="19" t="s">
        <v>108</v>
      </c>
      <c r="M7" s="19" t="s">
        <v>109</v>
      </c>
      <c r="N7" s="19" t="s">
        <v>110</v>
      </c>
      <c r="O7" s="19" t="s">
        <v>111</v>
      </c>
      <c r="P7" s="19" t="s">
        <v>112</v>
      </c>
    </row>
    <row r="8" spans="1:16" x14ac:dyDescent="0.3">
      <c r="B8" s="3" t="s">
        <v>73</v>
      </c>
      <c r="C8" s="8">
        <f>C2-B2</f>
        <v>0.1624193894505791</v>
      </c>
      <c r="D8" s="8">
        <f>D2-B2</f>
        <v>5.3892257667633336E-2</v>
      </c>
      <c r="E8" s="8">
        <f>E2-B2</f>
        <v>0.11381735130059217</v>
      </c>
      <c r="F8" s="8">
        <f>F2-B2</f>
        <v>0.10701310760123228</v>
      </c>
      <c r="G8" s="8">
        <f>G2-B2</f>
        <v>0.10517430894968466</v>
      </c>
      <c r="H8" s="8">
        <f>H2-B2</f>
        <v>4.0231055481841027E-2</v>
      </c>
      <c r="J8" s="3" t="s">
        <v>73</v>
      </c>
      <c r="K8" s="6">
        <f>($J2-0) * ((K2+0))</f>
        <v>0.12347396366623953</v>
      </c>
      <c r="L8" s="6">
        <f t="shared" ref="L8:P8" si="1">($J2-0) * ((L2+0))</f>
        <v>9.3147025221899993E-2</v>
      </c>
      <c r="M8" s="6">
        <f t="shared" si="1"/>
        <v>0.10989255784606179</v>
      </c>
      <c r="N8" s="6">
        <f t="shared" si="1"/>
        <v>0.10799117266762111</v>
      </c>
      <c r="O8" s="6">
        <f t="shared" si="1"/>
        <v>0.1074773367945</v>
      </c>
      <c r="P8" s="6">
        <f t="shared" si="1"/>
        <v>8.9329524188215575E-2</v>
      </c>
    </row>
    <row r="9" spans="1:16" x14ac:dyDescent="0.3">
      <c r="B9" s="3" t="s">
        <v>74</v>
      </c>
      <c r="C9" s="8">
        <f t="shared" ref="C9:C10" si="2">C3-B3</f>
        <v>-3.5323944352816383E-2</v>
      </c>
      <c r="D9" s="8">
        <f t="shared" ref="D9:D10" si="3">D3-B3</f>
        <v>-0.11768828543808771</v>
      </c>
      <c r="E9" s="8">
        <f t="shared" ref="E9:E10" si="4">E3-B3</f>
        <v>-0.1687182479849042</v>
      </c>
      <c r="F9" s="8">
        <f t="shared" ref="F9:F10" si="5">F3-B3</f>
        <v>-0.1985315789307836</v>
      </c>
      <c r="G9" s="8">
        <f t="shared" ref="G9:G10" si="6">G3-B3</f>
        <v>-0.14258966610869916</v>
      </c>
      <c r="H9" s="8">
        <f t="shared" ref="H9:H10" si="7">H3-B3</f>
        <v>-0.15389047123043745</v>
      </c>
      <c r="J9" s="3" t="s">
        <v>74</v>
      </c>
      <c r="K9" s="6">
        <f>($J3-$J2) * ((K3+K2))</f>
        <v>0.38288585460364566</v>
      </c>
      <c r="L9" s="6">
        <f t="shared" ref="L9:P10" si="8">($J3-$J2) * ((L3+L2))</f>
        <v>0.28526891642499347</v>
      </c>
      <c r="M9" s="6">
        <f t="shared" si="8"/>
        <v>0.30770579749212779</v>
      </c>
      <c r="N9" s="6">
        <f t="shared" si="8"/>
        <v>0.29354934598542298</v>
      </c>
      <c r="O9" s="6">
        <f t="shared" si="8"/>
        <v>0.31058864273490411</v>
      </c>
      <c r="P9" s="6">
        <f t="shared" si="8"/>
        <v>0.26455852670795649</v>
      </c>
    </row>
    <row r="10" spans="1:16" x14ac:dyDescent="0.3">
      <c r="B10" s="3" t="s">
        <v>72</v>
      </c>
      <c r="C10" s="8">
        <f t="shared" si="2"/>
        <v>-0.12709544509776272</v>
      </c>
      <c r="D10" s="8">
        <f t="shared" si="3"/>
        <v>6.3796027770454344E-2</v>
      </c>
      <c r="E10" s="8">
        <f t="shared" si="4"/>
        <v>5.4900896684312028E-2</v>
      </c>
      <c r="F10" s="8">
        <f t="shared" si="5"/>
        <v>9.1518471329551321E-2</v>
      </c>
      <c r="G10" s="8">
        <f t="shared" si="6"/>
        <v>3.7415357159014506E-2</v>
      </c>
      <c r="H10" s="8">
        <f t="shared" si="7"/>
        <v>0.11365941574859645</v>
      </c>
      <c r="J10" s="3" t="s">
        <v>72</v>
      </c>
      <c r="K10" s="6">
        <f>($J4-$J3) * ((K4+K3))</f>
        <v>0.68355882010312741</v>
      </c>
      <c r="L10" s="6">
        <f t="shared" si="8"/>
        <v>0.60824501274277165</v>
      </c>
      <c r="M10" s="6">
        <f t="shared" si="8"/>
        <v>0.61175447379412684</v>
      </c>
      <c r="N10" s="6">
        <f t="shared" si="8"/>
        <v>0.59730747455734656</v>
      </c>
      <c r="O10" s="6">
        <f t="shared" si="8"/>
        <v>0.61865317144475096</v>
      </c>
      <c r="P10" s="6">
        <f t="shared" si="8"/>
        <v>0.5885720460036391</v>
      </c>
    </row>
    <row r="11" spans="1:16" x14ac:dyDescent="0.3">
      <c r="J11" s="20" t="s">
        <v>114</v>
      </c>
      <c r="K11" s="19">
        <f>SUM(K8:K10)</f>
        <v>1.1899186383730127</v>
      </c>
      <c r="L11" s="19">
        <f t="shared" ref="L11:P11" si="9">SUM(L8:L10)</f>
        <v>0.98666095438966517</v>
      </c>
      <c r="M11" s="19">
        <f t="shared" si="9"/>
        <v>1.0293528291323164</v>
      </c>
      <c r="N11" s="19">
        <f t="shared" si="9"/>
        <v>0.99884799321039064</v>
      </c>
      <c r="O11" s="19">
        <f t="shared" si="9"/>
        <v>1.0367191509741551</v>
      </c>
      <c r="P11" s="19">
        <f t="shared" si="9"/>
        <v>0.94246009689981114</v>
      </c>
    </row>
    <row r="12" spans="1:16" x14ac:dyDescent="0.3">
      <c r="J12" s="23" t="s">
        <v>113</v>
      </c>
      <c r="K12" s="24">
        <f>1-K11</f>
        <v>-0.1899186383730127</v>
      </c>
      <c r="L12" s="24">
        <f t="shared" ref="L12:P12" si="10">1-L11</f>
        <v>1.3339045610334832E-2</v>
      </c>
      <c r="M12" s="24">
        <f t="shared" si="10"/>
        <v>-2.9352829132316405E-2</v>
      </c>
      <c r="N12" s="24">
        <f t="shared" si="10"/>
        <v>1.1520067896093611E-3</v>
      </c>
      <c r="O12" s="24">
        <f t="shared" si="10"/>
        <v>-3.6719150974155124E-2</v>
      </c>
      <c r="P12" s="24">
        <f t="shared" si="10"/>
        <v>5.7539903100188861E-2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F3C8-2862-4FB7-A702-020E3530044C}">
  <dimension ref="A1:P53"/>
  <sheetViews>
    <sheetView zoomScale="96" workbookViewId="0">
      <selection activeCell="I1" sqref="I1"/>
    </sheetView>
  </sheetViews>
  <sheetFormatPr defaultRowHeight="14.4" x14ac:dyDescent="0.3"/>
  <cols>
    <col min="1" max="4" width="14.109375" customWidth="1"/>
    <col min="5" max="10" width="9" bestFit="1" customWidth="1"/>
    <col min="11" max="16" width="12.6640625" bestFit="1" customWidth="1"/>
  </cols>
  <sheetData>
    <row r="1" spans="1:16" ht="25.8" customHeight="1" x14ac:dyDescent="0.3">
      <c r="A1" s="1" t="s">
        <v>99</v>
      </c>
      <c r="B1" s="10" t="s">
        <v>98</v>
      </c>
      <c r="C1" s="2" t="s">
        <v>0</v>
      </c>
      <c r="D1" s="2" t="s">
        <v>1</v>
      </c>
      <c r="E1" s="2" t="s">
        <v>2</v>
      </c>
      <c r="F1" s="10" t="s">
        <v>3</v>
      </c>
      <c r="G1" s="2" t="s">
        <v>4</v>
      </c>
      <c r="H1" s="2" t="s">
        <v>5</v>
      </c>
      <c r="I1" s="27" t="s">
        <v>98</v>
      </c>
      <c r="J1" s="16" t="s">
        <v>98</v>
      </c>
      <c r="K1" s="17" t="s">
        <v>0</v>
      </c>
      <c r="L1" s="17" t="s">
        <v>1</v>
      </c>
      <c r="M1" s="17" t="s">
        <v>2</v>
      </c>
      <c r="N1" s="16" t="s">
        <v>3</v>
      </c>
      <c r="O1" s="17" t="s">
        <v>4</v>
      </c>
      <c r="P1" s="17" t="s">
        <v>5</v>
      </c>
    </row>
    <row r="2" spans="1:16" x14ac:dyDescent="0.3">
      <c r="A2" s="8" t="s">
        <v>118</v>
      </c>
      <c r="B2" s="8">
        <v>2.5259791463947689E-3</v>
      </c>
      <c r="C2" s="8">
        <v>5.1282051282051282E-3</v>
      </c>
      <c r="D2" s="8">
        <v>0</v>
      </c>
      <c r="E2" s="8">
        <v>1.1869436201780416E-2</v>
      </c>
      <c r="F2" s="8">
        <v>1.5290519877675841E-3</v>
      </c>
      <c r="G2" s="8">
        <v>5.3191489361702126E-3</v>
      </c>
      <c r="H2" s="8">
        <v>1.0273972602739725E-2</v>
      </c>
      <c r="I2" s="8">
        <v>2.5508223629487508E-3</v>
      </c>
      <c r="J2" s="8">
        <v>2.5259791463947689E-3</v>
      </c>
      <c r="K2" s="8">
        <v>5.1282051282051282E-3</v>
      </c>
      <c r="L2" s="8">
        <v>0</v>
      </c>
      <c r="M2" s="8">
        <v>1.1869436201780416E-2</v>
      </c>
      <c r="N2" s="8">
        <v>1.5290519877675841E-3</v>
      </c>
      <c r="O2" s="8">
        <v>5.3191489361702126E-3</v>
      </c>
      <c r="P2" s="8">
        <v>1.0273972602739725E-2</v>
      </c>
    </row>
    <row r="3" spans="1:16" x14ac:dyDescent="0.3">
      <c r="A3" s="8" t="s">
        <v>116</v>
      </c>
      <c r="B3" s="8">
        <v>5.1837485091231778E-3</v>
      </c>
      <c r="C3" s="8">
        <v>1.5384615384615385E-2</v>
      </c>
      <c r="D3" s="8">
        <v>1.2618296529968454E-2</v>
      </c>
      <c r="E3" s="8">
        <v>2.967359050445104E-3</v>
      </c>
      <c r="F3" s="8">
        <v>7.6452599388379203E-3</v>
      </c>
      <c r="G3" s="8">
        <v>7.9787234042553185E-3</v>
      </c>
      <c r="H3" s="8">
        <v>6.8493150684931503E-3</v>
      </c>
      <c r="I3" s="8">
        <v>7.7345708720719282E-3</v>
      </c>
      <c r="J3" s="8">
        <f>J2+B3</f>
        <v>7.7097276555179468E-3</v>
      </c>
      <c r="K3" s="8">
        <f t="shared" ref="K3:P18" si="0">K2+C3</f>
        <v>2.0512820512820513E-2</v>
      </c>
      <c r="L3" s="8">
        <f t="shared" si="0"/>
        <v>1.2618296529968454E-2</v>
      </c>
      <c r="M3" s="8">
        <f t="shared" si="0"/>
        <v>1.483679525222552E-2</v>
      </c>
      <c r="N3" s="8">
        <f t="shared" si="0"/>
        <v>9.1743119266055051E-3</v>
      </c>
      <c r="O3" s="8">
        <f t="shared" si="0"/>
        <v>1.329787234042553E-2</v>
      </c>
      <c r="P3" s="8">
        <f t="shared" si="0"/>
        <v>1.7123287671232876E-2</v>
      </c>
    </row>
    <row r="4" spans="1:16" x14ac:dyDescent="0.3">
      <c r="A4" s="8" t="s">
        <v>77</v>
      </c>
      <c r="B4" s="8">
        <v>5.4517219490015792E-3</v>
      </c>
      <c r="C4" s="8">
        <v>1.282051282051282E-2</v>
      </c>
      <c r="D4" s="8">
        <v>6.3091482649842269E-3</v>
      </c>
      <c r="E4" s="8">
        <v>8.9020771513353119E-3</v>
      </c>
      <c r="F4" s="8">
        <v>7.6452599388379203E-3</v>
      </c>
      <c r="G4" s="8">
        <v>7.9787234042553185E-3</v>
      </c>
      <c r="H4" s="8">
        <v>1.0273972602739725E-2</v>
      </c>
      <c r="I4" s="8">
        <v>1.3186292821073507E-2</v>
      </c>
      <c r="J4" s="8">
        <f t="shared" ref="J4:J25" si="1">J3+B4</f>
        <v>1.3161449604519527E-2</v>
      </c>
      <c r="K4" s="8">
        <f t="shared" si="0"/>
        <v>3.3333333333333333E-2</v>
      </c>
      <c r="L4" s="8">
        <f t="shared" si="0"/>
        <v>1.8927444794952682E-2</v>
      </c>
      <c r="M4" s="8">
        <f t="shared" si="0"/>
        <v>2.3738872403560832E-2</v>
      </c>
      <c r="N4" s="8">
        <f t="shared" si="0"/>
        <v>1.6819571865443424E-2</v>
      </c>
      <c r="O4" s="8">
        <f t="shared" si="0"/>
        <v>2.1276595744680847E-2</v>
      </c>
      <c r="P4" s="8">
        <f t="shared" si="0"/>
        <v>2.7397260273972601E-2</v>
      </c>
    </row>
    <row r="5" spans="1:16" x14ac:dyDescent="0.3">
      <c r="A5" s="8" t="s">
        <v>81</v>
      </c>
      <c r="B5" s="8">
        <v>6.5587597662041565E-3</v>
      </c>
      <c r="C5" s="8">
        <v>1.7948717948717947E-2</v>
      </c>
      <c r="D5" s="8">
        <v>9.4637223974763408E-3</v>
      </c>
      <c r="E5" s="8">
        <v>8.9020771513353119E-3</v>
      </c>
      <c r="F5" s="8">
        <v>7.6452599388379203E-3</v>
      </c>
      <c r="G5" s="8">
        <v>1.0638297872340425E-2</v>
      </c>
      <c r="H5" s="8">
        <v>1.0273972602739725E-2</v>
      </c>
      <c r="I5" s="8">
        <v>1.9745052587277663E-2</v>
      </c>
      <c r="J5" s="8">
        <f t="shared" si="1"/>
        <v>1.9720209370723683E-2</v>
      </c>
      <c r="K5" s="8">
        <f t="shared" si="0"/>
        <v>5.128205128205128E-2</v>
      </c>
      <c r="L5" s="8">
        <f t="shared" si="0"/>
        <v>2.8391167192429023E-2</v>
      </c>
      <c r="M5" s="8">
        <f t="shared" si="0"/>
        <v>3.2640949554896145E-2</v>
      </c>
      <c r="N5" s="8">
        <f t="shared" si="0"/>
        <v>2.4464831804281342E-2</v>
      </c>
      <c r="O5" s="8">
        <f t="shared" si="0"/>
        <v>3.1914893617021274E-2</v>
      </c>
      <c r="P5" s="8">
        <f t="shared" si="0"/>
        <v>3.7671232876712327E-2</v>
      </c>
    </row>
    <row r="6" spans="1:16" x14ac:dyDescent="0.3">
      <c r="A6" s="8" t="s">
        <v>78</v>
      </c>
      <c r="B6" s="8">
        <v>7.8634829079071936E-3</v>
      </c>
      <c r="C6" s="8">
        <v>2.5641025641025641E-3</v>
      </c>
      <c r="D6" s="8">
        <v>9.4637223974763408E-3</v>
      </c>
      <c r="E6" s="8">
        <v>5.9347181008902079E-3</v>
      </c>
      <c r="F6" s="8">
        <v>1.834862385321101E-2</v>
      </c>
      <c r="G6" s="8">
        <v>7.9787234042553185E-3</v>
      </c>
      <c r="H6" s="8">
        <v>3.4246575342465752E-3</v>
      </c>
      <c r="I6" s="8">
        <v>2.7608535495184855E-2</v>
      </c>
      <c r="J6" s="8">
        <f t="shared" si="1"/>
        <v>2.7583692278630875E-2</v>
      </c>
      <c r="K6" s="8">
        <f t="shared" si="0"/>
        <v>5.3846153846153842E-2</v>
      </c>
      <c r="L6" s="8">
        <f t="shared" si="0"/>
        <v>3.7854889589905363E-2</v>
      </c>
      <c r="M6" s="8">
        <f t="shared" si="0"/>
        <v>3.857566765578635E-2</v>
      </c>
      <c r="N6" s="8">
        <f t="shared" si="0"/>
        <v>4.2813455657492352E-2</v>
      </c>
      <c r="O6" s="8">
        <f t="shared" si="0"/>
        <v>3.9893617021276591E-2</v>
      </c>
      <c r="P6" s="8">
        <f t="shared" si="0"/>
        <v>4.1095890410958902E-2</v>
      </c>
    </row>
    <row r="7" spans="1:16" x14ac:dyDescent="0.3">
      <c r="A7" s="8" t="s">
        <v>89</v>
      </c>
      <c r="B7" s="8">
        <v>7.9140024908350894E-3</v>
      </c>
      <c r="C7" s="8">
        <v>2.5641025641025641E-3</v>
      </c>
      <c r="D7" s="8">
        <v>0</v>
      </c>
      <c r="E7" s="8">
        <v>8.9020771513353119E-3</v>
      </c>
      <c r="F7" s="8">
        <v>1.3761467889908258E-2</v>
      </c>
      <c r="G7" s="8">
        <v>7.9787234042553185E-3</v>
      </c>
      <c r="H7" s="8">
        <v>6.8493150684931503E-3</v>
      </c>
      <c r="I7" s="8">
        <v>3.5522537986019946E-2</v>
      </c>
      <c r="J7" s="8">
        <f t="shared" si="1"/>
        <v>3.5497694769465966E-2</v>
      </c>
      <c r="K7" s="8">
        <f t="shared" si="0"/>
        <v>5.6410256410256404E-2</v>
      </c>
      <c r="L7" s="8">
        <f t="shared" si="0"/>
        <v>3.7854889589905363E-2</v>
      </c>
      <c r="M7" s="8">
        <f t="shared" si="0"/>
        <v>4.7477744807121663E-2</v>
      </c>
      <c r="N7" s="8">
        <f t="shared" si="0"/>
        <v>5.657492354740061E-2</v>
      </c>
      <c r="O7" s="8">
        <f t="shared" si="0"/>
        <v>4.7872340425531908E-2</v>
      </c>
      <c r="P7" s="8">
        <f t="shared" si="0"/>
        <v>4.7945205479452052E-2</v>
      </c>
    </row>
    <row r="8" spans="1:16" x14ac:dyDescent="0.3">
      <c r="A8" s="8" t="s">
        <v>122</v>
      </c>
      <c r="B8" s="8">
        <v>9.7392969870560044E-3</v>
      </c>
      <c r="C8" s="8">
        <v>1.0256410256410256E-2</v>
      </c>
      <c r="D8" s="8">
        <v>3.1545741324921135E-3</v>
      </c>
      <c r="E8" s="8">
        <v>8.9020771513353119E-3</v>
      </c>
      <c r="F8" s="8">
        <v>3.0581039755351682E-3</v>
      </c>
      <c r="G8" s="8">
        <v>1.0638297872340425E-2</v>
      </c>
      <c r="H8" s="8">
        <v>3.4246575342465752E-3</v>
      </c>
      <c r="I8" s="8">
        <v>4.5261834973075954E-2</v>
      </c>
      <c r="J8" s="8">
        <f t="shared" si="1"/>
        <v>4.5236991756521974E-2</v>
      </c>
      <c r="K8" s="8">
        <f t="shared" si="0"/>
        <v>6.6666666666666666E-2</v>
      </c>
      <c r="L8" s="8">
        <f t="shared" si="0"/>
        <v>4.1009463722397478E-2</v>
      </c>
      <c r="M8" s="8">
        <f t="shared" si="0"/>
        <v>5.6379821958456977E-2</v>
      </c>
      <c r="N8" s="8">
        <f t="shared" si="0"/>
        <v>5.9633027522935776E-2</v>
      </c>
      <c r="O8" s="8">
        <f t="shared" si="0"/>
        <v>5.8510638297872335E-2</v>
      </c>
      <c r="P8" s="8">
        <f t="shared" si="0"/>
        <v>5.1369863013698627E-2</v>
      </c>
    </row>
    <row r="9" spans="1:16" x14ac:dyDescent="0.3">
      <c r="A9" s="8" t="s">
        <v>84</v>
      </c>
      <c r="B9" s="8">
        <v>9.7524760086893682E-3</v>
      </c>
      <c r="C9" s="8">
        <v>0</v>
      </c>
      <c r="D9" s="8">
        <v>1.2618296529968454E-2</v>
      </c>
      <c r="E9" s="8">
        <v>2.6706231454005934E-2</v>
      </c>
      <c r="F9" s="8">
        <v>1.3761467889908258E-2</v>
      </c>
      <c r="G9" s="8">
        <v>3.4574468085106384E-2</v>
      </c>
      <c r="H9" s="8">
        <v>3.7671232876712327E-2</v>
      </c>
      <c r="I9" s="8">
        <v>5.5014310981765319E-2</v>
      </c>
      <c r="J9" s="8">
        <f t="shared" si="1"/>
        <v>5.4989467765211339E-2</v>
      </c>
      <c r="K9" s="8">
        <f t="shared" si="0"/>
        <v>6.6666666666666666E-2</v>
      </c>
      <c r="L9" s="8">
        <f t="shared" si="0"/>
        <v>5.362776025236593E-2</v>
      </c>
      <c r="M9" s="8">
        <f t="shared" si="0"/>
        <v>8.3086053412462918E-2</v>
      </c>
      <c r="N9" s="8">
        <f t="shared" si="0"/>
        <v>7.3394495412844041E-2</v>
      </c>
      <c r="O9" s="8">
        <f t="shared" si="0"/>
        <v>9.3085106382978719E-2</v>
      </c>
      <c r="P9" s="8">
        <f t="shared" si="0"/>
        <v>8.9041095890410954E-2</v>
      </c>
    </row>
    <row r="10" spans="1:16" x14ac:dyDescent="0.3">
      <c r="A10" s="8" t="s">
        <v>87</v>
      </c>
      <c r="B10" s="8">
        <v>9.7898165699839002E-3</v>
      </c>
      <c r="C10" s="8">
        <v>1.0256410256410256E-2</v>
      </c>
      <c r="D10" s="8">
        <v>9.4637223974763408E-3</v>
      </c>
      <c r="E10" s="8">
        <v>5.9347181008902079E-3</v>
      </c>
      <c r="F10" s="8">
        <v>6.1162079510703364E-3</v>
      </c>
      <c r="G10" s="8">
        <v>1.5957446808510637E-2</v>
      </c>
      <c r="H10" s="8">
        <v>2.0547945205479451E-2</v>
      </c>
      <c r="I10" s="8">
        <v>6.4804127551749219E-2</v>
      </c>
      <c r="J10" s="8">
        <f t="shared" si="1"/>
        <v>6.4779284335195239E-2</v>
      </c>
      <c r="K10" s="8">
        <f t="shared" si="0"/>
        <v>7.6923076923076927E-2</v>
      </c>
      <c r="L10" s="8">
        <f t="shared" si="0"/>
        <v>6.3091482649842268E-2</v>
      </c>
      <c r="M10" s="8">
        <f t="shared" si="0"/>
        <v>8.9020771513353122E-2</v>
      </c>
      <c r="N10" s="8">
        <f t="shared" si="0"/>
        <v>7.9510703363914373E-2</v>
      </c>
      <c r="O10" s="8">
        <f t="shared" si="0"/>
        <v>0.10904255319148935</v>
      </c>
      <c r="P10" s="8">
        <f t="shared" si="0"/>
        <v>0.1095890410958904</v>
      </c>
    </row>
    <row r="11" spans="1:16" x14ac:dyDescent="0.3">
      <c r="A11" s="8" t="s">
        <v>120</v>
      </c>
      <c r="B11" s="8">
        <v>1.1428408259732159E-2</v>
      </c>
      <c r="C11" s="8">
        <v>1.5384615384615385E-2</v>
      </c>
      <c r="D11" s="8">
        <v>0</v>
      </c>
      <c r="E11" s="8">
        <v>1.483679525222552E-2</v>
      </c>
      <c r="F11" s="8">
        <v>1.6819571865443424E-2</v>
      </c>
      <c r="G11" s="8">
        <v>1.8617021276595744E-2</v>
      </c>
      <c r="H11" s="8">
        <v>2.0547945205479451E-2</v>
      </c>
      <c r="I11" s="8">
        <v>7.6232535811481372E-2</v>
      </c>
      <c r="J11" s="8">
        <f t="shared" si="1"/>
        <v>7.6207692594927393E-2</v>
      </c>
      <c r="K11" s="8">
        <f t="shared" si="0"/>
        <v>9.2307692307692313E-2</v>
      </c>
      <c r="L11" s="8">
        <f t="shared" si="0"/>
        <v>6.3091482649842268E-2</v>
      </c>
      <c r="M11" s="8">
        <f t="shared" si="0"/>
        <v>0.10385756676557864</v>
      </c>
      <c r="N11" s="8">
        <f t="shared" si="0"/>
        <v>9.6330275229357804E-2</v>
      </c>
      <c r="O11" s="8">
        <f t="shared" si="0"/>
        <v>0.1276595744680851</v>
      </c>
      <c r="P11" s="8">
        <f t="shared" si="0"/>
        <v>0.13013698630136986</v>
      </c>
    </row>
    <row r="12" spans="1:16" x14ac:dyDescent="0.3">
      <c r="A12" s="8" t="s">
        <v>119</v>
      </c>
      <c r="B12" s="8">
        <v>1.3952190902521366E-2</v>
      </c>
      <c r="C12" s="8">
        <v>1.5384615384615385E-2</v>
      </c>
      <c r="D12" s="8">
        <v>3.1545741324921135E-3</v>
      </c>
      <c r="E12" s="8">
        <v>5.9347181008902079E-3</v>
      </c>
      <c r="F12" s="8">
        <v>1.5290519877675841E-2</v>
      </c>
      <c r="G12" s="8">
        <v>1.5957446808510637E-2</v>
      </c>
      <c r="H12" s="8">
        <v>1.3698630136986301E-2</v>
      </c>
      <c r="I12" s="8">
        <v>9.0184726714002739E-2</v>
      </c>
      <c r="J12" s="8">
        <f t="shared" si="1"/>
        <v>9.0159883497448759E-2</v>
      </c>
      <c r="K12" s="8">
        <f t="shared" si="0"/>
        <v>0.1076923076923077</v>
      </c>
      <c r="L12" s="8">
        <f t="shared" si="0"/>
        <v>6.6246056782334375E-2</v>
      </c>
      <c r="M12" s="8">
        <f t="shared" si="0"/>
        <v>0.10979228486646884</v>
      </c>
      <c r="N12" s="8">
        <f t="shared" si="0"/>
        <v>0.11162079510703364</v>
      </c>
      <c r="O12" s="8">
        <f t="shared" si="0"/>
        <v>0.14361702127659573</v>
      </c>
      <c r="P12" s="8">
        <f t="shared" si="0"/>
        <v>0.14383561643835616</v>
      </c>
    </row>
    <row r="13" spans="1:16" x14ac:dyDescent="0.3">
      <c r="A13" s="8" t="s">
        <v>90</v>
      </c>
      <c r="B13" s="8">
        <v>1.6557244178716318E-2</v>
      </c>
      <c r="C13" s="8">
        <v>1.0256410256410256E-2</v>
      </c>
      <c r="D13" s="8">
        <v>2.5236593059936908E-2</v>
      </c>
      <c r="E13" s="8">
        <v>3.857566765578635E-2</v>
      </c>
      <c r="F13" s="8">
        <v>1.6819571865443424E-2</v>
      </c>
      <c r="G13" s="8">
        <v>1.3297872340425532E-2</v>
      </c>
      <c r="H13" s="8">
        <v>1.7123287671232876E-2</v>
      </c>
      <c r="I13" s="8">
        <v>0.10674197089271906</v>
      </c>
      <c r="J13" s="8">
        <f t="shared" si="1"/>
        <v>0.10671712767616508</v>
      </c>
      <c r="K13" s="8">
        <f t="shared" si="0"/>
        <v>0.11794871794871796</v>
      </c>
      <c r="L13" s="8">
        <f t="shared" si="0"/>
        <v>9.148264984227128E-2</v>
      </c>
      <c r="M13" s="8">
        <f t="shared" si="0"/>
        <v>0.14836795252225521</v>
      </c>
      <c r="N13" s="8">
        <f t="shared" si="0"/>
        <v>0.12844036697247707</v>
      </c>
      <c r="O13" s="8">
        <f t="shared" si="0"/>
        <v>0.15691489361702127</v>
      </c>
      <c r="P13" s="8">
        <f t="shared" si="0"/>
        <v>0.16095890410958902</v>
      </c>
    </row>
    <row r="14" spans="1:16" x14ac:dyDescent="0.3">
      <c r="A14" s="8" t="s">
        <v>76</v>
      </c>
      <c r="B14" s="8">
        <v>1.7088798051262E-2</v>
      </c>
      <c r="C14" s="8">
        <v>3.0769230769230771E-2</v>
      </c>
      <c r="D14" s="8">
        <v>4.4164037854889593E-2</v>
      </c>
      <c r="E14" s="8">
        <v>2.6706231454005934E-2</v>
      </c>
      <c r="F14" s="8">
        <v>2.9051987767584098E-2</v>
      </c>
      <c r="G14" s="8">
        <v>2.9255319148936171E-2</v>
      </c>
      <c r="H14" s="8">
        <v>3.0821917808219176E-2</v>
      </c>
      <c r="I14" s="8">
        <v>0.12383076894398105</v>
      </c>
      <c r="J14" s="8">
        <f t="shared" si="1"/>
        <v>0.12380592572742707</v>
      </c>
      <c r="K14" s="8">
        <f t="shared" si="0"/>
        <v>0.14871794871794874</v>
      </c>
      <c r="L14" s="8">
        <f t="shared" si="0"/>
        <v>0.13564668769716087</v>
      </c>
      <c r="M14" s="8">
        <f t="shared" si="0"/>
        <v>0.17507418397626115</v>
      </c>
      <c r="N14" s="8">
        <f t="shared" si="0"/>
        <v>0.15749235474006118</v>
      </c>
      <c r="O14" s="8">
        <f t="shared" si="0"/>
        <v>0.18617021276595744</v>
      </c>
      <c r="P14" s="8">
        <f t="shared" si="0"/>
        <v>0.19178082191780821</v>
      </c>
    </row>
    <row r="15" spans="1:16" x14ac:dyDescent="0.3">
      <c r="A15" s="8" t="s">
        <v>82</v>
      </c>
      <c r="B15" s="8">
        <v>1.7820233751913703E-2</v>
      </c>
      <c r="C15" s="8">
        <v>1.7948717948717947E-2</v>
      </c>
      <c r="D15" s="8">
        <v>9.4637223974763408E-3</v>
      </c>
      <c r="E15" s="8">
        <v>2.967359050445104E-2</v>
      </c>
      <c r="F15" s="8">
        <v>2.9051987767584098E-2</v>
      </c>
      <c r="G15" s="8">
        <v>1.8617021276595744E-2</v>
      </c>
      <c r="H15" s="8">
        <v>2.3972602739726026E-2</v>
      </c>
      <c r="I15" s="8">
        <v>0.14165100269589476</v>
      </c>
      <c r="J15" s="8">
        <f t="shared" si="1"/>
        <v>0.14162615947934076</v>
      </c>
      <c r="K15" s="8">
        <f t="shared" si="0"/>
        <v>0.16666666666666669</v>
      </c>
      <c r="L15" s="8">
        <f t="shared" si="0"/>
        <v>0.14511041009463721</v>
      </c>
      <c r="M15" s="8">
        <f t="shared" si="0"/>
        <v>0.20474777448071219</v>
      </c>
      <c r="N15" s="8">
        <f t="shared" si="0"/>
        <v>0.18654434250764529</v>
      </c>
      <c r="O15" s="8">
        <f t="shared" si="0"/>
        <v>0.20478723404255317</v>
      </c>
      <c r="P15" s="8">
        <f t="shared" si="0"/>
        <v>0.21575342465753422</v>
      </c>
    </row>
    <row r="16" spans="1:16" x14ac:dyDescent="0.3">
      <c r="A16" s="8" t="s">
        <v>80</v>
      </c>
      <c r="B16" s="8">
        <v>1.9555471600306632E-2</v>
      </c>
      <c r="C16" s="8">
        <v>2.0512820512820513E-2</v>
      </c>
      <c r="D16" s="8">
        <v>2.2082018927444796E-2</v>
      </c>
      <c r="E16" s="8">
        <v>2.967359050445104E-3</v>
      </c>
      <c r="F16" s="8">
        <v>2.1406727828746176E-2</v>
      </c>
      <c r="G16" s="8">
        <v>1.5957446808510637E-2</v>
      </c>
      <c r="H16" s="8">
        <v>2.0547945205479451E-2</v>
      </c>
      <c r="I16" s="8">
        <v>0.16120647429620139</v>
      </c>
      <c r="J16" s="8">
        <f t="shared" si="1"/>
        <v>0.16118163107964739</v>
      </c>
      <c r="K16" s="8">
        <f t="shared" si="0"/>
        <v>0.18717948717948721</v>
      </c>
      <c r="L16" s="8">
        <f t="shared" si="0"/>
        <v>0.16719242902208201</v>
      </c>
      <c r="M16" s="8">
        <f t="shared" si="0"/>
        <v>0.20771513353115728</v>
      </c>
      <c r="N16" s="8">
        <f t="shared" si="0"/>
        <v>0.20795107033639146</v>
      </c>
      <c r="O16" s="8">
        <f t="shared" si="0"/>
        <v>0.2207446808510638</v>
      </c>
      <c r="P16" s="8">
        <f t="shared" si="0"/>
        <v>0.23630136986301367</v>
      </c>
    </row>
    <row r="17" spans="1:16" x14ac:dyDescent="0.3">
      <c r="A17" s="8" t="s">
        <v>83</v>
      </c>
      <c r="B17" s="8">
        <v>1.9669689787795788E-2</v>
      </c>
      <c r="C17" s="8">
        <v>1.0256410256410256E-2</v>
      </c>
      <c r="D17" s="8">
        <v>9.4637223974763408E-3</v>
      </c>
      <c r="E17" s="8">
        <v>2.3738872403560832E-2</v>
      </c>
      <c r="F17" s="8">
        <v>1.6819571865443424E-2</v>
      </c>
      <c r="G17" s="8">
        <v>1.8617021276595744E-2</v>
      </c>
      <c r="H17" s="8">
        <v>1.3698630136986301E-2</v>
      </c>
      <c r="I17" s="8">
        <v>0.18087616408399718</v>
      </c>
      <c r="J17" s="8">
        <f t="shared" si="1"/>
        <v>0.18085132086744318</v>
      </c>
      <c r="K17" s="8">
        <f t="shared" si="0"/>
        <v>0.19743589743589746</v>
      </c>
      <c r="L17" s="8">
        <f t="shared" si="0"/>
        <v>0.17665615141955834</v>
      </c>
      <c r="M17" s="8">
        <f t="shared" si="0"/>
        <v>0.2314540059347181</v>
      </c>
      <c r="N17" s="8">
        <f t="shared" si="0"/>
        <v>0.22477064220183487</v>
      </c>
      <c r="O17" s="8">
        <f t="shared" si="0"/>
        <v>0.23936170212765956</v>
      </c>
      <c r="P17" s="8">
        <f t="shared" si="0"/>
        <v>0.24999999999999997</v>
      </c>
    </row>
    <row r="18" spans="1:16" x14ac:dyDescent="0.3">
      <c r="A18" s="8" t="s">
        <v>79</v>
      </c>
      <c r="B18" s="8">
        <v>2.1736599680628375E-2</v>
      </c>
      <c r="C18" s="8">
        <v>1.282051282051282E-2</v>
      </c>
      <c r="D18" s="8">
        <v>1.2618296529968454E-2</v>
      </c>
      <c r="E18" s="8">
        <v>2.0771513353115726E-2</v>
      </c>
      <c r="F18" s="8">
        <v>1.834862385321101E-2</v>
      </c>
      <c r="G18" s="8">
        <v>5.3191489361702126E-3</v>
      </c>
      <c r="H18" s="8">
        <v>1.3698630136986301E-2</v>
      </c>
      <c r="I18" s="8">
        <v>0.20261276376462556</v>
      </c>
      <c r="J18" s="8">
        <f t="shared" si="1"/>
        <v>0.20258792054807157</v>
      </c>
      <c r="K18" s="8">
        <f t="shared" si="0"/>
        <v>0.21025641025641029</v>
      </c>
      <c r="L18" s="8">
        <f t="shared" si="0"/>
        <v>0.1892744479495268</v>
      </c>
      <c r="M18" s="8">
        <f t="shared" si="0"/>
        <v>0.25222551928783382</v>
      </c>
      <c r="N18" s="8">
        <f t="shared" si="0"/>
        <v>0.24311926605504589</v>
      </c>
      <c r="O18" s="8">
        <f t="shared" si="0"/>
        <v>0.24468085106382978</v>
      </c>
      <c r="P18" s="8">
        <f t="shared" si="0"/>
        <v>0.26369863013698625</v>
      </c>
    </row>
    <row r="19" spans="1:16" x14ac:dyDescent="0.3">
      <c r="A19" s="8" t="s">
        <v>88</v>
      </c>
      <c r="B19" s="8">
        <v>2.4009980912383669E-2</v>
      </c>
      <c r="C19" s="8">
        <v>2.564102564102564E-2</v>
      </c>
      <c r="D19" s="8">
        <v>1.5772870662460567E-2</v>
      </c>
      <c r="E19" s="8">
        <v>2.0771513353115726E-2</v>
      </c>
      <c r="F19" s="8">
        <v>1.6819571865443424E-2</v>
      </c>
      <c r="G19" s="8">
        <v>1.0638297872340425E-2</v>
      </c>
      <c r="H19" s="8">
        <v>3.4246575342465752E-3</v>
      </c>
      <c r="I19" s="8">
        <v>0.22662274467700921</v>
      </c>
      <c r="J19" s="8">
        <f t="shared" si="1"/>
        <v>0.22659790146045522</v>
      </c>
      <c r="K19" s="8">
        <f t="shared" ref="K19:P25" si="2">K18+C19</f>
        <v>0.23589743589743592</v>
      </c>
      <c r="L19" s="8">
        <f t="shared" si="2"/>
        <v>0.20504731861198738</v>
      </c>
      <c r="M19" s="8">
        <f t="shared" si="2"/>
        <v>0.27299703264094954</v>
      </c>
      <c r="N19" s="8">
        <f t="shared" si="2"/>
        <v>0.25993883792048933</v>
      </c>
      <c r="O19" s="8">
        <f t="shared" si="2"/>
        <v>0.25531914893617019</v>
      </c>
      <c r="P19" s="8">
        <f t="shared" si="2"/>
        <v>0.26712328767123283</v>
      </c>
    </row>
    <row r="20" spans="1:16" x14ac:dyDescent="0.3">
      <c r="A20" s="8" t="s">
        <v>117</v>
      </c>
      <c r="B20" s="8">
        <v>2.6070301294399575E-2</v>
      </c>
      <c r="C20" s="8">
        <v>3.8461538461538464E-2</v>
      </c>
      <c r="D20" s="8">
        <v>3.4700315457413249E-2</v>
      </c>
      <c r="E20" s="8">
        <v>1.7804154302670624E-2</v>
      </c>
      <c r="F20" s="8">
        <v>3.3639143730886847E-2</v>
      </c>
      <c r="G20" s="8">
        <v>3.7234042553191488E-2</v>
      </c>
      <c r="H20" s="8">
        <v>3.0821917808219176E-2</v>
      </c>
      <c r="I20" s="8">
        <v>0.25269304597140879</v>
      </c>
      <c r="J20" s="8">
        <f t="shared" si="1"/>
        <v>0.2526682027548548</v>
      </c>
      <c r="K20" s="8">
        <f t="shared" si="2"/>
        <v>0.27435897435897438</v>
      </c>
      <c r="L20" s="8">
        <f t="shared" si="2"/>
        <v>0.23974763406940064</v>
      </c>
      <c r="M20" s="8">
        <f t="shared" si="2"/>
        <v>0.29080118694362017</v>
      </c>
      <c r="N20" s="8">
        <f t="shared" si="2"/>
        <v>0.29357798165137616</v>
      </c>
      <c r="O20" s="8">
        <f t="shared" si="2"/>
        <v>0.29255319148936165</v>
      </c>
      <c r="P20" s="8">
        <f t="shared" si="2"/>
        <v>0.29794520547945202</v>
      </c>
    </row>
    <row r="21" spans="1:16" x14ac:dyDescent="0.3">
      <c r="A21" s="8" t="s">
        <v>85</v>
      </c>
      <c r="B21" s="8">
        <v>3.4972730407736963E-2</v>
      </c>
      <c r="C21" s="8">
        <v>3.5897435897435895E-2</v>
      </c>
      <c r="D21" s="8">
        <v>2.5236593059936908E-2</v>
      </c>
      <c r="E21" s="8">
        <v>2.0771513353115726E-2</v>
      </c>
      <c r="F21" s="8">
        <v>2.9051987767584098E-2</v>
      </c>
      <c r="G21" s="8">
        <v>4.2553191489361701E-2</v>
      </c>
      <c r="H21" s="8">
        <v>3.4246575342465752E-2</v>
      </c>
      <c r="I21" s="8">
        <v>0.28766577637914575</v>
      </c>
      <c r="J21" s="8">
        <f t="shared" si="1"/>
        <v>0.28764093316259176</v>
      </c>
      <c r="K21" s="8">
        <f t="shared" si="2"/>
        <v>0.31025641025641026</v>
      </c>
      <c r="L21" s="8">
        <f t="shared" si="2"/>
        <v>0.26498422712933756</v>
      </c>
      <c r="M21" s="8">
        <f t="shared" si="2"/>
        <v>0.31157270029673589</v>
      </c>
      <c r="N21" s="8">
        <f t="shared" si="2"/>
        <v>0.32262996941896027</v>
      </c>
      <c r="O21" s="8">
        <f t="shared" si="2"/>
        <v>0.33510638297872336</v>
      </c>
      <c r="P21" s="8">
        <f t="shared" si="2"/>
        <v>0.3321917808219178</v>
      </c>
    </row>
    <row r="22" spans="1:16" x14ac:dyDescent="0.3">
      <c r="A22" s="8" t="s">
        <v>115</v>
      </c>
      <c r="B22" s="8">
        <v>5.1097263376157831E-2</v>
      </c>
      <c r="C22" s="8">
        <v>6.9230769230769235E-2</v>
      </c>
      <c r="D22" s="8">
        <v>5.362776025236593E-2</v>
      </c>
      <c r="E22" s="8">
        <v>6.5281899109792291E-2</v>
      </c>
      <c r="F22" s="8">
        <v>2.9051987767584098E-2</v>
      </c>
      <c r="G22" s="8">
        <v>3.4574468085106384E-2</v>
      </c>
      <c r="H22" s="8">
        <v>1.3698630136986301E-2</v>
      </c>
      <c r="I22" s="8">
        <v>0.33876303975530359</v>
      </c>
      <c r="J22" s="8">
        <f t="shared" si="1"/>
        <v>0.33873819653874959</v>
      </c>
      <c r="K22" s="8">
        <f t="shared" si="2"/>
        <v>0.37948717948717947</v>
      </c>
      <c r="L22" s="8">
        <f t="shared" si="2"/>
        <v>0.31861198738170349</v>
      </c>
      <c r="M22" s="8">
        <f t="shared" si="2"/>
        <v>0.37685459940652821</v>
      </c>
      <c r="N22" s="8">
        <f t="shared" si="2"/>
        <v>0.35168195718654438</v>
      </c>
      <c r="O22" s="8">
        <f t="shared" si="2"/>
        <v>0.36968085106382975</v>
      </c>
      <c r="P22" s="8">
        <f t="shared" si="2"/>
        <v>0.3458904109589041</v>
      </c>
    </row>
    <row r="23" spans="1:16" x14ac:dyDescent="0.3">
      <c r="A23" s="8" t="s">
        <v>86</v>
      </c>
      <c r="B23" s="8">
        <v>5.4591900612604854E-2</v>
      </c>
      <c r="C23" s="8">
        <v>4.3589743589743588E-2</v>
      </c>
      <c r="D23" s="8">
        <v>7.8864353312302835E-2</v>
      </c>
      <c r="E23" s="8">
        <v>5.3412462908011868E-2</v>
      </c>
      <c r="F23" s="8">
        <v>3.669724770642202E-2</v>
      </c>
      <c r="G23" s="8">
        <v>8.7765957446808512E-2</v>
      </c>
      <c r="H23" s="8">
        <v>4.7945205479452052E-2</v>
      </c>
      <c r="I23" s="8">
        <v>0.39335494036790841</v>
      </c>
      <c r="J23" s="8">
        <f t="shared" si="1"/>
        <v>0.39333009715135447</v>
      </c>
      <c r="K23" s="8">
        <f t="shared" si="2"/>
        <v>0.42307692307692307</v>
      </c>
      <c r="L23" s="8">
        <f t="shared" si="2"/>
        <v>0.39747634069400634</v>
      </c>
      <c r="M23" s="8">
        <f t="shared" si="2"/>
        <v>0.43026706231454009</v>
      </c>
      <c r="N23" s="8">
        <f t="shared" si="2"/>
        <v>0.3883792048929664</v>
      </c>
      <c r="O23" s="8">
        <f t="shared" si="2"/>
        <v>0.45744680851063824</v>
      </c>
      <c r="P23" s="8">
        <f t="shared" si="2"/>
        <v>0.39383561643835618</v>
      </c>
    </row>
    <row r="24" spans="1:16" x14ac:dyDescent="0.3">
      <c r="A24" s="8" t="s">
        <v>121</v>
      </c>
      <c r="B24" s="8">
        <v>7.0832848272120441E-2</v>
      </c>
      <c r="C24" s="8">
        <v>5.128205128205128E-2</v>
      </c>
      <c r="D24" s="8">
        <v>4.4164037854889593E-2</v>
      </c>
      <c r="E24" s="8">
        <v>4.7477744807121663E-2</v>
      </c>
      <c r="F24" s="8">
        <v>2.4464831804281346E-2</v>
      </c>
      <c r="G24" s="8">
        <v>5.8510638297872342E-2</v>
      </c>
      <c r="H24" s="8">
        <v>3.0821917808219176E-2</v>
      </c>
      <c r="I24" s="8">
        <v>0.46418778864002885</v>
      </c>
      <c r="J24" s="8">
        <f t="shared" si="1"/>
        <v>0.46416294542347492</v>
      </c>
      <c r="K24" s="8">
        <f t="shared" si="2"/>
        <v>0.47435897435897434</v>
      </c>
      <c r="L24" s="8">
        <f t="shared" si="2"/>
        <v>0.44164037854889593</v>
      </c>
      <c r="M24" s="8">
        <f t="shared" si="2"/>
        <v>0.47774480712166179</v>
      </c>
      <c r="N24" s="8">
        <f t="shared" si="2"/>
        <v>0.41284403669724773</v>
      </c>
      <c r="O24" s="8">
        <f t="shared" si="2"/>
        <v>0.51595744680851063</v>
      </c>
      <c r="P24" s="8">
        <f t="shared" si="2"/>
        <v>0.42465753424657537</v>
      </c>
    </row>
    <row r="25" spans="1:16" x14ac:dyDescent="0.3">
      <c r="A25" s="8" t="s">
        <v>75</v>
      </c>
      <c r="B25" s="8">
        <v>0.53583705457652508</v>
      </c>
      <c r="C25" s="8">
        <v>0.52564102564102566</v>
      </c>
      <c r="D25" s="8">
        <v>0.55835962145110407</v>
      </c>
      <c r="E25" s="8">
        <v>0.52225519287833833</v>
      </c>
      <c r="F25" s="8">
        <v>0.58715596330275233</v>
      </c>
      <c r="G25" s="8">
        <v>0.48404255319148937</v>
      </c>
      <c r="H25" s="8">
        <v>0.57534246575342463</v>
      </c>
      <c r="I25" s="8">
        <v>1.0000248432165539</v>
      </c>
      <c r="J25" s="8">
        <f t="shared" si="1"/>
        <v>1</v>
      </c>
      <c r="K25" s="8">
        <f t="shared" si="2"/>
        <v>1</v>
      </c>
      <c r="L25" s="8">
        <f t="shared" ref="L25" si="3">L24+D25</f>
        <v>1</v>
      </c>
      <c r="M25" s="8">
        <f t="shared" ref="M25" si="4">M24+E25</f>
        <v>1</v>
      </c>
      <c r="N25" s="8">
        <f t="shared" ref="N25" si="5">N24+F25</f>
        <v>1</v>
      </c>
      <c r="O25" s="8">
        <f t="shared" ref="O25" si="6">O24+G25</f>
        <v>1</v>
      </c>
      <c r="P25" s="8">
        <f t="shared" ref="P25" si="7">P24+H25</f>
        <v>1</v>
      </c>
    </row>
    <row r="26" spans="1:16" x14ac:dyDescent="0.3">
      <c r="B26" s="5"/>
      <c r="C26" s="5"/>
      <c r="D26" s="5"/>
      <c r="E26" s="5"/>
      <c r="F26" s="5"/>
      <c r="G26" s="5"/>
      <c r="H26" s="5"/>
    </row>
    <row r="27" spans="1:16" ht="28.8" x14ac:dyDescent="0.3">
      <c r="B27" s="1" t="s">
        <v>99</v>
      </c>
      <c r="C27" s="2" t="s">
        <v>101</v>
      </c>
      <c r="D27" s="2" t="s">
        <v>102</v>
      </c>
      <c r="E27" s="2" t="s">
        <v>103</v>
      </c>
      <c r="F27" s="2" t="s">
        <v>104</v>
      </c>
      <c r="G27" s="2" t="s">
        <v>105</v>
      </c>
      <c r="H27" s="2" t="s">
        <v>106</v>
      </c>
      <c r="J27" s="6"/>
      <c r="K27" s="19" t="s">
        <v>107</v>
      </c>
      <c r="L27" s="19" t="s">
        <v>108</v>
      </c>
      <c r="M27" s="19" t="s">
        <v>109</v>
      </c>
      <c r="N27" s="19" t="s">
        <v>110</v>
      </c>
      <c r="O27" s="19" t="s">
        <v>111</v>
      </c>
      <c r="P27" s="19" t="s">
        <v>112</v>
      </c>
    </row>
    <row r="28" spans="1:16" x14ac:dyDescent="0.3">
      <c r="B28" s="3" t="s">
        <v>123</v>
      </c>
      <c r="C28" s="8">
        <f>C2-B2</f>
        <v>2.6022259818103593E-3</v>
      </c>
      <c r="D28" s="8">
        <f>D2-B2</f>
        <v>-2.5259791463947689E-3</v>
      </c>
      <c r="E28" s="8">
        <f>E2-B2</f>
        <v>9.3434570553856469E-3</v>
      </c>
      <c r="F28" s="8">
        <f>F2-B2</f>
        <v>-9.9692715862718484E-4</v>
      </c>
      <c r="G28" s="8">
        <f>G2-B2</f>
        <v>2.7931697897754437E-3</v>
      </c>
      <c r="H28" s="8">
        <f>H2-B2</f>
        <v>7.7479934563449565E-3</v>
      </c>
      <c r="J28" s="3" t="s">
        <v>123</v>
      </c>
      <c r="K28" s="6">
        <f>(J2-0) * ((K2+0))</f>
        <v>1.2953739212280866E-5</v>
      </c>
      <c r="L28" s="6">
        <f>(J2-0) * ((L2+0))</f>
        <v>0</v>
      </c>
      <c r="M28" s="6">
        <f>(J2-0) * ((M2+0))</f>
        <v>2.9981948325160464E-5</v>
      </c>
      <c r="N28" s="6">
        <f>(J2-0) * ((N2+0))</f>
        <v>3.8623534348543868E-6</v>
      </c>
      <c r="O28" s="6">
        <f>(J2-0) * ((O2+0))</f>
        <v>1.3436059289333878E-5</v>
      </c>
      <c r="P28" s="6">
        <f>(J2-0) * ((P2+0))</f>
        <v>2.5951840545151734E-5</v>
      </c>
    </row>
    <row r="29" spans="1:16" x14ac:dyDescent="0.3">
      <c r="B29" s="3" t="s">
        <v>124</v>
      </c>
      <c r="C29" s="8">
        <f t="shared" ref="C29:C51" si="8">C3-B3</f>
        <v>1.0200866875492208E-2</v>
      </c>
      <c r="D29" s="8">
        <f t="shared" ref="D29:D51" si="9">D3-B3</f>
        <v>7.4345480208452761E-3</v>
      </c>
      <c r="E29" s="8">
        <f t="shared" ref="E29:E51" si="10">E3-B3</f>
        <v>-2.2163894586780739E-3</v>
      </c>
      <c r="F29" s="8">
        <f t="shared" ref="F29:F51" si="11">F3-B3</f>
        <v>2.4615114297147425E-3</v>
      </c>
      <c r="G29" s="8">
        <f t="shared" ref="G29:G51" si="12">G3-B3</f>
        <v>2.7949748951321407E-3</v>
      </c>
      <c r="H29" s="8">
        <f t="shared" ref="H29:H51" si="13">H3-B3</f>
        <v>1.6655665593699725E-3</v>
      </c>
      <c r="J29" s="3" t="s">
        <v>124</v>
      </c>
      <c r="K29" s="6">
        <f>(J3-J2) * ((K3+K2))</f>
        <v>1.3291662843905583E-4</v>
      </c>
      <c r="L29" s="6">
        <f>(J3-J2) * ((L3+L2))</f>
        <v>6.5410075824898144E-5</v>
      </c>
      <c r="M29" s="6">
        <f>(J3-J2) * ((M3+M2))</f>
        <v>1.3843838748400179E-4</v>
      </c>
      <c r="N29" s="6">
        <f>(J3-J2) * ((N3+N2))</f>
        <v>5.5483546733734326E-5</v>
      </c>
      <c r="O29" s="6">
        <f>(J3-J2) * ((O3+O2))</f>
        <v>9.6505956286867671E-5</v>
      </c>
      <c r="P29" s="6">
        <f>(J3-J2) * ((P3+P2))</f>
        <v>1.4202050709926514E-4</v>
      </c>
    </row>
    <row r="30" spans="1:16" x14ac:dyDescent="0.3">
      <c r="B30" s="3" t="s">
        <v>77</v>
      </c>
      <c r="C30" s="8">
        <f t="shared" si="8"/>
        <v>7.3687908715112408E-3</v>
      </c>
      <c r="D30" s="8">
        <f t="shared" si="9"/>
        <v>8.5742631598264771E-4</v>
      </c>
      <c r="E30" s="8">
        <f t="shared" si="10"/>
        <v>3.4503552023337327E-3</v>
      </c>
      <c r="F30" s="8">
        <f t="shared" si="11"/>
        <v>2.1935379898363411E-3</v>
      </c>
      <c r="G30" s="8">
        <f t="shared" si="12"/>
        <v>2.5270014552537393E-3</v>
      </c>
      <c r="H30" s="8">
        <f t="shared" si="13"/>
        <v>4.8222506537381462E-3</v>
      </c>
      <c r="J30" s="3" t="s">
        <v>77</v>
      </c>
      <c r="K30" s="6">
        <f t="shared" ref="K30:K51" si="14">(J4-J3) * ((K4+K3))</f>
        <v>2.935542587923928E-4</v>
      </c>
      <c r="L30" s="6">
        <f t="shared" ref="L30:L51" si="15">(J4-J3) * ((L4+L3))</f>
        <v>1.7197861037859872E-4</v>
      </c>
      <c r="M30" s="6">
        <f t="shared" ref="M30:M51" si="16">(J4-J3) * ((M4+M3))</f>
        <v>2.1030381405644078E-4</v>
      </c>
      <c r="N30" s="6">
        <f t="shared" ref="N30:N51" si="17">(J4-J3) * ((N4+N3))</f>
        <v>1.4171142680890957E-4</v>
      </c>
      <c r="O30" s="6">
        <f t="shared" ref="O30:O51" si="18">(J4-J3) * ((O4+O3))</f>
        <v>1.8849038653462907E-4</v>
      </c>
      <c r="P30" s="6">
        <f t="shared" ref="P30:P51" si="19">(J4-J3) * ((P4+P3))</f>
        <v>2.4271364841445389E-4</v>
      </c>
    </row>
    <row r="31" spans="1:16" x14ac:dyDescent="0.3">
      <c r="B31" s="3" t="s">
        <v>81</v>
      </c>
      <c r="C31" s="8">
        <f t="shared" si="8"/>
        <v>1.1389958182513791E-2</v>
      </c>
      <c r="D31" s="8">
        <f t="shared" si="9"/>
        <v>2.9049626312721843E-3</v>
      </c>
      <c r="E31" s="8">
        <f t="shared" si="10"/>
        <v>2.3433173851311554E-3</v>
      </c>
      <c r="F31" s="8">
        <f t="shared" si="11"/>
        <v>1.0865001726337638E-3</v>
      </c>
      <c r="G31" s="8">
        <f t="shared" si="12"/>
        <v>4.0795381061362688E-3</v>
      </c>
      <c r="H31" s="8">
        <f t="shared" si="13"/>
        <v>3.715212836535569E-3</v>
      </c>
      <c r="J31" s="3" t="s">
        <v>81</v>
      </c>
      <c r="K31" s="6">
        <f t="shared" si="14"/>
        <v>5.5497198021727478E-4</v>
      </c>
      <c r="L31" s="6">
        <f t="shared" si="15"/>
        <v>3.1035140849546477E-4</v>
      </c>
      <c r="M31" s="6">
        <f t="shared" si="16"/>
        <v>3.6978170788688124E-4</v>
      </c>
      <c r="N31" s="6">
        <f t="shared" si="17"/>
        <v>2.70774485760722E-4</v>
      </c>
      <c r="O31" s="6">
        <f t="shared" si="18"/>
        <v>3.4887020033000826E-4</v>
      </c>
      <c r="P31" s="6">
        <f t="shared" si="19"/>
        <v>4.2676861492424304E-4</v>
      </c>
    </row>
    <row r="32" spans="1:16" x14ac:dyDescent="0.3">
      <c r="B32" s="3" t="s">
        <v>78</v>
      </c>
      <c r="C32" s="8">
        <f t="shared" si="8"/>
        <v>-5.29938034380463E-3</v>
      </c>
      <c r="D32" s="8">
        <f t="shared" si="9"/>
        <v>1.6002394895691472E-3</v>
      </c>
      <c r="E32" s="8">
        <f t="shared" si="10"/>
        <v>-1.9287648070169857E-3</v>
      </c>
      <c r="F32" s="8">
        <f t="shared" si="11"/>
        <v>1.0485140945303817E-2</v>
      </c>
      <c r="G32" s="8">
        <f t="shared" si="12"/>
        <v>1.1524049634812489E-4</v>
      </c>
      <c r="H32" s="8">
        <f t="shared" si="13"/>
        <v>-4.4388253736606185E-3</v>
      </c>
      <c r="J32" s="3" t="s">
        <v>78</v>
      </c>
      <c r="K32" s="6">
        <f t="shared" si="14"/>
        <v>8.2667384416460214E-4</v>
      </c>
      <c r="L32" s="6">
        <f t="shared" si="15"/>
        <v>5.2092473522413578E-4</v>
      </c>
      <c r="M32" s="6">
        <f t="shared" si="16"/>
        <v>5.6001065219517092E-4</v>
      </c>
      <c r="N32" s="6">
        <f t="shared" si="17"/>
        <v>5.2904166352892414E-4</v>
      </c>
      <c r="O32" s="6">
        <f t="shared" si="18"/>
        <v>5.6466499604652704E-4</v>
      </c>
      <c r="P32" s="6">
        <f t="shared" si="19"/>
        <v>6.1938392767762129E-4</v>
      </c>
    </row>
    <row r="33" spans="2:16" x14ac:dyDescent="0.3">
      <c r="B33" s="3" t="s">
        <v>89</v>
      </c>
      <c r="C33" s="8">
        <f t="shared" si="8"/>
        <v>-5.3498999267325258E-3</v>
      </c>
      <c r="D33" s="8">
        <f t="shared" si="9"/>
        <v>-7.9140024908350894E-3</v>
      </c>
      <c r="E33" s="8">
        <f t="shared" si="10"/>
        <v>9.8807466050022247E-4</v>
      </c>
      <c r="F33" s="8">
        <f t="shared" si="11"/>
        <v>5.8474653990731682E-3</v>
      </c>
      <c r="G33" s="8">
        <f t="shared" si="12"/>
        <v>6.4720913420229093E-5</v>
      </c>
      <c r="H33" s="8">
        <f t="shared" si="13"/>
        <v>-1.0646874223419391E-3</v>
      </c>
      <c r="J33" s="3" t="s">
        <v>89</v>
      </c>
      <c r="K33" s="6">
        <f t="shared" si="14"/>
        <v>8.7256950539976643E-4</v>
      </c>
      <c r="L33" s="6">
        <f t="shared" si="15"/>
        <v>5.9916738100959687E-4</v>
      </c>
      <c r="M33" s="6">
        <f t="shared" si="16"/>
        <v>6.8102692057631347E-4</v>
      </c>
      <c r="N33" s="6">
        <f t="shared" si="17"/>
        <v>7.8655988058758553E-4</v>
      </c>
      <c r="O33" s="6">
        <f t="shared" si="18"/>
        <v>6.9458000584456906E-4</v>
      </c>
      <c r="P33" s="6">
        <f t="shared" si="19"/>
        <v>7.0467145466339854E-4</v>
      </c>
    </row>
    <row r="34" spans="2:16" x14ac:dyDescent="0.3">
      <c r="B34" s="3" t="s">
        <v>125</v>
      </c>
      <c r="C34" s="8">
        <f t="shared" si="8"/>
        <v>5.1711326935425204E-4</v>
      </c>
      <c r="D34" s="8">
        <f t="shared" si="9"/>
        <v>-6.5847228545638913E-3</v>
      </c>
      <c r="E34" s="8">
        <f t="shared" si="10"/>
        <v>-8.3721983572069246E-4</v>
      </c>
      <c r="F34" s="8">
        <f t="shared" si="11"/>
        <v>-6.6811930115208366E-3</v>
      </c>
      <c r="G34" s="8">
        <f t="shared" si="12"/>
        <v>8.9900088528442092E-4</v>
      </c>
      <c r="H34" s="8">
        <f t="shared" si="13"/>
        <v>-6.3146394528094292E-3</v>
      </c>
      <c r="J34" s="3" t="s">
        <v>125</v>
      </c>
      <c r="K34" s="6">
        <f t="shared" si="14"/>
        <v>1.198682706099201E-3</v>
      </c>
      <c r="L34" s="6">
        <f t="shared" si="15"/>
        <v>7.6808335860063164E-4</v>
      </c>
      <c r="M34" s="6">
        <f t="shared" si="16"/>
        <v>1.0114996870829683E-3</v>
      </c>
      <c r="N34" s="6">
        <f t="shared" si="17"/>
        <v>1.1317837477312792E-3</v>
      </c>
      <c r="O34" s="6">
        <f t="shared" si="18"/>
        <v>1.0360954241548943E-3</v>
      </c>
      <c r="P34" s="6">
        <f t="shared" si="19"/>
        <v>9.6725894734460351E-4</v>
      </c>
    </row>
    <row r="35" spans="2:16" x14ac:dyDescent="0.3">
      <c r="B35" s="3" t="s">
        <v>84</v>
      </c>
      <c r="C35" s="8">
        <f t="shared" si="8"/>
        <v>-9.7524760086893682E-3</v>
      </c>
      <c r="D35" s="8">
        <f t="shared" si="9"/>
        <v>2.8658205212790857E-3</v>
      </c>
      <c r="E35" s="8">
        <f t="shared" si="10"/>
        <v>1.6953755445316566E-2</v>
      </c>
      <c r="F35" s="8">
        <f t="shared" si="11"/>
        <v>4.0089918812188895E-3</v>
      </c>
      <c r="G35" s="8">
        <f t="shared" si="12"/>
        <v>2.4821992076417016E-2</v>
      </c>
      <c r="H35" s="8">
        <f t="shared" si="13"/>
        <v>2.7918756868022959E-2</v>
      </c>
      <c r="J35" s="3" t="s">
        <v>84</v>
      </c>
      <c r="K35" s="6">
        <f t="shared" si="14"/>
        <v>1.3003301344919154E-3</v>
      </c>
      <c r="L35" s="6">
        <f t="shared" si="15"/>
        <v>9.2294725634284205E-4</v>
      </c>
      <c r="M35" s="6">
        <f t="shared" si="16"/>
        <v>1.3601376035857573E-3</v>
      </c>
      <c r="N35" s="6">
        <f t="shared" si="17"/>
        <v>1.297347725926567E-3</v>
      </c>
      <c r="O35" s="6">
        <f t="shared" si="18"/>
        <v>1.4784338630193983E-3</v>
      </c>
      <c r="P35" s="6">
        <f t="shared" si="19"/>
        <v>1.3693545080693972E-3</v>
      </c>
    </row>
    <row r="36" spans="2:16" x14ac:dyDescent="0.3">
      <c r="B36" s="3" t="s">
        <v>87</v>
      </c>
      <c r="C36" s="8">
        <f t="shared" si="8"/>
        <v>4.6659368642635625E-4</v>
      </c>
      <c r="D36" s="8">
        <f t="shared" si="9"/>
        <v>-3.2609417250755932E-4</v>
      </c>
      <c r="E36" s="8">
        <f t="shared" si="10"/>
        <v>-3.8550984690936922E-3</v>
      </c>
      <c r="F36" s="8">
        <f t="shared" si="11"/>
        <v>-3.6736086189135637E-3</v>
      </c>
      <c r="G36" s="8">
        <f t="shared" si="12"/>
        <v>6.1676302385267369E-3</v>
      </c>
      <c r="H36" s="8">
        <f t="shared" si="13"/>
        <v>1.0758128635495551E-2</v>
      </c>
      <c r="J36" s="3" t="s">
        <v>87</v>
      </c>
      <c r="K36" s="6">
        <f t="shared" si="14"/>
        <v>1.4057172510746111E-3</v>
      </c>
      <c r="L36" s="6">
        <f t="shared" si="15"/>
        <v>1.1426599782000135E-3</v>
      </c>
      <c r="M36" s="6">
        <f t="shared" si="16"/>
        <v>1.6848942464660719E-3</v>
      </c>
      <c r="N36" s="6">
        <f t="shared" si="17"/>
        <v>1.4969138486213914E-3</v>
      </c>
      <c r="O36" s="6">
        <f t="shared" si="18"/>
        <v>1.9787927109541923E-3</v>
      </c>
      <c r="P36" s="6">
        <f t="shared" si="19"/>
        <v>1.944552606366665E-3</v>
      </c>
    </row>
    <row r="37" spans="2:16" x14ac:dyDescent="0.3">
      <c r="B37" s="3" t="s">
        <v>126</v>
      </c>
      <c r="C37" s="8">
        <f t="shared" si="8"/>
        <v>3.9562071248832268E-3</v>
      </c>
      <c r="D37" s="8">
        <f t="shared" si="9"/>
        <v>-1.1428408259732159E-2</v>
      </c>
      <c r="E37" s="8">
        <f t="shared" si="10"/>
        <v>3.4083869924933612E-3</v>
      </c>
      <c r="F37" s="8">
        <f t="shared" si="11"/>
        <v>5.391163605711265E-3</v>
      </c>
      <c r="G37" s="8">
        <f t="shared" si="12"/>
        <v>7.1886130168635851E-3</v>
      </c>
      <c r="H37" s="8">
        <f t="shared" si="13"/>
        <v>9.1195369457472922E-3</v>
      </c>
      <c r="J37" s="3" t="s">
        <v>126</v>
      </c>
      <c r="K37" s="6">
        <f t="shared" si="14"/>
        <v>1.9340383208777492E-3</v>
      </c>
      <c r="L37" s="6">
        <f t="shared" si="15"/>
        <v>1.4420704428684105E-3</v>
      </c>
      <c r="M37" s="6">
        <f t="shared" si="16"/>
        <v>2.2042923943103561E-3</v>
      </c>
      <c r="N37" s="6">
        <f t="shared" si="17"/>
        <v>2.0095824921547369E-3</v>
      </c>
      <c r="O37" s="6">
        <f t="shared" si="18"/>
        <v>2.7051285508408549E-3</v>
      </c>
      <c r="P37" s="6">
        <f t="shared" si="19"/>
        <v>2.7396869115796259E-3</v>
      </c>
    </row>
    <row r="38" spans="2:16" x14ac:dyDescent="0.3">
      <c r="B38" s="3" t="s">
        <v>127</v>
      </c>
      <c r="C38" s="8">
        <f t="shared" si="8"/>
        <v>1.4324244820940191E-3</v>
      </c>
      <c r="D38" s="8">
        <f t="shared" si="9"/>
        <v>-1.0797616770029253E-2</v>
      </c>
      <c r="E38" s="8">
        <f t="shared" si="10"/>
        <v>-8.0174728016311585E-3</v>
      </c>
      <c r="F38" s="8">
        <f t="shared" si="11"/>
        <v>1.3383289751544743E-3</v>
      </c>
      <c r="G38" s="8">
        <f t="shared" si="12"/>
        <v>2.0052559059892706E-3</v>
      </c>
      <c r="H38" s="8">
        <f t="shared" si="13"/>
        <v>-2.5356076553506579E-4</v>
      </c>
      <c r="J38" s="3" t="s">
        <v>127</v>
      </c>
      <c r="K38" s="6">
        <f t="shared" si="14"/>
        <v>2.7904381805042735E-3</v>
      </c>
      <c r="L38" s="6">
        <f t="shared" si="15"/>
        <v>1.8045420410201132E-3</v>
      </c>
      <c r="M38" s="6">
        <f t="shared" si="16"/>
        <v>2.9808835162656922E-3</v>
      </c>
      <c r="N38" s="6">
        <f t="shared" si="17"/>
        <v>2.9013730317169811E-3</v>
      </c>
      <c r="O38" s="6">
        <f t="shared" si="18"/>
        <v>3.7849028512159022E-3</v>
      </c>
      <c r="P38" s="6">
        <f t="shared" si="19"/>
        <v>3.8225180554853056E-3</v>
      </c>
    </row>
    <row r="39" spans="2:16" x14ac:dyDescent="0.3">
      <c r="B39" s="3" t="s">
        <v>90</v>
      </c>
      <c r="C39" s="8">
        <f t="shared" si="8"/>
        <v>-6.3008339223060619E-3</v>
      </c>
      <c r="D39" s="8">
        <f t="shared" si="9"/>
        <v>8.6793488812205895E-3</v>
      </c>
      <c r="E39" s="8">
        <f t="shared" si="10"/>
        <v>2.2018423477070032E-2</v>
      </c>
      <c r="F39" s="8">
        <f t="shared" si="11"/>
        <v>2.6232768672710544E-4</v>
      </c>
      <c r="G39" s="8">
        <f t="shared" si="12"/>
        <v>-3.2593718382907862E-3</v>
      </c>
      <c r="H39" s="8">
        <f t="shared" si="13"/>
        <v>5.660434925165575E-4</v>
      </c>
      <c r="J39" s="3" t="s">
        <v>90</v>
      </c>
      <c r="K39" s="6">
        <f t="shared" si="14"/>
        <v>3.7359935582744518E-3</v>
      </c>
      <c r="L39" s="6">
        <f t="shared" si="15"/>
        <v>2.6115527095767056E-3</v>
      </c>
      <c r="M39" s="6">
        <f t="shared" si="16"/>
        <v>4.2744220876804748E-3</v>
      </c>
      <c r="N39" s="6">
        <f t="shared" si="17"/>
        <v>3.9747512783768531E-3</v>
      </c>
      <c r="O39" s="6">
        <f t="shared" si="18"/>
        <v>4.9759802983908074E-3</v>
      </c>
      <c r="P39" s="6">
        <f t="shared" si="19"/>
        <v>5.0465573010470971E-3</v>
      </c>
    </row>
    <row r="40" spans="2:16" x14ac:dyDescent="0.3">
      <c r="B40" s="3" t="s">
        <v>76</v>
      </c>
      <c r="C40" s="8">
        <f t="shared" si="8"/>
        <v>1.3680432717968771E-2</v>
      </c>
      <c r="D40" s="8">
        <f t="shared" si="9"/>
        <v>2.7075239803627592E-2</v>
      </c>
      <c r="E40" s="8">
        <f t="shared" si="10"/>
        <v>9.6174334027439336E-3</v>
      </c>
      <c r="F40" s="8">
        <f t="shared" si="11"/>
        <v>1.1963189716322098E-2</v>
      </c>
      <c r="G40" s="8">
        <f t="shared" si="12"/>
        <v>1.216652109767417E-2</v>
      </c>
      <c r="H40" s="8">
        <f t="shared" si="13"/>
        <v>1.3733119756957176E-2</v>
      </c>
      <c r="J40" s="3" t="s">
        <v>76</v>
      </c>
      <c r="K40" s="6">
        <f t="shared" si="14"/>
        <v>4.5570128136698668E-3</v>
      </c>
      <c r="L40" s="6">
        <f t="shared" si="15"/>
        <v>3.8813673807282763E-3</v>
      </c>
      <c r="M40" s="6">
        <f t="shared" si="16"/>
        <v>5.5272373518918637E-3</v>
      </c>
      <c r="N40" s="6">
        <f t="shared" si="17"/>
        <v>4.8862465375932628E-3</v>
      </c>
      <c r="O40" s="6">
        <f t="shared" si="18"/>
        <v>5.8629120973744623E-3</v>
      </c>
      <c r="P40" s="6">
        <f t="shared" si="19"/>
        <v>6.0278979427396762E-3</v>
      </c>
    </row>
    <row r="41" spans="2:16" x14ac:dyDescent="0.3">
      <c r="B41" s="3" t="s">
        <v>82</v>
      </c>
      <c r="C41" s="8">
        <f t="shared" si="8"/>
        <v>1.2848419680424467E-4</v>
      </c>
      <c r="D41" s="8">
        <f>D15-B15</f>
        <v>-8.3565113544373619E-3</v>
      </c>
      <c r="E41" s="8">
        <f>E15-B15</f>
        <v>1.1853356752537337E-2</v>
      </c>
      <c r="F41" s="8">
        <f t="shared" si="11"/>
        <v>1.1231754015670396E-2</v>
      </c>
      <c r="G41" s="8">
        <f t="shared" si="12"/>
        <v>7.9678752468204106E-4</v>
      </c>
      <c r="H41" s="8">
        <f t="shared" si="13"/>
        <v>6.1523689878123233E-3</v>
      </c>
      <c r="J41" s="3" t="s">
        <v>82</v>
      </c>
      <c r="K41" s="6">
        <f t="shared" si="14"/>
        <v>5.6202275679112408E-3</v>
      </c>
      <c r="L41" s="6">
        <f t="shared" si="15"/>
        <v>5.0031571101587322E-3</v>
      </c>
      <c r="M41" s="6">
        <f t="shared" si="16"/>
        <v>6.7685160838129145E-3</v>
      </c>
      <c r="N41" s="6">
        <f t="shared" si="17"/>
        <v>6.1308143641904903E-3</v>
      </c>
      <c r="O41" s="6">
        <f t="shared" si="18"/>
        <v>6.9669530891790215E-3</v>
      </c>
      <c r="P41" s="6">
        <f t="shared" si="19"/>
        <v>7.2623555358826324E-3</v>
      </c>
    </row>
    <row r="42" spans="2:16" x14ac:dyDescent="0.3">
      <c r="B42" s="3" t="s">
        <v>80</v>
      </c>
      <c r="C42" s="8">
        <f t="shared" si="8"/>
        <v>9.5734891251388066E-4</v>
      </c>
      <c r="D42" s="8">
        <f t="shared" si="9"/>
        <v>2.5265473271381643E-3</v>
      </c>
      <c r="E42" s="8">
        <f t="shared" si="10"/>
        <v>-1.6588112549861526E-2</v>
      </c>
      <c r="F42" s="8">
        <f t="shared" si="11"/>
        <v>1.8512562284395441E-3</v>
      </c>
      <c r="G42" s="8">
        <f t="shared" si="12"/>
        <v>-3.5980247917959951E-3</v>
      </c>
      <c r="H42" s="8">
        <f t="shared" si="13"/>
        <v>9.9247360517281877E-4</v>
      </c>
      <c r="J42" s="3" t="s">
        <v>80</v>
      </c>
      <c r="K42" s="6">
        <f t="shared" si="14"/>
        <v>6.9196284124161929E-3</v>
      </c>
      <c r="L42" s="6">
        <f t="shared" si="15"/>
        <v>6.1072293010421318E-3</v>
      </c>
      <c r="M42" s="6">
        <f t="shared" si="16"/>
        <v>8.0659066838059991E-3</v>
      </c>
      <c r="N42" s="6">
        <f t="shared" si="17"/>
        <v>7.7145438423228E-3</v>
      </c>
      <c r="O42" s="6">
        <f t="shared" si="18"/>
        <v>8.3214772767262243E-3</v>
      </c>
      <c r="P42" s="6">
        <f t="shared" si="19"/>
        <v>8.840144696029022E-3</v>
      </c>
    </row>
    <row r="43" spans="2:16" x14ac:dyDescent="0.3">
      <c r="B43" s="3" t="s">
        <v>83</v>
      </c>
      <c r="C43" s="8">
        <f t="shared" si="8"/>
        <v>-9.4132795313855312E-3</v>
      </c>
      <c r="D43" s="8">
        <f t="shared" si="9"/>
        <v>-1.0205967390319447E-2</v>
      </c>
      <c r="E43" s="8">
        <f t="shared" si="10"/>
        <v>4.0691826157650442E-3</v>
      </c>
      <c r="F43" s="8">
        <f t="shared" si="11"/>
        <v>-2.8501179223523639E-3</v>
      </c>
      <c r="G43" s="8">
        <f t="shared" si="12"/>
        <v>-1.0526685112000438E-3</v>
      </c>
      <c r="H43" s="8">
        <f t="shared" si="13"/>
        <v>-5.9710596508094869E-3</v>
      </c>
      <c r="J43" s="3" t="s">
        <v>83</v>
      </c>
      <c r="K43" s="6">
        <f t="shared" si="14"/>
        <v>7.5652653029983823E-3</v>
      </c>
      <c r="L43" s="6">
        <f t="shared" si="15"/>
        <v>6.7633949112610127E-3</v>
      </c>
      <c r="M43" s="6">
        <f t="shared" si="16"/>
        <v>8.6383207376669949E-3</v>
      </c>
      <c r="N43" s="6">
        <f t="shared" si="17"/>
        <v>8.5115018500706557E-3</v>
      </c>
      <c r="O43" s="6">
        <f t="shared" si="18"/>
        <v>9.050149822576254E-3</v>
      </c>
      <c r="P43" s="6">
        <f t="shared" si="19"/>
        <v>9.565397088585623E-3</v>
      </c>
    </row>
    <row r="44" spans="2:16" x14ac:dyDescent="0.3">
      <c r="B44" s="3" t="s">
        <v>79</v>
      </c>
      <c r="C44" s="8">
        <f t="shared" si="8"/>
        <v>-8.9160868601155553E-3</v>
      </c>
      <c r="D44" s="8">
        <f t="shared" si="9"/>
        <v>-9.1183031506599215E-3</v>
      </c>
      <c r="E44" s="8">
        <f t="shared" si="10"/>
        <v>-9.6508632751264936E-4</v>
      </c>
      <c r="F44" s="8">
        <f t="shared" si="11"/>
        <v>-3.3879758274173652E-3</v>
      </c>
      <c r="G44" s="8">
        <f t="shared" si="12"/>
        <v>-1.6417450744458162E-2</v>
      </c>
      <c r="H44" s="8">
        <f t="shared" si="13"/>
        <v>-8.0379695436420748E-3</v>
      </c>
      <c r="J44" s="3" t="s">
        <v>79</v>
      </c>
      <c r="K44" s="6">
        <f t="shared" si="14"/>
        <v>8.8618444851792655E-3</v>
      </c>
      <c r="L44" s="6">
        <f t="shared" si="15"/>
        <v>7.9540869493782088E-3</v>
      </c>
      <c r="M44" s="6">
        <f t="shared" si="16"/>
        <v>1.051354821347901E-2</v>
      </c>
      <c r="N44" s="6">
        <f t="shared" si="17"/>
        <v>1.0170335630385757E-2</v>
      </c>
      <c r="O44" s="6">
        <f t="shared" si="18"/>
        <v>1.0521439207112675E-2</v>
      </c>
      <c r="P44" s="6">
        <f t="shared" si="19"/>
        <v>1.1166061479774853E-2</v>
      </c>
    </row>
    <row r="45" spans="2:16" x14ac:dyDescent="0.3">
      <c r="B45" s="3" t="s">
        <v>88</v>
      </c>
      <c r="C45" s="8">
        <f t="shared" si="8"/>
        <v>1.6310447286419713E-3</v>
      </c>
      <c r="D45" s="8">
        <f t="shared" si="9"/>
        <v>-8.2371102499231019E-3</v>
      </c>
      <c r="E45" s="8">
        <f t="shared" si="10"/>
        <v>-3.2384675592679428E-3</v>
      </c>
      <c r="F45" s="8">
        <f t="shared" si="11"/>
        <v>-7.1904090469402451E-3</v>
      </c>
      <c r="G45" s="8">
        <f t="shared" si="12"/>
        <v>-1.3371683040043244E-2</v>
      </c>
      <c r="H45" s="8">
        <f t="shared" si="13"/>
        <v>-2.0585323378137094E-2</v>
      </c>
      <c r="J45" s="3" t="s">
        <v>88</v>
      </c>
      <c r="K45" s="6">
        <f t="shared" si="14"/>
        <v>1.0712145330140402E-2</v>
      </c>
      <c r="L45" s="6">
        <f t="shared" si="15"/>
        <v>9.4676580884793596E-3</v>
      </c>
      <c r="M45" s="6">
        <f t="shared" si="16"/>
        <v>1.2610583446563522E-2</v>
      </c>
      <c r="N45" s="6">
        <f t="shared" si="17"/>
        <v>1.2078415474272512E-2</v>
      </c>
      <c r="O45" s="6">
        <f t="shared" si="18"/>
        <v>1.2004990456191827E-2</v>
      </c>
      <c r="P45" s="6">
        <f t="shared" si="19"/>
        <v>1.2745024114450226E-2</v>
      </c>
    </row>
    <row r="46" spans="2:16" x14ac:dyDescent="0.3">
      <c r="B46" s="3" t="s">
        <v>128</v>
      </c>
      <c r="C46" s="8">
        <f t="shared" si="8"/>
        <v>1.2391237167138889E-2</v>
      </c>
      <c r="D46" s="8">
        <f t="shared" si="9"/>
        <v>8.6300141630136738E-3</v>
      </c>
      <c r="E46" s="8">
        <f t="shared" si="10"/>
        <v>-8.266146991728951E-3</v>
      </c>
      <c r="F46" s="8">
        <f t="shared" si="11"/>
        <v>7.5688424364872726E-3</v>
      </c>
      <c r="G46" s="8">
        <f t="shared" si="12"/>
        <v>1.1163741258791913E-2</v>
      </c>
      <c r="H46" s="8">
        <f t="shared" si="13"/>
        <v>4.7516165138196016E-3</v>
      </c>
      <c r="J46" s="3" t="s">
        <v>128</v>
      </c>
      <c r="K46" s="6">
        <f t="shared" si="14"/>
        <v>1.3302538352783376E-2</v>
      </c>
      <c r="L46" s="6">
        <f t="shared" si="15"/>
        <v>1.1595938430631988E-2</v>
      </c>
      <c r="M46" s="6">
        <f t="shared" si="16"/>
        <v>1.4698389453815785E-2</v>
      </c>
      <c r="N46" s="6">
        <f t="shared" si="17"/>
        <v>1.4430350257756342E-2</v>
      </c>
      <c r="O46" s="6">
        <f t="shared" si="18"/>
        <v>1.428319698576147E-2</v>
      </c>
      <c r="P46" s="6">
        <f t="shared" si="19"/>
        <v>1.4731505868410719E-2</v>
      </c>
    </row>
    <row r="47" spans="2:16" x14ac:dyDescent="0.3">
      <c r="B47" s="3" t="s">
        <v>85</v>
      </c>
      <c r="C47" s="8">
        <f t="shared" si="8"/>
        <v>9.2470548969893207E-4</v>
      </c>
      <c r="D47" s="8">
        <f t="shared" si="9"/>
        <v>-9.736137347800055E-3</v>
      </c>
      <c r="E47" s="8">
        <f t="shared" si="10"/>
        <v>-1.4201217054621237E-2</v>
      </c>
      <c r="F47" s="8">
        <f t="shared" si="11"/>
        <v>-5.9207426401528644E-3</v>
      </c>
      <c r="G47" s="8">
        <f t="shared" si="12"/>
        <v>7.5804610816247384E-3</v>
      </c>
      <c r="H47" s="8">
        <f t="shared" si="13"/>
        <v>-7.2615506527121121E-4</v>
      </c>
      <c r="J47" s="3" t="s">
        <v>85</v>
      </c>
      <c r="K47" s="6">
        <f t="shared" si="14"/>
        <v>2.0445596238369303E-2</v>
      </c>
      <c r="L47" s="6">
        <f t="shared" si="15"/>
        <v>1.765185130989878E-2</v>
      </c>
      <c r="M47" s="6">
        <f t="shared" si="16"/>
        <v>2.1066659563117519E-2</v>
      </c>
      <c r="N47" s="6">
        <f t="shared" si="17"/>
        <v>2.1550474547886847E-2</v>
      </c>
      <c r="O47" s="6">
        <f t="shared" si="18"/>
        <v>2.1950969085707241E-2</v>
      </c>
      <c r="P47" s="6">
        <f t="shared" si="19"/>
        <v>2.2037610941861647E-2</v>
      </c>
    </row>
    <row r="48" spans="2:16" x14ac:dyDescent="0.3">
      <c r="B48" s="3" t="s">
        <v>129</v>
      </c>
      <c r="C48" s="8">
        <f t="shared" si="8"/>
        <v>1.8133505854611404E-2</v>
      </c>
      <c r="D48" s="8">
        <f t="shared" si="9"/>
        <v>2.5304968762080993E-3</v>
      </c>
      <c r="E48" s="8">
        <f t="shared" si="10"/>
        <v>1.418463573363446E-2</v>
      </c>
      <c r="F48" s="8">
        <f t="shared" si="11"/>
        <v>-2.2045275608573733E-2</v>
      </c>
      <c r="G48" s="8">
        <f t="shared" si="12"/>
        <v>-1.6522795291051447E-2</v>
      </c>
      <c r="H48" s="8">
        <f t="shared" si="13"/>
        <v>-3.739863323917153E-2</v>
      </c>
      <c r="J48" s="3" t="s">
        <v>129</v>
      </c>
      <c r="K48" s="6">
        <f t="shared" si="14"/>
        <v>3.5244009867144759E-2</v>
      </c>
      <c r="L48" s="6">
        <f t="shared" si="15"/>
        <v>2.9820169478199366E-2</v>
      </c>
      <c r="M48" s="6">
        <f t="shared" si="16"/>
        <v>3.5176751048274828E-2</v>
      </c>
      <c r="N48" s="6">
        <f t="shared" si="17"/>
        <v>3.4455494111445883E-2</v>
      </c>
      <c r="O48" s="6">
        <f t="shared" si="18"/>
        <v>3.6012698922026132E-2</v>
      </c>
      <c r="P48" s="6">
        <f t="shared" si="19"/>
        <v>3.4648144344107026E-2</v>
      </c>
    </row>
    <row r="49" spans="2:16" x14ac:dyDescent="0.3">
      <c r="B49" s="3" t="s">
        <v>86</v>
      </c>
      <c r="C49" s="8">
        <f t="shared" si="8"/>
        <v>-1.1002157022861267E-2</v>
      </c>
      <c r="D49" s="8">
        <f t="shared" si="9"/>
        <v>2.427245269969798E-2</v>
      </c>
      <c r="E49" s="8">
        <f t="shared" si="10"/>
        <v>-1.1794377045929866E-3</v>
      </c>
      <c r="F49" s="8">
        <f t="shared" si="11"/>
        <v>-1.7894652906182834E-2</v>
      </c>
      <c r="G49" s="8">
        <f t="shared" si="12"/>
        <v>3.3174056834203658E-2</v>
      </c>
      <c r="H49" s="8">
        <f t="shared" si="13"/>
        <v>-6.6466951331528024E-3</v>
      </c>
      <c r="J49" s="3" t="s">
        <v>86</v>
      </c>
      <c r="K49" s="6">
        <f t="shared" si="14"/>
        <v>4.3813499722423918E-2</v>
      </c>
      <c r="L49" s="6">
        <f t="shared" si="15"/>
        <v>3.9092622836155548E-2</v>
      </c>
      <c r="M49" s="6">
        <f t="shared" si="16"/>
        <v>4.4062305538957063E-2</v>
      </c>
      <c r="N49" s="6">
        <f t="shared" si="17"/>
        <v>4.0401345407493523E-2</v>
      </c>
      <c r="O49" s="6">
        <f t="shared" si="18"/>
        <v>4.515447098542584E-2</v>
      </c>
      <c r="P49" s="6">
        <f t="shared" si="19"/>
        <v>4.038304976822827E-2</v>
      </c>
    </row>
    <row r="50" spans="2:16" x14ac:dyDescent="0.3">
      <c r="B50" s="3" t="s">
        <v>130</v>
      </c>
      <c r="C50" s="8">
        <f t="shared" si="8"/>
        <v>-1.9550796990069161E-2</v>
      </c>
      <c r="D50" s="8">
        <f t="shared" si="9"/>
        <v>-2.6668810417230848E-2</v>
      </c>
      <c r="E50" s="8">
        <f t="shared" si="10"/>
        <v>-2.3355103464998778E-2</v>
      </c>
      <c r="F50" s="8">
        <f t="shared" si="11"/>
        <v>-4.6368016467839099E-2</v>
      </c>
      <c r="G50" s="8">
        <f t="shared" si="12"/>
        <v>-1.2322209974248099E-2</v>
      </c>
      <c r="H50" s="8">
        <f t="shared" si="13"/>
        <v>-4.0010930463901265E-2</v>
      </c>
      <c r="J50" s="3" t="s">
        <v>130</v>
      </c>
      <c r="K50" s="6">
        <f t="shared" si="14"/>
        <v>6.3567940757031163E-2</v>
      </c>
      <c r="L50" s="6">
        <f t="shared" si="15"/>
        <v>5.9437027256731986E-2</v>
      </c>
      <c r="M50" s="6">
        <f t="shared" si="16"/>
        <v>6.4317066977058926E-2</v>
      </c>
      <c r="N50" s="6">
        <f t="shared" si="17"/>
        <v>5.6752924303656131E-2</v>
      </c>
      <c r="O50" s="6">
        <f t="shared" si="18"/>
        <v>6.8948995924457662E-2</v>
      </c>
      <c r="P50" s="6">
        <f t="shared" si="19"/>
        <v>5.7976201154235567E-2</v>
      </c>
    </row>
    <row r="51" spans="2:16" x14ac:dyDescent="0.3">
      <c r="B51" s="3" t="s">
        <v>75</v>
      </c>
      <c r="C51" s="8">
        <f t="shared" si="8"/>
        <v>-1.0196028935499424E-2</v>
      </c>
      <c r="D51" s="8">
        <f t="shared" si="9"/>
        <v>2.2522566874578986E-2</v>
      </c>
      <c r="E51" s="8">
        <f t="shared" si="10"/>
        <v>-1.3581861698186759E-2</v>
      </c>
      <c r="F51" s="8">
        <f t="shared" si="11"/>
        <v>5.1318908726227241E-2</v>
      </c>
      <c r="G51" s="8">
        <f t="shared" si="12"/>
        <v>-5.1794501385035718E-2</v>
      </c>
      <c r="H51" s="8">
        <f t="shared" si="13"/>
        <v>3.9505411176899541E-2</v>
      </c>
      <c r="J51" s="3" t="s">
        <v>75</v>
      </c>
      <c r="K51" s="6">
        <f t="shared" si="14"/>
        <v>0.7900161702089793</v>
      </c>
      <c r="L51" s="6">
        <f t="shared" si="15"/>
        <v>0.772484334200227</v>
      </c>
      <c r="M51" s="6">
        <f t="shared" si="16"/>
        <v>0.79183042486382649</v>
      </c>
      <c r="N51" s="6">
        <f t="shared" si="17"/>
        <v>0.75705418719986106</v>
      </c>
      <c r="O51" s="6">
        <f t="shared" si="18"/>
        <v>0.81230617316122156</v>
      </c>
      <c r="P51" s="6">
        <f t="shared" si="19"/>
        <v>0.76338429693093979</v>
      </c>
    </row>
    <row r="52" spans="2:16" x14ac:dyDescent="0.3">
      <c r="J52" s="20" t="s">
        <v>114</v>
      </c>
      <c r="K52" s="19">
        <f>SUM(K28:K51)</f>
        <v>1.0256847191665948</v>
      </c>
      <c r="L52" s="19">
        <f t="shared" ref="L52:P52" si="20">SUM(L28:L51)</f>
        <v>0.9796185252504338</v>
      </c>
      <c r="M52" s="19">
        <f t="shared" si="20"/>
        <v>1.0387813829281862</v>
      </c>
      <c r="N52" s="19">
        <f t="shared" si="20"/>
        <v>0.98873581900831775</v>
      </c>
      <c r="O52" s="19">
        <f t="shared" si="20"/>
        <v>1.0692503083166685</v>
      </c>
      <c r="P52" s="19">
        <f t="shared" si="20"/>
        <v>1.0068191281884618</v>
      </c>
    </row>
    <row r="53" spans="2:16" x14ac:dyDescent="0.3">
      <c r="J53" s="23" t="s">
        <v>113</v>
      </c>
      <c r="K53" s="24">
        <f>1-K52</f>
        <v>-2.5684719166594761E-2</v>
      </c>
      <c r="L53" s="24">
        <f t="shared" ref="L53:P53" si="21">1-L52</f>
        <v>2.0381474749566197E-2</v>
      </c>
      <c r="M53" s="24">
        <f t="shared" si="21"/>
        <v>-3.8781382928186225E-2</v>
      </c>
      <c r="N53" s="24">
        <f t="shared" si="21"/>
        <v>1.1264180991682249E-2</v>
      </c>
      <c r="O53" s="24">
        <f t="shared" si="21"/>
        <v>-6.9250308316668452E-2</v>
      </c>
      <c r="P53" s="24">
        <f t="shared" si="21"/>
        <v>-6.8191281884617538E-3</v>
      </c>
    </row>
  </sheetData>
  <sortState xmlns:xlrd2="http://schemas.microsoft.com/office/spreadsheetml/2017/richdata2" ref="A2:P24">
    <sortCondition ref="B1:B24"/>
  </sortState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E2F3-6A43-4C81-AEBD-D77CA671AEA2}">
  <dimension ref="A1:P19"/>
  <sheetViews>
    <sheetView tabSelected="1" zoomScale="94" zoomScaleNormal="94" workbookViewId="0">
      <selection activeCell="J10" sqref="J10"/>
    </sheetView>
  </sheetViews>
  <sheetFormatPr defaultRowHeight="14.4" x14ac:dyDescent="0.3"/>
  <cols>
    <col min="1" max="1" width="16.6640625" customWidth="1"/>
    <col min="2" max="15" width="10.21875" customWidth="1"/>
    <col min="16" max="16" width="11.5546875" customWidth="1"/>
  </cols>
  <sheetData>
    <row r="1" spans="1:16" ht="25.8" customHeight="1" x14ac:dyDescent="0.3">
      <c r="A1" s="1" t="s">
        <v>99</v>
      </c>
      <c r="B1" s="10" t="s">
        <v>98</v>
      </c>
      <c r="C1" s="2" t="s">
        <v>0</v>
      </c>
      <c r="D1" s="2" t="s">
        <v>1</v>
      </c>
      <c r="E1" s="2" t="s">
        <v>2</v>
      </c>
      <c r="F1" s="10" t="s">
        <v>3</v>
      </c>
      <c r="G1" s="2" t="s">
        <v>4</v>
      </c>
      <c r="H1" s="2" t="s">
        <v>5</v>
      </c>
      <c r="I1" s="13" t="s">
        <v>98</v>
      </c>
      <c r="J1" s="16" t="s">
        <v>98</v>
      </c>
      <c r="K1" s="17" t="s">
        <v>0</v>
      </c>
      <c r="L1" s="17" t="s">
        <v>1</v>
      </c>
      <c r="M1" s="17" t="s">
        <v>2</v>
      </c>
      <c r="N1" s="16" t="s">
        <v>3</v>
      </c>
      <c r="O1" s="17" t="s">
        <v>4</v>
      </c>
      <c r="P1" s="17" t="s">
        <v>5</v>
      </c>
    </row>
    <row r="2" spans="1:16" x14ac:dyDescent="0.3">
      <c r="A2" s="25" t="s">
        <v>96</v>
      </c>
      <c r="B2" s="8">
        <v>1.2826204047327332E-2</v>
      </c>
      <c r="C2" s="8">
        <v>3.7243947858472998E-3</v>
      </c>
      <c r="D2" s="8">
        <v>2.2026431718061676E-3</v>
      </c>
      <c r="E2" s="8">
        <v>2.9850746268656717E-3</v>
      </c>
      <c r="F2" s="8">
        <v>9.4043887147335428E-3</v>
      </c>
      <c r="G2" s="8">
        <v>1.6447368421052631E-2</v>
      </c>
      <c r="H2" s="8">
        <v>6.993006993006993E-3</v>
      </c>
      <c r="I2" s="8">
        <v>1.2826204047327332E-2</v>
      </c>
      <c r="J2" s="8">
        <v>1.2826204047327332E-2</v>
      </c>
      <c r="K2" s="8">
        <v>3.7243947858472998E-3</v>
      </c>
      <c r="L2" s="8">
        <v>2.2026431718061676E-3</v>
      </c>
      <c r="M2" s="8">
        <v>2.9850746268656717E-3</v>
      </c>
      <c r="N2" s="8">
        <v>9.4043887147335428E-3</v>
      </c>
      <c r="O2" s="8">
        <v>1.6447368421052631E-2</v>
      </c>
      <c r="P2" s="8">
        <v>6.993006993006993E-3</v>
      </c>
    </row>
    <row r="3" spans="1:16" x14ac:dyDescent="0.3">
      <c r="A3" s="25" t="s">
        <v>92</v>
      </c>
      <c r="B3" s="8">
        <v>2.0322460358328746E-2</v>
      </c>
      <c r="C3" s="8">
        <v>2.4208566108007448E-2</v>
      </c>
      <c r="D3" s="8">
        <v>2.643171806167401E-2</v>
      </c>
      <c r="E3" s="8">
        <v>1.7910447761194031E-2</v>
      </c>
      <c r="F3" s="8">
        <v>7.8369905956112845E-3</v>
      </c>
      <c r="G3" s="8">
        <v>1.9736842105263157E-2</v>
      </c>
      <c r="H3" s="8">
        <v>1.7482517482517484E-2</v>
      </c>
      <c r="I3" s="8">
        <v>3.3148664405656079E-2</v>
      </c>
      <c r="J3" s="8">
        <f>J2+B3</f>
        <v>3.3148664405656079E-2</v>
      </c>
      <c r="K3" s="8">
        <f t="shared" ref="K3:P8" si="0">K2+C3</f>
        <v>2.7932960893854747E-2</v>
      </c>
      <c r="L3" s="8">
        <f t="shared" si="0"/>
        <v>2.8634361233480177E-2</v>
      </c>
      <c r="M3" s="8">
        <f t="shared" si="0"/>
        <v>2.0895522388059702E-2</v>
      </c>
      <c r="N3" s="8">
        <f t="shared" si="0"/>
        <v>1.7241379310344827E-2</v>
      </c>
      <c r="O3" s="8">
        <f t="shared" si="0"/>
        <v>3.6184210526315791E-2</v>
      </c>
      <c r="P3" s="8">
        <f t="shared" si="0"/>
        <v>2.4475524475524476E-2</v>
      </c>
    </row>
    <row r="4" spans="1:16" x14ac:dyDescent="0.3">
      <c r="A4" s="25" t="s">
        <v>97</v>
      </c>
      <c r="B4" s="8">
        <v>7.2476635237435708E-2</v>
      </c>
      <c r="C4" s="8">
        <v>3.7243947858473E-2</v>
      </c>
      <c r="D4" s="8">
        <v>3.7444933920704845E-2</v>
      </c>
      <c r="E4" s="8">
        <v>5.3731343283582089E-2</v>
      </c>
      <c r="F4" s="8">
        <v>5.7993730407523508E-2</v>
      </c>
      <c r="G4" s="8">
        <v>9.2105263157894732E-2</v>
      </c>
      <c r="H4" s="8">
        <v>4.8951048951048952E-2</v>
      </c>
      <c r="I4" s="8">
        <v>0.10562529964309178</v>
      </c>
      <c r="J4" s="8">
        <f t="shared" ref="J4:J8" si="1">J3+B4</f>
        <v>0.10562529964309178</v>
      </c>
      <c r="K4" s="8">
        <f t="shared" si="0"/>
        <v>6.5176908752327747E-2</v>
      </c>
      <c r="L4" s="8">
        <f t="shared" si="0"/>
        <v>6.6079295154185022E-2</v>
      </c>
      <c r="M4" s="8">
        <f t="shared" si="0"/>
        <v>7.4626865671641784E-2</v>
      </c>
      <c r="N4" s="8">
        <f t="shared" si="0"/>
        <v>7.5235109717868343E-2</v>
      </c>
      <c r="O4" s="8">
        <f t="shared" si="0"/>
        <v>0.12828947368421051</v>
      </c>
      <c r="P4" s="8">
        <f t="shared" si="0"/>
        <v>7.3426573426573424E-2</v>
      </c>
    </row>
    <row r="5" spans="1:16" x14ac:dyDescent="0.3">
      <c r="A5" s="25" t="s">
        <v>94</v>
      </c>
      <c r="B5" s="8">
        <v>0.11384661825026191</v>
      </c>
      <c r="C5" s="8">
        <v>4.2830540037243951E-2</v>
      </c>
      <c r="D5" s="8">
        <v>5.9471365638766517E-2</v>
      </c>
      <c r="E5" s="8">
        <v>4.7761194029850747E-2</v>
      </c>
      <c r="F5" s="8">
        <v>5.0156739811912224E-2</v>
      </c>
      <c r="G5" s="8">
        <v>9.2105263157894732E-2</v>
      </c>
      <c r="H5" s="8">
        <v>4.5454545454545456E-2</v>
      </c>
      <c r="I5" s="8">
        <v>0.21947191789335369</v>
      </c>
      <c r="J5" s="8">
        <f t="shared" si="1"/>
        <v>0.21947191789335369</v>
      </c>
      <c r="K5" s="8">
        <f t="shared" si="0"/>
        <v>0.10800744878957169</v>
      </c>
      <c r="L5" s="8">
        <f t="shared" si="0"/>
        <v>0.12555066079295155</v>
      </c>
      <c r="M5" s="8">
        <f t="shared" si="0"/>
        <v>0.12238805970149252</v>
      </c>
      <c r="N5" s="8">
        <f t="shared" si="0"/>
        <v>0.12539184952978055</v>
      </c>
      <c r="O5" s="8">
        <f t="shared" si="0"/>
        <v>0.22039473684210525</v>
      </c>
      <c r="P5" s="8">
        <f t="shared" si="0"/>
        <v>0.11888111888111888</v>
      </c>
    </row>
    <row r="6" spans="1:16" x14ac:dyDescent="0.3">
      <c r="A6" s="25" t="s">
        <v>95</v>
      </c>
      <c r="B6" s="8">
        <v>0.19280442258406283</v>
      </c>
      <c r="C6" s="8">
        <v>0.13594040968342644</v>
      </c>
      <c r="D6" s="8">
        <v>0.1277533039647577</v>
      </c>
      <c r="E6" s="8">
        <v>0.17910447761194029</v>
      </c>
      <c r="F6" s="8">
        <v>0.11442006269592477</v>
      </c>
      <c r="G6" s="8">
        <v>0.13815789473684212</v>
      </c>
      <c r="H6" s="8">
        <v>0.12937062937062938</v>
      </c>
      <c r="I6" s="8">
        <v>0.41227634047741651</v>
      </c>
      <c r="J6" s="8">
        <f t="shared" si="1"/>
        <v>0.41227634047741651</v>
      </c>
      <c r="K6" s="8">
        <f t="shared" si="0"/>
        <v>0.24394785847299813</v>
      </c>
      <c r="L6" s="8">
        <f t="shared" si="0"/>
        <v>0.25330396475770922</v>
      </c>
      <c r="M6" s="8">
        <f t="shared" si="0"/>
        <v>0.30149253731343284</v>
      </c>
      <c r="N6" s="8">
        <f t="shared" si="0"/>
        <v>0.2398119122257053</v>
      </c>
      <c r="O6" s="8">
        <f t="shared" si="0"/>
        <v>0.35855263157894735</v>
      </c>
      <c r="P6" s="8">
        <f t="shared" si="0"/>
        <v>0.24825174825174826</v>
      </c>
    </row>
    <row r="7" spans="1:16" x14ac:dyDescent="0.3">
      <c r="A7" s="25" t="s">
        <v>93</v>
      </c>
      <c r="B7" s="8">
        <v>0.19752472610401833</v>
      </c>
      <c r="C7" s="8">
        <v>0.1787709497206704</v>
      </c>
      <c r="D7" s="8">
        <v>0.20044052863436124</v>
      </c>
      <c r="E7" s="8">
        <v>0.2537313432835821</v>
      </c>
      <c r="F7" s="8">
        <v>0.21630094043887146</v>
      </c>
      <c r="G7" s="8">
        <v>0.21710526315789475</v>
      </c>
      <c r="H7" s="8">
        <v>0.16783216783216784</v>
      </c>
      <c r="I7" s="8">
        <v>0.60980106658143485</v>
      </c>
      <c r="J7" s="8">
        <f t="shared" si="1"/>
        <v>0.60980106658143485</v>
      </c>
      <c r="K7" s="8">
        <f t="shared" si="0"/>
        <v>0.42271880819366853</v>
      </c>
      <c r="L7" s="8">
        <f t="shared" si="0"/>
        <v>0.45374449339207046</v>
      </c>
      <c r="M7" s="8">
        <f t="shared" si="0"/>
        <v>0.55522388059701488</v>
      </c>
      <c r="N7" s="8">
        <f t="shared" si="0"/>
        <v>0.4561128526645768</v>
      </c>
      <c r="O7" s="8">
        <f t="shared" si="0"/>
        <v>0.57565789473684204</v>
      </c>
      <c r="P7" s="8">
        <f t="shared" si="0"/>
        <v>0.41608391608391609</v>
      </c>
    </row>
    <row r="8" spans="1:16" x14ac:dyDescent="0.3">
      <c r="A8" s="25" t="s">
        <v>91</v>
      </c>
      <c r="B8" s="8">
        <v>0.39019893341856515</v>
      </c>
      <c r="C8" s="8">
        <v>0.57728119180633142</v>
      </c>
      <c r="D8" s="8">
        <v>0.54625550660792954</v>
      </c>
      <c r="E8" s="8">
        <v>0.44477611940298506</v>
      </c>
      <c r="F8" s="8">
        <v>0.5438871473354232</v>
      </c>
      <c r="G8" s="8">
        <v>0.42434210526315791</v>
      </c>
      <c r="H8" s="8">
        <v>0.58391608391608396</v>
      </c>
      <c r="I8" s="8">
        <v>1</v>
      </c>
      <c r="J8" s="8">
        <f t="shared" si="1"/>
        <v>1</v>
      </c>
      <c r="K8" s="8">
        <f t="shared" si="0"/>
        <v>1</v>
      </c>
      <c r="L8" s="8">
        <f t="shared" si="0"/>
        <v>1</v>
      </c>
      <c r="M8" s="8">
        <f t="shared" si="0"/>
        <v>1</v>
      </c>
      <c r="N8" s="8">
        <f t="shared" si="0"/>
        <v>1</v>
      </c>
      <c r="O8" s="8">
        <f t="shared" si="0"/>
        <v>1</v>
      </c>
      <c r="P8" s="8">
        <f t="shared" si="0"/>
        <v>1</v>
      </c>
    </row>
    <row r="10" spans="1:16" ht="28.8" x14ac:dyDescent="0.3">
      <c r="B10" s="1" t="s">
        <v>99</v>
      </c>
      <c r="C10" s="2" t="s">
        <v>101</v>
      </c>
      <c r="D10" s="2" t="s">
        <v>102</v>
      </c>
      <c r="E10" s="2" t="s">
        <v>103</v>
      </c>
      <c r="F10" s="2" t="s">
        <v>104</v>
      </c>
      <c r="G10" s="2" t="s">
        <v>105</v>
      </c>
      <c r="H10" s="2" t="s">
        <v>106</v>
      </c>
      <c r="J10" s="6"/>
      <c r="K10" s="19" t="s">
        <v>107</v>
      </c>
      <c r="L10" s="19" t="s">
        <v>108</v>
      </c>
      <c r="M10" s="19" t="s">
        <v>109</v>
      </c>
      <c r="N10" s="19" t="s">
        <v>110</v>
      </c>
      <c r="O10" s="19" t="s">
        <v>111</v>
      </c>
      <c r="P10" s="19" t="s">
        <v>112</v>
      </c>
    </row>
    <row r="11" spans="1:16" x14ac:dyDescent="0.3">
      <c r="B11" s="25" t="s">
        <v>96</v>
      </c>
      <c r="C11" s="8">
        <f>C2-B2</f>
        <v>-9.1018092614800327E-3</v>
      </c>
      <c r="D11" s="8">
        <f>D2-B2</f>
        <v>-1.0623560875521165E-2</v>
      </c>
      <c r="E11" s="8">
        <f>E2-B2</f>
        <v>-9.8411294204616608E-3</v>
      </c>
      <c r="F11" s="8">
        <f>F2-B2</f>
        <v>-3.4218153325937892E-3</v>
      </c>
      <c r="G11" s="8">
        <f>G2-B2</f>
        <v>3.6211643737252986E-3</v>
      </c>
      <c r="H11" s="8">
        <f>H2-B2</f>
        <v>-5.8331970543203391E-3</v>
      </c>
      <c r="J11" s="6" t="s">
        <v>96</v>
      </c>
      <c r="K11" s="6">
        <f>(J2-0) * ((K2+0))</f>
        <v>4.7769847476079449E-5</v>
      </c>
      <c r="L11" s="6">
        <f>(J2-0) * ((L2+0))</f>
        <v>2.8251550765038178E-5</v>
      </c>
      <c r="M11" s="6">
        <f>(J2-0) * ((M2+0))</f>
        <v>3.82871762606786E-5</v>
      </c>
      <c r="N11" s="6">
        <f>(J2-0) * ((N2+0))</f>
        <v>1.2062260859555485E-4</v>
      </c>
      <c r="O11" s="6">
        <f>(J2-0) * ((O2+0))</f>
        <v>2.1095730340998901E-4</v>
      </c>
      <c r="P11" s="6">
        <f>(J2-0) * ((P2+0))</f>
        <v>8.9693734596694628E-5</v>
      </c>
    </row>
    <row r="12" spans="1:16" x14ac:dyDescent="0.3">
      <c r="B12" s="25" t="s">
        <v>92</v>
      </c>
      <c r="C12" s="8">
        <f t="shared" ref="C12:C17" si="2">C3-B3</f>
        <v>3.8861057496787019E-3</v>
      </c>
      <c r="D12" s="8">
        <f t="shared" ref="D12:D17" si="3">D3-B3</f>
        <v>6.1092577033452639E-3</v>
      </c>
      <c r="E12" s="8">
        <f t="shared" ref="E12:E17" si="4">E3-B3</f>
        <v>-2.4120125971347148E-3</v>
      </c>
      <c r="F12" s="8">
        <f t="shared" ref="F12:F17" si="5">F3-B3</f>
        <v>-1.2485469762717461E-2</v>
      </c>
      <c r="G12" s="8">
        <f t="shared" ref="G12:G17" si="6">G3-B3</f>
        <v>-5.8561825306558887E-4</v>
      </c>
      <c r="H12" s="8">
        <f t="shared" ref="H12:H17" si="7">H3-B3</f>
        <v>-2.8399428758112619E-3</v>
      </c>
      <c r="J12" s="6" t="s">
        <v>92</v>
      </c>
      <c r="K12" s="6">
        <f>(J3-J2) * ((K3+K2))</f>
        <v>6.4335535585025841E-4</v>
      </c>
      <c r="L12" s="6">
        <f>(J3-J2) * ((L3+L2))</f>
        <v>6.266837995960407E-4</v>
      </c>
      <c r="M12" s="6">
        <f>(J3-J2) * ((M3+M2))</f>
        <v>4.8531248616904475E-4</v>
      </c>
      <c r="N12" s="6">
        <f>(J3-J2) * ((N3+N2))</f>
        <v>5.4150756440687886E-4</v>
      </c>
      <c r="O12" s="6">
        <f>(J3-J2) * ((O3+O2))</f>
        <v>1.0696031767541447E-3</v>
      </c>
      <c r="P12" s="6">
        <f>(J3-J2) * ((P3+P2))</f>
        <v>6.3951798330405161E-4</v>
      </c>
    </row>
    <row r="13" spans="1:16" x14ac:dyDescent="0.3">
      <c r="B13" s="25" t="s">
        <v>97</v>
      </c>
      <c r="C13" s="8">
        <f t="shared" si="2"/>
        <v>-3.5232687378962707E-2</v>
      </c>
      <c r="D13" s="8">
        <f t="shared" si="3"/>
        <v>-3.5031701316730862E-2</v>
      </c>
      <c r="E13" s="8">
        <f t="shared" si="4"/>
        <v>-1.8745291953853618E-2</v>
      </c>
      <c r="F13" s="8">
        <f t="shared" si="5"/>
        <v>-1.4482904829912199E-2</v>
      </c>
      <c r="G13" s="8">
        <f t="shared" si="6"/>
        <v>1.9628627920459024E-2</v>
      </c>
      <c r="H13" s="8">
        <f t="shared" si="7"/>
        <v>-2.3525586286386756E-2</v>
      </c>
      <c r="J13" s="6" t="s">
        <v>97</v>
      </c>
      <c r="K13" s="6">
        <f t="shared" ref="K13:K17" si="8">(J4-J3) * ((K4+K3))</f>
        <v>6.7482900593515546E-3</v>
      </c>
      <c r="L13" s="6">
        <f t="shared" ref="L13:L17" si="9">(J4-J3) * ((L4+L3))</f>
        <v>6.8645271260126322E-3</v>
      </c>
      <c r="M13" s="6">
        <f t="shared" ref="M13:M17" si="10">(J4-J3) * ((M4+M3))</f>
        <v>6.9231412764117666E-3</v>
      </c>
      <c r="N13" s="6">
        <f t="shared" ref="N13:N17" si="11">(J4-J3) * ((N4+N3))</f>
        <v>6.7023847633365307E-3</v>
      </c>
      <c r="O13" s="6">
        <f t="shared" ref="O13:O17" si="12">(J4-J3) * ((O4+O3))</f>
        <v>1.19204992166835E-2</v>
      </c>
      <c r="P13" s="6">
        <f t="shared" ref="P13:P17" si="13">(J4-J3) * ((P4+P3))</f>
        <v>7.0956146386300682E-3</v>
      </c>
    </row>
    <row r="14" spans="1:16" x14ac:dyDescent="0.3">
      <c r="B14" s="25" t="s">
        <v>94</v>
      </c>
      <c r="C14" s="8">
        <f t="shared" si="2"/>
        <v>-7.1016078213017947E-2</v>
      </c>
      <c r="D14" s="8">
        <f t="shared" si="3"/>
        <v>-5.4375252611495388E-2</v>
      </c>
      <c r="E14" s="8">
        <f t="shared" si="4"/>
        <v>-6.6085424220411165E-2</v>
      </c>
      <c r="F14" s="8">
        <f t="shared" si="5"/>
        <v>-6.3689878438349681E-2</v>
      </c>
      <c r="G14" s="8">
        <f t="shared" si="6"/>
        <v>-2.1741355092367173E-2</v>
      </c>
      <c r="H14" s="8">
        <f t="shared" si="7"/>
        <v>-6.8392072795716449E-2</v>
      </c>
      <c r="J14" s="6" t="s">
        <v>94</v>
      </c>
      <c r="K14" s="6">
        <f t="shared" si="8"/>
        <v>1.9716453439989491E-2</v>
      </c>
      <c r="L14" s="6">
        <f t="shared" si="9"/>
        <v>2.1816422440028162E-2</v>
      </c>
      <c r="M14" s="6">
        <f t="shared" si="10"/>
        <v>2.2429482998559059E-2</v>
      </c>
      <c r="N14" s="6">
        <f t="shared" si="11"/>
        <v>2.2840700840177936E-2</v>
      </c>
      <c r="O14" s="6">
        <f t="shared" si="12"/>
        <v>3.9696518205683422E-2</v>
      </c>
      <c r="P14" s="6">
        <f t="shared" si="13"/>
        <v>2.1893580432742671E-2</v>
      </c>
    </row>
    <row r="15" spans="1:16" x14ac:dyDescent="0.3">
      <c r="B15" s="25" t="s">
        <v>95</v>
      </c>
      <c r="C15" s="8">
        <f t="shared" si="2"/>
        <v>-5.686401290063639E-2</v>
      </c>
      <c r="D15" s="8">
        <f t="shared" si="3"/>
        <v>-6.5051118619305126E-2</v>
      </c>
      <c r="E15" s="8">
        <f t="shared" si="4"/>
        <v>-1.3699944972122541E-2</v>
      </c>
      <c r="F15" s="8">
        <f t="shared" si="5"/>
        <v>-7.8384359888138064E-2</v>
      </c>
      <c r="G15" s="8">
        <f t="shared" si="6"/>
        <v>-5.4646527847220711E-2</v>
      </c>
      <c r="H15" s="8">
        <f t="shared" si="7"/>
        <v>-6.3433793213433454E-2</v>
      </c>
      <c r="J15" s="6" t="s">
        <v>95</v>
      </c>
      <c r="K15" s="6">
        <f t="shared" si="8"/>
        <v>6.7858539792156197E-2</v>
      </c>
      <c r="L15" s="6">
        <f t="shared" si="9"/>
        <v>7.3044847322596473E-2</v>
      </c>
      <c r="M15" s="6">
        <f t="shared" si="10"/>
        <v>8.1726053752050512E-2</v>
      </c>
      <c r="N15" s="6">
        <f t="shared" si="11"/>
        <v>7.0412900410794094E-2</v>
      </c>
      <c r="O15" s="6">
        <f t="shared" si="12"/>
        <v>0.11162361307498375</v>
      </c>
      <c r="P15" s="6">
        <f t="shared" si="13"/>
        <v>7.0784840459183901E-2</v>
      </c>
    </row>
    <row r="16" spans="1:16" x14ac:dyDescent="0.3">
      <c r="B16" s="25" t="s">
        <v>93</v>
      </c>
      <c r="C16" s="8">
        <f t="shared" si="2"/>
        <v>-1.8753776383347937E-2</v>
      </c>
      <c r="D16" s="8">
        <f t="shared" si="3"/>
        <v>2.9158025303429036E-3</v>
      </c>
      <c r="E16" s="8">
        <f t="shared" si="4"/>
        <v>5.6206617179563767E-2</v>
      </c>
      <c r="F16" s="8">
        <f t="shared" si="5"/>
        <v>1.8776214334853131E-2</v>
      </c>
      <c r="G16" s="8">
        <f t="shared" si="6"/>
        <v>1.9580537053876412E-2</v>
      </c>
      <c r="H16" s="8">
        <f t="shared" si="7"/>
        <v>-2.9692558271850494E-2</v>
      </c>
      <c r="J16" s="6" t="s">
        <v>93</v>
      </c>
      <c r="K16" s="6">
        <f t="shared" si="8"/>
        <v>0.13168315073601222</v>
      </c>
      <c r="L16" s="6">
        <f t="shared" si="9"/>
        <v>0.13965955303830371</v>
      </c>
      <c r="M16" s="6">
        <f t="shared" si="10"/>
        <v>0.1692226757965769</v>
      </c>
      <c r="N16" s="6">
        <f t="shared" si="11"/>
        <v>0.13746234857395634</v>
      </c>
      <c r="O16" s="6">
        <f t="shared" si="12"/>
        <v>0.18452967833401712</v>
      </c>
      <c r="P16" s="6">
        <f t="shared" si="13"/>
        <v>0.13122272013903316</v>
      </c>
    </row>
    <row r="17" spans="2:16" x14ac:dyDescent="0.3">
      <c r="B17" s="25" t="s">
        <v>91</v>
      </c>
      <c r="C17" s="8">
        <f t="shared" si="2"/>
        <v>0.18708225838776626</v>
      </c>
      <c r="D17" s="8">
        <f t="shared" si="3"/>
        <v>0.15605657318936439</v>
      </c>
      <c r="E17" s="8">
        <f t="shared" si="4"/>
        <v>5.4577185984419907E-2</v>
      </c>
      <c r="F17" s="8">
        <f t="shared" si="5"/>
        <v>0.15368821391685805</v>
      </c>
      <c r="G17" s="8">
        <f t="shared" si="6"/>
        <v>3.4143171844592757E-2</v>
      </c>
      <c r="H17" s="8">
        <f t="shared" si="7"/>
        <v>0.19371715049751881</v>
      </c>
      <c r="J17" s="6" t="s">
        <v>91</v>
      </c>
      <c r="K17" s="6">
        <f t="shared" si="8"/>
        <v>0.55514336151170163</v>
      </c>
      <c r="L17" s="6">
        <f t="shared" si="9"/>
        <v>0.56724955078469819</v>
      </c>
      <c r="M17" s="6">
        <f t="shared" si="10"/>
        <v>0.60684669943603708</v>
      </c>
      <c r="N17" s="6">
        <f t="shared" si="11"/>
        <v>0.5681736820467822</v>
      </c>
      <c r="O17" s="6">
        <f t="shared" si="12"/>
        <v>0.61482002995885754</v>
      </c>
      <c r="P17" s="6">
        <f t="shared" si="13"/>
        <v>0.55255443368712898</v>
      </c>
    </row>
    <row r="18" spans="2:16" x14ac:dyDescent="0.3">
      <c r="J18" s="20" t="s">
        <v>114</v>
      </c>
      <c r="K18" s="19">
        <f>SUM(K11:K17)</f>
        <v>0.78184092074253742</v>
      </c>
      <c r="L18" s="19">
        <f t="shared" ref="L18:P18" si="14">SUM(L11:L17)</f>
        <v>0.80928983606200022</v>
      </c>
      <c r="M18" s="19">
        <f t="shared" si="14"/>
        <v>0.88767165292206507</v>
      </c>
      <c r="N18" s="19">
        <f t="shared" si="14"/>
        <v>0.80625414680804952</v>
      </c>
      <c r="O18" s="19">
        <f t="shared" si="14"/>
        <v>0.96387089927038949</v>
      </c>
      <c r="P18" s="19">
        <f t="shared" si="14"/>
        <v>0.78428040107461949</v>
      </c>
    </row>
    <row r="19" spans="2:16" x14ac:dyDescent="0.3">
      <c r="J19" s="23" t="s">
        <v>113</v>
      </c>
      <c r="K19" s="24">
        <f>1-K18</f>
        <v>0.21815907925746258</v>
      </c>
      <c r="L19" s="24">
        <f t="shared" ref="L19" si="15">1-L18</f>
        <v>0.19071016393799978</v>
      </c>
      <c r="M19" s="24">
        <f t="shared" ref="M19" si="16">1-M18</f>
        <v>0.11232834707793493</v>
      </c>
      <c r="N19" s="24">
        <f t="shared" ref="N19" si="17">1-N18</f>
        <v>0.19374585319195048</v>
      </c>
      <c r="O19" s="24">
        <f t="shared" ref="O19" si="18">1-O18</f>
        <v>3.6129100729610508E-2</v>
      </c>
      <c r="P19" s="24">
        <f t="shared" ref="P19" si="19">1-P18</f>
        <v>0.21571959892538051</v>
      </c>
    </row>
  </sheetData>
  <sortState xmlns:xlrd2="http://schemas.microsoft.com/office/spreadsheetml/2017/richdata2" ref="A2:P9">
    <sortCondition ref="B1:B9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Belo Horizonte</vt:lpstr>
      <vt:lpstr>Betim</vt:lpstr>
      <vt:lpstr>Contagem</vt:lpstr>
      <vt:lpstr>Curvelo</vt:lpstr>
      <vt:lpstr>Guanhães</vt:lpstr>
      <vt:lpstr>Itabira</vt:lpstr>
      <vt:lpstr>J Monlevade</vt:lpstr>
      <vt:lpstr>Ouro Preto</vt:lpstr>
      <vt:lpstr>Sete Lagoas</vt:lpstr>
      <vt:lpstr>Vespasiano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2025-04-18T13:47:19Z</dcterms:created>
  <dcterms:modified xsi:type="dcterms:W3CDTF">2025-11-26T00:59:19Z</dcterms:modified>
</cp:coreProperties>
</file>