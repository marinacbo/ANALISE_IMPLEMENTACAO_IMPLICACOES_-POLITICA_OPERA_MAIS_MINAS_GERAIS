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gineco/"/>
    </mc:Choice>
  </mc:AlternateContent>
  <xr:revisionPtr revIDLastSave="46" documentId="8_{84A36447-CFAC-412F-A37E-2F456EE5F643}" xr6:coauthVersionLast="47" xr6:coauthVersionMax="47" xr10:uidLastSave="{884C3B01-1DD1-4C19-B1F3-89AD8F3D4672}"/>
  <bookViews>
    <workbookView xWindow="-108" yWindow="-108" windowWidth="23256" windowHeight="12456" xr2:uid="{7DD56485-5B71-45FA-AAAE-40CF2292DA53}"/>
  </bookViews>
  <sheets>
    <sheet name="JOÃO PINHEIRO" sheetId="1" r:id="rId1"/>
    <sheet name="PATOS DE MINAS" sheetId="2" r:id="rId2"/>
    <sheet name="SÃO GOTARDO" sheetId="3" r:id="rId3"/>
    <sheet name="UNAÍ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2" l="1"/>
  <c r="P16" i="4"/>
  <c r="O16" i="4"/>
  <c r="N16" i="4"/>
  <c r="M16" i="4"/>
  <c r="L16" i="4"/>
  <c r="K16" i="4"/>
  <c r="P11" i="3"/>
  <c r="O11" i="3"/>
  <c r="N11" i="3"/>
  <c r="M11" i="3"/>
  <c r="L11" i="3"/>
  <c r="K11" i="3"/>
  <c r="K16" i="2"/>
  <c r="P16" i="2"/>
  <c r="O16" i="2"/>
  <c r="N16" i="2"/>
  <c r="M16" i="2"/>
  <c r="L16" i="2"/>
  <c r="P8" i="1"/>
  <c r="O8" i="1"/>
  <c r="N8" i="1"/>
  <c r="M8" i="1"/>
  <c r="L8" i="1"/>
  <c r="K8" i="1"/>
  <c r="H27" i="4"/>
  <c r="G27" i="4"/>
  <c r="F27" i="4"/>
  <c r="E27" i="4"/>
  <c r="D27" i="4"/>
  <c r="C27" i="4"/>
  <c r="H26" i="4"/>
  <c r="G26" i="4"/>
  <c r="F26" i="4"/>
  <c r="E26" i="4"/>
  <c r="D26" i="4"/>
  <c r="C26" i="4"/>
  <c r="H25" i="4"/>
  <c r="G25" i="4"/>
  <c r="F25" i="4"/>
  <c r="E25" i="4"/>
  <c r="D25" i="4"/>
  <c r="C25" i="4"/>
  <c r="H24" i="4"/>
  <c r="G24" i="4"/>
  <c r="F24" i="4"/>
  <c r="E24" i="4"/>
  <c r="D24" i="4"/>
  <c r="C24" i="4"/>
  <c r="H23" i="4"/>
  <c r="G23" i="4"/>
  <c r="F23" i="4"/>
  <c r="E23" i="4"/>
  <c r="D23" i="4"/>
  <c r="C23" i="4"/>
  <c r="H22" i="4"/>
  <c r="G22" i="4"/>
  <c r="F22" i="4"/>
  <c r="E22" i="4"/>
  <c r="D22" i="4"/>
  <c r="C22" i="4"/>
  <c r="H21" i="4"/>
  <c r="G21" i="4"/>
  <c r="F21" i="4"/>
  <c r="E21" i="4"/>
  <c r="D21" i="4"/>
  <c r="C21" i="4"/>
  <c r="H20" i="4"/>
  <c r="G20" i="4"/>
  <c r="F20" i="4"/>
  <c r="E20" i="4"/>
  <c r="D20" i="4"/>
  <c r="C20" i="4"/>
  <c r="H19" i="4"/>
  <c r="G19" i="4"/>
  <c r="F19" i="4"/>
  <c r="E19" i="4"/>
  <c r="D19" i="4"/>
  <c r="C19" i="4"/>
  <c r="H18" i="4"/>
  <c r="G18" i="4"/>
  <c r="F18" i="4"/>
  <c r="E18" i="4"/>
  <c r="D18" i="4"/>
  <c r="C18" i="4"/>
  <c r="H17" i="4"/>
  <c r="G17" i="4"/>
  <c r="F17" i="4"/>
  <c r="E17" i="4"/>
  <c r="D17" i="4"/>
  <c r="C17" i="4"/>
  <c r="H16" i="4"/>
  <c r="G16" i="4"/>
  <c r="F16" i="4"/>
  <c r="E16" i="4"/>
  <c r="D16" i="4"/>
  <c r="C16" i="4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N3" i="4"/>
  <c r="N4" i="4" s="1"/>
  <c r="N5" i="4" s="1"/>
  <c r="N6" i="4" s="1"/>
  <c r="N7" i="4" s="1"/>
  <c r="N8" i="4" s="1"/>
  <c r="N9" i="4" s="1"/>
  <c r="N10" i="4" s="1"/>
  <c r="N11" i="4" s="1"/>
  <c r="N12" i="4" s="1"/>
  <c r="N13" i="4" s="1"/>
  <c r="M3" i="4"/>
  <c r="M4" i="4" s="1"/>
  <c r="M5" i="4" s="1"/>
  <c r="M6" i="4" s="1"/>
  <c r="M7" i="4" s="1"/>
  <c r="M8" i="4" s="1"/>
  <c r="M9" i="4" s="1"/>
  <c r="M10" i="4" s="1"/>
  <c r="M11" i="4" s="1"/>
  <c r="M12" i="4" s="1"/>
  <c r="M13" i="4" s="1"/>
  <c r="L3" i="4"/>
  <c r="L4" i="4" s="1"/>
  <c r="L5" i="4" s="1"/>
  <c r="L6" i="4" s="1"/>
  <c r="L7" i="4" s="1"/>
  <c r="L8" i="4" s="1"/>
  <c r="L9" i="4" s="1"/>
  <c r="L10" i="4" s="1"/>
  <c r="L11" i="4" s="1"/>
  <c r="L12" i="4" s="1"/>
  <c r="L13" i="4" s="1"/>
  <c r="K3" i="4"/>
  <c r="K4" i="4" s="1"/>
  <c r="K5" i="4" s="1"/>
  <c r="K6" i="4" s="1"/>
  <c r="K7" i="4" s="1"/>
  <c r="K8" i="4" s="1"/>
  <c r="K9" i="4" s="1"/>
  <c r="K10" i="4" s="1"/>
  <c r="K11" i="4" s="1"/>
  <c r="K12" i="4" s="1"/>
  <c r="K13" i="4" s="1"/>
  <c r="J3" i="4"/>
  <c r="J4" i="4" s="1"/>
  <c r="J5" i="4" s="1"/>
  <c r="J6" i="4" s="1"/>
  <c r="J7" i="4" s="1"/>
  <c r="J8" i="4" s="1"/>
  <c r="J9" i="4" s="1"/>
  <c r="J10" i="4" s="1"/>
  <c r="J11" i="4" s="1"/>
  <c r="J12" i="4" s="1"/>
  <c r="J13" i="4" s="1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P3" i="3"/>
  <c r="P4" i="3" s="1"/>
  <c r="P5" i="3" s="1"/>
  <c r="P6" i="3" s="1"/>
  <c r="P7" i="3" s="1"/>
  <c r="P8" i="3" s="1"/>
  <c r="O3" i="3"/>
  <c r="O4" i="3" s="1"/>
  <c r="O5" i="3" s="1"/>
  <c r="O6" i="3" s="1"/>
  <c r="O7" i="3" s="1"/>
  <c r="O8" i="3" s="1"/>
  <c r="N3" i="3"/>
  <c r="N4" i="3" s="1"/>
  <c r="N5" i="3" s="1"/>
  <c r="N6" i="3" s="1"/>
  <c r="N7" i="3" s="1"/>
  <c r="N8" i="3" s="1"/>
  <c r="M3" i="3"/>
  <c r="M4" i="3" s="1"/>
  <c r="M5" i="3" s="1"/>
  <c r="M6" i="3" s="1"/>
  <c r="M7" i="3" s="1"/>
  <c r="M8" i="3" s="1"/>
  <c r="L3" i="3"/>
  <c r="L4" i="3" s="1"/>
  <c r="L5" i="3" s="1"/>
  <c r="L6" i="3" s="1"/>
  <c r="L7" i="3" s="1"/>
  <c r="L8" i="3" s="1"/>
  <c r="K3" i="3"/>
  <c r="K4" i="3" s="1"/>
  <c r="K5" i="3" s="1"/>
  <c r="K6" i="3" s="1"/>
  <c r="K7" i="3" s="1"/>
  <c r="K8" i="3" s="1"/>
  <c r="J3" i="3"/>
  <c r="J4" i="3" s="1"/>
  <c r="J5" i="3" s="1"/>
  <c r="J6" i="3" s="1"/>
  <c r="J7" i="3" s="1"/>
  <c r="J8" i="3" s="1"/>
  <c r="P17" i="3" s="1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K3" i="2"/>
  <c r="K4" i="2" s="1"/>
  <c r="K5" i="2" s="1"/>
  <c r="K6" i="2" s="1"/>
  <c r="K7" i="2" s="1"/>
  <c r="K8" i="2" s="1"/>
  <c r="K9" i="2" s="1"/>
  <c r="K10" i="2" s="1"/>
  <c r="K11" i="2" s="1"/>
  <c r="K12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P3" i="2"/>
  <c r="P4" i="2" s="1"/>
  <c r="P5" i="2" s="1"/>
  <c r="P6" i="2" s="1"/>
  <c r="P7" i="2" s="1"/>
  <c r="P8" i="2" s="1"/>
  <c r="P9" i="2" s="1"/>
  <c r="P10" i="2" s="1"/>
  <c r="P11" i="2" s="1"/>
  <c r="P12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N26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26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26" i="2" s="1"/>
  <c r="H10" i="1"/>
  <c r="G10" i="1"/>
  <c r="F10" i="1"/>
  <c r="E10" i="1"/>
  <c r="D10" i="1"/>
  <c r="C10" i="1"/>
  <c r="H9" i="1"/>
  <c r="G9" i="1"/>
  <c r="F9" i="1"/>
  <c r="E9" i="1"/>
  <c r="D9" i="1"/>
  <c r="C9" i="1"/>
  <c r="H8" i="1"/>
  <c r="G8" i="1"/>
  <c r="F8" i="1"/>
  <c r="E8" i="1"/>
  <c r="D8" i="1"/>
  <c r="C8" i="1"/>
  <c r="P3" i="1"/>
  <c r="P4" i="1" s="1"/>
  <c r="O3" i="1"/>
  <c r="O4" i="1" s="1"/>
  <c r="N3" i="1"/>
  <c r="N4" i="1" s="1"/>
  <c r="M3" i="1"/>
  <c r="M4" i="1" s="1"/>
  <c r="L3" i="1"/>
  <c r="L4" i="1" s="1"/>
  <c r="K3" i="1"/>
  <c r="K4" i="1" s="1"/>
  <c r="J3" i="1"/>
  <c r="J4" i="1" s="1"/>
  <c r="P10" i="1" s="1"/>
  <c r="P27" i="4" l="1"/>
  <c r="O16" i="3"/>
  <c r="K17" i="3"/>
  <c r="P16" i="3"/>
  <c r="O12" i="3"/>
  <c r="P12" i="3"/>
  <c r="M15" i="3"/>
  <c r="N15" i="3"/>
  <c r="O15" i="3"/>
  <c r="P26" i="2"/>
  <c r="O20" i="2"/>
  <c r="P24" i="2"/>
  <c r="N20" i="2"/>
  <c r="K25" i="2"/>
  <c r="P20" i="2"/>
  <c r="P25" i="2"/>
  <c r="K21" i="2"/>
  <c r="K26" i="2"/>
  <c r="P21" i="2"/>
  <c r="K17" i="2"/>
  <c r="K22" i="2"/>
  <c r="P17" i="2"/>
  <c r="N24" i="2"/>
  <c r="K18" i="2"/>
  <c r="O24" i="2"/>
  <c r="O9" i="1"/>
  <c r="M17" i="4"/>
  <c r="K20" i="4"/>
  <c r="O22" i="4"/>
  <c r="M25" i="4"/>
  <c r="P18" i="4"/>
  <c r="N21" i="4"/>
  <c r="L24" i="4"/>
  <c r="P26" i="4"/>
  <c r="O17" i="4"/>
  <c r="M20" i="4"/>
  <c r="O25" i="4"/>
  <c r="L19" i="4"/>
  <c r="N20" i="4"/>
  <c r="P21" i="4"/>
  <c r="L23" i="4"/>
  <c r="N24" i="4"/>
  <c r="L27" i="4"/>
  <c r="K18" i="4"/>
  <c r="O20" i="4"/>
  <c r="M23" i="4"/>
  <c r="M27" i="4"/>
  <c r="N19" i="4"/>
  <c r="L22" i="4"/>
  <c r="P24" i="4"/>
  <c r="N27" i="4"/>
  <c r="K17" i="4"/>
  <c r="M18" i="4"/>
  <c r="O19" i="4"/>
  <c r="K21" i="4"/>
  <c r="M22" i="4"/>
  <c r="O23" i="4"/>
  <c r="K25" i="4"/>
  <c r="M26" i="4"/>
  <c r="O27" i="4"/>
  <c r="O18" i="4"/>
  <c r="M21" i="4"/>
  <c r="K24" i="4"/>
  <c r="O26" i="4"/>
  <c r="N17" i="4"/>
  <c r="L20" i="4"/>
  <c r="P22" i="4"/>
  <c r="N25" i="4"/>
  <c r="K19" i="4"/>
  <c r="O21" i="4"/>
  <c r="K23" i="4"/>
  <c r="M24" i="4"/>
  <c r="K27" i="4"/>
  <c r="P17" i="4"/>
  <c r="P25" i="4"/>
  <c r="M19" i="4"/>
  <c r="K22" i="4"/>
  <c r="O24" i="4"/>
  <c r="K26" i="4"/>
  <c r="L18" i="4"/>
  <c r="P20" i="4"/>
  <c r="N23" i="4"/>
  <c r="L26" i="4"/>
  <c r="L17" i="4"/>
  <c r="N18" i="4"/>
  <c r="P19" i="4"/>
  <c r="L21" i="4"/>
  <c r="N22" i="4"/>
  <c r="P23" i="4"/>
  <c r="L25" i="4"/>
  <c r="N26" i="4"/>
  <c r="K14" i="3"/>
  <c r="M14" i="3"/>
  <c r="L13" i="3"/>
  <c r="N14" i="3"/>
  <c r="P15" i="3"/>
  <c r="L17" i="3"/>
  <c r="K12" i="3"/>
  <c r="M13" i="3"/>
  <c r="O14" i="3"/>
  <c r="K16" i="3"/>
  <c r="M17" i="3"/>
  <c r="L14" i="3"/>
  <c r="L12" i="3"/>
  <c r="N13" i="3"/>
  <c r="N18" i="3" s="1"/>
  <c r="N19" i="3" s="1"/>
  <c r="P14" i="3"/>
  <c r="L16" i="3"/>
  <c r="N17" i="3"/>
  <c r="M12" i="3"/>
  <c r="O13" i="3"/>
  <c r="K15" i="3"/>
  <c r="M16" i="3"/>
  <c r="O17" i="3"/>
  <c r="K13" i="3"/>
  <c r="N12" i="3"/>
  <c r="P13" i="3"/>
  <c r="L15" i="3"/>
  <c r="N16" i="3"/>
  <c r="M23" i="2"/>
  <c r="N23" i="2"/>
  <c r="P23" i="2"/>
  <c r="M17" i="2"/>
  <c r="O18" i="2"/>
  <c r="K20" i="2"/>
  <c r="M21" i="2"/>
  <c r="O22" i="2"/>
  <c r="K24" i="2"/>
  <c r="M25" i="2"/>
  <c r="O26" i="2"/>
  <c r="L19" i="2"/>
  <c r="L18" i="2"/>
  <c r="O19" i="2"/>
  <c r="M22" i="2"/>
  <c r="O23" i="2"/>
  <c r="P19" i="2"/>
  <c r="L25" i="2"/>
  <c r="N17" i="2"/>
  <c r="P18" i="2"/>
  <c r="L20" i="2"/>
  <c r="N21" i="2"/>
  <c r="P22" i="2"/>
  <c r="L24" i="2"/>
  <c r="N25" i="2"/>
  <c r="L23" i="2"/>
  <c r="M19" i="2"/>
  <c r="N19" i="2"/>
  <c r="L22" i="2"/>
  <c r="M18" i="2"/>
  <c r="L17" i="2"/>
  <c r="N18" i="2"/>
  <c r="L21" i="2"/>
  <c r="N22" i="2"/>
  <c r="O17" i="2"/>
  <c r="K19" i="2"/>
  <c r="M20" i="2"/>
  <c r="O21" i="2"/>
  <c r="K23" i="2"/>
  <c r="M24" i="2"/>
  <c r="O25" i="2"/>
  <c r="P9" i="1"/>
  <c r="P11" i="1" s="1"/>
  <c r="P12" i="1" s="1"/>
  <c r="K10" i="1"/>
  <c r="M10" i="1"/>
  <c r="N10" i="1"/>
  <c r="M9" i="1"/>
  <c r="O10" i="1"/>
  <c r="L10" i="1"/>
  <c r="K9" i="1"/>
  <c r="K11" i="1" s="1"/>
  <c r="K12" i="1" s="1"/>
  <c r="L9" i="1"/>
  <c r="N9" i="1"/>
  <c r="P28" i="4" l="1"/>
  <c r="P29" i="4" s="1"/>
  <c r="K28" i="4"/>
  <c r="K29" i="4" s="1"/>
  <c r="L28" i="4"/>
  <c r="L29" i="4" s="1"/>
  <c r="N28" i="4"/>
  <c r="N29" i="4" s="1"/>
  <c r="L18" i="3"/>
  <c r="L19" i="3" s="1"/>
  <c r="O18" i="3"/>
  <c r="O19" i="3" s="1"/>
  <c r="P18" i="3"/>
  <c r="P19" i="3" s="1"/>
  <c r="P27" i="2"/>
  <c r="P28" i="2" s="1"/>
  <c r="M27" i="2"/>
  <c r="M28" i="2" s="1"/>
  <c r="K27" i="2"/>
  <c r="O27" i="2"/>
  <c r="O28" i="2" s="1"/>
  <c r="N27" i="2"/>
  <c r="N28" i="2" s="1"/>
  <c r="L11" i="1"/>
  <c r="L12" i="1" s="1"/>
  <c r="M11" i="1"/>
  <c r="M12" i="1" s="1"/>
  <c r="N11" i="1"/>
  <c r="N12" i="1" s="1"/>
  <c r="O11" i="1"/>
  <c r="O12" i="1" s="1"/>
  <c r="O28" i="4"/>
  <c r="O29" i="4" s="1"/>
  <c r="M28" i="4"/>
  <c r="M29" i="4" s="1"/>
  <c r="M18" i="3"/>
  <c r="M19" i="3" s="1"/>
  <c r="K18" i="3"/>
  <c r="K19" i="3" s="1"/>
  <c r="L27" i="2"/>
  <c r="L28" i="2" s="1"/>
</calcChain>
</file>

<file path=xl/sharedStrings.xml><?xml version="1.0" encoding="utf-8"?>
<sst xmlns="http://schemas.openxmlformats.org/spreadsheetml/2006/main" count="223" uniqueCount="55">
  <si>
    <t>JOÃO PINHEIRO</t>
  </si>
  <si>
    <t>BRASILÂNDIA DE MINAS</t>
  </si>
  <si>
    <t>LAGOA GRANDE</t>
  </si>
  <si>
    <t>PATOS DE MINAS</t>
  </si>
  <si>
    <t>CRUZEIRO DA FORTALEZA</t>
  </si>
  <si>
    <t>GUARDA-MOR</t>
  </si>
  <si>
    <t>GUIMARÂNIA</t>
  </si>
  <si>
    <t>LAGAMAR</t>
  </si>
  <si>
    <t>LAGOA FORMOSA</t>
  </si>
  <si>
    <t>PRESIDENTE OLEGÁRIO</t>
  </si>
  <si>
    <t>SÃO GONÇALO DO ABAETÉ</t>
  </si>
  <si>
    <t>SERRA DO SALITRE</t>
  </si>
  <si>
    <t>VARJÃO DE MINAS</t>
  </si>
  <si>
    <t>VAZANTE</t>
  </si>
  <si>
    <t>SÃO GOTARDO</t>
  </si>
  <si>
    <t>ARAPUÁ</t>
  </si>
  <si>
    <t>CARMO DO PARANAÍBA</t>
  </si>
  <si>
    <t>MATUTINA</t>
  </si>
  <si>
    <t>RIO PARANAÍBA</t>
  </si>
  <si>
    <t>SANTA ROSA DA SERRA</t>
  </si>
  <si>
    <t>TIROS</t>
  </si>
  <si>
    <t>UNAÍ</t>
  </si>
  <si>
    <t>ARINOS</t>
  </si>
  <si>
    <t>BONFINÓPOLIS DE MINAS</t>
  </si>
  <si>
    <t>BURITIS</t>
  </si>
  <si>
    <t>CABECEIRA GRANDE</t>
  </si>
  <si>
    <t>CHAPADA GAÚCHA</t>
  </si>
  <si>
    <t>DOM BOSCO</t>
  </si>
  <si>
    <t>FORMOSO</t>
  </si>
  <si>
    <t>NATALÂNDIA</t>
  </si>
  <si>
    <t>PARACATU</t>
  </si>
  <si>
    <t>RIACHINHO</t>
  </si>
  <si>
    <t>URUANA DE MINAS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</si>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</sst>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/>
    <xf numFmtId="2" fontId="0" fillId="0" borderId="1" xfId="0" applyNumberFormat="1" applyBorder="1"/>
    <xf numFmtId="2" fontId="1" fillId="3" borderId="1" xfId="0" applyNumberFormat="1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2" fontId="0" fillId="0" borderId="1" xfId="0" applyNumberFormat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2" xfId="0" applyNumberFormat="1" applyBorder="1"/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'JOÃO PINHEIRO'!$J$1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PINHEIRO'!$J$2:$J$4</c:f>
              <c:numCache>
                <c:formatCode>0.00</c:formatCode>
                <c:ptCount val="3"/>
                <c:pt idx="0">
                  <c:v>0.12973559721794134</c:v>
                </c:pt>
                <c:pt idx="1">
                  <c:v>0.35688345103925168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56-42F1-8B34-B172ADC71535}"/>
            </c:ext>
          </c:extLst>
        </c:ser>
        <c:ser>
          <c:idx val="1"/>
          <c:order val="1"/>
          <c:tx>
            <c:strRef>
              <c:f>'JOÃO PINHEIRO'!$K$1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PINHEIRO'!$K$2:$K$4</c:f>
              <c:numCache>
                <c:formatCode>0.00</c:formatCode>
                <c:ptCount val="3"/>
                <c:pt idx="0">
                  <c:v>0.12162162162162163</c:v>
                </c:pt>
                <c:pt idx="1">
                  <c:v>0.21621621621621623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56-42F1-8B34-B172ADC71535}"/>
            </c:ext>
          </c:extLst>
        </c:ser>
        <c:ser>
          <c:idx val="2"/>
          <c:order val="2"/>
          <c:tx>
            <c:strRef>
              <c:f>'JOÃO PINHEIRO'!$L$1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PINHEIRO'!$L$2:$L$4</c:f>
              <c:numCache>
                <c:formatCode>0.00</c:formatCode>
                <c:ptCount val="3"/>
                <c:pt idx="0">
                  <c:v>0.08</c:v>
                </c:pt>
                <c:pt idx="1">
                  <c:v>0.18666666666666668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56-42F1-8B34-B172ADC71535}"/>
            </c:ext>
          </c:extLst>
        </c:ser>
        <c:ser>
          <c:idx val="3"/>
          <c:order val="3"/>
          <c:tx>
            <c:strRef>
              <c:f>'JOÃO PINHEIRO'!$M$1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PINHEIRO'!$M$2:$M$4</c:f>
              <c:numCache>
                <c:formatCode>0.00</c:formatCode>
                <c:ptCount val="3"/>
                <c:pt idx="0">
                  <c:v>5.0847457627118647E-2</c:v>
                </c:pt>
                <c:pt idx="1">
                  <c:v>6.7796610169491525E-2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56-42F1-8B34-B172ADC71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720528"/>
        <c:axId val="296721488"/>
      </c:scatterChart>
      <c:valAx>
        <c:axId val="2967205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721488"/>
        <c:crosses val="autoZero"/>
        <c:crossBetween val="midCat"/>
      </c:valAx>
      <c:valAx>
        <c:axId val="29672148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720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'JOÃO PINHEIRO'!$J$1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PINHEIRO'!$J$2:$J$4</c:f>
              <c:numCache>
                <c:formatCode>0.00</c:formatCode>
                <c:ptCount val="3"/>
                <c:pt idx="0">
                  <c:v>0.12973559721794134</c:v>
                </c:pt>
                <c:pt idx="1">
                  <c:v>0.35688345103925168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14-4B61-8BBC-2C079B83B0A6}"/>
            </c:ext>
          </c:extLst>
        </c:ser>
        <c:ser>
          <c:idx val="1"/>
          <c:order val="1"/>
          <c:tx>
            <c:strRef>
              <c:f>'JOÃO PINHEIRO'!$N$1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PINHEIRO'!$N$2:$N$4</c:f>
              <c:numCache>
                <c:formatCode>0.00</c:formatCode>
                <c:ptCount val="3"/>
                <c:pt idx="0">
                  <c:v>9.5744680851063829E-2</c:v>
                </c:pt>
                <c:pt idx="1">
                  <c:v>0.10638297872340426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14-4B61-8BBC-2C079B83B0A6}"/>
            </c:ext>
          </c:extLst>
        </c:ser>
        <c:ser>
          <c:idx val="2"/>
          <c:order val="2"/>
          <c:tx>
            <c:strRef>
              <c:f>'JOÃO PINHEIRO'!$O$1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PINHEIRO'!$O$2:$O$4</c:f>
              <c:numCache>
                <c:formatCode>0.00</c:formatCode>
                <c:ptCount val="3"/>
                <c:pt idx="0">
                  <c:v>0.10526315789473684</c:v>
                </c:pt>
                <c:pt idx="1">
                  <c:v>0.25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14-4B61-8BBC-2C079B83B0A6}"/>
            </c:ext>
          </c:extLst>
        </c:ser>
        <c:ser>
          <c:idx val="3"/>
          <c:order val="3"/>
          <c:tx>
            <c:strRef>
              <c:f>'JOÃO PINHEIRO'!$P$1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PINHEIRO'!$P$2:$P$4</c:f>
              <c:numCache>
                <c:formatCode>0.00</c:formatCode>
                <c:ptCount val="3"/>
                <c:pt idx="0">
                  <c:v>2.7027027027027029E-2</c:v>
                </c:pt>
                <c:pt idx="1">
                  <c:v>5.4054054054054057E-2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14-4B61-8BBC-2C079B83B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463440"/>
        <c:axId val="1420455280"/>
      </c:scatterChart>
      <c:valAx>
        <c:axId val="14204634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455280"/>
        <c:crosses val="autoZero"/>
        <c:crossBetween val="midCat"/>
      </c:valAx>
      <c:valAx>
        <c:axId val="142045528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463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'PATOS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MINAS'!$J$2:$J$12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06-4028-B656-3880AF968DD8}"/>
            </c:ext>
          </c:extLst>
        </c:ser>
        <c:ser>
          <c:idx val="1"/>
          <c:order val="1"/>
          <c:tx>
            <c:strRef>
              <c:f>'PATOS DE MINAS'!$K$1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MINAS'!$K$2:$K$12</c:f>
              <c:numCache>
                <c:formatCode>0.00</c:formatCode>
                <c:ptCount val="11"/>
                <c:pt idx="0">
                  <c:v>0</c:v>
                </c:pt>
                <c:pt idx="1">
                  <c:v>6.0518731988472622E-2</c:v>
                </c:pt>
                <c:pt idx="2">
                  <c:v>7.7809798270893377E-2</c:v>
                </c:pt>
                <c:pt idx="3">
                  <c:v>0.12103746397694526</c:v>
                </c:pt>
                <c:pt idx="4">
                  <c:v>0.14409221902017291</c:v>
                </c:pt>
                <c:pt idx="5">
                  <c:v>0.15850144092219021</c:v>
                </c:pt>
                <c:pt idx="6">
                  <c:v>0.21037463976945245</c:v>
                </c:pt>
                <c:pt idx="7">
                  <c:v>0.35734870317002881</c:v>
                </c:pt>
                <c:pt idx="8">
                  <c:v>0.40345821325648412</c:v>
                </c:pt>
                <c:pt idx="9">
                  <c:v>0.57060518731988474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06-4028-B656-3880AF968DD8}"/>
            </c:ext>
          </c:extLst>
        </c:ser>
        <c:ser>
          <c:idx val="2"/>
          <c:order val="2"/>
          <c:tx>
            <c:strRef>
              <c:f>'PATOS DE MINAS'!$L$1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MINAS'!$L$2:$L$12</c:f>
              <c:numCache>
                <c:formatCode>0.00</c:formatCode>
                <c:ptCount val="11"/>
                <c:pt idx="0">
                  <c:v>1.3071895424836602E-2</c:v>
                </c:pt>
                <c:pt idx="1">
                  <c:v>8.4967320261437898E-2</c:v>
                </c:pt>
                <c:pt idx="2">
                  <c:v>8.4967320261437898E-2</c:v>
                </c:pt>
                <c:pt idx="3">
                  <c:v>0.11764705882352941</c:v>
                </c:pt>
                <c:pt idx="4">
                  <c:v>0.13725490196078433</c:v>
                </c:pt>
                <c:pt idx="5">
                  <c:v>0.16339869281045752</c:v>
                </c:pt>
                <c:pt idx="6">
                  <c:v>0.23529411764705882</c:v>
                </c:pt>
                <c:pt idx="7">
                  <c:v>0.50980392156862742</c:v>
                </c:pt>
                <c:pt idx="8">
                  <c:v>0.62745098039215685</c:v>
                </c:pt>
                <c:pt idx="9">
                  <c:v>0.71241830065359479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06-4028-B656-3880AF968DD8}"/>
            </c:ext>
          </c:extLst>
        </c:ser>
        <c:ser>
          <c:idx val="3"/>
          <c:order val="3"/>
          <c:tx>
            <c:strRef>
              <c:f>'PATOS DE MINAS'!$M$1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MINAS'!$M$2:$M$12</c:f>
              <c:numCache>
                <c:formatCode>0.00</c:formatCode>
                <c:ptCount val="11"/>
                <c:pt idx="0">
                  <c:v>0</c:v>
                </c:pt>
                <c:pt idx="1">
                  <c:v>4.2682926829268296E-2</c:v>
                </c:pt>
                <c:pt idx="2">
                  <c:v>4.878048780487805E-2</c:v>
                </c:pt>
                <c:pt idx="3">
                  <c:v>6.7073170731707321E-2</c:v>
                </c:pt>
                <c:pt idx="4">
                  <c:v>6.7073170731707321E-2</c:v>
                </c:pt>
                <c:pt idx="5">
                  <c:v>7.926829268292683E-2</c:v>
                </c:pt>
                <c:pt idx="6">
                  <c:v>0.15853658536585366</c:v>
                </c:pt>
                <c:pt idx="7">
                  <c:v>0.52439024390243905</c:v>
                </c:pt>
                <c:pt idx="8">
                  <c:v>0.58536585365853666</c:v>
                </c:pt>
                <c:pt idx="9">
                  <c:v>0.75000000000000011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06-4028-B656-3880AF968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91872"/>
        <c:axId val="424086592"/>
      </c:scatterChart>
      <c:valAx>
        <c:axId val="4240918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86592"/>
        <c:crosses val="autoZero"/>
        <c:crossBetween val="midCat"/>
      </c:valAx>
      <c:valAx>
        <c:axId val="4240865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1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'PATOS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MINAS'!$J$2:$J$12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CC-4C5D-9648-D20AE02F4049}"/>
            </c:ext>
          </c:extLst>
        </c:ser>
        <c:ser>
          <c:idx val="1"/>
          <c:order val="1"/>
          <c:tx>
            <c:strRef>
              <c:f>'PATOS DE MINAS'!$N$1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MINAS'!$N$2:$N$12</c:f>
              <c:numCache>
                <c:formatCode>0.00</c:formatCode>
                <c:ptCount val="11"/>
                <c:pt idx="0">
                  <c:v>1.7605633802816902E-3</c:v>
                </c:pt>
                <c:pt idx="1">
                  <c:v>7.2183098591549297E-2</c:v>
                </c:pt>
                <c:pt idx="2">
                  <c:v>7.2183098591549297E-2</c:v>
                </c:pt>
                <c:pt idx="3">
                  <c:v>0.10739436619718309</c:v>
                </c:pt>
                <c:pt idx="4">
                  <c:v>0.10915492957746478</c:v>
                </c:pt>
                <c:pt idx="5">
                  <c:v>0.10915492957746478</c:v>
                </c:pt>
                <c:pt idx="6">
                  <c:v>0.17957746478873238</c:v>
                </c:pt>
                <c:pt idx="7">
                  <c:v>0.28169014084507038</c:v>
                </c:pt>
                <c:pt idx="8">
                  <c:v>0.41373239436619713</c:v>
                </c:pt>
                <c:pt idx="9">
                  <c:v>0.625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CC-4C5D-9648-D20AE02F4049}"/>
            </c:ext>
          </c:extLst>
        </c:ser>
        <c:ser>
          <c:idx val="2"/>
          <c:order val="2"/>
          <c:tx>
            <c:strRef>
              <c:f>'PATOS DE MINAS'!$O$1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MINAS'!$O$2:$O$12</c:f>
              <c:numCache>
                <c:formatCode>0.00</c:formatCode>
                <c:ptCount val="11"/>
                <c:pt idx="0">
                  <c:v>0</c:v>
                </c:pt>
                <c:pt idx="1">
                  <c:v>5.6722689075630252E-2</c:v>
                </c:pt>
                <c:pt idx="2">
                  <c:v>6.0924369747899158E-2</c:v>
                </c:pt>
                <c:pt idx="3">
                  <c:v>7.7731092436974791E-2</c:v>
                </c:pt>
                <c:pt idx="4">
                  <c:v>7.9831932773109252E-2</c:v>
                </c:pt>
                <c:pt idx="5">
                  <c:v>8.8235294117647065E-2</c:v>
                </c:pt>
                <c:pt idx="6">
                  <c:v>0.17857142857142858</c:v>
                </c:pt>
                <c:pt idx="7">
                  <c:v>0.27521008403361347</c:v>
                </c:pt>
                <c:pt idx="8">
                  <c:v>0.38445378151260506</c:v>
                </c:pt>
                <c:pt idx="9">
                  <c:v>0.59453781512605042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CC-4C5D-9648-D20AE02F4049}"/>
            </c:ext>
          </c:extLst>
        </c:ser>
        <c:ser>
          <c:idx val="3"/>
          <c:order val="3"/>
          <c:tx>
            <c:strRef>
              <c:f>'PATOS DE MINAS'!$P$1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MINAS'!$P$2:$P$12</c:f>
              <c:numCache>
                <c:formatCode>0.00</c:formatCode>
                <c:ptCount val="11"/>
                <c:pt idx="0">
                  <c:v>0</c:v>
                </c:pt>
                <c:pt idx="1">
                  <c:v>7.6923076923076927E-2</c:v>
                </c:pt>
                <c:pt idx="2">
                  <c:v>0.10702341137123747</c:v>
                </c:pt>
                <c:pt idx="3">
                  <c:v>0.10702341137123747</c:v>
                </c:pt>
                <c:pt idx="4">
                  <c:v>0.10702341137123747</c:v>
                </c:pt>
                <c:pt idx="5">
                  <c:v>0.12374581939799333</c:v>
                </c:pt>
                <c:pt idx="6">
                  <c:v>0.21070234113712377</c:v>
                </c:pt>
                <c:pt idx="7">
                  <c:v>0.2876254180602007</c:v>
                </c:pt>
                <c:pt idx="8">
                  <c:v>0.39799331103678931</c:v>
                </c:pt>
                <c:pt idx="9">
                  <c:v>0.59866220735785958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CC-4C5D-9648-D20AE02F4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957440"/>
        <c:axId val="368945920"/>
      </c:scatterChart>
      <c:valAx>
        <c:axId val="3689574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8945920"/>
        <c:crosses val="autoZero"/>
        <c:crossBetween val="midCat"/>
      </c:valAx>
      <c:valAx>
        <c:axId val="3689459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895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GOTARDO'!$J$1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GOTARDO'!$J$2:$J$8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3E-4E5F-BA41-70109544464F}"/>
            </c:ext>
          </c:extLst>
        </c:ser>
        <c:ser>
          <c:idx val="1"/>
          <c:order val="1"/>
          <c:tx>
            <c:strRef>
              <c:f>'SÃO GOTARDO'!$K$1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GOTARDO'!$K$2:$K$8</c:f>
              <c:numCache>
                <c:formatCode>0.00</c:formatCode>
                <c:ptCount val="7"/>
                <c:pt idx="0">
                  <c:v>7.6045627376425855E-3</c:v>
                </c:pt>
                <c:pt idx="1">
                  <c:v>4.9429657794676805E-2</c:v>
                </c:pt>
                <c:pt idx="2">
                  <c:v>5.7034220532319393E-2</c:v>
                </c:pt>
                <c:pt idx="3">
                  <c:v>5.7034220532319393E-2</c:v>
                </c:pt>
                <c:pt idx="4">
                  <c:v>0.11787072243346008</c:v>
                </c:pt>
                <c:pt idx="5">
                  <c:v>0.44866920152091255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3E-4E5F-BA41-70109544464F}"/>
            </c:ext>
          </c:extLst>
        </c:ser>
        <c:ser>
          <c:idx val="2"/>
          <c:order val="2"/>
          <c:tx>
            <c:strRef>
              <c:f>'SÃO GOTARDO'!$L$1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GOTARDO'!$L$2:$L$8</c:f>
              <c:numCache>
                <c:formatCode>0.00</c:formatCode>
                <c:ptCount val="7"/>
                <c:pt idx="0">
                  <c:v>9.2592592592592587E-3</c:v>
                </c:pt>
                <c:pt idx="1">
                  <c:v>3.7037037037037035E-2</c:v>
                </c:pt>
                <c:pt idx="2">
                  <c:v>4.6296296296296294E-2</c:v>
                </c:pt>
                <c:pt idx="3">
                  <c:v>7.407407407407407E-2</c:v>
                </c:pt>
                <c:pt idx="4">
                  <c:v>7.407407407407407E-2</c:v>
                </c:pt>
                <c:pt idx="5">
                  <c:v>0.30555555555555558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3E-4E5F-BA41-70109544464F}"/>
            </c:ext>
          </c:extLst>
        </c:ser>
        <c:ser>
          <c:idx val="3"/>
          <c:order val="3"/>
          <c:tx>
            <c:strRef>
              <c:f>'SÃO GOTARDO'!$M$1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GOTARDO'!$M$2:$M$8</c:f>
              <c:numCache>
                <c:formatCode>0.00</c:formatCode>
                <c:ptCount val="7"/>
                <c:pt idx="0">
                  <c:v>0</c:v>
                </c:pt>
                <c:pt idx="1">
                  <c:v>4.3010752688172046E-2</c:v>
                </c:pt>
                <c:pt idx="2">
                  <c:v>6.4516129032258063E-2</c:v>
                </c:pt>
                <c:pt idx="3">
                  <c:v>6.4516129032258063E-2</c:v>
                </c:pt>
                <c:pt idx="4">
                  <c:v>6.4516129032258063E-2</c:v>
                </c:pt>
                <c:pt idx="5">
                  <c:v>0.43010752688172044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3E-4E5F-BA41-70109544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723264"/>
        <c:axId val="1914723744"/>
      </c:scatterChart>
      <c:valAx>
        <c:axId val="1914723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4723744"/>
        <c:crosses val="autoZero"/>
        <c:crossBetween val="midCat"/>
      </c:valAx>
      <c:valAx>
        <c:axId val="19147237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472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GOTARDO'!$J$1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GOTARDO'!$J$2:$J$8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5C-4E80-909D-8B93D4BC38EC}"/>
            </c:ext>
          </c:extLst>
        </c:ser>
        <c:ser>
          <c:idx val="1"/>
          <c:order val="1"/>
          <c:tx>
            <c:strRef>
              <c:f>'SÃO GOTARDO'!$N$1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GOTARDO'!$N$2:$N$8</c:f>
              <c:numCache>
                <c:formatCode>0.00</c:formatCode>
                <c:ptCount val="7"/>
                <c:pt idx="0">
                  <c:v>1.1811023622047244E-2</c:v>
                </c:pt>
                <c:pt idx="1">
                  <c:v>7.0866141732283464E-2</c:v>
                </c:pt>
                <c:pt idx="2">
                  <c:v>9.055118110236221E-2</c:v>
                </c:pt>
                <c:pt idx="3">
                  <c:v>0.11023622047244094</c:v>
                </c:pt>
                <c:pt idx="4">
                  <c:v>0.13385826771653542</c:v>
                </c:pt>
                <c:pt idx="5">
                  <c:v>0.452755905511811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5C-4E80-909D-8B93D4BC38EC}"/>
            </c:ext>
          </c:extLst>
        </c:ser>
        <c:ser>
          <c:idx val="2"/>
          <c:order val="2"/>
          <c:tx>
            <c:strRef>
              <c:f>'SÃO GOTARDO'!$O$1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GOTARDO'!$O$2:$O$8</c:f>
              <c:numCache>
                <c:formatCode>0.00</c:formatCode>
                <c:ptCount val="7"/>
                <c:pt idx="0">
                  <c:v>2.3474178403755867E-2</c:v>
                </c:pt>
                <c:pt idx="1">
                  <c:v>5.6338028169014086E-2</c:v>
                </c:pt>
                <c:pt idx="2">
                  <c:v>7.0422535211267609E-2</c:v>
                </c:pt>
                <c:pt idx="3">
                  <c:v>0.107981220657277</c:v>
                </c:pt>
                <c:pt idx="4">
                  <c:v>0.15023474178403756</c:v>
                </c:pt>
                <c:pt idx="5">
                  <c:v>0.54929577464788726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5C-4E80-909D-8B93D4BC38EC}"/>
            </c:ext>
          </c:extLst>
        </c:ser>
        <c:ser>
          <c:idx val="3"/>
          <c:order val="3"/>
          <c:tx>
            <c:strRef>
              <c:f>'SÃO GOTARDO'!$P$1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GOTARDO'!$P$2:$P$8</c:f>
              <c:numCache>
                <c:formatCode>0.00</c:formatCode>
                <c:ptCount val="7"/>
                <c:pt idx="0">
                  <c:v>0</c:v>
                </c:pt>
                <c:pt idx="1">
                  <c:v>3.3333333333333333E-2</c:v>
                </c:pt>
                <c:pt idx="2">
                  <c:v>5.5555555555555552E-2</c:v>
                </c:pt>
                <c:pt idx="3">
                  <c:v>0.1</c:v>
                </c:pt>
                <c:pt idx="4">
                  <c:v>0.15555555555555556</c:v>
                </c:pt>
                <c:pt idx="5">
                  <c:v>0.4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5C-4E80-909D-8B93D4BC3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015440"/>
        <c:axId val="2001010160"/>
      </c:scatterChart>
      <c:valAx>
        <c:axId val="20010154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1010160"/>
        <c:crosses val="autoZero"/>
        <c:crossBetween val="midCat"/>
      </c:valAx>
      <c:valAx>
        <c:axId val="20010101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101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UNAÍ!$J$1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UNAÍ!$J$2:$J$13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9C-4FBB-B8E8-039848A0C6DC}"/>
            </c:ext>
          </c:extLst>
        </c:ser>
        <c:ser>
          <c:idx val="1"/>
          <c:order val="1"/>
          <c:tx>
            <c:strRef>
              <c:f>UNAÍ!$K$1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UNAÍ!$K$2:$K$13</c:f>
              <c:numCache>
                <c:formatCode>0.00</c:formatCode>
                <c:ptCount val="12"/>
                <c:pt idx="0">
                  <c:v>5.681818181818182E-3</c:v>
                </c:pt>
                <c:pt idx="1">
                  <c:v>5.681818181818182E-3</c:v>
                </c:pt>
                <c:pt idx="2">
                  <c:v>1.7045454545454544E-2</c:v>
                </c:pt>
                <c:pt idx="3">
                  <c:v>3.125E-2</c:v>
                </c:pt>
                <c:pt idx="4">
                  <c:v>3.4090909090909088E-2</c:v>
                </c:pt>
                <c:pt idx="5">
                  <c:v>4.8295454545454544E-2</c:v>
                </c:pt>
                <c:pt idx="6">
                  <c:v>5.6818181818181816E-2</c:v>
                </c:pt>
                <c:pt idx="7">
                  <c:v>5.9659090909090905E-2</c:v>
                </c:pt>
                <c:pt idx="8">
                  <c:v>8.5227272727272721E-2</c:v>
                </c:pt>
                <c:pt idx="9">
                  <c:v>0.17045454545454544</c:v>
                </c:pt>
                <c:pt idx="10">
                  <c:v>0.59943181818181812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9C-4FBB-B8E8-039848A0C6DC}"/>
            </c:ext>
          </c:extLst>
        </c:ser>
        <c:ser>
          <c:idx val="2"/>
          <c:order val="2"/>
          <c:tx>
            <c:strRef>
              <c:f>UNAÍ!$L$1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UNAÍ!$L$2:$L$13</c:f>
              <c:numCache>
                <c:formatCode>0.00</c:formatCode>
                <c:ptCount val="12"/>
                <c:pt idx="0">
                  <c:v>5.4945054945054949E-3</c:v>
                </c:pt>
                <c:pt idx="1">
                  <c:v>1.098901098901099E-2</c:v>
                </c:pt>
                <c:pt idx="2">
                  <c:v>1.098901098901099E-2</c:v>
                </c:pt>
                <c:pt idx="3">
                  <c:v>1.6483516483516484E-2</c:v>
                </c:pt>
                <c:pt idx="4">
                  <c:v>2.7472527472527472E-2</c:v>
                </c:pt>
                <c:pt idx="5">
                  <c:v>3.8461538461538464E-2</c:v>
                </c:pt>
                <c:pt idx="6">
                  <c:v>4.9450549450549455E-2</c:v>
                </c:pt>
                <c:pt idx="7">
                  <c:v>5.4945054945054951E-2</c:v>
                </c:pt>
                <c:pt idx="8">
                  <c:v>7.1428571428571438E-2</c:v>
                </c:pt>
                <c:pt idx="9">
                  <c:v>0.32967032967032972</c:v>
                </c:pt>
                <c:pt idx="10">
                  <c:v>0.75824175824175821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9C-4FBB-B8E8-039848A0C6DC}"/>
            </c:ext>
          </c:extLst>
        </c:ser>
        <c:ser>
          <c:idx val="3"/>
          <c:order val="3"/>
          <c:tx>
            <c:strRef>
              <c:f>UNAÍ!$M$1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UNAÍ!$M$2:$M$13</c:f>
              <c:numCache>
                <c:formatCode>0.00</c:formatCode>
                <c:ptCount val="12"/>
                <c:pt idx="0">
                  <c:v>6.8965517241379309E-3</c:v>
                </c:pt>
                <c:pt idx="1">
                  <c:v>6.8965517241379309E-3</c:v>
                </c:pt>
                <c:pt idx="2">
                  <c:v>1.3793103448275862E-2</c:v>
                </c:pt>
                <c:pt idx="3">
                  <c:v>2.0689655172413793E-2</c:v>
                </c:pt>
                <c:pt idx="4">
                  <c:v>2.0689655172413793E-2</c:v>
                </c:pt>
                <c:pt idx="5">
                  <c:v>2.7586206896551724E-2</c:v>
                </c:pt>
                <c:pt idx="6">
                  <c:v>2.7586206896551724E-2</c:v>
                </c:pt>
                <c:pt idx="7">
                  <c:v>2.7586206896551724E-2</c:v>
                </c:pt>
                <c:pt idx="8">
                  <c:v>2.7586206896551724E-2</c:v>
                </c:pt>
                <c:pt idx="9">
                  <c:v>0.49655172413793103</c:v>
                </c:pt>
                <c:pt idx="10">
                  <c:v>0.73793103448275865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9C-4FBB-B8E8-039848A0C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96192"/>
        <c:axId val="424091392"/>
      </c:scatterChart>
      <c:valAx>
        <c:axId val="4240961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1392"/>
        <c:crosses val="autoZero"/>
        <c:crossBetween val="midCat"/>
      </c:valAx>
      <c:valAx>
        <c:axId val="4240913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6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UNAÍ!$J$1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UNAÍ!$J$2:$J$13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33-4D50-9B97-762F064A4352}"/>
            </c:ext>
          </c:extLst>
        </c:ser>
        <c:ser>
          <c:idx val="1"/>
          <c:order val="1"/>
          <c:tx>
            <c:strRef>
              <c:f>UNAÍ!$N$1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UNAÍ!$N$2:$N$13</c:f>
              <c:numCache>
                <c:formatCode>0.00</c:formatCode>
                <c:ptCount val="12"/>
                <c:pt idx="0">
                  <c:v>5.4200542005420054E-3</c:v>
                </c:pt>
                <c:pt idx="1">
                  <c:v>1.3550135501355014E-2</c:v>
                </c:pt>
                <c:pt idx="2">
                  <c:v>3.2520325203252029E-2</c:v>
                </c:pt>
                <c:pt idx="3">
                  <c:v>4.3360433604336043E-2</c:v>
                </c:pt>
                <c:pt idx="4">
                  <c:v>5.6910569105691061E-2</c:v>
                </c:pt>
                <c:pt idx="5">
                  <c:v>0.10298102981029811</c:v>
                </c:pt>
                <c:pt idx="6">
                  <c:v>0.11924119241192413</c:v>
                </c:pt>
                <c:pt idx="7">
                  <c:v>0.17073170731707318</c:v>
                </c:pt>
                <c:pt idx="8">
                  <c:v>0.20867208672086723</c:v>
                </c:pt>
                <c:pt idx="9">
                  <c:v>0.42276422764227645</c:v>
                </c:pt>
                <c:pt idx="10">
                  <c:v>0.8292682926829269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33-4D50-9B97-762F064A4352}"/>
            </c:ext>
          </c:extLst>
        </c:ser>
        <c:ser>
          <c:idx val="2"/>
          <c:order val="2"/>
          <c:tx>
            <c:strRef>
              <c:f>UNAÍ!$O$1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UNAÍ!$O$2:$O$13</c:f>
              <c:numCache>
                <c:formatCode>0.00</c:formatCode>
                <c:ptCount val="12"/>
                <c:pt idx="0">
                  <c:v>6.6666666666666671E-3</c:v>
                </c:pt>
                <c:pt idx="1">
                  <c:v>0.02</c:v>
                </c:pt>
                <c:pt idx="2">
                  <c:v>0.03</c:v>
                </c:pt>
                <c:pt idx="3">
                  <c:v>3.6666666666666667E-2</c:v>
                </c:pt>
                <c:pt idx="4">
                  <c:v>6.3333333333333339E-2</c:v>
                </c:pt>
                <c:pt idx="5">
                  <c:v>9.3333333333333338E-2</c:v>
                </c:pt>
                <c:pt idx="6">
                  <c:v>0.14333333333333334</c:v>
                </c:pt>
                <c:pt idx="7">
                  <c:v>0.19</c:v>
                </c:pt>
                <c:pt idx="8">
                  <c:v>0.23333333333333334</c:v>
                </c:pt>
                <c:pt idx="9">
                  <c:v>0.42666666666666664</c:v>
                </c:pt>
                <c:pt idx="10">
                  <c:v>0.76666666666666661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33-4D50-9B97-762F064A4352}"/>
            </c:ext>
          </c:extLst>
        </c:ser>
        <c:ser>
          <c:idx val="3"/>
          <c:order val="3"/>
          <c:tx>
            <c:strRef>
              <c:f>UNAÍ!$P$1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UNAÍ!$P$2:$P$13</c:f>
              <c:numCache>
                <c:formatCode>0.00</c:formatCode>
                <c:ptCount val="12"/>
                <c:pt idx="0">
                  <c:v>1.4184397163120567E-2</c:v>
                </c:pt>
                <c:pt idx="1">
                  <c:v>2.8368794326241134E-2</c:v>
                </c:pt>
                <c:pt idx="2">
                  <c:v>7.0921985815602828E-2</c:v>
                </c:pt>
                <c:pt idx="3">
                  <c:v>7.8014184397163108E-2</c:v>
                </c:pt>
                <c:pt idx="4">
                  <c:v>9.2198581560283682E-2</c:v>
                </c:pt>
                <c:pt idx="5">
                  <c:v>0.10638297872340424</c:v>
                </c:pt>
                <c:pt idx="6">
                  <c:v>0.14893617021276595</c:v>
                </c:pt>
                <c:pt idx="7">
                  <c:v>0.16312056737588651</c:v>
                </c:pt>
                <c:pt idx="8">
                  <c:v>0.17730496453900707</c:v>
                </c:pt>
                <c:pt idx="9">
                  <c:v>0.39007092198581561</c:v>
                </c:pt>
                <c:pt idx="10">
                  <c:v>0.75177304964539005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33-4D50-9B97-762F064A4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86112"/>
        <c:axId val="424083712"/>
      </c:scatterChart>
      <c:valAx>
        <c:axId val="4240861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83712"/>
        <c:crosses val="autoZero"/>
        <c:crossBetween val="midCat"/>
      </c:valAx>
      <c:valAx>
        <c:axId val="4240837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8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349250</xdr:colOff>
      <xdr:row>0</xdr:row>
      <xdr:rowOff>0</xdr:rowOff>
    </xdr:from>
    <xdr:to>
      <xdr:col>24</xdr:col>
      <xdr:colOff>31750</xdr:colOff>
      <xdr:row>12</xdr:row>
      <xdr:rowOff>84137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3613DB9-AFD8-8EB4-DB79-1822372CB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341313</xdr:colOff>
      <xdr:row>12</xdr:row>
      <xdr:rowOff>148430</xdr:rowOff>
    </xdr:from>
    <xdr:to>
      <xdr:col>24</xdr:col>
      <xdr:colOff>23813</xdr:colOff>
      <xdr:row>27</xdr:row>
      <xdr:rowOff>153193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E4845F2-8098-0CD4-A53F-971A8FB38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72887</xdr:colOff>
      <xdr:row>0</xdr:row>
      <xdr:rowOff>49695</xdr:rowOff>
    </xdr:from>
    <xdr:to>
      <xdr:col>23</xdr:col>
      <xdr:colOff>377687</xdr:colOff>
      <xdr:row>13</xdr:row>
      <xdr:rowOff>102704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10ABCEF-AAF3-969F-6088-4C18132A9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79512</xdr:colOff>
      <xdr:row>13</xdr:row>
      <xdr:rowOff>135835</xdr:rowOff>
    </xdr:from>
    <xdr:to>
      <xdr:col>23</xdr:col>
      <xdr:colOff>384312</xdr:colOff>
      <xdr:row>27</xdr:row>
      <xdr:rowOff>102704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A140E03-1FBC-BFBD-2A1F-D03EBEDCE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154556</xdr:colOff>
      <xdr:row>0</xdr:row>
      <xdr:rowOff>51758</xdr:rowOff>
    </xdr:from>
    <xdr:to>
      <xdr:col>23</xdr:col>
      <xdr:colOff>449292</xdr:colOff>
      <xdr:row>12</xdr:row>
      <xdr:rowOff>163901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44AAFC5-79A8-151C-8D8C-22037644F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176122</xdr:colOff>
      <xdr:row>13</xdr:row>
      <xdr:rowOff>58946</xdr:rowOff>
    </xdr:from>
    <xdr:to>
      <xdr:col>23</xdr:col>
      <xdr:colOff>470858</xdr:colOff>
      <xdr:row>28</xdr:row>
      <xdr:rowOff>106392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482AD03-F3BD-E173-2256-65CA383ED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198120</xdr:colOff>
      <xdr:row>0</xdr:row>
      <xdr:rowOff>41910</xdr:rowOff>
    </xdr:from>
    <xdr:to>
      <xdr:col>23</xdr:col>
      <xdr:colOff>502920</xdr:colOff>
      <xdr:row>13</xdr:row>
      <xdr:rowOff>125730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F0A3B84-C15E-81D1-D7C8-00CAF950D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182880</xdr:colOff>
      <xdr:row>14</xdr:row>
      <xdr:rowOff>41910</xdr:rowOff>
    </xdr:from>
    <xdr:to>
      <xdr:col>23</xdr:col>
      <xdr:colOff>487680</xdr:colOff>
      <xdr:row>28</xdr:row>
      <xdr:rowOff>41910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37A0F3C-07C4-B2B9-FB64-8D9B42AEA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533A-7520-450E-9A57-AC90476C8EE2}">
  <dimension ref="A1:P12"/>
  <sheetViews>
    <sheetView tabSelected="1" zoomScale="96" workbookViewId="0">
      <selection activeCell="J2" sqref="J2:P2"/>
    </sheetView>
  </sheetViews>
  <sheetFormatPr defaultRowHeight="14.4" x14ac:dyDescent="0.3"/>
  <cols>
    <col min="1" max="1" width="17.6640625" customWidth="1"/>
  </cols>
  <sheetData>
    <row r="1" spans="1:16" ht="36.6" customHeight="1" x14ac:dyDescent="0.3">
      <c r="A1" s="1" t="s">
        <v>33</v>
      </c>
      <c r="B1" s="2" t="s">
        <v>34</v>
      </c>
      <c r="C1" s="3" t="s">
        <v>35</v>
      </c>
      <c r="D1" s="3" t="s">
        <v>36</v>
      </c>
      <c r="E1" s="3" t="s">
        <v>37</v>
      </c>
      <c r="F1" s="2" t="s">
        <v>38</v>
      </c>
      <c r="G1" s="3" t="s">
        <v>39</v>
      </c>
      <c r="H1" s="3" t="s">
        <v>40</v>
      </c>
      <c r="I1" s="4" t="s">
        <v>34</v>
      </c>
      <c r="J1" s="5" t="s">
        <v>34</v>
      </c>
      <c r="K1" s="6" t="s">
        <v>35</v>
      </c>
      <c r="L1" s="7" t="s">
        <v>36</v>
      </c>
      <c r="M1" s="6" t="s">
        <v>37</v>
      </c>
      <c r="N1" s="8" t="s">
        <v>38</v>
      </c>
      <c r="O1" s="6" t="s">
        <v>39</v>
      </c>
      <c r="P1" s="6" t="s">
        <v>40</v>
      </c>
    </row>
    <row r="2" spans="1:16" x14ac:dyDescent="0.3">
      <c r="A2" s="12" t="s">
        <v>2</v>
      </c>
      <c r="B2" s="20">
        <v>0.12973559721794134</v>
      </c>
      <c r="C2" s="20">
        <v>0.12162162162162163</v>
      </c>
      <c r="D2" s="20">
        <v>0.08</v>
      </c>
      <c r="E2" s="20">
        <v>5.0847457627118647E-2</v>
      </c>
      <c r="F2" s="20">
        <v>9.5744680851063829E-2</v>
      </c>
      <c r="G2" s="20">
        <v>0.10526315789473684</v>
      </c>
      <c r="H2" s="20">
        <v>2.7027027027027029E-2</v>
      </c>
      <c r="I2" s="12">
        <v>0.12973559721794101</v>
      </c>
      <c r="J2" s="26">
        <v>0.12973559721794134</v>
      </c>
      <c r="K2" s="26">
        <v>0.12162162162162163</v>
      </c>
      <c r="L2" s="26">
        <v>0.08</v>
      </c>
      <c r="M2" s="26">
        <v>5.0847457627118647E-2</v>
      </c>
      <c r="N2" s="26">
        <v>9.5744680851063829E-2</v>
      </c>
      <c r="O2" s="26">
        <v>0.10526315789473684</v>
      </c>
      <c r="P2" s="26">
        <v>2.7027027027027029E-2</v>
      </c>
    </row>
    <row r="3" spans="1:16" x14ac:dyDescent="0.3">
      <c r="A3" s="12" t="s">
        <v>1</v>
      </c>
      <c r="B3" s="20">
        <v>0.22714785382131036</v>
      </c>
      <c r="C3" s="20">
        <v>9.45945945945946E-2</v>
      </c>
      <c r="D3" s="20">
        <v>0.10666666666666667</v>
      </c>
      <c r="E3" s="20">
        <v>1.6949152542372881E-2</v>
      </c>
      <c r="F3" s="20">
        <v>1.0638297872340425E-2</v>
      </c>
      <c r="G3" s="20">
        <v>0.14473684210526316</v>
      </c>
      <c r="H3" s="20">
        <v>2.7027027027027029E-2</v>
      </c>
      <c r="I3" s="12">
        <v>0.35688345103925134</v>
      </c>
      <c r="J3" s="12">
        <f t="shared" ref="J3:P4" si="0">J2+B3</f>
        <v>0.35688345103925168</v>
      </c>
      <c r="K3" s="12">
        <f t="shared" si="0"/>
        <v>0.21621621621621623</v>
      </c>
      <c r="L3" s="12">
        <f t="shared" si="0"/>
        <v>0.18666666666666668</v>
      </c>
      <c r="M3" s="12">
        <f t="shared" si="0"/>
        <v>6.7796610169491525E-2</v>
      </c>
      <c r="N3" s="12">
        <f t="shared" si="0"/>
        <v>0.10638297872340426</v>
      </c>
      <c r="O3" s="12">
        <f t="shared" si="0"/>
        <v>0.25</v>
      </c>
      <c r="P3" s="12">
        <f t="shared" si="0"/>
        <v>5.4054054054054057E-2</v>
      </c>
    </row>
    <row r="4" spans="1:16" x14ac:dyDescent="0.3">
      <c r="A4" s="12" t="s">
        <v>0</v>
      </c>
      <c r="B4" s="20">
        <v>0.64311654896074832</v>
      </c>
      <c r="C4" s="20">
        <v>0.78378378378378377</v>
      </c>
      <c r="D4" s="20">
        <v>0.81333333333333335</v>
      </c>
      <c r="E4" s="20">
        <v>0.93220338983050843</v>
      </c>
      <c r="F4" s="20">
        <v>0.8936170212765957</v>
      </c>
      <c r="G4" s="20">
        <v>0.75</v>
      </c>
      <c r="H4" s="20">
        <v>0.94594594594594594</v>
      </c>
      <c r="I4" s="12">
        <v>0.99999999999999967</v>
      </c>
      <c r="J4" s="12">
        <f t="shared" si="0"/>
        <v>1</v>
      </c>
      <c r="K4" s="12">
        <f t="shared" si="0"/>
        <v>1</v>
      </c>
      <c r="L4" s="12">
        <f t="shared" si="0"/>
        <v>1</v>
      </c>
      <c r="M4" s="12">
        <f t="shared" si="0"/>
        <v>1</v>
      </c>
      <c r="N4" s="12">
        <f t="shared" si="0"/>
        <v>1</v>
      </c>
      <c r="O4" s="12">
        <f t="shared" si="0"/>
        <v>1</v>
      </c>
      <c r="P4" s="12">
        <f t="shared" si="0"/>
        <v>1</v>
      </c>
    </row>
    <row r="7" spans="1:16" ht="28.8" x14ac:dyDescent="0.3">
      <c r="B7" s="1" t="s">
        <v>33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J7" s="11"/>
      <c r="K7" s="21" t="s">
        <v>47</v>
      </c>
      <c r="L7" s="21" t="s">
        <v>48</v>
      </c>
      <c r="M7" s="21" t="s">
        <v>49</v>
      </c>
      <c r="N7" s="21" t="s">
        <v>50</v>
      </c>
      <c r="O7" s="21" t="s">
        <v>51</v>
      </c>
      <c r="P7" s="21" t="s">
        <v>52</v>
      </c>
    </row>
    <row r="8" spans="1:16" x14ac:dyDescent="0.3">
      <c r="B8" s="12" t="s">
        <v>2</v>
      </c>
      <c r="C8" s="12">
        <f>C2-B2</f>
        <v>-8.1139755963197113E-3</v>
      </c>
      <c r="D8" s="12">
        <f>D2-B2</f>
        <v>-4.9735597217941338E-2</v>
      </c>
      <c r="E8" s="12">
        <f>E2-B2</f>
        <v>-7.8888139590822692E-2</v>
      </c>
      <c r="F8" s="12">
        <f>F2-B2</f>
        <v>-3.3990916366877511E-2</v>
      </c>
      <c r="G8" s="12">
        <f>G2-B2</f>
        <v>-2.4472439323204503E-2</v>
      </c>
      <c r="H8" s="12">
        <f>H2-B2</f>
        <v>-0.10270857019091431</v>
      </c>
      <c r="J8" s="12" t="s">
        <v>2</v>
      </c>
      <c r="K8" s="11">
        <f>($J2-0) * ((K2+0))</f>
        <v>1.5778653715695569E-2</v>
      </c>
      <c r="L8" s="11">
        <f t="shared" ref="L8:P8" si="1">($J2-0) * ((L2+0))</f>
        <v>1.0378847777435307E-2</v>
      </c>
      <c r="M8" s="11">
        <f t="shared" si="1"/>
        <v>6.5967252822682039E-3</v>
      </c>
      <c r="N8" s="11">
        <f t="shared" si="1"/>
        <v>1.2421493350653958E-2</v>
      </c>
      <c r="O8" s="11">
        <f t="shared" si="1"/>
        <v>1.365637865452014E-2</v>
      </c>
      <c r="P8" s="11">
        <f t="shared" si="1"/>
        <v>3.5063674923767932E-3</v>
      </c>
    </row>
    <row r="9" spans="1:16" x14ac:dyDescent="0.3">
      <c r="B9" s="12" t="s">
        <v>1</v>
      </c>
      <c r="C9" s="12">
        <f t="shared" ref="C9:C10" si="2">C3-B3</f>
        <v>-0.13255325922671576</v>
      </c>
      <c r="D9" s="12">
        <f t="shared" ref="D9:D10" si="3">D3-B3</f>
        <v>-0.12048118715464369</v>
      </c>
      <c r="E9" s="12">
        <f t="shared" ref="E9:E10" si="4">E3-B3</f>
        <v>-0.21019870127893747</v>
      </c>
      <c r="F9" s="12">
        <f t="shared" ref="F9:F10" si="5">F3-B3</f>
        <v>-0.21650955594896995</v>
      </c>
      <c r="G9" s="12">
        <f t="shared" ref="G9:G10" si="6">G3-B3</f>
        <v>-8.24110117160472E-2</v>
      </c>
      <c r="H9" s="12">
        <f t="shared" ref="H9:H10" si="7">H3-B3</f>
        <v>-0.20012082679428334</v>
      </c>
      <c r="J9" s="12" t="s">
        <v>1</v>
      </c>
      <c r="K9" s="11">
        <f>($J3-$J2) * ((K3+K2))</f>
        <v>7.6739139804496731E-2</v>
      </c>
      <c r="L9" s="11">
        <f t="shared" ref="L9:P10" si="8">($J3-$J2) * ((L3+L2))</f>
        <v>6.057276101901609E-2</v>
      </c>
      <c r="M9" s="11">
        <f t="shared" si="8"/>
        <v>2.694974536863004E-2</v>
      </c>
      <c r="N9" s="11">
        <f t="shared" si="8"/>
        <v>4.5912864070264861E-2</v>
      </c>
      <c r="O9" s="11">
        <f t="shared" si="8"/>
        <v>8.069726385757077E-2</v>
      </c>
      <c r="P9" s="11">
        <f t="shared" si="8"/>
        <v>1.8417393553079218E-2</v>
      </c>
    </row>
    <row r="10" spans="1:16" x14ac:dyDescent="0.3">
      <c r="B10" s="12" t="s">
        <v>0</v>
      </c>
      <c r="C10" s="12">
        <f t="shared" si="2"/>
        <v>0.14066723482303545</v>
      </c>
      <c r="D10" s="12">
        <f t="shared" si="3"/>
        <v>0.17021678437258503</v>
      </c>
      <c r="E10" s="12">
        <f t="shared" si="4"/>
        <v>0.28908684086976011</v>
      </c>
      <c r="F10" s="12">
        <f t="shared" si="5"/>
        <v>0.25050047231584738</v>
      </c>
      <c r="G10" s="12">
        <f t="shared" si="6"/>
        <v>0.10688345103925168</v>
      </c>
      <c r="H10" s="12">
        <f t="shared" si="7"/>
        <v>0.30282939698519762</v>
      </c>
      <c r="J10" s="12" t="s">
        <v>0</v>
      </c>
      <c r="K10" s="11">
        <f>($J4-$J3) * ((K4+K3))</f>
        <v>0.78216877576307231</v>
      </c>
      <c r="L10" s="11">
        <f t="shared" si="8"/>
        <v>0.76316497143342144</v>
      </c>
      <c r="M10" s="11">
        <f t="shared" si="8"/>
        <v>0.68671767092418889</v>
      </c>
      <c r="N10" s="11">
        <f t="shared" si="8"/>
        <v>0.71153320310550883</v>
      </c>
      <c r="O10" s="11">
        <f t="shared" si="8"/>
        <v>0.80389568620093543</v>
      </c>
      <c r="P10" s="11">
        <f t="shared" si="8"/>
        <v>0.67787960566132921</v>
      </c>
    </row>
    <row r="11" spans="1:16" x14ac:dyDescent="0.3">
      <c r="J11" s="22" t="s">
        <v>53</v>
      </c>
      <c r="K11" s="21">
        <f>SUM(K8:K10)</f>
        <v>0.8746865692832646</v>
      </c>
      <c r="L11" s="21">
        <f t="shared" ref="L11:P11" si="9">SUM(L8:L10)</f>
        <v>0.83411658022987289</v>
      </c>
      <c r="M11" s="21">
        <f t="shared" si="9"/>
        <v>0.72026414157508711</v>
      </c>
      <c r="N11" s="21">
        <f t="shared" si="9"/>
        <v>0.76986756052642769</v>
      </c>
      <c r="O11" s="21">
        <f t="shared" si="9"/>
        <v>0.89824932871302632</v>
      </c>
      <c r="P11" s="21">
        <f t="shared" si="9"/>
        <v>0.69980336670678522</v>
      </c>
    </row>
    <row r="12" spans="1:16" x14ac:dyDescent="0.3">
      <c r="J12" s="23" t="s">
        <v>54</v>
      </c>
      <c r="K12" s="24">
        <f>1-K11</f>
        <v>0.1253134307167354</v>
      </c>
      <c r="L12" s="24">
        <f t="shared" ref="L12:P12" si="10">1-L11</f>
        <v>0.16588341977012711</v>
      </c>
      <c r="M12" s="24">
        <f t="shared" si="10"/>
        <v>0.27973585842491289</v>
      </c>
      <c r="N12" s="24">
        <f t="shared" si="10"/>
        <v>0.23013243947357231</v>
      </c>
      <c r="O12" s="24">
        <f t="shared" si="10"/>
        <v>0.10175067128697368</v>
      </c>
      <c r="P12" s="24">
        <f t="shared" si="10"/>
        <v>0.30019663329321478</v>
      </c>
    </row>
  </sheetData>
  <sortState xmlns:xlrd2="http://schemas.microsoft.com/office/spreadsheetml/2017/richdata2" ref="A2:P5">
    <sortCondition ref="B1:B5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22BA-3EA3-441A-BAF3-96E916A94EFE}">
  <dimension ref="A1:P28"/>
  <sheetViews>
    <sheetView zoomScale="90" zoomScaleNormal="115" workbookViewId="0">
      <selection activeCell="B26" sqref="B26"/>
    </sheetView>
  </sheetViews>
  <sheetFormatPr defaultRowHeight="14.4" x14ac:dyDescent="0.3"/>
  <cols>
    <col min="1" max="1" width="15.33203125" customWidth="1"/>
    <col min="6" max="10" width="9.33203125" bestFit="1" customWidth="1"/>
    <col min="11" max="11" width="11" bestFit="1" customWidth="1"/>
    <col min="12" max="12" width="10.6640625" bestFit="1" customWidth="1"/>
    <col min="13" max="13" width="11" bestFit="1" customWidth="1"/>
    <col min="14" max="14" width="10" bestFit="1" customWidth="1"/>
    <col min="15" max="16" width="11" bestFit="1" customWidth="1"/>
  </cols>
  <sheetData>
    <row r="1" spans="1:16" ht="36.6" customHeight="1" x14ac:dyDescent="0.3">
      <c r="A1" s="13" t="s">
        <v>33</v>
      </c>
      <c r="B1" s="14" t="s">
        <v>34</v>
      </c>
      <c r="C1" s="15" t="s">
        <v>35</v>
      </c>
      <c r="D1" s="15" t="s">
        <v>36</v>
      </c>
      <c r="E1" s="15" t="s">
        <v>37</v>
      </c>
      <c r="F1" s="14" t="s">
        <v>38</v>
      </c>
      <c r="G1" s="15" t="s">
        <v>39</v>
      </c>
      <c r="H1" s="15" t="s">
        <v>40</v>
      </c>
      <c r="I1" s="16" t="s">
        <v>34</v>
      </c>
      <c r="J1" s="17" t="s">
        <v>34</v>
      </c>
      <c r="K1" s="18" t="s">
        <v>35</v>
      </c>
      <c r="L1" s="18" t="s">
        <v>36</v>
      </c>
      <c r="M1" s="18" t="s">
        <v>37</v>
      </c>
      <c r="N1" s="19" t="s">
        <v>38</v>
      </c>
      <c r="O1" s="18" t="s">
        <v>39</v>
      </c>
      <c r="P1" s="18" t="s">
        <v>40</v>
      </c>
    </row>
    <row r="2" spans="1:16" x14ac:dyDescent="0.3">
      <c r="A2" s="12" t="s">
        <v>4</v>
      </c>
      <c r="B2" s="20">
        <v>1.3691694980086853E-2</v>
      </c>
      <c r="C2" s="20">
        <v>0</v>
      </c>
      <c r="D2" s="20">
        <v>1.3071895424836602E-2</v>
      </c>
      <c r="E2" s="20">
        <v>0</v>
      </c>
      <c r="F2" s="20">
        <v>1.7605633802816902E-3</v>
      </c>
      <c r="G2" s="20">
        <v>0</v>
      </c>
      <c r="H2" s="20">
        <v>0</v>
      </c>
      <c r="I2" s="12">
        <v>1.3691694980086853E-2</v>
      </c>
      <c r="J2" s="26">
        <v>1.3691694980086853E-2</v>
      </c>
      <c r="K2" s="26">
        <v>0</v>
      </c>
      <c r="L2" s="26">
        <v>1.3071895424836602E-2</v>
      </c>
      <c r="M2" s="26">
        <v>0</v>
      </c>
      <c r="N2" s="26">
        <v>1.7605633802816902E-3</v>
      </c>
      <c r="O2" s="26">
        <v>0</v>
      </c>
      <c r="P2" s="26">
        <v>0</v>
      </c>
    </row>
    <row r="3" spans="1:16" x14ac:dyDescent="0.3">
      <c r="A3" s="12" t="s">
        <v>5</v>
      </c>
      <c r="B3" s="20">
        <v>2.4593299282226672E-2</v>
      </c>
      <c r="C3" s="20">
        <v>6.0518731988472622E-2</v>
      </c>
      <c r="D3" s="20">
        <v>7.1895424836601302E-2</v>
      </c>
      <c r="E3" s="20">
        <v>4.2682926829268296E-2</v>
      </c>
      <c r="F3" s="20">
        <v>7.0422535211267609E-2</v>
      </c>
      <c r="G3" s="20">
        <v>5.6722689075630252E-2</v>
      </c>
      <c r="H3" s="20">
        <v>7.6923076923076927E-2</v>
      </c>
      <c r="I3" s="12">
        <v>3.8284994262313521E-2</v>
      </c>
      <c r="J3" s="12">
        <f>J2+B3</f>
        <v>3.8284994262313521E-2</v>
      </c>
      <c r="K3" s="12">
        <f>K2+C3</f>
        <v>6.0518731988472622E-2</v>
      </c>
      <c r="L3" s="12">
        <f t="shared" ref="L3:P12" si="0">L2+D3</f>
        <v>8.4967320261437898E-2</v>
      </c>
      <c r="M3" s="12">
        <f t="shared" si="0"/>
        <v>4.2682926829268296E-2</v>
      </c>
      <c r="N3" s="12">
        <f t="shared" si="0"/>
        <v>7.2183098591549297E-2</v>
      </c>
      <c r="O3" s="12">
        <f t="shared" si="0"/>
        <v>5.6722689075630252E-2</v>
      </c>
      <c r="P3" s="12">
        <f t="shared" si="0"/>
        <v>7.6923076923076927E-2</v>
      </c>
    </row>
    <row r="4" spans="1:16" x14ac:dyDescent="0.3">
      <c r="A4" s="12" t="s">
        <v>12</v>
      </c>
      <c r="B4" s="20">
        <v>2.7132131794283313E-2</v>
      </c>
      <c r="C4" s="20">
        <v>1.7291066282420751E-2</v>
      </c>
      <c r="D4" s="20">
        <v>0</v>
      </c>
      <c r="E4" s="20">
        <v>6.0975609756097563E-3</v>
      </c>
      <c r="F4" s="20">
        <v>0</v>
      </c>
      <c r="G4" s="20">
        <v>4.2016806722689074E-3</v>
      </c>
      <c r="H4" s="20">
        <v>3.0100334448160536E-2</v>
      </c>
      <c r="I4" s="12">
        <v>6.541712605659683E-2</v>
      </c>
      <c r="J4" s="12">
        <f t="shared" ref="J4:K12" si="1">J3+B4</f>
        <v>6.541712605659683E-2</v>
      </c>
      <c r="K4" s="12">
        <f t="shared" si="1"/>
        <v>7.7809798270893377E-2</v>
      </c>
      <c r="L4" s="12">
        <f t="shared" si="0"/>
        <v>8.4967320261437898E-2</v>
      </c>
      <c r="M4" s="12">
        <f t="shared" si="0"/>
        <v>4.878048780487805E-2</v>
      </c>
      <c r="N4" s="12">
        <f t="shared" si="0"/>
        <v>7.2183098591549297E-2</v>
      </c>
      <c r="O4" s="12">
        <f t="shared" si="0"/>
        <v>6.0924369747899158E-2</v>
      </c>
      <c r="P4" s="12">
        <f t="shared" si="0"/>
        <v>0.10702341137123747</v>
      </c>
    </row>
    <row r="5" spans="1:16" x14ac:dyDescent="0.3">
      <c r="A5" s="12" t="s">
        <v>7</v>
      </c>
      <c r="B5" s="20">
        <v>2.8455924817556572E-2</v>
      </c>
      <c r="C5" s="20">
        <v>4.3227665706051875E-2</v>
      </c>
      <c r="D5" s="20">
        <v>3.2679738562091505E-2</v>
      </c>
      <c r="E5" s="20">
        <v>1.8292682926829267E-2</v>
      </c>
      <c r="F5" s="20">
        <v>3.5211267605633804E-2</v>
      </c>
      <c r="G5" s="20">
        <v>1.680672268907563E-2</v>
      </c>
      <c r="H5" s="20">
        <v>0</v>
      </c>
      <c r="I5" s="12">
        <v>9.3873050874153402E-2</v>
      </c>
      <c r="J5" s="12">
        <f t="shared" si="1"/>
        <v>9.3873050874153402E-2</v>
      </c>
      <c r="K5" s="12">
        <f t="shared" si="1"/>
        <v>0.12103746397694526</v>
      </c>
      <c r="L5" s="12">
        <f t="shared" si="0"/>
        <v>0.11764705882352941</v>
      </c>
      <c r="M5" s="12">
        <f t="shared" si="0"/>
        <v>6.7073170731707321E-2</v>
      </c>
      <c r="N5" s="12">
        <f t="shared" si="0"/>
        <v>0.10739436619718309</v>
      </c>
      <c r="O5" s="12">
        <f t="shared" si="0"/>
        <v>7.7731092436974791E-2</v>
      </c>
      <c r="P5" s="12">
        <f t="shared" si="0"/>
        <v>0.10702341137123747</v>
      </c>
    </row>
    <row r="6" spans="1:16" x14ac:dyDescent="0.3">
      <c r="A6" s="12" t="s">
        <v>6</v>
      </c>
      <c r="B6" s="20">
        <v>3.063099550735399E-2</v>
      </c>
      <c r="C6" s="20">
        <v>2.3054755043227664E-2</v>
      </c>
      <c r="D6" s="20">
        <v>1.9607843137254902E-2</v>
      </c>
      <c r="E6" s="20">
        <v>0</v>
      </c>
      <c r="F6" s="20">
        <v>1.7605633802816902E-3</v>
      </c>
      <c r="G6" s="20">
        <v>2.1008403361344537E-3</v>
      </c>
      <c r="H6" s="20">
        <v>0</v>
      </c>
      <c r="I6" s="12">
        <v>0.12450404638150739</v>
      </c>
      <c r="J6" s="12">
        <f t="shared" si="1"/>
        <v>0.12450404638150739</v>
      </c>
      <c r="K6" s="12">
        <f t="shared" si="1"/>
        <v>0.14409221902017291</v>
      </c>
      <c r="L6" s="12">
        <f t="shared" si="0"/>
        <v>0.13725490196078433</v>
      </c>
      <c r="M6" s="12">
        <f t="shared" si="0"/>
        <v>6.7073170731707321E-2</v>
      </c>
      <c r="N6" s="12">
        <f t="shared" si="0"/>
        <v>0.10915492957746478</v>
      </c>
      <c r="O6" s="12">
        <f t="shared" si="0"/>
        <v>7.9831932773109252E-2</v>
      </c>
      <c r="P6" s="12">
        <f t="shared" si="0"/>
        <v>0.10702341137123747</v>
      </c>
    </row>
    <row r="7" spans="1:16" x14ac:dyDescent="0.3">
      <c r="A7" s="12" t="s">
        <v>10</v>
      </c>
      <c r="B7" s="20">
        <v>3.1977289261901014E-2</v>
      </c>
      <c r="C7" s="20">
        <v>1.4409221902017291E-2</v>
      </c>
      <c r="D7" s="20">
        <v>2.6143790849673203E-2</v>
      </c>
      <c r="E7" s="20">
        <v>1.2195121951219513E-2</v>
      </c>
      <c r="F7" s="20">
        <v>0</v>
      </c>
      <c r="G7" s="20">
        <v>8.4033613445378148E-3</v>
      </c>
      <c r="H7" s="20">
        <v>1.6722408026755852E-2</v>
      </c>
      <c r="I7" s="12">
        <v>0.15648133564340841</v>
      </c>
      <c r="J7" s="12">
        <f t="shared" si="1"/>
        <v>0.15648133564340841</v>
      </c>
      <c r="K7" s="12">
        <f t="shared" si="1"/>
        <v>0.15850144092219021</v>
      </c>
      <c r="L7" s="12">
        <f t="shared" si="0"/>
        <v>0.16339869281045752</v>
      </c>
      <c r="M7" s="12">
        <f t="shared" si="0"/>
        <v>7.926829268292683E-2</v>
      </c>
      <c r="N7" s="12">
        <f t="shared" si="0"/>
        <v>0.10915492957746478</v>
      </c>
      <c r="O7" s="12">
        <f t="shared" si="0"/>
        <v>8.8235294117647065E-2</v>
      </c>
      <c r="P7" s="12">
        <f t="shared" si="0"/>
        <v>0.12374581939799333</v>
      </c>
    </row>
    <row r="8" spans="1:16" x14ac:dyDescent="0.3">
      <c r="A8" s="12" t="s">
        <v>11</v>
      </c>
      <c r="B8" s="20">
        <v>4.4063932077792529E-2</v>
      </c>
      <c r="C8" s="20">
        <v>5.1873198847262249E-2</v>
      </c>
      <c r="D8" s="20">
        <v>7.1895424836601302E-2</v>
      </c>
      <c r="E8" s="20">
        <v>7.926829268292683E-2</v>
      </c>
      <c r="F8" s="20">
        <v>7.0422535211267609E-2</v>
      </c>
      <c r="G8" s="20">
        <v>9.0336134453781511E-2</v>
      </c>
      <c r="H8" s="20">
        <v>8.6956521739130432E-2</v>
      </c>
      <c r="I8" s="12">
        <v>0.20054526772120093</v>
      </c>
      <c r="J8" s="12">
        <f t="shared" si="1"/>
        <v>0.20054526772120093</v>
      </c>
      <c r="K8" s="12">
        <f t="shared" si="1"/>
        <v>0.21037463976945245</v>
      </c>
      <c r="L8" s="12">
        <f t="shared" si="0"/>
        <v>0.23529411764705882</v>
      </c>
      <c r="M8" s="12">
        <f t="shared" si="0"/>
        <v>0.15853658536585366</v>
      </c>
      <c r="N8" s="12">
        <f t="shared" si="0"/>
        <v>0.17957746478873238</v>
      </c>
      <c r="O8" s="12">
        <f t="shared" si="0"/>
        <v>0.17857142857142858</v>
      </c>
      <c r="P8" s="12">
        <f t="shared" si="0"/>
        <v>0.21070234113712377</v>
      </c>
    </row>
    <row r="9" spans="1:16" x14ac:dyDescent="0.3">
      <c r="A9" s="12" t="s">
        <v>8</v>
      </c>
      <c r="B9" s="20">
        <v>6.8132214296964658E-2</v>
      </c>
      <c r="C9" s="20">
        <v>0.14697406340057637</v>
      </c>
      <c r="D9" s="20">
        <v>0.27450980392156865</v>
      </c>
      <c r="E9" s="20">
        <v>0.36585365853658536</v>
      </c>
      <c r="F9" s="20">
        <v>0.10211267605633803</v>
      </c>
      <c r="G9" s="20">
        <v>9.6638655462184878E-2</v>
      </c>
      <c r="H9" s="20">
        <v>7.6923076923076927E-2</v>
      </c>
      <c r="I9" s="12">
        <v>0.2686774820181656</v>
      </c>
      <c r="J9" s="12">
        <f t="shared" si="1"/>
        <v>0.2686774820181656</v>
      </c>
      <c r="K9" s="12">
        <f t="shared" si="1"/>
        <v>0.35734870317002881</v>
      </c>
      <c r="L9" s="12">
        <f t="shared" si="0"/>
        <v>0.50980392156862742</v>
      </c>
      <c r="M9" s="12">
        <f t="shared" si="0"/>
        <v>0.52439024390243905</v>
      </c>
      <c r="N9" s="12">
        <f t="shared" si="0"/>
        <v>0.28169014084507038</v>
      </c>
      <c r="O9" s="12">
        <f t="shared" si="0"/>
        <v>0.27521008403361347</v>
      </c>
      <c r="P9" s="12">
        <f t="shared" si="0"/>
        <v>0.2876254180602007</v>
      </c>
    </row>
    <row r="10" spans="1:16" x14ac:dyDescent="0.3">
      <c r="A10" s="12" t="s">
        <v>9</v>
      </c>
      <c r="B10" s="20">
        <v>7.3802398577953787E-2</v>
      </c>
      <c r="C10" s="20">
        <v>4.6109510086455328E-2</v>
      </c>
      <c r="D10" s="20">
        <v>0.11764705882352941</v>
      </c>
      <c r="E10" s="20">
        <v>6.097560975609756E-2</v>
      </c>
      <c r="F10" s="20">
        <v>0.13204225352112675</v>
      </c>
      <c r="G10" s="20">
        <v>0.1092436974789916</v>
      </c>
      <c r="H10" s="20">
        <v>0.11036789297658862</v>
      </c>
      <c r="I10" s="12">
        <v>0.34247988059611939</v>
      </c>
      <c r="J10" s="12">
        <f t="shared" si="1"/>
        <v>0.34247988059611939</v>
      </c>
      <c r="K10" s="12">
        <f t="shared" si="1"/>
        <v>0.40345821325648412</v>
      </c>
      <c r="L10" s="12">
        <f t="shared" si="0"/>
        <v>0.62745098039215685</v>
      </c>
      <c r="M10" s="12">
        <f t="shared" si="0"/>
        <v>0.58536585365853666</v>
      </c>
      <c r="N10" s="12">
        <f t="shared" si="0"/>
        <v>0.41373239436619713</v>
      </c>
      <c r="O10" s="12">
        <f t="shared" si="0"/>
        <v>0.38445378151260506</v>
      </c>
      <c r="P10" s="12">
        <f t="shared" si="0"/>
        <v>0.39799331103678931</v>
      </c>
    </row>
    <row r="11" spans="1:16" x14ac:dyDescent="0.3">
      <c r="A11" s="12" t="s">
        <v>13</v>
      </c>
      <c r="B11" s="20">
        <v>7.7597521919462384E-2</v>
      </c>
      <c r="C11" s="20">
        <v>0.16714697406340057</v>
      </c>
      <c r="D11" s="20">
        <v>8.4967320261437912E-2</v>
      </c>
      <c r="E11" s="20">
        <v>0.16463414634146342</v>
      </c>
      <c r="F11" s="20">
        <v>0.21126760563380281</v>
      </c>
      <c r="G11" s="20">
        <v>0.21008403361344538</v>
      </c>
      <c r="H11" s="20">
        <v>0.20066889632107024</v>
      </c>
      <c r="I11" s="12">
        <v>0.42007740251558179</v>
      </c>
      <c r="J11" s="12">
        <f t="shared" si="1"/>
        <v>0.42007740251558179</v>
      </c>
      <c r="K11" s="12">
        <f t="shared" si="1"/>
        <v>0.57060518731988474</v>
      </c>
      <c r="L11" s="12">
        <f t="shared" si="0"/>
        <v>0.71241830065359479</v>
      </c>
      <c r="M11" s="12">
        <f t="shared" si="0"/>
        <v>0.75000000000000011</v>
      </c>
      <c r="N11" s="12">
        <f t="shared" si="0"/>
        <v>0.625</v>
      </c>
      <c r="O11" s="12">
        <f t="shared" si="0"/>
        <v>0.59453781512605042</v>
      </c>
      <c r="P11" s="12">
        <f t="shared" si="0"/>
        <v>0.59866220735785958</v>
      </c>
    </row>
    <row r="12" spans="1:16" x14ac:dyDescent="0.3">
      <c r="A12" s="12" t="s">
        <v>3</v>
      </c>
      <c r="B12" s="20">
        <v>0.57992259748441821</v>
      </c>
      <c r="C12" s="20">
        <v>0.42939481268011526</v>
      </c>
      <c r="D12" s="20">
        <v>0.28758169934640521</v>
      </c>
      <c r="E12" s="20">
        <v>0.25</v>
      </c>
      <c r="F12" s="20">
        <v>0.375</v>
      </c>
      <c r="G12" s="20">
        <v>0.40546218487394958</v>
      </c>
      <c r="H12" s="20">
        <v>0.40133779264214048</v>
      </c>
      <c r="I12" s="12">
        <v>1</v>
      </c>
      <c r="J12" s="12">
        <f t="shared" si="1"/>
        <v>1</v>
      </c>
      <c r="K12" s="12">
        <f t="shared" si="1"/>
        <v>1</v>
      </c>
      <c r="L12" s="12">
        <f t="shared" si="0"/>
        <v>1</v>
      </c>
      <c r="M12" s="12">
        <f t="shared" si="0"/>
        <v>1</v>
      </c>
      <c r="N12" s="12">
        <f t="shared" si="0"/>
        <v>1</v>
      </c>
      <c r="O12" s="12">
        <f t="shared" si="0"/>
        <v>1</v>
      </c>
      <c r="P12" s="12">
        <f t="shared" si="0"/>
        <v>1</v>
      </c>
    </row>
    <row r="15" spans="1:16" ht="28.8" x14ac:dyDescent="0.3">
      <c r="B15" s="1" t="s">
        <v>33</v>
      </c>
      <c r="C15" s="3" t="s">
        <v>41</v>
      </c>
      <c r="D15" s="3" t="s">
        <v>42</v>
      </c>
      <c r="E15" s="3" t="s">
        <v>43</v>
      </c>
      <c r="F15" s="3" t="s">
        <v>44</v>
      </c>
      <c r="G15" s="3" t="s">
        <v>45</v>
      </c>
      <c r="H15" s="3" t="s">
        <v>46</v>
      </c>
      <c r="J15" s="11"/>
      <c r="K15" s="21" t="s">
        <v>47</v>
      </c>
      <c r="L15" s="21" t="s">
        <v>48</v>
      </c>
      <c r="M15" s="21" t="s">
        <v>49</v>
      </c>
      <c r="N15" s="21" t="s">
        <v>50</v>
      </c>
      <c r="O15" s="21" t="s">
        <v>51</v>
      </c>
      <c r="P15" s="21" t="s">
        <v>52</v>
      </c>
    </row>
    <row r="16" spans="1:16" x14ac:dyDescent="0.3">
      <c r="B16" s="12" t="s">
        <v>4</v>
      </c>
      <c r="C16" s="12">
        <f>C2-B2</f>
        <v>-1.3691694980086853E-2</v>
      </c>
      <c r="D16" s="12">
        <f>D2-B2</f>
        <v>-6.1979955525025103E-4</v>
      </c>
      <c r="E16" s="12">
        <f>E2-B2</f>
        <v>-1.3691694980086853E-2</v>
      </c>
      <c r="F16" s="12">
        <f>F2-B2</f>
        <v>-1.1931131599805163E-2</v>
      </c>
      <c r="G16" s="12">
        <f>G2-B2</f>
        <v>-1.3691694980086853E-2</v>
      </c>
      <c r="H16" s="12">
        <f>H2-B2</f>
        <v>-1.3691694980086853E-2</v>
      </c>
      <c r="J16" s="12" t="s">
        <v>4</v>
      </c>
      <c r="K16" s="11">
        <f>($J2-0) * ((K2+0))</f>
        <v>0</v>
      </c>
      <c r="L16" s="11">
        <f t="shared" ref="L16:P16" si="2">($J2-0) * ((L2+0))</f>
        <v>1.789764049684556E-4</v>
      </c>
      <c r="M16" s="11">
        <f t="shared" si="2"/>
        <v>0</v>
      </c>
      <c r="N16" s="11">
        <f t="shared" si="2"/>
        <v>2.410509679592756E-5</v>
      </c>
      <c r="O16" s="11">
        <f t="shared" si="2"/>
        <v>0</v>
      </c>
      <c r="P16" s="11">
        <f t="shared" si="2"/>
        <v>0</v>
      </c>
    </row>
    <row r="17" spans="2:16" x14ac:dyDescent="0.3">
      <c r="B17" s="12" t="s">
        <v>5</v>
      </c>
      <c r="C17" s="12">
        <f t="shared" ref="C17:C26" si="3">C3-B3</f>
        <v>3.5925432706245951E-2</v>
      </c>
      <c r="D17" s="12">
        <f t="shared" ref="D17:D26" si="4">D3-B3</f>
        <v>4.730212555437463E-2</v>
      </c>
      <c r="E17" s="12">
        <f t="shared" ref="E17:E26" si="5">E3-B3</f>
        <v>1.8089627547041624E-2</v>
      </c>
      <c r="F17" s="12">
        <f t="shared" ref="F17:F26" si="6">F3-B3</f>
        <v>4.5829235929040937E-2</v>
      </c>
      <c r="G17" s="12">
        <f t="shared" ref="G17:G26" si="7">G3-B3</f>
        <v>3.212938979340358E-2</v>
      </c>
      <c r="H17" s="12">
        <f t="shared" ref="H17:H26" si="8">H3-B3</f>
        <v>5.2329777640850256E-2</v>
      </c>
      <c r="J17" s="12" t="s">
        <v>5</v>
      </c>
      <c r="K17" s="11">
        <f>($J3-$J2) * ((K3+K2))</f>
        <v>1.4883552879733719E-3</v>
      </c>
      <c r="L17" s="11">
        <f t="shared" ref="L17:P17" si="9">($J3-$J2) * ((L3+L2))</f>
        <v>2.4111077727673202E-3</v>
      </c>
      <c r="M17" s="11">
        <f t="shared" si="9"/>
        <v>1.0497139937535773E-3</v>
      </c>
      <c r="N17" s="11">
        <f t="shared" si="9"/>
        <v>1.8185186088970422E-3</v>
      </c>
      <c r="O17" s="11">
        <f t="shared" si="9"/>
        <v>1.3949980685296639E-3</v>
      </c>
      <c r="P17" s="11">
        <f t="shared" si="9"/>
        <v>1.8917922524789746E-3</v>
      </c>
    </row>
    <row r="18" spans="2:16" x14ac:dyDescent="0.3">
      <c r="B18" s="12" t="s">
        <v>12</v>
      </c>
      <c r="C18" s="12">
        <f t="shared" si="3"/>
        <v>-9.8410655118625623E-3</v>
      </c>
      <c r="D18" s="12">
        <f t="shared" si="4"/>
        <v>-2.7132131794283313E-2</v>
      </c>
      <c r="E18" s="12">
        <f t="shared" si="5"/>
        <v>-2.1034570818673555E-2</v>
      </c>
      <c r="F18" s="12">
        <f t="shared" si="6"/>
        <v>-2.7132131794283313E-2</v>
      </c>
      <c r="G18" s="12">
        <f t="shared" si="7"/>
        <v>-2.2930451122014407E-2</v>
      </c>
      <c r="H18" s="12">
        <f t="shared" si="8"/>
        <v>2.9682026538772228E-3</v>
      </c>
      <c r="J18" s="12" t="s">
        <v>12</v>
      </c>
      <c r="K18" s="11">
        <f t="shared" ref="K18:P26" si="10">($J4-$J3) * ((K4+K3))</f>
        <v>3.7531479139066254E-3</v>
      </c>
      <c r="L18" s="11">
        <f t="shared" si="10"/>
        <v>4.610689063080823E-3</v>
      </c>
      <c r="M18" s="11">
        <f t="shared" si="10"/>
        <v>2.4815974202088394E-3</v>
      </c>
      <c r="N18" s="11">
        <f t="shared" si="10"/>
        <v>3.9169626886113229E-3</v>
      </c>
      <c r="O18" s="11">
        <f t="shared" si="10"/>
        <v>3.1920155052098009E-3</v>
      </c>
      <c r="P18" s="11">
        <f t="shared" si="10"/>
        <v>4.9908603634969302E-3</v>
      </c>
    </row>
    <row r="19" spans="2:16" x14ac:dyDescent="0.3">
      <c r="B19" s="12" t="s">
        <v>7</v>
      </c>
      <c r="C19" s="12">
        <f t="shared" si="3"/>
        <v>1.4771740888495304E-2</v>
      </c>
      <c r="D19" s="12">
        <f t="shared" si="4"/>
        <v>4.2238137445349336E-3</v>
      </c>
      <c r="E19" s="12">
        <f t="shared" si="5"/>
        <v>-1.0163241890727304E-2</v>
      </c>
      <c r="F19" s="12">
        <f t="shared" si="6"/>
        <v>6.7553427880772329E-3</v>
      </c>
      <c r="G19" s="12">
        <f t="shared" si="7"/>
        <v>-1.1649202128480942E-2</v>
      </c>
      <c r="H19" s="12">
        <f t="shared" si="8"/>
        <v>-2.8455924817556572E-2</v>
      </c>
      <c r="J19" s="12" t="s">
        <v>7</v>
      </c>
      <c r="K19" s="11">
        <f t="shared" si="10"/>
        <v>5.6583827447014515E-3</v>
      </c>
      <c r="L19" s="11">
        <f t="shared" si="10"/>
        <v>5.7655795381977371E-3</v>
      </c>
      <c r="M19" s="11">
        <f t="shared" si="10"/>
        <v>3.2967229971559444E-3</v>
      </c>
      <c r="N19" s="11">
        <f t="shared" si="10"/>
        <v>5.1100428369555808E-3</v>
      </c>
      <c r="O19" s="11">
        <f t="shared" si="10"/>
        <v>3.9455694074763317E-3</v>
      </c>
      <c r="P19" s="11">
        <f t="shared" si="10"/>
        <v>6.0909002953967251E-3</v>
      </c>
    </row>
    <row r="20" spans="2:16" x14ac:dyDescent="0.3">
      <c r="B20" s="12" t="s">
        <v>6</v>
      </c>
      <c r="C20" s="12">
        <f t="shared" si="3"/>
        <v>-7.5762404641263256E-3</v>
      </c>
      <c r="D20" s="12">
        <f t="shared" si="4"/>
        <v>-1.1023152370099088E-2</v>
      </c>
      <c r="E20" s="12">
        <f t="shared" si="5"/>
        <v>-3.063099550735399E-2</v>
      </c>
      <c r="F20" s="12">
        <f t="shared" si="6"/>
        <v>-2.8870432127072299E-2</v>
      </c>
      <c r="G20" s="12">
        <f t="shared" si="7"/>
        <v>-2.8530155171219537E-2</v>
      </c>
      <c r="H20" s="12">
        <f t="shared" si="8"/>
        <v>-3.063099550735399E-2</v>
      </c>
      <c r="J20" s="12" t="s">
        <v>6</v>
      </c>
      <c r="K20" s="11">
        <f t="shared" si="10"/>
        <v>8.1211861287509117E-3</v>
      </c>
      <c r="L20" s="11">
        <f t="shared" si="10"/>
        <v>7.807900815600035E-3</v>
      </c>
      <c r="M20" s="11">
        <f t="shared" si="10"/>
        <v>4.1090359826938278E-3</v>
      </c>
      <c r="N20" s="11">
        <f t="shared" si="10"/>
        <v>6.6331205059939084E-3</v>
      </c>
      <c r="O20" s="11">
        <f t="shared" si="10"/>
        <v>4.8263123173351869E-3</v>
      </c>
      <c r="P20" s="11">
        <f t="shared" si="10"/>
        <v>6.5564672657881448E-3</v>
      </c>
    </row>
    <row r="21" spans="2:16" x14ac:dyDescent="0.3">
      <c r="B21" s="12" t="s">
        <v>10</v>
      </c>
      <c r="C21" s="12">
        <f t="shared" si="3"/>
        <v>-1.7568067359883723E-2</v>
      </c>
      <c r="D21" s="12">
        <f t="shared" si="4"/>
        <v>-5.8334984122278104E-3</v>
      </c>
      <c r="E21" s="12">
        <f t="shared" si="5"/>
        <v>-1.9782167310681501E-2</v>
      </c>
      <c r="F21" s="12">
        <f t="shared" si="6"/>
        <v>-3.1977289261901014E-2</v>
      </c>
      <c r="G21" s="12">
        <f t="shared" si="7"/>
        <v>-2.3573927917363201E-2</v>
      </c>
      <c r="H21" s="12">
        <f t="shared" si="8"/>
        <v>-1.5254881235145162E-2</v>
      </c>
      <c r="J21" s="12" t="s">
        <v>10</v>
      </c>
      <c r="K21" s="11">
        <f t="shared" si="10"/>
        <v>9.676124992794256E-3</v>
      </c>
      <c r="L21" s="11">
        <f t="shared" si="10"/>
        <v>9.6140869676303743E-3</v>
      </c>
      <c r="M21" s="11">
        <f t="shared" si="10"/>
        <v>4.679603306619662E-3</v>
      </c>
      <c r="N21" s="11">
        <f t="shared" si="10"/>
        <v>6.9809575149220532E-3</v>
      </c>
      <c r="O21" s="11">
        <f t="shared" si="10"/>
        <v>5.3743343297312646E-3</v>
      </c>
      <c r="P21" s="11">
        <f t="shared" si="10"/>
        <v>7.3793744450540823E-3</v>
      </c>
    </row>
    <row r="22" spans="2:16" x14ac:dyDescent="0.3">
      <c r="B22" s="12" t="s">
        <v>11</v>
      </c>
      <c r="C22" s="12">
        <f t="shared" si="3"/>
        <v>7.8092667694697193E-3</v>
      </c>
      <c r="D22" s="12">
        <f t="shared" si="4"/>
        <v>2.7831492758808772E-2</v>
      </c>
      <c r="E22" s="12">
        <f t="shared" si="5"/>
        <v>3.5204360605134301E-2</v>
      </c>
      <c r="F22" s="12">
        <f t="shared" si="6"/>
        <v>2.6358603133475079E-2</v>
      </c>
      <c r="G22" s="12">
        <f t="shared" si="7"/>
        <v>4.6272202375988981E-2</v>
      </c>
      <c r="H22" s="12">
        <f t="shared" si="8"/>
        <v>4.2892589661337903E-2</v>
      </c>
      <c r="J22" s="12" t="s">
        <v>11</v>
      </c>
      <c r="K22" s="11">
        <f t="shared" si="10"/>
        <v>1.6254130564718857E-2</v>
      </c>
      <c r="L22" s="11">
        <f t="shared" si="10"/>
        <v>1.756797291990421E-2</v>
      </c>
      <c r="M22" s="11">
        <f t="shared" si="10"/>
        <v>1.0478617994109197E-2</v>
      </c>
      <c r="N22" s="11">
        <f t="shared" si="10"/>
        <v>1.2722684614010514E-2</v>
      </c>
      <c r="O22" s="11">
        <f t="shared" si="10"/>
        <v>1.1756553306469854E-2</v>
      </c>
      <c r="P22" s="11">
        <f t="shared" si="10"/>
        <v>1.473710102936205E-2</v>
      </c>
    </row>
    <row r="23" spans="2:16" x14ac:dyDescent="0.3">
      <c r="B23" s="12" t="s">
        <v>8</v>
      </c>
      <c r="C23" s="12">
        <f t="shared" si="3"/>
        <v>7.8841849103611708E-2</v>
      </c>
      <c r="D23" s="12">
        <f t="shared" si="4"/>
        <v>0.20637758962460401</v>
      </c>
      <c r="E23" s="12">
        <f t="shared" si="5"/>
        <v>0.29772144423962071</v>
      </c>
      <c r="F23" s="12">
        <f t="shared" si="6"/>
        <v>3.3980461759373373E-2</v>
      </c>
      <c r="G23" s="12">
        <f t="shared" si="7"/>
        <v>2.850644116522022E-2</v>
      </c>
      <c r="H23" s="12">
        <f t="shared" si="8"/>
        <v>8.7908626261122697E-3</v>
      </c>
      <c r="J23" s="12" t="s">
        <v>8</v>
      </c>
      <c r="K23" s="11">
        <f t="shared" si="10"/>
        <v>3.8680248462541901E-2</v>
      </c>
      <c r="L23" s="11">
        <f t="shared" si="10"/>
        <v>5.0765179280091326E-2</v>
      </c>
      <c r="M23" s="11">
        <f t="shared" si="10"/>
        <v>4.6529317080853928E-2</v>
      </c>
      <c r="N23" s="11">
        <f t="shared" si="10"/>
        <v>3.1427183355290038E-2</v>
      </c>
      <c r="O23" s="11">
        <f t="shared" si="10"/>
        <v>3.09171392608075E-2</v>
      </c>
      <c r="P23" s="11">
        <f t="shared" si="10"/>
        <v>3.3952173679758321E-2</v>
      </c>
    </row>
    <row r="24" spans="2:16" x14ac:dyDescent="0.3">
      <c r="B24" s="12" t="s">
        <v>9</v>
      </c>
      <c r="C24" s="12">
        <f t="shared" si="3"/>
        <v>-2.7692888491498459E-2</v>
      </c>
      <c r="D24" s="12">
        <f t="shared" si="4"/>
        <v>4.3844660245575623E-2</v>
      </c>
      <c r="E24" s="12">
        <f t="shared" si="5"/>
        <v>-1.2826788821856228E-2</v>
      </c>
      <c r="F24" s="12">
        <f t="shared" si="6"/>
        <v>5.8239854943172964E-2</v>
      </c>
      <c r="G24" s="12">
        <f t="shared" si="7"/>
        <v>3.544129890103781E-2</v>
      </c>
      <c r="H24" s="12">
        <f t="shared" si="8"/>
        <v>3.6565494398634837E-2</v>
      </c>
      <c r="J24" s="12" t="s">
        <v>9</v>
      </c>
      <c r="K24" s="11">
        <f t="shared" si="10"/>
        <v>5.6149375286973488E-2</v>
      </c>
      <c r="L24" s="11">
        <f t="shared" si="10"/>
        <v>8.3932139559241559E-2</v>
      </c>
      <c r="M24" s="11">
        <f t="shared" si="10"/>
        <v>8.1902661836509696E-2</v>
      </c>
      <c r="N24" s="11">
        <f t="shared" si="10"/>
        <v>5.1323851123753067E-2</v>
      </c>
      <c r="O24" s="11">
        <f t="shared" si="10"/>
        <v>4.8684775532515739E-2</v>
      </c>
      <c r="P24" s="11">
        <f t="shared" si="10"/>
        <v>5.0600306717326175E-2</v>
      </c>
    </row>
    <row r="25" spans="2:16" x14ac:dyDescent="0.3">
      <c r="B25" s="12" t="s">
        <v>13</v>
      </c>
      <c r="C25" s="12">
        <f t="shared" si="3"/>
        <v>8.9549452143938182E-2</v>
      </c>
      <c r="D25" s="12">
        <f t="shared" si="4"/>
        <v>7.3697983419755281E-3</v>
      </c>
      <c r="E25" s="12">
        <f t="shared" si="5"/>
        <v>8.7036624422001038E-2</v>
      </c>
      <c r="F25" s="12">
        <f t="shared" si="6"/>
        <v>0.13367008371434042</v>
      </c>
      <c r="G25" s="12">
        <f t="shared" si="7"/>
        <v>0.13248651169398301</v>
      </c>
      <c r="H25" s="12">
        <f t="shared" si="8"/>
        <v>0.12307137440160786</v>
      </c>
      <c r="J25" s="12" t="s">
        <v>13</v>
      </c>
      <c r="K25" s="11">
        <f t="shared" si="10"/>
        <v>7.558490607717086E-2</v>
      </c>
      <c r="L25" s="11">
        <f t="shared" si="10"/>
        <v>0.10397053590516205</v>
      </c>
      <c r="M25" s="11">
        <f t="shared" si="10"/>
        <v>0.10362108109976992</v>
      </c>
      <c r="N25" s="11">
        <f t="shared" si="10"/>
        <v>8.0603059740286628E-2</v>
      </c>
      <c r="O25" s="11">
        <f t="shared" si="10"/>
        <v>7.5967321879137559E-2</v>
      </c>
      <c r="P25" s="11">
        <f t="shared" si="10"/>
        <v>7.7337998434781924E-2</v>
      </c>
    </row>
    <row r="26" spans="2:16" x14ac:dyDescent="0.3">
      <c r="B26" s="12" t="s">
        <v>3</v>
      </c>
      <c r="C26" s="12">
        <f t="shared" si="3"/>
        <v>-0.15052778480430296</v>
      </c>
      <c r="D26" s="12">
        <f t="shared" si="4"/>
        <v>-0.29234089813801301</v>
      </c>
      <c r="E26" s="12">
        <f t="shared" si="5"/>
        <v>-0.32992259748441821</v>
      </c>
      <c r="F26" s="12">
        <f t="shared" si="6"/>
        <v>-0.20492259748441821</v>
      </c>
      <c r="G26" s="12">
        <f t="shared" si="7"/>
        <v>-0.17446041261046863</v>
      </c>
      <c r="H26" s="12">
        <f t="shared" si="8"/>
        <v>-0.17858480484227773</v>
      </c>
      <c r="J26" s="12" t="s">
        <v>3</v>
      </c>
      <c r="K26" s="11">
        <f t="shared" si="10"/>
        <v>0.91082943985304876</v>
      </c>
      <c r="L26" s="11">
        <f t="shared" si="10"/>
        <v>0.99307006889488614</v>
      </c>
      <c r="M26" s="11">
        <f t="shared" si="10"/>
        <v>1.0148645455977319</v>
      </c>
      <c r="N26" s="11">
        <f t="shared" si="10"/>
        <v>0.94237422091217959</v>
      </c>
      <c r="O26" s="11">
        <f t="shared" si="10"/>
        <v>0.92470851153502831</v>
      </c>
      <c r="P26" s="11">
        <f t="shared" si="10"/>
        <v>0.92710033979114348</v>
      </c>
    </row>
    <row r="27" spans="2:16" x14ac:dyDescent="0.3">
      <c r="J27" s="22" t="s">
        <v>53</v>
      </c>
      <c r="K27" s="21">
        <f>SUM(K16:K26)</f>
        <v>1.1261952973125804</v>
      </c>
      <c r="L27" s="21">
        <f t="shared" ref="L27:P27" si="11">SUM(L16:L26)</f>
        <v>1.2796942371215301</v>
      </c>
      <c r="M27" s="21">
        <f t="shared" si="11"/>
        <v>1.2730128973094064</v>
      </c>
      <c r="N27" s="21">
        <f t="shared" si="11"/>
        <v>1.1429347069976956</v>
      </c>
      <c r="O27" s="21">
        <f t="shared" si="11"/>
        <v>1.1107675311422411</v>
      </c>
      <c r="P27" s="21">
        <f t="shared" si="11"/>
        <v>1.1306373142745869</v>
      </c>
    </row>
    <row r="28" spans="2:16" x14ac:dyDescent="0.3">
      <c r="J28" s="23" t="s">
        <v>54</v>
      </c>
      <c r="K28" s="24">
        <f>1-K27</f>
        <v>-0.12619529731258039</v>
      </c>
      <c r="L28" s="24">
        <f t="shared" ref="L28:P28" si="12">1-L27</f>
        <v>-0.27969423712153008</v>
      </c>
      <c r="M28" s="24">
        <f t="shared" si="12"/>
        <v>-0.27301289730940637</v>
      </c>
      <c r="N28" s="24">
        <f t="shared" si="12"/>
        <v>-0.14293470699769562</v>
      </c>
      <c r="O28" s="24">
        <f t="shared" si="12"/>
        <v>-0.11076753114224114</v>
      </c>
      <c r="P28" s="24">
        <f t="shared" si="12"/>
        <v>-0.13063731427458691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A0E0-4AC6-4485-B08F-ABB0F87DBF1A}">
  <dimension ref="A1:P19"/>
  <sheetViews>
    <sheetView zoomScale="106"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33</v>
      </c>
      <c r="B1" s="2" t="s">
        <v>34</v>
      </c>
      <c r="C1" s="3" t="s">
        <v>35</v>
      </c>
      <c r="D1" s="3" t="s">
        <v>36</v>
      </c>
      <c r="E1" s="3" t="s">
        <v>37</v>
      </c>
      <c r="F1" s="2" t="s">
        <v>38</v>
      </c>
      <c r="G1" s="3" t="s">
        <v>39</v>
      </c>
      <c r="H1" s="3" t="s">
        <v>40</v>
      </c>
      <c r="I1" s="4" t="s">
        <v>34</v>
      </c>
      <c r="J1" s="5" t="s">
        <v>34</v>
      </c>
      <c r="K1" s="6" t="s">
        <v>35</v>
      </c>
      <c r="L1" s="7" t="s">
        <v>36</v>
      </c>
      <c r="M1" s="6" t="s">
        <v>37</v>
      </c>
      <c r="N1" s="8" t="s">
        <v>38</v>
      </c>
      <c r="O1" s="6" t="s">
        <v>39</v>
      </c>
      <c r="P1" s="6" t="s">
        <v>40</v>
      </c>
    </row>
    <row r="2" spans="1:16" x14ac:dyDescent="0.3">
      <c r="A2" s="12" t="s">
        <v>15</v>
      </c>
      <c r="B2" s="20">
        <v>2.9827199966344486E-2</v>
      </c>
      <c r="C2" s="20">
        <v>7.6045627376425855E-3</v>
      </c>
      <c r="D2" s="20">
        <v>9.2592592592592587E-3</v>
      </c>
      <c r="E2" s="20">
        <v>0</v>
      </c>
      <c r="F2" s="20">
        <v>1.1811023622047244E-2</v>
      </c>
      <c r="G2" s="20">
        <v>2.3474178403755867E-2</v>
      </c>
      <c r="H2" s="20">
        <v>0</v>
      </c>
      <c r="I2" s="12">
        <v>2.9827199966344486E-2</v>
      </c>
      <c r="J2" s="26">
        <v>2.9827199966344486E-2</v>
      </c>
      <c r="K2" s="26">
        <v>7.6045627376425855E-3</v>
      </c>
      <c r="L2" s="26">
        <v>9.2592592592592587E-3</v>
      </c>
      <c r="M2" s="26">
        <v>0</v>
      </c>
      <c r="N2" s="26">
        <v>1.1811023622047244E-2</v>
      </c>
      <c r="O2" s="26">
        <v>2.3474178403755867E-2</v>
      </c>
      <c r="P2" s="26">
        <v>0</v>
      </c>
    </row>
    <row r="3" spans="1:16" x14ac:dyDescent="0.3">
      <c r="A3" s="12" t="s">
        <v>19</v>
      </c>
      <c r="B3" s="20">
        <v>3.5380359903661091E-2</v>
      </c>
      <c r="C3" s="20">
        <v>4.1825095057034217E-2</v>
      </c>
      <c r="D3" s="20">
        <v>2.7777777777777776E-2</v>
      </c>
      <c r="E3" s="20">
        <v>4.3010752688172046E-2</v>
      </c>
      <c r="F3" s="20">
        <v>5.905511811023622E-2</v>
      </c>
      <c r="G3" s="20">
        <v>3.2863849765258218E-2</v>
      </c>
      <c r="H3" s="20">
        <v>3.3333333333333333E-2</v>
      </c>
      <c r="I3" s="12">
        <v>6.520755987000558E-2</v>
      </c>
      <c r="J3" s="12">
        <f>J2+B3</f>
        <v>6.520755987000558E-2</v>
      </c>
      <c r="K3" s="12">
        <f t="shared" ref="K3:P8" si="0">K2+C3</f>
        <v>4.9429657794676805E-2</v>
      </c>
      <c r="L3" s="12">
        <f t="shared" si="0"/>
        <v>3.7037037037037035E-2</v>
      </c>
      <c r="M3" s="12">
        <f t="shared" si="0"/>
        <v>4.3010752688172046E-2</v>
      </c>
      <c r="N3" s="12">
        <f t="shared" si="0"/>
        <v>7.0866141732283464E-2</v>
      </c>
      <c r="O3" s="12">
        <f t="shared" si="0"/>
        <v>5.6338028169014086E-2</v>
      </c>
      <c r="P3" s="12">
        <f t="shared" si="0"/>
        <v>3.3333333333333333E-2</v>
      </c>
    </row>
    <row r="4" spans="1:16" x14ac:dyDescent="0.3">
      <c r="A4" s="12" t="s">
        <v>17</v>
      </c>
      <c r="B4" s="20">
        <v>3.9261261450763037E-2</v>
      </c>
      <c r="C4" s="20">
        <v>7.6045627376425855E-3</v>
      </c>
      <c r="D4" s="20">
        <v>9.2592592592592587E-3</v>
      </c>
      <c r="E4" s="20">
        <v>2.1505376344086023E-2</v>
      </c>
      <c r="F4" s="20">
        <v>1.968503937007874E-2</v>
      </c>
      <c r="G4" s="20">
        <v>1.4084507042253521E-2</v>
      </c>
      <c r="H4" s="20">
        <v>2.2222222222222223E-2</v>
      </c>
      <c r="I4" s="12">
        <v>0.10446882132076862</v>
      </c>
      <c r="J4" s="12">
        <f t="shared" ref="J4:J8" si="1">J3+B4</f>
        <v>0.10446882132076862</v>
      </c>
      <c r="K4" s="12">
        <f t="shared" si="0"/>
        <v>5.7034220532319393E-2</v>
      </c>
      <c r="L4" s="12">
        <f t="shared" si="0"/>
        <v>4.6296296296296294E-2</v>
      </c>
      <c r="M4" s="12">
        <f t="shared" si="0"/>
        <v>6.4516129032258063E-2</v>
      </c>
      <c r="N4" s="12">
        <f t="shared" si="0"/>
        <v>9.055118110236221E-2</v>
      </c>
      <c r="O4" s="12">
        <f t="shared" si="0"/>
        <v>7.0422535211267609E-2</v>
      </c>
      <c r="P4" s="12">
        <f t="shared" si="0"/>
        <v>5.5555555555555552E-2</v>
      </c>
    </row>
    <row r="5" spans="1:16" x14ac:dyDescent="0.3">
      <c r="A5" s="12" t="s">
        <v>20</v>
      </c>
      <c r="B5" s="20">
        <v>6.6984991743881533E-2</v>
      </c>
      <c r="C5" s="20">
        <v>0</v>
      </c>
      <c r="D5" s="20">
        <v>2.7777777777777776E-2</v>
      </c>
      <c r="E5" s="20">
        <v>0</v>
      </c>
      <c r="F5" s="20">
        <v>1.968503937007874E-2</v>
      </c>
      <c r="G5" s="20">
        <v>3.7558685446009391E-2</v>
      </c>
      <c r="H5" s="20">
        <v>4.4444444444444446E-2</v>
      </c>
      <c r="I5" s="12">
        <v>0.17145381306465016</v>
      </c>
      <c r="J5" s="12">
        <f t="shared" si="1"/>
        <v>0.17145381306465016</v>
      </c>
      <c r="K5" s="12">
        <f t="shared" si="0"/>
        <v>5.7034220532319393E-2</v>
      </c>
      <c r="L5" s="12">
        <f t="shared" si="0"/>
        <v>7.407407407407407E-2</v>
      </c>
      <c r="M5" s="12">
        <f t="shared" si="0"/>
        <v>6.4516129032258063E-2</v>
      </c>
      <c r="N5" s="12">
        <f t="shared" si="0"/>
        <v>0.11023622047244094</v>
      </c>
      <c r="O5" s="12">
        <f t="shared" si="0"/>
        <v>0.107981220657277</v>
      </c>
      <c r="P5" s="12">
        <f t="shared" si="0"/>
        <v>0.1</v>
      </c>
    </row>
    <row r="6" spans="1:16" x14ac:dyDescent="0.3">
      <c r="A6" s="12" t="s">
        <v>18</v>
      </c>
      <c r="B6" s="20">
        <v>0.12995235641190142</v>
      </c>
      <c r="C6" s="20">
        <v>6.0836501901140684E-2</v>
      </c>
      <c r="D6" s="20">
        <v>0</v>
      </c>
      <c r="E6" s="20">
        <v>0</v>
      </c>
      <c r="F6" s="20">
        <v>2.3622047244094488E-2</v>
      </c>
      <c r="G6" s="20">
        <v>4.2253521126760563E-2</v>
      </c>
      <c r="H6" s="20">
        <v>5.5555555555555552E-2</v>
      </c>
      <c r="I6" s="12">
        <v>0.30140616947655158</v>
      </c>
      <c r="J6" s="12">
        <f t="shared" si="1"/>
        <v>0.30140616947655158</v>
      </c>
      <c r="K6" s="12">
        <f t="shared" si="0"/>
        <v>0.11787072243346008</v>
      </c>
      <c r="L6" s="12">
        <f t="shared" si="0"/>
        <v>7.407407407407407E-2</v>
      </c>
      <c r="M6" s="12">
        <f t="shared" si="0"/>
        <v>6.4516129032258063E-2</v>
      </c>
      <c r="N6" s="12">
        <f t="shared" si="0"/>
        <v>0.13385826771653542</v>
      </c>
      <c r="O6" s="12">
        <f t="shared" si="0"/>
        <v>0.15023474178403756</v>
      </c>
      <c r="P6" s="12">
        <f t="shared" si="0"/>
        <v>0.15555555555555556</v>
      </c>
    </row>
    <row r="7" spans="1:16" x14ac:dyDescent="0.3">
      <c r="A7" s="12" t="s">
        <v>16</v>
      </c>
      <c r="B7" s="20">
        <v>0.31908583208001601</v>
      </c>
      <c r="C7" s="20">
        <v>0.33079847908745247</v>
      </c>
      <c r="D7" s="20">
        <v>0.23148148148148148</v>
      </c>
      <c r="E7" s="20">
        <v>0.36559139784946237</v>
      </c>
      <c r="F7" s="20">
        <v>0.31889763779527558</v>
      </c>
      <c r="G7" s="20">
        <v>0.39906103286384975</v>
      </c>
      <c r="H7" s="20">
        <v>0.24444444444444444</v>
      </c>
      <c r="I7" s="12">
        <v>0.62049200155656759</v>
      </c>
      <c r="J7" s="12">
        <f t="shared" si="1"/>
        <v>0.62049200155656759</v>
      </c>
      <c r="K7" s="12">
        <f t="shared" si="0"/>
        <v>0.44866920152091255</v>
      </c>
      <c r="L7" s="12">
        <f t="shared" si="0"/>
        <v>0.30555555555555558</v>
      </c>
      <c r="M7" s="12">
        <f t="shared" si="0"/>
        <v>0.43010752688172044</v>
      </c>
      <c r="N7" s="12">
        <f t="shared" si="0"/>
        <v>0.452755905511811</v>
      </c>
      <c r="O7" s="12">
        <f t="shared" si="0"/>
        <v>0.54929577464788726</v>
      </c>
      <c r="P7" s="12">
        <f t="shared" si="0"/>
        <v>0.4</v>
      </c>
    </row>
    <row r="8" spans="1:16" x14ac:dyDescent="0.3">
      <c r="A8" s="12" t="s">
        <v>14</v>
      </c>
      <c r="B8" s="20">
        <v>0.37950799844343241</v>
      </c>
      <c r="C8" s="20">
        <v>0.5513307984790875</v>
      </c>
      <c r="D8" s="20">
        <v>0.69444444444444442</v>
      </c>
      <c r="E8" s="20">
        <v>0.56989247311827962</v>
      </c>
      <c r="F8" s="20">
        <v>0.547244094488189</v>
      </c>
      <c r="G8" s="20">
        <v>0.45070422535211269</v>
      </c>
      <c r="H8" s="20">
        <v>0.6</v>
      </c>
      <c r="I8" s="12">
        <v>1</v>
      </c>
      <c r="J8" s="12">
        <f t="shared" si="1"/>
        <v>1</v>
      </c>
      <c r="K8" s="12">
        <f t="shared" si="0"/>
        <v>1</v>
      </c>
      <c r="L8" s="12">
        <f t="shared" si="0"/>
        <v>1</v>
      </c>
      <c r="M8" s="12">
        <f t="shared" si="0"/>
        <v>1</v>
      </c>
      <c r="N8" s="12">
        <f t="shared" si="0"/>
        <v>1</v>
      </c>
      <c r="O8" s="12">
        <f t="shared" si="0"/>
        <v>1</v>
      </c>
      <c r="P8" s="12">
        <f t="shared" si="0"/>
        <v>1</v>
      </c>
    </row>
    <row r="10" spans="1:16" ht="28.8" x14ac:dyDescent="0.3">
      <c r="B10" s="1" t="s">
        <v>33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46</v>
      </c>
      <c r="J10" s="11"/>
      <c r="K10" s="21" t="s">
        <v>47</v>
      </c>
      <c r="L10" s="21" t="s">
        <v>48</v>
      </c>
      <c r="M10" s="21" t="s">
        <v>49</v>
      </c>
      <c r="N10" s="21" t="s">
        <v>50</v>
      </c>
      <c r="O10" s="21" t="s">
        <v>51</v>
      </c>
      <c r="P10" s="21" t="s">
        <v>52</v>
      </c>
    </row>
    <row r="11" spans="1:16" x14ac:dyDescent="0.3">
      <c r="B11" s="12" t="s">
        <v>15</v>
      </c>
      <c r="C11" s="12">
        <f>C2-B2</f>
        <v>-2.2222637228701901E-2</v>
      </c>
      <c r="D11" s="12">
        <f>D2-B2</f>
        <v>-2.0567940707085227E-2</v>
      </c>
      <c r="E11" s="12">
        <f>E2-B2</f>
        <v>-2.9827199966344486E-2</v>
      </c>
      <c r="F11" s="12">
        <f>F2-B2</f>
        <v>-1.8016176344297242E-2</v>
      </c>
      <c r="G11" s="12">
        <f>G2-B2</f>
        <v>-6.3530215625886184E-3</v>
      </c>
      <c r="H11" s="12">
        <f>H2-B2</f>
        <v>-2.9827199966344486E-2</v>
      </c>
      <c r="J11" s="12" t="s">
        <v>15</v>
      </c>
      <c r="K11" s="11">
        <f>(J2-0) * ((K2+0))</f>
        <v>2.2682281343227746E-4</v>
      </c>
      <c r="L11" s="11">
        <f>(J2-0) * ((L2+0))</f>
        <v>2.7617777746615261E-4</v>
      </c>
      <c r="M11" s="11">
        <f>(J2-0) * ((M2+0))</f>
        <v>0</v>
      </c>
      <c r="N11" s="11">
        <f>(J2-0) * ((N2+0))</f>
        <v>3.5228976338202148E-4</v>
      </c>
      <c r="O11" s="11">
        <f>(J2-0) * ((O2+0))</f>
        <v>7.0016901329447148E-4</v>
      </c>
      <c r="P11" s="11">
        <f>(J2-0) * ((P2+0))</f>
        <v>0</v>
      </c>
    </row>
    <row r="12" spans="1:16" x14ac:dyDescent="0.3">
      <c r="B12" s="12" t="s">
        <v>19</v>
      </c>
      <c r="C12" s="12">
        <f t="shared" ref="C12:C17" si="2">C3-B3</f>
        <v>6.4447351533731267E-3</v>
      </c>
      <c r="D12" s="12">
        <f t="shared" ref="D12:D17" si="3">D3-B3</f>
        <v>-7.6025821258833143E-3</v>
      </c>
      <c r="E12" s="12">
        <f t="shared" ref="E12:E17" si="4">E3-B3</f>
        <v>7.6303927845109559E-3</v>
      </c>
      <c r="F12" s="12">
        <f t="shared" ref="F12:F17" si="5">F3-B3</f>
        <v>2.3674758206575129E-2</v>
      </c>
      <c r="G12" s="12">
        <f t="shared" ref="G12:G17" si="6">G3-B3</f>
        <v>-2.5165101384028721E-3</v>
      </c>
      <c r="H12" s="12">
        <f t="shared" ref="H12:H17" si="7">H3-B3</f>
        <v>-2.0470265703277576E-3</v>
      </c>
      <c r="J12" s="12" t="s">
        <v>19</v>
      </c>
      <c r="K12" s="11">
        <f>(J3-J2) * ((K3+K2))</f>
        <v>2.0178912492582373E-3</v>
      </c>
      <c r="L12" s="11">
        <f>(J3-J2) * ((L3+L2))</f>
        <v>1.6379796251694949E-3</v>
      </c>
      <c r="M12" s="11">
        <f>(J3-J2) * ((M3+M2))</f>
        <v>1.5217359098348858E-3</v>
      </c>
      <c r="N12" s="11">
        <f>(J3-J2) * ((N3+N2))</f>
        <v>2.9251478660507198E-3</v>
      </c>
      <c r="O12" s="11">
        <f>(J3-J2) * ((O3+O2))</f>
        <v>2.8237845932499463E-3</v>
      </c>
      <c r="P12" s="11">
        <f>(J3-J2) * ((P3+P2))</f>
        <v>1.1793453301220363E-3</v>
      </c>
    </row>
    <row r="13" spans="1:16" x14ac:dyDescent="0.3">
      <c r="B13" s="12" t="s">
        <v>17</v>
      </c>
      <c r="C13" s="12">
        <f t="shared" si="2"/>
        <v>-3.1656698713120449E-2</v>
      </c>
      <c r="D13" s="12">
        <f t="shared" si="3"/>
        <v>-3.0002002191503778E-2</v>
      </c>
      <c r="E13" s="12">
        <f t="shared" si="4"/>
        <v>-1.7755885106677013E-2</v>
      </c>
      <c r="F13" s="12">
        <f t="shared" si="5"/>
        <v>-1.9576222080684297E-2</v>
      </c>
      <c r="G13" s="12">
        <f t="shared" si="6"/>
        <v>-2.5176754408509514E-2</v>
      </c>
      <c r="H13" s="12">
        <f t="shared" si="7"/>
        <v>-1.7039039228540814E-2</v>
      </c>
      <c r="J13" s="12" t="s">
        <v>17</v>
      </c>
      <c r="K13" s="11">
        <f t="shared" ref="K13:K17" si="8">(J4-J3) * ((K4+K3))</f>
        <v>4.1799061620584228E-3</v>
      </c>
      <c r="L13" s="11">
        <f t="shared" ref="L13:L17" si="9">(J4-J3) * ((L4+L3))</f>
        <v>3.271771787563587E-3</v>
      </c>
      <c r="M13" s="11">
        <f t="shared" ref="M13:M17" si="10">(J4-J3) * ((M4+M3))</f>
        <v>4.2216410162110802E-3</v>
      </c>
      <c r="N13" s="11">
        <f t="shared" ref="N13:N17" si="11">(J4-J3) * ((N4+N3))</f>
        <v>6.3374477144932471E-3</v>
      </c>
      <c r="O13" s="11">
        <f t="shared" ref="O13:O17" si="12">(J4-J3) * ((O4+O3))</f>
        <v>4.976779620519259E-3</v>
      </c>
      <c r="P13" s="11">
        <f t="shared" ref="P13:P17" si="13">(J4-J3) * ((P4+P3))</f>
        <v>3.4898899067344925E-3</v>
      </c>
    </row>
    <row r="14" spans="1:16" x14ac:dyDescent="0.3">
      <c r="B14" s="12" t="s">
        <v>20</v>
      </c>
      <c r="C14" s="12">
        <f t="shared" si="2"/>
        <v>-6.6984991743881533E-2</v>
      </c>
      <c r="D14" s="12">
        <f t="shared" si="3"/>
        <v>-3.9207213966103757E-2</v>
      </c>
      <c r="E14" s="12">
        <f t="shared" si="4"/>
        <v>-6.6984991743881533E-2</v>
      </c>
      <c r="F14" s="12">
        <f t="shared" si="5"/>
        <v>-4.7299952373802794E-2</v>
      </c>
      <c r="G14" s="12">
        <f t="shared" si="6"/>
        <v>-2.9426306297872143E-2</v>
      </c>
      <c r="H14" s="12">
        <f t="shared" si="7"/>
        <v>-2.2540547299437087E-2</v>
      </c>
      <c r="J14" s="12" t="s">
        <v>20</v>
      </c>
      <c r="K14" s="11">
        <f t="shared" si="8"/>
        <v>7.6408735829522666E-3</v>
      </c>
      <c r="L14" s="11">
        <f t="shared" si="9"/>
        <v>8.0630082654672211E-3</v>
      </c>
      <c r="M14" s="11">
        <f t="shared" si="10"/>
        <v>8.6432247411460036E-3</v>
      </c>
      <c r="N14" s="11">
        <f t="shared" si="11"/>
        <v>1.3449742436763615E-2</v>
      </c>
      <c r="O14" s="11">
        <f t="shared" si="12"/>
        <v>1.1950374113931917E-2</v>
      </c>
      <c r="P14" s="11">
        <f t="shared" si="13"/>
        <v>1.0419887604603795E-2</v>
      </c>
    </row>
    <row r="15" spans="1:16" x14ac:dyDescent="0.3">
      <c r="B15" s="12" t="s">
        <v>18</v>
      </c>
      <c r="C15" s="12">
        <f t="shared" si="2"/>
        <v>-6.9115854510760744E-2</v>
      </c>
      <c r="D15" s="12">
        <f t="shared" si="3"/>
        <v>-0.12995235641190142</v>
      </c>
      <c r="E15" s="12">
        <f t="shared" si="4"/>
        <v>-0.12995235641190142</v>
      </c>
      <c r="F15" s="12">
        <f t="shared" si="5"/>
        <v>-0.10633030916780693</v>
      </c>
      <c r="G15" s="12">
        <f t="shared" si="6"/>
        <v>-8.7698835285140858E-2</v>
      </c>
      <c r="H15" s="12">
        <f t="shared" si="7"/>
        <v>-7.4396800856345868E-2</v>
      </c>
      <c r="J15" s="12" t="s">
        <v>18</v>
      </c>
      <c r="K15" s="11">
        <f t="shared" si="8"/>
        <v>2.2729309486492263E-2</v>
      </c>
      <c r="L15" s="11">
        <f t="shared" si="9"/>
        <v>1.925220094991132E-2</v>
      </c>
      <c r="M15" s="11">
        <f t="shared" si="10"/>
        <v>1.6768045988632442E-2</v>
      </c>
      <c r="N15" s="11">
        <f t="shared" si="11"/>
        <v>3.1720653927314518E-2</v>
      </c>
      <c r="O15" s="11">
        <f t="shared" si="12"/>
        <v>3.3555772782415859E-2</v>
      </c>
      <c r="P15" s="11">
        <f t="shared" si="13"/>
        <v>3.3210046638597029E-2</v>
      </c>
    </row>
    <row r="16" spans="1:16" x14ac:dyDescent="0.3">
      <c r="B16" s="12" t="s">
        <v>16</v>
      </c>
      <c r="C16" s="12">
        <f t="shared" si="2"/>
        <v>1.1712647007436461E-2</v>
      </c>
      <c r="D16" s="12">
        <f t="shared" si="3"/>
        <v>-8.7604350598534525E-2</v>
      </c>
      <c r="E16" s="12">
        <f t="shared" si="4"/>
        <v>4.6505565769446366E-2</v>
      </c>
      <c r="F16" s="12">
        <f t="shared" si="5"/>
        <v>-1.8819428474042832E-4</v>
      </c>
      <c r="G16" s="12">
        <f t="shared" si="6"/>
        <v>7.9975200783833744E-2</v>
      </c>
      <c r="H16" s="12">
        <f t="shared" si="7"/>
        <v>-7.4641387635571571E-2</v>
      </c>
      <c r="J16" s="12" t="s">
        <v>16</v>
      </c>
      <c r="K16" s="11">
        <f t="shared" si="8"/>
        <v>0.18077486304153001</v>
      </c>
      <c r="L16" s="11">
        <f t="shared" si="9"/>
        <v>0.12113443625259868</v>
      </c>
      <c r="M16" s="11">
        <f t="shared" si="10"/>
        <v>0.15782740081377136</v>
      </c>
      <c r="N16" s="11">
        <f t="shared" si="11"/>
        <v>0.18718027157449757</v>
      </c>
      <c r="O16" s="11">
        <f t="shared" si="12"/>
        <v>0.22321027690104403</v>
      </c>
      <c r="P16" s="11">
        <f t="shared" si="13"/>
        <v>0.17726990671112</v>
      </c>
    </row>
    <row r="17" spans="2:16" x14ac:dyDescent="0.3">
      <c r="B17" s="12" t="s">
        <v>14</v>
      </c>
      <c r="C17" s="12">
        <f t="shared" si="2"/>
        <v>0.17182280003565509</v>
      </c>
      <c r="D17" s="12">
        <f t="shared" si="3"/>
        <v>0.314936446001012</v>
      </c>
      <c r="E17" s="12">
        <f t="shared" si="4"/>
        <v>0.1903844746748472</v>
      </c>
      <c r="F17" s="12">
        <f t="shared" si="5"/>
        <v>0.16773609604475659</v>
      </c>
      <c r="G17" s="12">
        <f t="shared" si="6"/>
        <v>7.1196226908680271E-2</v>
      </c>
      <c r="H17" s="12">
        <f t="shared" si="7"/>
        <v>0.22049200155656756</v>
      </c>
      <c r="J17" s="12" t="s">
        <v>14</v>
      </c>
      <c r="K17" s="11">
        <f t="shared" si="8"/>
        <v>0.54978154907584698</v>
      </c>
      <c r="L17" s="11">
        <f t="shared" si="9"/>
        <v>0.49546877574559234</v>
      </c>
      <c r="M17" s="11">
        <f t="shared" si="10"/>
        <v>0.54273724508576893</v>
      </c>
      <c r="N17" s="11">
        <f t="shared" si="11"/>
        <v>0.55133248592766371</v>
      </c>
      <c r="O17" s="11">
        <f t="shared" si="12"/>
        <v>0.58797013843348678</v>
      </c>
      <c r="P17" s="11">
        <f t="shared" si="13"/>
        <v>0.53131119782080538</v>
      </c>
    </row>
    <row r="18" spans="2:16" x14ac:dyDescent="0.3">
      <c r="J18" s="22" t="s">
        <v>53</v>
      </c>
      <c r="K18" s="21">
        <f>SUM(K11:K17)</f>
        <v>0.76735121541157048</v>
      </c>
      <c r="L18" s="21">
        <f t="shared" ref="L18:P18" si="14">SUM(L11:L17)</f>
        <v>0.64910435040376879</v>
      </c>
      <c r="M18" s="21">
        <f t="shared" si="14"/>
        <v>0.73171929355536469</v>
      </c>
      <c r="N18" s="21">
        <f t="shared" si="14"/>
        <v>0.7932980392101654</v>
      </c>
      <c r="O18" s="21">
        <f t="shared" si="14"/>
        <v>0.86518729545794226</v>
      </c>
      <c r="P18" s="21">
        <f t="shared" si="14"/>
        <v>0.75688027401198277</v>
      </c>
    </row>
    <row r="19" spans="2:16" x14ac:dyDescent="0.3">
      <c r="J19" s="23" t="s">
        <v>54</v>
      </c>
      <c r="K19" s="24">
        <f>1-K18</f>
        <v>0.23264878458842952</v>
      </c>
      <c r="L19" s="24">
        <f t="shared" ref="L19:P19" si="15">1-L18</f>
        <v>0.35089564959623121</v>
      </c>
      <c r="M19" s="24">
        <f t="shared" si="15"/>
        <v>0.26828070644463531</v>
      </c>
      <c r="N19" s="24">
        <f t="shared" si="15"/>
        <v>0.2067019607898346</v>
      </c>
      <c r="O19" s="24">
        <f t="shared" si="15"/>
        <v>0.13481270454205774</v>
      </c>
      <c r="P19" s="24">
        <f t="shared" si="15"/>
        <v>0.24311972598801723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BF14-BB5D-47C4-8598-9C2AF1D92B45}">
  <dimension ref="A1:P29"/>
  <sheetViews>
    <sheetView workbookViewId="0">
      <selection activeCell="J2" sqref="J2:P2"/>
    </sheetView>
  </sheetViews>
  <sheetFormatPr defaultRowHeight="14.4" x14ac:dyDescent="0.3"/>
  <cols>
    <col min="1" max="1" width="8.88671875" style="10"/>
  </cols>
  <sheetData>
    <row r="1" spans="1:16" ht="36.6" customHeight="1" x14ac:dyDescent="0.3">
      <c r="A1" s="9" t="s">
        <v>33</v>
      </c>
      <c r="B1" s="2" t="s">
        <v>34</v>
      </c>
      <c r="C1" s="3" t="s">
        <v>35</v>
      </c>
      <c r="D1" s="3" t="s">
        <v>36</v>
      </c>
      <c r="E1" s="3" t="s">
        <v>37</v>
      </c>
      <c r="F1" s="2" t="s">
        <v>38</v>
      </c>
      <c r="G1" s="3" t="s">
        <v>39</v>
      </c>
      <c r="H1" s="3" t="s">
        <v>40</v>
      </c>
      <c r="I1" s="4" t="s">
        <v>34</v>
      </c>
      <c r="J1" s="5" t="s">
        <v>34</v>
      </c>
      <c r="K1" s="6" t="s">
        <v>35</v>
      </c>
      <c r="L1" s="7" t="s">
        <v>36</v>
      </c>
      <c r="M1" s="6" t="s">
        <v>37</v>
      </c>
      <c r="N1" s="8" t="s">
        <v>38</v>
      </c>
      <c r="O1" s="6" t="s">
        <v>39</v>
      </c>
      <c r="P1" s="6" t="s">
        <v>40</v>
      </c>
    </row>
    <row r="2" spans="1:16" x14ac:dyDescent="0.3">
      <c r="A2" s="20" t="s">
        <v>32</v>
      </c>
      <c r="B2" s="20">
        <v>1.1720367017389771E-2</v>
      </c>
      <c r="C2" s="20">
        <v>5.681818181818182E-3</v>
      </c>
      <c r="D2" s="20">
        <v>5.4945054945054949E-3</v>
      </c>
      <c r="E2" s="20">
        <v>6.8965517241379309E-3</v>
      </c>
      <c r="F2" s="20">
        <v>5.4200542005420054E-3</v>
      </c>
      <c r="G2" s="20">
        <v>6.6666666666666671E-3</v>
      </c>
      <c r="H2" s="20">
        <v>1.4184397163120567E-2</v>
      </c>
      <c r="I2" s="12">
        <v>1.1720367017389771E-2</v>
      </c>
      <c r="J2" s="26">
        <v>1.1720367017389771E-2</v>
      </c>
      <c r="K2" s="26">
        <v>5.681818181818182E-3</v>
      </c>
      <c r="L2" s="26">
        <v>5.4945054945054949E-3</v>
      </c>
      <c r="M2" s="26">
        <v>6.8965517241379309E-3</v>
      </c>
      <c r="N2" s="26">
        <v>5.4200542005420054E-3</v>
      </c>
      <c r="O2" s="26">
        <v>6.6666666666666671E-3</v>
      </c>
      <c r="P2" s="26">
        <v>1.4184397163120567E-2</v>
      </c>
    </row>
    <row r="3" spans="1:16" x14ac:dyDescent="0.3">
      <c r="A3" s="20" t="s">
        <v>29</v>
      </c>
      <c r="B3" s="20">
        <v>1.1900348083381628E-2</v>
      </c>
      <c r="C3" s="20">
        <v>0</v>
      </c>
      <c r="D3" s="20">
        <v>5.4945054945054949E-3</v>
      </c>
      <c r="E3" s="20">
        <v>0</v>
      </c>
      <c r="F3" s="20">
        <v>8.130081300813009E-3</v>
      </c>
      <c r="G3" s="20">
        <v>1.3333333333333334E-2</v>
      </c>
      <c r="H3" s="20">
        <v>1.4184397163120567E-2</v>
      </c>
      <c r="I3" s="12">
        <v>2.3620715100771399E-2</v>
      </c>
      <c r="J3" s="12">
        <f t="shared" ref="J3:P13" si="0">J2+B3</f>
        <v>2.3620715100771399E-2</v>
      </c>
      <c r="K3" s="12">
        <f t="shared" si="0"/>
        <v>5.681818181818182E-3</v>
      </c>
      <c r="L3" s="25">
        <f t="shared" si="0"/>
        <v>1.098901098901099E-2</v>
      </c>
      <c r="M3" s="12">
        <f t="shared" si="0"/>
        <v>6.8965517241379309E-3</v>
      </c>
      <c r="N3" s="12">
        <f t="shared" si="0"/>
        <v>1.3550135501355014E-2</v>
      </c>
      <c r="O3" s="12">
        <f t="shared" si="0"/>
        <v>0.02</v>
      </c>
      <c r="P3" s="12">
        <f t="shared" si="0"/>
        <v>2.8368794326241134E-2</v>
      </c>
    </row>
    <row r="4" spans="1:16" x14ac:dyDescent="0.3">
      <c r="A4" s="20" t="s">
        <v>27</v>
      </c>
      <c r="B4" s="20">
        <v>1.3084623497608052E-2</v>
      </c>
      <c r="C4" s="20">
        <v>1.1363636363636364E-2</v>
      </c>
      <c r="D4" s="20">
        <v>0</v>
      </c>
      <c r="E4" s="20">
        <v>6.8965517241379309E-3</v>
      </c>
      <c r="F4" s="20">
        <v>1.8970189701897018E-2</v>
      </c>
      <c r="G4" s="20">
        <v>0.01</v>
      </c>
      <c r="H4" s="20">
        <v>4.2553191489361701E-2</v>
      </c>
      <c r="I4" s="12">
        <v>3.6705338598379447E-2</v>
      </c>
      <c r="J4" s="12">
        <f t="shared" si="0"/>
        <v>3.6705338598379447E-2</v>
      </c>
      <c r="K4" s="12">
        <f t="shared" si="0"/>
        <v>1.7045454545454544E-2</v>
      </c>
      <c r="L4" s="25">
        <f t="shared" si="0"/>
        <v>1.098901098901099E-2</v>
      </c>
      <c r="M4" s="12">
        <f t="shared" si="0"/>
        <v>1.3793103448275862E-2</v>
      </c>
      <c r="N4" s="12">
        <f t="shared" si="0"/>
        <v>3.2520325203252029E-2</v>
      </c>
      <c r="O4" s="12">
        <f t="shared" si="0"/>
        <v>0.03</v>
      </c>
      <c r="P4" s="12">
        <f t="shared" si="0"/>
        <v>7.0921985815602828E-2</v>
      </c>
    </row>
    <row r="5" spans="1:16" x14ac:dyDescent="0.3">
      <c r="A5" s="20" t="s">
        <v>23</v>
      </c>
      <c r="B5" s="20">
        <v>1.9427156263161115E-2</v>
      </c>
      <c r="C5" s="20">
        <v>1.4204545454545454E-2</v>
      </c>
      <c r="D5" s="20">
        <v>5.4945054945054949E-3</v>
      </c>
      <c r="E5" s="20">
        <v>6.8965517241379309E-3</v>
      </c>
      <c r="F5" s="20">
        <v>1.0840108401084011E-2</v>
      </c>
      <c r="G5" s="20">
        <v>6.6666666666666671E-3</v>
      </c>
      <c r="H5" s="20">
        <v>7.0921985815602835E-3</v>
      </c>
      <c r="I5" s="12">
        <v>5.6132494861540566E-2</v>
      </c>
      <c r="J5" s="12">
        <f t="shared" si="0"/>
        <v>5.6132494861540566E-2</v>
      </c>
      <c r="K5" s="12">
        <f t="shared" si="0"/>
        <v>3.125E-2</v>
      </c>
      <c r="L5" s="25">
        <f t="shared" si="0"/>
        <v>1.6483516483516484E-2</v>
      </c>
      <c r="M5" s="12">
        <f t="shared" si="0"/>
        <v>2.0689655172413793E-2</v>
      </c>
      <c r="N5" s="12">
        <f t="shared" si="0"/>
        <v>4.3360433604336043E-2</v>
      </c>
      <c r="O5" s="12">
        <f t="shared" si="0"/>
        <v>3.6666666666666667E-2</v>
      </c>
      <c r="P5" s="12">
        <f t="shared" si="0"/>
        <v>7.8014184397163108E-2</v>
      </c>
    </row>
    <row r="6" spans="1:16" x14ac:dyDescent="0.3">
      <c r="A6" s="20" t="s">
        <v>25</v>
      </c>
      <c r="B6" s="20">
        <v>2.5287339771856002E-2</v>
      </c>
      <c r="C6" s="20">
        <v>2.840909090909091E-3</v>
      </c>
      <c r="D6" s="20">
        <v>1.098901098901099E-2</v>
      </c>
      <c r="E6" s="20">
        <v>0</v>
      </c>
      <c r="F6" s="20">
        <v>1.3550135501355014E-2</v>
      </c>
      <c r="G6" s="20">
        <v>2.6666666666666668E-2</v>
      </c>
      <c r="H6" s="20">
        <v>1.4184397163120567E-2</v>
      </c>
      <c r="I6" s="12">
        <v>8.1419834633396568E-2</v>
      </c>
      <c r="J6" s="12">
        <f t="shared" si="0"/>
        <v>8.1419834633396568E-2</v>
      </c>
      <c r="K6" s="12">
        <f t="shared" si="0"/>
        <v>3.4090909090909088E-2</v>
      </c>
      <c r="L6" s="25">
        <f t="shared" si="0"/>
        <v>2.7472527472527472E-2</v>
      </c>
      <c r="M6" s="12">
        <f t="shared" si="0"/>
        <v>2.0689655172413793E-2</v>
      </c>
      <c r="N6" s="12">
        <f t="shared" si="0"/>
        <v>5.6910569105691061E-2</v>
      </c>
      <c r="O6" s="12">
        <f t="shared" si="0"/>
        <v>6.3333333333333339E-2</v>
      </c>
      <c r="P6" s="12">
        <f t="shared" si="0"/>
        <v>9.2198581560283682E-2</v>
      </c>
    </row>
    <row r="7" spans="1:16" x14ac:dyDescent="0.3">
      <c r="A7" s="20" t="s">
        <v>31</v>
      </c>
      <c r="B7" s="20">
        <v>2.9272120572915731E-2</v>
      </c>
      <c r="C7" s="20">
        <v>1.4204545454545454E-2</v>
      </c>
      <c r="D7" s="20">
        <v>1.098901098901099E-2</v>
      </c>
      <c r="E7" s="20">
        <v>6.8965517241379309E-3</v>
      </c>
      <c r="F7" s="20">
        <v>4.6070460704607047E-2</v>
      </c>
      <c r="G7" s="20">
        <v>0.03</v>
      </c>
      <c r="H7" s="20">
        <v>1.4184397163120567E-2</v>
      </c>
      <c r="I7" s="12">
        <v>0.1106919552063123</v>
      </c>
      <c r="J7" s="12">
        <f t="shared" si="0"/>
        <v>0.1106919552063123</v>
      </c>
      <c r="K7" s="12">
        <f t="shared" si="0"/>
        <v>4.8295454545454544E-2</v>
      </c>
      <c r="L7" s="25">
        <f t="shared" si="0"/>
        <v>3.8461538461538464E-2</v>
      </c>
      <c r="M7" s="12">
        <f t="shared" si="0"/>
        <v>2.7586206896551724E-2</v>
      </c>
      <c r="N7" s="12">
        <f t="shared" si="0"/>
        <v>0.10298102981029811</v>
      </c>
      <c r="O7" s="12">
        <f t="shared" si="0"/>
        <v>9.3333333333333338E-2</v>
      </c>
      <c r="P7" s="12">
        <f t="shared" si="0"/>
        <v>0.10638297872340424</v>
      </c>
    </row>
    <row r="8" spans="1:16" x14ac:dyDescent="0.3">
      <c r="A8" s="20" t="s">
        <v>28</v>
      </c>
      <c r="B8" s="20">
        <v>3.5312285147602471E-2</v>
      </c>
      <c r="C8" s="20">
        <v>8.5227272727272721E-3</v>
      </c>
      <c r="D8" s="20">
        <v>1.098901098901099E-2</v>
      </c>
      <c r="E8" s="20">
        <v>0</v>
      </c>
      <c r="F8" s="20">
        <v>1.6260162601626018E-2</v>
      </c>
      <c r="G8" s="20">
        <v>0.05</v>
      </c>
      <c r="H8" s="20">
        <v>4.2553191489361701E-2</v>
      </c>
      <c r="I8" s="12">
        <v>0.14600424035391477</v>
      </c>
      <c r="J8" s="12">
        <f t="shared" si="0"/>
        <v>0.14600424035391477</v>
      </c>
      <c r="K8" s="12">
        <f t="shared" si="0"/>
        <v>5.6818181818181816E-2</v>
      </c>
      <c r="L8" s="25">
        <f t="shared" si="0"/>
        <v>4.9450549450549455E-2</v>
      </c>
      <c r="M8" s="12">
        <f t="shared" si="0"/>
        <v>2.7586206896551724E-2</v>
      </c>
      <c r="N8" s="12">
        <f t="shared" si="0"/>
        <v>0.11924119241192413</v>
      </c>
      <c r="O8" s="12">
        <f t="shared" si="0"/>
        <v>0.14333333333333334</v>
      </c>
      <c r="P8" s="12">
        <f t="shared" si="0"/>
        <v>0.14893617021276595</v>
      </c>
    </row>
    <row r="9" spans="1:16" x14ac:dyDescent="0.3">
      <c r="A9" s="20" t="s">
        <v>26</v>
      </c>
      <c r="B9" s="20">
        <v>5.1175816304124808E-2</v>
      </c>
      <c r="C9" s="20">
        <v>2.840909090909091E-3</v>
      </c>
      <c r="D9" s="20">
        <v>5.4945054945054949E-3</v>
      </c>
      <c r="E9" s="20">
        <v>0</v>
      </c>
      <c r="F9" s="20">
        <v>5.1490514905149054E-2</v>
      </c>
      <c r="G9" s="20">
        <v>4.6666666666666669E-2</v>
      </c>
      <c r="H9" s="20">
        <v>1.4184397163120567E-2</v>
      </c>
      <c r="I9" s="12">
        <v>0.19718005665803956</v>
      </c>
      <c r="J9" s="12">
        <f t="shared" si="0"/>
        <v>0.19718005665803956</v>
      </c>
      <c r="K9" s="12">
        <f t="shared" si="0"/>
        <v>5.9659090909090905E-2</v>
      </c>
      <c r="L9" s="25">
        <f t="shared" si="0"/>
        <v>5.4945054945054951E-2</v>
      </c>
      <c r="M9" s="12">
        <f t="shared" si="0"/>
        <v>2.7586206896551724E-2</v>
      </c>
      <c r="N9" s="12">
        <f t="shared" si="0"/>
        <v>0.17073170731707318</v>
      </c>
      <c r="O9" s="12">
        <f t="shared" si="0"/>
        <v>0.19</v>
      </c>
      <c r="P9" s="12">
        <f t="shared" si="0"/>
        <v>0.16312056737588651</v>
      </c>
    </row>
    <row r="10" spans="1:16" x14ac:dyDescent="0.3">
      <c r="A10" s="20" t="s">
        <v>22</v>
      </c>
      <c r="B10" s="20">
        <v>6.4253240559093178E-2</v>
      </c>
      <c r="C10" s="20">
        <v>2.556818181818182E-2</v>
      </c>
      <c r="D10" s="20">
        <v>1.6483516483516484E-2</v>
      </c>
      <c r="E10" s="20">
        <v>0</v>
      </c>
      <c r="F10" s="20">
        <v>3.7940379403794036E-2</v>
      </c>
      <c r="G10" s="20">
        <v>4.3333333333333335E-2</v>
      </c>
      <c r="H10" s="20">
        <v>1.4184397163120567E-2</v>
      </c>
      <c r="I10" s="12">
        <v>0.26143329721713271</v>
      </c>
      <c r="J10" s="12">
        <f t="shared" si="0"/>
        <v>0.26143329721713271</v>
      </c>
      <c r="K10" s="12">
        <f t="shared" si="0"/>
        <v>8.5227272727272721E-2</v>
      </c>
      <c r="L10" s="25">
        <f t="shared" si="0"/>
        <v>7.1428571428571438E-2</v>
      </c>
      <c r="M10" s="12">
        <f t="shared" si="0"/>
        <v>2.7586206896551724E-2</v>
      </c>
      <c r="N10" s="12">
        <f t="shared" si="0"/>
        <v>0.20867208672086723</v>
      </c>
      <c r="O10" s="12">
        <f t="shared" si="0"/>
        <v>0.23333333333333334</v>
      </c>
      <c r="P10" s="12">
        <f t="shared" si="0"/>
        <v>0.17730496453900707</v>
      </c>
    </row>
    <row r="11" spans="1:16" x14ac:dyDescent="0.3">
      <c r="A11" s="20" t="s">
        <v>24</v>
      </c>
      <c r="B11" s="20">
        <v>9.0634865212179686E-2</v>
      </c>
      <c r="C11" s="20">
        <v>8.5227272727272721E-2</v>
      </c>
      <c r="D11" s="20">
        <v>0.25824175824175827</v>
      </c>
      <c r="E11" s="20">
        <v>0.4689655172413793</v>
      </c>
      <c r="F11" s="20">
        <v>0.21409214092140921</v>
      </c>
      <c r="G11" s="20">
        <v>0.19333333333333333</v>
      </c>
      <c r="H11" s="20">
        <v>0.21276595744680851</v>
      </c>
      <c r="I11" s="12">
        <v>0.35206816242931238</v>
      </c>
      <c r="J11" s="12">
        <f t="shared" si="0"/>
        <v>0.35206816242931238</v>
      </c>
      <c r="K11" s="12">
        <f t="shared" si="0"/>
        <v>0.17045454545454544</v>
      </c>
      <c r="L11" s="25">
        <f t="shared" si="0"/>
        <v>0.32967032967032972</v>
      </c>
      <c r="M11" s="12">
        <f t="shared" si="0"/>
        <v>0.49655172413793103</v>
      </c>
      <c r="N11" s="12">
        <f t="shared" si="0"/>
        <v>0.42276422764227645</v>
      </c>
      <c r="O11" s="12">
        <f t="shared" si="0"/>
        <v>0.42666666666666664</v>
      </c>
      <c r="P11" s="12">
        <f t="shared" si="0"/>
        <v>0.39007092198581561</v>
      </c>
    </row>
    <row r="12" spans="1:16" x14ac:dyDescent="0.3">
      <c r="A12" s="20" t="s">
        <v>21</v>
      </c>
      <c r="B12" s="20">
        <v>0.30762723761460292</v>
      </c>
      <c r="C12" s="20">
        <v>0.42897727272727271</v>
      </c>
      <c r="D12" s="20">
        <v>0.42857142857142855</v>
      </c>
      <c r="E12" s="20">
        <v>0.2413793103448276</v>
      </c>
      <c r="F12" s="20">
        <v>0.4065040650406504</v>
      </c>
      <c r="G12" s="20">
        <v>0.34</v>
      </c>
      <c r="H12" s="20">
        <v>0.36170212765957449</v>
      </c>
      <c r="I12" s="12">
        <v>0.65969540004391525</v>
      </c>
      <c r="J12" s="12">
        <f t="shared" si="0"/>
        <v>0.65969540004391525</v>
      </c>
      <c r="K12" s="12">
        <f t="shared" si="0"/>
        <v>0.59943181818181812</v>
      </c>
      <c r="L12" s="25">
        <f t="shared" si="0"/>
        <v>0.75824175824175821</v>
      </c>
      <c r="M12" s="12">
        <f t="shared" si="0"/>
        <v>0.73793103448275865</v>
      </c>
      <c r="N12" s="12">
        <f t="shared" si="0"/>
        <v>0.8292682926829269</v>
      </c>
      <c r="O12" s="12">
        <f t="shared" si="0"/>
        <v>0.76666666666666661</v>
      </c>
      <c r="P12" s="12">
        <f t="shared" si="0"/>
        <v>0.75177304964539005</v>
      </c>
    </row>
    <row r="13" spans="1:16" x14ac:dyDescent="0.3">
      <c r="A13" s="20" t="s">
        <v>30</v>
      </c>
      <c r="B13" s="20">
        <v>0.34030459995608464</v>
      </c>
      <c r="C13" s="20">
        <v>0.40056818181818182</v>
      </c>
      <c r="D13" s="20">
        <v>0.24175824175824176</v>
      </c>
      <c r="E13" s="20">
        <v>0.2620689655172414</v>
      </c>
      <c r="F13" s="20">
        <v>0.17073170731707318</v>
      </c>
      <c r="G13" s="20">
        <v>0.23333333333333334</v>
      </c>
      <c r="H13" s="20">
        <v>0.24822695035460993</v>
      </c>
      <c r="I13" s="12">
        <v>0.99999999999999989</v>
      </c>
      <c r="J13" s="12">
        <f t="shared" si="0"/>
        <v>0.99999999999999989</v>
      </c>
      <c r="K13" s="12">
        <f t="shared" si="0"/>
        <v>1</v>
      </c>
      <c r="L13" s="25">
        <f t="shared" si="0"/>
        <v>1</v>
      </c>
      <c r="M13" s="12">
        <f t="shared" si="0"/>
        <v>1</v>
      </c>
      <c r="N13" s="12">
        <f t="shared" si="0"/>
        <v>1</v>
      </c>
      <c r="O13" s="12">
        <f t="shared" si="0"/>
        <v>1</v>
      </c>
      <c r="P13" s="12">
        <f t="shared" si="0"/>
        <v>1</v>
      </c>
    </row>
    <row r="15" spans="1:16" ht="28.8" x14ac:dyDescent="0.3">
      <c r="B15" s="1" t="s">
        <v>33</v>
      </c>
      <c r="C15" s="3" t="s">
        <v>41</v>
      </c>
      <c r="D15" s="3" t="s">
        <v>42</v>
      </c>
      <c r="E15" s="3" t="s">
        <v>43</v>
      </c>
      <c r="F15" s="3" t="s">
        <v>44</v>
      </c>
      <c r="G15" s="3" t="s">
        <v>45</v>
      </c>
      <c r="H15" s="3" t="s">
        <v>46</v>
      </c>
      <c r="J15" s="11"/>
      <c r="K15" s="21" t="s">
        <v>47</v>
      </c>
      <c r="L15" s="21" t="s">
        <v>48</v>
      </c>
      <c r="M15" s="21" t="s">
        <v>49</v>
      </c>
      <c r="N15" s="21" t="s">
        <v>50</v>
      </c>
      <c r="O15" s="21" t="s">
        <v>51</v>
      </c>
      <c r="P15" s="21" t="s">
        <v>52</v>
      </c>
    </row>
    <row r="16" spans="1:16" x14ac:dyDescent="0.3">
      <c r="B16" s="20" t="s">
        <v>32</v>
      </c>
      <c r="C16" s="12">
        <f>C2-B2</f>
        <v>-6.0385488355715888E-3</v>
      </c>
      <c r="D16" s="12">
        <f>D2-B2</f>
        <v>-6.2258615228842759E-3</v>
      </c>
      <c r="E16" s="12">
        <f>E2-B2</f>
        <v>-4.8238152932518399E-3</v>
      </c>
      <c r="F16" s="12">
        <f>F2-B2</f>
        <v>-6.3003128168477654E-3</v>
      </c>
      <c r="G16" s="12">
        <f>G2-B2</f>
        <v>-5.0537003507231037E-3</v>
      </c>
      <c r="H16" s="12">
        <f>H2-B2</f>
        <v>2.4640301457307962E-3</v>
      </c>
      <c r="J16" s="20" t="s">
        <v>32</v>
      </c>
      <c r="K16" s="11">
        <f>($J2-0) * ((K2+0))</f>
        <v>6.6592994416987342E-5</v>
      </c>
      <c r="L16" s="11">
        <f t="shared" ref="L16:P16" si="1">($J2-0) * ((L2+0))</f>
        <v>6.4397620974669079E-5</v>
      </c>
      <c r="M16" s="11">
        <f t="shared" si="1"/>
        <v>8.0830117361308765E-5</v>
      </c>
      <c r="N16" s="11">
        <f t="shared" si="1"/>
        <v>6.3525024484497409E-5</v>
      </c>
      <c r="O16" s="11">
        <f t="shared" si="1"/>
        <v>7.8135780115931811E-5</v>
      </c>
      <c r="P16" s="11">
        <f t="shared" si="1"/>
        <v>1.6624634067219534E-4</v>
      </c>
    </row>
    <row r="17" spans="2:16" x14ac:dyDescent="0.3">
      <c r="B17" s="20" t="s">
        <v>29</v>
      </c>
      <c r="C17" s="12">
        <f t="shared" ref="C17:C27" si="2">C3-B3</f>
        <v>-1.1900348083381628E-2</v>
      </c>
      <c r="D17" s="12">
        <f t="shared" ref="D17:D27" si="3">D3-B3</f>
        <v>-6.4058425888761329E-3</v>
      </c>
      <c r="E17" s="12">
        <f t="shared" ref="E17:E27" si="4">E3-B3</f>
        <v>-1.1900348083381628E-2</v>
      </c>
      <c r="F17" s="12">
        <f t="shared" ref="F17:F27" si="5">F3-B3</f>
        <v>-3.7702667825686188E-3</v>
      </c>
      <c r="G17" s="12">
        <f t="shared" ref="G17:G27" si="6">G3-B3</f>
        <v>1.4329852499517064E-3</v>
      </c>
      <c r="H17" s="12">
        <f t="shared" ref="H17:H27" si="7">H3-B3</f>
        <v>2.2840490797389392E-3</v>
      </c>
      <c r="J17" s="20" t="s">
        <v>29</v>
      </c>
      <c r="K17" s="11">
        <f>($J3-$J2) * ((K3+K2))</f>
        <v>1.3523122822024577E-4</v>
      </c>
      <c r="L17" s="11">
        <f t="shared" ref="L17:P17" si="8">($J3-$J2) * ((L3+L2))</f>
        <v>1.9615958379200487E-4</v>
      </c>
      <c r="M17" s="11">
        <f t="shared" si="8"/>
        <v>1.6414273218457416E-4</v>
      </c>
      <c r="N17" s="11">
        <f t="shared" si="8"/>
        <v>2.2575186066035608E-4</v>
      </c>
      <c r="O17" s="11">
        <f t="shared" si="8"/>
        <v>3.1734261555684342E-4</v>
      </c>
      <c r="P17" s="11">
        <f t="shared" si="8"/>
        <v>5.063977907821969E-4</v>
      </c>
    </row>
    <row r="18" spans="2:16" x14ac:dyDescent="0.3">
      <c r="B18" s="20" t="s">
        <v>27</v>
      </c>
      <c r="C18" s="12">
        <f t="shared" si="2"/>
        <v>-1.7209871339716881E-3</v>
      </c>
      <c r="D18" s="12">
        <f t="shared" si="3"/>
        <v>-1.3084623497608052E-2</v>
      </c>
      <c r="E18" s="12">
        <f t="shared" si="4"/>
        <v>-6.1880717734701211E-3</v>
      </c>
      <c r="F18" s="12">
        <f t="shared" si="5"/>
        <v>5.885566204288966E-3</v>
      </c>
      <c r="G18" s="12">
        <f t="shared" si="6"/>
        <v>-3.0846234976080519E-3</v>
      </c>
      <c r="H18" s="12">
        <f t="shared" si="7"/>
        <v>2.9468567991753649E-2</v>
      </c>
      <c r="J18" s="20" t="s">
        <v>27</v>
      </c>
      <c r="K18" s="11">
        <f t="shared" ref="K18:P27" si="9">($J4-$J3) * ((K4+K3))</f>
        <v>2.9737780676381931E-4</v>
      </c>
      <c r="L18" s="11">
        <f t="shared" si="9"/>
        <v>2.875741428045725E-4</v>
      </c>
      <c r="M18" s="11">
        <f t="shared" si="9"/>
        <v>2.7071634822637341E-4</v>
      </c>
      <c r="N18" s="11">
        <f t="shared" si="9"/>
        <v>6.0281463268112962E-4</v>
      </c>
      <c r="O18" s="11">
        <f t="shared" si="9"/>
        <v>6.542311748804025E-4</v>
      </c>
      <c r="P18" s="11">
        <f t="shared" si="9"/>
        <v>1.2991824749398061E-3</v>
      </c>
    </row>
    <row r="19" spans="2:16" x14ac:dyDescent="0.3">
      <c r="B19" s="20" t="s">
        <v>23</v>
      </c>
      <c r="C19" s="12">
        <f t="shared" si="2"/>
        <v>-5.2226108086156613E-3</v>
      </c>
      <c r="D19" s="12">
        <f t="shared" si="3"/>
        <v>-1.393265076865562E-2</v>
      </c>
      <c r="E19" s="12">
        <f t="shared" si="4"/>
        <v>-1.2530604539023184E-2</v>
      </c>
      <c r="F19" s="12">
        <f t="shared" si="5"/>
        <v>-8.5870478620771046E-3</v>
      </c>
      <c r="G19" s="12">
        <f t="shared" si="6"/>
        <v>-1.2760489596494447E-2</v>
      </c>
      <c r="H19" s="12">
        <f t="shared" si="7"/>
        <v>-1.2334957681600832E-2</v>
      </c>
      <c r="J19" s="20" t="s">
        <v>23</v>
      </c>
      <c r="K19" s="11">
        <f t="shared" si="9"/>
        <v>9.3824334225494038E-4</v>
      </c>
      <c r="L19" s="11">
        <f t="shared" si="9"/>
        <v>5.3371308415277796E-4</v>
      </c>
      <c r="M19" s="11">
        <f t="shared" si="9"/>
        <v>6.6990194010900408E-4</v>
      </c>
      <c r="N19" s="11">
        <f t="shared" si="9"/>
        <v>1.4741473587222529E-3</v>
      </c>
      <c r="O19" s="11">
        <f t="shared" si="9"/>
        <v>1.2951437508774079E-3</v>
      </c>
      <c r="P19" s="11">
        <f t="shared" si="9"/>
        <v>2.8934062519601665E-3</v>
      </c>
    </row>
    <row r="20" spans="2:16" x14ac:dyDescent="0.3">
      <c r="B20" s="20" t="s">
        <v>25</v>
      </c>
      <c r="C20" s="12">
        <f t="shared" si="2"/>
        <v>-2.244643068094691E-2</v>
      </c>
      <c r="D20" s="12">
        <f t="shared" si="3"/>
        <v>-1.4298328782845012E-2</v>
      </c>
      <c r="E20" s="12">
        <f t="shared" si="4"/>
        <v>-2.5287339771856002E-2</v>
      </c>
      <c r="F20" s="12">
        <f t="shared" si="5"/>
        <v>-1.1737204270500987E-2</v>
      </c>
      <c r="G20" s="12">
        <f t="shared" si="6"/>
        <v>1.3793268948106667E-3</v>
      </c>
      <c r="H20" s="12">
        <f t="shared" si="7"/>
        <v>-1.1102942608735435E-2</v>
      </c>
      <c r="J20" s="20" t="s">
        <v>25</v>
      </c>
      <c r="K20" s="11">
        <f t="shared" si="9"/>
        <v>1.6522977691837727E-3</v>
      </c>
      <c r="L20" s="11">
        <f t="shared" si="9"/>
        <v>1.111531418543121E-3</v>
      </c>
      <c r="M20" s="11">
        <f t="shared" si="9"/>
        <v>1.0463726802147312E-3</v>
      </c>
      <c r="N20" s="11">
        <f t="shared" si="9"/>
        <v>2.5355869147931495E-3</v>
      </c>
      <c r="O20" s="11">
        <f t="shared" si="9"/>
        <v>2.5287339771856003E-3</v>
      </c>
      <c r="P20" s="11">
        <f t="shared" si="9"/>
        <v>4.3042280462733612E-3</v>
      </c>
    </row>
    <row r="21" spans="2:16" x14ac:dyDescent="0.3">
      <c r="B21" s="20" t="s">
        <v>31</v>
      </c>
      <c r="C21" s="12">
        <f t="shared" si="2"/>
        <v>-1.5067575118370277E-2</v>
      </c>
      <c r="D21" s="12">
        <f t="shared" si="3"/>
        <v>-1.8283109583904743E-2</v>
      </c>
      <c r="E21" s="12">
        <f t="shared" si="4"/>
        <v>-2.23755688487778E-2</v>
      </c>
      <c r="F21" s="12">
        <f t="shared" si="5"/>
        <v>1.6798340131691316E-2</v>
      </c>
      <c r="G21" s="12">
        <f t="shared" si="6"/>
        <v>7.2787942708426798E-4</v>
      </c>
      <c r="H21" s="12">
        <f t="shared" si="7"/>
        <v>-1.5087723409795164E-2</v>
      </c>
      <c r="J21" s="20" t="s">
        <v>31</v>
      </c>
      <c r="K21" s="11">
        <f t="shared" si="9"/>
        <v>2.411623569927716E-3</v>
      </c>
      <c r="L21" s="11">
        <f t="shared" si="9"/>
        <v>1.9300299278845535E-3</v>
      </c>
      <c r="M21" s="11">
        <f t="shared" si="9"/>
        <v>1.4131368552442074E-3</v>
      </c>
      <c r="N21" s="11">
        <f t="shared" si="9"/>
        <v>4.6803661620651166E-3</v>
      </c>
      <c r="O21" s="11">
        <f t="shared" si="9"/>
        <v>4.5859655564234646E-3</v>
      </c>
      <c r="P21" s="11">
        <f t="shared" si="9"/>
        <v>5.8129033761818464E-3</v>
      </c>
    </row>
    <row r="22" spans="2:16" x14ac:dyDescent="0.3">
      <c r="B22" s="20" t="s">
        <v>28</v>
      </c>
      <c r="C22" s="12">
        <f t="shared" si="2"/>
        <v>-2.6789557874875199E-2</v>
      </c>
      <c r="D22" s="12">
        <f t="shared" si="3"/>
        <v>-2.4323274158591479E-2</v>
      </c>
      <c r="E22" s="12">
        <f t="shared" si="4"/>
        <v>-3.5312285147602471E-2</v>
      </c>
      <c r="F22" s="12">
        <f t="shared" si="5"/>
        <v>-1.9052122545976453E-2</v>
      </c>
      <c r="G22" s="12">
        <f t="shared" si="6"/>
        <v>1.4687714852397532E-2</v>
      </c>
      <c r="H22" s="12">
        <f t="shared" si="7"/>
        <v>7.2409063417592304E-3</v>
      </c>
      <c r="J22" s="20" t="s">
        <v>28</v>
      </c>
      <c r="K22" s="11">
        <f t="shared" si="9"/>
        <v>3.7118027001741228E-3</v>
      </c>
      <c r="L22" s="11">
        <f t="shared" si="9"/>
        <v>3.1043767162727449E-3</v>
      </c>
      <c r="M22" s="11">
        <f t="shared" si="9"/>
        <v>1.9482640081435847E-3</v>
      </c>
      <c r="N22" s="11">
        <f t="shared" si="9"/>
        <v>7.8471744772449937E-3</v>
      </c>
      <c r="O22" s="11">
        <f t="shared" si="9"/>
        <v>8.3572408182659187E-3</v>
      </c>
      <c r="P22" s="11">
        <f t="shared" si="9"/>
        <v>9.0159025908772266E-3</v>
      </c>
    </row>
    <row r="23" spans="2:16" x14ac:dyDescent="0.3">
      <c r="B23" s="20" t="s">
        <v>26</v>
      </c>
      <c r="C23" s="12">
        <f t="shared" si="2"/>
        <v>-4.8334907213215719E-2</v>
      </c>
      <c r="D23" s="12">
        <f t="shared" si="3"/>
        <v>-4.5681310809619312E-2</v>
      </c>
      <c r="E23" s="12">
        <f t="shared" si="4"/>
        <v>-5.1175816304124808E-2</v>
      </c>
      <c r="F23" s="12">
        <f t="shared" si="5"/>
        <v>3.146986010242464E-4</v>
      </c>
      <c r="G23" s="12">
        <f t="shared" si="6"/>
        <v>-4.5091496374581388E-3</v>
      </c>
      <c r="H23" s="12">
        <f t="shared" si="7"/>
        <v>-3.6991419141004241E-2</v>
      </c>
      <c r="J23" s="20" t="s">
        <v>26</v>
      </c>
      <c r="K23" s="11">
        <f t="shared" si="9"/>
        <v>5.9608195126963533E-3</v>
      </c>
      <c r="L23" s="11">
        <f t="shared" si="9"/>
        <v>5.3425302735075342E-3</v>
      </c>
      <c r="M23" s="11">
        <f t="shared" si="9"/>
        <v>2.8234933133310229E-3</v>
      </c>
      <c r="N23" s="11">
        <f t="shared" si="9"/>
        <v>1.4839599849705565E-2</v>
      </c>
      <c r="O23" s="11">
        <f t="shared" si="9"/>
        <v>1.7058605434708267E-2</v>
      </c>
      <c r="P23" s="11">
        <f t="shared" si="9"/>
        <v>1.5969758279301353E-2</v>
      </c>
    </row>
    <row r="24" spans="2:16" x14ac:dyDescent="0.3">
      <c r="B24" s="20" t="s">
        <v>22</v>
      </c>
      <c r="C24" s="12">
        <f t="shared" si="2"/>
        <v>-3.8685058740911354E-2</v>
      </c>
      <c r="D24" s="12">
        <f t="shared" si="3"/>
        <v>-4.7769724075576697E-2</v>
      </c>
      <c r="E24" s="12">
        <f t="shared" si="4"/>
        <v>-6.4253240559093178E-2</v>
      </c>
      <c r="F24" s="12">
        <f t="shared" si="5"/>
        <v>-2.6312861155299141E-2</v>
      </c>
      <c r="G24" s="12">
        <f t="shared" si="6"/>
        <v>-2.0919907225759843E-2</v>
      </c>
      <c r="H24" s="12">
        <f t="shared" si="7"/>
        <v>-5.0068843395972611E-2</v>
      </c>
      <c r="J24" s="20" t="s">
        <v>22</v>
      </c>
      <c r="K24" s="11">
        <f t="shared" si="9"/>
        <v>9.3094183764595179E-3</v>
      </c>
      <c r="L24" s="11">
        <f t="shared" si="9"/>
        <v>8.1199150157095761E-3</v>
      </c>
      <c r="M24" s="11">
        <f t="shared" si="9"/>
        <v>3.545006375674105E-3</v>
      </c>
      <c r="N24" s="11">
        <f t="shared" si="9"/>
        <v>2.4377923247352419E-2</v>
      </c>
      <c r="O24" s="11">
        <f t="shared" si="9"/>
        <v>2.7200538503349435E-2</v>
      </c>
      <c r="P24" s="11">
        <f t="shared" si="9"/>
        <v>2.1873443594584898E-2</v>
      </c>
    </row>
    <row r="25" spans="2:16" x14ac:dyDescent="0.3">
      <c r="B25" s="20" t="s">
        <v>24</v>
      </c>
      <c r="C25" s="12">
        <f t="shared" si="2"/>
        <v>-5.4075924849069645E-3</v>
      </c>
      <c r="D25" s="12">
        <f t="shared" si="3"/>
        <v>0.1676068930295786</v>
      </c>
      <c r="E25" s="12">
        <f t="shared" si="4"/>
        <v>0.37833065202919963</v>
      </c>
      <c r="F25" s="12">
        <f t="shared" si="5"/>
        <v>0.12345727570922953</v>
      </c>
      <c r="G25" s="12">
        <f t="shared" si="6"/>
        <v>0.10269846812115364</v>
      </c>
      <c r="H25" s="12">
        <f t="shared" si="7"/>
        <v>0.12213109223462883</v>
      </c>
      <c r="J25" s="20" t="s">
        <v>24</v>
      </c>
      <c r="K25" s="11">
        <f t="shared" si="9"/>
        <v>2.3173687128114122E-2</v>
      </c>
      <c r="L25" s="11">
        <f t="shared" si="9"/>
        <v>3.6353544837852296E-2</v>
      </c>
      <c r="M25" s="11">
        <f t="shared" si="9"/>
        <v>4.7505170731901067E-2</v>
      </c>
      <c r="N25" s="11">
        <f t="shared" si="9"/>
        <v>5.7230145242379037E-2</v>
      </c>
      <c r="O25" s="11">
        <f t="shared" si="9"/>
        <v>5.9819011040038575E-2</v>
      </c>
      <c r="P25" s="11">
        <f t="shared" si="9"/>
        <v>5.1424036999818248E-2</v>
      </c>
    </row>
    <row r="26" spans="2:16" x14ac:dyDescent="0.3">
      <c r="B26" s="20" t="s">
        <v>21</v>
      </c>
      <c r="C26" s="12">
        <f t="shared" si="2"/>
        <v>0.12135003511266979</v>
      </c>
      <c r="D26" s="12">
        <f t="shared" si="3"/>
        <v>0.12094419095682563</v>
      </c>
      <c r="E26" s="12">
        <f t="shared" si="4"/>
        <v>-6.6247927269775325E-2</v>
      </c>
      <c r="F26" s="12">
        <f t="shared" si="5"/>
        <v>9.8876827426047476E-2</v>
      </c>
      <c r="G26" s="12">
        <f t="shared" si="6"/>
        <v>3.2372762385397102E-2</v>
      </c>
      <c r="H26" s="12">
        <f t="shared" si="7"/>
        <v>5.4074890044971569E-2</v>
      </c>
      <c r="J26" s="20" t="s">
        <v>21</v>
      </c>
      <c r="K26" s="11">
        <f t="shared" si="9"/>
        <v>0.23683801532260615</v>
      </c>
      <c r="L26" s="11">
        <f t="shared" si="9"/>
        <v>0.33467139037193061</v>
      </c>
      <c r="M26" s="11">
        <f t="shared" si="9"/>
        <v>0.37976052091733736</v>
      </c>
      <c r="N26" s="11">
        <f t="shared" si="9"/>
        <v>0.38515930563129142</v>
      </c>
      <c r="O26" s="11">
        <f t="shared" si="9"/>
        <v>0.3671018368867594</v>
      </c>
      <c r="P26" s="11">
        <f t="shared" si="9"/>
        <v>0.35126230677979475</v>
      </c>
    </row>
    <row r="27" spans="2:16" x14ac:dyDescent="0.3">
      <c r="B27" s="20" t="s">
        <v>30</v>
      </c>
      <c r="C27" s="12">
        <f t="shared" si="2"/>
        <v>6.0263581862097182E-2</v>
      </c>
      <c r="D27" s="12">
        <f t="shared" si="3"/>
        <v>-9.8546358197842882E-2</v>
      </c>
      <c r="E27" s="12">
        <f t="shared" si="4"/>
        <v>-7.8235634438843238E-2</v>
      </c>
      <c r="F27" s="12">
        <f t="shared" si="5"/>
        <v>-0.16957289263901146</v>
      </c>
      <c r="G27" s="12">
        <f t="shared" si="6"/>
        <v>-0.1069712666227513</v>
      </c>
      <c r="H27" s="12">
        <f t="shared" si="7"/>
        <v>-9.2077649601474715E-2</v>
      </c>
      <c r="J27" s="20" t="s">
        <v>30</v>
      </c>
      <c r="K27" s="11">
        <f t="shared" si="9"/>
        <v>0.54429400504339676</v>
      </c>
      <c r="L27" s="11">
        <f t="shared" si="9"/>
        <v>0.59833775816454438</v>
      </c>
      <c r="M27" s="11">
        <f t="shared" si="9"/>
        <v>0.59142592544091954</v>
      </c>
      <c r="N27" s="11">
        <f t="shared" si="9"/>
        <v>0.62250841455381334</v>
      </c>
      <c r="O27" s="11">
        <f t="shared" si="9"/>
        <v>0.60120479325574949</v>
      </c>
      <c r="P27" s="11">
        <f t="shared" si="9"/>
        <v>0.59613642687342483</v>
      </c>
    </row>
    <row r="28" spans="2:16" x14ac:dyDescent="0.3">
      <c r="J28" s="21" t="s">
        <v>53</v>
      </c>
      <c r="K28" s="21">
        <f>SUM(K16:K27)</f>
        <v>0.82878911479421458</v>
      </c>
      <c r="L28" s="21">
        <f t="shared" ref="L28:P28" si="10">SUM(L16:L27)</f>
        <v>0.99005292115796883</v>
      </c>
      <c r="M28" s="21">
        <f t="shared" si="10"/>
        <v>1.0306534814606469</v>
      </c>
      <c r="N28" s="21">
        <f t="shared" si="10"/>
        <v>1.1215447549551931</v>
      </c>
      <c r="O28" s="21">
        <f t="shared" si="10"/>
        <v>1.0902015787939108</v>
      </c>
      <c r="P28" s="21">
        <f t="shared" si="10"/>
        <v>1.0606642393986108</v>
      </c>
    </row>
    <row r="29" spans="2:16" x14ac:dyDescent="0.3">
      <c r="J29" s="24" t="s">
        <v>54</v>
      </c>
      <c r="K29" s="24">
        <f>1-K28</f>
        <v>0.17121088520578542</v>
      </c>
      <c r="L29" s="24">
        <f t="shared" ref="L29:P29" si="11">1-L28</f>
        <v>9.9470788420311651E-3</v>
      </c>
      <c r="M29" s="24">
        <f t="shared" si="11"/>
        <v>-3.0653481460646947E-2</v>
      </c>
      <c r="N29" s="24">
        <f t="shared" si="11"/>
        <v>-0.12154475495519312</v>
      </c>
      <c r="O29" s="24">
        <f t="shared" si="11"/>
        <v>-9.0201578793910775E-2</v>
      </c>
      <c r="P29" s="24">
        <f t="shared" si="11"/>
        <v>-6.0664239398610764E-2</v>
      </c>
    </row>
  </sheetData>
  <sortState xmlns:xlrd2="http://schemas.microsoft.com/office/spreadsheetml/2017/richdata2" ref="A2:P15">
    <sortCondition ref="B1:B15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JOÃO PINHEIRO</vt:lpstr>
      <vt:lpstr>PATOS DE MINAS</vt:lpstr>
      <vt:lpstr>SÃO GOTARDO</vt:lpstr>
      <vt:lpstr>UNAÍ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2025-04-20T22:36:19Z</dcterms:created>
  <dcterms:modified xsi:type="dcterms:W3CDTF">2025-11-26T01:22:07Z</dcterms:modified>
</cp:coreProperties>
</file>