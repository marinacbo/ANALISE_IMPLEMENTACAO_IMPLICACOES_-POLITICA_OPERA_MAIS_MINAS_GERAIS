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66" documentId="8_{3B5EBC50-2CD2-4961-88BF-51533B4664B7}" xr6:coauthVersionLast="47" xr6:coauthVersionMax="47" xr10:uidLastSave="{E4CB5461-0303-4FAC-9751-20E56BACB489}"/>
  <bookViews>
    <workbookView xWindow="-108" yWindow="-108" windowWidth="23256" windowHeight="12456" xr2:uid="{4007B732-8C8D-4379-9A07-2A39595D579A}"/>
  </bookViews>
  <sheets>
    <sheet name="ÁGUAS FORMOSAS" sheetId="1" r:id="rId1"/>
    <sheet name="ALMENARA-JACINTO" sheetId="2" r:id="rId2"/>
    <sheet name="ITAMBACURI" sheetId="3" r:id="rId3"/>
    <sheet name="ITAOBIM" sheetId="4" r:id="rId4"/>
    <sheet name="NANUQUE" sheetId="5" r:id="rId5"/>
    <sheet name="PADRE PARAÍSO" sheetId="6" r:id="rId6"/>
    <sheet name="PEDRA AZUL" sheetId="7" r:id="rId7"/>
    <sheet name="TEÓFILO OTONI - MALACACHET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6" l="1"/>
  <c r="P4" i="6" s="1"/>
  <c r="P5" i="6" s="1"/>
  <c r="O26" i="8"/>
  <c r="P16" i="8"/>
  <c r="O16" i="8"/>
  <c r="N16" i="8"/>
  <c r="M16" i="8"/>
  <c r="L16" i="8"/>
  <c r="K16" i="8"/>
  <c r="P9" i="7"/>
  <c r="O9" i="7"/>
  <c r="N9" i="7"/>
  <c r="M9" i="7"/>
  <c r="L9" i="7"/>
  <c r="K9" i="7"/>
  <c r="P8" i="6"/>
  <c r="O8" i="6"/>
  <c r="N8" i="6"/>
  <c r="M8" i="6"/>
  <c r="L8" i="6"/>
  <c r="K8" i="6"/>
  <c r="P8" i="5"/>
  <c r="O8" i="5"/>
  <c r="N8" i="5"/>
  <c r="M8" i="5"/>
  <c r="L8" i="5"/>
  <c r="K8" i="5"/>
  <c r="K13" i="4"/>
  <c r="P10" i="4"/>
  <c r="O10" i="4"/>
  <c r="N10" i="4"/>
  <c r="M10" i="4"/>
  <c r="L10" i="4"/>
  <c r="K10" i="4"/>
  <c r="P10" i="3"/>
  <c r="O10" i="3"/>
  <c r="N10" i="3"/>
  <c r="M10" i="3"/>
  <c r="L10" i="3"/>
  <c r="K10" i="3"/>
  <c r="D26" i="2"/>
  <c r="E26" i="2"/>
  <c r="F26" i="2"/>
  <c r="G26" i="2"/>
  <c r="H26" i="2"/>
  <c r="D27" i="2"/>
  <c r="E27" i="2"/>
  <c r="F27" i="2"/>
  <c r="G27" i="2"/>
  <c r="H27" i="2"/>
  <c r="D28" i="2"/>
  <c r="E28" i="2"/>
  <c r="F28" i="2"/>
  <c r="G28" i="2"/>
  <c r="H28" i="2"/>
  <c r="D29" i="2"/>
  <c r="E29" i="2"/>
  <c r="F29" i="2"/>
  <c r="G29" i="2"/>
  <c r="H29" i="2"/>
  <c r="D30" i="2"/>
  <c r="E30" i="2"/>
  <c r="F30" i="2"/>
  <c r="G30" i="2"/>
  <c r="H30" i="2"/>
  <c r="D31" i="2"/>
  <c r="E31" i="2"/>
  <c r="F31" i="2"/>
  <c r="G31" i="2"/>
  <c r="H31" i="2"/>
  <c r="C26" i="2"/>
  <c r="C27" i="2"/>
  <c r="C28" i="2"/>
  <c r="C29" i="2"/>
  <c r="C30" i="2"/>
  <c r="C31" i="2"/>
  <c r="P18" i="2"/>
  <c r="O18" i="2"/>
  <c r="N18" i="2"/>
  <c r="M18" i="2"/>
  <c r="L18" i="2"/>
  <c r="K18" i="2"/>
  <c r="P12" i="1"/>
  <c r="O12" i="1"/>
  <c r="N12" i="1"/>
  <c r="M12" i="1"/>
  <c r="K12" i="1"/>
  <c r="L12" i="1"/>
  <c r="H26" i="8"/>
  <c r="G26" i="8"/>
  <c r="F26" i="8"/>
  <c r="E26" i="8"/>
  <c r="D26" i="8"/>
  <c r="C26" i="8"/>
  <c r="H25" i="8"/>
  <c r="G25" i="8"/>
  <c r="F25" i="8"/>
  <c r="E25" i="8"/>
  <c r="D25" i="8"/>
  <c r="C25" i="8"/>
  <c r="H24" i="8"/>
  <c r="G24" i="8"/>
  <c r="F24" i="8"/>
  <c r="E24" i="8"/>
  <c r="D24" i="8"/>
  <c r="C24" i="8"/>
  <c r="H23" i="8"/>
  <c r="G23" i="8"/>
  <c r="F23" i="8"/>
  <c r="E23" i="8"/>
  <c r="D23" i="8"/>
  <c r="C23" i="8"/>
  <c r="H22" i="8"/>
  <c r="G22" i="8"/>
  <c r="F22" i="8"/>
  <c r="E22" i="8"/>
  <c r="D22" i="8"/>
  <c r="C22" i="8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K3" i="8"/>
  <c r="K4" i="8" s="1"/>
  <c r="K5" i="8" s="1"/>
  <c r="K6" i="8" s="1"/>
  <c r="K7" i="8" s="1"/>
  <c r="K8" i="8" s="1"/>
  <c r="K9" i="8" s="1"/>
  <c r="K10" i="8" s="1"/>
  <c r="K11" i="8" s="1"/>
  <c r="K12" i="8" s="1"/>
  <c r="P3" i="8"/>
  <c r="P4" i="8" s="1"/>
  <c r="P5" i="8" s="1"/>
  <c r="P6" i="8" s="1"/>
  <c r="P7" i="8" s="1"/>
  <c r="P8" i="8" s="1"/>
  <c r="P9" i="8" s="1"/>
  <c r="P10" i="8" s="1"/>
  <c r="P11" i="8" s="1"/>
  <c r="P12" i="8" s="1"/>
  <c r="O3" i="8"/>
  <c r="O4" i="8" s="1"/>
  <c r="O5" i="8" s="1"/>
  <c r="O6" i="8" s="1"/>
  <c r="O7" i="8" s="1"/>
  <c r="O8" i="8" s="1"/>
  <c r="O9" i="8" s="1"/>
  <c r="O10" i="8" s="1"/>
  <c r="O11" i="8" s="1"/>
  <c r="O12" i="8" s="1"/>
  <c r="N3" i="8"/>
  <c r="N4" i="8" s="1"/>
  <c r="N5" i="8" s="1"/>
  <c r="N6" i="8" s="1"/>
  <c r="N7" i="8" s="1"/>
  <c r="N8" i="8" s="1"/>
  <c r="N9" i="8" s="1"/>
  <c r="N10" i="8" s="1"/>
  <c r="N11" i="8" s="1"/>
  <c r="N12" i="8" s="1"/>
  <c r="M3" i="8"/>
  <c r="M4" i="8" s="1"/>
  <c r="M5" i="8" s="1"/>
  <c r="M6" i="8" s="1"/>
  <c r="M7" i="8" s="1"/>
  <c r="M8" i="8" s="1"/>
  <c r="M9" i="8" s="1"/>
  <c r="M10" i="8" s="1"/>
  <c r="M11" i="8" s="1"/>
  <c r="M12" i="8" s="1"/>
  <c r="L3" i="8"/>
  <c r="L4" i="8" s="1"/>
  <c r="L5" i="8" s="1"/>
  <c r="L6" i="8" s="1"/>
  <c r="L7" i="8" s="1"/>
  <c r="L8" i="8" s="1"/>
  <c r="L9" i="8" s="1"/>
  <c r="L10" i="8" s="1"/>
  <c r="L11" i="8" s="1"/>
  <c r="L12" i="8" s="1"/>
  <c r="J3" i="8"/>
  <c r="J4" i="8" s="1"/>
  <c r="J5" i="8" s="1"/>
  <c r="J6" i="8" s="1"/>
  <c r="J7" i="8" s="1"/>
  <c r="J8" i="8" s="1"/>
  <c r="J9" i="8" s="1"/>
  <c r="J10" i="8" s="1"/>
  <c r="J11" i="8" s="1"/>
  <c r="J12" i="8" s="1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F9" i="7"/>
  <c r="E9" i="7"/>
  <c r="D9" i="7"/>
  <c r="C9" i="7"/>
  <c r="P3" i="7"/>
  <c r="P4" i="7" s="1"/>
  <c r="P5" i="7" s="1"/>
  <c r="P6" i="7" s="1"/>
  <c r="O3" i="7"/>
  <c r="O4" i="7" s="1"/>
  <c r="O5" i="7" s="1"/>
  <c r="O6" i="7" s="1"/>
  <c r="N3" i="7"/>
  <c r="N4" i="7" s="1"/>
  <c r="N5" i="7" s="1"/>
  <c r="N6" i="7" s="1"/>
  <c r="M3" i="7"/>
  <c r="M4" i="7" s="1"/>
  <c r="M5" i="7" s="1"/>
  <c r="M6" i="7" s="1"/>
  <c r="L3" i="7"/>
  <c r="L4" i="7" s="1"/>
  <c r="L5" i="7" s="1"/>
  <c r="L6" i="7" s="1"/>
  <c r="K3" i="7"/>
  <c r="K4" i="7" s="1"/>
  <c r="K5" i="7" s="1"/>
  <c r="K6" i="7" s="1"/>
  <c r="J3" i="7"/>
  <c r="J4" i="7" s="1"/>
  <c r="J5" i="7" s="1"/>
  <c r="J6" i="7" s="1"/>
  <c r="O13" i="7" s="1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O3" i="6"/>
  <c r="O4" i="6" s="1"/>
  <c r="O5" i="6" s="1"/>
  <c r="N3" i="6"/>
  <c r="N4" i="6" s="1"/>
  <c r="N5" i="6" s="1"/>
  <c r="M3" i="6"/>
  <c r="M4" i="6" s="1"/>
  <c r="M5" i="6" s="1"/>
  <c r="L3" i="6"/>
  <c r="L4" i="6" s="1"/>
  <c r="L5" i="6" s="1"/>
  <c r="K3" i="6"/>
  <c r="K4" i="6" s="1"/>
  <c r="K5" i="6" s="1"/>
  <c r="J3" i="6"/>
  <c r="J4" i="6" s="1"/>
  <c r="J5" i="6" s="1"/>
  <c r="K11" i="6" s="1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P3" i="5"/>
  <c r="P4" i="5" s="1"/>
  <c r="O3" i="5"/>
  <c r="O4" i="5" s="1"/>
  <c r="N3" i="5"/>
  <c r="N4" i="5" s="1"/>
  <c r="M3" i="5"/>
  <c r="M4" i="5" s="1"/>
  <c r="L3" i="5"/>
  <c r="L4" i="5" s="1"/>
  <c r="K3" i="5"/>
  <c r="K4" i="5" s="1"/>
  <c r="K10" i="5" s="1"/>
  <c r="J3" i="5"/>
  <c r="J4" i="5" s="1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P3" i="4"/>
  <c r="P4" i="4" s="1"/>
  <c r="P5" i="4" s="1"/>
  <c r="P6" i="4" s="1"/>
  <c r="P7" i="4" s="1"/>
  <c r="P15" i="4" s="1"/>
  <c r="O3" i="4"/>
  <c r="O4" i="4" s="1"/>
  <c r="O5" i="4" s="1"/>
  <c r="O6" i="4" s="1"/>
  <c r="O7" i="4" s="1"/>
  <c r="O15" i="4" s="1"/>
  <c r="N3" i="4"/>
  <c r="N4" i="4" s="1"/>
  <c r="N5" i="4" s="1"/>
  <c r="N6" i="4" s="1"/>
  <c r="N7" i="4" s="1"/>
  <c r="M3" i="4"/>
  <c r="M4" i="4" s="1"/>
  <c r="M5" i="4" s="1"/>
  <c r="M6" i="4" s="1"/>
  <c r="M7" i="4" s="1"/>
  <c r="L3" i="4"/>
  <c r="L4" i="4" s="1"/>
  <c r="L5" i="4" s="1"/>
  <c r="L6" i="4" s="1"/>
  <c r="L7" i="4" s="1"/>
  <c r="K3" i="4"/>
  <c r="K4" i="4" s="1"/>
  <c r="K5" i="4" s="1"/>
  <c r="K6" i="4" s="1"/>
  <c r="K7" i="4" s="1"/>
  <c r="J3" i="4"/>
  <c r="J4" i="4" s="1"/>
  <c r="J5" i="4" s="1"/>
  <c r="J6" i="4" s="1"/>
  <c r="J7" i="4" s="1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P3" i="3"/>
  <c r="P4" i="3" s="1"/>
  <c r="P5" i="3" s="1"/>
  <c r="P6" i="3" s="1"/>
  <c r="P7" i="3" s="1"/>
  <c r="O3" i="3"/>
  <c r="O4" i="3" s="1"/>
  <c r="O5" i="3" s="1"/>
  <c r="O6" i="3" s="1"/>
  <c r="O7" i="3" s="1"/>
  <c r="N3" i="3"/>
  <c r="N4" i="3" s="1"/>
  <c r="N5" i="3" s="1"/>
  <c r="N6" i="3" s="1"/>
  <c r="N7" i="3" s="1"/>
  <c r="M3" i="3"/>
  <c r="M4" i="3" s="1"/>
  <c r="M5" i="3" s="1"/>
  <c r="M6" i="3" s="1"/>
  <c r="M7" i="3" s="1"/>
  <c r="L3" i="3"/>
  <c r="L4" i="3" s="1"/>
  <c r="L5" i="3" s="1"/>
  <c r="L6" i="3" s="1"/>
  <c r="L7" i="3" s="1"/>
  <c r="K3" i="3"/>
  <c r="K4" i="3" s="1"/>
  <c r="K5" i="3" s="1"/>
  <c r="K6" i="3" s="1"/>
  <c r="K7" i="3" s="1"/>
  <c r="J3" i="3"/>
  <c r="J4" i="3" s="1"/>
  <c r="J5" i="3" s="1"/>
  <c r="J6" i="3" s="1"/>
  <c r="J7" i="3" s="1"/>
  <c r="H19" i="2"/>
  <c r="H20" i="2"/>
  <c r="H21" i="2"/>
  <c r="H22" i="2"/>
  <c r="H23" i="2"/>
  <c r="H24" i="2"/>
  <c r="H25" i="2"/>
  <c r="H18" i="2"/>
  <c r="G19" i="2"/>
  <c r="G20" i="2"/>
  <c r="G21" i="2"/>
  <c r="G22" i="2"/>
  <c r="G23" i="2"/>
  <c r="G24" i="2"/>
  <c r="G25" i="2"/>
  <c r="G18" i="2"/>
  <c r="F19" i="2"/>
  <c r="F20" i="2"/>
  <c r="F21" i="2"/>
  <c r="F22" i="2"/>
  <c r="F23" i="2"/>
  <c r="F24" i="2"/>
  <c r="F25" i="2"/>
  <c r="F18" i="2"/>
  <c r="E19" i="2"/>
  <c r="E20" i="2"/>
  <c r="E21" i="2"/>
  <c r="E22" i="2"/>
  <c r="E23" i="2"/>
  <c r="E24" i="2"/>
  <c r="E25" i="2"/>
  <c r="E18" i="2"/>
  <c r="D19" i="2"/>
  <c r="D20" i="2"/>
  <c r="D21" i="2"/>
  <c r="D22" i="2"/>
  <c r="D23" i="2"/>
  <c r="D24" i="2"/>
  <c r="D25" i="2"/>
  <c r="D18" i="2"/>
  <c r="C19" i="2"/>
  <c r="C20" i="2"/>
  <c r="C21" i="2"/>
  <c r="C22" i="2"/>
  <c r="C23" i="2"/>
  <c r="C24" i="2"/>
  <c r="C25" i="2"/>
  <c r="C18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P3" i="1"/>
  <c r="P4" i="1" s="1"/>
  <c r="P5" i="1" s="1"/>
  <c r="P6" i="1" s="1"/>
  <c r="P7" i="1" s="1"/>
  <c r="P8" i="1" s="1"/>
  <c r="P9" i="1" s="1"/>
  <c r="O3" i="1"/>
  <c r="O4" i="1" s="1"/>
  <c r="O5" i="1" s="1"/>
  <c r="O6" i="1" s="1"/>
  <c r="O7" i="1" s="1"/>
  <c r="O8" i="1" s="1"/>
  <c r="O9" i="1" s="1"/>
  <c r="N3" i="1"/>
  <c r="N4" i="1" s="1"/>
  <c r="N5" i="1" s="1"/>
  <c r="N6" i="1" s="1"/>
  <c r="N7" i="1" s="1"/>
  <c r="N8" i="1" s="1"/>
  <c r="N9" i="1" s="1"/>
  <c r="M3" i="1"/>
  <c r="M4" i="1" s="1"/>
  <c r="M5" i="1" s="1"/>
  <c r="M6" i="1" s="1"/>
  <c r="M7" i="1" s="1"/>
  <c r="M8" i="1" s="1"/>
  <c r="M9" i="1" s="1"/>
  <c r="L3" i="1"/>
  <c r="L4" i="1" s="1"/>
  <c r="L5" i="1" s="1"/>
  <c r="L6" i="1" s="1"/>
  <c r="L7" i="1" s="1"/>
  <c r="L8" i="1" s="1"/>
  <c r="L9" i="1" s="1"/>
  <c r="K3" i="1"/>
  <c r="K4" i="1" s="1"/>
  <c r="K5" i="1" s="1"/>
  <c r="K6" i="1" s="1"/>
  <c r="K7" i="1" s="1"/>
  <c r="K8" i="1" s="1"/>
  <c r="K9" i="1" s="1"/>
  <c r="J3" i="1"/>
  <c r="J4" i="1" s="1"/>
  <c r="J5" i="1" s="1"/>
  <c r="J6" i="1" s="1"/>
  <c r="J7" i="1" s="1"/>
  <c r="J8" i="1" s="1"/>
  <c r="J9" i="1" s="1"/>
  <c r="M19" i="1" s="1"/>
  <c r="K26" i="8" l="1"/>
  <c r="K24" i="8"/>
  <c r="M25" i="8"/>
  <c r="O22" i="8"/>
  <c r="K20" i="8"/>
  <c r="O18" i="8"/>
  <c r="M21" i="8"/>
  <c r="P17" i="8"/>
  <c r="O25" i="8"/>
  <c r="M24" i="8"/>
  <c r="K23" i="8"/>
  <c r="O21" i="8"/>
  <c r="M20" i="8"/>
  <c r="K19" i="8"/>
  <c r="P26" i="8"/>
  <c r="N25" i="8"/>
  <c r="L24" i="8"/>
  <c r="P22" i="8"/>
  <c r="N21" i="8"/>
  <c r="L20" i="8"/>
  <c r="P18" i="8"/>
  <c r="K17" i="8"/>
  <c r="N26" i="8"/>
  <c r="L25" i="8"/>
  <c r="P23" i="8"/>
  <c r="N22" i="8"/>
  <c r="L21" i="8"/>
  <c r="P19" i="8"/>
  <c r="N18" i="8"/>
  <c r="L17" i="8"/>
  <c r="M26" i="8"/>
  <c r="K25" i="8"/>
  <c r="O23" i="8"/>
  <c r="M22" i="8"/>
  <c r="K21" i="8"/>
  <c r="O19" i="8"/>
  <c r="M18" i="8"/>
  <c r="M17" i="8"/>
  <c r="L26" i="8"/>
  <c r="P24" i="8"/>
  <c r="N23" i="8"/>
  <c r="L22" i="8"/>
  <c r="P20" i="8"/>
  <c r="N19" i="8"/>
  <c r="L18" i="8"/>
  <c r="N17" i="8"/>
  <c r="O24" i="8"/>
  <c r="M23" i="8"/>
  <c r="K22" i="8"/>
  <c r="O20" i="8"/>
  <c r="M19" i="8"/>
  <c r="K18" i="8"/>
  <c r="O17" i="8"/>
  <c r="P25" i="8"/>
  <c r="N24" i="8"/>
  <c r="L23" i="8"/>
  <c r="P21" i="8"/>
  <c r="N20" i="8"/>
  <c r="L19" i="8"/>
  <c r="O11" i="7"/>
  <c r="O12" i="7"/>
  <c r="K13" i="7"/>
  <c r="L13" i="7"/>
  <c r="K10" i="7"/>
  <c r="P13" i="7"/>
  <c r="M10" i="7"/>
  <c r="M14" i="7" s="1"/>
  <c r="M15" i="7" s="1"/>
  <c r="L11" i="7"/>
  <c r="O11" i="6"/>
  <c r="P10" i="5"/>
  <c r="O9" i="5"/>
  <c r="N11" i="4"/>
  <c r="N16" i="4" s="1"/>
  <c r="N17" i="4" s="1"/>
  <c r="N15" i="4"/>
  <c r="L13" i="4"/>
  <c r="P12" i="4"/>
  <c r="L14" i="4"/>
  <c r="M14" i="4"/>
  <c r="N14" i="4"/>
  <c r="K11" i="3"/>
  <c r="K12" i="3"/>
  <c r="M13" i="3"/>
  <c r="P15" i="3"/>
  <c r="P14" i="3"/>
  <c r="M12" i="3"/>
  <c r="O14" i="3"/>
  <c r="K15" i="3"/>
  <c r="L12" i="3"/>
  <c r="K29" i="2"/>
  <c r="N17" i="1"/>
  <c r="O13" i="1"/>
  <c r="P18" i="1"/>
  <c r="L16" i="1"/>
  <c r="P14" i="1"/>
  <c r="M11" i="7"/>
  <c r="L10" i="7"/>
  <c r="N11" i="7"/>
  <c r="P12" i="7"/>
  <c r="N10" i="7"/>
  <c r="P11" i="7"/>
  <c r="O10" i="7"/>
  <c r="O14" i="7" s="1"/>
  <c r="O15" i="7" s="1"/>
  <c r="K12" i="7"/>
  <c r="M13" i="7"/>
  <c r="P10" i="7"/>
  <c r="L12" i="7"/>
  <c r="N13" i="7"/>
  <c r="K11" i="7"/>
  <c r="M12" i="7"/>
  <c r="N12" i="7"/>
  <c r="O9" i="6"/>
  <c r="L9" i="6"/>
  <c r="P11" i="6"/>
  <c r="M9" i="6"/>
  <c r="O10" i="6"/>
  <c r="N10" i="6"/>
  <c r="N9" i="6"/>
  <c r="P10" i="6"/>
  <c r="P9" i="6"/>
  <c r="L11" i="6"/>
  <c r="K10" i="6"/>
  <c r="M11" i="6"/>
  <c r="L10" i="6"/>
  <c r="N11" i="6"/>
  <c r="K9" i="6"/>
  <c r="K12" i="6" s="1"/>
  <c r="K13" i="6" s="1"/>
  <c r="M10" i="6"/>
  <c r="M12" i="6" s="1"/>
  <c r="M13" i="6" s="1"/>
  <c r="P9" i="5"/>
  <c r="P11" i="5"/>
  <c r="P12" i="5" s="1"/>
  <c r="L10" i="5"/>
  <c r="K9" i="5"/>
  <c r="K11" i="5" s="1"/>
  <c r="K12" i="5" s="1"/>
  <c r="M10" i="5"/>
  <c r="L9" i="5"/>
  <c r="L11" i="5" s="1"/>
  <c r="L12" i="5" s="1"/>
  <c r="N10" i="5"/>
  <c r="M9" i="5"/>
  <c r="M11" i="5" s="1"/>
  <c r="M12" i="5" s="1"/>
  <c r="O10" i="5"/>
  <c r="O11" i="5" s="1"/>
  <c r="O12" i="5" s="1"/>
  <c r="N9" i="5"/>
  <c r="P11" i="4"/>
  <c r="K12" i="4"/>
  <c r="M13" i="4"/>
  <c r="O14" i="4"/>
  <c r="L12" i="4"/>
  <c r="N13" i="4"/>
  <c r="P14" i="4"/>
  <c r="O11" i="4"/>
  <c r="K11" i="4"/>
  <c r="O13" i="4"/>
  <c r="L11" i="4"/>
  <c r="N12" i="4"/>
  <c r="P13" i="4"/>
  <c r="L15" i="4"/>
  <c r="M12" i="4"/>
  <c r="K15" i="4"/>
  <c r="M11" i="4"/>
  <c r="O12" i="4"/>
  <c r="K14" i="4"/>
  <c r="M15" i="4"/>
  <c r="L11" i="3"/>
  <c r="N12" i="3"/>
  <c r="P13" i="3"/>
  <c r="L15" i="3"/>
  <c r="N13" i="3"/>
  <c r="M11" i="3"/>
  <c r="O12" i="3"/>
  <c r="K14" i="3"/>
  <c r="M15" i="3"/>
  <c r="N11" i="3"/>
  <c r="P12" i="3"/>
  <c r="L14" i="3"/>
  <c r="N15" i="3"/>
  <c r="O13" i="3"/>
  <c r="O11" i="3"/>
  <c r="K13" i="3"/>
  <c r="K16" i="3" s="1"/>
  <c r="K17" i="3" s="1"/>
  <c r="M14" i="3"/>
  <c r="O15" i="3"/>
  <c r="P11" i="3"/>
  <c r="L13" i="3"/>
  <c r="N14" i="3"/>
  <c r="M13" i="1"/>
  <c r="L19" i="1"/>
  <c r="P17" i="1"/>
  <c r="N16" i="1"/>
  <c r="L15" i="1"/>
  <c r="N13" i="1"/>
  <c r="K19" i="1"/>
  <c r="O17" i="1"/>
  <c r="M16" i="1"/>
  <c r="K15" i="1"/>
  <c r="P19" i="1"/>
  <c r="N18" i="1"/>
  <c r="L17" i="1"/>
  <c r="P15" i="1"/>
  <c r="N14" i="1"/>
  <c r="P13" i="1"/>
  <c r="M17" i="1"/>
  <c r="O14" i="1"/>
  <c r="O19" i="1"/>
  <c r="M18" i="1"/>
  <c r="K17" i="1"/>
  <c r="O15" i="1"/>
  <c r="M14" i="1"/>
  <c r="K13" i="1"/>
  <c r="N19" i="1"/>
  <c r="L18" i="1"/>
  <c r="P16" i="1"/>
  <c r="N15" i="1"/>
  <c r="L14" i="1"/>
  <c r="O18" i="1"/>
  <c r="K16" i="1"/>
  <c r="L13" i="1"/>
  <c r="K18" i="1"/>
  <c r="O16" i="1"/>
  <c r="M15" i="1"/>
  <c r="K14" i="1"/>
  <c r="J14" i="2"/>
  <c r="P28" i="2"/>
  <c r="N27" i="2"/>
  <c r="L26" i="2"/>
  <c r="P24" i="2"/>
  <c r="N23" i="2"/>
  <c r="L22" i="2"/>
  <c r="P20" i="2"/>
  <c r="L19" i="2"/>
  <c r="O28" i="2"/>
  <c r="M27" i="2"/>
  <c r="K26" i="2"/>
  <c r="O24" i="2"/>
  <c r="M23" i="2"/>
  <c r="K22" i="2"/>
  <c r="O20" i="2"/>
  <c r="L27" i="2"/>
  <c r="P21" i="2"/>
  <c r="O19" i="2"/>
  <c r="N29" i="2"/>
  <c r="L28" i="2"/>
  <c r="P26" i="2"/>
  <c r="N25" i="2"/>
  <c r="L24" i="2"/>
  <c r="P22" i="2"/>
  <c r="N21" i="2"/>
  <c r="L20" i="2"/>
  <c r="O29" i="2"/>
  <c r="P19" i="2"/>
  <c r="M29" i="2"/>
  <c r="K28" i="2"/>
  <c r="O26" i="2"/>
  <c r="M25" i="2"/>
  <c r="K24" i="2"/>
  <c r="O22" i="2"/>
  <c r="M21" i="2"/>
  <c r="K20" i="2"/>
  <c r="M19" i="2"/>
  <c r="P29" i="2"/>
  <c r="N24" i="2"/>
  <c r="N19" i="2"/>
  <c r="M28" i="2"/>
  <c r="O25" i="2"/>
  <c r="K23" i="2"/>
  <c r="O21" i="2"/>
  <c r="M20" i="2"/>
  <c r="K19" i="2"/>
  <c r="L29" i="2"/>
  <c r="P27" i="2"/>
  <c r="N26" i="2"/>
  <c r="L25" i="2"/>
  <c r="P23" i="2"/>
  <c r="N22" i="2"/>
  <c r="L21" i="2"/>
  <c r="N28" i="2"/>
  <c r="P25" i="2"/>
  <c r="L23" i="2"/>
  <c r="N20" i="2"/>
  <c r="K27" i="2"/>
  <c r="M24" i="2"/>
  <c r="O27" i="2"/>
  <c r="M26" i="2"/>
  <c r="K25" i="2"/>
  <c r="O23" i="2"/>
  <c r="M22" i="2"/>
  <c r="K21" i="2"/>
  <c r="K15" i="7" l="1"/>
  <c r="N14" i="7"/>
  <c r="N15" i="7" s="1"/>
  <c r="K14" i="7"/>
  <c r="P14" i="7"/>
  <c r="P15" i="7" s="1"/>
  <c r="L14" i="7"/>
  <c r="L15" i="7" s="1"/>
  <c r="P12" i="6"/>
  <c r="P13" i="6" s="1"/>
  <c r="O12" i="6"/>
  <c r="O13" i="6" s="1"/>
  <c r="O16" i="4"/>
  <c r="O17" i="4" s="1"/>
  <c r="L16" i="3"/>
  <c r="L17" i="3" s="1"/>
  <c r="M16" i="3"/>
  <c r="M17" i="3" s="1"/>
  <c r="P16" i="3"/>
  <c r="P17" i="3" s="1"/>
  <c r="O20" i="1"/>
  <c r="O21" i="1" s="1"/>
  <c r="N20" i="1"/>
  <c r="N21" i="1" s="1"/>
  <c r="L20" i="1"/>
  <c r="L21" i="1" s="1"/>
  <c r="K20" i="1"/>
  <c r="K21" i="1" s="1"/>
  <c r="M20" i="1"/>
  <c r="M21" i="1" s="1"/>
  <c r="P20" i="1"/>
  <c r="P21" i="1" s="1"/>
  <c r="K27" i="8"/>
  <c r="K28" i="8" s="1"/>
  <c r="M27" i="8"/>
  <c r="M28" i="8" s="1"/>
  <c r="O27" i="8"/>
  <c r="O28" i="8" s="1"/>
  <c r="N27" i="8"/>
  <c r="N28" i="8" s="1"/>
  <c r="L27" i="8"/>
  <c r="L28" i="8" s="1"/>
  <c r="P27" i="8"/>
  <c r="P28" i="8" s="1"/>
  <c r="N12" i="6"/>
  <c r="N13" i="6" s="1"/>
  <c r="L12" i="6"/>
  <c r="L13" i="6" s="1"/>
  <c r="N11" i="5"/>
  <c r="N12" i="5" s="1"/>
  <c r="L16" i="4"/>
  <c r="L17" i="4" s="1"/>
  <c r="M16" i="4"/>
  <c r="M17" i="4" s="1"/>
  <c r="K16" i="4"/>
  <c r="K17" i="4" s="1"/>
  <c r="P16" i="4"/>
  <c r="P17" i="4" s="1"/>
  <c r="O16" i="3"/>
  <c r="O17" i="3" s="1"/>
  <c r="N16" i="3"/>
  <c r="N17" i="3" s="1"/>
  <c r="M30" i="2"/>
  <c r="J15" i="2"/>
  <c r="N30" i="2"/>
  <c r="O30" i="2"/>
  <c r="P30" i="2"/>
  <c r="K30" i="2"/>
  <c r="L30" i="2"/>
  <c r="O31" i="2" l="1"/>
  <c r="O32" i="2" s="1"/>
  <c r="O33" i="2" s="1"/>
  <c r="K31" i="2"/>
  <c r="K32" i="2" s="1"/>
  <c r="K33" i="2" s="1"/>
  <c r="L31" i="2"/>
  <c r="L32" i="2" s="1"/>
  <c r="L33" i="2" s="1"/>
  <c r="P31" i="2"/>
  <c r="P32" i="2" s="1"/>
  <c r="P33" i="2" s="1"/>
  <c r="M31" i="2"/>
  <c r="M32" i="2" s="1"/>
  <c r="M33" i="2" s="1"/>
  <c r="N31" i="2"/>
  <c r="N32" i="2" s="1"/>
  <c r="N33" i="2" s="1"/>
</calcChain>
</file>

<file path=xl/sharedStrings.xml><?xml version="1.0" encoding="utf-8"?>
<sst xmlns="http://schemas.openxmlformats.org/spreadsheetml/2006/main" count="421" uniqueCount="79">
  <si>
    <t>ÁGUAS FORMOSAS</t>
  </si>
  <si>
    <t>BERTÓPOLIS</t>
  </si>
  <si>
    <t>CRISÓLITA</t>
  </si>
  <si>
    <t>FRONTEIRA DOS VALES</t>
  </si>
  <si>
    <t>MACHACALIS</t>
  </si>
  <si>
    <t>PAVÃO</t>
  </si>
  <si>
    <t>SANTA HELENA DE MINAS</t>
  </si>
  <si>
    <t>UMBURATIBA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</si>
  <si>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</si>
  <si>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</si>
  <si>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</si>
  <si>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</si>
  <si>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</si>
  <si>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</si>
  <si>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</si>
  <si>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</si>
  <si>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ALMENARA</t>
  </si>
  <si>
    <t>BANDEIRA</t>
  </si>
  <si>
    <t>FELISBURGO</t>
  </si>
  <si>
    <t>JACINTO</t>
  </si>
  <si>
    <t>JEQUITINHONHA</t>
  </si>
  <si>
    <t>JOAÍMA</t>
  </si>
  <si>
    <t>JORDÂNIA</t>
  </si>
  <si>
    <t>MATA VERDE</t>
  </si>
  <si>
    <t>PALMÓPOLIS</t>
  </si>
  <si>
    <t>RIO DO PRADO</t>
  </si>
  <si>
    <t>RUBIM</t>
  </si>
  <si>
    <t>SALTO DA DIVISA</t>
  </si>
  <si>
    <t>SANTA MARIA DO SALTO</t>
  </si>
  <si>
    <t>SANTO ANTÔNIO DO JACINTO</t>
  </si>
  <si>
    <t>ITAMBACURI</t>
  </si>
  <si>
    <t>CAMPANÁRIO</t>
  </si>
  <si>
    <t>FREI GASPAR</t>
  </si>
  <si>
    <t>NOVA MÓDICA</t>
  </si>
  <si>
    <t>PESCADOR</t>
  </si>
  <si>
    <t>SÃO JOSÉ DO DIVINO</t>
  </si>
  <si>
    <t>ITAOBIM</t>
  </si>
  <si>
    <t>COMERCINHO</t>
  </si>
  <si>
    <t>ITINGA</t>
  </si>
  <si>
    <t>MEDINA</t>
  </si>
  <si>
    <t>MONTE FORMOSO</t>
  </si>
  <si>
    <t>PONTO DOS VOLANTES</t>
  </si>
  <si>
    <t>NANUQUE</t>
  </si>
  <si>
    <t>CARLOS CHAGAS</t>
  </si>
  <si>
    <t>SERRA DOS AIMORÉS</t>
  </si>
  <si>
    <t>PADRE PARAÍSO</t>
  </si>
  <si>
    <t>CARAÍ</t>
  </si>
  <si>
    <t>CATUJI</t>
  </si>
  <si>
    <t>ITAIPÉ</t>
  </si>
  <si>
    <t>PEDRA AZUL</t>
  </si>
  <si>
    <t>ÁGUAS VERMELHAS</t>
  </si>
  <si>
    <t>CACHOEIRA DE PAJEÚ</t>
  </si>
  <si>
    <t>DIVISA ALEGRE</t>
  </si>
  <si>
    <t>DIVISÓPOLIS</t>
  </si>
  <si>
    <t>ANGELÂNDIA</t>
  </si>
  <si>
    <t>ATALÉIA</t>
  </si>
  <si>
    <t>FRANCISCÓPOLIS</t>
  </si>
  <si>
    <t>LADAINHA</t>
  </si>
  <si>
    <t>MALACACHETA</t>
  </si>
  <si>
    <t>NOVO CRUZEIRO</t>
  </si>
  <si>
    <t>NOVO ORIENTE DE MINAS</t>
  </si>
  <si>
    <t>OURO VERDE DE MINAS</t>
  </si>
  <si>
    <t>POTÉ</t>
  </si>
  <si>
    <t>SETUBINHA</t>
  </si>
  <si>
    <t>TEÓFILO OTONI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</si>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</sst>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0" fontId="0" fillId="8" borderId="1" xfId="0" applyFill="1" applyBorder="1"/>
    <xf numFmtId="0" fontId="2" fillId="7" borderId="1" xfId="0" applyFont="1" applyFill="1" applyBorder="1"/>
    <xf numFmtId="0" fontId="0" fillId="8" borderId="1" xfId="0" applyFill="1" applyBorder="1" applyAlignment="1">
      <alignment horizontal="left" indent="2"/>
    </xf>
    <xf numFmtId="0" fontId="2" fillId="7" borderId="1" xfId="0" applyFont="1" applyFill="1" applyBorder="1" applyAlignment="1">
      <alignment horizontal="left" indent="2"/>
    </xf>
    <xf numFmtId="2" fontId="0" fillId="0" borderId="1" xfId="1" applyNumberFormat="1" applyFont="1" applyBorder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'ÁGUAS FORMOSAS'!$J$1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FORMOSAS'!$J$2:$J$9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80-4DD3-B211-74B3FCD0BA20}"/>
            </c:ext>
          </c:extLst>
        </c:ser>
        <c:ser>
          <c:idx val="1"/>
          <c:order val="1"/>
          <c:tx>
            <c:strRef>
              <c:f>'ÁGUAS FORMOSAS'!$K$1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FORMOSAS'!$K$2:$K$9</c:f>
              <c:numCache>
                <c:formatCode>0.00</c:formatCode>
                <c:ptCount val="8"/>
                <c:pt idx="0">
                  <c:v>4.5454545454545456E-2</c:v>
                </c:pt>
                <c:pt idx="1">
                  <c:v>4.5454545454545456E-2</c:v>
                </c:pt>
                <c:pt idx="2">
                  <c:v>0.20454545454545453</c:v>
                </c:pt>
                <c:pt idx="3">
                  <c:v>0.36363636363636365</c:v>
                </c:pt>
                <c:pt idx="4">
                  <c:v>0.5</c:v>
                </c:pt>
                <c:pt idx="5">
                  <c:v>0.59090909090909094</c:v>
                </c:pt>
                <c:pt idx="6">
                  <c:v>0.61363636363636365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80-4DD3-B211-74B3FCD0BA20}"/>
            </c:ext>
          </c:extLst>
        </c:ser>
        <c:ser>
          <c:idx val="2"/>
          <c:order val="2"/>
          <c:tx>
            <c:strRef>
              <c:f>'ÁGUAS FORMOSAS'!$L$1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FORMOSAS'!$L$2:$L$9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</c:v>
                </c:pt>
                <c:pt idx="6">
                  <c:v>0.8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80-4DD3-B211-74B3FCD0BA20}"/>
            </c:ext>
          </c:extLst>
        </c:ser>
        <c:ser>
          <c:idx val="3"/>
          <c:order val="3"/>
          <c:tx>
            <c:strRef>
              <c:f>'ÁGUAS FORMOSAS'!$M$1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FORMOSAS'!$M$2:$M$9</c:f>
              <c:numCache>
                <c:formatCode>0.00</c:formatCode>
                <c:ptCount val="8"/>
                <c:pt idx="0">
                  <c:v>7.1428571428571425E-2</c:v>
                </c:pt>
                <c:pt idx="1">
                  <c:v>7.1428571428571425E-2</c:v>
                </c:pt>
                <c:pt idx="2">
                  <c:v>0.10714285714285714</c:v>
                </c:pt>
                <c:pt idx="3">
                  <c:v>0.14285714285714285</c:v>
                </c:pt>
                <c:pt idx="4">
                  <c:v>0.2857142857142857</c:v>
                </c:pt>
                <c:pt idx="5">
                  <c:v>0.4642857142857143</c:v>
                </c:pt>
                <c:pt idx="6">
                  <c:v>0.5714285714285714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80-4DD3-B211-74B3FCD0B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1216"/>
        <c:axId val="154330336"/>
      </c:scatterChart>
      <c:valAx>
        <c:axId val="1543212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30336"/>
        <c:crosses val="autoZero"/>
        <c:crossBetween val="midCat"/>
      </c:valAx>
      <c:valAx>
        <c:axId val="1543303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2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'ÁGUAS FORMOSAS'!$J$1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FORMOSAS'!$J$2:$J$9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77-4E7C-8907-C177737ACC13}"/>
            </c:ext>
          </c:extLst>
        </c:ser>
        <c:ser>
          <c:idx val="1"/>
          <c:order val="1"/>
          <c:tx>
            <c:strRef>
              <c:f>'ÁGUAS FORMOSAS'!$N$1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FORMOSAS'!$N$2:$N$9</c:f>
              <c:numCache>
                <c:formatCode>0.00</c:formatCode>
                <c:ptCount val="8"/>
                <c:pt idx="0">
                  <c:v>2.9850746268656716E-2</c:v>
                </c:pt>
                <c:pt idx="1">
                  <c:v>5.9701492537313432E-2</c:v>
                </c:pt>
                <c:pt idx="2">
                  <c:v>0.16417910447761194</c:v>
                </c:pt>
                <c:pt idx="3">
                  <c:v>0.38805970149253732</c:v>
                </c:pt>
                <c:pt idx="4">
                  <c:v>0.41791044776119401</c:v>
                </c:pt>
                <c:pt idx="5">
                  <c:v>0.5074626865671642</c:v>
                </c:pt>
                <c:pt idx="6">
                  <c:v>0.73134328358208955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77-4E7C-8907-C177737ACC13}"/>
            </c:ext>
          </c:extLst>
        </c:ser>
        <c:ser>
          <c:idx val="2"/>
          <c:order val="2"/>
          <c:tx>
            <c:strRef>
              <c:f>'ÁGUAS FORMOSAS'!$O$1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FORMOSAS'!$O$2:$O$9</c:f>
              <c:numCache>
                <c:formatCode>0.00</c:formatCode>
                <c:ptCount val="8"/>
                <c:pt idx="0">
                  <c:v>0</c:v>
                </c:pt>
                <c:pt idx="1">
                  <c:v>2.5000000000000001E-2</c:v>
                </c:pt>
                <c:pt idx="2">
                  <c:v>0.19999999999999998</c:v>
                </c:pt>
                <c:pt idx="3">
                  <c:v>0.3</c:v>
                </c:pt>
                <c:pt idx="4">
                  <c:v>0.32500000000000001</c:v>
                </c:pt>
                <c:pt idx="5">
                  <c:v>0.375</c:v>
                </c:pt>
                <c:pt idx="6">
                  <c:v>0.6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77-4E7C-8907-C177737ACC13}"/>
            </c:ext>
          </c:extLst>
        </c:ser>
        <c:ser>
          <c:idx val="3"/>
          <c:order val="3"/>
          <c:tx>
            <c:strRef>
              <c:f>'ÁGUAS FORMOSAS'!$P$1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FORMOSAS'!$P$2:$P$9</c:f>
              <c:numCache>
                <c:formatCode>0.00</c:formatCode>
                <c:ptCount val="8"/>
                <c:pt idx="0">
                  <c:v>0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0.5</c:v>
                </c:pt>
                <c:pt idx="5">
                  <c:v>0.625</c:v>
                </c:pt>
                <c:pt idx="6">
                  <c:v>0.625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77-4E7C-8907-C177737A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52912"/>
        <c:axId val="525146192"/>
      </c:scatterChart>
      <c:valAx>
        <c:axId val="5251529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46192"/>
        <c:crosses val="autoZero"/>
        <c:crossBetween val="midCat"/>
      </c:valAx>
      <c:valAx>
        <c:axId val="525146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'ALMENARA-JACINTO'!$J$1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'ALMENARA-JACINTO'!$J$2:$J$15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CA-43C4-A87D-B8691A90713B}"/>
            </c:ext>
          </c:extLst>
        </c:ser>
        <c:ser>
          <c:idx val="1"/>
          <c:order val="1"/>
          <c:tx>
            <c:strRef>
              <c:f>'ALMENARA-JACINTO'!$K$1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'ALMENARA-JACINTO'!$K$2:$K$15</c:f>
              <c:numCache>
                <c:formatCode>0.00</c:formatCode>
                <c:ptCount val="14"/>
                <c:pt idx="0">
                  <c:v>2.7027027027027029E-2</c:v>
                </c:pt>
                <c:pt idx="1">
                  <c:v>5.4054054054054057E-2</c:v>
                </c:pt>
                <c:pt idx="2">
                  <c:v>0.10038610038610038</c:v>
                </c:pt>
                <c:pt idx="3">
                  <c:v>0.17760617760617758</c:v>
                </c:pt>
                <c:pt idx="4">
                  <c:v>0.21235521235521232</c:v>
                </c:pt>
                <c:pt idx="5">
                  <c:v>0.2857142857142857</c:v>
                </c:pt>
                <c:pt idx="6">
                  <c:v>0.29729729729729726</c:v>
                </c:pt>
                <c:pt idx="7">
                  <c:v>0.31660231660231658</c:v>
                </c:pt>
                <c:pt idx="8">
                  <c:v>0.33976833976833976</c:v>
                </c:pt>
                <c:pt idx="9">
                  <c:v>0.38610038610038611</c:v>
                </c:pt>
                <c:pt idx="10">
                  <c:v>0.46718146718146719</c:v>
                </c:pt>
                <c:pt idx="11">
                  <c:v>0.59459459459459463</c:v>
                </c:pt>
                <c:pt idx="12">
                  <c:v>0.65637065637065639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CA-43C4-A87D-B8691A90713B}"/>
            </c:ext>
          </c:extLst>
        </c:ser>
        <c:ser>
          <c:idx val="2"/>
          <c:order val="2"/>
          <c:tx>
            <c:strRef>
              <c:f>'ALMENARA-JACINTO'!$L$1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'ALMENARA-JACINTO'!$L$2:$L$15</c:f>
              <c:numCache>
                <c:formatCode>0.00</c:formatCode>
                <c:ptCount val="14"/>
                <c:pt idx="0">
                  <c:v>1.1363636363636364E-2</c:v>
                </c:pt>
                <c:pt idx="1">
                  <c:v>6.8181818181818177E-2</c:v>
                </c:pt>
                <c:pt idx="2">
                  <c:v>9.0909090909090912E-2</c:v>
                </c:pt>
                <c:pt idx="3">
                  <c:v>0.15909090909090909</c:v>
                </c:pt>
                <c:pt idx="4">
                  <c:v>0.22727272727272727</c:v>
                </c:pt>
                <c:pt idx="5">
                  <c:v>0.22727272727272727</c:v>
                </c:pt>
                <c:pt idx="6">
                  <c:v>0.23863636363636362</c:v>
                </c:pt>
                <c:pt idx="7">
                  <c:v>0.28409090909090906</c:v>
                </c:pt>
                <c:pt idx="8">
                  <c:v>0.30681818181818177</c:v>
                </c:pt>
                <c:pt idx="9">
                  <c:v>0.39772727272727271</c:v>
                </c:pt>
                <c:pt idx="10">
                  <c:v>0.51136363636363635</c:v>
                </c:pt>
                <c:pt idx="11">
                  <c:v>0.64772727272727271</c:v>
                </c:pt>
                <c:pt idx="12">
                  <c:v>0.75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CA-43C4-A87D-B8691A90713B}"/>
            </c:ext>
          </c:extLst>
        </c:ser>
        <c:ser>
          <c:idx val="3"/>
          <c:order val="3"/>
          <c:tx>
            <c:strRef>
              <c:f>'ALMENARA-JACINTO'!$M$1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'ALMENARA-JACINTO'!$M$2:$M$15</c:f>
              <c:numCache>
                <c:formatCode>0.00</c:formatCode>
                <c:ptCount val="14"/>
                <c:pt idx="0">
                  <c:v>4.7619047619047616E-2</c:v>
                </c:pt>
                <c:pt idx="1">
                  <c:v>5.4421768707482991E-2</c:v>
                </c:pt>
                <c:pt idx="2">
                  <c:v>7.4829931972789115E-2</c:v>
                </c:pt>
                <c:pt idx="3">
                  <c:v>0.16326530612244899</c:v>
                </c:pt>
                <c:pt idx="4">
                  <c:v>0.21088435374149661</c:v>
                </c:pt>
                <c:pt idx="5">
                  <c:v>0.25850340136054423</c:v>
                </c:pt>
                <c:pt idx="6">
                  <c:v>0.26530612244897961</c:v>
                </c:pt>
                <c:pt idx="7">
                  <c:v>0.30612244897959184</c:v>
                </c:pt>
                <c:pt idx="8">
                  <c:v>0.32653061224489799</c:v>
                </c:pt>
                <c:pt idx="9">
                  <c:v>0.38775510204081637</c:v>
                </c:pt>
                <c:pt idx="10">
                  <c:v>0.47619047619047622</c:v>
                </c:pt>
                <c:pt idx="11">
                  <c:v>0.5714285714285714</c:v>
                </c:pt>
                <c:pt idx="12">
                  <c:v>0.8231292517006803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CA-43C4-A87D-B8691A90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7632"/>
        <c:axId val="424086112"/>
      </c:scatterChart>
      <c:valAx>
        <c:axId val="4240976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6112"/>
        <c:crosses val="autoZero"/>
        <c:crossBetween val="midCat"/>
      </c:valAx>
      <c:valAx>
        <c:axId val="424086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'ALMENARA-JACINTO'!$J$1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'ALMENARA-JACINTO'!$J$2:$J$15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55-4F8C-86A7-B5972EDA59B6}"/>
            </c:ext>
          </c:extLst>
        </c:ser>
        <c:ser>
          <c:idx val="1"/>
          <c:order val="1"/>
          <c:tx>
            <c:strRef>
              <c:f>'ALMENARA-JACINTO'!$N$1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'ALMENARA-JACINTO'!$N$2:$N$15</c:f>
              <c:numCache>
                <c:formatCode>0.00</c:formatCode>
                <c:ptCount val="14"/>
                <c:pt idx="0">
                  <c:v>4.3956043956043959E-2</c:v>
                </c:pt>
                <c:pt idx="1">
                  <c:v>7.3260073260073263E-2</c:v>
                </c:pt>
                <c:pt idx="2">
                  <c:v>0.12454212454212454</c:v>
                </c:pt>
                <c:pt idx="3">
                  <c:v>0.17216117216117216</c:v>
                </c:pt>
                <c:pt idx="4">
                  <c:v>0.21978021978021978</c:v>
                </c:pt>
                <c:pt idx="5">
                  <c:v>0.28937728937728935</c:v>
                </c:pt>
                <c:pt idx="6">
                  <c:v>0.32967032967032966</c:v>
                </c:pt>
                <c:pt idx="7">
                  <c:v>0.46886446886446886</c:v>
                </c:pt>
                <c:pt idx="8">
                  <c:v>0.51648351648351642</c:v>
                </c:pt>
                <c:pt idx="9">
                  <c:v>0.57509157509157505</c:v>
                </c:pt>
                <c:pt idx="10">
                  <c:v>0.63369963369963367</c:v>
                </c:pt>
                <c:pt idx="11">
                  <c:v>0.66666666666666663</c:v>
                </c:pt>
                <c:pt idx="12">
                  <c:v>0.7289377289377289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55-4F8C-86A7-B5972EDA59B6}"/>
            </c:ext>
          </c:extLst>
        </c:ser>
        <c:ser>
          <c:idx val="2"/>
          <c:order val="2"/>
          <c:tx>
            <c:strRef>
              <c:f>'ALMENARA-JACINTO'!$O$1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'ALMENARA-JACINTO'!$O$2:$O$15</c:f>
              <c:numCache>
                <c:formatCode>0.00</c:formatCode>
                <c:ptCount val="14"/>
                <c:pt idx="0">
                  <c:v>4.9504950495049506E-3</c:v>
                </c:pt>
                <c:pt idx="1">
                  <c:v>8.4158415841584164E-2</c:v>
                </c:pt>
                <c:pt idx="2">
                  <c:v>0.14356435643564358</c:v>
                </c:pt>
                <c:pt idx="3">
                  <c:v>0.21287128712871289</c:v>
                </c:pt>
                <c:pt idx="4">
                  <c:v>0.23267326732673269</c:v>
                </c:pt>
                <c:pt idx="5">
                  <c:v>0.28217821782178221</c:v>
                </c:pt>
                <c:pt idx="6">
                  <c:v>0.32673267326732675</c:v>
                </c:pt>
                <c:pt idx="7">
                  <c:v>0.42574257425742579</c:v>
                </c:pt>
                <c:pt idx="8">
                  <c:v>0.43069306930693074</c:v>
                </c:pt>
                <c:pt idx="9">
                  <c:v>0.52970297029702973</c:v>
                </c:pt>
                <c:pt idx="10">
                  <c:v>0.57920792079207928</c:v>
                </c:pt>
                <c:pt idx="11">
                  <c:v>0.60891089108910901</c:v>
                </c:pt>
                <c:pt idx="12">
                  <c:v>0.69801980198019808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55-4F8C-86A7-B5972EDA59B6}"/>
            </c:ext>
          </c:extLst>
        </c:ser>
        <c:ser>
          <c:idx val="3"/>
          <c:order val="3"/>
          <c:tx>
            <c:strRef>
              <c:f>'ALMENARA-JACINTO'!$P$1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'ALMENARA-JACINTO'!$P$2:$P$15</c:f>
              <c:numCache>
                <c:formatCode>0.00</c:formatCode>
                <c:ptCount val="14"/>
                <c:pt idx="0">
                  <c:v>4.3478260869565216E-2</c:v>
                </c:pt>
                <c:pt idx="1">
                  <c:v>8.6956521739130432E-2</c:v>
                </c:pt>
                <c:pt idx="2">
                  <c:v>0.13768115942028986</c:v>
                </c:pt>
                <c:pt idx="3">
                  <c:v>0.15942028985507245</c:v>
                </c:pt>
                <c:pt idx="4">
                  <c:v>0.22463768115942029</c:v>
                </c:pt>
                <c:pt idx="5">
                  <c:v>0.27536231884057971</c:v>
                </c:pt>
                <c:pt idx="6">
                  <c:v>0.39130434782608697</c:v>
                </c:pt>
                <c:pt idx="7">
                  <c:v>0.52898550724637683</c:v>
                </c:pt>
                <c:pt idx="8">
                  <c:v>0.55072463768115942</c:v>
                </c:pt>
                <c:pt idx="9">
                  <c:v>0.60144927536231885</c:v>
                </c:pt>
                <c:pt idx="10">
                  <c:v>0.67391304347826086</c:v>
                </c:pt>
                <c:pt idx="11">
                  <c:v>0.70289855072463769</c:v>
                </c:pt>
                <c:pt idx="12">
                  <c:v>0.80434782608695654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55-4F8C-86A7-B5972EDA5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99744"/>
        <c:axId val="158200224"/>
      </c:scatterChart>
      <c:valAx>
        <c:axId val="15819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200224"/>
        <c:crosses val="autoZero"/>
        <c:crossBetween val="midCat"/>
      </c:valAx>
      <c:valAx>
        <c:axId val="15820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9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ITAMBACURI!$J$1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ITAMBACURI!$J$2:$J$7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B6-459C-9380-6B2E3B6E24F3}"/>
            </c:ext>
          </c:extLst>
        </c:ser>
        <c:ser>
          <c:idx val="1"/>
          <c:order val="1"/>
          <c:tx>
            <c:strRef>
              <c:f>ITAMBACURI!$K$1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ITAMBACURI!$K$2:$K$7</c:f>
              <c:numCache>
                <c:formatCode>0.00</c:formatCode>
                <c:ptCount val="6"/>
                <c:pt idx="0">
                  <c:v>9.2783505154639179E-2</c:v>
                </c:pt>
                <c:pt idx="1">
                  <c:v>0.19587628865979381</c:v>
                </c:pt>
                <c:pt idx="2">
                  <c:v>0.32989690721649484</c:v>
                </c:pt>
                <c:pt idx="3">
                  <c:v>0.38144329896907214</c:v>
                </c:pt>
                <c:pt idx="4">
                  <c:v>0.52577319587628857</c:v>
                </c:pt>
                <c:pt idx="5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B6-459C-9380-6B2E3B6E24F3}"/>
            </c:ext>
          </c:extLst>
        </c:ser>
        <c:ser>
          <c:idx val="2"/>
          <c:order val="2"/>
          <c:tx>
            <c:strRef>
              <c:f>ITAMBACURI!$L$1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ITAMBACURI!$L$2:$L$7</c:f>
              <c:numCache>
                <c:formatCode>0.00</c:formatCode>
                <c:ptCount val="6"/>
                <c:pt idx="0">
                  <c:v>0.24528301886792453</c:v>
                </c:pt>
                <c:pt idx="1">
                  <c:v>0.339622641509434</c:v>
                </c:pt>
                <c:pt idx="2">
                  <c:v>0.37735849056603776</c:v>
                </c:pt>
                <c:pt idx="3">
                  <c:v>0.45283018867924529</c:v>
                </c:pt>
                <c:pt idx="4">
                  <c:v>0.62264150943396224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B6-459C-9380-6B2E3B6E24F3}"/>
            </c:ext>
          </c:extLst>
        </c:ser>
        <c:ser>
          <c:idx val="3"/>
          <c:order val="3"/>
          <c:tx>
            <c:strRef>
              <c:f>ITAMBACURI!$M$1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ITAMBACURI!$M$2:$M$7</c:f>
              <c:numCache>
                <c:formatCode>0.00</c:formatCode>
                <c:ptCount val="6"/>
                <c:pt idx="0">
                  <c:v>0.14000000000000001</c:v>
                </c:pt>
                <c:pt idx="1">
                  <c:v>0.26</c:v>
                </c:pt>
                <c:pt idx="2">
                  <c:v>0.36</c:v>
                </c:pt>
                <c:pt idx="3">
                  <c:v>0.39999999999999997</c:v>
                </c:pt>
                <c:pt idx="4">
                  <c:v>0.55999999999999994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B6-459C-9380-6B2E3B6E2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45232"/>
        <c:axId val="525163472"/>
      </c:scatterChart>
      <c:valAx>
        <c:axId val="525145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63472"/>
        <c:crosses val="autoZero"/>
        <c:crossBetween val="midCat"/>
      </c:valAx>
      <c:valAx>
        <c:axId val="5251634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4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ITAMBACURI!$J$1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ITAMBACURI!$J$2:$J$7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31-40B2-8DF8-D8F95057F601}"/>
            </c:ext>
          </c:extLst>
        </c:ser>
        <c:ser>
          <c:idx val="1"/>
          <c:order val="1"/>
          <c:tx>
            <c:strRef>
              <c:f>ITAMBACURI!$N$1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ITAMBACURI!$N$2:$N$7</c:f>
              <c:numCache>
                <c:formatCode>0.00</c:formatCode>
                <c:ptCount val="6"/>
                <c:pt idx="0">
                  <c:v>0.13953488372093023</c:v>
                </c:pt>
                <c:pt idx="1">
                  <c:v>0.22480620155038761</c:v>
                </c:pt>
                <c:pt idx="2">
                  <c:v>0.27131782945736438</c:v>
                </c:pt>
                <c:pt idx="3">
                  <c:v>0.32558139534883723</c:v>
                </c:pt>
                <c:pt idx="4">
                  <c:v>0.51162790697674421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31-40B2-8DF8-D8F95057F601}"/>
            </c:ext>
          </c:extLst>
        </c:ser>
        <c:ser>
          <c:idx val="2"/>
          <c:order val="2"/>
          <c:tx>
            <c:strRef>
              <c:f>ITAMBACURI!$O$1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ITAMBACURI!$O$2:$O$7</c:f>
              <c:numCache>
                <c:formatCode>0.00</c:formatCode>
                <c:ptCount val="6"/>
                <c:pt idx="0">
                  <c:v>4.7619047619047616E-2</c:v>
                </c:pt>
                <c:pt idx="1">
                  <c:v>0.2</c:v>
                </c:pt>
                <c:pt idx="2">
                  <c:v>0.32380952380952382</c:v>
                </c:pt>
                <c:pt idx="3">
                  <c:v>0.43809523809523809</c:v>
                </c:pt>
                <c:pt idx="4">
                  <c:v>0.47619047619047616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31-40B2-8DF8-D8F95057F601}"/>
            </c:ext>
          </c:extLst>
        </c:ser>
        <c:ser>
          <c:idx val="3"/>
          <c:order val="3"/>
          <c:tx>
            <c:strRef>
              <c:f>ITAMBACURI!$P$1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ITAMBACURI!$P$2:$P$7</c:f>
              <c:numCache>
                <c:formatCode>0.00</c:formatCode>
                <c:ptCount val="6"/>
                <c:pt idx="0">
                  <c:v>4.5454545454545456E-2</c:v>
                </c:pt>
                <c:pt idx="1">
                  <c:v>9.0909090909090912E-2</c:v>
                </c:pt>
                <c:pt idx="2">
                  <c:v>0.16666666666666669</c:v>
                </c:pt>
                <c:pt idx="3">
                  <c:v>0.22727272727272729</c:v>
                </c:pt>
                <c:pt idx="4">
                  <c:v>0.33333333333333337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31-40B2-8DF8-D8F95057F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299264"/>
        <c:axId val="297282944"/>
      </c:scatterChart>
      <c:valAx>
        <c:axId val="297299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82944"/>
        <c:crosses val="autoZero"/>
        <c:crossBetween val="midCat"/>
      </c:valAx>
      <c:valAx>
        <c:axId val="297282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ITAOBIM!$J$1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ITAOBIM!$J$2:$J$7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B-4503-99D4-9F6039EDB185}"/>
            </c:ext>
          </c:extLst>
        </c:ser>
        <c:ser>
          <c:idx val="1"/>
          <c:order val="1"/>
          <c:tx>
            <c:strRef>
              <c:f>ITAOBIM!$K$1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ITAOBIM!$K$2:$K$7</c:f>
              <c:numCache>
                <c:formatCode>0.00</c:formatCode>
                <c:ptCount val="6"/>
                <c:pt idx="0">
                  <c:v>3.5294117647058823E-2</c:v>
                </c:pt>
                <c:pt idx="1">
                  <c:v>0.12352941176470589</c:v>
                </c:pt>
                <c:pt idx="2">
                  <c:v>0.25882352941176467</c:v>
                </c:pt>
                <c:pt idx="3">
                  <c:v>0.48823529411764699</c:v>
                </c:pt>
                <c:pt idx="4">
                  <c:v>0.77647058823529402</c:v>
                </c:pt>
                <c:pt idx="5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0B-4503-99D4-9F6039EDB185}"/>
            </c:ext>
          </c:extLst>
        </c:ser>
        <c:ser>
          <c:idx val="2"/>
          <c:order val="2"/>
          <c:tx>
            <c:strRef>
              <c:f>ITAOBIM!$L$1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ITAOBIM!$L$2:$L$7</c:f>
              <c:numCache>
                <c:formatCode>0.00</c:formatCode>
                <c:ptCount val="6"/>
                <c:pt idx="0">
                  <c:v>3.2258064516129031E-2</c:v>
                </c:pt>
                <c:pt idx="1">
                  <c:v>0.11290322580645161</c:v>
                </c:pt>
                <c:pt idx="2">
                  <c:v>0.29032258064516131</c:v>
                </c:pt>
                <c:pt idx="3">
                  <c:v>0.5</c:v>
                </c:pt>
                <c:pt idx="4">
                  <c:v>0.79032258064516125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0B-4503-99D4-9F6039EDB185}"/>
            </c:ext>
          </c:extLst>
        </c:ser>
        <c:ser>
          <c:idx val="3"/>
          <c:order val="3"/>
          <c:tx>
            <c:strRef>
              <c:f>ITAOBIM!$M$1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ITAOBIM!$M$2:$M$7</c:f>
              <c:numCache>
                <c:formatCode>0.00</c:formatCode>
                <c:ptCount val="6"/>
                <c:pt idx="0">
                  <c:v>2.9850746268656716E-2</c:v>
                </c:pt>
                <c:pt idx="1">
                  <c:v>7.4626865671641784E-2</c:v>
                </c:pt>
                <c:pt idx="2">
                  <c:v>0.16417910447761191</c:v>
                </c:pt>
                <c:pt idx="3">
                  <c:v>0.16417910447761191</c:v>
                </c:pt>
                <c:pt idx="4">
                  <c:v>0.64179104477611937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0B-4503-99D4-9F6039EDB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70304"/>
        <c:axId val="85570784"/>
      </c:scatterChart>
      <c:valAx>
        <c:axId val="855703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70784"/>
        <c:crosses val="autoZero"/>
        <c:crossBetween val="midCat"/>
      </c:valAx>
      <c:valAx>
        <c:axId val="85570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7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ITAOBIM!$J$1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ITAOBIM!$J$2:$J$7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67-4A35-BABA-784A4E53EA0F}"/>
            </c:ext>
          </c:extLst>
        </c:ser>
        <c:ser>
          <c:idx val="1"/>
          <c:order val="1"/>
          <c:tx>
            <c:strRef>
              <c:f>ITAOBIM!$N$1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ITAOBIM!$N$2:$N$7</c:f>
              <c:numCache>
                <c:formatCode>0.00</c:formatCode>
                <c:ptCount val="6"/>
                <c:pt idx="0">
                  <c:v>3.4883720930232558E-2</c:v>
                </c:pt>
                <c:pt idx="1">
                  <c:v>0.1124031007751938</c:v>
                </c:pt>
                <c:pt idx="2">
                  <c:v>0.26356589147286824</c:v>
                </c:pt>
                <c:pt idx="3">
                  <c:v>0.44186046511627908</c:v>
                </c:pt>
                <c:pt idx="4">
                  <c:v>0.83720930232558133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67-4A35-BABA-784A4E53EA0F}"/>
            </c:ext>
          </c:extLst>
        </c:ser>
        <c:ser>
          <c:idx val="2"/>
          <c:order val="2"/>
          <c:tx>
            <c:strRef>
              <c:f>ITAOBIM!$O$1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ITAOBIM!$O$2:$O$7</c:f>
              <c:numCache>
                <c:formatCode>0.00</c:formatCode>
                <c:ptCount val="6"/>
                <c:pt idx="0">
                  <c:v>3.015075376884422E-2</c:v>
                </c:pt>
                <c:pt idx="1">
                  <c:v>0.16080402010050251</c:v>
                </c:pt>
                <c:pt idx="2">
                  <c:v>0.27638190954773867</c:v>
                </c:pt>
                <c:pt idx="3">
                  <c:v>0.47738693467336679</c:v>
                </c:pt>
                <c:pt idx="4">
                  <c:v>0.79396984924623104</c:v>
                </c:pt>
                <c:pt idx="5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67-4A35-BABA-784A4E53EA0F}"/>
            </c:ext>
          </c:extLst>
        </c:ser>
        <c:ser>
          <c:idx val="3"/>
          <c:order val="3"/>
          <c:tx>
            <c:strRef>
              <c:f>ITAOBIM!$P$1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ITAOBIM!$P$2:$P$7</c:f>
              <c:numCache>
                <c:formatCode>0.00</c:formatCode>
                <c:ptCount val="6"/>
                <c:pt idx="0">
                  <c:v>2.0618556701030927E-2</c:v>
                </c:pt>
                <c:pt idx="1">
                  <c:v>0.10309278350515463</c:v>
                </c:pt>
                <c:pt idx="2">
                  <c:v>0.29896907216494845</c:v>
                </c:pt>
                <c:pt idx="3">
                  <c:v>0.5670103092783505</c:v>
                </c:pt>
                <c:pt idx="4">
                  <c:v>0.79381443298969068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67-4A35-BABA-784A4E53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83264"/>
        <c:axId val="85573184"/>
      </c:scatterChart>
      <c:valAx>
        <c:axId val="85583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73184"/>
        <c:crosses val="autoZero"/>
        <c:crossBetween val="midCat"/>
      </c:valAx>
      <c:valAx>
        <c:axId val="85573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8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NANUQUE!$J$1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NANUQUE!$J$2:$J$4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A6-40A6-B058-E9D69770C914}"/>
            </c:ext>
          </c:extLst>
        </c:ser>
        <c:ser>
          <c:idx val="1"/>
          <c:order val="1"/>
          <c:tx>
            <c:strRef>
              <c:f>NANUQUE!$K$1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NANUQUE!$K$2:$K$4</c:f>
              <c:numCache>
                <c:formatCode>0.00</c:formatCode>
                <c:ptCount val="3"/>
                <c:pt idx="0">
                  <c:v>0.23076923076923078</c:v>
                </c:pt>
                <c:pt idx="1">
                  <c:v>0.50769230769230766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A6-40A6-B058-E9D69770C914}"/>
            </c:ext>
          </c:extLst>
        </c:ser>
        <c:ser>
          <c:idx val="2"/>
          <c:order val="2"/>
          <c:tx>
            <c:strRef>
              <c:f>NANUQUE!$L$1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NANUQUE!$L$2:$L$4</c:f>
              <c:numCache>
                <c:formatCode>0.00</c:formatCode>
                <c:ptCount val="3"/>
                <c:pt idx="0">
                  <c:v>0.05</c:v>
                </c:pt>
                <c:pt idx="1">
                  <c:v>0.15000000000000002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A6-40A6-B058-E9D69770C914}"/>
            </c:ext>
          </c:extLst>
        </c:ser>
        <c:ser>
          <c:idx val="3"/>
          <c:order val="3"/>
          <c:tx>
            <c:strRef>
              <c:f>NANUQUE!$M$1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NANUQUE!$M$2:$M$4</c:f>
              <c:numCache>
                <c:formatCode>0.00</c:formatCode>
                <c:ptCount val="3"/>
                <c:pt idx="0">
                  <c:v>0.11594202898550725</c:v>
                </c:pt>
                <c:pt idx="1">
                  <c:v>0.40579710144927539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A6-40A6-B058-E9D69770C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247392"/>
        <c:axId val="217248832"/>
      </c:scatterChart>
      <c:valAx>
        <c:axId val="2172473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8832"/>
        <c:crosses val="autoZero"/>
        <c:crossBetween val="midCat"/>
      </c:valAx>
      <c:valAx>
        <c:axId val="2172488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NANUQUE!$J$1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NANUQUE!$J$2:$J$4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37-44AE-9721-EFE883C4CBE9}"/>
            </c:ext>
          </c:extLst>
        </c:ser>
        <c:ser>
          <c:idx val="1"/>
          <c:order val="1"/>
          <c:tx>
            <c:strRef>
              <c:f>NANUQUE!$N$1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NANUQUE!$N$2:$N$4</c:f>
              <c:numCache>
                <c:formatCode>0.00</c:formatCode>
                <c:ptCount val="3"/>
                <c:pt idx="0">
                  <c:v>8.6419753086419748E-2</c:v>
                </c:pt>
                <c:pt idx="1">
                  <c:v>0.33950617283950618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37-44AE-9721-EFE883C4CBE9}"/>
            </c:ext>
          </c:extLst>
        </c:ser>
        <c:ser>
          <c:idx val="2"/>
          <c:order val="2"/>
          <c:tx>
            <c:strRef>
              <c:f>NANUQUE!$O$1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NANUQUE!$O$2:$O$4</c:f>
              <c:numCache>
                <c:formatCode>0.00</c:formatCode>
                <c:ptCount val="3"/>
                <c:pt idx="0">
                  <c:v>0.1650485436893204</c:v>
                </c:pt>
                <c:pt idx="1">
                  <c:v>0.4563106796116505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37-44AE-9721-EFE883C4CBE9}"/>
            </c:ext>
          </c:extLst>
        </c:ser>
        <c:ser>
          <c:idx val="3"/>
          <c:order val="3"/>
          <c:tx>
            <c:strRef>
              <c:f>NANUQUE!$P$1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NANUQUE!$P$2:$P$4</c:f>
              <c:numCache>
                <c:formatCode>0.00</c:formatCode>
                <c:ptCount val="3"/>
                <c:pt idx="0">
                  <c:v>0.15384615384615385</c:v>
                </c:pt>
                <c:pt idx="1">
                  <c:v>0.19230769230769232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37-44AE-9721-EFE883C4C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87840"/>
        <c:axId val="342945520"/>
      </c:scatterChart>
      <c:valAx>
        <c:axId val="20881878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945520"/>
        <c:crosses val="autoZero"/>
        <c:crossBetween val="midCat"/>
      </c:valAx>
      <c:valAx>
        <c:axId val="342945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'PADRE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PARAÍSO'!$J$2:$J$5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0-4A07-9A8C-06EB14B8B206}"/>
            </c:ext>
          </c:extLst>
        </c:ser>
        <c:ser>
          <c:idx val="1"/>
          <c:order val="1"/>
          <c:tx>
            <c:strRef>
              <c:f>'PADRE PARAÍSO'!$K$1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PARAÍSO'!$K$2:$K$5</c:f>
              <c:numCache>
                <c:formatCode>0.00</c:formatCode>
                <c:ptCount val="4"/>
                <c:pt idx="0">
                  <c:v>0.11578947368421053</c:v>
                </c:pt>
                <c:pt idx="1">
                  <c:v>0.34736842105263155</c:v>
                </c:pt>
                <c:pt idx="2">
                  <c:v>0.78947368421052633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0-4A07-9A8C-06EB14B8B206}"/>
            </c:ext>
          </c:extLst>
        </c:ser>
        <c:ser>
          <c:idx val="2"/>
          <c:order val="2"/>
          <c:tx>
            <c:strRef>
              <c:f>'PADRE PARAÍSO'!$L$1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PARAÍSO'!$L$2:$L$5</c:f>
              <c:numCache>
                <c:formatCode>0.00</c:formatCode>
                <c:ptCount val="4"/>
                <c:pt idx="0">
                  <c:v>7.3170731707317069E-2</c:v>
                </c:pt>
                <c:pt idx="1">
                  <c:v>0.41463414634146345</c:v>
                </c:pt>
                <c:pt idx="2">
                  <c:v>0.8292682926829269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F0-4A07-9A8C-06EB14B8B206}"/>
            </c:ext>
          </c:extLst>
        </c:ser>
        <c:ser>
          <c:idx val="3"/>
          <c:order val="3"/>
          <c:tx>
            <c:strRef>
              <c:f>'PADRE PARAÍSO'!$M$1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PARAÍSO'!$M$2:$M$5</c:f>
              <c:numCache>
                <c:formatCode>0.00</c:formatCode>
                <c:ptCount val="4"/>
                <c:pt idx="0">
                  <c:v>3.0303030303030304E-2</c:v>
                </c:pt>
                <c:pt idx="1">
                  <c:v>0.39393939393939392</c:v>
                </c:pt>
                <c:pt idx="2">
                  <c:v>0.96969696969696972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F0-4A07-9A8C-06EB14B8B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5712"/>
        <c:axId val="424094272"/>
      </c:scatterChart>
      <c:valAx>
        <c:axId val="4240957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4272"/>
        <c:crosses val="autoZero"/>
        <c:crossBetween val="midCat"/>
      </c:valAx>
      <c:valAx>
        <c:axId val="424094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5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'PADRE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PARAÍSO'!$J$2:$J$5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B7-4E8F-A133-E0B5D79F6A4B}"/>
            </c:ext>
          </c:extLst>
        </c:ser>
        <c:ser>
          <c:idx val="1"/>
          <c:order val="1"/>
          <c:tx>
            <c:strRef>
              <c:f>'PADRE PARAÍSO'!$N$1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PARAÍSO'!$N$2:$N$5</c:f>
              <c:numCache>
                <c:formatCode>0.00</c:formatCode>
                <c:ptCount val="4"/>
                <c:pt idx="0">
                  <c:v>0.10377358490566038</c:v>
                </c:pt>
                <c:pt idx="1">
                  <c:v>0.23584905660377359</c:v>
                </c:pt>
                <c:pt idx="2">
                  <c:v>0.66981132075471694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B7-4E8F-A133-E0B5D79F6A4B}"/>
            </c:ext>
          </c:extLst>
        </c:ser>
        <c:ser>
          <c:idx val="2"/>
          <c:order val="2"/>
          <c:tx>
            <c:strRef>
              <c:f>'PADRE PARAÍSO'!$O$1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PARAÍSO'!$O$2:$O$5</c:f>
              <c:numCache>
                <c:formatCode>0.00</c:formatCode>
                <c:ptCount val="4"/>
                <c:pt idx="0">
                  <c:v>0.11475409836065574</c:v>
                </c:pt>
                <c:pt idx="1">
                  <c:v>0.26229508196721313</c:v>
                </c:pt>
                <c:pt idx="2">
                  <c:v>0.50819672131147542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B7-4E8F-A133-E0B5D79F6A4B}"/>
            </c:ext>
          </c:extLst>
        </c:ser>
        <c:ser>
          <c:idx val="3"/>
          <c:order val="3"/>
          <c:tx>
            <c:strRef>
              <c:f>'PADRE PARAÍSO'!$P$1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PARAÍSO'!$P$2:$P$5</c:f>
              <c:numCache>
                <c:formatCode>0.00</c:formatCode>
                <c:ptCount val="4"/>
                <c:pt idx="0">
                  <c:v>0.1891891891891892</c:v>
                </c:pt>
                <c:pt idx="1">
                  <c:v>0.27027027027027029</c:v>
                </c:pt>
                <c:pt idx="2">
                  <c:v>0.59459459459459463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B7-4E8F-A133-E0B5D79F6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29152"/>
        <c:axId val="49539232"/>
      </c:scatterChart>
      <c:valAx>
        <c:axId val="495291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39232"/>
        <c:crosses val="autoZero"/>
        <c:crossBetween val="midCat"/>
      </c:valAx>
      <c:valAx>
        <c:axId val="49539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2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'PEDRA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AZUL'!$J$2:$J$6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0-493A-81F2-C984E317D705}"/>
            </c:ext>
          </c:extLst>
        </c:ser>
        <c:ser>
          <c:idx val="1"/>
          <c:order val="1"/>
          <c:tx>
            <c:strRef>
              <c:f>'PEDRA AZUL'!$K$1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AZUL'!$K$2:$K$6</c:f>
              <c:numCache>
                <c:formatCode>0.00</c:formatCode>
                <c:ptCount val="5"/>
                <c:pt idx="0">
                  <c:v>4.7619047619047616E-2</c:v>
                </c:pt>
                <c:pt idx="1">
                  <c:v>0.19047619047619047</c:v>
                </c:pt>
                <c:pt idx="2">
                  <c:v>0.2857142857142857</c:v>
                </c:pt>
                <c:pt idx="3">
                  <c:v>0.47619047619047616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E0-493A-81F2-C984E317D705}"/>
            </c:ext>
          </c:extLst>
        </c:ser>
        <c:ser>
          <c:idx val="2"/>
          <c:order val="2"/>
          <c:tx>
            <c:strRef>
              <c:f>'PEDRA AZUL'!$L$1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AZUL'!$L$2:$L$6</c:f>
              <c:numCache>
                <c:formatCode>0.00</c:formatCode>
                <c:ptCount val="5"/>
                <c:pt idx="0">
                  <c:v>4.1666666666666664E-2</c:v>
                </c:pt>
                <c:pt idx="1">
                  <c:v>0.20833333333333331</c:v>
                </c:pt>
                <c:pt idx="2">
                  <c:v>0.375</c:v>
                </c:pt>
                <c:pt idx="3">
                  <c:v>0.45833333333333331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E0-493A-81F2-C984E317D705}"/>
            </c:ext>
          </c:extLst>
        </c:ser>
        <c:ser>
          <c:idx val="3"/>
          <c:order val="3"/>
          <c:tx>
            <c:strRef>
              <c:f>'PEDRA AZUL'!$M$1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AZUL'!$M$2:$M$6</c:f>
              <c:numCache>
                <c:formatCode>0.00</c:formatCode>
                <c:ptCount val="5"/>
                <c:pt idx="0">
                  <c:v>4.5454545454545456E-2</c:v>
                </c:pt>
                <c:pt idx="1">
                  <c:v>0.31818181818181818</c:v>
                </c:pt>
                <c:pt idx="2">
                  <c:v>0.40909090909090906</c:v>
                </c:pt>
                <c:pt idx="3">
                  <c:v>0.81818181818181812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E0-493A-81F2-C984E317D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307904"/>
        <c:axId val="297298784"/>
      </c:scatterChart>
      <c:valAx>
        <c:axId val="297307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8784"/>
        <c:crosses val="autoZero"/>
        <c:crossBetween val="midCat"/>
      </c:valAx>
      <c:valAx>
        <c:axId val="297298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30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'PEDRA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AZUL'!$J$2:$J$6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D2-4CCF-AB63-FD1BE27241EF}"/>
            </c:ext>
          </c:extLst>
        </c:ser>
        <c:ser>
          <c:idx val="1"/>
          <c:order val="1"/>
          <c:tx>
            <c:strRef>
              <c:f>'PEDRA AZUL'!$N$1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AZUL'!$N$2:$N$6</c:f>
              <c:numCache>
                <c:formatCode>0.00</c:formatCode>
                <c:ptCount val="5"/>
                <c:pt idx="0">
                  <c:v>7.0422535211267609E-2</c:v>
                </c:pt>
                <c:pt idx="1">
                  <c:v>0.20657276995305163</c:v>
                </c:pt>
                <c:pt idx="2">
                  <c:v>0.34272300469483563</c:v>
                </c:pt>
                <c:pt idx="3">
                  <c:v>0.50704225352112675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D2-4CCF-AB63-FD1BE27241EF}"/>
            </c:ext>
          </c:extLst>
        </c:ser>
        <c:ser>
          <c:idx val="2"/>
          <c:order val="2"/>
          <c:tx>
            <c:strRef>
              <c:f>'PEDRA AZUL'!$O$1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AZUL'!$O$2:$O$6</c:f>
              <c:numCache>
                <c:formatCode>0.00</c:formatCode>
                <c:ptCount val="5"/>
                <c:pt idx="0">
                  <c:v>0.1402439024390244</c:v>
                </c:pt>
                <c:pt idx="1">
                  <c:v>0.37804878048780488</c:v>
                </c:pt>
                <c:pt idx="2">
                  <c:v>0.5</c:v>
                </c:pt>
                <c:pt idx="3">
                  <c:v>0.67073170731707321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D2-4CCF-AB63-FD1BE27241EF}"/>
            </c:ext>
          </c:extLst>
        </c:ser>
        <c:ser>
          <c:idx val="3"/>
          <c:order val="3"/>
          <c:tx>
            <c:strRef>
              <c:f>'PEDRA AZUL'!$P$1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AZUL'!$P$2:$P$6</c:f>
              <c:numCache>
                <c:formatCode>0.00</c:formatCode>
                <c:ptCount val="5"/>
                <c:pt idx="0">
                  <c:v>0.12048192771084337</c:v>
                </c:pt>
                <c:pt idx="1">
                  <c:v>0.27710843373493976</c:v>
                </c:pt>
                <c:pt idx="2">
                  <c:v>0.38554216867469882</c:v>
                </c:pt>
                <c:pt idx="3">
                  <c:v>0.65060240963855431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D2-4CCF-AB63-FD1BE2724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24224"/>
        <c:axId val="1914724704"/>
      </c:scatterChart>
      <c:valAx>
        <c:axId val="19147242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4704"/>
        <c:crosses val="autoZero"/>
        <c:crossBetween val="midCat"/>
      </c:valAx>
      <c:valAx>
        <c:axId val="19147247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'TEÓFILO OTONI - MALACACHETA'!$J$1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MALACACHETA'!$J$2:$J$12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C-4225-8F3F-7EDD6A5B6F4F}"/>
            </c:ext>
          </c:extLst>
        </c:ser>
        <c:ser>
          <c:idx val="1"/>
          <c:order val="1"/>
          <c:tx>
            <c:strRef>
              <c:f>'TEÓFILO OTONI - MALACACHETA'!$K$1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MALACACHETA'!$K$2:$K$12</c:f>
              <c:numCache>
                <c:formatCode>0.00</c:formatCode>
                <c:ptCount val="11"/>
                <c:pt idx="0">
                  <c:v>3.6184210526315791E-2</c:v>
                </c:pt>
                <c:pt idx="1">
                  <c:v>5.2631578947368418E-2</c:v>
                </c:pt>
                <c:pt idx="2">
                  <c:v>7.5657894736842105E-2</c:v>
                </c:pt>
                <c:pt idx="3">
                  <c:v>9.2105263157894732E-2</c:v>
                </c:pt>
                <c:pt idx="4">
                  <c:v>0.125</c:v>
                </c:pt>
                <c:pt idx="5">
                  <c:v>0.15131578947368421</c:v>
                </c:pt>
                <c:pt idx="6">
                  <c:v>0.19078947368421051</c:v>
                </c:pt>
                <c:pt idx="7">
                  <c:v>0.22039473684210525</c:v>
                </c:pt>
                <c:pt idx="8">
                  <c:v>0.30592105263157893</c:v>
                </c:pt>
                <c:pt idx="9">
                  <c:v>0.34210526315789469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BC-4225-8F3F-7EDD6A5B6F4F}"/>
            </c:ext>
          </c:extLst>
        </c:ser>
        <c:ser>
          <c:idx val="2"/>
          <c:order val="2"/>
          <c:tx>
            <c:strRef>
              <c:f>'TEÓFILO OTONI - MALACACHETA'!$L$1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MALACACHETA'!$L$2:$L$12</c:f>
              <c:numCache>
                <c:formatCode>0.00</c:formatCode>
                <c:ptCount val="11"/>
                <c:pt idx="0">
                  <c:v>2.4193548387096774E-2</c:v>
                </c:pt>
                <c:pt idx="1">
                  <c:v>2.4193548387096774E-2</c:v>
                </c:pt>
                <c:pt idx="2">
                  <c:v>4.8387096774193547E-2</c:v>
                </c:pt>
                <c:pt idx="3">
                  <c:v>6.4516129032258063E-2</c:v>
                </c:pt>
                <c:pt idx="4">
                  <c:v>8.8709677419354843E-2</c:v>
                </c:pt>
                <c:pt idx="5">
                  <c:v>0.14516129032258066</c:v>
                </c:pt>
                <c:pt idx="6">
                  <c:v>0.19354838709677419</c:v>
                </c:pt>
                <c:pt idx="7">
                  <c:v>0.24193548387096775</c:v>
                </c:pt>
                <c:pt idx="8">
                  <c:v>0.27419354838709675</c:v>
                </c:pt>
                <c:pt idx="9">
                  <c:v>0.30645161290322576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BC-4225-8F3F-7EDD6A5B6F4F}"/>
            </c:ext>
          </c:extLst>
        </c:ser>
        <c:ser>
          <c:idx val="3"/>
          <c:order val="3"/>
          <c:tx>
            <c:strRef>
              <c:f>'TEÓFILO OTONI - MALACACHETA'!$M$1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MALACACHETA'!$M$2:$M$12</c:f>
              <c:numCache>
                <c:formatCode>0.00</c:formatCode>
                <c:ptCount val="11"/>
                <c:pt idx="0">
                  <c:v>3.8674033149171269E-2</c:v>
                </c:pt>
                <c:pt idx="1">
                  <c:v>4.4198895027624308E-2</c:v>
                </c:pt>
                <c:pt idx="2">
                  <c:v>5.5248618784530384E-2</c:v>
                </c:pt>
                <c:pt idx="3">
                  <c:v>8.8397790055248615E-2</c:v>
                </c:pt>
                <c:pt idx="4">
                  <c:v>0.13259668508287292</c:v>
                </c:pt>
                <c:pt idx="5">
                  <c:v>0.16574585635359115</c:v>
                </c:pt>
                <c:pt idx="6">
                  <c:v>0.23756906077348067</c:v>
                </c:pt>
                <c:pt idx="7">
                  <c:v>0.27071823204419887</c:v>
                </c:pt>
                <c:pt idx="8">
                  <c:v>0.42541436464088395</c:v>
                </c:pt>
                <c:pt idx="9">
                  <c:v>0.46961325966850825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BC-4225-8F3F-7EDD6A5B6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458640"/>
        <c:axId val="1420464400"/>
      </c:scatterChart>
      <c:valAx>
        <c:axId val="1420458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64400"/>
        <c:crosses val="autoZero"/>
        <c:crossBetween val="midCat"/>
      </c:valAx>
      <c:valAx>
        <c:axId val="14204644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5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'TEÓFILO OTONI - MALACACHETA'!$J$1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MALACACHETA'!$J$2:$J$12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4-4669-8DD9-3E9B9214CDA7}"/>
            </c:ext>
          </c:extLst>
        </c:ser>
        <c:ser>
          <c:idx val="1"/>
          <c:order val="1"/>
          <c:tx>
            <c:strRef>
              <c:f>'TEÓFILO OTONI - MALACACHETA'!$N$1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MALACACHETA'!$N$2:$N$12</c:f>
              <c:numCache>
                <c:formatCode>0.00</c:formatCode>
                <c:ptCount val="11"/>
                <c:pt idx="0">
                  <c:v>5.1886792452830191E-2</c:v>
                </c:pt>
                <c:pt idx="1">
                  <c:v>7.3113207547169809E-2</c:v>
                </c:pt>
                <c:pt idx="2">
                  <c:v>0.11320754716981132</c:v>
                </c:pt>
                <c:pt idx="3">
                  <c:v>0.13679245283018868</c:v>
                </c:pt>
                <c:pt idx="4">
                  <c:v>0.15566037735849056</c:v>
                </c:pt>
                <c:pt idx="5">
                  <c:v>0.17924528301886791</c:v>
                </c:pt>
                <c:pt idx="6">
                  <c:v>0.20283018867924527</c:v>
                </c:pt>
                <c:pt idx="7">
                  <c:v>0.24056603773584903</c:v>
                </c:pt>
                <c:pt idx="8">
                  <c:v>0.33726415094339623</c:v>
                </c:pt>
                <c:pt idx="9">
                  <c:v>0.36792452830188682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4-4669-8DD9-3E9B9214CDA7}"/>
            </c:ext>
          </c:extLst>
        </c:ser>
        <c:ser>
          <c:idx val="2"/>
          <c:order val="2"/>
          <c:tx>
            <c:strRef>
              <c:f>'TEÓFILO OTONI - MALACACHETA'!$O$1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MALACACHETA'!$O$2:$O$12</c:f>
              <c:numCache>
                <c:formatCode>0.00</c:formatCode>
                <c:ptCount val="11"/>
                <c:pt idx="0">
                  <c:v>3.0303030303030304E-2</c:v>
                </c:pt>
                <c:pt idx="1">
                  <c:v>7.575757575757576E-2</c:v>
                </c:pt>
                <c:pt idx="2">
                  <c:v>0.16450216450216451</c:v>
                </c:pt>
                <c:pt idx="3">
                  <c:v>0.22510822510822512</c:v>
                </c:pt>
                <c:pt idx="4">
                  <c:v>0.23593073593073594</c:v>
                </c:pt>
                <c:pt idx="5">
                  <c:v>0.2813852813852814</c:v>
                </c:pt>
                <c:pt idx="6">
                  <c:v>0.33766233766233766</c:v>
                </c:pt>
                <c:pt idx="7">
                  <c:v>0.40043290043290042</c:v>
                </c:pt>
                <c:pt idx="8">
                  <c:v>0.46320346320346317</c:v>
                </c:pt>
                <c:pt idx="9">
                  <c:v>0.47835497835497831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4-4669-8DD9-3E9B9214CDA7}"/>
            </c:ext>
          </c:extLst>
        </c:ser>
        <c:ser>
          <c:idx val="3"/>
          <c:order val="3"/>
          <c:tx>
            <c:strRef>
              <c:f>'TEÓFILO OTONI - MALACACHETA'!$P$1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MALACACHETA'!$P$2:$P$12</c:f>
              <c:numCache>
                <c:formatCode>0.00</c:formatCode>
                <c:ptCount val="11"/>
                <c:pt idx="0">
                  <c:v>3.3898305084745763E-2</c:v>
                </c:pt>
                <c:pt idx="1">
                  <c:v>5.0847457627118647E-2</c:v>
                </c:pt>
                <c:pt idx="2">
                  <c:v>0.11016949152542374</c:v>
                </c:pt>
                <c:pt idx="3">
                  <c:v>0.3347457627118644</c:v>
                </c:pt>
                <c:pt idx="4">
                  <c:v>0.35169491525423729</c:v>
                </c:pt>
                <c:pt idx="5">
                  <c:v>0.38135593220338981</c:v>
                </c:pt>
                <c:pt idx="6">
                  <c:v>0.40254237288135591</c:v>
                </c:pt>
                <c:pt idx="7">
                  <c:v>0.49576271186440679</c:v>
                </c:pt>
                <c:pt idx="8">
                  <c:v>0.54661016949152541</c:v>
                </c:pt>
                <c:pt idx="9">
                  <c:v>0.64406779661016944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4-4669-8DD9-3E9B9214C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84000"/>
        <c:axId val="2088186400"/>
      </c:scatterChart>
      <c:valAx>
        <c:axId val="20881840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6400"/>
        <c:crosses val="autoZero"/>
        <c:crossBetween val="midCat"/>
      </c:valAx>
      <c:valAx>
        <c:axId val="20881864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0</xdr:row>
      <xdr:rowOff>41910</xdr:rowOff>
    </xdr:from>
    <xdr:to>
      <xdr:col>23</xdr:col>
      <xdr:colOff>457200</xdr:colOff>
      <xdr:row>13</xdr:row>
      <xdr:rowOff>49530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E3EBEC-62F1-96AF-8677-FD696ABAF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13</xdr:row>
      <xdr:rowOff>110490</xdr:rowOff>
    </xdr:from>
    <xdr:to>
      <xdr:col>23</xdr:col>
      <xdr:colOff>441960</xdr:colOff>
      <xdr:row>28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3CEBBE4-BF71-017F-66AE-4AB004794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166456</xdr:colOff>
      <xdr:row>0</xdr:row>
      <xdr:rowOff>34031</xdr:rowOff>
    </xdr:from>
    <xdr:to>
      <xdr:col>23</xdr:col>
      <xdr:colOff>491970</xdr:colOff>
      <xdr:row>14</xdr:row>
      <xdr:rowOff>17755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E3C5BDF-C198-C329-78E1-E02326B08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166456</xdr:colOff>
      <xdr:row>14</xdr:row>
      <xdr:rowOff>93214</xdr:rowOff>
    </xdr:from>
    <xdr:to>
      <xdr:col>23</xdr:col>
      <xdr:colOff>491970</xdr:colOff>
      <xdr:row>28</xdr:row>
      <xdr:rowOff>69540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E79139C-5413-EE56-B8E3-4F30772D2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0</xdr:row>
      <xdr:rowOff>80010</xdr:rowOff>
    </xdr:from>
    <xdr:to>
      <xdr:col>23</xdr:col>
      <xdr:colOff>495300</xdr:colOff>
      <xdr:row>13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2752C7-C8B3-6D75-DBB1-11E4D7009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213360</xdr:colOff>
      <xdr:row>13</xdr:row>
      <xdr:rowOff>140970</xdr:rowOff>
    </xdr:from>
    <xdr:to>
      <xdr:col>23</xdr:col>
      <xdr:colOff>518160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4180789-C842-FEFE-9208-0013A71BF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160020</xdr:colOff>
      <xdr:row>0</xdr:row>
      <xdr:rowOff>26670</xdr:rowOff>
    </xdr:from>
    <xdr:to>
      <xdr:col>23</xdr:col>
      <xdr:colOff>464820</xdr:colOff>
      <xdr:row>13</xdr:row>
      <xdr:rowOff>34290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E2CC87-AABC-3D0F-E557-79D067105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151006</xdr:colOff>
      <xdr:row>13</xdr:row>
      <xdr:rowOff>111964</xdr:rowOff>
    </xdr:from>
    <xdr:to>
      <xdr:col>23</xdr:col>
      <xdr:colOff>468648</xdr:colOff>
      <xdr:row>28</xdr:row>
      <xdr:rowOff>141375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473E366-584C-EF09-B69B-14A999D5C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129988</xdr:colOff>
      <xdr:row>0</xdr:row>
      <xdr:rowOff>44824</xdr:rowOff>
    </xdr:from>
    <xdr:to>
      <xdr:col>23</xdr:col>
      <xdr:colOff>434788</xdr:colOff>
      <xdr:row>13</xdr:row>
      <xdr:rowOff>89648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C4BF188-DEA0-7D87-C08B-48230AE43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119062</xdr:colOff>
      <xdr:row>14</xdr:row>
      <xdr:rowOff>5555</xdr:rowOff>
    </xdr:from>
    <xdr:to>
      <xdr:col>23</xdr:col>
      <xdr:colOff>412750</xdr:colOff>
      <xdr:row>29</xdr:row>
      <xdr:rowOff>10318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3D43A8D-C616-BB9A-ADC8-9D41C3BFB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34290</xdr:rowOff>
    </xdr:from>
    <xdr:to>
      <xdr:col>23</xdr:col>
      <xdr:colOff>426720</xdr:colOff>
      <xdr:row>13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B52E80-AED5-8BB4-5F17-0700F5488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121920</xdr:colOff>
      <xdr:row>13</xdr:row>
      <xdr:rowOff>118110</xdr:rowOff>
    </xdr:from>
    <xdr:to>
      <xdr:col>23</xdr:col>
      <xdr:colOff>426720</xdr:colOff>
      <xdr:row>28</xdr:row>
      <xdr:rowOff>118110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AC5E101-E3E7-7159-4239-A30B0EFB3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0</xdr:row>
      <xdr:rowOff>41910</xdr:rowOff>
    </xdr:from>
    <xdr:to>
      <xdr:col>23</xdr:col>
      <xdr:colOff>571500</xdr:colOff>
      <xdr:row>13</xdr:row>
      <xdr:rowOff>49530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A768847-5F72-2F6B-5661-2823FAA3F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281940</xdr:colOff>
      <xdr:row>13</xdr:row>
      <xdr:rowOff>102870</xdr:rowOff>
    </xdr:from>
    <xdr:to>
      <xdr:col>23</xdr:col>
      <xdr:colOff>586740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C89230-19BB-9F96-5906-A3914CF94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102870</xdr:rowOff>
    </xdr:from>
    <xdr:to>
      <xdr:col>23</xdr:col>
      <xdr:colOff>411480</xdr:colOff>
      <xdr:row>14</xdr:row>
      <xdr:rowOff>110490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1C649CC-9AB9-D47D-EFEC-4A3B856FB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163830</xdr:rowOff>
    </xdr:from>
    <xdr:to>
      <xdr:col>23</xdr:col>
      <xdr:colOff>403860</xdr:colOff>
      <xdr:row>28</xdr:row>
      <xdr:rowOff>163830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5CF338E-D90F-EB07-2F42-C32583C47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1AC9-AF57-4F72-ADE6-84E3B9A17E36}">
  <dimension ref="A1:P21"/>
  <sheetViews>
    <sheetView tabSelected="1" workbookViewId="0">
      <selection activeCell="B11" sqref="B11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8" t="s">
        <v>7</v>
      </c>
      <c r="B2" s="16">
        <v>4.3220622698359558E-2</v>
      </c>
      <c r="C2" s="16">
        <v>4.5454545454545456E-2</v>
      </c>
      <c r="D2" s="16">
        <v>0</v>
      </c>
      <c r="E2" s="16">
        <v>7.1428571428571425E-2</v>
      </c>
      <c r="F2" s="16">
        <v>2.9850746268656716E-2</v>
      </c>
      <c r="G2" s="16">
        <v>0</v>
      </c>
      <c r="H2" s="16">
        <v>0</v>
      </c>
      <c r="I2" s="9">
        <v>4.3220622698359558E-2</v>
      </c>
      <c r="J2" s="17">
        <v>4.3220622698359558E-2</v>
      </c>
      <c r="K2" s="17">
        <v>4.5454545454545456E-2</v>
      </c>
      <c r="L2" s="17">
        <v>0</v>
      </c>
      <c r="M2" s="17">
        <v>7.1428571428571425E-2</v>
      </c>
      <c r="N2" s="17">
        <v>2.9850746268656716E-2</v>
      </c>
      <c r="O2" s="17">
        <v>0</v>
      </c>
      <c r="P2" s="17">
        <v>0</v>
      </c>
    </row>
    <row r="3" spans="1:16" x14ac:dyDescent="0.3">
      <c r="A3" s="8" t="s">
        <v>3</v>
      </c>
      <c r="B3" s="16">
        <v>7.6029460997656506E-2</v>
      </c>
      <c r="C3" s="16">
        <v>0</v>
      </c>
      <c r="D3" s="16">
        <v>0</v>
      </c>
      <c r="E3" s="16">
        <v>0</v>
      </c>
      <c r="F3" s="16">
        <v>2.9850746268656716E-2</v>
      </c>
      <c r="G3" s="16">
        <v>2.5000000000000001E-2</v>
      </c>
      <c r="H3" s="16">
        <v>0.125</v>
      </c>
      <c r="I3" s="9">
        <v>0.11925008369601606</v>
      </c>
      <c r="J3" s="9">
        <f t="shared" ref="J3:P9" si="0">J2+B3</f>
        <v>0.11925008369601606</v>
      </c>
      <c r="K3" s="9">
        <f t="shared" si="0"/>
        <v>4.5454545454545456E-2</v>
      </c>
      <c r="L3" s="10">
        <f t="shared" si="0"/>
        <v>0</v>
      </c>
      <c r="M3" s="9">
        <f t="shared" si="0"/>
        <v>7.1428571428571425E-2</v>
      </c>
      <c r="N3" s="9">
        <f t="shared" si="0"/>
        <v>5.9701492537313432E-2</v>
      </c>
      <c r="O3" s="9">
        <f t="shared" si="0"/>
        <v>2.5000000000000001E-2</v>
      </c>
      <c r="P3" s="9">
        <f t="shared" si="0"/>
        <v>0.125</v>
      </c>
    </row>
    <row r="4" spans="1:16" x14ac:dyDescent="0.3">
      <c r="A4" s="8" t="s">
        <v>1</v>
      </c>
      <c r="B4" s="16">
        <v>7.7150987612989622E-2</v>
      </c>
      <c r="C4" s="16">
        <v>0.15909090909090909</v>
      </c>
      <c r="D4" s="16">
        <v>0</v>
      </c>
      <c r="E4" s="16">
        <v>3.5714285714285712E-2</v>
      </c>
      <c r="F4" s="16">
        <v>0.1044776119402985</v>
      </c>
      <c r="G4" s="16">
        <v>0.17499999999999999</v>
      </c>
      <c r="H4" s="16">
        <v>0</v>
      </c>
      <c r="I4" s="9">
        <v>0.19640107130900569</v>
      </c>
      <c r="J4" s="9">
        <f t="shared" si="0"/>
        <v>0.19640107130900569</v>
      </c>
      <c r="K4" s="9">
        <f t="shared" si="0"/>
        <v>0.20454545454545453</v>
      </c>
      <c r="L4" s="10">
        <f t="shared" si="0"/>
        <v>0</v>
      </c>
      <c r="M4" s="9">
        <f t="shared" si="0"/>
        <v>0.10714285714285714</v>
      </c>
      <c r="N4" s="9">
        <f t="shared" si="0"/>
        <v>0.16417910447761194</v>
      </c>
      <c r="O4" s="9">
        <f t="shared" si="0"/>
        <v>0.19999999999999998</v>
      </c>
      <c r="P4" s="9">
        <f t="shared" si="0"/>
        <v>0.125</v>
      </c>
    </row>
    <row r="5" spans="1:16" x14ac:dyDescent="0.3">
      <c r="A5" s="8" t="s">
        <v>6</v>
      </c>
      <c r="B5" s="16">
        <v>0.10723133578841647</v>
      </c>
      <c r="C5" s="16">
        <v>0.15909090909090909</v>
      </c>
      <c r="D5" s="16">
        <v>0</v>
      </c>
      <c r="E5" s="16">
        <v>3.5714285714285712E-2</v>
      </c>
      <c r="F5" s="16">
        <v>0.22388059701492538</v>
      </c>
      <c r="G5" s="16">
        <v>0.1</v>
      </c>
      <c r="H5" s="16">
        <v>0</v>
      </c>
      <c r="I5" s="9">
        <v>0.30363240709742217</v>
      </c>
      <c r="J5" s="9">
        <f t="shared" si="0"/>
        <v>0.30363240709742217</v>
      </c>
      <c r="K5" s="9">
        <f t="shared" si="0"/>
        <v>0.36363636363636365</v>
      </c>
      <c r="L5" s="10">
        <f t="shared" si="0"/>
        <v>0</v>
      </c>
      <c r="M5" s="9">
        <f t="shared" si="0"/>
        <v>0.14285714285714285</v>
      </c>
      <c r="N5" s="9">
        <f t="shared" si="0"/>
        <v>0.38805970149253732</v>
      </c>
      <c r="O5" s="9">
        <f t="shared" si="0"/>
        <v>0.3</v>
      </c>
      <c r="P5" s="9">
        <f t="shared" si="0"/>
        <v>0.125</v>
      </c>
    </row>
    <row r="6" spans="1:16" x14ac:dyDescent="0.3">
      <c r="A6" s="8" t="s">
        <v>2</v>
      </c>
      <c r="B6" s="16">
        <v>0.11406093069969869</v>
      </c>
      <c r="C6" s="16">
        <v>0.13636363636363635</v>
      </c>
      <c r="D6" s="16">
        <v>0</v>
      </c>
      <c r="E6" s="16">
        <v>0.14285714285714285</v>
      </c>
      <c r="F6" s="16">
        <v>2.9850746268656716E-2</v>
      </c>
      <c r="G6" s="16">
        <v>2.5000000000000001E-2</v>
      </c>
      <c r="H6" s="16">
        <v>0.375</v>
      </c>
      <c r="I6" s="9">
        <v>0.41769333779712087</v>
      </c>
      <c r="J6" s="9">
        <f t="shared" si="0"/>
        <v>0.41769333779712087</v>
      </c>
      <c r="K6" s="9">
        <f t="shared" si="0"/>
        <v>0.5</v>
      </c>
      <c r="L6" s="10">
        <f t="shared" si="0"/>
        <v>0</v>
      </c>
      <c r="M6" s="9">
        <f t="shared" si="0"/>
        <v>0.2857142857142857</v>
      </c>
      <c r="N6" s="9">
        <f t="shared" si="0"/>
        <v>0.41791044776119401</v>
      </c>
      <c r="O6" s="9">
        <f t="shared" si="0"/>
        <v>0.32500000000000001</v>
      </c>
      <c r="P6" s="9">
        <f t="shared" si="0"/>
        <v>0.5</v>
      </c>
    </row>
    <row r="7" spans="1:16" x14ac:dyDescent="0.3">
      <c r="A7" s="8" t="s">
        <v>4</v>
      </c>
      <c r="B7" s="16">
        <v>0.11904921325744895</v>
      </c>
      <c r="C7" s="16">
        <v>9.0909090909090912E-2</v>
      </c>
      <c r="D7" s="16">
        <v>0.6</v>
      </c>
      <c r="E7" s="16">
        <v>0.17857142857142858</v>
      </c>
      <c r="F7" s="16">
        <v>8.9552238805970144E-2</v>
      </c>
      <c r="G7" s="16">
        <v>0.05</v>
      </c>
      <c r="H7" s="16">
        <v>0.125</v>
      </c>
      <c r="I7" s="9">
        <v>0.53674255105456981</v>
      </c>
      <c r="J7" s="9">
        <f t="shared" si="0"/>
        <v>0.53674255105456981</v>
      </c>
      <c r="K7" s="9">
        <f t="shared" si="0"/>
        <v>0.59090909090909094</v>
      </c>
      <c r="L7" s="10">
        <f t="shared" si="0"/>
        <v>0.6</v>
      </c>
      <c r="M7" s="9">
        <f t="shared" si="0"/>
        <v>0.4642857142857143</v>
      </c>
      <c r="N7" s="9">
        <f t="shared" si="0"/>
        <v>0.5074626865671642</v>
      </c>
      <c r="O7" s="9">
        <f t="shared" si="0"/>
        <v>0.375</v>
      </c>
      <c r="P7" s="9">
        <f t="shared" si="0"/>
        <v>0.625</v>
      </c>
    </row>
    <row r="8" spans="1:16" x14ac:dyDescent="0.3">
      <c r="A8" s="8" t="s">
        <v>5</v>
      </c>
      <c r="B8" s="16">
        <v>0.14044191496484768</v>
      </c>
      <c r="C8" s="16">
        <v>2.2727272727272728E-2</v>
      </c>
      <c r="D8" s="16">
        <v>0.2</v>
      </c>
      <c r="E8" s="16">
        <v>0.10714285714285714</v>
      </c>
      <c r="F8" s="16">
        <v>0.22388059701492538</v>
      </c>
      <c r="G8" s="16">
        <v>0.22500000000000001</v>
      </c>
      <c r="H8" s="16">
        <v>0</v>
      </c>
      <c r="I8" s="9">
        <v>0.67718446601941751</v>
      </c>
      <c r="J8" s="9">
        <f t="shared" si="0"/>
        <v>0.67718446601941751</v>
      </c>
      <c r="K8" s="9">
        <f t="shared" si="0"/>
        <v>0.61363636363636365</v>
      </c>
      <c r="L8" s="10">
        <f t="shared" si="0"/>
        <v>0.8</v>
      </c>
      <c r="M8" s="9">
        <f t="shared" si="0"/>
        <v>0.5714285714285714</v>
      </c>
      <c r="N8" s="9">
        <f t="shared" si="0"/>
        <v>0.73134328358208955</v>
      </c>
      <c r="O8" s="9">
        <f t="shared" si="0"/>
        <v>0.6</v>
      </c>
      <c r="P8" s="9">
        <f t="shared" si="0"/>
        <v>0.625</v>
      </c>
    </row>
    <row r="9" spans="1:16" x14ac:dyDescent="0.3">
      <c r="A9" s="8" t="s">
        <v>0</v>
      </c>
      <c r="B9" s="16">
        <v>0.32281553398058255</v>
      </c>
      <c r="C9" s="16">
        <v>0.38636363636363635</v>
      </c>
      <c r="D9" s="16">
        <v>0.2</v>
      </c>
      <c r="E9" s="16">
        <v>0.42857142857142855</v>
      </c>
      <c r="F9" s="16">
        <v>0.26865671641791045</v>
      </c>
      <c r="G9" s="16">
        <v>0.4</v>
      </c>
      <c r="H9" s="16">
        <v>0.375</v>
      </c>
      <c r="I9" s="9">
        <v>1</v>
      </c>
      <c r="J9" s="9">
        <f t="shared" si="0"/>
        <v>1</v>
      </c>
      <c r="K9" s="9">
        <f t="shared" si="0"/>
        <v>1</v>
      </c>
      <c r="L9" s="10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" t="s">
        <v>8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  <c r="H11" s="3" t="s">
        <v>70</v>
      </c>
      <c r="J11" s="8"/>
      <c r="K11" s="11" t="s">
        <v>71</v>
      </c>
      <c r="L11" s="11" t="s">
        <v>72</v>
      </c>
      <c r="M11" s="11" t="s">
        <v>73</v>
      </c>
      <c r="N11" s="11" t="s">
        <v>74</v>
      </c>
      <c r="O11" s="11" t="s">
        <v>75</v>
      </c>
      <c r="P11" s="11" t="s">
        <v>76</v>
      </c>
    </row>
    <row r="12" spans="1:16" x14ac:dyDescent="0.3">
      <c r="B12" s="8" t="s">
        <v>7</v>
      </c>
      <c r="C12" s="9">
        <f>C2-B2</f>
        <v>2.2339227561858979E-3</v>
      </c>
      <c r="D12" s="9">
        <f>D2-B2</f>
        <v>-4.3220622698359558E-2</v>
      </c>
      <c r="E12" s="9">
        <f>E2-B2</f>
        <v>2.8207948730211867E-2</v>
      </c>
      <c r="F12" s="9">
        <f>F2-B2</f>
        <v>-1.3369876429702842E-2</v>
      </c>
      <c r="G12" s="9">
        <f>G2-B2</f>
        <v>-4.3220622698359558E-2</v>
      </c>
      <c r="H12" s="9">
        <f>H2-B2</f>
        <v>-4.3220622698359558E-2</v>
      </c>
      <c r="J12" s="8" t="s">
        <v>7</v>
      </c>
      <c r="K12" s="8">
        <f>(J2-0) * (K2+0)</f>
        <v>1.9645737590163435E-3</v>
      </c>
      <c r="L12" s="8">
        <f t="shared" ref="L12" si="1">(K2-0) * (L2+0)</f>
        <v>0</v>
      </c>
      <c r="M12" s="8">
        <f>(J2-0) * (M2+0)</f>
        <v>3.0871873355971112E-3</v>
      </c>
      <c r="N12" s="8">
        <f>(J2-0) * (N2+0)</f>
        <v>1.2901678417420763E-3</v>
      </c>
      <c r="O12" s="8">
        <f>(J2-0) * (O2+0)</f>
        <v>0</v>
      </c>
      <c r="P12" s="8">
        <f>(J2-0) * (P2+0)</f>
        <v>0</v>
      </c>
    </row>
    <row r="13" spans="1:16" x14ac:dyDescent="0.3">
      <c r="B13" s="8" t="s">
        <v>3</v>
      </c>
      <c r="C13" s="9">
        <f t="shared" ref="C13:C19" si="2">C3-B3</f>
        <v>-7.6029460997656506E-2</v>
      </c>
      <c r="D13" s="9">
        <f t="shared" ref="D13:D19" si="3">D3-B3</f>
        <v>-7.6029460997656506E-2</v>
      </c>
      <c r="E13" s="9">
        <f t="shared" ref="E13:E19" si="4">E3-B3</f>
        <v>-7.6029460997656506E-2</v>
      </c>
      <c r="F13" s="9">
        <f t="shared" ref="F13:F19" si="5">F3-B3</f>
        <v>-4.6178714728999787E-2</v>
      </c>
      <c r="G13" s="9">
        <f t="shared" ref="G13:G19" si="6">G3-B3</f>
        <v>-5.1029460997656505E-2</v>
      </c>
      <c r="H13" s="9">
        <f t="shared" ref="H13:H19" si="7">H3-B3</f>
        <v>4.8970539002343494E-2</v>
      </c>
      <c r="J13" s="8" t="s">
        <v>3</v>
      </c>
      <c r="K13" s="8">
        <f>(J3-J2) * (K3+K2)</f>
        <v>6.9117691816051371E-3</v>
      </c>
      <c r="L13" s="8">
        <f>(J3-J2) * (L3+L2)</f>
        <v>0</v>
      </c>
      <c r="M13" s="8">
        <f>(J3-J2) * (M3+M2)</f>
        <v>1.0861351571093787E-2</v>
      </c>
      <c r="N13" s="8">
        <f>(J3-J2) * (N3+N2)</f>
        <v>6.8086084475513283E-3</v>
      </c>
      <c r="O13" s="8">
        <f>(J3-J2) * (O3+O2)</f>
        <v>1.9007365249414127E-3</v>
      </c>
      <c r="P13" s="8">
        <f>(J3-J2) * (P3+P2)</f>
        <v>9.5036826247070633E-3</v>
      </c>
    </row>
    <row r="14" spans="1:16" x14ac:dyDescent="0.3">
      <c r="B14" s="8" t="s">
        <v>1</v>
      </c>
      <c r="C14" s="9">
        <f t="shared" si="2"/>
        <v>8.1939921477919467E-2</v>
      </c>
      <c r="D14" s="9">
        <f t="shared" si="3"/>
        <v>-7.7150987612989622E-2</v>
      </c>
      <c r="E14" s="9">
        <f t="shared" si="4"/>
        <v>-4.1436701898703909E-2</v>
      </c>
      <c r="F14" s="9">
        <f t="shared" si="5"/>
        <v>2.7326624327308882E-2</v>
      </c>
      <c r="G14" s="9">
        <f t="shared" si="6"/>
        <v>9.7849012387010367E-2</v>
      </c>
      <c r="H14" s="9">
        <f t="shared" si="7"/>
        <v>-7.7150987612989622E-2</v>
      </c>
      <c r="J14" s="8" t="s">
        <v>1</v>
      </c>
      <c r="K14" s="8">
        <f t="shared" ref="K14:K19" si="8">(J4-J3) * (K4+K3)</f>
        <v>1.9287746903247409E-2</v>
      </c>
      <c r="L14" s="8">
        <f t="shared" ref="L14:L19" si="9">(J4-J3) * (L4+L3)</f>
        <v>0</v>
      </c>
      <c r="M14" s="8">
        <f t="shared" ref="M14:M19" si="10">(J4-J3) * (M4+M3)</f>
        <v>1.3776962073748147E-2</v>
      </c>
      <c r="N14" s="8">
        <f t="shared" ref="N14:N19" si="11">(J4-J3) * (N4+N3)</f>
        <v>1.7272609167087231E-2</v>
      </c>
      <c r="O14" s="8">
        <f t="shared" ref="O14:O19" si="12">(J4-J3) * (O4+O3)</f>
        <v>1.7358972212922666E-2</v>
      </c>
      <c r="P14" s="8">
        <f t="shared" ref="P14:P19" si="13">(J4-J3) * (P4+P3)</f>
        <v>1.9287746903247409E-2</v>
      </c>
    </row>
    <row r="15" spans="1:16" x14ac:dyDescent="0.3">
      <c r="B15" s="8" t="s">
        <v>6</v>
      </c>
      <c r="C15" s="9">
        <f t="shared" si="2"/>
        <v>5.185957330249262E-2</v>
      </c>
      <c r="D15" s="9">
        <f t="shared" si="3"/>
        <v>-0.10723133578841647</v>
      </c>
      <c r="E15" s="9">
        <f t="shared" si="4"/>
        <v>-7.1517050074130756E-2</v>
      </c>
      <c r="F15" s="9">
        <f t="shared" si="5"/>
        <v>0.11664926122650891</v>
      </c>
      <c r="G15" s="9">
        <f t="shared" si="6"/>
        <v>-7.2313357884164625E-3</v>
      </c>
      <c r="H15" s="9">
        <f t="shared" si="7"/>
        <v>-0.10723133578841647</v>
      </c>
      <c r="J15" s="8" t="s">
        <v>6</v>
      </c>
      <c r="K15" s="8">
        <f t="shared" si="8"/>
        <v>6.092689533432754E-2</v>
      </c>
      <c r="L15" s="8">
        <f t="shared" si="9"/>
        <v>0</v>
      </c>
      <c r="M15" s="8">
        <f t="shared" si="10"/>
        <v>2.680783394710412E-2</v>
      </c>
      <c r="N15" s="8">
        <f t="shared" si="11"/>
        <v>5.9217304838379253E-2</v>
      </c>
      <c r="O15" s="8">
        <f t="shared" si="12"/>
        <v>5.3615667894208241E-2</v>
      </c>
      <c r="P15" s="8">
        <f t="shared" si="13"/>
        <v>2.680783394710412E-2</v>
      </c>
    </row>
    <row r="16" spans="1:16" x14ac:dyDescent="0.3">
      <c r="B16" s="8" t="s">
        <v>2</v>
      </c>
      <c r="C16" s="9">
        <f t="shared" si="2"/>
        <v>2.2302705663937661E-2</v>
      </c>
      <c r="D16" s="9">
        <f t="shared" si="3"/>
        <v>-0.11406093069969869</v>
      </c>
      <c r="E16" s="9">
        <f t="shared" si="4"/>
        <v>2.8796212157444157E-2</v>
      </c>
      <c r="F16" s="9">
        <f t="shared" si="5"/>
        <v>-8.4210184431041973E-2</v>
      </c>
      <c r="G16" s="9">
        <f t="shared" si="6"/>
        <v>-8.9060930699698698E-2</v>
      </c>
      <c r="H16" s="9">
        <f t="shared" si="7"/>
        <v>0.26093906930030131</v>
      </c>
      <c r="J16" s="8" t="s">
        <v>2</v>
      </c>
      <c r="K16" s="8">
        <f t="shared" si="8"/>
        <v>9.8507167422467054E-2</v>
      </c>
      <c r="L16" s="8">
        <f t="shared" si="9"/>
        <v>0</v>
      </c>
      <c r="M16" s="8">
        <f t="shared" si="10"/>
        <v>4.8883256014156579E-2</v>
      </c>
      <c r="N16" s="8">
        <f t="shared" si="11"/>
        <v>9.1929705340055665E-2</v>
      </c>
      <c r="O16" s="8">
        <f t="shared" si="12"/>
        <v>7.1288081687311683E-2</v>
      </c>
      <c r="P16" s="8">
        <f t="shared" si="13"/>
        <v>7.1288081687311683E-2</v>
      </c>
    </row>
    <row r="17" spans="2:16" x14ac:dyDescent="0.3">
      <c r="B17" s="8" t="s">
        <v>4</v>
      </c>
      <c r="C17" s="9">
        <f t="shared" si="2"/>
        <v>-2.814012234835804E-2</v>
      </c>
      <c r="D17" s="9">
        <f t="shared" si="3"/>
        <v>0.48095078674255104</v>
      </c>
      <c r="E17" s="9">
        <f t="shared" si="4"/>
        <v>5.9522215313979623E-2</v>
      </c>
      <c r="F17" s="9">
        <f t="shared" si="5"/>
        <v>-2.9496974451478808E-2</v>
      </c>
      <c r="G17" s="9">
        <f t="shared" si="6"/>
        <v>-6.9049213257448949E-2</v>
      </c>
      <c r="H17" s="9">
        <f t="shared" si="7"/>
        <v>5.950786742551048E-3</v>
      </c>
      <c r="J17" s="8" t="s">
        <v>4</v>
      </c>
      <c r="K17" s="8">
        <f t="shared" si="8"/>
        <v>0.12987186900812611</v>
      </c>
      <c r="L17" s="8">
        <f t="shared" si="9"/>
        <v>7.1429527954469357E-2</v>
      </c>
      <c r="M17" s="8">
        <f t="shared" si="10"/>
        <v>8.9286909943086704E-2</v>
      </c>
      <c r="N17" s="8">
        <f t="shared" si="11"/>
        <v>0.11016494361137066</v>
      </c>
      <c r="O17" s="8">
        <f t="shared" si="12"/>
        <v>8.3334449280214246E-2</v>
      </c>
      <c r="P17" s="8">
        <f t="shared" si="13"/>
        <v>0.13393036491463006</v>
      </c>
    </row>
    <row r="18" spans="2:16" x14ac:dyDescent="0.3">
      <c r="B18" s="8" t="s">
        <v>5</v>
      </c>
      <c r="C18" s="9">
        <f t="shared" si="2"/>
        <v>-0.11771464223757494</v>
      </c>
      <c r="D18" s="9">
        <f t="shared" si="3"/>
        <v>5.9558085035152336E-2</v>
      </c>
      <c r="E18" s="9">
        <f t="shared" si="4"/>
        <v>-3.3299057821990538E-2</v>
      </c>
      <c r="F18" s="9">
        <f t="shared" si="5"/>
        <v>8.3438682050077706E-2</v>
      </c>
      <c r="G18" s="9">
        <f t="shared" si="6"/>
        <v>8.4558085035152331E-2</v>
      </c>
      <c r="H18" s="9">
        <f t="shared" si="7"/>
        <v>-0.14044191496484768</v>
      </c>
      <c r="J18" s="8" t="s">
        <v>5</v>
      </c>
      <c r="K18" s="8">
        <f t="shared" si="8"/>
        <v>0.16916867029856655</v>
      </c>
      <c r="L18" s="8">
        <f t="shared" si="9"/>
        <v>0.19661868095078677</v>
      </c>
      <c r="M18" s="8">
        <f t="shared" si="10"/>
        <v>0.14545769764216368</v>
      </c>
      <c r="N18" s="8">
        <f t="shared" si="11"/>
        <v>0.17398028271764715</v>
      </c>
      <c r="O18" s="8">
        <f t="shared" si="12"/>
        <v>0.13693086709072649</v>
      </c>
      <c r="P18" s="8">
        <f t="shared" si="13"/>
        <v>0.17555239370605963</v>
      </c>
    </row>
    <row r="19" spans="2:16" x14ac:dyDescent="0.3">
      <c r="B19" s="8" t="s">
        <v>0</v>
      </c>
      <c r="C19" s="9">
        <f t="shared" si="2"/>
        <v>6.3548102383053806E-2</v>
      </c>
      <c r="D19" s="9">
        <f t="shared" si="3"/>
        <v>-0.12281553398058254</v>
      </c>
      <c r="E19" s="9">
        <f t="shared" si="4"/>
        <v>0.105755894590846</v>
      </c>
      <c r="F19" s="9">
        <f t="shared" si="5"/>
        <v>-5.4158817562672101E-2</v>
      </c>
      <c r="G19" s="9">
        <f t="shared" si="6"/>
        <v>7.7184466019417475E-2</v>
      </c>
      <c r="H19" s="9">
        <f t="shared" si="7"/>
        <v>5.2184466019417453E-2</v>
      </c>
      <c r="J19" s="8" t="s">
        <v>0</v>
      </c>
      <c r="K19" s="8">
        <f t="shared" si="8"/>
        <v>0.52090688437775812</v>
      </c>
      <c r="L19" s="8">
        <f t="shared" si="9"/>
        <v>0.58106796116504855</v>
      </c>
      <c r="M19" s="8">
        <f t="shared" si="10"/>
        <v>0.50728155339805814</v>
      </c>
      <c r="N19" s="8">
        <f t="shared" si="11"/>
        <v>0.55890450659324731</v>
      </c>
      <c r="O19" s="8">
        <f t="shared" si="12"/>
        <v>0.51650485436893201</v>
      </c>
      <c r="P19" s="8">
        <f t="shared" si="13"/>
        <v>0.52457524271844658</v>
      </c>
    </row>
    <row r="20" spans="2:16" x14ac:dyDescent="0.3">
      <c r="J20" s="11" t="s">
        <v>77</v>
      </c>
      <c r="K20" s="11">
        <f>SUM(K12:K19)</f>
        <v>1.0075455762851142</v>
      </c>
      <c r="L20" s="11">
        <f t="shared" ref="L20:P20" si="14">SUM(L12:L19)</f>
        <v>0.84911617007030471</v>
      </c>
      <c r="M20" s="11">
        <f t="shared" si="14"/>
        <v>0.84544275192500828</v>
      </c>
      <c r="N20" s="11">
        <f t="shared" si="14"/>
        <v>1.0195681285570806</v>
      </c>
      <c r="O20" s="11">
        <f t="shared" si="14"/>
        <v>0.88093362905925676</v>
      </c>
      <c r="P20" s="11">
        <f t="shared" si="14"/>
        <v>0.96094534650150654</v>
      </c>
    </row>
    <row r="21" spans="2:16" x14ac:dyDescent="0.3">
      <c r="J21" s="12" t="s">
        <v>78</v>
      </c>
      <c r="K21" s="12">
        <f>1-K20</f>
        <v>-7.5455762851142083E-3</v>
      </c>
      <c r="L21" s="12">
        <f t="shared" ref="L21:P21" si="15">1-L20</f>
        <v>0.15088382992969529</v>
      </c>
      <c r="M21" s="12">
        <f t="shared" si="15"/>
        <v>0.15455724807499172</v>
      </c>
      <c r="N21" s="12">
        <f t="shared" si="15"/>
        <v>-1.9568128557080566E-2</v>
      </c>
      <c r="O21" s="12">
        <f t="shared" si="15"/>
        <v>0.11906637094074324</v>
      </c>
      <c r="P21" s="12">
        <f t="shared" si="15"/>
        <v>3.9054653498493463E-2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0F75-8649-4DD4-9FC1-ED3D446C5AA9}">
  <dimension ref="A1:P33"/>
  <sheetViews>
    <sheetView zoomScale="103" workbookViewId="0">
      <selection activeCell="A17" sqref="A17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17</v>
      </c>
      <c r="B2" s="16">
        <v>2.7553239744588794E-2</v>
      </c>
      <c r="C2" s="16">
        <v>2.7027027027027029E-2</v>
      </c>
      <c r="D2" s="16">
        <v>1.1363636363636364E-2</v>
      </c>
      <c r="E2" s="16">
        <v>4.7619047619047616E-2</v>
      </c>
      <c r="F2" s="16">
        <v>4.3956043956043959E-2</v>
      </c>
      <c r="G2" s="16">
        <v>4.9504950495049506E-3</v>
      </c>
      <c r="H2" s="16">
        <v>4.3478260869565216E-2</v>
      </c>
      <c r="I2" s="9">
        <v>2.7553239744588794E-2</v>
      </c>
      <c r="J2" s="17">
        <v>2.7553239744588794E-2</v>
      </c>
      <c r="K2" s="17">
        <v>2.7027027027027029E-2</v>
      </c>
      <c r="L2" s="17">
        <v>1.1363636363636364E-2</v>
      </c>
      <c r="M2" s="17">
        <v>4.7619047619047616E-2</v>
      </c>
      <c r="N2" s="17">
        <v>4.3956043956043959E-2</v>
      </c>
      <c r="O2" s="17">
        <v>4.9504950495049506E-3</v>
      </c>
      <c r="P2" s="17">
        <v>4.3478260869565216E-2</v>
      </c>
    </row>
    <row r="3" spans="1:16" x14ac:dyDescent="0.3">
      <c r="A3" s="9" t="s">
        <v>25</v>
      </c>
      <c r="B3" s="16">
        <v>2.975726630921504E-2</v>
      </c>
      <c r="C3" s="16">
        <v>2.7027027027027029E-2</v>
      </c>
      <c r="D3" s="16">
        <v>5.6818181818181816E-2</v>
      </c>
      <c r="E3" s="16">
        <v>6.8027210884353739E-3</v>
      </c>
      <c r="F3" s="16">
        <v>2.9304029304029304E-2</v>
      </c>
      <c r="G3" s="16">
        <v>7.9207920792079209E-2</v>
      </c>
      <c r="H3" s="16">
        <v>4.3478260869565216E-2</v>
      </c>
      <c r="I3" s="9">
        <v>5.7310506053803834E-2</v>
      </c>
      <c r="J3" s="9">
        <f t="shared" ref="J3:P15" si="0">J2+B3</f>
        <v>5.7310506053803834E-2</v>
      </c>
      <c r="K3" s="9">
        <f t="shared" si="0"/>
        <v>5.4054054054054057E-2</v>
      </c>
      <c r="L3" s="9">
        <f t="shared" si="0"/>
        <v>6.8181818181818177E-2</v>
      </c>
      <c r="M3" s="9">
        <f t="shared" si="0"/>
        <v>5.4421768707482991E-2</v>
      </c>
      <c r="N3" s="9">
        <f t="shared" si="0"/>
        <v>7.3260073260073263E-2</v>
      </c>
      <c r="O3" s="9">
        <f t="shared" si="0"/>
        <v>8.4158415841584164E-2</v>
      </c>
      <c r="P3" s="9">
        <f t="shared" si="0"/>
        <v>8.6956521739130432E-2</v>
      </c>
    </row>
    <row r="4" spans="1:16" x14ac:dyDescent="0.3">
      <c r="A4" s="9" t="s">
        <v>24</v>
      </c>
      <c r="B4" s="16">
        <v>3.0216680817408904E-2</v>
      </c>
      <c r="C4" s="16">
        <v>4.633204633204633E-2</v>
      </c>
      <c r="D4" s="16">
        <v>2.2727272727272728E-2</v>
      </c>
      <c r="E4" s="16">
        <v>2.0408163265306121E-2</v>
      </c>
      <c r="F4" s="16">
        <v>5.128205128205128E-2</v>
      </c>
      <c r="G4" s="16">
        <v>5.9405940594059403E-2</v>
      </c>
      <c r="H4" s="16">
        <v>5.0724637681159424E-2</v>
      </c>
      <c r="I4" s="9">
        <v>8.7527186871212734E-2</v>
      </c>
      <c r="J4" s="9">
        <f t="shared" si="0"/>
        <v>8.7527186871212734E-2</v>
      </c>
      <c r="K4" s="9">
        <f t="shared" si="0"/>
        <v>0.10038610038610038</v>
      </c>
      <c r="L4" s="9">
        <f t="shared" si="0"/>
        <v>9.0909090909090912E-2</v>
      </c>
      <c r="M4" s="9">
        <f t="shared" si="0"/>
        <v>7.4829931972789115E-2</v>
      </c>
      <c r="N4" s="9">
        <f t="shared" si="0"/>
        <v>0.12454212454212454</v>
      </c>
      <c r="O4" s="9">
        <f t="shared" si="0"/>
        <v>0.14356435643564358</v>
      </c>
      <c r="P4" s="9">
        <f t="shared" si="0"/>
        <v>0.13768115942028986</v>
      </c>
    </row>
    <row r="5" spans="1:16" x14ac:dyDescent="0.3">
      <c r="A5" s="9" t="s">
        <v>28</v>
      </c>
      <c r="B5" s="16">
        <v>3.0257388432058992E-2</v>
      </c>
      <c r="C5" s="16">
        <v>7.7220077220077218E-2</v>
      </c>
      <c r="D5" s="16">
        <v>6.8181818181818177E-2</v>
      </c>
      <c r="E5" s="16">
        <v>8.8435374149659865E-2</v>
      </c>
      <c r="F5" s="16">
        <v>4.7619047619047616E-2</v>
      </c>
      <c r="G5" s="16">
        <v>6.9306930693069313E-2</v>
      </c>
      <c r="H5" s="16">
        <v>2.1739130434782608E-2</v>
      </c>
      <c r="I5" s="9">
        <v>0.11778457530327173</v>
      </c>
      <c r="J5" s="9">
        <f t="shared" si="0"/>
        <v>0.11778457530327173</v>
      </c>
      <c r="K5" s="9">
        <f t="shared" si="0"/>
        <v>0.17760617760617758</v>
      </c>
      <c r="L5" s="9">
        <f t="shared" si="0"/>
        <v>0.15909090909090909</v>
      </c>
      <c r="M5" s="9">
        <f t="shared" si="0"/>
        <v>0.16326530612244899</v>
      </c>
      <c r="N5" s="9">
        <f t="shared" si="0"/>
        <v>0.17216117216117216</v>
      </c>
      <c r="O5" s="9">
        <f t="shared" si="0"/>
        <v>0.21287128712871289</v>
      </c>
      <c r="P5" s="9">
        <f t="shared" si="0"/>
        <v>0.15942028985507245</v>
      </c>
    </row>
    <row r="6" spans="1:16" x14ac:dyDescent="0.3">
      <c r="A6" s="9" t="s">
        <v>27</v>
      </c>
      <c r="B6" s="16">
        <v>4.0789029879389156E-2</v>
      </c>
      <c r="C6" s="16">
        <v>3.4749034749034749E-2</v>
      </c>
      <c r="D6" s="16">
        <v>6.8181818181818177E-2</v>
      </c>
      <c r="E6" s="16">
        <v>4.7619047619047616E-2</v>
      </c>
      <c r="F6" s="16">
        <v>4.7619047619047616E-2</v>
      </c>
      <c r="G6" s="16">
        <v>1.9801980198019802E-2</v>
      </c>
      <c r="H6" s="16">
        <v>6.5217391304347824E-2</v>
      </c>
      <c r="I6" s="9">
        <v>0.15857360518266089</v>
      </c>
      <c r="J6" s="9">
        <f t="shared" si="0"/>
        <v>0.15857360518266089</v>
      </c>
      <c r="K6" s="9">
        <f t="shared" si="0"/>
        <v>0.21235521235521232</v>
      </c>
      <c r="L6" s="9">
        <f t="shared" si="0"/>
        <v>0.22727272727272727</v>
      </c>
      <c r="M6" s="9">
        <f t="shared" si="0"/>
        <v>0.21088435374149661</v>
      </c>
      <c r="N6" s="9">
        <f t="shared" si="0"/>
        <v>0.21978021978021978</v>
      </c>
      <c r="O6" s="9">
        <f t="shared" si="0"/>
        <v>0.23267326732673269</v>
      </c>
      <c r="P6" s="9">
        <f t="shared" si="0"/>
        <v>0.22463768115942029</v>
      </c>
    </row>
    <row r="7" spans="1:16" x14ac:dyDescent="0.3">
      <c r="A7" s="9" t="s">
        <v>18</v>
      </c>
      <c r="B7" s="16">
        <v>4.3894439339838796E-2</v>
      </c>
      <c r="C7" s="16">
        <v>7.3359073359073365E-2</v>
      </c>
      <c r="D7" s="16">
        <v>0</v>
      </c>
      <c r="E7" s="16">
        <v>4.7619047619047616E-2</v>
      </c>
      <c r="F7" s="16">
        <v>6.95970695970696E-2</v>
      </c>
      <c r="G7" s="16">
        <v>4.9504950495049507E-2</v>
      </c>
      <c r="H7" s="16">
        <v>5.0724637681159424E-2</v>
      </c>
      <c r="I7" s="9">
        <v>0.2024680445224997</v>
      </c>
      <c r="J7" s="9">
        <f t="shared" si="0"/>
        <v>0.2024680445224997</v>
      </c>
      <c r="K7" s="9">
        <f t="shared" si="0"/>
        <v>0.2857142857142857</v>
      </c>
      <c r="L7" s="9">
        <f t="shared" si="0"/>
        <v>0.22727272727272727</v>
      </c>
      <c r="M7" s="9">
        <f t="shared" si="0"/>
        <v>0.25850340136054423</v>
      </c>
      <c r="N7" s="9">
        <f t="shared" si="0"/>
        <v>0.28937728937728935</v>
      </c>
      <c r="O7" s="9">
        <f t="shared" si="0"/>
        <v>0.28217821782178221</v>
      </c>
      <c r="P7" s="9">
        <f t="shared" si="0"/>
        <v>0.27536231884057971</v>
      </c>
    </row>
    <row r="8" spans="1:16" x14ac:dyDescent="0.3">
      <c r="A8" s="9" t="s">
        <v>23</v>
      </c>
      <c r="B8" s="16">
        <v>5.0593749636539155E-2</v>
      </c>
      <c r="C8" s="16">
        <v>1.1583011583011582E-2</v>
      </c>
      <c r="D8" s="16">
        <v>1.1363636363636364E-2</v>
      </c>
      <c r="E8" s="16">
        <v>6.8027210884353739E-3</v>
      </c>
      <c r="F8" s="16">
        <v>4.0293040293040296E-2</v>
      </c>
      <c r="G8" s="16">
        <v>4.4554455445544552E-2</v>
      </c>
      <c r="H8" s="16">
        <v>0.11594202898550725</v>
      </c>
      <c r="I8" s="9">
        <v>0.25306179415903884</v>
      </c>
      <c r="J8" s="9">
        <f t="shared" si="0"/>
        <v>0.25306179415903884</v>
      </c>
      <c r="K8" s="9">
        <f t="shared" si="0"/>
        <v>0.29729729729729726</v>
      </c>
      <c r="L8" s="9">
        <f t="shared" si="0"/>
        <v>0.23863636363636362</v>
      </c>
      <c r="M8" s="9">
        <f t="shared" si="0"/>
        <v>0.26530612244897961</v>
      </c>
      <c r="N8" s="9">
        <f t="shared" si="0"/>
        <v>0.32967032967032966</v>
      </c>
      <c r="O8" s="9">
        <f t="shared" si="0"/>
        <v>0.32673267326732675</v>
      </c>
      <c r="P8" s="9">
        <f t="shared" si="0"/>
        <v>0.39130434782608697</v>
      </c>
    </row>
    <row r="9" spans="1:16" x14ac:dyDescent="0.3">
      <c r="A9" s="9" t="s">
        <v>26</v>
      </c>
      <c r="B9" s="16">
        <v>5.9718070691680523E-2</v>
      </c>
      <c r="C9" s="16">
        <v>1.9305019305019305E-2</v>
      </c>
      <c r="D9" s="16">
        <v>4.5454545454545456E-2</v>
      </c>
      <c r="E9" s="16">
        <v>4.0816326530612242E-2</v>
      </c>
      <c r="F9" s="16">
        <v>0.1391941391941392</v>
      </c>
      <c r="G9" s="16">
        <v>9.9009900990099015E-2</v>
      </c>
      <c r="H9" s="16">
        <v>0.13768115942028986</v>
      </c>
      <c r="I9" s="9">
        <v>0.31277986485071935</v>
      </c>
      <c r="J9" s="9">
        <f t="shared" si="0"/>
        <v>0.31277986485071935</v>
      </c>
      <c r="K9" s="9">
        <f t="shared" si="0"/>
        <v>0.31660231660231658</v>
      </c>
      <c r="L9" s="9">
        <f t="shared" si="0"/>
        <v>0.28409090909090906</v>
      </c>
      <c r="M9" s="9">
        <f t="shared" si="0"/>
        <v>0.30612244897959184</v>
      </c>
      <c r="N9" s="9">
        <f t="shared" si="0"/>
        <v>0.46886446886446886</v>
      </c>
      <c r="O9" s="9">
        <f t="shared" si="0"/>
        <v>0.42574257425742579</v>
      </c>
      <c r="P9" s="9">
        <f t="shared" si="0"/>
        <v>0.52898550724637683</v>
      </c>
    </row>
    <row r="10" spans="1:16" x14ac:dyDescent="0.3">
      <c r="A10" s="9" t="s">
        <v>22</v>
      </c>
      <c r="B10" s="16">
        <v>6.3224740925109615E-2</v>
      </c>
      <c r="C10" s="16">
        <v>2.3166023166023165E-2</v>
      </c>
      <c r="D10" s="16">
        <v>2.2727272727272728E-2</v>
      </c>
      <c r="E10" s="16">
        <v>2.0408163265306121E-2</v>
      </c>
      <c r="F10" s="16">
        <v>4.7619047619047616E-2</v>
      </c>
      <c r="G10" s="16">
        <v>4.9504950495049506E-3</v>
      </c>
      <c r="H10" s="16">
        <v>2.1739130434782608E-2</v>
      </c>
      <c r="I10" s="9">
        <v>0.37600460577582895</v>
      </c>
      <c r="J10" s="9">
        <f t="shared" si="0"/>
        <v>0.37600460577582895</v>
      </c>
      <c r="K10" s="9">
        <f t="shared" si="0"/>
        <v>0.33976833976833976</v>
      </c>
      <c r="L10" s="9">
        <f t="shared" si="0"/>
        <v>0.30681818181818177</v>
      </c>
      <c r="M10" s="9">
        <f t="shared" si="0"/>
        <v>0.32653061224489799</v>
      </c>
      <c r="N10" s="9">
        <f t="shared" si="0"/>
        <v>0.51648351648351642</v>
      </c>
      <c r="O10" s="9">
        <f t="shared" si="0"/>
        <v>0.43069306930693074</v>
      </c>
      <c r="P10" s="9">
        <f t="shared" si="0"/>
        <v>0.55072463768115942</v>
      </c>
    </row>
    <row r="11" spans="1:16" x14ac:dyDescent="0.3">
      <c r="A11" s="9" t="s">
        <v>29</v>
      </c>
      <c r="B11" s="16">
        <v>6.728387164307563E-2</v>
      </c>
      <c r="C11" s="16">
        <v>4.633204633204633E-2</v>
      </c>
      <c r="D11" s="16">
        <v>9.0909090909090912E-2</v>
      </c>
      <c r="E11" s="16">
        <v>6.1224489795918366E-2</v>
      </c>
      <c r="F11" s="16">
        <v>5.8608058608058608E-2</v>
      </c>
      <c r="G11" s="16">
        <v>9.9009900990099015E-2</v>
      </c>
      <c r="H11" s="16">
        <v>5.0724637681159424E-2</v>
      </c>
      <c r="I11" s="9">
        <v>0.44328847741890459</v>
      </c>
      <c r="J11" s="9">
        <f t="shared" si="0"/>
        <v>0.44328847741890459</v>
      </c>
      <c r="K11" s="9">
        <f t="shared" si="0"/>
        <v>0.38610038610038611</v>
      </c>
      <c r="L11" s="9">
        <f t="shared" si="0"/>
        <v>0.39772727272727271</v>
      </c>
      <c r="M11" s="9">
        <f t="shared" si="0"/>
        <v>0.38775510204081637</v>
      </c>
      <c r="N11" s="9">
        <f t="shared" si="0"/>
        <v>0.57509157509157505</v>
      </c>
      <c r="O11" s="9">
        <f t="shared" si="0"/>
        <v>0.52970297029702973</v>
      </c>
      <c r="P11" s="9">
        <f t="shared" si="0"/>
        <v>0.60144927536231885</v>
      </c>
    </row>
    <row r="12" spans="1:16" x14ac:dyDescent="0.3">
      <c r="A12" s="9" t="s">
        <v>19</v>
      </c>
      <c r="B12" s="16">
        <v>7.1645401784156598E-2</v>
      </c>
      <c r="C12" s="16">
        <v>8.1081081081081086E-2</v>
      </c>
      <c r="D12" s="16">
        <v>0.11363636363636363</v>
      </c>
      <c r="E12" s="16">
        <v>8.8435374149659865E-2</v>
      </c>
      <c r="F12" s="16">
        <v>5.8608058608058608E-2</v>
      </c>
      <c r="G12" s="16">
        <v>4.9504950495049507E-2</v>
      </c>
      <c r="H12" s="16">
        <v>7.2463768115942032E-2</v>
      </c>
      <c r="I12" s="9">
        <v>0.51493387920306122</v>
      </c>
      <c r="J12" s="9">
        <f t="shared" si="0"/>
        <v>0.51493387920306122</v>
      </c>
      <c r="K12" s="9">
        <f t="shared" si="0"/>
        <v>0.46718146718146719</v>
      </c>
      <c r="L12" s="9">
        <f t="shared" si="0"/>
        <v>0.51136363636363635</v>
      </c>
      <c r="M12" s="9">
        <f t="shared" si="0"/>
        <v>0.47619047619047622</v>
      </c>
      <c r="N12" s="9">
        <f t="shared" si="0"/>
        <v>0.63369963369963367</v>
      </c>
      <c r="O12" s="9">
        <f t="shared" si="0"/>
        <v>0.57920792079207928</v>
      </c>
      <c r="P12" s="9">
        <f t="shared" si="0"/>
        <v>0.67391304347826086</v>
      </c>
    </row>
    <row r="13" spans="1:16" x14ac:dyDescent="0.3">
      <c r="A13" s="9" t="s">
        <v>21</v>
      </c>
      <c r="B13" s="16">
        <v>8.9998720617825281E-2</v>
      </c>
      <c r="C13" s="16">
        <v>0.12741312741312741</v>
      </c>
      <c r="D13" s="16">
        <v>0.13636363636363635</v>
      </c>
      <c r="E13" s="16">
        <v>9.5238095238095233E-2</v>
      </c>
      <c r="F13" s="16">
        <v>3.2967032967032968E-2</v>
      </c>
      <c r="G13" s="16">
        <v>2.9702970297029702E-2</v>
      </c>
      <c r="H13" s="16">
        <v>2.8985507246376812E-2</v>
      </c>
      <c r="I13" s="9">
        <v>0.60493259982088654</v>
      </c>
      <c r="J13" s="9">
        <f t="shared" si="0"/>
        <v>0.60493259982088654</v>
      </c>
      <c r="K13" s="9">
        <f t="shared" si="0"/>
        <v>0.59459459459459463</v>
      </c>
      <c r="L13" s="9">
        <f t="shared" ref="L13" si="1">L12+D13</f>
        <v>0.64772727272727271</v>
      </c>
      <c r="M13" s="9">
        <f t="shared" ref="M13" si="2">M12+E13</f>
        <v>0.5714285714285714</v>
      </c>
      <c r="N13" s="9">
        <f t="shared" ref="N13" si="3">N12+F13</f>
        <v>0.66666666666666663</v>
      </c>
      <c r="O13" s="9">
        <f t="shared" ref="O13" si="4">O12+G13</f>
        <v>0.60891089108910901</v>
      </c>
      <c r="P13" s="9">
        <f t="shared" ref="P13" si="5">P12+H13</f>
        <v>0.70289855072463769</v>
      </c>
    </row>
    <row r="14" spans="1:16" x14ac:dyDescent="0.3">
      <c r="A14" s="9" t="s">
        <v>20</v>
      </c>
      <c r="B14" s="16">
        <v>0.14861187034043197</v>
      </c>
      <c r="C14" s="16">
        <v>6.1776061776061778E-2</v>
      </c>
      <c r="D14" s="16">
        <v>0.10227272727272728</v>
      </c>
      <c r="E14" s="16">
        <v>0.25170068027210885</v>
      </c>
      <c r="F14" s="16">
        <v>6.2271062271062272E-2</v>
      </c>
      <c r="G14" s="16">
        <v>8.9108910891089105E-2</v>
      </c>
      <c r="H14" s="16">
        <v>0.10144927536231885</v>
      </c>
      <c r="I14" s="9">
        <v>0.75354447016131854</v>
      </c>
      <c r="J14" s="9">
        <f t="shared" si="0"/>
        <v>0.75354447016131854</v>
      </c>
      <c r="K14" s="9">
        <f t="shared" ref="K14:K15" si="6">K13+C14</f>
        <v>0.65637065637065639</v>
      </c>
      <c r="L14" s="9">
        <f t="shared" ref="L14:L15" si="7">L13+D14</f>
        <v>0.75</v>
      </c>
      <c r="M14" s="9">
        <f t="shared" ref="M14:M15" si="8">M13+E14</f>
        <v>0.8231292517006803</v>
      </c>
      <c r="N14" s="9">
        <f t="shared" ref="N14:N15" si="9">N13+F14</f>
        <v>0.7289377289377289</v>
      </c>
      <c r="O14" s="9">
        <f t="shared" ref="O14:O15" si="10">O13+G14</f>
        <v>0.69801980198019808</v>
      </c>
      <c r="P14" s="9">
        <f t="shared" ref="P14:P15" si="11">P13+H14</f>
        <v>0.80434782608695654</v>
      </c>
    </row>
    <row r="15" spans="1:16" x14ac:dyDescent="0.3">
      <c r="A15" s="9" t="s">
        <v>16</v>
      </c>
      <c r="B15" s="16">
        <v>0.24645552983868155</v>
      </c>
      <c r="C15" s="16">
        <v>0.34362934362934361</v>
      </c>
      <c r="D15" s="16">
        <v>0.25</v>
      </c>
      <c r="E15" s="16">
        <v>0.17687074829931973</v>
      </c>
      <c r="F15" s="16">
        <v>0.27106227106227104</v>
      </c>
      <c r="G15" s="16">
        <v>0.30198019801980197</v>
      </c>
      <c r="H15" s="16">
        <v>0.19565217391304349</v>
      </c>
      <c r="I15" s="9">
        <v>1</v>
      </c>
      <c r="J15" s="9">
        <f t="shared" si="0"/>
        <v>1</v>
      </c>
      <c r="K15" s="9">
        <f t="shared" si="6"/>
        <v>1</v>
      </c>
      <c r="L15" s="9">
        <f t="shared" si="7"/>
        <v>1</v>
      </c>
      <c r="M15" s="9">
        <f t="shared" si="8"/>
        <v>1</v>
      </c>
      <c r="N15" s="9">
        <f t="shared" si="9"/>
        <v>1</v>
      </c>
      <c r="O15" s="9">
        <f t="shared" si="10"/>
        <v>1</v>
      </c>
      <c r="P15" s="9">
        <f t="shared" si="11"/>
        <v>1</v>
      </c>
    </row>
    <row r="17" spans="2:16" ht="28.8" x14ac:dyDescent="0.3">
      <c r="B17" s="1" t="s">
        <v>8</v>
      </c>
      <c r="C17" s="3" t="s">
        <v>65</v>
      </c>
      <c r="D17" s="3" t="s">
        <v>66</v>
      </c>
      <c r="E17" s="3" t="s">
        <v>67</v>
      </c>
      <c r="F17" s="3" t="s">
        <v>68</v>
      </c>
      <c r="G17" s="3" t="s">
        <v>69</v>
      </c>
      <c r="H17" s="3" t="s">
        <v>70</v>
      </c>
      <c r="J17" s="8"/>
      <c r="K17" s="11" t="s">
        <v>71</v>
      </c>
      <c r="L17" s="11" t="s">
        <v>72</v>
      </c>
      <c r="M17" s="11" t="s">
        <v>73</v>
      </c>
      <c r="N17" s="11" t="s">
        <v>74</v>
      </c>
      <c r="O17" s="11" t="s">
        <v>75</v>
      </c>
      <c r="P17" s="11" t="s">
        <v>76</v>
      </c>
    </row>
    <row r="18" spans="2:16" x14ac:dyDescent="0.3">
      <c r="B18" s="9" t="s">
        <v>17</v>
      </c>
      <c r="C18" s="9">
        <f>C2-B2</f>
        <v>-5.2621271756176508E-4</v>
      </c>
      <c r="D18" s="9">
        <f>D2-B2</f>
        <v>-1.618960338095243E-2</v>
      </c>
      <c r="E18" s="9">
        <f>E2-B2</f>
        <v>2.0065807874458823E-2</v>
      </c>
      <c r="F18" s="9">
        <f>F2-B2</f>
        <v>1.6402804211455166E-2</v>
      </c>
      <c r="G18" s="9">
        <f>G2-B2</f>
        <v>-2.2602744695083842E-2</v>
      </c>
      <c r="H18" s="9">
        <f>H2-B2</f>
        <v>1.5925021124976423E-2</v>
      </c>
      <c r="J18" s="9" t="s">
        <v>17</v>
      </c>
      <c r="K18" s="8">
        <f>(J2-0) * (K2+0)</f>
        <v>7.4468215525915664E-4</v>
      </c>
      <c r="L18" s="8">
        <f>(J2-0) * (L2+0)</f>
        <v>3.1310499709759994E-4</v>
      </c>
      <c r="M18" s="8">
        <f>(J2-0) * (M2+0)</f>
        <v>1.3120590354566092E-3</v>
      </c>
      <c r="N18" s="8">
        <f>(J2-0) * (N2+0)</f>
        <v>1.2111314173445624E-3</v>
      </c>
      <c r="O18" s="8">
        <f>(J2-0) * (O2+0)</f>
        <v>1.3640217695340986E-4</v>
      </c>
      <c r="P18" s="8">
        <f>(J2-0) * (P2+0)</f>
        <v>1.197966945416904E-3</v>
      </c>
    </row>
    <row r="19" spans="2:16" x14ac:dyDescent="0.3">
      <c r="B19" s="9" t="s">
        <v>25</v>
      </c>
      <c r="C19" s="9">
        <f t="shared" ref="C19:C31" si="12">C3-B3</f>
        <v>-2.7302392821880114E-3</v>
      </c>
      <c r="D19" s="9">
        <f t="shared" ref="D19:D25" si="13">D3-B3</f>
        <v>2.7060915508966776E-2</v>
      </c>
      <c r="E19" s="9">
        <f t="shared" ref="E19:E25" si="14">E3-B3</f>
        <v>-2.2954545220779665E-2</v>
      </c>
      <c r="F19" s="9">
        <f t="shared" ref="F19:F25" si="15">F3-B3</f>
        <v>-4.5323700518573595E-4</v>
      </c>
      <c r="G19" s="9">
        <f t="shared" ref="G19:G25" si="16">G3-B3</f>
        <v>4.9450654482864169E-2</v>
      </c>
      <c r="H19" s="9">
        <f t="shared" ref="H19:H25" si="17">H3-B3</f>
        <v>1.3720994560350176E-2</v>
      </c>
      <c r="J19" s="9" t="s">
        <v>25</v>
      </c>
      <c r="K19" s="8">
        <f>(J3-J2) * (K3+K2)</f>
        <v>2.4127513223687874E-3</v>
      </c>
      <c r="L19" s="8">
        <f>(J3-J2) * (L3+L2)</f>
        <v>2.3670552745966508E-3</v>
      </c>
      <c r="M19" s="8">
        <f>(J3-J2) * (M3+M2)</f>
        <v>3.0364557458382696E-3</v>
      </c>
      <c r="N19" s="8">
        <f>(J3-J2) * (N3+N2)</f>
        <v>3.488031215732166E-3</v>
      </c>
      <c r="O19" s="8">
        <f>(J3-J2) * (O3+O2)</f>
        <v>2.6516375919102514E-3</v>
      </c>
      <c r="P19" s="8">
        <f>(J3-J2) * (P3+P2)</f>
        <v>3.881382562071527E-3</v>
      </c>
    </row>
    <row r="20" spans="2:16" x14ac:dyDescent="0.3">
      <c r="B20" s="9" t="s">
        <v>24</v>
      </c>
      <c r="C20" s="9">
        <f t="shared" si="12"/>
        <v>1.6115365514637426E-2</v>
      </c>
      <c r="D20" s="9">
        <f t="shared" si="13"/>
        <v>-7.4894080901361758E-3</v>
      </c>
      <c r="E20" s="9">
        <f t="shared" si="14"/>
        <v>-9.8085175521027829E-3</v>
      </c>
      <c r="F20" s="9">
        <f t="shared" si="15"/>
        <v>2.1065370464642377E-2</v>
      </c>
      <c r="G20" s="9">
        <f t="shared" si="16"/>
        <v>2.91892597766505E-2</v>
      </c>
      <c r="H20" s="9">
        <f t="shared" si="17"/>
        <v>2.050795686375052E-2</v>
      </c>
      <c r="J20" s="9" t="s">
        <v>24</v>
      </c>
      <c r="K20" s="8">
        <f t="shared" ref="K20:K31" si="18">(J4-J3) * (K4+K3)</f>
        <v>4.6666688521094825E-3</v>
      </c>
      <c r="L20" s="8">
        <f t="shared" ref="L20:L31" si="19">(J4-J3) * (L4+L3)</f>
        <v>4.8071992209514159E-3</v>
      </c>
      <c r="M20" s="8">
        <f t="shared" ref="M20:M31" si="20">(J4-J3) * (M4+M3)</f>
        <v>3.9055573845630555E-3</v>
      </c>
      <c r="N20" s="8">
        <f t="shared" ref="N20:N31" si="21">(J4-J3) * (N4+N3)</f>
        <v>5.976925875970992E-3</v>
      </c>
      <c r="O20" s="8">
        <f t="shared" ref="O20:O31" si="22">(J4-J3) * (O4+O3)</f>
        <v>6.8810263247564831E-3</v>
      </c>
      <c r="P20" s="8">
        <f t="shared" ref="P20:P31" si="23">(J4-J3) * (P4+P3)</f>
        <v>6.7878051111570714E-3</v>
      </c>
    </row>
    <row r="21" spans="2:16" x14ac:dyDescent="0.3">
      <c r="B21" s="9" t="s">
        <v>28</v>
      </c>
      <c r="C21" s="9">
        <f t="shared" si="12"/>
        <v>4.6962688788018223E-2</v>
      </c>
      <c r="D21" s="9">
        <f t="shared" si="13"/>
        <v>3.7924429749759181E-2</v>
      </c>
      <c r="E21" s="9">
        <f t="shared" si="14"/>
        <v>5.8177985717600869E-2</v>
      </c>
      <c r="F21" s="9">
        <f t="shared" si="15"/>
        <v>1.7361659186988624E-2</v>
      </c>
      <c r="G21" s="9">
        <f t="shared" si="16"/>
        <v>3.9049542261010317E-2</v>
      </c>
      <c r="H21" s="9">
        <f t="shared" si="17"/>
        <v>-8.5182579972763843E-3</v>
      </c>
      <c r="J21" s="9" t="s">
        <v>28</v>
      </c>
      <c r="K21" s="8">
        <f t="shared" si="18"/>
        <v>8.41132033632528E-3</v>
      </c>
      <c r="L21" s="8">
        <f t="shared" si="19"/>
        <v>7.564347108014749E-3</v>
      </c>
      <c r="M21" s="8">
        <f t="shared" si="20"/>
        <v>7.2041401028711902E-3</v>
      </c>
      <c r="N21" s="8">
        <f t="shared" si="21"/>
        <v>8.9774668974240985E-3</v>
      </c>
      <c r="O21" s="8">
        <f t="shared" si="22"/>
        <v>1.0784811718357663E-2</v>
      </c>
      <c r="P21" s="8">
        <f t="shared" si="23"/>
        <v>8.9895139544523099E-3</v>
      </c>
    </row>
    <row r="22" spans="2:16" x14ac:dyDescent="0.3">
      <c r="B22" s="9" t="s">
        <v>27</v>
      </c>
      <c r="C22" s="9">
        <f t="shared" si="12"/>
        <v>-6.0399951303544072E-3</v>
      </c>
      <c r="D22" s="9">
        <f t="shared" si="13"/>
        <v>2.7392788302429021E-2</v>
      </c>
      <c r="E22" s="9">
        <f t="shared" si="14"/>
        <v>6.8300177396584602E-3</v>
      </c>
      <c r="F22" s="9">
        <f t="shared" si="15"/>
        <v>6.8300177396584602E-3</v>
      </c>
      <c r="G22" s="9">
        <f t="shared" si="16"/>
        <v>-2.0987049681369354E-2</v>
      </c>
      <c r="H22" s="9">
        <f t="shared" si="17"/>
        <v>2.4428361424958668E-2</v>
      </c>
      <c r="J22" s="9" t="s">
        <v>27</v>
      </c>
      <c r="K22" s="8">
        <f t="shared" si="18"/>
        <v>1.5906146786943264E-2</v>
      </c>
      <c r="L22" s="8">
        <f t="shared" si="19"/>
        <v>1.5759397907945814E-2</v>
      </c>
      <c r="M22" s="8">
        <f t="shared" si="20"/>
        <v>1.526120165555377E-2</v>
      </c>
      <c r="N22" s="8">
        <f t="shared" si="21"/>
        <v>1.5986909146866814E-2</v>
      </c>
      <c r="O22" s="8">
        <f t="shared" si="22"/>
        <v>1.8173330144282303E-2</v>
      </c>
      <c r="P22" s="8">
        <f t="shared" si="23"/>
        <v>1.5665352055127722E-2</v>
      </c>
    </row>
    <row r="23" spans="2:16" x14ac:dyDescent="0.3">
      <c r="B23" s="9" t="s">
        <v>18</v>
      </c>
      <c r="C23" s="9">
        <f t="shared" si="12"/>
        <v>2.9464634019234569E-2</v>
      </c>
      <c r="D23" s="9">
        <f t="shared" si="13"/>
        <v>-4.3894439339838796E-2</v>
      </c>
      <c r="E23" s="9">
        <f t="shared" si="14"/>
        <v>3.72460827920882E-3</v>
      </c>
      <c r="F23" s="9">
        <f t="shared" si="15"/>
        <v>2.5702630257230803E-2</v>
      </c>
      <c r="G23" s="9">
        <f t="shared" si="16"/>
        <v>5.6105111552107109E-3</v>
      </c>
      <c r="H23" s="9">
        <f t="shared" si="17"/>
        <v>6.8301983413206271E-3</v>
      </c>
      <c r="J23" s="9" t="s">
        <v>18</v>
      </c>
      <c r="K23" s="8">
        <f t="shared" si="18"/>
        <v>2.186248137003554E-2</v>
      </c>
      <c r="L23" s="8">
        <f t="shared" si="19"/>
        <v>1.9952017881744909E-2</v>
      </c>
      <c r="M23" s="8">
        <f t="shared" si="20"/>
        <v>2.0603512343189644E-2</v>
      </c>
      <c r="N23" s="8">
        <f t="shared" si="21"/>
        <v>2.2349183400137706E-2</v>
      </c>
      <c r="O23" s="8">
        <f t="shared" si="22"/>
        <v>2.2599117283877403E-2</v>
      </c>
      <c r="P23" s="8">
        <f t="shared" si="23"/>
        <v>2.1947219669919402E-2</v>
      </c>
    </row>
    <row r="24" spans="2:16" x14ac:dyDescent="0.3">
      <c r="B24" s="9" t="s">
        <v>23</v>
      </c>
      <c r="C24" s="9">
        <f t="shared" si="12"/>
        <v>-3.9010738053527574E-2</v>
      </c>
      <c r="D24" s="9">
        <f t="shared" si="13"/>
        <v>-3.9230113272902795E-2</v>
      </c>
      <c r="E24" s="9">
        <f t="shared" si="14"/>
        <v>-4.379102854810378E-2</v>
      </c>
      <c r="F24" s="9">
        <f t="shared" si="15"/>
        <v>-1.0300709343498859E-2</v>
      </c>
      <c r="G24" s="9">
        <f t="shared" si="16"/>
        <v>-6.0392941909946027E-3</v>
      </c>
      <c r="H24" s="9">
        <f t="shared" si="17"/>
        <v>6.5348279348968086E-2</v>
      </c>
      <c r="J24" s="9" t="s">
        <v>23</v>
      </c>
      <c r="K24" s="8">
        <f t="shared" si="18"/>
        <v>2.949674206609039E-2</v>
      </c>
      <c r="L24" s="8">
        <f t="shared" si="19"/>
        <v>2.3572087898842103E-2</v>
      </c>
      <c r="M24" s="8">
        <f t="shared" si="20"/>
        <v>2.6501487904853842E-2</v>
      </c>
      <c r="N24" s="8">
        <f t="shared" si="21"/>
        <v>3.1319940251190899E-2</v>
      </c>
      <c r="O24" s="8">
        <f t="shared" si="22"/>
        <v>3.0807085174724337E-2</v>
      </c>
      <c r="P24" s="8">
        <f t="shared" si="23"/>
        <v>3.3729166424359434E-2</v>
      </c>
    </row>
    <row r="25" spans="2:16" x14ac:dyDescent="0.3">
      <c r="B25" s="9" t="s">
        <v>26</v>
      </c>
      <c r="C25" s="9">
        <f t="shared" si="12"/>
        <v>-4.0413051386661222E-2</v>
      </c>
      <c r="D25" s="9">
        <f t="shared" si="13"/>
        <v>-1.4263525237135068E-2</v>
      </c>
      <c r="E25" s="9">
        <f t="shared" si="14"/>
        <v>-1.8901744161068282E-2</v>
      </c>
      <c r="F25" s="9">
        <f t="shared" si="15"/>
        <v>7.9476068502458669E-2</v>
      </c>
      <c r="G25" s="9">
        <f t="shared" si="16"/>
        <v>3.9291830298418491E-2</v>
      </c>
      <c r="H25" s="9">
        <f t="shared" si="17"/>
        <v>7.7963088728609325E-2</v>
      </c>
      <c r="J25" s="9" t="s">
        <v>26</v>
      </c>
      <c r="K25" s="8">
        <f t="shared" si="18"/>
        <v>3.6660900540452505E-2</v>
      </c>
      <c r="L25" s="8">
        <f t="shared" si="19"/>
        <v>3.1216264225196626E-2</v>
      </c>
      <c r="M25" s="8">
        <f t="shared" si="20"/>
        <v>3.412461182381743E-2</v>
      </c>
      <c r="N25" s="8">
        <f t="shared" si="21"/>
        <v>4.7686957548667953E-2</v>
      </c>
      <c r="O25" s="8">
        <f t="shared" si="22"/>
        <v>4.4936370025422952E-2</v>
      </c>
      <c r="P25" s="8">
        <f t="shared" si="23"/>
        <v>5.4957934622053804E-2</v>
      </c>
    </row>
    <row r="26" spans="2:16" x14ac:dyDescent="0.3">
      <c r="B26" s="9" t="s">
        <v>22</v>
      </c>
      <c r="C26" s="9">
        <f t="shared" si="12"/>
        <v>-4.0058717759086454E-2</v>
      </c>
      <c r="D26" s="9">
        <f t="shared" ref="D26:D31" si="24">D10-B10</f>
        <v>-4.0497468197836888E-2</v>
      </c>
      <c r="E26" s="9">
        <f t="shared" ref="E26:E31" si="25">E10-B10</f>
        <v>-4.2816577659803498E-2</v>
      </c>
      <c r="F26" s="9">
        <f t="shared" ref="F26:F31" si="26">F10-B10</f>
        <v>-1.5605693306061999E-2</v>
      </c>
      <c r="G26" s="9">
        <f t="shared" ref="G26:G31" si="27">G10-B10</f>
        <v>-5.8274245875604667E-2</v>
      </c>
      <c r="H26" s="9">
        <f t="shared" ref="H26:H31" si="28">H10-B10</f>
        <v>-4.1485610490327007E-2</v>
      </c>
      <c r="J26" s="9" t="s">
        <v>22</v>
      </c>
      <c r="K26" s="8">
        <f t="shared" si="18"/>
        <v>4.1498864699878887E-2</v>
      </c>
      <c r="L26" s="8">
        <f t="shared" si="19"/>
        <v>3.7360074183019308E-2</v>
      </c>
      <c r="M26" s="8">
        <f t="shared" si="20"/>
        <v>3.9999325891395876E-2</v>
      </c>
      <c r="N26" s="8">
        <f t="shared" si="21"/>
        <v>6.2298371094705061E-2</v>
      </c>
      <c r="O26" s="8">
        <f t="shared" si="22"/>
        <v>5.4147921683385954E-2</v>
      </c>
      <c r="P26" s="8">
        <f t="shared" si="23"/>
        <v>6.8264394187256008E-2</v>
      </c>
    </row>
    <row r="27" spans="2:16" x14ac:dyDescent="0.3">
      <c r="B27" s="9" t="s">
        <v>29</v>
      </c>
      <c r="C27" s="9">
        <f t="shared" si="12"/>
        <v>-2.09518253110293E-2</v>
      </c>
      <c r="D27" s="9">
        <f t="shared" si="24"/>
        <v>2.3625219266015282E-2</v>
      </c>
      <c r="E27" s="9">
        <f t="shared" si="25"/>
        <v>-6.0593818471572636E-3</v>
      </c>
      <c r="F27" s="9">
        <f t="shared" si="26"/>
        <v>-8.6758130350170215E-3</v>
      </c>
      <c r="G27" s="9">
        <f t="shared" si="27"/>
        <v>3.1726029347023385E-2</v>
      </c>
      <c r="H27" s="9">
        <f t="shared" si="28"/>
        <v>-1.6559233961916206E-2</v>
      </c>
      <c r="J27" s="9" t="s">
        <v>29</v>
      </c>
      <c r="K27" s="8">
        <f t="shared" si="18"/>
        <v>4.8839258181074215E-2</v>
      </c>
      <c r="L27" s="8">
        <f t="shared" si="19"/>
        <v>4.7404545930348742E-2</v>
      </c>
      <c r="M27" s="8">
        <f t="shared" si="20"/>
        <v>4.8059908316482609E-2</v>
      </c>
      <c r="N27" s="8">
        <f t="shared" si="21"/>
        <v>7.3445398350316993E-2</v>
      </c>
      <c r="O27" s="8">
        <f t="shared" si="22"/>
        <v>6.4619163855231074E-2</v>
      </c>
      <c r="P27" s="8">
        <f t="shared" si="23"/>
        <v>7.7522721675717596E-2</v>
      </c>
    </row>
    <row r="28" spans="2:16" x14ac:dyDescent="0.3">
      <c r="B28" s="9" t="s">
        <v>19</v>
      </c>
      <c r="C28" s="9">
        <f t="shared" si="12"/>
        <v>9.4356792969244874E-3</v>
      </c>
      <c r="D28" s="9">
        <f t="shared" si="24"/>
        <v>4.1990961852207034E-2</v>
      </c>
      <c r="E28" s="9">
        <f t="shared" si="25"/>
        <v>1.6789972365503267E-2</v>
      </c>
      <c r="F28" s="9">
        <f t="shared" si="26"/>
        <v>-1.303734317609799E-2</v>
      </c>
      <c r="G28" s="9">
        <f t="shared" si="27"/>
        <v>-2.2140451289107091E-2</v>
      </c>
      <c r="H28" s="9">
        <f t="shared" si="28"/>
        <v>8.1836633178543339E-4</v>
      </c>
      <c r="J28" s="9" t="s">
        <v>19</v>
      </c>
      <c r="K28" s="8">
        <f t="shared" si="18"/>
        <v>6.1133721213508171E-2</v>
      </c>
      <c r="L28" s="8">
        <f t="shared" si="19"/>
        <v>6.5132183440142391E-2</v>
      </c>
      <c r="M28" s="8">
        <f t="shared" si="20"/>
        <v>6.1897728072026481E-2</v>
      </c>
      <c r="N28" s="8">
        <f t="shared" si="21"/>
        <v>8.6604331827002515E-2</v>
      </c>
      <c r="O28" s="8">
        <f t="shared" si="22"/>
        <v>7.9448366334906359E-2</v>
      </c>
      <c r="P28" s="8">
        <f t="shared" si="23"/>
        <v>9.1373845753706995E-2</v>
      </c>
    </row>
    <row r="29" spans="2:16" x14ac:dyDescent="0.3">
      <c r="B29" s="9" t="s">
        <v>21</v>
      </c>
      <c r="C29" s="9">
        <f t="shared" si="12"/>
        <v>3.7414406795302127E-2</v>
      </c>
      <c r="D29" s="9">
        <f t="shared" si="24"/>
        <v>4.6364915745811072E-2</v>
      </c>
      <c r="E29" s="9">
        <f t="shared" si="25"/>
        <v>5.2393746202699515E-3</v>
      </c>
      <c r="F29" s="9">
        <f t="shared" si="26"/>
        <v>-5.7031687650792313E-2</v>
      </c>
      <c r="G29" s="9">
        <f t="shared" si="27"/>
        <v>-6.029575032079558E-2</v>
      </c>
      <c r="H29" s="9">
        <f t="shared" si="28"/>
        <v>-6.1013213371448466E-2</v>
      </c>
      <c r="J29" s="9" t="s">
        <v>21</v>
      </c>
      <c r="K29" s="8">
        <f t="shared" si="18"/>
        <v>9.5558487142478638E-2</v>
      </c>
      <c r="L29" s="8">
        <f t="shared" si="19"/>
        <v>0.10431669889793391</v>
      </c>
      <c r="M29" s="8">
        <f t="shared" si="20"/>
        <v>9.4284373980578914E-2</v>
      </c>
      <c r="N29" s="8">
        <f t="shared" si="21"/>
        <v>0.11703130336750178</v>
      </c>
      <c r="O29" s="8">
        <f t="shared" si="22"/>
        <v>0.10692917301127762</v>
      </c>
      <c r="P29" s="8">
        <f t="shared" si="23"/>
        <v>0.12391128201004935</v>
      </c>
    </row>
    <row r="30" spans="2:16" x14ac:dyDescent="0.3">
      <c r="B30" s="9" t="s">
        <v>20</v>
      </c>
      <c r="C30" s="9">
        <f t="shared" si="12"/>
        <v>-8.683580856437019E-2</v>
      </c>
      <c r="D30" s="9">
        <f t="shared" si="24"/>
        <v>-4.6339143067704688E-2</v>
      </c>
      <c r="E30" s="9">
        <f t="shared" si="25"/>
        <v>0.10308880993167688</v>
      </c>
      <c r="F30" s="9">
        <f t="shared" si="26"/>
        <v>-8.6340808069369696E-2</v>
      </c>
      <c r="G30" s="9">
        <f t="shared" si="27"/>
        <v>-5.9502959449342863E-2</v>
      </c>
      <c r="H30" s="9">
        <f t="shared" si="28"/>
        <v>-4.716259497811312E-2</v>
      </c>
      <c r="J30" s="9" t="s">
        <v>20</v>
      </c>
      <c r="K30" s="8">
        <f t="shared" si="18"/>
        <v>0.18590828567683387</v>
      </c>
      <c r="L30" s="8">
        <f t="shared" si="19"/>
        <v>0.20771886422583108</v>
      </c>
      <c r="M30" s="8">
        <f t="shared" si="20"/>
        <v>0.20724784639311944</v>
      </c>
      <c r="N30" s="8">
        <f t="shared" si="21"/>
        <v>0.20740337948609738</v>
      </c>
      <c r="O30" s="8">
        <f t="shared" si="22"/>
        <v>0.1942254147023468</v>
      </c>
      <c r="P30" s="8">
        <f t="shared" si="23"/>
        <v>0.22399470312181055</v>
      </c>
    </row>
    <row r="31" spans="2:16" x14ac:dyDescent="0.3">
      <c r="B31" s="9" t="s">
        <v>16</v>
      </c>
      <c r="C31" s="9">
        <f t="shared" si="12"/>
        <v>9.7173813790662061E-2</v>
      </c>
      <c r="D31" s="9">
        <f t="shared" si="24"/>
        <v>3.5444701613184526E-3</v>
      </c>
      <c r="E31" s="9">
        <f t="shared" si="25"/>
        <v>-6.9584781539361817E-2</v>
      </c>
      <c r="F31" s="9">
        <f t="shared" si="26"/>
        <v>2.4606741223589496E-2</v>
      </c>
      <c r="G31" s="9">
        <f t="shared" si="27"/>
        <v>5.5524668181120423E-2</v>
      </c>
      <c r="H31" s="9">
        <f t="shared" si="28"/>
        <v>-5.0803355925638061E-2</v>
      </c>
      <c r="J31" s="9" t="s">
        <v>16</v>
      </c>
      <c r="K31" s="8">
        <f t="shared" si="18"/>
        <v>0.40822170772507471</v>
      </c>
      <c r="L31" s="8">
        <f t="shared" si="19"/>
        <v>0.43129717721769256</v>
      </c>
      <c r="M31" s="8">
        <f t="shared" si="20"/>
        <v>0.44932028569229004</v>
      </c>
      <c r="N31" s="8">
        <f t="shared" si="21"/>
        <v>0.42610626404343466</v>
      </c>
      <c r="O31" s="8">
        <f t="shared" si="22"/>
        <v>0.41848636997360272</v>
      </c>
      <c r="P31" s="8">
        <f t="shared" si="23"/>
        <v>0.44469149949153397</v>
      </c>
    </row>
    <row r="32" spans="2:16" x14ac:dyDescent="0.3">
      <c r="J32" s="11" t="s">
        <v>77</v>
      </c>
      <c r="K32" s="11">
        <f>SUM(K18:K31)</f>
        <v>0.96132201806843298</v>
      </c>
      <c r="L32" s="11">
        <f t="shared" ref="L32:P32" si="29">SUM(L18:L31)</f>
        <v>0.99878101840935785</v>
      </c>
      <c r="M32" s="11">
        <f t="shared" si="29"/>
        <v>1.0127584943420371</v>
      </c>
      <c r="N32" s="11">
        <f t="shared" si="29"/>
        <v>1.1098855939223937</v>
      </c>
      <c r="O32" s="11">
        <f t="shared" si="29"/>
        <v>1.0548261900010354</v>
      </c>
      <c r="P32" s="11">
        <f t="shared" si="29"/>
        <v>1.1769147875846326</v>
      </c>
    </row>
    <row r="33" spans="10:16" x14ac:dyDescent="0.3">
      <c r="J33" s="12" t="s">
        <v>78</v>
      </c>
      <c r="K33" s="12">
        <f>1-K32</f>
        <v>3.8677981931567018E-2</v>
      </c>
      <c r="L33" s="12">
        <f t="shared" ref="L33:P33" si="30">1-L32</f>
        <v>1.2189815906421542E-3</v>
      </c>
      <c r="M33" s="12">
        <f t="shared" si="30"/>
        <v>-1.275849434203713E-2</v>
      </c>
      <c r="N33" s="12">
        <f t="shared" si="30"/>
        <v>-0.10988559392239372</v>
      </c>
      <c r="O33" s="12">
        <f t="shared" si="30"/>
        <v>-5.4826190001035391E-2</v>
      </c>
      <c r="P33" s="12">
        <f t="shared" si="30"/>
        <v>-0.17691478758463264</v>
      </c>
    </row>
  </sheetData>
  <sortState xmlns:xlrd2="http://schemas.microsoft.com/office/spreadsheetml/2017/richdata2" ref="A2:P16">
    <sortCondition ref="B1:B16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43D6-10CA-4F4E-B6AC-D0BCE921BA8C}">
  <dimension ref="A1:P17"/>
  <sheetViews>
    <sheetView workbookViewId="0">
      <selection activeCell="A9" sqref="A9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33</v>
      </c>
      <c r="B2" s="16">
        <v>7.9794890248290756E-2</v>
      </c>
      <c r="C2" s="16">
        <v>9.2783505154639179E-2</v>
      </c>
      <c r="D2" s="16">
        <v>0.24528301886792453</v>
      </c>
      <c r="E2" s="16">
        <v>0.14000000000000001</v>
      </c>
      <c r="F2" s="16">
        <v>0.13953488372093023</v>
      </c>
      <c r="G2" s="16">
        <v>4.7619047619047616E-2</v>
      </c>
      <c r="H2" s="16">
        <v>4.5454545454545456E-2</v>
      </c>
      <c r="I2" s="9">
        <v>7.9794890248290756E-2</v>
      </c>
      <c r="J2" s="17">
        <v>7.9794890248290756E-2</v>
      </c>
      <c r="K2" s="17">
        <v>9.2783505154639179E-2</v>
      </c>
      <c r="L2" s="17">
        <v>0.24528301886792453</v>
      </c>
      <c r="M2" s="17">
        <v>0.14000000000000001</v>
      </c>
      <c r="N2" s="17">
        <v>0.13953488372093023</v>
      </c>
      <c r="O2" s="17">
        <v>4.7619047619047616E-2</v>
      </c>
      <c r="P2" s="17">
        <v>4.5454545454545456E-2</v>
      </c>
    </row>
    <row r="3" spans="1:16" x14ac:dyDescent="0.3">
      <c r="A3" s="9" t="s">
        <v>31</v>
      </c>
      <c r="B3" s="16">
        <v>8.4090500179920841E-2</v>
      </c>
      <c r="C3" s="16">
        <v>0.10309278350515463</v>
      </c>
      <c r="D3" s="16">
        <v>9.4339622641509441E-2</v>
      </c>
      <c r="E3" s="16">
        <v>0.12</v>
      </c>
      <c r="F3" s="16">
        <v>8.5271317829457363E-2</v>
      </c>
      <c r="G3" s="16">
        <v>0.15238095238095239</v>
      </c>
      <c r="H3" s="16">
        <v>4.5454545454545456E-2</v>
      </c>
      <c r="I3" s="9">
        <v>0.1638853904282116</v>
      </c>
      <c r="J3" s="9">
        <f t="shared" ref="J3:P7" si="0">J2+B3</f>
        <v>0.1638853904282116</v>
      </c>
      <c r="K3" s="9">
        <f t="shared" si="0"/>
        <v>0.19587628865979381</v>
      </c>
      <c r="L3" s="9">
        <f t="shared" si="0"/>
        <v>0.339622641509434</v>
      </c>
      <c r="M3" s="9">
        <f t="shared" si="0"/>
        <v>0.26</v>
      </c>
      <c r="N3" s="9">
        <f t="shared" si="0"/>
        <v>0.22480620155038761</v>
      </c>
      <c r="O3" s="9">
        <f t="shared" si="0"/>
        <v>0.2</v>
      </c>
      <c r="P3" s="9">
        <f t="shared" si="0"/>
        <v>9.0909090909090912E-2</v>
      </c>
    </row>
    <row r="4" spans="1:16" x14ac:dyDescent="0.3">
      <c r="A4" s="9" t="s">
        <v>35</v>
      </c>
      <c r="B4" s="16">
        <v>8.6609391867578267E-2</v>
      </c>
      <c r="C4" s="16">
        <v>0.13402061855670103</v>
      </c>
      <c r="D4" s="16">
        <v>3.7735849056603772E-2</v>
      </c>
      <c r="E4" s="16">
        <v>0.1</v>
      </c>
      <c r="F4" s="16">
        <v>4.6511627906976744E-2</v>
      </c>
      <c r="G4" s="16">
        <v>0.12380952380952381</v>
      </c>
      <c r="H4" s="16">
        <v>7.575757575757576E-2</v>
      </c>
      <c r="I4" s="9">
        <v>0.25049478229578986</v>
      </c>
      <c r="J4" s="9">
        <f t="shared" si="0"/>
        <v>0.25049478229578986</v>
      </c>
      <c r="K4" s="9">
        <f t="shared" si="0"/>
        <v>0.32989690721649484</v>
      </c>
      <c r="L4" s="9">
        <f t="shared" si="0"/>
        <v>0.37735849056603776</v>
      </c>
      <c r="M4" s="9">
        <f t="shared" si="0"/>
        <v>0.36</v>
      </c>
      <c r="N4" s="9">
        <f t="shared" si="0"/>
        <v>0.27131782945736438</v>
      </c>
      <c r="O4" s="9">
        <f t="shared" si="0"/>
        <v>0.32380952380952382</v>
      </c>
      <c r="P4" s="9">
        <f t="shared" si="0"/>
        <v>0.16666666666666669</v>
      </c>
    </row>
    <row r="5" spans="1:16" x14ac:dyDescent="0.3">
      <c r="A5" s="9" t="s">
        <v>34</v>
      </c>
      <c r="B5" s="16">
        <v>9.5830334652752786E-2</v>
      </c>
      <c r="C5" s="16">
        <v>5.1546391752577317E-2</v>
      </c>
      <c r="D5" s="16">
        <v>7.5471698113207544E-2</v>
      </c>
      <c r="E5" s="16">
        <v>0.04</v>
      </c>
      <c r="F5" s="16">
        <v>5.4263565891472867E-2</v>
      </c>
      <c r="G5" s="16">
        <v>0.11428571428571428</v>
      </c>
      <c r="H5" s="16">
        <v>6.0606060606060608E-2</v>
      </c>
      <c r="I5" s="9">
        <v>0.34632511694854262</v>
      </c>
      <c r="J5" s="9">
        <f t="shared" si="0"/>
        <v>0.34632511694854262</v>
      </c>
      <c r="K5" s="9">
        <f t="shared" si="0"/>
        <v>0.38144329896907214</v>
      </c>
      <c r="L5" s="9">
        <f t="shared" si="0"/>
        <v>0.45283018867924529</v>
      </c>
      <c r="M5" s="9">
        <f t="shared" si="0"/>
        <v>0.39999999999999997</v>
      </c>
      <c r="N5" s="9">
        <f t="shared" si="0"/>
        <v>0.32558139534883723</v>
      </c>
      <c r="O5" s="9">
        <f t="shared" si="0"/>
        <v>0.43809523809523809</v>
      </c>
      <c r="P5" s="9">
        <f t="shared" si="0"/>
        <v>0.22727272727272729</v>
      </c>
    </row>
    <row r="6" spans="1:16" x14ac:dyDescent="0.3">
      <c r="A6" s="9" t="s">
        <v>32</v>
      </c>
      <c r="B6" s="16">
        <v>0.13174703130622525</v>
      </c>
      <c r="C6" s="16">
        <v>0.14432989690721648</v>
      </c>
      <c r="D6" s="16">
        <v>0.16981132075471697</v>
      </c>
      <c r="E6" s="16">
        <v>0.16</v>
      </c>
      <c r="F6" s="16">
        <v>0.18604651162790697</v>
      </c>
      <c r="G6" s="16">
        <v>3.8095238095238099E-2</v>
      </c>
      <c r="H6" s="16">
        <v>0.10606060606060606</v>
      </c>
      <c r="I6" s="9">
        <v>0.47807214825476785</v>
      </c>
      <c r="J6" s="9">
        <f t="shared" si="0"/>
        <v>0.47807214825476785</v>
      </c>
      <c r="K6" s="9">
        <f t="shared" si="0"/>
        <v>0.52577319587628857</v>
      </c>
      <c r="L6" s="9">
        <f t="shared" si="0"/>
        <v>0.62264150943396224</v>
      </c>
      <c r="M6" s="9">
        <f t="shared" si="0"/>
        <v>0.55999999999999994</v>
      </c>
      <c r="N6" s="9">
        <f t="shared" si="0"/>
        <v>0.51162790697674421</v>
      </c>
      <c r="O6" s="9">
        <f t="shared" si="0"/>
        <v>0.47619047619047616</v>
      </c>
      <c r="P6" s="9">
        <f t="shared" si="0"/>
        <v>0.33333333333333337</v>
      </c>
    </row>
    <row r="7" spans="1:16" x14ac:dyDescent="0.3">
      <c r="A7" s="9" t="s">
        <v>30</v>
      </c>
      <c r="B7" s="16">
        <v>0.52192785174523215</v>
      </c>
      <c r="C7" s="16">
        <v>0.47422680412371132</v>
      </c>
      <c r="D7" s="16">
        <v>0.37735849056603776</v>
      </c>
      <c r="E7" s="16">
        <v>0.44</v>
      </c>
      <c r="F7" s="16">
        <v>0.48837209302325579</v>
      </c>
      <c r="G7" s="16">
        <v>0.52380952380952384</v>
      </c>
      <c r="H7" s="16">
        <v>0.66666666666666663</v>
      </c>
      <c r="I7" s="9">
        <v>1</v>
      </c>
      <c r="J7" s="9">
        <f t="shared" si="0"/>
        <v>1</v>
      </c>
      <c r="K7" s="9">
        <f t="shared" si="0"/>
        <v>0.99999999999999989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0"/>
        <v>1</v>
      </c>
    </row>
    <row r="9" spans="1:16" ht="28.8" x14ac:dyDescent="0.3">
      <c r="B9" s="1" t="s">
        <v>8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J9" s="1" t="s">
        <v>8</v>
      </c>
      <c r="K9" s="11" t="s">
        <v>71</v>
      </c>
      <c r="L9" s="11" t="s">
        <v>72</v>
      </c>
      <c r="M9" s="11" t="s">
        <v>73</v>
      </c>
      <c r="N9" s="11" t="s">
        <v>74</v>
      </c>
      <c r="O9" s="11" t="s">
        <v>75</v>
      </c>
      <c r="P9" s="11" t="s">
        <v>76</v>
      </c>
    </row>
    <row r="10" spans="1:16" x14ac:dyDescent="0.3">
      <c r="B10" s="9" t="s">
        <v>33</v>
      </c>
      <c r="C10" s="9">
        <f>C2-B2</f>
        <v>1.2988614906348422E-2</v>
      </c>
      <c r="D10" s="9">
        <f>D2-B2</f>
        <v>0.16548812861963377</v>
      </c>
      <c r="E10" s="9">
        <f>E2-B2</f>
        <v>6.0205109751709257E-2</v>
      </c>
      <c r="F10" s="9">
        <f>F2-B2</f>
        <v>5.9739993472639474E-2</v>
      </c>
      <c r="G10" s="9">
        <f>G2-B2</f>
        <v>-3.217584262924314E-2</v>
      </c>
      <c r="H10" s="9">
        <f>H2-B2</f>
        <v>-3.43403447937453E-2</v>
      </c>
      <c r="J10" s="9" t="s">
        <v>33</v>
      </c>
      <c r="K10" s="8">
        <f>(J2-0) * ((K2+0))</f>
        <v>7.4036496106661531E-3</v>
      </c>
      <c r="L10" s="8">
        <f>(J2-0) * ((L2+0))</f>
        <v>1.9572331570335468E-2</v>
      </c>
      <c r="M10" s="8">
        <f>(J2-0) * ((M2+0))</f>
        <v>1.1171284634760708E-2</v>
      </c>
      <c r="N10" s="8">
        <f>(J2-0) * ((N2+0))</f>
        <v>1.1134170732319639E-2</v>
      </c>
      <c r="O10" s="8">
        <f>(J2-0) * ((O2+0))</f>
        <v>3.7997566784900359E-3</v>
      </c>
      <c r="P10" s="8">
        <f>(J2-0) * ((P2+0))</f>
        <v>3.627040465831398E-3</v>
      </c>
    </row>
    <row r="11" spans="1:16" x14ac:dyDescent="0.3">
      <c r="B11" s="9" t="s">
        <v>31</v>
      </c>
      <c r="C11" s="9">
        <f t="shared" ref="C11:C15" si="1">C3-B3</f>
        <v>1.9002283325233793E-2</v>
      </c>
      <c r="D11" s="9">
        <f t="shared" ref="D11:D15" si="2">D3-B3</f>
        <v>1.02491224615886E-2</v>
      </c>
      <c r="E11" s="9">
        <f t="shared" ref="E11:E15" si="3">E3-B3</f>
        <v>3.5909499820079155E-2</v>
      </c>
      <c r="F11" s="9">
        <f t="shared" ref="F11:F15" si="4">F3-B3</f>
        <v>1.1808176495365225E-3</v>
      </c>
      <c r="G11" s="9">
        <f t="shared" ref="G11:G15" si="5">G3-B3</f>
        <v>6.8290452201031554E-2</v>
      </c>
      <c r="H11" s="9">
        <f t="shared" ref="H11:H15" si="6">H3-B3</f>
        <v>-3.8635954725375385E-2</v>
      </c>
      <c r="J11" s="9" t="s">
        <v>31</v>
      </c>
      <c r="K11" s="8">
        <f>(J3-J2) * ((K3+K2))</f>
        <v>2.4273546443688489E-2</v>
      </c>
      <c r="L11" s="8">
        <f>(J3-J2) * ((L3+L2))</f>
        <v>4.9185009539198993E-2</v>
      </c>
      <c r="M11" s="8">
        <f>(J3-J2) * ((M3+M2))</f>
        <v>3.3636200071968339E-2</v>
      </c>
      <c r="N11" s="8">
        <f>(J3-J2) * ((N3+N2))</f>
        <v>3.0637624096560304E-2</v>
      </c>
      <c r="O11" s="8">
        <f>(J3-J2) * ((O3+O2))</f>
        <v>2.0822409568361351E-2</v>
      </c>
      <c r="P11" s="8">
        <f>(J3-J2) * ((P3+P2))</f>
        <v>1.1466886388171022E-2</v>
      </c>
    </row>
    <row r="12" spans="1:16" x14ac:dyDescent="0.3">
      <c r="B12" s="9" t="s">
        <v>35</v>
      </c>
      <c r="C12" s="9">
        <f t="shared" si="1"/>
        <v>4.741122668912276E-2</v>
      </c>
      <c r="D12" s="9">
        <f t="shared" si="2"/>
        <v>-4.8873542810974495E-2</v>
      </c>
      <c r="E12" s="9">
        <f t="shared" si="3"/>
        <v>1.3390608132421739E-2</v>
      </c>
      <c r="F12" s="9">
        <f t="shared" si="4"/>
        <v>-4.0097763960601523E-2</v>
      </c>
      <c r="G12" s="9">
        <f t="shared" si="5"/>
        <v>3.7200131941945547E-2</v>
      </c>
      <c r="H12" s="9">
        <f t="shared" si="6"/>
        <v>-1.0851816110002507E-2</v>
      </c>
      <c r="J12" s="9" t="s">
        <v>35</v>
      </c>
      <c r="K12" s="8">
        <f t="shared" ref="K12:K15" si="7">(J4-J3) * ((K4+K3))</f>
        <v>4.5536896755118475E-2</v>
      </c>
      <c r="L12" s="8">
        <f t="shared" ref="L12:L15" si="8">(J4-J3) * ((L4+L3))</f>
        <v>6.2097299829584424E-2</v>
      </c>
      <c r="M12" s="8">
        <f t="shared" ref="M12:M15" si="9">(J4-J3) * ((M4+M3))</f>
        <v>5.3697822957898524E-2</v>
      </c>
      <c r="N12" s="8">
        <f t="shared" ref="N12:N15" si="10">(J4-J3) * ((N4+N3))</f>
        <v>4.2969000616472942E-2</v>
      </c>
      <c r="O12" s="8">
        <f t="shared" ref="O12:O15" si="11">(J4-J3) * ((O4+O3))</f>
        <v>4.5366824311588616E-2</v>
      </c>
      <c r="P12" s="8">
        <f t="shared" ref="P12:P15" si="12">(J4-J3) * ((P4+P3))</f>
        <v>2.2308479723467129E-2</v>
      </c>
    </row>
    <row r="13" spans="1:16" x14ac:dyDescent="0.3">
      <c r="B13" s="9" t="s">
        <v>34</v>
      </c>
      <c r="C13" s="9">
        <f t="shared" si="1"/>
        <v>-4.4283942900175469E-2</v>
      </c>
      <c r="D13" s="9">
        <f t="shared" si="2"/>
        <v>-2.0358636539545241E-2</v>
      </c>
      <c r="E13" s="9">
        <f t="shared" si="3"/>
        <v>-5.5830334652752785E-2</v>
      </c>
      <c r="F13" s="9">
        <f t="shared" si="4"/>
        <v>-4.1566768761279918E-2</v>
      </c>
      <c r="G13" s="9">
        <f t="shared" si="5"/>
        <v>1.8455379632961497E-2</v>
      </c>
      <c r="H13" s="9">
        <f t="shared" si="6"/>
        <v>-3.5224274046692178E-2</v>
      </c>
      <c r="J13" s="9" t="s">
        <v>34</v>
      </c>
      <c r="K13" s="8">
        <f t="shared" si="7"/>
        <v>6.816797001072103E-2</v>
      </c>
      <c r="L13" s="8">
        <f t="shared" si="8"/>
        <v>7.9557258957002289E-2</v>
      </c>
      <c r="M13" s="8">
        <f t="shared" si="9"/>
        <v>7.2831054336092091E-2</v>
      </c>
      <c r="N13" s="8">
        <f t="shared" si="10"/>
        <v>5.7201052467147004E-2</v>
      </c>
      <c r="O13" s="8">
        <f t="shared" si="11"/>
        <v>7.3013588306859237E-2</v>
      </c>
      <c r="P13" s="8">
        <f t="shared" si="12"/>
        <v>3.7751343954114724E-2</v>
      </c>
    </row>
    <row r="14" spans="1:16" x14ac:dyDescent="0.3">
      <c r="B14" s="9" t="s">
        <v>32</v>
      </c>
      <c r="C14" s="9">
        <f t="shared" si="1"/>
        <v>1.2582865600991228E-2</v>
      </c>
      <c r="D14" s="9">
        <f t="shared" si="2"/>
        <v>3.8064289448491717E-2</v>
      </c>
      <c r="E14" s="9">
        <f t="shared" si="3"/>
        <v>2.8252968693774749E-2</v>
      </c>
      <c r="F14" s="9">
        <f t="shared" si="4"/>
        <v>5.429948032168172E-2</v>
      </c>
      <c r="G14" s="9">
        <f t="shared" si="5"/>
        <v>-9.3651793210987155E-2</v>
      </c>
      <c r="H14" s="9">
        <f t="shared" si="6"/>
        <v>-2.568642524561919E-2</v>
      </c>
      <c r="J14" s="9" t="s">
        <v>32</v>
      </c>
      <c r="K14" s="8">
        <f t="shared" si="7"/>
        <v>0.11952307994791565</v>
      </c>
      <c r="L14" s="8">
        <f t="shared" si="8"/>
        <v>0.14169020348027997</v>
      </c>
      <c r="M14" s="8">
        <f t="shared" si="9"/>
        <v>0.12647715005397622</v>
      </c>
      <c r="N14" s="8">
        <f t="shared" si="10"/>
        <v>0.11029984016335136</v>
      </c>
      <c r="O14" s="8">
        <f t="shared" si="11"/>
        <v>0.12045442862283449</v>
      </c>
      <c r="P14" s="8">
        <f t="shared" si="12"/>
        <v>7.3858184217126269E-2</v>
      </c>
    </row>
    <row r="15" spans="1:16" x14ac:dyDescent="0.3">
      <c r="B15" s="9" t="s">
        <v>30</v>
      </c>
      <c r="C15" s="9">
        <f t="shared" si="1"/>
        <v>-4.7701047621520831E-2</v>
      </c>
      <c r="D15" s="9">
        <f t="shared" si="2"/>
        <v>-0.14456936117919439</v>
      </c>
      <c r="E15" s="9">
        <f t="shared" si="3"/>
        <v>-8.192785174523215E-2</v>
      </c>
      <c r="F15" s="9">
        <f t="shared" si="4"/>
        <v>-3.3555758721976359E-2</v>
      </c>
      <c r="G15" s="9">
        <f t="shared" si="5"/>
        <v>1.881672064291684E-3</v>
      </c>
      <c r="H15" s="9">
        <f t="shared" si="6"/>
        <v>0.14473881492143448</v>
      </c>
      <c r="J15" s="9" t="s">
        <v>30</v>
      </c>
      <c r="K15" s="8">
        <f t="shared" si="7"/>
        <v>0.79634352637416861</v>
      </c>
      <c r="L15" s="8">
        <f t="shared" si="8"/>
        <v>0.84690179717150882</v>
      </c>
      <c r="M15" s="8">
        <f t="shared" si="9"/>
        <v>0.81420744872256223</v>
      </c>
      <c r="N15" s="8">
        <f t="shared" si="10"/>
        <v>0.7889607061265137</v>
      </c>
      <c r="O15" s="8">
        <f t="shared" si="11"/>
        <v>0.77046492400486655</v>
      </c>
      <c r="P15" s="8">
        <f t="shared" si="12"/>
        <v>0.69590380232697624</v>
      </c>
    </row>
    <row r="16" spans="1:16" x14ac:dyDescent="0.3">
      <c r="J16" s="13" t="s">
        <v>77</v>
      </c>
      <c r="K16" s="11">
        <f>SUM(K10:K15)</f>
        <v>1.0612486691422784</v>
      </c>
      <c r="L16" s="11">
        <f t="shared" ref="L16:P16" si="13">SUM(L10:L15)</f>
        <v>1.1990039005479098</v>
      </c>
      <c r="M16" s="11">
        <f t="shared" si="13"/>
        <v>1.112020960777258</v>
      </c>
      <c r="N16" s="11">
        <f t="shared" si="13"/>
        <v>1.0412023942023649</v>
      </c>
      <c r="O16" s="11">
        <f t="shared" si="13"/>
        <v>1.0339219314930004</v>
      </c>
      <c r="P16" s="11">
        <f t="shared" si="13"/>
        <v>0.84491573707568679</v>
      </c>
    </row>
    <row r="17" spans="10:16" x14ac:dyDescent="0.3">
      <c r="J17" s="14" t="s">
        <v>78</v>
      </c>
      <c r="K17" s="12">
        <f>1-K16</f>
        <v>-6.1248669142278445E-2</v>
      </c>
      <c r="L17" s="12">
        <f t="shared" ref="L17:P17" si="14">1-L16</f>
        <v>-0.19900390054790984</v>
      </c>
      <c r="M17" s="12">
        <f t="shared" si="14"/>
        <v>-0.11202096077725798</v>
      </c>
      <c r="N17" s="12">
        <f t="shared" si="14"/>
        <v>-4.1202394202364934E-2</v>
      </c>
      <c r="O17" s="12">
        <f t="shared" si="14"/>
        <v>-3.3921931493000379E-2</v>
      </c>
      <c r="P17" s="12">
        <f t="shared" si="14"/>
        <v>0.15508426292431321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2638-0F91-4756-9FB2-75C0AFBB6507}">
  <dimension ref="A1:P17"/>
  <sheetViews>
    <sheetView zoomScale="71" workbookViewId="0">
      <selection activeCell="P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40</v>
      </c>
      <c r="B2" s="16">
        <v>6.1316714049833021E-2</v>
      </c>
      <c r="C2" s="16">
        <v>3.5294117647058823E-2</v>
      </c>
      <c r="D2" s="16">
        <v>3.2258064516129031E-2</v>
      </c>
      <c r="E2" s="16">
        <v>2.9850746268656716E-2</v>
      </c>
      <c r="F2" s="16">
        <v>3.4883720930232558E-2</v>
      </c>
      <c r="G2" s="16">
        <v>3.015075376884422E-2</v>
      </c>
      <c r="H2" s="16">
        <v>2.0618556701030927E-2</v>
      </c>
      <c r="I2" s="9">
        <v>6.1316714049833021E-2</v>
      </c>
      <c r="J2" s="17">
        <v>6.1316714049833021E-2</v>
      </c>
      <c r="K2" s="17">
        <v>3.5294117647058823E-2</v>
      </c>
      <c r="L2" s="17">
        <v>3.2258064516129031E-2</v>
      </c>
      <c r="M2" s="17">
        <v>2.9850746268656716E-2</v>
      </c>
      <c r="N2" s="17">
        <v>3.4883720930232558E-2</v>
      </c>
      <c r="O2" s="17">
        <v>3.015075376884422E-2</v>
      </c>
      <c r="P2" s="17">
        <v>2.0618556701030927E-2</v>
      </c>
    </row>
    <row r="3" spans="1:16" x14ac:dyDescent="0.3">
      <c r="A3" s="9" t="s">
        <v>37</v>
      </c>
      <c r="B3" s="16">
        <v>8.2235657798358758E-2</v>
      </c>
      <c r="C3" s="16">
        <v>8.8235294117647065E-2</v>
      </c>
      <c r="D3" s="16">
        <v>8.0645161290322578E-2</v>
      </c>
      <c r="E3" s="16">
        <v>4.4776119402985072E-2</v>
      </c>
      <c r="F3" s="16">
        <v>7.7519379844961239E-2</v>
      </c>
      <c r="G3" s="16">
        <v>0.1306532663316583</v>
      </c>
      <c r="H3" s="16">
        <v>8.247422680412371E-2</v>
      </c>
      <c r="I3" s="9">
        <v>0.14355237184819178</v>
      </c>
      <c r="J3" s="9">
        <f t="shared" ref="J3:P7" si="0">J2+B3</f>
        <v>0.14355237184819178</v>
      </c>
      <c r="K3" s="9">
        <f t="shared" si="0"/>
        <v>0.12352941176470589</v>
      </c>
      <c r="L3" s="9">
        <f t="shared" si="0"/>
        <v>0.11290322580645161</v>
      </c>
      <c r="M3" s="9">
        <f t="shared" si="0"/>
        <v>7.4626865671641784E-2</v>
      </c>
      <c r="N3" s="9">
        <f t="shared" si="0"/>
        <v>0.1124031007751938</v>
      </c>
      <c r="O3" s="9">
        <f t="shared" si="0"/>
        <v>0.16080402010050251</v>
      </c>
      <c r="P3" s="9">
        <f t="shared" si="0"/>
        <v>0.10309278350515463</v>
      </c>
    </row>
    <row r="4" spans="1:16" x14ac:dyDescent="0.3">
      <c r="A4" s="9" t="s">
        <v>41</v>
      </c>
      <c r="B4" s="16">
        <v>0.15189511974077891</v>
      </c>
      <c r="C4" s="16">
        <v>0.13529411764705881</v>
      </c>
      <c r="D4" s="16">
        <v>0.17741935483870969</v>
      </c>
      <c r="E4" s="16">
        <v>8.9552238805970144E-2</v>
      </c>
      <c r="F4" s="16">
        <v>0.15116279069767441</v>
      </c>
      <c r="G4" s="16">
        <v>0.11557788944723618</v>
      </c>
      <c r="H4" s="16">
        <v>0.19587628865979381</v>
      </c>
      <c r="I4" s="9">
        <v>0.29544749158897066</v>
      </c>
      <c r="J4" s="9">
        <f t="shared" si="0"/>
        <v>0.29544749158897066</v>
      </c>
      <c r="K4" s="9">
        <f t="shared" si="0"/>
        <v>0.25882352941176467</v>
      </c>
      <c r="L4" s="9">
        <f t="shared" si="0"/>
        <v>0.29032258064516131</v>
      </c>
      <c r="M4" s="9">
        <f t="shared" si="0"/>
        <v>0.16417910447761191</v>
      </c>
      <c r="N4" s="9">
        <f t="shared" si="0"/>
        <v>0.26356589147286824</v>
      </c>
      <c r="O4" s="9">
        <f t="shared" si="0"/>
        <v>0.27638190954773867</v>
      </c>
      <c r="P4" s="9">
        <f t="shared" si="0"/>
        <v>0.29896907216494845</v>
      </c>
    </row>
    <row r="5" spans="1:16" x14ac:dyDescent="0.3">
      <c r="A5" s="9" t="s">
        <v>38</v>
      </c>
      <c r="B5" s="16">
        <v>0.18688003575463383</v>
      </c>
      <c r="C5" s="16">
        <v>0.22941176470588234</v>
      </c>
      <c r="D5" s="16">
        <v>0.20967741935483872</v>
      </c>
      <c r="E5" s="16">
        <v>0</v>
      </c>
      <c r="F5" s="16">
        <v>0.17829457364341086</v>
      </c>
      <c r="G5" s="16">
        <v>0.20100502512562815</v>
      </c>
      <c r="H5" s="16">
        <v>0.26804123711340205</v>
      </c>
      <c r="I5" s="9">
        <v>0.48232752734360451</v>
      </c>
      <c r="J5" s="9">
        <f t="shared" si="0"/>
        <v>0.48232752734360451</v>
      </c>
      <c r="K5" s="9">
        <f t="shared" si="0"/>
        <v>0.48823529411764699</v>
      </c>
      <c r="L5" s="9">
        <f t="shared" si="0"/>
        <v>0.5</v>
      </c>
      <c r="M5" s="9">
        <f t="shared" si="0"/>
        <v>0.16417910447761191</v>
      </c>
      <c r="N5" s="9">
        <f t="shared" si="0"/>
        <v>0.44186046511627908</v>
      </c>
      <c r="O5" s="9">
        <f t="shared" si="0"/>
        <v>0.47738693467336679</v>
      </c>
      <c r="P5" s="9">
        <f t="shared" si="0"/>
        <v>0.5670103092783505</v>
      </c>
    </row>
    <row r="6" spans="1:16" x14ac:dyDescent="0.3">
      <c r="A6" s="9" t="s">
        <v>39</v>
      </c>
      <c r="B6" s="16">
        <v>0.25699884542328272</v>
      </c>
      <c r="C6" s="16">
        <v>0.28823529411764703</v>
      </c>
      <c r="D6" s="16">
        <v>0.29032258064516131</v>
      </c>
      <c r="E6" s="16">
        <v>0.47761194029850745</v>
      </c>
      <c r="F6" s="16">
        <v>0.39534883720930231</v>
      </c>
      <c r="G6" s="16">
        <v>0.3165829145728643</v>
      </c>
      <c r="H6" s="16">
        <v>0.22680412371134021</v>
      </c>
      <c r="I6" s="9">
        <v>0.73932637276688729</v>
      </c>
      <c r="J6" s="9">
        <f t="shared" si="0"/>
        <v>0.73932637276688729</v>
      </c>
      <c r="K6" s="9">
        <f t="shared" si="0"/>
        <v>0.77647058823529402</v>
      </c>
      <c r="L6" s="9">
        <f t="shared" si="0"/>
        <v>0.79032258064516125</v>
      </c>
      <c r="M6" s="9">
        <f t="shared" si="0"/>
        <v>0.64179104477611937</v>
      </c>
      <c r="N6" s="9">
        <f t="shared" si="0"/>
        <v>0.83720930232558133</v>
      </c>
      <c r="O6" s="9">
        <f t="shared" si="0"/>
        <v>0.79396984924623104</v>
      </c>
      <c r="P6" s="9">
        <f t="shared" si="0"/>
        <v>0.79381443298969068</v>
      </c>
    </row>
    <row r="7" spans="1:16" x14ac:dyDescent="0.3">
      <c r="A7" s="9" t="s">
        <v>36</v>
      </c>
      <c r="B7" s="16">
        <v>0.26067362723311277</v>
      </c>
      <c r="C7" s="16">
        <v>0.22352941176470589</v>
      </c>
      <c r="D7" s="16">
        <v>0.20967741935483872</v>
      </c>
      <c r="E7" s="16">
        <v>0.35820895522388058</v>
      </c>
      <c r="F7" s="16">
        <v>0.16279069767441862</v>
      </c>
      <c r="G7" s="16">
        <v>0.20603015075376885</v>
      </c>
      <c r="H7" s="16">
        <v>0.20618556701030927</v>
      </c>
      <c r="I7" s="9">
        <v>1</v>
      </c>
      <c r="J7" s="9">
        <f t="shared" si="0"/>
        <v>1</v>
      </c>
      <c r="K7" s="9">
        <f t="shared" si="0"/>
        <v>0.99999999999999989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0.99999999999999989</v>
      </c>
      <c r="P7" s="9">
        <f t="shared" si="0"/>
        <v>1</v>
      </c>
    </row>
    <row r="9" spans="1:16" ht="28.8" x14ac:dyDescent="0.3">
      <c r="B9" s="1" t="s">
        <v>8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J9" s="1" t="s">
        <v>8</v>
      </c>
      <c r="K9" s="11" t="s">
        <v>71</v>
      </c>
      <c r="L9" s="11" t="s">
        <v>72</v>
      </c>
      <c r="M9" s="11" t="s">
        <v>73</v>
      </c>
      <c r="N9" s="11" t="s">
        <v>74</v>
      </c>
      <c r="O9" s="11" t="s">
        <v>75</v>
      </c>
      <c r="P9" s="11" t="s">
        <v>76</v>
      </c>
    </row>
    <row r="10" spans="1:16" x14ac:dyDescent="0.3">
      <c r="B10" s="9" t="s">
        <v>33</v>
      </c>
      <c r="C10" s="9">
        <f>C2-B2</f>
        <v>-2.6022596402774198E-2</v>
      </c>
      <c r="D10" s="9">
        <f>D2-B2</f>
        <v>-2.905864953370399E-2</v>
      </c>
      <c r="E10" s="9">
        <f>E2-B2</f>
        <v>-3.1465967781176302E-2</v>
      </c>
      <c r="F10" s="9">
        <f>F2-B2</f>
        <v>-2.6432993119600463E-2</v>
      </c>
      <c r="G10" s="9">
        <f>G2-B2</f>
        <v>-3.1165960280988801E-2</v>
      </c>
      <c r="H10" s="9">
        <f>H2-B2</f>
        <v>-4.0698157348802097E-2</v>
      </c>
      <c r="J10" s="9" t="s">
        <v>33</v>
      </c>
      <c r="K10" s="8">
        <f>(J2-0) * ((K2+0))</f>
        <v>2.1641193194058715E-3</v>
      </c>
      <c r="L10" s="8">
        <f>(J2-0) * ((L2+0))</f>
        <v>1.9779585177365491E-3</v>
      </c>
      <c r="M10" s="8">
        <f>(J2-0) * ((M2+0))</f>
        <v>1.8303496731293439E-3</v>
      </c>
      <c r="N10" s="8">
        <f>(J2-0) * ((N2+0))</f>
        <v>2.1389551412732449E-3</v>
      </c>
      <c r="O10" s="8">
        <f>(J2-0) * ((O2+0))</f>
        <v>1.8487451472311463E-3</v>
      </c>
      <c r="P10" s="8">
        <f>(J2-0) * ((P2+0))</f>
        <v>1.2642621453573819E-3</v>
      </c>
    </row>
    <row r="11" spans="1:16" x14ac:dyDescent="0.3">
      <c r="B11" s="9" t="s">
        <v>31</v>
      </c>
      <c r="C11" s="9">
        <f t="shared" ref="C11:C15" si="1">C3-B3</f>
        <v>5.9996363192883068E-3</v>
      </c>
      <c r="D11" s="9">
        <f t="shared" ref="D11:D15" si="2">D3-B3</f>
        <v>-1.5904965080361794E-3</v>
      </c>
      <c r="E11" s="9">
        <f t="shared" ref="E11:E15" si="3">E3-B3</f>
        <v>-3.7459538395373686E-2</v>
      </c>
      <c r="F11" s="9">
        <f t="shared" ref="F11:F15" si="4">F3-B3</f>
        <v>-4.7162779533975185E-3</v>
      </c>
      <c r="G11" s="9">
        <f t="shared" ref="G11:G15" si="5">G3-B3</f>
        <v>4.8417608533299544E-2</v>
      </c>
      <c r="H11" s="9">
        <f t="shared" ref="H11:H15" si="6">H3-B3</f>
        <v>2.3856900576495199E-4</v>
      </c>
      <c r="J11" s="9" t="s">
        <v>31</v>
      </c>
      <c r="K11" s="8">
        <f>(J3-J2) * ((K3+K2))</f>
        <v>1.3060957415033448E-2</v>
      </c>
      <c r="L11" s="8">
        <f>(J3-J2) * ((L3+L2))</f>
        <v>1.1937434196535947E-2</v>
      </c>
      <c r="M11" s="8">
        <f>(J3-J2) * ((M3+M2))</f>
        <v>8.5917851431121083E-3</v>
      </c>
      <c r="N11" s="8">
        <f>(J3-J2) * ((N3+N2))</f>
        <v>1.2112228667975322E-2</v>
      </c>
      <c r="O11" s="8">
        <f>(J3-J2) * ((O3+O2))</f>
        <v>1.5703291438882577E-2</v>
      </c>
      <c r="P11" s="8">
        <f>(J3-J2) * ((P3+P2))</f>
        <v>1.0173483438972217E-2</v>
      </c>
    </row>
    <row r="12" spans="1:16" x14ac:dyDescent="0.3">
      <c r="B12" s="9" t="s">
        <v>35</v>
      </c>
      <c r="C12" s="9">
        <f t="shared" si="1"/>
        <v>-1.6601002093720091E-2</v>
      </c>
      <c r="D12" s="9">
        <f t="shared" si="2"/>
        <v>2.5524235097930781E-2</v>
      </c>
      <c r="E12" s="9">
        <f t="shared" si="3"/>
        <v>-6.2342880934808761E-2</v>
      </c>
      <c r="F12" s="9">
        <f t="shared" si="4"/>
        <v>-7.3232904310449598E-4</v>
      </c>
      <c r="G12" s="9">
        <f t="shared" si="5"/>
        <v>-3.6317230293542724E-2</v>
      </c>
      <c r="H12" s="9">
        <f t="shared" si="6"/>
        <v>4.3981168919014907E-2</v>
      </c>
      <c r="J12" s="9" t="s">
        <v>35</v>
      </c>
      <c r="K12" s="8">
        <f t="shared" ref="K12:K15" si="7">(J4-J3) * ((K4+K3))</f>
        <v>5.8077545783238982E-2</v>
      </c>
      <c r="L12" s="8">
        <f t="shared" ref="L12:L15" si="8">(J4-J3) * ((L4+L3))</f>
        <v>6.1248032153539876E-2</v>
      </c>
      <c r="M12" s="8">
        <f t="shared" ref="M12:M15" si="9">(J4-J3) * ((M4+M3))</f>
        <v>3.6273461430633758E-2</v>
      </c>
      <c r="N12" s="8">
        <f t="shared" ref="N12:N15" si="10">(J4-J3) * ((N4+N3))</f>
        <v>5.7107855096339345E-2</v>
      </c>
      <c r="O12" s="8">
        <f t="shared" ref="O12:O15" si="11">(J4-J3) * ((O4+O3))</f>
        <v>6.6406409132903327E-2</v>
      </c>
      <c r="P12" s="8">
        <f t="shared" ref="P12:P15" si="12">(J4-J3) * ((P4+P3))</f>
        <v>6.1071233710210067E-2</v>
      </c>
    </row>
    <row r="13" spans="1:16" x14ac:dyDescent="0.3">
      <c r="B13" s="9" t="s">
        <v>34</v>
      </c>
      <c r="C13" s="9">
        <f t="shared" si="1"/>
        <v>4.2531728951248515E-2</v>
      </c>
      <c r="D13" s="9">
        <f t="shared" si="2"/>
        <v>2.279738360020489E-2</v>
      </c>
      <c r="E13" s="9">
        <f t="shared" si="3"/>
        <v>-0.18688003575463383</v>
      </c>
      <c r="F13" s="9">
        <f t="shared" si="4"/>
        <v>-8.5854621112229634E-3</v>
      </c>
      <c r="G13" s="9">
        <f t="shared" si="5"/>
        <v>1.4124989370994323E-2</v>
      </c>
      <c r="H13" s="9">
        <f t="shared" si="6"/>
        <v>8.1161201358768226E-2</v>
      </c>
      <c r="J13" s="9" t="s">
        <v>34</v>
      </c>
      <c r="K13" s="8">
        <f t="shared" si="7"/>
        <v>0.13961037965199116</v>
      </c>
      <c r="L13" s="8">
        <f t="shared" si="8"/>
        <v>0.14769551212866222</v>
      </c>
      <c r="M13" s="8">
        <f t="shared" si="9"/>
        <v>6.1363593829879763E-2</v>
      </c>
      <c r="N13" s="8">
        <f t="shared" si="10"/>
        <v>0.13183010274164095</v>
      </c>
      <c r="O13" s="8">
        <f t="shared" si="11"/>
        <v>0.14086434855876923</v>
      </c>
      <c r="P13" s="8">
        <f t="shared" si="12"/>
        <v>0.16183425776689941</v>
      </c>
    </row>
    <row r="14" spans="1:16" x14ac:dyDescent="0.3">
      <c r="B14" s="9" t="s">
        <v>32</v>
      </c>
      <c r="C14" s="9">
        <f t="shared" si="1"/>
        <v>3.1236448694364316E-2</v>
      </c>
      <c r="D14" s="9">
        <f t="shared" si="2"/>
        <v>3.3323735221878592E-2</v>
      </c>
      <c r="E14" s="9">
        <f t="shared" si="3"/>
        <v>0.22061309487522474</v>
      </c>
      <c r="F14" s="9">
        <f t="shared" si="4"/>
        <v>0.13834999178601959</v>
      </c>
      <c r="G14" s="9">
        <f t="shared" si="5"/>
        <v>5.9584069149581587E-2</v>
      </c>
      <c r="H14" s="9">
        <f t="shared" si="6"/>
        <v>-3.0194721711942513E-2</v>
      </c>
      <c r="J14" s="9" t="s">
        <v>32</v>
      </c>
      <c r="K14" s="8">
        <f t="shared" si="7"/>
        <v>0.32502795156473996</v>
      </c>
      <c r="L14" s="8">
        <f t="shared" si="8"/>
        <v>0.3316114134493971</v>
      </c>
      <c r="M14" s="8">
        <f t="shared" si="9"/>
        <v>0.20713339780383982</v>
      </c>
      <c r="N14" s="8">
        <f t="shared" si="10"/>
        <v>0.32871945344838494</v>
      </c>
      <c r="O14" s="8">
        <f t="shared" si="11"/>
        <v>0.32673722558839463</v>
      </c>
      <c r="P14" s="8">
        <f t="shared" si="12"/>
        <v>0.34973038758632297</v>
      </c>
    </row>
    <row r="15" spans="1:16" x14ac:dyDescent="0.3">
      <c r="B15" s="9" t="s">
        <v>30</v>
      </c>
      <c r="C15" s="9">
        <f t="shared" si="1"/>
        <v>-3.7144215468406877E-2</v>
      </c>
      <c r="D15" s="9">
        <f t="shared" si="2"/>
        <v>-5.0996207878274052E-2</v>
      </c>
      <c r="E15" s="9">
        <f t="shared" si="3"/>
        <v>9.7535327990767806E-2</v>
      </c>
      <c r="F15" s="9">
        <f t="shared" si="4"/>
        <v>-9.7882929558694154E-2</v>
      </c>
      <c r="G15" s="9">
        <f t="shared" si="5"/>
        <v>-5.4643476479343922E-2</v>
      </c>
      <c r="H15" s="9">
        <f t="shared" si="6"/>
        <v>-5.4488060222803503E-2</v>
      </c>
      <c r="J15" s="9" t="s">
        <v>30</v>
      </c>
      <c r="K15" s="8">
        <f t="shared" si="7"/>
        <v>0.46307903190823552</v>
      </c>
      <c r="L15" s="8">
        <f t="shared" si="8"/>
        <v>0.46668988101412112</v>
      </c>
      <c r="M15" s="8">
        <f t="shared" si="9"/>
        <v>0.42797162680063278</v>
      </c>
      <c r="N15" s="8">
        <f t="shared" si="10"/>
        <v>0.47891201282362567</v>
      </c>
      <c r="O15" s="8">
        <f t="shared" si="11"/>
        <v>0.46764062774985538</v>
      </c>
      <c r="P15" s="8">
        <f t="shared" si="12"/>
        <v>0.46760011483053204</v>
      </c>
    </row>
    <row r="16" spans="1:16" x14ac:dyDescent="0.3">
      <c r="J16" s="13" t="s">
        <v>77</v>
      </c>
      <c r="K16" s="11">
        <f>SUM(K10:K15)</f>
        <v>1.0010199856426449</v>
      </c>
      <c r="L16" s="11">
        <f t="shared" ref="L16:P16" si="13">SUM(L10:L15)</f>
        <v>1.0211602314599928</v>
      </c>
      <c r="M16" s="11">
        <f t="shared" si="13"/>
        <v>0.74316421468122762</v>
      </c>
      <c r="N16" s="11">
        <f t="shared" si="13"/>
        <v>1.0108206079192394</v>
      </c>
      <c r="O16" s="11">
        <f t="shared" si="13"/>
        <v>1.0192006476160365</v>
      </c>
      <c r="P16" s="11">
        <f t="shared" si="13"/>
        <v>1.051673739478294</v>
      </c>
    </row>
    <row r="17" spans="10:16" x14ac:dyDescent="0.3">
      <c r="J17" s="14" t="s">
        <v>78</v>
      </c>
      <c r="K17" s="12">
        <f>1-K16</f>
        <v>-1.0199856426449383E-3</v>
      </c>
      <c r="L17" s="12">
        <f t="shared" ref="L17:P17" si="14">1-L16</f>
        <v>-2.1160231459992795E-2</v>
      </c>
      <c r="M17" s="12">
        <f t="shared" si="14"/>
        <v>0.25683578531877238</v>
      </c>
      <c r="N17" s="12">
        <f t="shared" si="14"/>
        <v>-1.0820607919239444E-2</v>
      </c>
      <c r="O17" s="12">
        <f t="shared" si="14"/>
        <v>-1.9200647616036459E-2</v>
      </c>
      <c r="P17" s="12">
        <f t="shared" si="14"/>
        <v>-5.1673739478294012E-2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D966-AC5E-4C1E-A953-52DA4DF6E2E4}">
  <dimension ref="A1:P12"/>
  <sheetViews>
    <sheetView zoomScale="96" workbookViewId="0">
      <selection activeCell="P2" sqref="J2:P2"/>
    </sheetView>
  </sheetViews>
  <sheetFormatPr defaultRowHeight="14.4" x14ac:dyDescent="0.3"/>
  <cols>
    <col min="1" max="1" width="11.6640625" customWidth="1"/>
  </cols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44</v>
      </c>
      <c r="B2" s="16">
        <v>0.12864177872139657</v>
      </c>
      <c r="C2" s="16">
        <v>0.23076923076923078</v>
      </c>
      <c r="D2" s="16">
        <v>0.05</v>
      </c>
      <c r="E2" s="16">
        <v>0.11594202898550725</v>
      </c>
      <c r="F2" s="16">
        <v>8.6419753086419748E-2</v>
      </c>
      <c r="G2" s="16">
        <v>0.1650485436893204</v>
      </c>
      <c r="H2" s="16">
        <v>0.15384615384615385</v>
      </c>
      <c r="I2" s="15">
        <v>0.12864177872139657</v>
      </c>
      <c r="J2" s="17">
        <v>0.12864177872139657</v>
      </c>
      <c r="K2" s="17">
        <v>0.23076923076923078</v>
      </c>
      <c r="L2" s="17">
        <v>0.05</v>
      </c>
      <c r="M2" s="17">
        <v>0.11594202898550725</v>
      </c>
      <c r="N2" s="17">
        <v>8.6419753086419748E-2</v>
      </c>
      <c r="O2" s="17">
        <v>0.1650485436893204</v>
      </c>
      <c r="P2" s="17">
        <v>0.15384615384615385</v>
      </c>
    </row>
    <row r="3" spans="1:16" x14ac:dyDescent="0.3">
      <c r="A3" s="9" t="s">
        <v>43</v>
      </c>
      <c r="B3" s="16">
        <v>0.27300070771408352</v>
      </c>
      <c r="C3" s="16">
        <v>0.27692307692307694</v>
      </c>
      <c r="D3" s="16">
        <v>0.1</v>
      </c>
      <c r="E3" s="16">
        <v>0.28985507246376813</v>
      </c>
      <c r="F3" s="16">
        <v>0.25308641975308643</v>
      </c>
      <c r="G3" s="16">
        <v>0.29126213592233008</v>
      </c>
      <c r="H3" s="16">
        <v>3.8461538461538464E-2</v>
      </c>
      <c r="I3" s="15">
        <v>0.40164248643548006</v>
      </c>
      <c r="J3" s="9">
        <f t="shared" ref="J3:P4" si="0">J2+B3</f>
        <v>0.40164248643548006</v>
      </c>
      <c r="K3" s="9">
        <f t="shared" si="0"/>
        <v>0.50769230769230766</v>
      </c>
      <c r="L3" s="9">
        <f t="shared" si="0"/>
        <v>0.15000000000000002</v>
      </c>
      <c r="M3" s="9">
        <f t="shared" si="0"/>
        <v>0.40579710144927539</v>
      </c>
      <c r="N3" s="9">
        <f t="shared" si="0"/>
        <v>0.33950617283950618</v>
      </c>
      <c r="O3" s="9">
        <f t="shared" si="0"/>
        <v>0.4563106796116505</v>
      </c>
      <c r="P3" s="9">
        <f t="shared" si="0"/>
        <v>0.19230769230769232</v>
      </c>
    </row>
    <row r="4" spans="1:16" x14ac:dyDescent="0.3">
      <c r="A4" s="9" t="s">
        <v>42</v>
      </c>
      <c r="B4" s="16">
        <v>0.59835751356451994</v>
      </c>
      <c r="C4" s="16">
        <v>0.49230769230769234</v>
      </c>
      <c r="D4" s="16">
        <v>0.85</v>
      </c>
      <c r="E4" s="16">
        <v>0.59420289855072461</v>
      </c>
      <c r="F4" s="16">
        <v>0.66049382716049387</v>
      </c>
      <c r="G4" s="16">
        <v>0.5436893203883495</v>
      </c>
      <c r="H4" s="16">
        <v>0.80769230769230771</v>
      </c>
      <c r="I4" s="15">
        <v>1</v>
      </c>
      <c r="J4" s="9">
        <f t="shared" si="0"/>
        <v>1</v>
      </c>
      <c r="K4" s="9">
        <f t="shared" si="0"/>
        <v>1</v>
      </c>
      <c r="L4" s="9">
        <f t="shared" si="0"/>
        <v>1</v>
      </c>
      <c r="M4" s="9">
        <f t="shared" si="0"/>
        <v>1</v>
      </c>
      <c r="N4" s="9">
        <f t="shared" si="0"/>
        <v>1</v>
      </c>
      <c r="O4" s="9">
        <f t="shared" si="0"/>
        <v>1</v>
      </c>
      <c r="P4" s="9">
        <f t="shared" si="0"/>
        <v>1</v>
      </c>
    </row>
    <row r="7" spans="1:16" ht="28.8" x14ac:dyDescent="0.3">
      <c r="B7" s="1" t="s">
        <v>8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J7" s="8"/>
      <c r="K7" s="11" t="s">
        <v>71</v>
      </c>
      <c r="L7" s="11" t="s">
        <v>72</v>
      </c>
      <c r="M7" s="11" t="s">
        <v>73</v>
      </c>
      <c r="N7" s="11" t="s">
        <v>74</v>
      </c>
      <c r="O7" s="11" t="s">
        <v>75</v>
      </c>
      <c r="P7" s="11" t="s">
        <v>76</v>
      </c>
    </row>
    <row r="8" spans="1:16" x14ac:dyDescent="0.3">
      <c r="B8" s="9" t="s">
        <v>44</v>
      </c>
      <c r="C8" s="9">
        <f>C2-B2</f>
        <v>0.10212745204783422</v>
      </c>
      <c r="D8" s="9">
        <f>D2-B2</f>
        <v>-7.8641778721396563E-2</v>
      </c>
      <c r="E8" s="9">
        <f>E2-B2</f>
        <v>-1.2699749735889318E-2</v>
      </c>
      <c r="F8" s="9">
        <f>F2-B2</f>
        <v>-4.2222025634976817E-2</v>
      </c>
      <c r="G8" s="9">
        <f>G2-B2</f>
        <v>3.6406764967923833E-2</v>
      </c>
      <c r="H8" s="9">
        <f>H2-B2</f>
        <v>2.5204375124757289E-2</v>
      </c>
      <c r="J8" s="9" t="s">
        <v>44</v>
      </c>
      <c r="K8" s="8">
        <f>($J2-0) * ((K2+0))</f>
        <v>2.9686564320322285E-2</v>
      </c>
      <c r="L8" s="8">
        <f t="shared" ref="L8:P8" si="1">($J2-0) * ((L2+0))</f>
        <v>6.4320889360698283E-3</v>
      </c>
      <c r="M8" s="8">
        <f t="shared" si="1"/>
        <v>1.491498883726337E-2</v>
      </c>
      <c r="N8" s="8">
        <f t="shared" si="1"/>
        <v>1.1117190753700937E-2</v>
      </c>
      <c r="O8" s="8">
        <f t="shared" si="1"/>
        <v>2.1232138235570307E-2</v>
      </c>
      <c r="P8" s="8">
        <f t="shared" si="1"/>
        <v>1.9791042880214858E-2</v>
      </c>
    </row>
    <row r="9" spans="1:16" x14ac:dyDescent="0.3">
      <c r="B9" s="9" t="s">
        <v>43</v>
      </c>
      <c r="C9" s="9">
        <f t="shared" ref="C9:C10" si="2">C3-B3</f>
        <v>3.9223692089934148E-3</v>
      </c>
      <c r="D9" s="9">
        <f t="shared" ref="D9:D10" si="3">D3-B3</f>
        <v>-0.17300070771408352</v>
      </c>
      <c r="E9" s="9">
        <f t="shared" ref="E9:E10" si="4">E3-B3</f>
        <v>1.6854364749684603E-2</v>
      </c>
      <c r="F9" s="9">
        <f t="shared" ref="F9:F10" si="5">F3-B3</f>
        <v>-1.991428796099709E-2</v>
      </c>
      <c r="G9" s="9">
        <f t="shared" ref="G9:G10" si="6">G3-B3</f>
        <v>1.8261428208246555E-2</v>
      </c>
      <c r="H9" s="9">
        <f t="shared" ref="H9:H10" si="7">H3-B3</f>
        <v>-0.23453916925254506</v>
      </c>
      <c r="J9" s="9" t="s">
        <v>43</v>
      </c>
      <c r="K9" s="8">
        <f>($J3-$J2) * ((K3+K2))</f>
        <v>0.20160052261963088</v>
      </c>
      <c r="L9" s="8">
        <f t="shared" ref="L9:P10" si="8">($J3-$J2) * ((L3+L2))</f>
        <v>5.4600141542816699E-2</v>
      </c>
      <c r="M9" s="8">
        <f t="shared" si="8"/>
        <v>0.14243515185082614</v>
      </c>
      <c r="N9" s="8">
        <f t="shared" si="8"/>
        <v>0.11627807921155407</v>
      </c>
      <c r="O9" s="8">
        <f t="shared" si="8"/>
        <v>0.16963150770583829</v>
      </c>
      <c r="P9" s="8">
        <f t="shared" si="8"/>
        <v>9.4500244977951967E-2</v>
      </c>
    </row>
    <row r="10" spans="1:16" x14ac:dyDescent="0.3">
      <c r="B10" s="9" t="s">
        <v>42</v>
      </c>
      <c r="C10" s="9">
        <f t="shared" si="2"/>
        <v>-0.1060498212568276</v>
      </c>
      <c r="D10" s="9">
        <f t="shared" si="3"/>
        <v>0.25164248643548004</v>
      </c>
      <c r="E10" s="9">
        <f t="shared" si="4"/>
        <v>-4.1546150137953264E-3</v>
      </c>
      <c r="F10" s="9">
        <f t="shared" si="5"/>
        <v>6.2136313595973935E-2</v>
      </c>
      <c r="G10" s="9">
        <f t="shared" si="6"/>
        <v>-5.4668193176170443E-2</v>
      </c>
      <c r="H10" s="9">
        <f t="shared" si="7"/>
        <v>0.20933479412778777</v>
      </c>
      <c r="J10" s="9" t="s">
        <v>42</v>
      </c>
      <c r="K10" s="8">
        <f>($J4-$J3) * ((K4+K3))</f>
        <v>0.90213902045112238</v>
      </c>
      <c r="L10" s="8">
        <f t="shared" si="8"/>
        <v>0.68811114059919787</v>
      </c>
      <c r="M10" s="8">
        <f t="shared" si="8"/>
        <v>0.84116925819939758</v>
      </c>
      <c r="N10" s="8">
        <f t="shared" si="8"/>
        <v>0.80150358298457303</v>
      </c>
      <c r="O10" s="8">
        <f t="shared" si="8"/>
        <v>0.87139443722988341</v>
      </c>
      <c r="P10" s="8">
        <f t="shared" si="8"/>
        <v>0.71342626617308147</v>
      </c>
    </row>
    <row r="11" spans="1:16" x14ac:dyDescent="0.3">
      <c r="J11" s="13" t="s">
        <v>77</v>
      </c>
      <c r="K11" s="11">
        <f>SUM(K8:K10)</f>
        <v>1.1334261073910756</v>
      </c>
      <c r="L11" s="11">
        <f t="shared" ref="L11:P11" si="9">SUM(L8:L10)</f>
        <v>0.74914337107808437</v>
      </c>
      <c r="M11" s="11">
        <f t="shared" si="9"/>
        <v>0.99851939888748709</v>
      </c>
      <c r="N11" s="11">
        <f t="shared" si="9"/>
        <v>0.9288988529498281</v>
      </c>
      <c r="O11" s="11">
        <f t="shared" si="9"/>
        <v>1.062258083171292</v>
      </c>
      <c r="P11" s="11">
        <f t="shared" si="9"/>
        <v>0.82771755403124825</v>
      </c>
    </row>
    <row r="12" spans="1:16" x14ac:dyDescent="0.3">
      <c r="J12" s="14" t="s">
        <v>78</v>
      </c>
      <c r="K12" s="12">
        <f>1-K11</f>
        <v>-0.13342610739107563</v>
      </c>
      <c r="L12" s="12">
        <f t="shared" ref="L12:P12" si="10">1-L11</f>
        <v>0.25085662892191563</v>
      </c>
      <c r="M12" s="12">
        <f t="shared" si="10"/>
        <v>1.4806011125129137E-3</v>
      </c>
      <c r="N12" s="12">
        <f t="shared" si="10"/>
        <v>7.1101147050171898E-2</v>
      </c>
      <c r="O12" s="12">
        <f t="shared" si="10"/>
        <v>-6.2258083171292E-2</v>
      </c>
      <c r="P12" s="12">
        <f t="shared" si="10"/>
        <v>0.17228244596875175</v>
      </c>
    </row>
  </sheetData>
  <sortState xmlns:xlrd2="http://schemas.microsoft.com/office/spreadsheetml/2017/richdata2" ref="A2:P5">
    <sortCondition ref="B1:B5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ADD4-1AED-4148-B757-0594A39DC605}">
  <dimension ref="A1:P13"/>
  <sheetViews>
    <sheetView workbookViewId="0">
      <selection activeCell="P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47</v>
      </c>
      <c r="B2" s="16">
        <v>9.7988442226923933E-2</v>
      </c>
      <c r="C2" s="16">
        <v>0.11578947368421053</v>
      </c>
      <c r="D2" s="16">
        <v>7.3170731707317069E-2</v>
      </c>
      <c r="E2" s="16">
        <v>3.0303030303030304E-2</v>
      </c>
      <c r="F2" s="16">
        <v>0.10377358490566038</v>
      </c>
      <c r="G2" s="16">
        <v>0.11475409836065574</v>
      </c>
      <c r="H2" s="16">
        <v>0.1891891891891892</v>
      </c>
      <c r="I2" s="9">
        <v>9.7988442226923933E-2</v>
      </c>
      <c r="J2" s="17">
        <v>9.7988442226923933E-2</v>
      </c>
      <c r="K2" s="17">
        <v>0.11578947368421053</v>
      </c>
      <c r="L2" s="17">
        <v>7.3170731707317069E-2</v>
      </c>
      <c r="M2" s="17">
        <v>3.0303030303030304E-2</v>
      </c>
      <c r="N2" s="17">
        <v>0.10377358490566038</v>
      </c>
      <c r="O2" s="17">
        <v>0.11475409836065574</v>
      </c>
      <c r="P2" s="17">
        <v>0.1891891891891892</v>
      </c>
    </row>
    <row r="3" spans="1:16" x14ac:dyDescent="0.3">
      <c r="A3" s="9" t="s">
        <v>48</v>
      </c>
      <c r="B3" s="16">
        <v>0.20383995957937284</v>
      </c>
      <c r="C3" s="16">
        <v>0.23157894736842105</v>
      </c>
      <c r="D3" s="16">
        <v>0.34146341463414637</v>
      </c>
      <c r="E3" s="16">
        <v>0.36363636363636365</v>
      </c>
      <c r="F3" s="16">
        <v>0.13207547169811321</v>
      </c>
      <c r="G3" s="16">
        <v>0.14754098360655737</v>
      </c>
      <c r="H3" s="16">
        <v>8.1081081081081086E-2</v>
      </c>
      <c r="I3" s="9">
        <v>0.30182840180629678</v>
      </c>
      <c r="J3" s="9">
        <f>J2+B3</f>
        <v>0.30182840180629678</v>
      </c>
      <c r="K3" s="9">
        <f t="shared" ref="K3:P5" si="0">K2+C3</f>
        <v>0.34736842105263155</v>
      </c>
      <c r="L3" s="9">
        <f t="shared" si="0"/>
        <v>0.41463414634146345</v>
      </c>
      <c r="M3" s="9">
        <f t="shared" si="0"/>
        <v>0.39393939393939392</v>
      </c>
      <c r="N3" s="9">
        <f t="shared" si="0"/>
        <v>0.23584905660377359</v>
      </c>
      <c r="O3" s="9">
        <f t="shared" si="0"/>
        <v>0.26229508196721313</v>
      </c>
      <c r="P3" s="9">
        <f t="shared" si="0"/>
        <v>0.27027027027027029</v>
      </c>
    </row>
    <row r="4" spans="1:16" x14ac:dyDescent="0.3">
      <c r="A4" s="9" t="s">
        <v>45</v>
      </c>
      <c r="B4" s="16">
        <v>0.32124925000789467</v>
      </c>
      <c r="C4" s="16">
        <v>0.44210526315789472</v>
      </c>
      <c r="D4" s="16">
        <v>0.41463414634146339</v>
      </c>
      <c r="E4" s="16">
        <v>0.5757575757575758</v>
      </c>
      <c r="F4" s="16">
        <v>0.43396226415094341</v>
      </c>
      <c r="G4" s="16">
        <v>0.24590163934426229</v>
      </c>
      <c r="H4" s="16">
        <v>0.32432432432432434</v>
      </c>
      <c r="I4" s="9">
        <v>0.62307765181419139</v>
      </c>
      <c r="J4" s="9">
        <f t="shared" ref="J4:J5" si="1">J3+B4</f>
        <v>0.62307765181419139</v>
      </c>
      <c r="K4" s="9">
        <f t="shared" si="0"/>
        <v>0.78947368421052633</v>
      </c>
      <c r="L4" s="9">
        <f t="shared" si="0"/>
        <v>0.8292682926829269</v>
      </c>
      <c r="M4" s="9">
        <f t="shared" si="0"/>
        <v>0.96969696969696972</v>
      </c>
      <c r="N4" s="9">
        <f t="shared" si="0"/>
        <v>0.66981132075471694</v>
      </c>
      <c r="O4" s="9">
        <f t="shared" si="0"/>
        <v>0.50819672131147542</v>
      </c>
      <c r="P4" s="9">
        <f t="shared" si="0"/>
        <v>0.59459459459459463</v>
      </c>
    </row>
    <row r="5" spans="1:16" x14ac:dyDescent="0.3">
      <c r="A5" s="9" t="s">
        <v>46</v>
      </c>
      <c r="B5" s="16">
        <v>0.37692234818580855</v>
      </c>
      <c r="C5" s="16">
        <v>0.21052631578947367</v>
      </c>
      <c r="D5" s="16">
        <v>0.17073170731707318</v>
      </c>
      <c r="E5" s="16">
        <v>3.0303030303030304E-2</v>
      </c>
      <c r="F5" s="16">
        <v>0.330188679245283</v>
      </c>
      <c r="G5" s="16">
        <v>0.49180327868852458</v>
      </c>
      <c r="H5" s="16">
        <v>0.40540540540540543</v>
      </c>
      <c r="I5" s="9">
        <v>1</v>
      </c>
      <c r="J5" s="9">
        <f t="shared" si="1"/>
        <v>1</v>
      </c>
      <c r="K5" s="9">
        <f t="shared" si="0"/>
        <v>1</v>
      </c>
      <c r="L5" s="9">
        <f t="shared" si="0"/>
        <v>1</v>
      </c>
      <c r="M5" s="9">
        <f t="shared" si="0"/>
        <v>1</v>
      </c>
      <c r="N5" s="9">
        <f t="shared" si="0"/>
        <v>1</v>
      </c>
      <c r="O5" s="9">
        <f t="shared" si="0"/>
        <v>1</v>
      </c>
      <c r="P5" s="9">
        <f t="shared" si="0"/>
        <v>1</v>
      </c>
    </row>
    <row r="7" spans="1:16" ht="28.8" x14ac:dyDescent="0.3">
      <c r="B7" s="1" t="s">
        <v>8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J7" s="8"/>
      <c r="K7" s="11" t="s">
        <v>71</v>
      </c>
      <c r="L7" s="11" t="s">
        <v>72</v>
      </c>
      <c r="M7" s="11" t="s">
        <v>73</v>
      </c>
      <c r="N7" s="11" t="s">
        <v>74</v>
      </c>
      <c r="O7" s="11" t="s">
        <v>75</v>
      </c>
      <c r="P7" s="11" t="s">
        <v>76</v>
      </c>
    </row>
    <row r="8" spans="1:16" x14ac:dyDescent="0.3">
      <c r="B8" s="9" t="s">
        <v>47</v>
      </c>
      <c r="C8" s="9">
        <f>C2-B2</f>
        <v>1.7801031457286592E-2</v>
      </c>
      <c r="D8" s="9">
        <f>D2-B2</f>
        <v>-2.4817710519606864E-2</v>
      </c>
      <c r="E8" s="9">
        <f>E2-B2</f>
        <v>-6.7685411923893629E-2</v>
      </c>
      <c r="F8" s="9">
        <f>F2-B2</f>
        <v>5.7851426787364491E-3</v>
      </c>
      <c r="G8" s="9">
        <f>G2-B2</f>
        <v>1.6765656133731807E-2</v>
      </c>
      <c r="H8" s="9">
        <f>H2-B2</f>
        <v>9.1200746962265267E-2</v>
      </c>
      <c r="J8" s="9" t="s">
        <v>47</v>
      </c>
      <c r="K8" s="8">
        <f>($J2-0) * ((K2+0))</f>
        <v>1.1346030152591191E-2</v>
      </c>
      <c r="L8" s="8">
        <f t="shared" ref="L8:P8" si="2">($J2-0) * ((L2+0))</f>
        <v>7.1698860166041897E-3</v>
      </c>
      <c r="M8" s="8">
        <f t="shared" si="2"/>
        <v>2.9693467341492101E-3</v>
      </c>
      <c r="N8" s="8">
        <f t="shared" si="2"/>
        <v>1.0168611929209087E-2</v>
      </c>
      <c r="O8" s="8">
        <f t="shared" si="2"/>
        <v>1.1244575337515862E-2</v>
      </c>
      <c r="P8" s="8">
        <f t="shared" si="2"/>
        <v>1.8538353934823448E-2</v>
      </c>
    </row>
    <row r="9" spans="1:16" x14ac:dyDescent="0.3">
      <c r="B9" s="9" t="s">
        <v>48</v>
      </c>
      <c r="C9" s="9">
        <f t="shared" ref="C9:C11" si="3">C3-B3</f>
        <v>2.7738987789048208E-2</v>
      </c>
      <c r="D9" s="9">
        <f t="shared" ref="D9:D11" si="4">D3-B3</f>
        <v>0.13762345505477352</v>
      </c>
      <c r="E9" s="9">
        <f t="shared" ref="E9:E11" si="5">E3-B3</f>
        <v>0.1597964040569908</v>
      </c>
      <c r="F9" s="9">
        <f t="shared" ref="F9:F11" si="6">F3-B3</f>
        <v>-7.1764487881259637E-2</v>
      </c>
      <c r="G9" s="9">
        <f t="shared" ref="G9:G11" si="7">G3-B3</f>
        <v>-5.6298975972815468E-2</v>
      </c>
      <c r="H9" s="9">
        <f t="shared" ref="H9:H11" si="8">H3-B3</f>
        <v>-0.12275887849829176</v>
      </c>
      <c r="J9" s="9" t="s">
        <v>48</v>
      </c>
      <c r="K9" s="8">
        <f>($J3-$J2) * ((K3+K2))</f>
        <v>9.4410086542025318E-2</v>
      </c>
      <c r="L9" s="8">
        <f t="shared" ref="L9:P9" si="9">($J3-$J2) * ((L3+L2))</f>
        <v>9.9434126624084324E-2</v>
      </c>
      <c r="M9" s="8">
        <f t="shared" si="9"/>
        <v>8.6477558609430891E-2</v>
      </c>
      <c r="N9" s="8">
        <f t="shared" si="9"/>
        <v>6.9228665517522853E-2</v>
      </c>
      <c r="O9" s="8">
        <f t="shared" si="9"/>
        <v>7.6857689677468449E-2</v>
      </c>
      <c r="P9" s="8">
        <f t="shared" si="9"/>
        <v>9.3656197644576722E-2</v>
      </c>
    </row>
    <row r="10" spans="1:16" x14ac:dyDescent="0.3">
      <c r="B10" s="9" t="s">
        <v>45</v>
      </c>
      <c r="C10" s="9">
        <f t="shared" si="3"/>
        <v>0.12085601315000005</v>
      </c>
      <c r="D10" s="9">
        <f t="shared" si="4"/>
        <v>9.3384896333568723E-2</v>
      </c>
      <c r="E10" s="9">
        <f t="shared" si="5"/>
        <v>0.25450832574968113</v>
      </c>
      <c r="F10" s="9">
        <f t="shared" si="6"/>
        <v>0.11271301414304874</v>
      </c>
      <c r="G10" s="9">
        <f t="shared" si="7"/>
        <v>-7.5347610663632381E-2</v>
      </c>
      <c r="H10" s="9">
        <f t="shared" si="8"/>
        <v>3.0750743164296712E-3</v>
      </c>
      <c r="J10" s="9" t="s">
        <v>45</v>
      </c>
      <c r="K10" s="8">
        <f t="shared" ref="K10:P11" si="10">($J4-$J3) * ((K4+K3))</f>
        <v>0.36520967369318547</v>
      </c>
      <c r="L10" s="8">
        <f t="shared" si="10"/>
        <v>0.39960272561957627</v>
      </c>
      <c r="M10" s="8">
        <f t="shared" si="10"/>
        <v>0.43806715910167454</v>
      </c>
      <c r="N10" s="8">
        <f t="shared" si="10"/>
        <v>0.29094271698828195</v>
      </c>
      <c r="O10" s="8">
        <f t="shared" si="10"/>
        <v>0.24751991394050896</v>
      </c>
      <c r="P10" s="8">
        <f t="shared" si="10"/>
        <v>0.27783718919601696</v>
      </c>
    </row>
    <row r="11" spans="1:16" x14ac:dyDescent="0.3">
      <c r="B11" s="9" t="s">
        <v>46</v>
      </c>
      <c r="C11" s="9">
        <f t="shared" si="3"/>
        <v>-0.16639603239633488</v>
      </c>
      <c r="D11" s="9">
        <f t="shared" si="4"/>
        <v>-0.20619064086873537</v>
      </c>
      <c r="E11" s="9">
        <f t="shared" si="5"/>
        <v>-0.34661931788277822</v>
      </c>
      <c r="F11" s="9">
        <f t="shared" si="6"/>
        <v>-4.6733668940525552E-2</v>
      </c>
      <c r="G11" s="9">
        <f t="shared" si="7"/>
        <v>0.11488093050271603</v>
      </c>
      <c r="H11" s="9">
        <f t="shared" si="8"/>
        <v>2.8483057219596875E-2</v>
      </c>
      <c r="J11" s="9" t="s">
        <v>46</v>
      </c>
      <c r="K11" s="8">
        <f t="shared" si="10"/>
        <v>0.67449262306934177</v>
      </c>
      <c r="L11" s="8">
        <f t="shared" si="10"/>
        <v>0.68949210033989383</v>
      </c>
      <c r="M11" s="8">
        <f t="shared" si="10"/>
        <v>0.74242280703265329</v>
      </c>
      <c r="N11" s="8">
        <f t="shared" si="10"/>
        <v>0.62938920404611431</v>
      </c>
      <c r="O11" s="8">
        <f t="shared" si="10"/>
        <v>0.56847304972285884</v>
      </c>
      <c r="P11" s="8">
        <f t="shared" si="10"/>
        <v>0.60103833899899217</v>
      </c>
    </row>
    <row r="12" spans="1:16" x14ac:dyDescent="0.3">
      <c r="J12" s="13" t="s">
        <v>77</v>
      </c>
      <c r="K12" s="11">
        <f>SUM(K8:K11)</f>
        <v>1.1454584134571437</v>
      </c>
      <c r="L12" s="11">
        <f t="shared" ref="L12:P12" si="11">SUM(L8:L11)</f>
        <v>1.1956988386001586</v>
      </c>
      <c r="M12" s="11">
        <f t="shared" si="11"/>
        <v>1.269936871477908</v>
      </c>
      <c r="N12" s="11">
        <f t="shared" si="11"/>
        <v>0.99972919848112818</v>
      </c>
      <c r="O12" s="11">
        <f t="shared" si="11"/>
        <v>0.90409522867835213</v>
      </c>
      <c r="P12" s="11">
        <f t="shared" si="11"/>
        <v>0.99107007977440931</v>
      </c>
    </row>
    <row r="13" spans="1:16" x14ac:dyDescent="0.3">
      <c r="J13" s="14" t="s">
        <v>78</v>
      </c>
      <c r="K13" s="12">
        <f>1-K12</f>
        <v>-0.14545841345714372</v>
      </c>
      <c r="L13" s="12">
        <f t="shared" ref="L13:P13" si="12">1-L12</f>
        <v>-0.19569883860015858</v>
      </c>
      <c r="M13" s="12">
        <f t="shared" si="12"/>
        <v>-0.26993687147790801</v>
      </c>
      <c r="N13" s="12">
        <f t="shared" si="12"/>
        <v>2.7080151887182158E-4</v>
      </c>
      <c r="O13" s="12">
        <f t="shared" si="12"/>
        <v>9.5904771321647875E-2</v>
      </c>
      <c r="P13" s="12">
        <f t="shared" si="12"/>
        <v>8.9299202255906929E-3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3BF9-3396-42DC-8C02-73E48AA99A41}">
  <dimension ref="A1:P15"/>
  <sheetViews>
    <sheetView workbookViewId="0">
      <selection activeCell="P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52</v>
      </c>
      <c r="B2" s="16">
        <v>0.10556070576435009</v>
      </c>
      <c r="C2" s="16">
        <v>4.7619047619047616E-2</v>
      </c>
      <c r="D2" s="16">
        <v>4.1666666666666664E-2</v>
      </c>
      <c r="E2" s="16">
        <v>4.5454545454545456E-2</v>
      </c>
      <c r="F2" s="16">
        <v>7.0422535211267609E-2</v>
      </c>
      <c r="G2" s="16">
        <v>0.1402439024390244</v>
      </c>
      <c r="H2" s="16">
        <v>0.12048192771084337</v>
      </c>
      <c r="I2" s="9">
        <v>0.10556070576435009</v>
      </c>
      <c r="J2" s="17">
        <v>0.10556070576435009</v>
      </c>
      <c r="K2" s="17">
        <v>4.7619047619047616E-2</v>
      </c>
      <c r="L2" s="17">
        <v>4.1666666666666664E-2</v>
      </c>
      <c r="M2" s="17">
        <v>4.5454545454545456E-2</v>
      </c>
      <c r="N2" s="17">
        <v>7.0422535211267609E-2</v>
      </c>
      <c r="O2" s="17">
        <v>0.1402439024390244</v>
      </c>
      <c r="P2" s="17">
        <v>0.12048192771084337</v>
      </c>
    </row>
    <row r="3" spans="1:16" x14ac:dyDescent="0.3">
      <c r="A3" s="9" t="s">
        <v>51</v>
      </c>
      <c r="B3" s="16">
        <v>0.14391878542879288</v>
      </c>
      <c r="C3" s="16">
        <v>0.14285714285714285</v>
      </c>
      <c r="D3" s="16">
        <v>0.16666666666666666</v>
      </c>
      <c r="E3" s="16">
        <v>0.27272727272727271</v>
      </c>
      <c r="F3" s="16">
        <v>0.13615023474178403</v>
      </c>
      <c r="G3" s="16">
        <v>0.23780487804878048</v>
      </c>
      <c r="H3" s="16">
        <v>0.15662650602409639</v>
      </c>
      <c r="I3" s="9">
        <v>0.24947949119314297</v>
      </c>
      <c r="J3" s="9">
        <f t="shared" ref="J3:P6" si="0">J2+B3</f>
        <v>0.24947949119314297</v>
      </c>
      <c r="K3" s="9">
        <f t="shared" si="0"/>
        <v>0.19047619047619047</v>
      </c>
      <c r="L3" s="9">
        <f t="shared" si="0"/>
        <v>0.20833333333333331</v>
      </c>
      <c r="M3" s="9">
        <f t="shared" si="0"/>
        <v>0.31818181818181818</v>
      </c>
      <c r="N3" s="9">
        <f t="shared" si="0"/>
        <v>0.20657276995305163</v>
      </c>
      <c r="O3" s="9">
        <f t="shared" si="0"/>
        <v>0.37804878048780488</v>
      </c>
      <c r="P3" s="9">
        <f t="shared" si="0"/>
        <v>0.27710843373493976</v>
      </c>
    </row>
    <row r="4" spans="1:16" x14ac:dyDescent="0.3">
      <c r="A4" s="9" t="s">
        <v>53</v>
      </c>
      <c r="B4" s="16">
        <v>0.17318885731219891</v>
      </c>
      <c r="C4" s="16">
        <v>9.5238095238095233E-2</v>
      </c>
      <c r="D4" s="16">
        <v>0.16666666666666666</v>
      </c>
      <c r="E4" s="16">
        <v>9.0909090909090912E-2</v>
      </c>
      <c r="F4" s="16">
        <v>0.13615023474178403</v>
      </c>
      <c r="G4" s="16">
        <v>0.12195121951219512</v>
      </c>
      <c r="H4" s="16">
        <v>0.10843373493975904</v>
      </c>
      <c r="I4" s="9">
        <v>0.42266834850534185</v>
      </c>
      <c r="J4" s="9">
        <f t="shared" si="0"/>
        <v>0.42266834850534185</v>
      </c>
      <c r="K4" s="9">
        <f t="shared" si="0"/>
        <v>0.2857142857142857</v>
      </c>
      <c r="L4" s="9">
        <f t="shared" si="0"/>
        <v>0.375</v>
      </c>
      <c r="M4" s="9">
        <f t="shared" si="0"/>
        <v>0.40909090909090906</v>
      </c>
      <c r="N4" s="9">
        <f t="shared" si="0"/>
        <v>0.34272300469483563</v>
      </c>
      <c r="O4" s="9">
        <f t="shared" si="0"/>
        <v>0.5</v>
      </c>
      <c r="P4" s="9">
        <f t="shared" si="0"/>
        <v>0.38554216867469882</v>
      </c>
    </row>
    <row r="5" spans="1:16" x14ac:dyDescent="0.3">
      <c r="A5" s="9" t="s">
        <v>50</v>
      </c>
      <c r="B5" s="16">
        <v>0.2075348398960502</v>
      </c>
      <c r="C5" s="16">
        <v>0.19047619047619047</v>
      </c>
      <c r="D5" s="16">
        <v>8.3333333333333329E-2</v>
      </c>
      <c r="E5" s="16">
        <v>0.40909090909090912</v>
      </c>
      <c r="F5" s="16">
        <v>0.16431924882629109</v>
      </c>
      <c r="G5" s="16">
        <v>0.17073170731707318</v>
      </c>
      <c r="H5" s="16">
        <v>0.26506024096385544</v>
      </c>
      <c r="I5" s="9">
        <v>0.63020318840139211</v>
      </c>
      <c r="J5" s="9">
        <f t="shared" si="0"/>
        <v>0.63020318840139211</v>
      </c>
      <c r="K5" s="9">
        <f t="shared" si="0"/>
        <v>0.47619047619047616</v>
      </c>
      <c r="L5" s="9">
        <f t="shared" si="0"/>
        <v>0.45833333333333331</v>
      </c>
      <c r="M5" s="9">
        <f t="shared" si="0"/>
        <v>0.81818181818181812</v>
      </c>
      <c r="N5" s="9">
        <f t="shared" si="0"/>
        <v>0.50704225352112675</v>
      </c>
      <c r="O5" s="9">
        <f t="shared" si="0"/>
        <v>0.67073170731707321</v>
      </c>
      <c r="P5" s="9">
        <f t="shared" si="0"/>
        <v>0.65060240963855431</v>
      </c>
    </row>
    <row r="6" spans="1:16" x14ac:dyDescent="0.3">
      <c r="A6" s="9" t="s">
        <v>49</v>
      </c>
      <c r="B6" s="16">
        <v>0.36979681159860794</v>
      </c>
      <c r="C6" s="16">
        <v>0.52380952380952384</v>
      </c>
      <c r="D6" s="16">
        <v>0.54166666666666663</v>
      </c>
      <c r="E6" s="16">
        <v>0.18181818181818182</v>
      </c>
      <c r="F6" s="16">
        <v>0.49295774647887325</v>
      </c>
      <c r="G6" s="16">
        <v>0.32926829268292684</v>
      </c>
      <c r="H6" s="16">
        <v>0.3493975903614458</v>
      </c>
      <c r="I6" s="9">
        <v>1</v>
      </c>
      <c r="J6" s="9">
        <f t="shared" si="0"/>
        <v>1</v>
      </c>
      <c r="K6" s="9">
        <f t="shared" si="0"/>
        <v>1</v>
      </c>
      <c r="L6" s="9">
        <f t="shared" si="0"/>
        <v>1</v>
      </c>
      <c r="M6" s="9">
        <f t="shared" si="0"/>
        <v>1</v>
      </c>
      <c r="N6" s="9">
        <f t="shared" si="0"/>
        <v>1</v>
      </c>
      <c r="O6" s="9">
        <f t="shared" si="0"/>
        <v>1</v>
      </c>
      <c r="P6" s="9">
        <f t="shared" si="0"/>
        <v>1</v>
      </c>
    </row>
    <row r="8" spans="1:16" ht="28.8" x14ac:dyDescent="0.3">
      <c r="B8" s="1" t="s">
        <v>8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J8" s="8"/>
      <c r="K8" s="11" t="s">
        <v>71</v>
      </c>
      <c r="L8" s="11" t="s">
        <v>72</v>
      </c>
      <c r="M8" s="11" t="s">
        <v>73</v>
      </c>
      <c r="N8" s="11" t="s">
        <v>74</v>
      </c>
      <c r="O8" s="11" t="s">
        <v>75</v>
      </c>
      <c r="P8" s="11" t="s">
        <v>76</v>
      </c>
    </row>
    <row r="9" spans="1:16" x14ac:dyDescent="0.3">
      <c r="B9" s="9" t="s">
        <v>52</v>
      </c>
      <c r="C9" s="9">
        <f>C2-B2</f>
        <v>-5.7941658145302471E-2</v>
      </c>
      <c r="D9" s="9">
        <f>D2-B2</f>
        <v>-6.389403909768343E-2</v>
      </c>
      <c r="E9" s="9">
        <f>E2-B2</f>
        <v>-6.0106160309804632E-2</v>
      </c>
      <c r="F9" s="9">
        <f>F2-B2</f>
        <v>-3.5138170553082479E-2</v>
      </c>
      <c r="G9" s="9">
        <f>G2-B2</f>
        <v>3.4683196674674316E-2</v>
      </c>
      <c r="H9" s="9">
        <f>H2-B2</f>
        <v>1.4921221946493285E-2</v>
      </c>
      <c r="J9" s="9" t="s">
        <v>52</v>
      </c>
      <c r="K9" s="8">
        <f>(J2-0) * ((K2+0))</f>
        <v>5.026700274492861E-3</v>
      </c>
      <c r="L9" s="8">
        <f>(J2-0) * ((L2+0))</f>
        <v>4.3983627401812534E-3</v>
      </c>
      <c r="M9" s="8">
        <f>(J2-0) * ((M2+0))</f>
        <v>4.7982138983795495E-3</v>
      </c>
      <c r="N9" s="8">
        <f>(J2-0) * ((N2+0))</f>
        <v>7.4338525186162041E-3</v>
      </c>
      <c r="O9" s="8">
        <f>(J2-0) * ((O2+0))</f>
        <v>1.4804245320610076E-2</v>
      </c>
      <c r="P9" s="8">
        <f>(J2-0) * ((P2+0))</f>
        <v>1.2718157321006035E-2</v>
      </c>
    </row>
    <row r="10" spans="1:16" x14ac:dyDescent="0.3">
      <c r="B10" s="9" t="s">
        <v>51</v>
      </c>
      <c r="C10" s="9">
        <f t="shared" ref="C10:C13" si="1">C3-B3</f>
        <v>-1.0616425716500344E-3</v>
      </c>
      <c r="D10" s="9">
        <f t="shared" ref="D10:D13" si="2">D3-B3</f>
        <v>2.2747881237873774E-2</v>
      </c>
      <c r="E10" s="9">
        <f t="shared" ref="E10:E13" si="3">E3-B3</f>
        <v>0.12880848729847982</v>
      </c>
      <c r="F10" s="9">
        <f t="shared" ref="F10:F13" si="4">F3-B3</f>
        <v>-7.7685506870088517E-3</v>
      </c>
      <c r="G10" s="9">
        <f t="shared" ref="G10:G13" si="5">G3-B3</f>
        <v>9.3886092619987593E-2</v>
      </c>
      <c r="H10" s="9">
        <f t="shared" ref="H10:H13" si="6">H3-B3</f>
        <v>1.2707720595303507E-2</v>
      </c>
      <c r="J10" s="9" t="s">
        <v>51</v>
      </c>
      <c r="K10" s="8">
        <f>(J3-J2) * ((K3+K2))</f>
        <v>3.4266377483045923E-2</v>
      </c>
      <c r="L10" s="8">
        <f>(J3-J2) * ((L3+L2))</f>
        <v>3.5979696357198214E-2</v>
      </c>
      <c r="M10" s="8">
        <f>(J3-J2) * ((M3+M2))</f>
        <v>5.2334103792288325E-2</v>
      </c>
      <c r="N10" s="8">
        <f>(J3-J2) * ((N3+N2))</f>
        <v>3.9864827888726667E-2</v>
      </c>
      <c r="O10" s="8">
        <f>(J3-J2) * ((O3+O2))</f>
        <v>7.4592053423459731E-2</v>
      </c>
      <c r="P10" s="8">
        <f>(J3-J2) * ((P3+P2))</f>
        <v>5.7220721917471871E-2</v>
      </c>
    </row>
    <row r="11" spans="1:16" x14ac:dyDescent="0.3">
      <c r="B11" s="9" t="s">
        <v>53</v>
      </c>
      <c r="C11" s="9">
        <f t="shared" si="1"/>
        <v>-7.7950762074103674E-2</v>
      </c>
      <c r="D11" s="9">
        <f t="shared" si="2"/>
        <v>-6.5221906455322498E-3</v>
      </c>
      <c r="E11" s="9">
        <f t="shared" si="3"/>
        <v>-8.2279766403107996E-2</v>
      </c>
      <c r="F11" s="9">
        <f t="shared" si="4"/>
        <v>-3.7038622570414875E-2</v>
      </c>
      <c r="G11" s="9">
        <f t="shared" si="5"/>
        <v>-5.1237637800003788E-2</v>
      </c>
      <c r="H11" s="9">
        <f t="shared" si="6"/>
        <v>-6.4755122372439869E-2</v>
      </c>
      <c r="J11" s="9" t="s">
        <v>53</v>
      </c>
      <c r="K11" s="8">
        <f t="shared" ref="K11:K13" si="7">(J4-J3) * ((K4+K3))</f>
        <v>8.2470884434380415E-2</v>
      </c>
      <c r="L11" s="8">
        <f t="shared" ref="L11:L13" si="8">(J4-J3) * ((L4+L3))</f>
        <v>0.10102683343211601</v>
      </c>
      <c r="M11" s="8">
        <f t="shared" ref="M11:M13" si="9">(J4-J3) * ((M4+M3))</f>
        <v>0.12595553259069009</v>
      </c>
      <c r="N11" s="8">
        <f t="shared" ref="N11:N13" si="10">(J4-J3) * ((N4+N3))</f>
        <v>9.5131907537686702E-2</v>
      </c>
      <c r="O11" s="8">
        <f t="shared" ref="O11:O13" si="11">(J4-J3) * ((O4+O3))</f>
        <v>0.15206826495705267</v>
      </c>
      <c r="P11" s="8">
        <f t="shared" ref="P11:P13" si="12">(J4-J3) * ((P4+P3))</f>
        <v>0.11476370062856553</v>
      </c>
    </row>
    <row r="12" spans="1:16" x14ac:dyDescent="0.3">
      <c r="B12" s="9" t="s">
        <v>50</v>
      </c>
      <c r="C12" s="9">
        <f t="shared" si="1"/>
        <v>-1.7058649419859739E-2</v>
      </c>
      <c r="D12" s="9">
        <f t="shared" si="2"/>
        <v>-0.12420150656271688</v>
      </c>
      <c r="E12" s="9">
        <f t="shared" si="3"/>
        <v>0.20155606919485891</v>
      </c>
      <c r="F12" s="9">
        <f t="shared" si="4"/>
        <v>-4.3215591069759113E-2</v>
      </c>
      <c r="G12" s="9">
        <f t="shared" si="5"/>
        <v>-3.6803132578977021E-2</v>
      </c>
      <c r="H12" s="9">
        <f t="shared" si="6"/>
        <v>5.7525401067805237E-2</v>
      </c>
      <c r="J12" s="9" t="s">
        <v>50</v>
      </c>
      <c r="K12" s="8">
        <f t="shared" si="7"/>
        <v>0.15812178277794306</v>
      </c>
      <c r="L12" s="8">
        <f t="shared" si="8"/>
        <v>0.17294569991337519</v>
      </c>
      <c r="M12" s="8">
        <f t="shared" si="9"/>
        <v>0.25470184896333437</v>
      </c>
      <c r="N12" s="8">
        <f t="shared" si="10"/>
        <v>0.17635589681307556</v>
      </c>
      <c r="O12" s="8">
        <f t="shared" si="11"/>
        <v>0.24296761743927839</v>
      </c>
      <c r="P12" s="8">
        <f t="shared" si="12"/>
        <v>0.21503609916940147</v>
      </c>
    </row>
    <row r="13" spans="1:16" x14ac:dyDescent="0.3">
      <c r="B13" s="9" t="s">
        <v>49</v>
      </c>
      <c r="C13" s="9">
        <f t="shared" si="1"/>
        <v>0.15401271221091589</v>
      </c>
      <c r="D13" s="9">
        <f t="shared" si="2"/>
        <v>0.17186985506805869</v>
      </c>
      <c r="E13" s="9">
        <f t="shared" si="3"/>
        <v>-0.18797862978042612</v>
      </c>
      <c r="F13" s="9">
        <f t="shared" si="4"/>
        <v>0.1231609348802653</v>
      </c>
      <c r="G13" s="9">
        <f t="shared" si="5"/>
        <v>-4.05285189156811E-2</v>
      </c>
      <c r="H13" s="9">
        <f t="shared" si="6"/>
        <v>-2.0399221237162146E-2</v>
      </c>
      <c r="J13" s="9" t="s">
        <v>49</v>
      </c>
      <c r="K13" s="8">
        <f t="shared" si="7"/>
        <v>0.54589053140746879</v>
      </c>
      <c r="L13" s="8">
        <f t="shared" si="8"/>
        <v>0.53928701691463643</v>
      </c>
      <c r="M13" s="8">
        <f t="shared" si="9"/>
        <v>0.6723578392701961</v>
      </c>
      <c r="N13" s="8">
        <f t="shared" si="10"/>
        <v>0.5572994202964936</v>
      </c>
      <c r="O13" s="8">
        <f t="shared" si="11"/>
        <v>0.61783125840255226</v>
      </c>
      <c r="P13" s="8">
        <f t="shared" si="12"/>
        <v>0.61038750830131672</v>
      </c>
    </row>
    <row r="14" spans="1:16" x14ac:dyDescent="0.3">
      <c r="J14" s="11" t="s">
        <v>77</v>
      </c>
      <c r="K14" s="11">
        <f>SUM(K9:K13)</f>
        <v>0.82577627637733109</v>
      </c>
      <c r="L14" s="11">
        <f t="shared" ref="L14:P14" si="13">SUM(L9:L13)</f>
        <v>0.8536376093575071</v>
      </c>
      <c r="M14" s="11">
        <f t="shared" si="13"/>
        <v>1.1101475385148885</v>
      </c>
      <c r="N14" s="11">
        <f t="shared" si="13"/>
        <v>0.87608590505459871</v>
      </c>
      <c r="O14" s="11">
        <f t="shared" si="13"/>
        <v>1.1022634395429531</v>
      </c>
      <c r="P14" s="11">
        <f t="shared" si="13"/>
        <v>1.0101261873377616</v>
      </c>
    </row>
    <row r="15" spans="1:16" x14ac:dyDescent="0.3">
      <c r="J15" s="12" t="s">
        <v>78</v>
      </c>
      <c r="K15" s="12">
        <f>1-K14</f>
        <v>0.17422372362266891</v>
      </c>
      <c r="L15" s="12">
        <f t="shared" ref="L15:P15" si="14">1-L14</f>
        <v>0.1463623906424929</v>
      </c>
      <c r="M15" s="12">
        <f t="shared" si="14"/>
        <v>-0.11014753851488845</v>
      </c>
      <c r="N15" s="12">
        <f t="shared" si="14"/>
        <v>0.12391409494540129</v>
      </c>
      <c r="O15" s="12">
        <f t="shared" si="14"/>
        <v>-0.10226343954295314</v>
      </c>
      <c r="P15" s="12">
        <f t="shared" si="14"/>
        <v>-1.0126187337761605E-2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BB80-B1D1-4F80-B1F8-B2939744E0CB}">
  <dimension ref="A1:P28"/>
  <sheetViews>
    <sheetView workbookViewId="0">
      <selection activeCell="P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56</v>
      </c>
      <c r="B2" s="16">
        <v>1.8769792243570626E-2</v>
      </c>
      <c r="C2" s="16">
        <v>3.6184210526315791E-2</v>
      </c>
      <c r="D2" s="16">
        <v>2.4193548387096774E-2</v>
      </c>
      <c r="E2" s="16">
        <v>3.8674033149171269E-2</v>
      </c>
      <c r="F2" s="16">
        <v>5.1886792452830191E-2</v>
      </c>
      <c r="G2" s="16">
        <v>3.0303030303030304E-2</v>
      </c>
      <c r="H2" s="16">
        <v>3.3898305084745763E-2</v>
      </c>
      <c r="I2" s="9">
        <v>1.8769792243570626E-2</v>
      </c>
      <c r="J2" s="17">
        <v>1.8769792243570626E-2</v>
      </c>
      <c r="K2" s="17">
        <v>3.6184210526315791E-2</v>
      </c>
      <c r="L2" s="17">
        <v>2.4193548387096774E-2</v>
      </c>
      <c r="M2" s="17">
        <v>3.8674033149171269E-2</v>
      </c>
      <c r="N2" s="17">
        <v>5.1886792452830191E-2</v>
      </c>
      <c r="O2" s="17">
        <v>3.0303030303030304E-2</v>
      </c>
      <c r="P2" s="17">
        <v>3.3898305084745763E-2</v>
      </c>
    </row>
    <row r="3" spans="1:16" x14ac:dyDescent="0.3">
      <c r="A3" s="9" t="s">
        <v>61</v>
      </c>
      <c r="B3" s="16">
        <v>2.0928300600690154E-2</v>
      </c>
      <c r="C3" s="16">
        <v>1.6447368421052631E-2</v>
      </c>
      <c r="D3" s="16">
        <v>0</v>
      </c>
      <c r="E3" s="16">
        <v>5.5248618784530384E-3</v>
      </c>
      <c r="F3" s="16">
        <v>2.1226415094339621E-2</v>
      </c>
      <c r="G3" s="16">
        <v>4.5454545454545456E-2</v>
      </c>
      <c r="H3" s="16">
        <v>1.6949152542372881E-2</v>
      </c>
      <c r="I3" s="9">
        <v>3.9698092844260777E-2</v>
      </c>
      <c r="J3" s="9">
        <f>J2+B3</f>
        <v>3.9698092844260777E-2</v>
      </c>
      <c r="K3" s="9">
        <f>K2+C3</f>
        <v>5.2631578947368418E-2</v>
      </c>
      <c r="L3" s="9">
        <f t="shared" ref="L3:P12" si="0">L2+D3</f>
        <v>2.4193548387096774E-2</v>
      </c>
      <c r="M3" s="9">
        <f t="shared" si="0"/>
        <v>4.4198895027624308E-2</v>
      </c>
      <c r="N3" s="9">
        <f t="shared" si="0"/>
        <v>7.3113207547169809E-2</v>
      </c>
      <c r="O3" s="9">
        <f t="shared" si="0"/>
        <v>7.575757575757576E-2</v>
      </c>
      <c r="P3" s="9">
        <f t="shared" si="0"/>
        <v>5.0847457627118647E-2</v>
      </c>
    </row>
    <row r="4" spans="1:16" x14ac:dyDescent="0.3">
      <c r="A4" s="9" t="s">
        <v>54</v>
      </c>
      <c r="B4" s="16">
        <v>3.0510231613627006E-2</v>
      </c>
      <c r="C4" s="16">
        <v>2.3026315789473683E-2</v>
      </c>
      <c r="D4" s="16">
        <v>2.4193548387096774E-2</v>
      </c>
      <c r="E4" s="16">
        <v>1.1049723756906077E-2</v>
      </c>
      <c r="F4" s="16">
        <v>4.0094339622641507E-2</v>
      </c>
      <c r="G4" s="16">
        <v>8.8744588744588751E-2</v>
      </c>
      <c r="H4" s="16">
        <v>5.9322033898305086E-2</v>
      </c>
      <c r="I4" s="9">
        <v>7.0208324457887786E-2</v>
      </c>
      <c r="J4" s="9">
        <f t="shared" ref="J4:K12" si="1">J3+B4</f>
        <v>7.0208324457887786E-2</v>
      </c>
      <c r="K4" s="9">
        <f t="shared" si="1"/>
        <v>7.5657894736842105E-2</v>
      </c>
      <c r="L4" s="9">
        <f t="shared" si="0"/>
        <v>4.8387096774193547E-2</v>
      </c>
      <c r="M4" s="9">
        <f t="shared" si="0"/>
        <v>5.5248618784530384E-2</v>
      </c>
      <c r="N4" s="9">
        <f t="shared" si="0"/>
        <v>0.11320754716981132</v>
      </c>
      <c r="O4" s="9">
        <f t="shared" si="0"/>
        <v>0.16450216450216451</v>
      </c>
      <c r="P4" s="9">
        <f t="shared" si="0"/>
        <v>0.11016949152542374</v>
      </c>
    </row>
    <row r="5" spans="1:16" x14ac:dyDescent="0.3">
      <c r="A5" s="9" t="s">
        <v>60</v>
      </c>
      <c r="B5" s="16">
        <v>3.8341924764623184E-2</v>
      </c>
      <c r="C5" s="16">
        <v>1.6447368421052631E-2</v>
      </c>
      <c r="D5" s="16">
        <v>1.6129032258064516E-2</v>
      </c>
      <c r="E5" s="16">
        <v>3.3149171270718231E-2</v>
      </c>
      <c r="F5" s="16">
        <v>2.358490566037736E-2</v>
      </c>
      <c r="G5" s="16">
        <v>6.0606060606060608E-2</v>
      </c>
      <c r="H5" s="16">
        <v>0.22457627118644069</v>
      </c>
      <c r="I5" s="9">
        <v>0.10855024922251097</v>
      </c>
      <c r="J5" s="9">
        <f t="shared" si="1"/>
        <v>0.10855024922251097</v>
      </c>
      <c r="K5" s="9">
        <f t="shared" si="1"/>
        <v>9.2105263157894732E-2</v>
      </c>
      <c r="L5" s="9">
        <f t="shared" si="0"/>
        <v>6.4516129032258063E-2</v>
      </c>
      <c r="M5" s="9">
        <f t="shared" si="0"/>
        <v>8.8397790055248615E-2</v>
      </c>
      <c r="N5" s="9">
        <f t="shared" si="0"/>
        <v>0.13679245283018868</v>
      </c>
      <c r="O5" s="9">
        <f t="shared" si="0"/>
        <v>0.22510822510822512</v>
      </c>
      <c r="P5" s="9">
        <f t="shared" si="0"/>
        <v>0.3347457627118644</v>
      </c>
    </row>
    <row r="6" spans="1:16" x14ac:dyDescent="0.3">
      <c r="A6" s="9" t="s">
        <v>63</v>
      </c>
      <c r="B6" s="16">
        <v>4.4352376489299766E-2</v>
      </c>
      <c r="C6" s="16">
        <v>3.2894736842105261E-2</v>
      </c>
      <c r="D6" s="16">
        <v>2.4193548387096774E-2</v>
      </c>
      <c r="E6" s="16">
        <v>4.4198895027624308E-2</v>
      </c>
      <c r="F6" s="16">
        <v>1.8867924528301886E-2</v>
      </c>
      <c r="G6" s="16">
        <v>1.0822510822510822E-2</v>
      </c>
      <c r="H6" s="16">
        <v>1.6949152542372881E-2</v>
      </c>
      <c r="I6" s="9">
        <v>0.15290262571181074</v>
      </c>
      <c r="J6" s="9">
        <f t="shared" si="1"/>
        <v>0.15290262571181074</v>
      </c>
      <c r="K6" s="9">
        <f t="shared" si="1"/>
        <v>0.125</v>
      </c>
      <c r="L6" s="9">
        <f t="shared" si="0"/>
        <v>8.8709677419354843E-2</v>
      </c>
      <c r="M6" s="9">
        <f t="shared" si="0"/>
        <v>0.13259668508287292</v>
      </c>
      <c r="N6" s="9">
        <f t="shared" si="0"/>
        <v>0.15566037735849056</v>
      </c>
      <c r="O6" s="9">
        <f t="shared" si="0"/>
        <v>0.23593073593073594</v>
      </c>
      <c r="P6" s="9">
        <f t="shared" si="0"/>
        <v>0.35169491525423729</v>
      </c>
    </row>
    <row r="7" spans="1:16" x14ac:dyDescent="0.3">
      <c r="A7" s="9" t="s">
        <v>55</v>
      </c>
      <c r="B7" s="16">
        <v>4.43630270239566E-2</v>
      </c>
      <c r="C7" s="16">
        <v>2.6315789473684209E-2</v>
      </c>
      <c r="D7" s="16">
        <v>5.6451612903225805E-2</v>
      </c>
      <c r="E7" s="16">
        <v>3.3149171270718231E-2</v>
      </c>
      <c r="F7" s="16">
        <v>2.358490566037736E-2</v>
      </c>
      <c r="G7" s="16">
        <v>4.5454545454545456E-2</v>
      </c>
      <c r="H7" s="16">
        <v>2.9661016949152543E-2</v>
      </c>
      <c r="I7" s="9">
        <v>0.19726565273576735</v>
      </c>
      <c r="J7" s="9">
        <f t="shared" si="1"/>
        <v>0.19726565273576735</v>
      </c>
      <c r="K7" s="9">
        <f t="shared" si="1"/>
        <v>0.15131578947368421</v>
      </c>
      <c r="L7" s="9">
        <f t="shared" si="0"/>
        <v>0.14516129032258066</v>
      </c>
      <c r="M7" s="9">
        <f t="shared" si="0"/>
        <v>0.16574585635359115</v>
      </c>
      <c r="N7" s="9">
        <f t="shared" si="0"/>
        <v>0.17924528301886791</v>
      </c>
      <c r="O7" s="9">
        <f t="shared" si="0"/>
        <v>0.2813852813852814</v>
      </c>
      <c r="P7" s="9">
        <f t="shared" si="0"/>
        <v>0.38135593220338981</v>
      </c>
    </row>
    <row r="8" spans="1:16" x14ac:dyDescent="0.3">
      <c r="A8" s="9" t="s">
        <v>62</v>
      </c>
      <c r="B8" s="16">
        <v>5.9199221800934405E-2</v>
      </c>
      <c r="C8" s="16">
        <v>3.9473684210526314E-2</v>
      </c>
      <c r="D8" s="16">
        <v>4.8387096774193547E-2</v>
      </c>
      <c r="E8" s="16">
        <v>7.18232044198895E-2</v>
      </c>
      <c r="F8" s="16">
        <v>2.358490566037736E-2</v>
      </c>
      <c r="G8" s="16">
        <v>5.627705627705628E-2</v>
      </c>
      <c r="H8" s="16">
        <v>2.1186440677966101E-2</v>
      </c>
      <c r="I8" s="9">
        <v>0.25646487453670175</v>
      </c>
      <c r="J8" s="9">
        <f t="shared" si="1"/>
        <v>0.25646487453670175</v>
      </c>
      <c r="K8" s="9">
        <f t="shared" si="1"/>
        <v>0.19078947368421051</v>
      </c>
      <c r="L8" s="9">
        <f t="shared" si="0"/>
        <v>0.19354838709677419</v>
      </c>
      <c r="M8" s="9">
        <f t="shared" si="0"/>
        <v>0.23756906077348067</v>
      </c>
      <c r="N8" s="9">
        <f t="shared" si="0"/>
        <v>0.20283018867924527</v>
      </c>
      <c r="O8" s="9">
        <f t="shared" si="0"/>
        <v>0.33766233766233766</v>
      </c>
      <c r="P8" s="9">
        <f t="shared" si="0"/>
        <v>0.40254237288135591</v>
      </c>
    </row>
    <row r="9" spans="1:16" x14ac:dyDescent="0.3">
      <c r="A9" s="9" t="s">
        <v>57</v>
      </c>
      <c r="B9" s="16">
        <v>6.4868856416592111E-2</v>
      </c>
      <c r="C9" s="16">
        <v>2.9605263157894735E-2</v>
      </c>
      <c r="D9" s="16">
        <v>4.8387096774193547E-2</v>
      </c>
      <c r="E9" s="16">
        <v>3.3149171270718231E-2</v>
      </c>
      <c r="F9" s="16">
        <v>3.7735849056603772E-2</v>
      </c>
      <c r="G9" s="16">
        <v>6.2770562770562768E-2</v>
      </c>
      <c r="H9" s="16">
        <v>9.3220338983050849E-2</v>
      </c>
      <c r="I9" s="9">
        <v>0.32133373095329387</v>
      </c>
      <c r="J9" s="9">
        <f t="shared" si="1"/>
        <v>0.32133373095329387</v>
      </c>
      <c r="K9" s="9">
        <f t="shared" si="1"/>
        <v>0.22039473684210525</v>
      </c>
      <c r="L9" s="9">
        <f t="shared" si="0"/>
        <v>0.24193548387096775</v>
      </c>
      <c r="M9" s="9">
        <f t="shared" si="0"/>
        <v>0.27071823204419887</v>
      </c>
      <c r="N9" s="9">
        <f t="shared" si="0"/>
        <v>0.24056603773584903</v>
      </c>
      <c r="O9" s="9">
        <f t="shared" si="0"/>
        <v>0.40043290043290042</v>
      </c>
      <c r="P9" s="9">
        <f t="shared" si="0"/>
        <v>0.49576271186440679</v>
      </c>
    </row>
    <row r="10" spans="1:16" x14ac:dyDescent="0.3">
      <c r="A10" s="9" t="s">
        <v>58</v>
      </c>
      <c r="B10" s="16">
        <v>6.5877107030772944E-2</v>
      </c>
      <c r="C10" s="16">
        <v>8.5526315789473686E-2</v>
      </c>
      <c r="D10" s="16">
        <v>3.2258064516129031E-2</v>
      </c>
      <c r="E10" s="16">
        <v>0.15469613259668508</v>
      </c>
      <c r="F10" s="16">
        <v>9.6698113207547176E-2</v>
      </c>
      <c r="G10" s="16">
        <v>6.2770562770562768E-2</v>
      </c>
      <c r="H10" s="16">
        <v>5.0847457627118647E-2</v>
      </c>
      <c r="I10" s="9">
        <v>0.3872108379840668</v>
      </c>
      <c r="J10" s="9">
        <f t="shared" si="1"/>
        <v>0.3872108379840668</v>
      </c>
      <c r="K10" s="9">
        <f t="shared" si="1"/>
        <v>0.30592105263157893</v>
      </c>
      <c r="L10" s="9">
        <f t="shared" si="0"/>
        <v>0.27419354838709675</v>
      </c>
      <c r="M10" s="9">
        <f t="shared" si="0"/>
        <v>0.42541436464088395</v>
      </c>
      <c r="N10" s="9">
        <f t="shared" si="0"/>
        <v>0.33726415094339623</v>
      </c>
      <c r="O10" s="9">
        <f t="shared" si="0"/>
        <v>0.46320346320346317</v>
      </c>
      <c r="P10" s="9">
        <f t="shared" si="0"/>
        <v>0.54661016949152541</v>
      </c>
    </row>
    <row r="11" spans="1:16" x14ac:dyDescent="0.3">
      <c r="A11" s="9" t="s">
        <v>59</v>
      </c>
      <c r="B11" s="16">
        <v>0.11125903520356722</v>
      </c>
      <c r="C11" s="16">
        <v>3.6184210526315791E-2</v>
      </c>
      <c r="D11" s="16">
        <v>3.2258064516129031E-2</v>
      </c>
      <c r="E11" s="16">
        <v>4.4198895027624308E-2</v>
      </c>
      <c r="F11" s="16">
        <v>3.0660377358490566E-2</v>
      </c>
      <c r="G11" s="16">
        <v>1.5151515151515152E-2</v>
      </c>
      <c r="H11" s="16">
        <v>9.7457627118644072E-2</v>
      </c>
      <c r="I11" s="9">
        <v>0.49846987318763403</v>
      </c>
      <c r="J11" s="9">
        <f t="shared" si="1"/>
        <v>0.49846987318763403</v>
      </c>
      <c r="K11" s="9">
        <f t="shared" si="1"/>
        <v>0.34210526315789469</v>
      </c>
      <c r="L11" s="9">
        <f t="shared" si="0"/>
        <v>0.30645161290322576</v>
      </c>
      <c r="M11" s="9">
        <f t="shared" si="0"/>
        <v>0.46961325966850825</v>
      </c>
      <c r="N11" s="9">
        <f t="shared" si="0"/>
        <v>0.36792452830188682</v>
      </c>
      <c r="O11" s="9">
        <f t="shared" si="0"/>
        <v>0.47835497835497831</v>
      </c>
      <c r="P11" s="9">
        <f t="shared" si="0"/>
        <v>0.64406779661016944</v>
      </c>
    </row>
    <row r="12" spans="1:16" x14ac:dyDescent="0.3">
      <c r="A12" s="9" t="s">
        <v>64</v>
      </c>
      <c r="B12" s="16">
        <v>0.50153012681236597</v>
      </c>
      <c r="C12" s="16">
        <v>0.65789473684210531</v>
      </c>
      <c r="D12" s="16">
        <v>0.69354838709677424</v>
      </c>
      <c r="E12" s="16">
        <v>0.53038674033149169</v>
      </c>
      <c r="F12" s="16">
        <v>0.63207547169811318</v>
      </c>
      <c r="G12" s="16">
        <v>0.52164502164502169</v>
      </c>
      <c r="H12" s="16">
        <v>0.3559322033898305</v>
      </c>
      <c r="I12" s="9">
        <v>1</v>
      </c>
      <c r="J12" s="9">
        <f t="shared" si="1"/>
        <v>1</v>
      </c>
      <c r="K12" s="9">
        <f t="shared" si="1"/>
        <v>1</v>
      </c>
      <c r="L12" s="9">
        <f t="shared" si="0"/>
        <v>1</v>
      </c>
      <c r="M12" s="9">
        <f t="shared" si="0"/>
        <v>1</v>
      </c>
      <c r="N12" s="9">
        <f t="shared" si="0"/>
        <v>1</v>
      </c>
      <c r="O12" s="9">
        <f t="shared" si="0"/>
        <v>1</v>
      </c>
      <c r="P12" s="9">
        <f t="shared" si="0"/>
        <v>1</v>
      </c>
    </row>
    <row r="15" spans="1:16" ht="28.8" x14ac:dyDescent="0.3">
      <c r="B15" s="1" t="s">
        <v>8</v>
      </c>
      <c r="C15" s="3" t="s">
        <v>65</v>
      </c>
      <c r="D15" s="3" t="s">
        <v>66</v>
      </c>
      <c r="E15" s="3" t="s">
        <v>67</v>
      </c>
      <c r="F15" s="3" t="s">
        <v>68</v>
      </c>
      <c r="G15" s="3" t="s">
        <v>69</v>
      </c>
      <c r="H15" s="3" t="s">
        <v>70</v>
      </c>
      <c r="J15" s="8"/>
      <c r="K15" s="11" t="s">
        <v>71</v>
      </c>
      <c r="L15" s="11" t="s">
        <v>72</v>
      </c>
      <c r="M15" s="11" t="s">
        <v>73</v>
      </c>
      <c r="N15" s="11" t="s">
        <v>74</v>
      </c>
      <c r="O15" s="11" t="s">
        <v>75</v>
      </c>
      <c r="P15" s="11" t="s">
        <v>76</v>
      </c>
    </row>
    <row r="16" spans="1:16" x14ac:dyDescent="0.3">
      <c r="B16" s="9" t="s">
        <v>56</v>
      </c>
      <c r="C16" s="9">
        <f>C2-B2</f>
        <v>1.7414418282745165E-2</v>
      </c>
      <c r="D16" s="9">
        <f>D2-B2</f>
        <v>5.4237561435261476E-3</v>
      </c>
      <c r="E16" s="9">
        <f>E2-B2</f>
        <v>1.9904240905600643E-2</v>
      </c>
      <c r="F16" s="9">
        <f>F2-B2</f>
        <v>3.3117000209259562E-2</v>
      </c>
      <c r="G16" s="9">
        <f>G2-B2</f>
        <v>1.1533238059459678E-2</v>
      </c>
      <c r="H16" s="9">
        <f>H2-B2</f>
        <v>1.5128512841175137E-2</v>
      </c>
      <c r="J16" s="9" t="s">
        <v>56</v>
      </c>
      <c r="K16" s="8">
        <f>(J2-0) * ((K2+0))</f>
        <v>6.7917011407656871E-4</v>
      </c>
      <c r="L16" s="8">
        <f>(J2-0) * ((L2+0))</f>
        <v>4.5410787686057962E-4</v>
      </c>
      <c r="M16" s="8">
        <f>(J2-0) * ((M2+0))</f>
        <v>7.2590356743090811E-4</v>
      </c>
      <c r="N16" s="8">
        <f>(J2-0) * ((N2+0))</f>
        <v>9.7390431452489099E-4</v>
      </c>
      <c r="O16" s="8">
        <f>(J2-0) * ((O2+0))</f>
        <v>5.6878158313850382E-4</v>
      </c>
      <c r="P16" s="8">
        <f>(J2-0) * ((P2+0))</f>
        <v>6.3626414384985173E-4</v>
      </c>
    </row>
    <row r="17" spans="2:16" x14ac:dyDescent="0.3">
      <c r="B17" s="9" t="s">
        <v>61</v>
      </c>
      <c r="C17" s="9">
        <f t="shared" ref="C17:C26" si="2">C3-B3</f>
        <v>-4.4809321796375236E-3</v>
      </c>
      <c r="D17" s="9">
        <f t="shared" ref="D17:D26" si="3">D3-B3</f>
        <v>-2.0928300600690154E-2</v>
      </c>
      <c r="E17" s="9">
        <f t="shared" ref="E17:E26" si="4">E3-B3</f>
        <v>-1.5403438722237116E-2</v>
      </c>
      <c r="F17" s="9">
        <f t="shared" ref="F17:F26" si="5">F3-B3</f>
        <v>2.9811449364946715E-4</v>
      </c>
      <c r="G17" s="9">
        <f t="shared" ref="G17:G26" si="6">G3-B3</f>
        <v>2.4526244853855302E-2</v>
      </c>
      <c r="H17" s="9">
        <f t="shared" ref="H17:H26" si="7">H3-B3</f>
        <v>-3.9791480583172729E-3</v>
      </c>
      <c r="J17" s="9" t="s">
        <v>61</v>
      </c>
      <c r="K17" s="8">
        <f>(J3-J2) * ((K3+K2))</f>
        <v>1.8587635401928753E-3</v>
      </c>
      <c r="L17" s="8">
        <f>(J3-J2) * ((L3+L2))</f>
        <v>1.0126597064850072E-3</v>
      </c>
      <c r="M17" s="8">
        <f>(J3-J2) * ((M3+M2))</f>
        <v>1.7343895525433826E-3</v>
      </c>
      <c r="N17" s="8">
        <f>(J3-J2) * ((N3+N2))</f>
        <v>2.6160375750862688E-3</v>
      </c>
      <c r="O17" s="8">
        <f>(J3-J2) * ((O3+O2))</f>
        <v>2.2196682455277433E-3</v>
      </c>
      <c r="P17" s="8">
        <f>(J3-J2) * ((P3+P2))</f>
        <v>1.7735847966686567E-3</v>
      </c>
    </row>
    <row r="18" spans="2:16" x14ac:dyDescent="0.3">
      <c r="B18" s="9" t="s">
        <v>54</v>
      </c>
      <c r="C18" s="9">
        <f t="shared" si="2"/>
        <v>-7.4839158241533227E-3</v>
      </c>
      <c r="D18" s="9">
        <f t="shared" si="3"/>
        <v>-6.3166832265302321E-3</v>
      </c>
      <c r="E18" s="9">
        <f t="shared" si="4"/>
        <v>-1.9460507856720929E-2</v>
      </c>
      <c r="F18" s="9">
        <f t="shared" si="5"/>
        <v>9.5841080090145019E-3</v>
      </c>
      <c r="G18" s="9">
        <f t="shared" si="6"/>
        <v>5.8234357130961742E-2</v>
      </c>
      <c r="H18" s="9">
        <f t="shared" si="7"/>
        <v>2.8811802284678081E-2</v>
      </c>
      <c r="J18" s="9" t="s">
        <v>54</v>
      </c>
      <c r="K18" s="8">
        <f t="shared" ref="K18:K26" si="8">(J4-J3) * ((K4+K3))</f>
        <v>3.9141415556955697E-3</v>
      </c>
      <c r="L18" s="8">
        <f t="shared" ref="L18:L26" si="9">(J4-J3) * ((L4+L3))</f>
        <v>2.2144522945374439E-3</v>
      </c>
      <c r="M18" s="8">
        <f t="shared" ref="M18:M26" si="10">(J4-J3) * ((M4+M3))</f>
        <v>3.0341666798082106E-3</v>
      </c>
      <c r="N18" s="8">
        <f t="shared" ref="N18:N26" si="11">(J4-J3) * ((N4+N3))</f>
        <v>5.6846893808408811E-3</v>
      </c>
      <c r="O18" s="8">
        <f t="shared" ref="O18:O26" si="12">(J4-J3) * ((O4+O3))</f>
        <v>7.3303803227545419E-3</v>
      </c>
      <c r="P18" s="8">
        <f t="shared" ref="P18:P26" si="13">(J4-J3) * ((P4+P3))</f>
        <v>4.9126644123636716E-3</v>
      </c>
    </row>
    <row r="19" spans="2:16" x14ac:dyDescent="0.3">
      <c r="B19" s="9" t="s">
        <v>60</v>
      </c>
      <c r="C19" s="9">
        <f t="shared" si="2"/>
        <v>-2.1894556343570553E-2</v>
      </c>
      <c r="D19" s="9">
        <f t="shared" si="3"/>
        <v>-2.2212892506558668E-2</v>
      </c>
      <c r="E19" s="9">
        <f t="shared" si="4"/>
        <v>-5.192753493904953E-3</v>
      </c>
      <c r="F19" s="9">
        <f t="shared" si="5"/>
        <v>-1.4757019104245823E-2</v>
      </c>
      <c r="G19" s="9">
        <f t="shared" si="6"/>
        <v>2.2264135841437424E-2</v>
      </c>
      <c r="H19" s="9">
        <f t="shared" si="7"/>
        <v>0.18623434642181752</v>
      </c>
      <c r="J19" s="9" t="s">
        <v>60</v>
      </c>
      <c r="K19" s="8">
        <f t="shared" si="8"/>
        <v>6.4323623782755997E-3</v>
      </c>
      <c r="L19" s="8">
        <f t="shared" si="9"/>
        <v>4.3289269895542305E-3</v>
      </c>
      <c r="M19" s="8">
        <f t="shared" si="10"/>
        <v>5.5076798004431091E-3</v>
      </c>
      <c r="N19" s="8">
        <f t="shared" si="11"/>
        <v>9.5854811911557959E-3</v>
      </c>
      <c r="O19" s="8">
        <f t="shared" si="12"/>
        <v>1.4938412245957084E-2</v>
      </c>
      <c r="P19" s="8">
        <f t="shared" si="13"/>
        <v>1.7058907204599297E-2</v>
      </c>
    </row>
    <row r="20" spans="2:16" x14ac:dyDescent="0.3">
      <c r="B20" s="9" t="s">
        <v>63</v>
      </c>
      <c r="C20" s="9">
        <f t="shared" si="2"/>
        <v>-1.1457639647194505E-2</v>
      </c>
      <c r="D20" s="9">
        <f t="shared" si="3"/>
        <v>-2.0158828102202993E-2</v>
      </c>
      <c r="E20" s="9">
        <f t="shared" si="4"/>
        <v>-1.5348146167545873E-4</v>
      </c>
      <c r="F20" s="9">
        <f t="shared" si="5"/>
        <v>-2.548445196099788E-2</v>
      </c>
      <c r="G20" s="9">
        <f t="shared" si="6"/>
        <v>-3.3529865666788942E-2</v>
      </c>
      <c r="H20" s="9">
        <f t="shared" si="7"/>
        <v>-2.7403223946926885E-2</v>
      </c>
      <c r="J20" s="9" t="s">
        <v>63</v>
      </c>
      <c r="K20" s="8">
        <f t="shared" si="8"/>
        <v>9.6291343693874504E-3</v>
      </c>
      <c r="L20" s="8">
        <f t="shared" si="9"/>
        <v>6.7959286556185123E-3</v>
      </c>
      <c r="M20" s="8">
        <f t="shared" si="10"/>
        <v>9.8016301633811632E-3</v>
      </c>
      <c r="N20" s="8">
        <f t="shared" si="11"/>
        <v>1.2970978029889554E-2</v>
      </c>
      <c r="O20" s="8">
        <f t="shared" si="12"/>
        <v>2.0448173576235604E-2</v>
      </c>
      <c r="P20" s="8">
        <f t="shared" si="13"/>
        <v>3.0445275386722717E-2</v>
      </c>
    </row>
    <row r="21" spans="2:16" x14ac:dyDescent="0.3">
      <c r="B21" s="9" t="s">
        <v>55</v>
      </c>
      <c r="C21" s="9">
        <f t="shared" si="2"/>
        <v>-1.8047237550272391E-2</v>
      </c>
      <c r="D21" s="9">
        <f t="shared" si="3"/>
        <v>1.2088585879269205E-2</v>
      </c>
      <c r="E21" s="9">
        <f t="shared" si="4"/>
        <v>-1.1213855753238369E-2</v>
      </c>
      <c r="F21" s="9">
        <f t="shared" si="5"/>
        <v>-2.077812136357924E-2</v>
      </c>
      <c r="G21" s="9">
        <f t="shared" si="6"/>
        <v>1.0915184305888559E-3</v>
      </c>
      <c r="H21" s="9">
        <f t="shared" si="7"/>
        <v>-1.4702010074804057E-2</v>
      </c>
      <c r="J21" s="9" t="s">
        <v>55</v>
      </c>
      <c r="K21" s="8">
        <f t="shared" si="8"/>
        <v>1.2258204835566958E-2</v>
      </c>
      <c r="L21" s="8">
        <f t="shared" si="9"/>
        <v>1.0375224062054369E-2</v>
      </c>
      <c r="M21" s="8">
        <f t="shared" si="10"/>
        <v>1.3235378228141753E-2</v>
      </c>
      <c r="N21" s="8">
        <f t="shared" si="11"/>
        <v>1.4857428861796789E-2</v>
      </c>
      <c r="O21" s="8">
        <f t="shared" si="12"/>
        <v>2.2949704456116087E-2</v>
      </c>
      <c r="P21" s="8">
        <f t="shared" si="13"/>
        <v>3.2520354555697011E-2</v>
      </c>
    </row>
    <row r="22" spans="2:16" x14ac:dyDescent="0.3">
      <c r="B22" s="9" t="s">
        <v>62</v>
      </c>
      <c r="C22" s="9">
        <f t="shared" si="2"/>
        <v>-1.9725537590408092E-2</v>
      </c>
      <c r="D22" s="9">
        <f t="shared" si="3"/>
        <v>-1.0812125026740858E-2</v>
      </c>
      <c r="E22" s="9">
        <f t="shared" si="4"/>
        <v>1.2623982618955094E-2</v>
      </c>
      <c r="F22" s="9">
        <f t="shared" si="5"/>
        <v>-3.5614316140557045E-2</v>
      </c>
      <c r="G22" s="9">
        <f t="shared" si="6"/>
        <v>-2.9221655238781258E-3</v>
      </c>
      <c r="H22" s="9">
        <f t="shared" si="7"/>
        <v>-3.8012781122968305E-2</v>
      </c>
      <c r="J22" s="9" t="s">
        <v>62</v>
      </c>
      <c r="K22" s="8">
        <f t="shared" si="8"/>
        <v>2.0252365352951239E-2</v>
      </c>
      <c r="L22" s="8">
        <f t="shared" si="9"/>
        <v>2.0051349319671331E-2</v>
      </c>
      <c r="M22" s="8">
        <f t="shared" si="10"/>
        <v>2.3875929234630999E-2</v>
      </c>
      <c r="N22" s="8">
        <f t="shared" si="11"/>
        <v>2.2618570593753235E-2</v>
      </c>
      <c r="O22" s="8">
        <f t="shared" si="12"/>
        <v>3.6647137305340347E-2</v>
      </c>
      <c r="P22" s="8">
        <f t="shared" si="13"/>
        <v>4.64061696320884E-2</v>
      </c>
    </row>
    <row r="23" spans="2:16" x14ac:dyDescent="0.3">
      <c r="B23" s="9" t="s">
        <v>57</v>
      </c>
      <c r="C23" s="9">
        <f t="shared" si="2"/>
        <v>-3.5263593258697379E-2</v>
      </c>
      <c r="D23" s="9">
        <f t="shared" si="3"/>
        <v>-1.6481759642398564E-2</v>
      </c>
      <c r="E23" s="9">
        <f t="shared" si="4"/>
        <v>-3.171968514587388E-2</v>
      </c>
      <c r="F23" s="9">
        <f t="shared" si="5"/>
        <v>-2.7133007359988338E-2</v>
      </c>
      <c r="G23" s="9">
        <f t="shared" si="6"/>
        <v>-2.0982936460293422E-3</v>
      </c>
      <c r="H23" s="9">
        <f t="shared" si="7"/>
        <v>2.8351482566458738E-2</v>
      </c>
      <c r="J23" s="9" t="s">
        <v>57</v>
      </c>
      <c r="K23" s="8">
        <f t="shared" si="8"/>
        <v>2.6673049513401364E-2</v>
      </c>
      <c r="L23" s="8">
        <f t="shared" si="9"/>
        <v>2.8249340697548184E-2</v>
      </c>
      <c r="M23" s="8">
        <f t="shared" si="10"/>
        <v>3.2972015416168378E-2</v>
      </c>
      <c r="N23" s="8">
        <f t="shared" si="11"/>
        <v>2.8762606146979525E-2</v>
      </c>
      <c r="O23" s="8">
        <f t="shared" si="12"/>
        <v>4.7879394021770383E-2</v>
      </c>
      <c r="P23" s="8">
        <f t="shared" si="13"/>
        <v>5.8272023560667505E-2</v>
      </c>
    </row>
    <row r="24" spans="2:16" x14ac:dyDescent="0.3">
      <c r="B24" s="9" t="s">
        <v>58</v>
      </c>
      <c r="C24" s="9">
        <f t="shared" si="2"/>
        <v>1.9649208758700742E-2</v>
      </c>
      <c r="D24" s="9">
        <f t="shared" si="3"/>
        <v>-3.3619042514643913E-2</v>
      </c>
      <c r="E24" s="9">
        <f t="shared" si="4"/>
        <v>8.8819025565912132E-2</v>
      </c>
      <c r="F24" s="9">
        <f t="shared" si="5"/>
        <v>3.0821006176774232E-2</v>
      </c>
      <c r="G24" s="9">
        <f t="shared" si="6"/>
        <v>-3.1065442602101756E-3</v>
      </c>
      <c r="H24" s="9">
        <f t="shared" si="7"/>
        <v>-1.5029649403654297E-2</v>
      </c>
      <c r="J24" s="9" t="s">
        <v>58</v>
      </c>
      <c r="K24" s="8">
        <f t="shared" si="8"/>
        <v>3.4672161595143643E-2</v>
      </c>
      <c r="L24" s="8">
        <f t="shared" si="9"/>
        <v>3.4001087499753772E-2</v>
      </c>
      <c r="M24" s="8">
        <f t="shared" si="10"/>
        <v>4.5859201579433087E-2</v>
      </c>
      <c r="N24" s="8">
        <f t="shared" si="11"/>
        <v>3.8065781185234356E-2</v>
      </c>
      <c r="O24" s="8">
        <f t="shared" si="12"/>
        <v>5.6893865162940253E-2</v>
      </c>
      <c r="P24" s="8">
        <f t="shared" si="13"/>
        <v>6.8668509871059907E-2</v>
      </c>
    </row>
    <row r="25" spans="2:16" x14ac:dyDescent="0.3">
      <c r="B25" s="9" t="s">
        <v>59</v>
      </c>
      <c r="C25" s="9">
        <f t="shared" si="2"/>
        <v>-7.5074824677251434E-2</v>
      </c>
      <c r="D25" s="9">
        <f t="shared" si="3"/>
        <v>-7.9000970687438193E-2</v>
      </c>
      <c r="E25" s="9">
        <f t="shared" si="4"/>
        <v>-6.7060140175942917E-2</v>
      </c>
      <c r="F25" s="9">
        <f t="shared" si="5"/>
        <v>-8.0598657845076666E-2</v>
      </c>
      <c r="G25" s="9">
        <f t="shared" si="6"/>
        <v>-9.6107520052052073E-2</v>
      </c>
      <c r="H25" s="9">
        <f t="shared" si="7"/>
        <v>-1.3801408084923153E-2</v>
      </c>
      <c r="J25" s="9" t="s">
        <v>59</v>
      </c>
      <c r="K25" s="8">
        <f t="shared" si="8"/>
        <v>7.2098782681259022E-2</v>
      </c>
      <c r="L25" s="8">
        <f t="shared" si="9"/>
        <v>6.4602020440780963E-2</v>
      </c>
      <c r="M25" s="8">
        <f t="shared" si="10"/>
        <v>9.9579909961203805E-2</v>
      </c>
      <c r="N25" s="8">
        <f t="shared" si="11"/>
        <v>7.845861208930803E-2</v>
      </c>
      <c r="O25" s="8">
        <f t="shared" si="12"/>
        <v>0.10475688379556654</v>
      </c>
      <c r="P25" s="8">
        <f t="shared" si="13"/>
        <v>0.1324736817466203</v>
      </c>
    </row>
    <row r="26" spans="2:16" x14ac:dyDescent="0.3">
      <c r="B26" s="9" t="s">
        <v>64</v>
      </c>
      <c r="C26" s="9">
        <f t="shared" si="2"/>
        <v>0.15636461002973934</v>
      </c>
      <c r="D26" s="9">
        <f t="shared" si="3"/>
        <v>0.19201826028440827</v>
      </c>
      <c r="E26" s="9">
        <f t="shared" si="4"/>
        <v>2.8856613519125718E-2</v>
      </c>
      <c r="F26" s="9">
        <f t="shared" si="5"/>
        <v>0.13054534488574721</v>
      </c>
      <c r="G26" s="9">
        <f t="shared" si="6"/>
        <v>2.0114894832655716E-2</v>
      </c>
      <c r="H26" s="9">
        <f t="shared" si="7"/>
        <v>-0.14559792342253547</v>
      </c>
      <c r="J26" s="9" t="s">
        <v>64</v>
      </c>
      <c r="K26" s="8">
        <f t="shared" si="8"/>
        <v>0.67310622282712274</v>
      </c>
      <c r="L26" s="8">
        <f t="shared" si="9"/>
        <v>0.65522484309357487</v>
      </c>
      <c r="M26" s="8">
        <f t="shared" si="10"/>
        <v>0.73705532448668154</v>
      </c>
      <c r="N26" s="8">
        <f t="shared" si="11"/>
        <v>0.68605536214899121</v>
      </c>
      <c r="O26" s="8">
        <f t="shared" si="12"/>
        <v>0.74143955976806486</v>
      </c>
      <c r="P26" s="8">
        <f t="shared" si="13"/>
        <v>0.8245495305220254</v>
      </c>
    </row>
    <row r="27" spans="2:16" x14ac:dyDescent="0.3">
      <c r="J27" s="13" t="s">
        <v>77</v>
      </c>
      <c r="K27" s="11">
        <f>SUM(K16:K26)</f>
        <v>0.86157435876307309</v>
      </c>
      <c r="L27" s="11">
        <f t="shared" ref="L27:P27" si="14">SUM(L16:L26)</f>
        <v>0.82730994063643926</v>
      </c>
      <c r="M27" s="11">
        <f t="shared" si="14"/>
        <v>0.97338152866986638</v>
      </c>
      <c r="N27" s="11">
        <f t="shared" si="14"/>
        <v>0.90064945151756048</v>
      </c>
      <c r="O27" s="11">
        <f t="shared" si="14"/>
        <v>1.0560719604834119</v>
      </c>
      <c r="P27" s="11">
        <f t="shared" si="14"/>
        <v>1.2177169658323628</v>
      </c>
    </row>
    <row r="28" spans="2:16" x14ac:dyDescent="0.3">
      <c r="J28" s="14" t="s">
        <v>78</v>
      </c>
      <c r="K28" s="12">
        <f>1-K27</f>
        <v>0.13842564123692691</v>
      </c>
      <c r="L28" s="12">
        <f t="shared" ref="L28:P28" si="15">1-L27</f>
        <v>0.17269005936356074</v>
      </c>
      <c r="M28" s="12">
        <f t="shared" si="15"/>
        <v>2.661847133013362E-2</v>
      </c>
      <c r="N28" s="12">
        <f t="shared" si="15"/>
        <v>9.9350548482439516E-2</v>
      </c>
      <c r="O28" s="12">
        <f t="shared" si="15"/>
        <v>-5.6071960483411898E-2</v>
      </c>
      <c r="P28" s="12">
        <f t="shared" si="15"/>
        <v>-0.21771696583236277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ÁGUAS FORMOSAS</vt:lpstr>
      <vt:lpstr>ALMENARA-JACINTO</vt:lpstr>
      <vt:lpstr>ITAMBACURI</vt:lpstr>
      <vt:lpstr>ITAOBIM</vt:lpstr>
      <vt:lpstr>NANUQUE</vt:lpstr>
      <vt:lpstr>PADRE PARAÍSO</vt:lpstr>
      <vt:lpstr>PEDRA AZUL</vt:lpstr>
      <vt:lpstr>TEÓFILO OTONI - MALACACHETA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2025-04-20T19:51:48Z</dcterms:created>
  <dcterms:modified xsi:type="dcterms:W3CDTF">2025-11-26T01:19:00Z</dcterms:modified>
</cp:coreProperties>
</file>