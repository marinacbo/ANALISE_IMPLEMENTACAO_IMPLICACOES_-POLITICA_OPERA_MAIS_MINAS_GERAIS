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35" documentId="8_{9D3C141C-7753-43BE-8881-FA66A76D8AFF}" xr6:coauthVersionLast="47" xr6:coauthVersionMax="47" xr10:uidLastSave="{DD5C304D-5652-4B8F-939E-128D18D7721A}"/>
  <bookViews>
    <workbookView xWindow="-108" yWindow="-108" windowWidth="23256" windowHeight="12456" xr2:uid="{BEDDCC82-91A3-4128-9439-6FAA85F8CDBD}"/>
  </bookViews>
  <sheets>
    <sheet name="BOCAIUVA" sheetId="1" r:id="rId1"/>
    <sheet name="BRASÍLIA DE MINAS" sheetId="2" r:id="rId2"/>
    <sheet name="CORAÇÃO DE JESUS" sheetId="3" r:id="rId3"/>
    <sheet name="FRANCISCO SÁ" sheetId="4" r:id="rId4"/>
    <sheet name="JANAÚBA - MONTE AZUL" sheetId="5" r:id="rId5"/>
    <sheet name="JANUÁRIA" sheetId="6" r:id="rId6"/>
    <sheet name="MANGA" sheetId="7" r:id="rId7"/>
    <sheet name="MONTES CLAROS" sheetId="8" r:id="rId8"/>
    <sheet name="PIRAPORA" sheetId="9" r:id="rId9"/>
    <sheet name="SALINAS" sheetId="10" r:id="rId10"/>
    <sheet name="TAIOBEIR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 s="1"/>
  <c r="J5" i="8" s="1"/>
  <c r="J6" i="8" s="1"/>
  <c r="J7" i="8" s="1"/>
  <c r="P15" i="8" s="1"/>
  <c r="L24" i="11"/>
  <c r="M24" i="11"/>
  <c r="N24" i="11"/>
  <c r="O24" i="11"/>
  <c r="P24" i="11"/>
  <c r="K16" i="11"/>
  <c r="L16" i="11"/>
  <c r="M16" i="11"/>
  <c r="N16" i="11"/>
  <c r="O16" i="11"/>
  <c r="P16" i="11"/>
  <c r="K17" i="11"/>
  <c r="L17" i="11"/>
  <c r="M17" i="11"/>
  <c r="N17" i="11"/>
  <c r="O17" i="11"/>
  <c r="P17" i="11"/>
  <c r="K18" i="11"/>
  <c r="L18" i="11"/>
  <c r="M18" i="11"/>
  <c r="N18" i="11"/>
  <c r="O18" i="11"/>
  <c r="P18" i="11"/>
  <c r="K19" i="11"/>
  <c r="L19" i="11"/>
  <c r="M19" i="11"/>
  <c r="N19" i="11"/>
  <c r="O19" i="11"/>
  <c r="P19" i="11"/>
  <c r="K20" i="11"/>
  <c r="L20" i="11"/>
  <c r="M20" i="11"/>
  <c r="N20" i="11"/>
  <c r="O20" i="11"/>
  <c r="P20" i="11"/>
  <c r="K21" i="11"/>
  <c r="L21" i="11"/>
  <c r="M21" i="11"/>
  <c r="N21" i="11"/>
  <c r="O21" i="11"/>
  <c r="P21" i="11"/>
  <c r="K22" i="11"/>
  <c r="L22" i="11"/>
  <c r="M22" i="11"/>
  <c r="N22" i="11"/>
  <c r="O22" i="11"/>
  <c r="P22" i="11"/>
  <c r="K23" i="11"/>
  <c r="L23" i="11"/>
  <c r="M23" i="11"/>
  <c r="N23" i="11"/>
  <c r="O23" i="11"/>
  <c r="P23" i="11"/>
  <c r="P15" i="11"/>
  <c r="O15" i="11"/>
  <c r="N15" i="11"/>
  <c r="M15" i="11"/>
  <c r="L15" i="11"/>
  <c r="K15" i="11"/>
  <c r="P14" i="11"/>
  <c r="O14" i="11"/>
  <c r="N14" i="11"/>
  <c r="M14" i="11"/>
  <c r="L14" i="11"/>
  <c r="K14" i="11"/>
  <c r="P15" i="10"/>
  <c r="M13" i="10"/>
  <c r="L13" i="10"/>
  <c r="P12" i="10"/>
  <c r="K12" i="10"/>
  <c r="P11" i="10"/>
  <c r="P10" i="10"/>
  <c r="O10" i="10"/>
  <c r="N10" i="10"/>
  <c r="M10" i="10"/>
  <c r="L10" i="10"/>
  <c r="K10" i="10"/>
  <c r="O16" i="9"/>
  <c r="N15" i="9"/>
  <c r="M15" i="9"/>
  <c r="L14" i="9"/>
  <c r="K14" i="9"/>
  <c r="O12" i="9"/>
  <c r="P11" i="9"/>
  <c r="O11" i="9"/>
  <c r="N11" i="9"/>
  <c r="M11" i="9"/>
  <c r="L11" i="9"/>
  <c r="K11" i="9"/>
  <c r="P10" i="8"/>
  <c r="O10" i="8"/>
  <c r="N10" i="8"/>
  <c r="M10" i="8"/>
  <c r="L10" i="8"/>
  <c r="K10" i="8"/>
  <c r="K13" i="7"/>
  <c r="O11" i="7"/>
  <c r="P9" i="7"/>
  <c r="O9" i="7"/>
  <c r="N9" i="7"/>
  <c r="M9" i="7"/>
  <c r="L9" i="7"/>
  <c r="K9" i="7"/>
  <c r="P12" i="6"/>
  <c r="O12" i="6"/>
  <c r="L10" i="6"/>
  <c r="K10" i="6"/>
  <c r="P9" i="6"/>
  <c r="O9" i="6"/>
  <c r="N9" i="6"/>
  <c r="M9" i="6"/>
  <c r="L9" i="6"/>
  <c r="K9" i="6"/>
  <c r="M32" i="5"/>
  <c r="L32" i="5"/>
  <c r="P30" i="5"/>
  <c r="L28" i="5"/>
  <c r="P26" i="5"/>
  <c r="L24" i="5"/>
  <c r="P22" i="5"/>
  <c r="L20" i="5"/>
  <c r="P19" i="5"/>
  <c r="O19" i="5"/>
  <c r="N19" i="5"/>
  <c r="M19" i="5"/>
  <c r="L19" i="5"/>
  <c r="K19" i="5"/>
  <c r="K15" i="4"/>
  <c r="N14" i="4"/>
  <c r="N12" i="4"/>
  <c r="M12" i="4"/>
  <c r="K12" i="4"/>
  <c r="K11" i="4"/>
  <c r="P10" i="4"/>
  <c r="O10" i="4"/>
  <c r="N10" i="4"/>
  <c r="M10" i="4"/>
  <c r="L10" i="4"/>
  <c r="K10" i="4"/>
  <c r="P12" i="3"/>
  <c r="O12" i="3"/>
  <c r="N11" i="3"/>
  <c r="M11" i="3"/>
  <c r="K10" i="3"/>
  <c r="P9" i="3"/>
  <c r="O9" i="3"/>
  <c r="N9" i="3"/>
  <c r="M9" i="3"/>
  <c r="L9" i="3"/>
  <c r="K9" i="3"/>
  <c r="K33" i="2"/>
  <c r="O32" i="2"/>
  <c r="M31" i="2"/>
  <c r="M30" i="2"/>
  <c r="L30" i="2"/>
  <c r="K30" i="2"/>
  <c r="K29" i="2"/>
  <c r="P28" i="2"/>
  <c r="O28" i="2"/>
  <c r="M27" i="2"/>
  <c r="M26" i="2"/>
  <c r="L26" i="2"/>
  <c r="K26" i="2"/>
  <c r="K25" i="2"/>
  <c r="P24" i="2"/>
  <c r="O24" i="2"/>
  <c r="M23" i="2"/>
  <c r="M22" i="2"/>
  <c r="L22" i="2"/>
  <c r="K22" i="2"/>
  <c r="K21" i="2"/>
  <c r="P20" i="2"/>
  <c r="O20" i="2"/>
  <c r="P19" i="2"/>
  <c r="O19" i="2"/>
  <c r="N19" i="2"/>
  <c r="M19" i="2"/>
  <c r="L19" i="2"/>
  <c r="K19" i="2"/>
  <c r="P15" i="1"/>
  <c r="L15" i="1"/>
  <c r="K15" i="1"/>
  <c r="P13" i="1"/>
  <c r="O13" i="1"/>
  <c r="L13" i="1"/>
  <c r="M12" i="1"/>
  <c r="P11" i="1"/>
  <c r="L11" i="1"/>
  <c r="K11" i="1"/>
  <c r="P10" i="1"/>
  <c r="O10" i="1"/>
  <c r="N10" i="1"/>
  <c r="M10" i="1"/>
  <c r="L10" i="1"/>
  <c r="K10" i="1"/>
  <c r="H15" i="11"/>
  <c r="H16" i="11"/>
  <c r="H17" i="11"/>
  <c r="H18" i="11"/>
  <c r="H19" i="11"/>
  <c r="H20" i="11"/>
  <c r="H21" i="11"/>
  <c r="H22" i="11"/>
  <c r="H23" i="11"/>
  <c r="H14" i="11"/>
  <c r="G15" i="11"/>
  <c r="G16" i="11"/>
  <c r="G17" i="11"/>
  <c r="G18" i="11"/>
  <c r="G19" i="11"/>
  <c r="G20" i="11"/>
  <c r="G21" i="11"/>
  <c r="G22" i="11"/>
  <c r="G23" i="11"/>
  <c r="G14" i="11"/>
  <c r="F15" i="11"/>
  <c r="F16" i="11"/>
  <c r="F17" i="11"/>
  <c r="F18" i="11"/>
  <c r="F19" i="11"/>
  <c r="F20" i="11"/>
  <c r="F21" i="11"/>
  <c r="F22" i="11"/>
  <c r="F23" i="11"/>
  <c r="F14" i="11"/>
  <c r="E15" i="11"/>
  <c r="E16" i="11"/>
  <c r="E17" i="11"/>
  <c r="E18" i="11"/>
  <c r="E19" i="11"/>
  <c r="E20" i="11"/>
  <c r="E21" i="11"/>
  <c r="E22" i="11"/>
  <c r="E23" i="11"/>
  <c r="E14" i="11"/>
  <c r="D15" i="11"/>
  <c r="D16" i="11"/>
  <c r="D17" i="11"/>
  <c r="D18" i="11"/>
  <c r="D19" i="11"/>
  <c r="D20" i="11"/>
  <c r="D21" i="11"/>
  <c r="D22" i="11"/>
  <c r="D23" i="11"/>
  <c r="D14" i="11"/>
  <c r="C20" i="11"/>
  <c r="C21" i="11"/>
  <c r="C22" i="11"/>
  <c r="C23" i="11"/>
  <c r="C15" i="11"/>
  <c r="C16" i="11"/>
  <c r="C17" i="11"/>
  <c r="C18" i="11"/>
  <c r="C19" i="11"/>
  <c r="C14" i="11"/>
  <c r="P3" i="11"/>
  <c r="P4" i="11" s="1"/>
  <c r="P5" i="11" s="1"/>
  <c r="P6" i="11" s="1"/>
  <c r="P7" i="11" s="1"/>
  <c r="P8" i="11" s="1"/>
  <c r="P9" i="11" s="1"/>
  <c r="P10" i="11" s="1"/>
  <c r="P11" i="11" s="1"/>
  <c r="O3" i="11"/>
  <c r="O4" i="11" s="1"/>
  <c r="O5" i="11" s="1"/>
  <c r="O6" i="11" s="1"/>
  <c r="O7" i="11" s="1"/>
  <c r="O8" i="11" s="1"/>
  <c r="O9" i="11" s="1"/>
  <c r="O10" i="11" s="1"/>
  <c r="O11" i="11" s="1"/>
  <c r="N3" i="11"/>
  <c r="N4" i="11" s="1"/>
  <c r="N5" i="11" s="1"/>
  <c r="N6" i="11" s="1"/>
  <c r="N7" i="11" s="1"/>
  <c r="N8" i="11" s="1"/>
  <c r="N9" i="11" s="1"/>
  <c r="N10" i="11" s="1"/>
  <c r="N11" i="11" s="1"/>
  <c r="M3" i="11"/>
  <c r="M4" i="11" s="1"/>
  <c r="M5" i="11" s="1"/>
  <c r="M6" i="11" s="1"/>
  <c r="M7" i="11" s="1"/>
  <c r="M8" i="11" s="1"/>
  <c r="M9" i="11" s="1"/>
  <c r="M10" i="11" s="1"/>
  <c r="M11" i="11" s="1"/>
  <c r="L3" i="11"/>
  <c r="L4" i="11" s="1"/>
  <c r="L5" i="11" s="1"/>
  <c r="L6" i="11" s="1"/>
  <c r="L7" i="11" s="1"/>
  <c r="L8" i="11" s="1"/>
  <c r="L9" i="11" s="1"/>
  <c r="L10" i="11" s="1"/>
  <c r="L11" i="11" s="1"/>
  <c r="K3" i="11"/>
  <c r="K4" i="11" s="1"/>
  <c r="K5" i="11" s="1"/>
  <c r="K6" i="11" s="1"/>
  <c r="K7" i="11" s="1"/>
  <c r="K8" i="11" s="1"/>
  <c r="K9" i="11" s="1"/>
  <c r="K10" i="11" s="1"/>
  <c r="K11" i="11" s="1"/>
  <c r="J3" i="11"/>
  <c r="J4" i="11" s="1"/>
  <c r="J5" i="11" s="1"/>
  <c r="J6" i="11" s="1"/>
  <c r="J7" i="11" s="1"/>
  <c r="J8" i="11" s="1"/>
  <c r="J9" i="11" s="1"/>
  <c r="J10" i="11" s="1"/>
  <c r="J11" i="11" s="1"/>
  <c r="H15" i="10"/>
  <c r="G15" i="10"/>
  <c r="F15" i="10"/>
  <c r="E15" i="10"/>
  <c r="D15" i="10"/>
  <c r="C15" i="10"/>
  <c r="H14" i="10"/>
  <c r="G14" i="10"/>
  <c r="F14" i="10"/>
  <c r="E14" i="10"/>
  <c r="D14" i="10"/>
  <c r="C14" i="10"/>
  <c r="H13" i="10"/>
  <c r="G13" i="10"/>
  <c r="F13" i="10"/>
  <c r="E13" i="10"/>
  <c r="D13" i="10"/>
  <c r="C13" i="10"/>
  <c r="H12" i="10"/>
  <c r="G12" i="10"/>
  <c r="F12" i="10"/>
  <c r="E12" i="10"/>
  <c r="D12" i="10"/>
  <c r="C12" i="10"/>
  <c r="H11" i="10"/>
  <c r="G11" i="10"/>
  <c r="F11" i="10"/>
  <c r="E11" i="10"/>
  <c r="D11" i="10"/>
  <c r="C11" i="10"/>
  <c r="H10" i="10"/>
  <c r="G10" i="10"/>
  <c r="F10" i="10"/>
  <c r="E10" i="10"/>
  <c r="D10" i="10"/>
  <c r="C10" i="10"/>
  <c r="P3" i="10"/>
  <c r="P4" i="10" s="1"/>
  <c r="P5" i="10" s="1"/>
  <c r="P6" i="10" s="1"/>
  <c r="P7" i="10" s="1"/>
  <c r="O3" i="10"/>
  <c r="O4" i="10" s="1"/>
  <c r="O5" i="10" s="1"/>
  <c r="O6" i="10" s="1"/>
  <c r="O7" i="10" s="1"/>
  <c r="N3" i="10"/>
  <c r="N4" i="10" s="1"/>
  <c r="N5" i="10" s="1"/>
  <c r="N6" i="10" s="1"/>
  <c r="N7" i="10" s="1"/>
  <c r="N15" i="10" s="1"/>
  <c r="M3" i="10"/>
  <c r="M4" i="10" s="1"/>
  <c r="M5" i="10" s="1"/>
  <c r="M6" i="10" s="1"/>
  <c r="M7" i="10" s="1"/>
  <c r="L3" i="10"/>
  <c r="L4" i="10" s="1"/>
  <c r="L5" i="10" s="1"/>
  <c r="L6" i="10" s="1"/>
  <c r="L7" i="10" s="1"/>
  <c r="K3" i="10"/>
  <c r="K4" i="10" s="1"/>
  <c r="K5" i="10" s="1"/>
  <c r="K6" i="10" s="1"/>
  <c r="K7" i="10" s="1"/>
  <c r="J3" i="10"/>
  <c r="J4" i="10" s="1"/>
  <c r="J5" i="10" s="1"/>
  <c r="J6" i="10" s="1"/>
  <c r="J7" i="10" s="1"/>
  <c r="O15" i="10" s="1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P3" i="9"/>
  <c r="P4" i="9" s="1"/>
  <c r="P5" i="9" s="1"/>
  <c r="P6" i="9" s="1"/>
  <c r="P7" i="9" s="1"/>
  <c r="P8" i="9" s="1"/>
  <c r="O3" i="9"/>
  <c r="O4" i="9" s="1"/>
  <c r="O5" i="9" s="1"/>
  <c r="O6" i="9" s="1"/>
  <c r="O7" i="9" s="1"/>
  <c r="O8" i="9" s="1"/>
  <c r="N3" i="9"/>
  <c r="N4" i="9" s="1"/>
  <c r="N5" i="9" s="1"/>
  <c r="N6" i="9" s="1"/>
  <c r="N7" i="9" s="1"/>
  <c r="N8" i="9" s="1"/>
  <c r="M3" i="9"/>
  <c r="M4" i="9" s="1"/>
  <c r="M5" i="9" s="1"/>
  <c r="M6" i="9" s="1"/>
  <c r="M7" i="9" s="1"/>
  <c r="M8" i="9" s="1"/>
  <c r="L3" i="9"/>
  <c r="L4" i="9" s="1"/>
  <c r="L5" i="9" s="1"/>
  <c r="L6" i="9" s="1"/>
  <c r="L7" i="9" s="1"/>
  <c r="L8" i="9" s="1"/>
  <c r="K3" i="9"/>
  <c r="K4" i="9" s="1"/>
  <c r="K5" i="9" s="1"/>
  <c r="K6" i="9" s="1"/>
  <c r="K7" i="9" s="1"/>
  <c r="K8" i="9" s="1"/>
  <c r="J3" i="9"/>
  <c r="J4" i="9" s="1"/>
  <c r="J5" i="9" s="1"/>
  <c r="J6" i="9" s="1"/>
  <c r="J7" i="9" s="1"/>
  <c r="J8" i="9" s="1"/>
  <c r="P17" i="9" s="1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H11" i="8"/>
  <c r="G11" i="8"/>
  <c r="F11" i="8"/>
  <c r="E11" i="8"/>
  <c r="D11" i="8"/>
  <c r="C11" i="8"/>
  <c r="H10" i="8"/>
  <c r="G10" i="8"/>
  <c r="F10" i="8"/>
  <c r="E10" i="8"/>
  <c r="D10" i="8"/>
  <c r="C10" i="8"/>
  <c r="P3" i="8"/>
  <c r="P4" i="8" s="1"/>
  <c r="P5" i="8" s="1"/>
  <c r="P6" i="8" s="1"/>
  <c r="P7" i="8" s="1"/>
  <c r="O3" i="8"/>
  <c r="O4" i="8" s="1"/>
  <c r="O5" i="8" s="1"/>
  <c r="O6" i="8" s="1"/>
  <c r="O7" i="8" s="1"/>
  <c r="N3" i="8"/>
  <c r="N4" i="8" s="1"/>
  <c r="N5" i="8" s="1"/>
  <c r="N6" i="8" s="1"/>
  <c r="N7" i="8" s="1"/>
  <c r="M3" i="8"/>
  <c r="M4" i="8" s="1"/>
  <c r="M5" i="8" s="1"/>
  <c r="M6" i="8" s="1"/>
  <c r="M7" i="8" s="1"/>
  <c r="L3" i="8"/>
  <c r="L4" i="8" s="1"/>
  <c r="L5" i="8" s="1"/>
  <c r="L6" i="8" s="1"/>
  <c r="L7" i="8" s="1"/>
  <c r="K3" i="8"/>
  <c r="K4" i="8" s="1"/>
  <c r="K5" i="8" s="1"/>
  <c r="K6" i="8" s="1"/>
  <c r="K7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P13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L4" i="6"/>
  <c r="L5" i="6" s="1"/>
  <c r="L6" i="6" s="1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K3" i="6"/>
  <c r="K4" i="6" s="1"/>
  <c r="K5" i="6" s="1"/>
  <c r="K6" i="6" s="1"/>
  <c r="J3" i="6"/>
  <c r="J4" i="6" s="1"/>
  <c r="J5" i="6" s="1"/>
  <c r="J6" i="6" s="1"/>
  <c r="P13" i="6" s="1"/>
  <c r="H33" i="5"/>
  <c r="G33" i="5"/>
  <c r="F33" i="5"/>
  <c r="E33" i="5"/>
  <c r="D33" i="5"/>
  <c r="C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P4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33" i="5" s="1"/>
  <c r="P3" i="5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N3" i="5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P33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P15" i="4" s="1"/>
  <c r="O3" i="4"/>
  <c r="O4" i="4" s="1"/>
  <c r="O5" i="4" s="1"/>
  <c r="O6" i="4" s="1"/>
  <c r="O7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L15" i="4" s="1"/>
  <c r="K3" i="4"/>
  <c r="K4" i="4" s="1"/>
  <c r="K5" i="4" s="1"/>
  <c r="K6" i="4" s="1"/>
  <c r="K7" i="4" s="1"/>
  <c r="J3" i="4"/>
  <c r="J4" i="4" s="1"/>
  <c r="J5" i="4" s="1"/>
  <c r="J6" i="4" s="1"/>
  <c r="J7" i="4" s="1"/>
  <c r="O15" i="4" s="1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P3" i="3"/>
  <c r="P4" i="3" s="1"/>
  <c r="P5" i="3" s="1"/>
  <c r="P6" i="3" s="1"/>
  <c r="O3" i="3"/>
  <c r="O4" i="3" s="1"/>
  <c r="O5" i="3" s="1"/>
  <c r="O6" i="3" s="1"/>
  <c r="N3" i="3"/>
  <c r="N4" i="3" s="1"/>
  <c r="N5" i="3" s="1"/>
  <c r="N6" i="3" s="1"/>
  <c r="M3" i="3"/>
  <c r="M4" i="3" s="1"/>
  <c r="M5" i="3" s="1"/>
  <c r="M6" i="3" s="1"/>
  <c r="L3" i="3"/>
  <c r="L4" i="3" s="1"/>
  <c r="L5" i="3" s="1"/>
  <c r="L6" i="3" s="1"/>
  <c r="K3" i="3"/>
  <c r="K4" i="3" s="1"/>
  <c r="K5" i="3" s="1"/>
  <c r="K6" i="3" s="1"/>
  <c r="J3" i="3"/>
  <c r="J4" i="3" s="1"/>
  <c r="J5" i="3" s="1"/>
  <c r="J6" i="3" s="1"/>
  <c r="P13" i="3" s="1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N3" i="2"/>
  <c r="N4" i="2" s="1"/>
  <c r="N5" i="2" s="1"/>
  <c r="N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P33" i="2" s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P3" i="1"/>
  <c r="P4" i="1" s="1"/>
  <c r="P5" i="1" s="1"/>
  <c r="P6" i="1" s="1"/>
  <c r="P7" i="1" s="1"/>
  <c r="O3" i="1"/>
  <c r="O4" i="1" s="1"/>
  <c r="O5" i="1" s="1"/>
  <c r="O6" i="1" s="1"/>
  <c r="O7" i="1" s="1"/>
  <c r="N3" i="1"/>
  <c r="N4" i="1" s="1"/>
  <c r="N5" i="1" s="1"/>
  <c r="N6" i="1" s="1"/>
  <c r="N7" i="1" s="1"/>
  <c r="M3" i="1"/>
  <c r="M4" i="1" s="1"/>
  <c r="M5" i="1" s="1"/>
  <c r="M6" i="1" s="1"/>
  <c r="M7" i="1" s="1"/>
  <c r="L3" i="1"/>
  <c r="L4" i="1" s="1"/>
  <c r="L5" i="1" s="1"/>
  <c r="L6" i="1" s="1"/>
  <c r="L7" i="1" s="1"/>
  <c r="K3" i="1"/>
  <c r="K4" i="1" s="1"/>
  <c r="K5" i="1" s="1"/>
  <c r="K6" i="1" s="1"/>
  <c r="K7" i="1" s="1"/>
  <c r="J3" i="1"/>
  <c r="J4" i="1" s="1"/>
  <c r="J5" i="1" s="1"/>
  <c r="J6" i="1" s="1"/>
  <c r="J7" i="1" s="1"/>
  <c r="O15" i="1" s="1"/>
  <c r="L12" i="8" l="1"/>
  <c r="N12" i="8"/>
  <c r="K14" i="8"/>
  <c r="P14" i="8"/>
  <c r="M12" i="8"/>
  <c r="L14" i="8"/>
  <c r="O12" i="8"/>
  <c r="K15" i="8"/>
  <c r="K11" i="8"/>
  <c r="P12" i="8"/>
  <c r="L15" i="8"/>
  <c r="L11" i="8"/>
  <c r="N13" i="8"/>
  <c r="M15" i="8"/>
  <c r="M11" i="8"/>
  <c r="O13" i="8"/>
  <c r="N15" i="8"/>
  <c r="N11" i="8"/>
  <c r="P13" i="8"/>
  <c r="O11" i="8"/>
  <c r="K13" i="8"/>
  <c r="M14" i="8"/>
  <c r="O15" i="8"/>
  <c r="P11" i="8"/>
  <c r="L13" i="8"/>
  <c r="N14" i="8"/>
  <c r="K12" i="8"/>
  <c r="M13" i="8"/>
  <c r="O14" i="8"/>
  <c r="K24" i="11"/>
  <c r="K25" i="11" s="1"/>
  <c r="L25" i="11"/>
  <c r="P25" i="11"/>
  <c r="M25" i="11"/>
  <c r="N25" i="11"/>
  <c r="O14" i="10"/>
  <c r="L12" i="10"/>
  <c r="N13" i="10"/>
  <c r="P14" i="10"/>
  <c r="K11" i="10"/>
  <c r="M12" i="10"/>
  <c r="O13" i="10"/>
  <c r="K15" i="10"/>
  <c r="N14" i="10"/>
  <c r="L11" i="10"/>
  <c r="N12" i="10"/>
  <c r="N16" i="10" s="1"/>
  <c r="N17" i="10" s="1"/>
  <c r="P13" i="10"/>
  <c r="P16" i="10" s="1"/>
  <c r="P17" i="10" s="1"/>
  <c r="L15" i="10"/>
  <c r="M11" i="10"/>
  <c r="O12" i="10"/>
  <c r="K14" i="10"/>
  <c r="M15" i="10"/>
  <c r="N11" i="10"/>
  <c r="L14" i="10"/>
  <c r="O11" i="10"/>
  <c r="O16" i="10" s="1"/>
  <c r="O17" i="10" s="1"/>
  <c r="K13" i="10"/>
  <c r="M14" i="10"/>
  <c r="N18" i="9"/>
  <c r="N19" i="9" s="1"/>
  <c r="P12" i="9"/>
  <c r="P16" i="9"/>
  <c r="K13" i="9"/>
  <c r="M14" i="9"/>
  <c r="O15" i="9"/>
  <c r="K17" i="9"/>
  <c r="L13" i="9"/>
  <c r="N14" i="9"/>
  <c r="P15" i="9"/>
  <c r="L17" i="9"/>
  <c r="K12" i="9"/>
  <c r="M13" i="9"/>
  <c r="O14" i="9"/>
  <c r="K16" i="9"/>
  <c r="M17" i="9"/>
  <c r="L12" i="9"/>
  <c r="N13" i="9"/>
  <c r="P14" i="9"/>
  <c r="L16" i="9"/>
  <c r="N17" i="9"/>
  <c r="M12" i="9"/>
  <c r="O13" i="9"/>
  <c r="O18" i="9" s="1"/>
  <c r="O19" i="9" s="1"/>
  <c r="K15" i="9"/>
  <c r="M16" i="9"/>
  <c r="O17" i="9"/>
  <c r="N12" i="9"/>
  <c r="P13" i="9"/>
  <c r="L15" i="9"/>
  <c r="N16" i="9"/>
  <c r="M10" i="7"/>
  <c r="K10" i="7"/>
  <c r="K14" i="7" s="1"/>
  <c r="K15" i="7" s="1"/>
  <c r="M11" i="7"/>
  <c r="O12" i="7"/>
  <c r="L10" i="7"/>
  <c r="N11" i="7"/>
  <c r="N14" i="7" s="1"/>
  <c r="N15" i="7" s="1"/>
  <c r="P12" i="7"/>
  <c r="N10" i="7"/>
  <c r="P11" i="7"/>
  <c r="L13" i="7"/>
  <c r="O10" i="7"/>
  <c r="K12" i="7"/>
  <c r="M13" i="7"/>
  <c r="P10" i="7"/>
  <c r="L12" i="7"/>
  <c r="N13" i="7"/>
  <c r="K11" i="7"/>
  <c r="M12" i="7"/>
  <c r="O13" i="7"/>
  <c r="L11" i="7"/>
  <c r="N12" i="7"/>
  <c r="M10" i="6"/>
  <c r="O11" i="6"/>
  <c r="O14" i="6" s="1"/>
  <c r="O15" i="6" s="1"/>
  <c r="K13" i="6"/>
  <c r="N10" i="6"/>
  <c r="N14" i="6" s="1"/>
  <c r="N15" i="6" s="1"/>
  <c r="P11" i="6"/>
  <c r="L13" i="6"/>
  <c r="N11" i="6"/>
  <c r="O10" i="6"/>
  <c r="K12" i="6"/>
  <c r="M13" i="6"/>
  <c r="P10" i="6"/>
  <c r="P14" i="6" s="1"/>
  <c r="P15" i="6" s="1"/>
  <c r="L12" i="6"/>
  <c r="N13" i="6"/>
  <c r="M11" i="6"/>
  <c r="K11" i="6"/>
  <c r="K14" i="6" s="1"/>
  <c r="K15" i="6" s="1"/>
  <c r="M12" i="6"/>
  <c r="O13" i="6"/>
  <c r="L11" i="6"/>
  <c r="L14" i="6" s="1"/>
  <c r="L15" i="6" s="1"/>
  <c r="N12" i="6"/>
  <c r="O20" i="5"/>
  <c r="K26" i="5"/>
  <c r="O32" i="5"/>
  <c r="P20" i="5"/>
  <c r="L22" i="5"/>
  <c r="N23" i="5"/>
  <c r="P24" i="5"/>
  <c r="P34" i="5" s="1"/>
  <c r="P35" i="5" s="1"/>
  <c r="L26" i="5"/>
  <c r="N27" i="5"/>
  <c r="P28" i="5"/>
  <c r="L30" i="5"/>
  <c r="N31" i="5"/>
  <c r="P32" i="5"/>
  <c r="K22" i="5"/>
  <c r="O24" i="5"/>
  <c r="M27" i="5"/>
  <c r="O28" i="5"/>
  <c r="K21" i="5"/>
  <c r="M22" i="5"/>
  <c r="O23" i="5"/>
  <c r="K25" i="5"/>
  <c r="M26" i="5"/>
  <c r="O27" i="5"/>
  <c r="K29" i="5"/>
  <c r="M30" i="5"/>
  <c r="O31" i="5"/>
  <c r="K33" i="5"/>
  <c r="N21" i="5"/>
  <c r="N25" i="5"/>
  <c r="M23" i="5"/>
  <c r="M31" i="5"/>
  <c r="L21" i="5"/>
  <c r="N22" i="5"/>
  <c r="P23" i="5"/>
  <c r="L25" i="5"/>
  <c r="N26" i="5"/>
  <c r="P27" i="5"/>
  <c r="L29" i="5"/>
  <c r="N30" i="5"/>
  <c r="P31" i="5"/>
  <c r="L33" i="5"/>
  <c r="N29" i="5"/>
  <c r="K30" i="5"/>
  <c r="K20" i="5"/>
  <c r="M21" i="5"/>
  <c r="M34" i="5" s="1"/>
  <c r="M35" i="5" s="1"/>
  <c r="O22" i="5"/>
  <c r="K24" i="5"/>
  <c r="M25" i="5"/>
  <c r="O26" i="5"/>
  <c r="K28" i="5"/>
  <c r="M29" i="5"/>
  <c r="O30" i="5"/>
  <c r="K32" i="5"/>
  <c r="M33" i="5"/>
  <c r="M20" i="5"/>
  <c r="O21" i="5"/>
  <c r="K23" i="5"/>
  <c r="M24" i="5"/>
  <c r="O25" i="5"/>
  <c r="K27" i="5"/>
  <c r="M28" i="5"/>
  <c r="O29" i="5"/>
  <c r="K31" i="5"/>
  <c r="O33" i="5"/>
  <c r="N20" i="5"/>
  <c r="P21" i="5"/>
  <c r="L23" i="5"/>
  <c r="L34" i="5" s="1"/>
  <c r="L35" i="5" s="1"/>
  <c r="N24" i="5"/>
  <c r="P25" i="5"/>
  <c r="L27" i="5"/>
  <c r="N28" i="5"/>
  <c r="P29" i="5"/>
  <c r="L31" i="5"/>
  <c r="N32" i="5"/>
  <c r="M13" i="4"/>
  <c r="O14" i="4"/>
  <c r="L12" i="4"/>
  <c r="N13" i="4"/>
  <c r="P14" i="4"/>
  <c r="L11" i="4"/>
  <c r="P13" i="4"/>
  <c r="O13" i="4"/>
  <c r="M11" i="4"/>
  <c r="M16" i="4" s="1"/>
  <c r="M17" i="4" s="1"/>
  <c r="O12" i="4"/>
  <c r="K14" i="4"/>
  <c r="K16" i="4" s="1"/>
  <c r="K17" i="4" s="1"/>
  <c r="M15" i="4"/>
  <c r="N11" i="4"/>
  <c r="P12" i="4"/>
  <c r="L14" i="4"/>
  <c r="N15" i="4"/>
  <c r="O11" i="4"/>
  <c r="O16" i="4" s="1"/>
  <c r="O17" i="4" s="1"/>
  <c r="K13" i="4"/>
  <c r="M14" i="4"/>
  <c r="P11" i="4"/>
  <c r="L13" i="4"/>
  <c r="M10" i="3"/>
  <c r="O11" i="3"/>
  <c r="K13" i="3"/>
  <c r="N10" i="3"/>
  <c r="P11" i="3"/>
  <c r="L13" i="3"/>
  <c r="O10" i="3"/>
  <c r="O14" i="3" s="1"/>
  <c r="O15" i="3" s="1"/>
  <c r="K12" i="3"/>
  <c r="M13" i="3"/>
  <c r="L10" i="3"/>
  <c r="P10" i="3"/>
  <c r="P14" i="3" s="1"/>
  <c r="P15" i="3" s="1"/>
  <c r="L12" i="3"/>
  <c r="N13" i="3"/>
  <c r="K11" i="3"/>
  <c r="K14" i="3" s="1"/>
  <c r="K15" i="3" s="1"/>
  <c r="M12" i="3"/>
  <c r="O13" i="3"/>
  <c r="L11" i="3"/>
  <c r="N12" i="3"/>
  <c r="N7" i="2"/>
  <c r="N8" i="2" s="1"/>
  <c r="N9" i="2" s="1"/>
  <c r="N10" i="2" s="1"/>
  <c r="N23" i="2"/>
  <c r="P32" i="2"/>
  <c r="L21" i="2"/>
  <c r="N22" i="2"/>
  <c r="P23" i="2"/>
  <c r="L25" i="2"/>
  <c r="N26" i="2"/>
  <c r="P27" i="2"/>
  <c r="L29" i="2"/>
  <c r="P31" i="2"/>
  <c r="L33" i="2"/>
  <c r="K20" i="2"/>
  <c r="M21" i="2"/>
  <c r="O22" i="2"/>
  <c r="K24" i="2"/>
  <c r="M25" i="2"/>
  <c r="O26" i="2"/>
  <c r="K28" i="2"/>
  <c r="M29" i="2"/>
  <c r="O30" i="2"/>
  <c r="K32" i="2"/>
  <c r="M33" i="2"/>
  <c r="O23" i="2"/>
  <c r="O31" i="2"/>
  <c r="L20" i="2"/>
  <c r="L34" i="2" s="1"/>
  <c r="L35" i="2" s="1"/>
  <c r="N21" i="2"/>
  <c r="P22" i="2"/>
  <c r="L24" i="2"/>
  <c r="N25" i="2"/>
  <c r="P26" i="2"/>
  <c r="L28" i="2"/>
  <c r="P30" i="2"/>
  <c r="L32" i="2"/>
  <c r="M20" i="2"/>
  <c r="O21" i="2"/>
  <c r="O34" i="2" s="1"/>
  <c r="O35" i="2" s="1"/>
  <c r="K23" i="2"/>
  <c r="M24" i="2"/>
  <c r="O25" i="2"/>
  <c r="K27" i="2"/>
  <c r="M28" i="2"/>
  <c r="O29" i="2"/>
  <c r="K31" i="2"/>
  <c r="M32" i="2"/>
  <c r="M34" i="2" s="1"/>
  <c r="M35" i="2" s="1"/>
  <c r="O33" i="2"/>
  <c r="O27" i="2"/>
  <c r="N20" i="2"/>
  <c r="P21" i="2"/>
  <c r="L23" i="2"/>
  <c r="N24" i="2"/>
  <c r="P25" i="2"/>
  <c r="L27" i="2"/>
  <c r="P29" i="2"/>
  <c r="L31" i="2"/>
  <c r="K12" i="1"/>
  <c r="M13" i="1"/>
  <c r="O14" i="1"/>
  <c r="N14" i="1"/>
  <c r="L12" i="1"/>
  <c r="N13" i="1"/>
  <c r="P14" i="1"/>
  <c r="P16" i="1" s="1"/>
  <c r="P17" i="1" s="1"/>
  <c r="N12" i="1"/>
  <c r="M11" i="1"/>
  <c r="O12" i="1"/>
  <c r="K14" i="1"/>
  <c r="M15" i="1"/>
  <c r="N11" i="1"/>
  <c r="P12" i="1"/>
  <c r="L14" i="1"/>
  <c r="N15" i="1"/>
  <c r="O11" i="1"/>
  <c r="K13" i="1"/>
  <c r="K16" i="1" s="1"/>
  <c r="K17" i="1" s="1"/>
  <c r="M14" i="1"/>
  <c r="N16" i="8" l="1"/>
  <c r="N17" i="8" s="1"/>
  <c r="K16" i="8"/>
  <c r="K17" i="8" s="1"/>
  <c r="L16" i="8"/>
  <c r="L17" i="8" s="1"/>
  <c r="P16" i="8"/>
  <c r="P17" i="8" s="1"/>
  <c r="O16" i="8"/>
  <c r="O17" i="8" s="1"/>
  <c r="M16" i="8"/>
  <c r="M17" i="8" s="1"/>
  <c r="O25" i="11"/>
  <c r="M16" i="10"/>
  <c r="M17" i="10" s="1"/>
  <c r="K16" i="10"/>
  <c r="K17" i="10" s="1"/>
  <c r="L16" i="10"/>
  <c r="L17" i="10" s="1"/>
  <c r="K18" i="9"/>
  <c r="K19" i="9" s="1"/>
  <c r="M18" i="9"/>
  <c r="M19" i="9" s="1"/>
  <c r="L18" i="9"/>
  <c r="L19" i="9" s="1"/>
  <c r="P18" i="9"/>
  <c r="P19" i="9" s="1"/>
  <c r="P14" i="7"/>
  <c r="P15" i="7" s="1"/>
  <c r="L14" i="7"/>
  <c r="L15" i="7" s="1"/>
  <c r="O14" i="7"/>
  <c r="O15" i="7" s="1"/>
  <c r="M14" i="7"/>
  <c r="M15" i="7" s="1"/>
  <c r="M14" i="6"/>
  <c r="M15" i="6" s="1"/>
  <c r="K34" i="5"/>
  <c r="K35" i="5" s="1"/>
  <c r="N34" i="5"/>
  <c r="N35" i="5" s="1"/>
  <c r="O34" i="5"/>
  <c r="O35" i="5" s="1"/>
  <c r="L16" i="4"/>
  <c r="L17" i="4" s="1"/>
  <c r="P16" i="4"/>
  <c r="P17" i="4" s="1"/>
  <c r="N16" i="4"/>
  <c r="N17" i="4" s="1"/>
  <c r="N14" i="3"/>
  <c r="N15" i="3" s="1"/>
  <c r="L14" i="3"/>
  <c r="L15" i="3" s="1"/>
  <c r="M14" i="3"/>
  <c r="M15" i="3" s="1"/>
  <c r="K34" i="2"/>
  <c r="K35" i="2" s="1"/>
  <c r="P34" i="2"/>
  <c r="P35" i="2" s="1"/>
  <c r="N11" i="2"/>
  <c r="N27" i="2"/>
  <c r="N16" i="1"/>
  <c r="N17" i="1" s="1"/>
  <c r="L16" i="1"/>
  <c r="L17" i="1" s="1"/>
  <c r="O16" i="1"/>
  <c r="O17" i="1" s="1"/>
  <c r="M16" i="1"/>
  <c r="M17" i="1" s="1"/>
  <c r="N12" i="2" l="1"/>
  <c r="N28" i="2"/>
  <c r="N13" i="2" l="1"/>
  <c r="N29" i="2"/>
  <c r="N14" i="2" l="1"/>
  <c r="N30" i="2"/>
  <c r="N15" i="2" l="1"/>
  <c r="N31" i="2"/>
  <c r="N16" i="2" l="1"/>
  <c r="N33" i="2" s="1"/>
  <c r="N34" i="2" s="1"/>
  <c r="N35" i="2" s="1"/>
  <c r="N32" i="2"/>
</calcChain>
</file>

<file path=xl/sharedStrings.xml><?xml version="1.0" encoding="utf-8"?>
<sst xmlns="http://schemas.openxmlformats.org/spreadsheetml/2006/main" count="604" uniqueCount="109">
  <si>
    <t>BOCAIÚVA</t>
  </si>
  <si>
    <t>ENGENHEIRO NAVARRO</t>
  </si>
  <si>
    <t>FRANCISCO DUMONT</t>
  </si>
  <si>
    <t>GUARACIAMA</t>
  </si>
  <si>
    <t>JOAQUIM FELÍCIO</t>
  </si>
  <si>
    <t>OLHOS-D'ÁGUA</t>
  </si>
  <si>
    <t>BRASÍLIA DE MINAS</t>
  </si>
  <si>
    <t>CAMPO AZUL</t>
  </si>
  <si>
    <t>IBIRACATU</t>
  </si>
  <si>
    <t>ICARAÍ DE MINAS</t>
  </si>
  <si>
    <t>JAPONVAR</t>
  </si>
  <si>
    <t>LONTRA</t>
  </si>
  <si>
    <t>LUISLÂNDIA</t>
  </si>
  <si>
    <t>PATIS</t>
  </si>
  <si>
    <t>PINTÓPOLIS</t>
  </si>
  <si>
    <t>SÃO FRANCISCO</t>
  </si>
  <si>
    <t>SÃO JOÃO DA PONTE</t>
  </si>
  <si>
    <t>SÃO ROMÃO</t>
  </si>
  <si>
    <t>UBAÍ</t>
  </si>
  <si>
    <t>URUCUIA</t>
  </si>
  <si>
    <t>VARZELÂNDIA</t>
  </si>
  <si>
    <t>CORAÇÃO DE JESUS</t>
  </si>
  <si>
    <t>JEQUITAÍ</t>
  </si>
  <si>
    <t>LAGOA DOS PATOS</t>
  </si>
  <si>
    <t>SÃO JOÃO DA LAGOA</t>
  </si>
  <si>
    <t>SÃO JOÃO DO PACUÍ</t>
  </si>
  <si>
    <t>FRANCISCO SÁ</t>
  </si>
  <si>
    <t>BOTUMIRIM</t>
  </si>
  <si>
    <t>CAPITÃO ENÉAS</t>
  </si>
  <si>
    <t>CRISTÁLIA</t>
  </si>
  <si>
    <t>GRÃO MOGOL</t>
  </si>
  <si>
    <t>JOSENÓPOLIS</t>
  </si>
  <si>
    <t>CATUTI</t>
  </si>
  <si>
    <t>ESPINOSA</t>
  </si>
  <si>
    <t>GAMELEIRAS</t>
  </si>
  <si>
    <t>JAÍBA</t>
  </si>
  <si>
    <t>JANAÚBA</t>
  </si>
  <si>
    <t>MAMONAS</t>
  </si>
  <si>
    <t>MATIAS CARDOSO</t>
  </si>
  <si>
    <t>MATO VERDE</t>
  </si>
  <si>
    <t>MONTE AZUL</t>
  </si>
  <si>
    <t>NOVA PORTEIRINHA</t>
  </si>
  <si>
    <t>PAI PEDRO</t>
  </si>
  <si>
    <t>PORTEIRINHA</t>
  </si>
  <si>
    <t>RIACHO DOS MACHADOS</t>
  </si>
  <si>
    <t>SERRANÓPOLIS DE MINAS</t>
  </si>
  <si>
    <t>VERDELÂNDIA</t>
  </si>
  <si>
    <t>JANUÁRIA</t>
  </si>
  <si>
    <t>BONITO DE MINAS</t>
  </si>
  <si>
    <t>CÔNEGO MARINHO</t>
  </si>
  <si>
    <t>ITACARAMBI</t>
  </si>
  <si>
    <t>PEDRAS DE MARIA DA CRUZ</t>
  </si>
  <si>
    <t>MANGA</t>
  </si>
  <si>
    <t>JUVENÍLIA</t>
  </si>
  <si>
    <t>MIRAVÂNIA</t>
  </si>
  <si>
    <t>MONTALVÂNIA</t>
  </si>
  <si>
    <t>SÃO JOÃO DAS MISSÕES</t>
  </si>
  <si>
    <t>MONTES CLAROS</t>
  </si>
  <si>
    <t>CLARO DOS POÇÕES</t>
  </si>
  <si>
    <t>GLAUCILÂNDIA</t>
  </si>
  <si>
    <t>ITACAMBIRA</t>
  </si>
  <si>
    <t>JURAMENTO</t>
  </si>
  <si>
    <t>MIRABELA</t>
  </si>
  <si>
    <t>PIRAPORA</t>
  </si>
  <si>
    <t>BURITIZEIRO</t>
  </si>
  <si>
    <t>IBIAÍ</t>
  </si>
  <si>
    <t>LASSANCE</t>
  </si>
  <si>
    <t>PONTO CHIQUE</t>
  </si>
  <si>
    <t>SANTA FÉ DE MINAS</t>
  </si>
  <si>
    <t>VÁRZEA DA PALMA</t>
  </si>
  <si>
    <t>SALINAS</t>
  </si>
  <si>
    <t>FRUTA DE LEITE</t>
  </si>
  <si>
    <t>NOVORIZONTE</t>
  </si>
  <si>
    <t>PADRE CARVALHO</t>
  </si>
  <si>
    <t>RUBELITA</t>
  </si>
  <si>
    <t>SANTA CRUZ DE SALINAS</t>
  </si>
  <si>
    <t>TAIOBEIRAS</t>
  </si>
  <si>
    <t>BERIZAL</t>
  </si>
  <si>
    <t>CURRAL DE DENTRO</t>
  </si>
  <si>
    <t>INDAIABIRA</t>
  </si>
  <si>
    <t>MONTEZUMA</t>
  </si>
  <si>
    <t>NINHEIRA</t>
  </si>
  <si>
    <t>RIO PARDO DE MINAS</t>
  </si>
  <si>
    <t>SANTO ANTÔNIO DO RETIRO</t>
  </si>
  <si>
    <t>SÃO JOÃO DO PARAÍSO</t>
  </si>
  <si>
    <t>VARGEM GRANDE DO RIO PARDO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</si>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</sst>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63-48D8-AD54-9C97B62622BD}"/>
            </c:ext>
          </c:extLst>
        </c:ser>
        <c:ser>
          <c:idx val="1"/>
          <c:order val="1"/>
          <c:tx>
            <c:strRef>
              <c:f>BOCAIUVA!$K$1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BOCAIUVA!$K$2:$K$7</c:f>
              <c:numCache>
                <c:formatCode>0.00</c:formatCode>
                <c:ptCount val="6"/>
                <c:pt idx="0">
                  <c:v>4.710144927536232E-2</c:v>
                </c:pt>
                <c:pt idx="1">
                  <c:v>0.13768115942028986</c:v>
                </c:pt>
                <c:pt idx="2">
                  <c:v>0.18478260869565216</c:v>
                </c:pt>
                <c:pt idx="3">
                  <c:v>0.25</c:v>
                </c:pt>
                <c:pt idx="4">
                  <c:v>0.34420289855072461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63-48D8-AD54-9C97B62622BD}"/>
            </c:ext>
          </c:extLst>
        </c:ser>
        <c:ser>
          <c:idx val="2"/>
          <c:order val="2"/>
          <c:tx>
            <c:strRef>
              <c:f>BOCAIUVA!$L$1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BOCAIUVA!$L$2:$L$7</c:f>
              <c:numCache>
                <c:formatCode>0.00</c:formatCode>
                <c:ptCount val="6"/>
                <c:pt idx="0">
                  <c:v>4.8543689320388349E-2</c:v>
                </c:pt>
                <c:pt idx="1">
                  <c:v>6.7961165048543687E-2</c:v>
                </c:pt>
                <c:pt idx="2">
                  <c:v>0.11650485436893204</c:v>
                </c:pt>
                <c:pt idx="3">
                  <c:v>0.14563106796116504</c:v>
                </c:pt>
                <c:pt idx="4">
                  <c:v>0.1844660194174757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63-48D8-AD54-9C97B62622BD}"/>
            </c:ext>
          </c:extLst>
        </c:ser>
        <c:ser>
          <c:idx val="3"/>
          <c:order val="3"/>
          <c:tx>
            <c:strRef>
              <c:f>BOCAIUVA!$M$1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BOCAIUVA!$M$2:$M$7</c:f>
              <c:numCache>
                <c:formatCode>0.00</c:formatCode>
                <c:ptCount val="6"/>
                <c:pt idx="0">
                  <c:v>6.6225165562913907E-3</c:v>
                </c:pt>
                <c:pt idx="1">
                  <c:v>0.11258278145695365</c:v>
                </c:pt>
                <c:pt idx="2">
                  <c:v>0.15231788079470199</c:v>
                </c:pt>
                <c:pt idx="3">
                  <c:v>0.23178807947019869</c:v>
                </c:pt>
                <c:pt idx="4">
                  <c:v>0.29139072847682124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63-48D8-AD54-9C97B626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19696"/>
        <c:axId val="388076944"/>
      </c:scatterChart>
      <c:valAx>
        <c:axId val="4150196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076944"/>
        <c:crosses val="autoZero"/>
        <c:crossBetween val="midCat"/>
      </c:valAx>
      <c:valAx>
        <c:axId val="38807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1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BOCAIUVA!$J$1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BOCAIUVA!$J$2:$J$7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A-47AB-82D9-F0E2DC1CDF08}"/>
            </c:ext>
          </c:extLst>
        </c:ser>
        <c:ser>
          <c:idx val="1"/>
          <c:order val="1"/>
          <c:tx>
            <c:strRef>
              <c:f>BOCAIUVA!$N$1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BOCAIUVA!$N$2:$N$7</c:f>
              <c:numCache>
                <c:formatCode>0.00</c:formatCode>
                <c:ptCount val="6"/>
                <c:pt idx="0">
                  <c:v>3.787878787878788E-2</c:v>
                </c:pt>
                <c:pt idx="1">
                  <c:v>0.14015151515151517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0.37878787878787878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A-47AB-82D9-F0E2DC1CDF08}"/>
            </c:ext>
          </c:extLst>
        </c:ser>
        <c:ser>
          <c:idx val="2"/>
          <c:order val="2"/>
          <c:tx>
            <c:strRef>
              <c:f>BOCAIUVA!$O$1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BOCAIUVA!$O$2:$O$7</c:f>
              <c:numCache>
                <c:formatCode>0.00</c:formatCode>
                <c:ptCount val="6"/>
                <c:pt idx="0">
                  <c:v>3.0701754385964911E-2</c:v>
                </c:pt>
                <c:pt idx="1">
                  <c:v>0.10964912280701754</c:v>
                </c:pt>
                <c:pt idx="2">
                  <c:v>0.15789473684210525</c:v>
                </c:pt>
                <c:pt idx="3">
                  <c:v>0.26754385964912281</c:v>
                </c:pt>
                <c:pt idx="4">
                  <c:v>0.36403508771929827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A-47AB-82D9-F0E2DC1CDF08}"/>
            </c:ext>
          </c:extLst>
        </c:ser>
        <c:ser>
          <c:idx val="3"/>
          <c:order val="3"/>
          <c:tx>
            <c:strRef>
              <c:f>BOCAIUVA!$P$1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BOCAIUVA!$I$2:$I$7</c:f>
              <c:numCache>
                <c:formatCode>0.00</c:formatCode>
                <c:ptCount val="6"/>
                <c:pt idx="0">
                  <c:v>6.0189285623908698E-2</c:v>
                </c:pt>
                <c:pt idx="1">
                  <c:v>0.12351646126983323</c:v>
                </c:pt>
                <c:pt idx="2">
                  <c:v>0.19017131867297618</c:v>
                </c:pt>
                <c:pt idx="3">
                  <c:v>0.26916263886428626</c:v>
                </c:pt>
                <c:pt idx="4">
                  <c:v>0.36076878305539389</c:v>
                </c:pt>
                <c:pt idx="5">
                  <c:v>1</c:v>
                </c:pt>
              </c:numCache>
            </c:numRef>
          </c:xVal>
          <c:yVal>
            <c:numRef>
              <c:f>BOCAIUVA!$P$2:$P$7</c:f>
              <c:numCache>
                <c:formatCode>0.00</c:formatCode>
                <c:ptCount val="6"/>
                <c:pt idx="0">
                  <c:v>1.5267175572519083E-2</c:v>
                </c:pt>
                <c:pt idx="1">
                  <c:v>0.11450381679389313</c:v>
                </c:pt>
                <c:pt idx="2">
                  <c:v>0.17557251908396945</c:v>
                </c:pt>
                <c:pt idx="3">
                  <c:v>0.30534351145038163</c:v>
                </c:pt>
                <c:pt idx="4">
                  <c:v>0.40458015267175568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A-47AB-82D9-F0E2DC1C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71616"/>
        <c:axId val="544870176"/>
      </c:scatterChart>
      <c:valAx>
        <c:axId val="5448716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0176"/>
        <c:crosses val="autoZero"/>
        <c:crossBetween val="midCat"/>
      </c:valAx>
      <c:valAx>
        <c:axId val="544870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49-4B28-8D39-D249243E6BC2}"/>
            </c:ext>
          </c:extLst>
        </c:ser>
        <c:ser>
          <c:idx val="1"/>
          <c:order val="1"/>
          <c:tx>
            <c:strRef>
              <c:f>'BRASÍLIA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MINAS'!$K$2:$K$16</c:f>
              <c:numCache>
                <c:formatCode>0.00</c:formatCode>
                <c:ptCount val="15"/>
                <c:pt idx="0">
                  <c:v>1.2422360248447204E-2</c:v>
                </c:pt>
                <c:pt idx="1">
                  <c:v>2.2774327122153208E-2</c:v>
                </c:pt>
                <c:pt idx="2">
                  <c:v>8.0745341614906832E-2</c:v>
                </c:pt>
                <c:pt idx="3">
                  <c:v>0.11180124223602485</c:v>
                </c:pt>
                <c:pt idx="4">
                  <c:v>0.14906832298136646</c:v>
                </c:pt>
                <c:pt idx="5">
                  <c:v>0.2525879917184265</c:v>
                </c:pt>
                <c:pt idx="6">
                  <c:v>0.2857142857142857</c:v>
                </c:pt>
                <c:pt idx="7">
                  <c:v>0.33747412008281574</c:v>
                </c:pt>
                <c:pt idx="8">
                  <c:v>0.37474120082815737</c:v>
                </c:pt>
                <c:pt idx="9">
                  <c:v>0.38923395445134579</c:v>
                </c:pt>
                <c:pt idx="10">
                  <c:v>0.4285714285714286</c:v>
                </c:pt>
                <c:pt idx="11">
                  <c:v>0.49896480331262943</c:v>
                </c:pt>
                <c:pt idx="12">
                  <c:v>0.63354037267080754</c:v>
                </c:pt>
                <c:pt idx="13">
                  <c:v>0.824016563146998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49-4B28-8D39-D249243E6BC2}"/>
            </c:ext>
          </c:extLst>
        </c:ser>
        <c:ser>
          <c:idx val="2"/>
          <c:order val="2"/>
          <c:tx>
            <c:strRef>
              <c:f>'BRASÍLIA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MINAS'!$L$2:$L$16</c:f>
              <c:numCache>
                <c:formatCode>0.00</c:formatCode>
                <c:ptCount val="15"/>
                <c:pt idx="0">
                  <c:v>1.3333333333333334E-2</c:v>
                </c:pt>
                <c:pt idx="1">
                  <c:v>2.2222222222222223E-2</c:v>
                </c:pt>
                <c:pt idx="2">
                  <c:v>6.222222222222222E-2</c:v>
                </c:pt>
                <c:pt idx="3">
                  <c:v>8.4444444444444447E-2</c:v>
                </c:pt>
                <c:pt idx="4">
                  <c:v>0.10666666666666667</c:v>
                </c:pt>
                <c:pt idx="5">
                  <c:v>0.13333333333333333</c:v>
                </c:pt>
                <c:pt idx="6">
                  <c:v>0.16</c:v>
                </c:pt>
                <c:pt idx="7">
                  <c:v>0.18666666666666668</c:v>
                </c:pt>
                <c:pt idx="8">
                  <c:v>0.20444444444444446</c:v>
                </c:pt>
                <c:pt idx="9">
                  <c:v>0.22666666666666668</c:v>
                </c:pt>
                <c:pt idx="10">
                  <c:v>0.23111111111111113</c:v>
                </c:pt>
                <c:pt idx="11">
                  <c:v>0.31111111111111112</c:v>
                </c:pt>
                <c:pt idx="12">
                  <c:v>0.4177777777777778</c:v>
                </c:pt>
                <c:pt idx="13">
                  <c:v>0.7911111111111111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49-4B28-8D39-D249243E6BC2}"/>
            </c:ext>
          </c:extLst>
        </c:ser>
        <c:ser>
          <c:idx val="3"/>
          <c:order val="3"/>
          <c:tx>
            <c:strRef>
              <c:f>'BRASÍLIA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MINAS'!$M$2:$M$16</c:f>
              <c:numCache>
                <c:formatCode>0.00</c:formatCode>
                <c:ptCount val="15"/>
                <c:pt idx="0">
                  <c:v>6.5789473684210523E-3</c:v>
                </c:pt>
                <c:pt idx="1">
                  <c:v>9.8684210526315784E-3</c:v>
                </c:pt>
                <c:pt idx="2">
                  <c:v>2.6315789473684209E-2</c:v>
                </c:pt>
                <c:pt idx="3">
                  <c:v>4.6052631578947366E-2</c:v>
                </c:pt>
                <c:pt idx="4">
                  <c:v>5.5921052631578941E-2</c:v>
                </c:pt>
                <c:pt idx="5">
                  <c:v>7.5657894736842091E-2</c:v>
                </c:pt>
                <c:pt idx="6">
                  <c:v>9.8684210526315777E-2</c:v>
                </c:pt>
                <c:pt idx="7">
                  <c:v>0.11842105263157893</c:v>
                </c:pt>
                <c:pt idx="8">
                  <c:v>0.14802631578947367</c:v>
                </c:pt>
                <c:pt idx="9">
                  <c:v>0.15460526315789472</c:v>
                </c:pt>
                <c:pt idx="10">
                  <c:v>0.25657894736842102</c:v>
                </c:pt>
                <c:pt idx="11">
                  <c:v>0.33552631578947367</c:v>
                </c:pt>
                <c:pt idx="12">
                  <c:v>0.60855263157894735</c:v>
                </c:pt>
                <c:pt idx="13">
                  <c:v>0.79276315789473684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49-4B28-8D39-D249243E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0256"/>
        <c:axId val="562540736"/>
      </c:scatterChart>
      <c:valAx>
        <c:axId val="562540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736"/>
        <c:crosses val="autoZero"/>
        <c:crossBetween val="midCat"/>
      </c:valAx>
      <c:valAx>
        <c:axId val="562540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'BRASÍLIA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MINAS'!$J$2:$J$16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6C-4D64-AAAC-18ABF9FB6616}"/>
            </c:ext>
          </c:extLst>
        </c:ser>
        <c:ser>
          <c:idx val="1"/>
          <c:order val="1"/>
          <c:tx>
            <c:strRef>
              <c:f>'BRASÍLIA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MINAS'!$N$2:$N$16</c:f>
              <c:numCache>
                <c:formatCode>0.00</c:formatCode>
                <c:ptCount val="15"/>
                <c:pt idx="0">
                  <c:v>3.4523809523809526E-2</c:v>
                </c:pt>
                <c:pt idx="1">
                  <c:v>4.5238095238095244E-2</c:v>
                </c:pt>
                <c:pt idx="2">
                  <c:v>6.7857142857142866E-2</c:v>
                </c:pt>
                <c:pt idx="3">
                  <c:v>8.9285714285714302E-2</c:v>
                </c:pt>
                <c:pt idx="4">
                  <c:v>0.11666666666666668</c:v>
                </c:pt>
                <c:pt idx="5">
                  <c:v>0.19047619047619049</c:v>
                </c:pt>
                <c:pt idx="6">
                  <c:v>0.21904761904761907</c:v>
                </c:pt>
                <c:pt idx="7">
                  <c:v>0.25357142857142861</c:v>
                </c:pt>
                <c:pt idx="8">
                  <c:v>0.2952380952380953</c:v>
                </c:pt>
                <c:pt idx="9">
                  <c:v>0.31071428571428578</c:v>
                </c:pt>
                <c:pt idx="10">
                  <c:v>0.37500000000000006</c:v>
                </c:pt>
                <c:pt idx="11">
                  <c:v>0.41071428571428575</c:v>
                </c:pt>
                <c:pt idx="12">
                  <c:v>0.63214285714285712</c:v>
                </c:pt>
                <c:pt idx="13">
                  <c:v>0.80476190476190479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6C-4D64-AAAC-18ABF9FB6616}"/>
            </c:ext>
          </c:extLst>
        </c:ser>
        <c:ser>
          <c:idx val="2"/>
          <c:order val="2"/>
          <c:tx>
            <c:strRef>
              <c:f>'BRASÍLIA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MINAS'!$O$2:$O$16</c:f>
              <c:numCache>
                <c:formatCode>0.00</c:formatCode>
                <c:ptCount val="15"/>
                <c:pt idx="0">
                  <c:v>1.4234875444839857E-2</c:v>
                </c:pt>
                <c:pt idx="1">
                  <c:v>3.5587188612099641E-2</c:v>
                </c:pt>
                <c:pt idx="2">
                  <c:v>5.575326215895611E-2</c:v>
                </c:pt>
                <c:pt idx="3">
                  <c:v>8.1850533807829182E-2</c:v>
                </c:pt>
                <c:pt idx="4">
                  <c:v>0.10676156583629894</c:v>
                </c:pt>
                <c:pt idx="5">
                  <c:v>0.16607354685646503</c:v>
                </c:pt>
                <c:pt idx="6">
                  <c:v>0.2253855278766311</c:v>
                </c:pt>
                <c:pt idx="7">
                  <c:v>0.25860023724792408</c:v>
                </c:pt>
                <c:pt idx="8">
                  <c:v>0.302491103202847</c:v>
                </c:pt>
                <c:pt idx="9">
                  <c:v>0.34163701067615659</c:v>
                </c:pt>
                <c:pt idx="10">
                  <c:v>0.42941874258600238</c:v>
                </c:pt>
                <c:pt idx="11">
                  <c:v>0.4804270462633452</c:v>
                </c:pt>
                <c:pt idx="12">
                  <c:v>0.62752075919335704</c:v>
                </c:pt>
                <c:pt idx="13">
                  <c:v>0.82325029655990511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6C-4D64-AAAC-18ABF9FB6616}"/>
            </c:ext>
          </c:extLst>
        </c:ser>
        <c:ser>
          <c:idx val="3"/>
          <c:order val="3"/>
          <c:tx>
            <c:strRef>
              <c:f>'BRASÍLIA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'BRASÍLIA DE MINAS'!$I$2:$I$16</c:f>
              <c:numCache>
                <c:formatCode>0.00</c:formatCode>
                <c:ptCount val="15"/>
                <c:pt idx="0">
                  <c:v>1.6250503850478392E-2</c:v>
                </c:pt>
                <c:pt idx="1">
                  <c:v>3.890786431041432E-2</c:v>
                </c:pt>
                <c:pt idx="2">
                  <c:v>6.4497104185671547E-2</c:v>
                </c:pt>
                <c:pt idx="3">
                  <c:v>9.3073381844410968E-2</c:v>
                </c:pt>
                <c:pt idx="4">
                  <c:v>0.12506523537772873</c:v>
                </c:pt>
                <c:pt idx="5">
                  <c:v>0.15897065999108978</c:v>
                </c:pt>
                <c:pt idx="6">
                  <c:v>0.20040732333411118</c:v>
                </c:pt>
                <c:pt idx="7">
                  <c:v>0.25217133037741052</c:v>
                </c:pt>
                <c:pt idx="8">
                  <c:v>0.30589133801472301</c:v>
                </c:pt>
                <c:pt idx="9">
                  <c:v>0.35983197912467912</c:v>
                </c:pt>
                <c:pt idx="10">
                  <c:v>0.43395634003012495</c:v>
                </c:pt>
                <c:pt idx="11">
                  <c:v>0.51580287247809575</c:v>
                </c:pt>
                <c:pt idx="12">
                  <c:v>0.62201667479899014</c:v>
                </c:pt>
                <c:pt idx="13">
                  <c:v>0.75974287714534228</c:v>
                </c:pt>
                <c:pt idx="14">
                  <c:v>1</c:v>
                </c:pt>
              </c:numCache>
            </c:numRef>
          </c:xVal>
          <c:yVal>
            <c:numRef>
              <c:f>'BRASÍLIA DE MINAS'!$P$2:$P$16</c:f>
              <c:numCache>
                <c:formatCode>0.00</c:formatCode>
                <c:ptCount val="15"/>
                <c:pt idx="0">
                  <c:v>9.3457943925233638E-3</c:v>
                </c:pt>
                <c:pt idx="1">
                  <c:v>5.8411214953271028E-2</c:v>
                </c:pt>
                <c:pt idx="2">
                  <c:v>7.9439252336448593E-2</c:v>
                </c:pt>
                <c:pt idx="3">
                  <c:v>0.10046728971962617</c:v>
                </c:pt>
                <c:pt idx="4">
                  <c:v>0.12383177570093458</c:v>
                </c:pt>
                <c:pt idx="5">
                  <c:v>0.17990654205607476</c:v>
                </c:pt>
                <c:pt idx="6">
                  <c:v>0.24065420560747663</c:v>
                </c:pt>
                <c:pt idx="7">
                  <c:v>0.26635514018691586</c:v>
                </c:pt>
                <c:pt idx="8">
                  <c:v>0.30140186915887845</c:v>
                </c:pt>
                <c:pt idx="9">
                  <c:v>0.31074766355140182</c:v>
                </c:pt>
                <c:pt idx="10">
                  <c:v>0.32943925233644855</c:v>
                </c:pt>
                <c:pt idx="11">
                  <c:v>0.44158878504672894</c:v>
                </c:pt>
                <c:pt idx="12">
                  <c:v>0.60514018691588778</c:v>
                </c:pt>
                <c:pt idx="13">
                  <c:v>0.83411214953271018</c:v>
                </c:pt>
                <c:pt idx="1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6C-4D64-AAAC-18ABF9FB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4096"/>
        <c:axId val="562546496"/>
      </c:scatterChart>
      <c:valAx>
        <c:axId val="5625440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6496"/>
        <c:crosses val="autoZero"/>
        <c:crossBetween val="midCat"/>
      </c:valAx>
      <c:valAx>
        <c:axId val="56254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54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F5-4731-80FC-2E21F3527C5C}"/>
            </c:ext>
          </c:extLst>
        </c:ser>
        <c:ser>
          <c:idx val="1"/>
          <c:order val="1"/>
          <c:tx>
            <c:strRef>
              <c:f>'CORAÇÃO DE JESUS'!$K$1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JESUS'!$K$2:$K$6</c:f>
              <c:numCache>
                <c:formatCode>0.00</c:formatCode>
                <c:ptCount val="5"/>
                <c:pt idx="0">
                  <c:v>7.6023391812865493E-2</c:v>
                </c:pt>
                <c:pt idx="1">
                  <c:v>0.13450292397660818</c:v>
                </c:pt>
                <c:pt idx="2">
                  <c:v>0.31578947368421051</c:v>
                </c:pt>
                <c:pt idx="3">
                  <c:v>0.45029239766081869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F5-4731-80FC-2E21F3527C5C}"/>
            </c:ext>
          </c:extLst>
        </c:ser>
        <c:ser>
          <c:idx val="2"/>
          <c:order val="2"/>
          <c:tx>
            <c:strRef>
              <c:f>'CORAÇÃO DE JESUS'!$L$1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JESUS'!$L$2:$L$6</c:f>
              <c:numCache>
                <c:formatCode>0.00</c:formatCode>
                <c:ptCount val="5"/>
                <c:pt idx="0">
                  <c:v>0.10344827586206896</c:v>
                </c:pt>
                <c:pt idx="1">
                  <c:v>0.15517241379310345</c:v>
                </c:pt>
                <c:pt idx="2">
                  <c:v>0.2413793103448276</c:v>
                </c:pt>
                <c:pt idx="3">
                  <c:v>0.36206896551724138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F5-4731-80FC-2E21F3527C5C}"/>
            </c:ext>
          </c:extLst>
        </c:ser>
        <c:ser>
          <c:idx val="3"/>
          <c:order val="3"/>
          <c:tx>
            <c:strRef>
              <c:f>'CORAÇÃO DE JESUS'!$M$1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JESUS'!$M$2:$M$6</c:f>
              <c:numCache>
                <c:formatCode>0.00</c:formatCode>
                <c:ptCount val="5"/>
                <c:pt idx="0">
                  <c:v>3.2608695652173912E-2</c:v>
                </c:pt>
                <c:pt idx="1">
                  <c:v>9.7826086956521729E-2</c:v>
                </c:pt>
                <c:pt idx="2">
                  <c:v>0.10869565217391303</c:v>
                </c:pt>
                <c:pt idx="3">
                  <c:v>0.22826086956521738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F5-4731-80FC-2E21F352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32992"/>
        <c:axId val="424030112"/>
      </c:scatterChart>
      <c:valAx>
        <c:axId val="424032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0112"/>
        <c:crosses val="autoZero"/>
        <c:crossBetween val="midCat"/>
      </c:valAx>
      <c:valAx>
        <c:axId val="424030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3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'CORAÇÃO DE JESUS'!$J$1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JESUS'!$J$2:$J$6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0-4B88-989F-683C9BC4C792}"/>
            </c:ext>
          </c:extLst>
        </c:ser>
        <c:ser>
          <c:idx val="1"/>
          <c:order val="1"/>
          <c:tx>
            <c:strRef>
              <c:f>'CORAÇÃO DE JESUS'!$N$1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JESUS'!$N$2:$N$6</c:f>
              <c:numCache>
                <c:formatCode>0.00</c:formatCode>
                <c:ptCount val="5"/>
                <c:pt idx="0">
                  <c:v>9.9206349206349201E-2</c:v>
                </c:pt>
                <c:pt idx="1">
                  <c:v>0.21428571428571427</c:v>
                </c:pt>
                <c:pt idx="2">
                  <c:v>0.30158730158730157</c:v>
                </c:pt>
                <c:pt idx="3">
                  <c:v>0.44047619047619047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0-4B88-989F-683C9BC4C792}"/>
            </c:ext>
          </c:extLst>
        </c:ser>
        <c:ser>
          <c:idx val="2"/>
          <c:order val="2"/>
          <c:tx>
            <c:strRef>
              <c:f>'CORAÇÃO DE JESUS'!$O$1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JESUS'!$O$2:$O$6</c:f>
              <c:numCache>
                <c:formatCode>0.00</c:formatCode>
                <c:ptCount val="5"/>
                <c:pt idx="0">
                  <c:v>8.5470085470085472E-2</c:v>
                </c:pt>
                <c:pt idx="1">
                  <c:v>0.11965811965811966</c:v>
                </c:pt>
                <c:pt idx="2">
                  <c:v>0.21367521367521369</c:v>
                </c:pt>
                <c:pt idx="3">
                  <c:v>0.41025641025641024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20-4B88-989F-683C9BC4C792}"/>
            </c:ext>
          </c:extLst>
        </c:ser>
        <c:ser>
          <c:idx val="3"/>
          <c:order val="3"/>
          <c:tx>
            <c:strRef>
              <c:f>'CORAÇÃO DE JESUS'!$P$1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'CORAÇÃO DE JESUS'!$I$2:$I$6</c:f>
              <c:numCache>
                <c:formatCode>0.00</c:formatCode>
                <c:ptCount val="5"/>
                <c:pt idx="0">
                  <c:v>8.5490592246495772E-2</c:v>
                </c:pt>
                <c:pt idx="1">
                  <c:v>0.17969440585932567</c:v>
                </c:pt>
                <c:pt idx="2">
                  <c:v>0.28385318011533445</c:v>
                </c:pt>
                <c:pt idx="3">
                  <c:v>0.43974407543039951</c:v>
                </c:pt>
                <c:pt idx="4">
                  <c:v>1</c:v>
                </c:pt>
              </c:numCache>
            </c:numRef>
          </c:xVal>
          <c:yVal>
            <c:numRef>
              <c:f>'CORAÇÃO DE JESUS'!$P$2:$P$6</c:f>
              <c:numCache>
                <c:formatCode>0.00</c:formatCode>
                <c:ptCount val="5"/>
                <c:pt idx="0">
                  <c:v>8.0808080808080815E-2</c:v>
                </c:pt>
                <c:pt idx="1">
                  <c:v>0.20202020202020204</c:v>
                </c:pt>
                <c:pt idx="2">
                  <c:v>0.39393939393939392</c:v>
                </c:pt>
                <c:pt idx="3">
                  <c:v>0.5252525252525253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20-4B88-989F-683C9BC4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1264"/>
        <c:axId val="655523184"/>
      </c:scatterChart>
      <c:valAx>
        <c:axId val="655521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3184"/>
        <c:crosses val="autoZero"/>
        <c:crossBetween val="midCat"/>
      </c:valAx>
      <c:valAx>
        <c:axId val="65552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6-49CC-B6B0-E014528B047C}"/>
            </c:ext>
          </c:extLst>
        </c:ser>
        <c:ser>
          <c:idx val="1"/>
          <c:order val="1"/>
          <c:tx>
            <c:strRef>
              <c:f>'FRANCISCO SÁ'!$K$1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SÁ'!$K$2:$K$7</c:f>
              <c:numCache>
                <c:formatCode>0.00</c:formatCode>
                <c:ptCount val="6"/>
                <c:pt idx="0">
                  <c:v>1.6666666666666666E-2</c:v>
                </c:pt>
                <c:pt idx="1">
                  <c:v>9.4444444444444442E-2</c:v>
                </c:pt>
                <c:pt idx="2">
                  <c:v>0.10555555555555556</c:v>
                </c:pt>
                <c:pt idx="3">
                  <c:v>0.21111111111111111</c:v>
                </c:pt>
                <c:pt idx="4">
                  <c:v>0.50555555555555554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6-49CC-B6B0-E014528B047C}"/>
            </c:ext>
          </c:extLst>
        </c:ser>
        <c:ser>
          <c:idx val="2"/>
          <c:order val="2"/>
          <c:tx>
            <c:strRef>
              <c:f>'FRANCISCO SÁ'!$L$1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SÁ'!$L$2:$L$7</c:f>
              <c:numCache>
                <c:formatCode>0.00</c:formatCode>
                <c:ptCount val="6"/>
                <c:pt idx="0">
                  <c:v>9.433962264150943E-3</c:v>
                </c:pt>
                <c:pt idx="1">
                  <c:v>6.6037735849056603E-2</c:v>
                </c:pt>
                <c:pt idx="2">
                  <c:v>7.5471698113207544E-2</c:v>
                </c:pt>
                <c:pt idx="3">
                  <c:v>0.12264150943396226</c:v>
                </c:pt>
                <c:pt idx="4">
                  <c:v>0.79245283018867918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6-49CC-B6B0-E014528B047C}"/>
            </c:ext>
          </c:extLst>
        </c:ser>
        <c:ser>
          <c:idx val="3"/>
          <c:order val="3"/>
          <c:tx>
            <c:strRef>
              <c:f>'FRANCISCO SÁ'!$M$1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SÁ'!$M$2:$M$7</c:f>
              <c:numCache>
                <c:formatCode>0.00</c:formatCode>
                <c:ptCount val="6"/>
                <c:pt idx="0">
                  <c:v>5.434782608695652E-2</c:v>
                </c:pt>
                <c:pt idx="1">
                  <c:v>0.21739130434782608</c:v>
                </c:pt>
                <c:pt idx="2">
                  <c:v>0.28260869565217389</c:v>
                </c:pt>
                <c:pt idx="3">
                  <c:v>0.33695652173913043</c:v>
                </c:pt>
                <c:pt idx="4">
                  <c:v>0.57608695652173914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F6-49CC-B6B0-E014528B0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66336"/>
      </c:scatterChart>
      <c:valAx>
        <c:axId val="54485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66336"/>
        <c:crosses val="autoZero"/>
        <c:crossBetween val="midCat"/>
      </c:valAx>
      <c:valAx>
        <c:axId val="54486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'FRANCISCO SÁ'!$J$1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SÁ'!$J$2:$J$7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D-413C-BADE-646DA47797C7}"/>
            </c:ext>
          </c:extLst>
        </c:ser>
        <c:ser>
          <c:idx val="1"/>
          <c:order val="1"/>
          <c:tx>
            <c:strRef>
              <c:f>'FRANCISCO SÁ'!$N$1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SÁ'!$N$2:$N$7</c:f>
              <c:numCache>
                <c:formatCode>0.00</c:formatCode>
                <c:ptCount val="6"/>
                <c:pt idx="0">
                  <c:v>7.8651685393258425E-2</c:v>
                </c:pt>
                <c:pt idx="1">
                  <c:v>0.1151685393258427</c:v>
                </c:pt>
                <c:pt idx="2">
                  <c:v>0.18820224719101125</c:v>
                </c:pt>
                <c:pt idx="3">
                  <c:v>0.3567415730337079</c:v>
                </c:pt>
                <c:pt idx="4">
                  <c:v>0.5702247191011236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D-413C-BADE-646DA47797C7}"/>
            </c:ext>
          </c:extLst>
        </c:ser>
        <c:ser>
          <c:idx val="2"/>
          <c:order val="2"/>
          <c:tx>
            <c:strRef>
              <c:f>'FRANCISCO SÁ'!$O$1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SÁ'!$O$2:$O$7</c:f>
              <c:numCache>
                <c:formatCode>0.00</c:formatCode>
                <c:ptCount val="6"/>
                <c:pt idx="0">
                  <c:v>5.204460966542751E-2</c:v>
                </c:pt>
                <c:pt idx="1">
                  <c:v>0.11524163568773234</c:v>
                </c:pt>
                <c:pt idx="2">
                  <c:v>0.16728624535315983</c:v>
                </c:pt>
                <c:pt idx="3">
                  <c:v>0.28252788104089216</c:v>
                </c:pt>
                <c:pt idx="4">
                  <c:v>0.60594795539033453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D-413C-BADE-646DA47797C7}"/>
            </c:ext>
          </c:extLst>
        </c:ser>
        <c:ser>
          <c:idx val="3"/>
          <c:order val="3"/>
          <c:tx>
            <c:strRef>
              <c:f>'FRANCISCO SÁ'!$P$1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'FRANCISCO SÁ'!$I$2:$I$7</c:f>
              <c:numCache>
                <c:formatCode>0.00</c:formatCode>
                <c:ptCount val="6"/>
                <c:pt idx="0">
                  <c:v>6.5521934037784182E-2</c:v>
                </c:pt>
                <c:pt idx="1">
                  <c:v>0.14546643184971714</c:v>
                </c:pt>
                <c:pt idx="2">
                  <c:v>0.22897320952075995</c:v>
                </c:pt>
                <c:pt idx="3">
                  <c:v>0.43427793788024338</c:v>
                </c:pt>
                <c:pt idx="4">
                  <c:v>0.64698740527270793</c:v>
                </c:pt>
                <c:pt idx="5">
                  <c:v>1</c:v>
                </c:pt>
              </c:numCache>
            </c:numRef>
          </c:xVal>
          <c:yVal>
            <c:numRef>
              <c:f>'FRANCISCO SÁ'!$P$2:$P$7</c:f>
              <c:numCache>
                <c:formatCode>0.00</c:formatCode>
                <c:ptCount val="6"/>
                <c:pt idx="0">
                  <c:v>7.1428571428571426E-3</c:v>
                </c:pt>
                <c:pt idx="1">
                  <c:v>6.4285714285714279E-2</c:v>
                </c:pt>
                <c:pt idx="2">
                  <c:v>0.14285714285714285</c:v>
                </c:pt>
                <c:pt idx="3">
                  <c:v>0.27857142857142858</c:v>
                </c:pt>
                <c:pt idx="4">
                  <c:v>0.61428571428571432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2D-413C-BADE-646DA4779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7504"/>
        <c:axId val="655530384"/>
      </c:scatterChart>
      <c:valAx>
        <c:axId val="6555275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384"/>
        <c:crosses val="autoZero"/>
        <c:crossBetween val="midCat"/>
      </c:valAx>
      <c:valAx>
        <c:axId val="655530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5-4451-8921-D4862A458DEA}"/>
            </c:ext>
          </c:extLst>
        </c:ser>
        <c:ser>
          <c:idx val="1"/>
          <c:order val="1"/>
          <c:tx>
            <c:strRef>
              <c:f>'JANAÚBA - MONTE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AZUL'!$K$2:$K$16</c:f>
              <c:numCache>
                <c:formatCode>0.00</c:formatCode>
                <c:ptCount val="15"/>
                <c:pt idx="0">
                  <c:v>3.0581039755351682E-3</c:v>
                </c:pt>
                <c:pt idx="1">
                  <c:v>3.2110091743119268E-2</c:v>
                </c:pt>
                <c:pt idx="2">
                  <c:v>5.8103975535168197E-2</c:v>
                </c:pt>
                <c:pt idx="3">
                  <c:v>8.1039755351681952E-2</c:v>
                </c:pt>
                <c:pt idx="4">
                  <c:v>0.12079510703363913</c:v>
                </c:pt>
                <c:pt idx="5">
                  <c:v>0.13149847094801223</c:v>
                </c:pt>
                <c:pt idx="6">
                  <c:v>0.16972477064220182</c:v>
                </c:pt>
                <c:pt idx="7">
                  <c:v>0.20030581039755349</c:v>
                </c:pt>
                <c:pt idx="8">
                  <c:v>0.23700305810397551</c:v>
                </c:pt>
                <c:pt idx="9">
                  <c:v>0.3379204892966361</c:v>
                </c:pt>
                <c:pt idx="10">
                  <c:v>0.41896024464831805</c:v>
                </c:pt>
                <c:pt idx="11">
                  <c:v>0.56422018348623859</c:v>
                </c:pt>
                <c:pt idx="12">
                  <c:v>0.80428134556574926</c:v>
                </c:pt>
                <c:pt idx="13">
                  <c:v>0.88990825688073394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5-4451-8921-D4862A458DEA}"/>
            </c:ext>
          </c:extLst>
        </c:ser>
        <c:ser>
          <c:idx val="2"/>
          <c:order val="2"/>
          <c:tx>
            <c:strRef>
              <c:f>'JANAÚBA - MONTE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AZUL'!$L$2:$L$16</c:f>
              <c:numCache>
                <c:formatCode>0.00</c:formatCode>
                <c:ptCount val="15"/>
                <c:pt idx="0">
                  <c:v>7.0671378091872791E-3</c:v>
                </c:pt>
                <c:pt idx="1">
                  <c:v>2.4734982332155479E-2</c:v>
                </c:pt>
                <c:pt idx="2">
                  <c:v>5.3003533568904596E-2</c:v>
                </c:pt>
                <c:pt idx="3">
                  <c:v>6.7137809187279157E-2</c:v>
                </c:pt>
                <c:pt idx="4">
                  <c:v>8.4805653710247356E-2</c:v>
                </c:pt>
                <c:pt idx="5">
                  <c:v>9.187279151943463E-2</c:v>
                </c:pt>
                <c:pt idx="6">
                  <c:v>9.8939929328621903E-2</c:v>
                </c:pt>
                <c:pt idx="7">
                  <c:v>0.11307420494699646</c:v>
                </c:pt>
                <c:pt idx="8">
                  <c:v>0.1166077738515901</c:v>
                </c:pt>
                <c:pt idx="9">
                  <c:v>0.14134275618374559</c:v>
                </c:pt>
                <c:pt idx="10">
                  <c:v>0.22614840989399293</c:v>
                </c:pt>
                <c:pt idx="11">
                  <c:v>0.38869257950530034</c:v>
                </c:pt>
                <c:pt idx="12">
                  <c:v>0.79858657243816256</c:v>
                </c:pt>
                <c:pt idx="13">
                  <c:v>0.84452296819787986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5-4451-8921-D4862A458DEA}"/>
            </c:ext>
          </c:extLst>
        </c:ser>
        <c:ser>
          <c:idx val="3"/>
          <c:order val="3"/>
          <c:tx>
            <c:strRef>
              <c:f>'JANAÚBA - MONTE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AZUL'!$M$2:$M$16</c:f>
              <c:numCache>
                <c:formatCode>0.00</c:formatCode>
                <c:ptCount val="15"/>
                <c:pt idx="0">
                  <c:v>2.8169014084507043E-2</c:v>
                </c:pt>
                <c:pt idx="1">
                  <c:v>5.6338028169014086E-2</c:v>
                </c:pt>
                <c:pt idx="2">
                  <c:v>9.8591549295774655E-2</c:v>
                </c:pt>
                <c:pt idx="3">
                  <c:v>0.12676056338028169</c:v>
                </c:pt>
                <c:pt idx="4">
                  <c:v>0.15962441314553991</c:v>
                </c:pt>
                <c:pt idx="5">
                  <c:v>0.16901408450704225</c:v>
                </c:pt>
                <c:pt idx="6">
                  <c:v>0.18779342723004694</c:v>
                </c:pt>
                <c:pt idx="7">
                  <c:v>0.20657276995305163</c:v>
                </c:pt>
                <c:pt idx="8">
                  <c:v>0.2300469483568075</c:v>
                </c:pt>
                <c:pt idx="9">
                  <c:v>0.29107981220657275</c:v>
                </c:pt>
                <c:pt idx="10">
                  <c:v>0.49765258215962438</c:v>
                </c:pt>
                <c:pt idx="11">
                  <c:v>0.7699530516431925</c:v>
                </c:pt>
                <c:pt idx="12">
                  <c:v>0.77934272300469487</c:v>
                </c:pt>
                <c:pt idx="13">
                  <c:v>0.863849765258216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15-4451-8921-D4862A45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88976"/>
        <c:axId val="415000016"/>
      </c:scatterChart>
      <c:valAx>
        <c:axId val="414988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016"/>
        <c:crosses val="autoZero"/>
        <c:crossBetween val="midCat"/>
      </c:valAx>
      <c:valAx>
        <c:axId val="415000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98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'JANAÚBA - MONTE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AZUL'!$J$2:$J$16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0-4DFE-AA0E-C7138BF90DB4}"/>
            </c:ext>
          </c:extLst>
        </c:ser>
        <c:ser>
          <c:idx val="1"/>
          <c:order val="1"/>
          <c:tx>
            <c:strRef>
              <c:f>'JANAÚBA - MONTE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AZUL'!$N$2:$N$16</c:f>
              <c:numCache>
                <c:formatCode>0.00</c:formatCode>
                <c:ptCount val="15"/>
                <c:pt idx="0">
                  <c:v>1.7719568567026195E-2</c:v>
                </c:pt>
                <c:pt idx="1">
                  <c:v>2.465331278890601E-2</c:v>
                </c:pt>
                <c:pt idx="2">
                  <c:v>3.3898305084745763E-2</c:v>
                </c:pt>
                <c:pt idx="3">
                  <c:v>5.7010785824345142E-2</c:v>
                </c:pt>
                <c:pt idx="4">
                  <c:v>8.0893682588597832E-2</c:v>
                </c:pt>
                <c:pt idx="5">
                  <c:v>8.859784283513096E-2</c:v>
                </c:pt>
                <c:pt idx="6">
                  <c:v>0.11710323574730354</c:v>
                </c:pt>
                <c:pt idx="7">
                  <c:v>0.13251155624036978</c:v>
                </c:pt>
                <c:pt idx="8">
                  <c:v>0.16101694915254236</c:v>
                </c:pt>
                <c:pt idx="9">
                  <c:v>0.19491525423728812</c:v>
                </c:pt>
                <c:pt idx="10">
                  <c:v>0.24268104776579352</c:v>
                </c:pt>
                <c:pt idx="11">
                  <c:v>0.37981510015408321</c:v>
                </c:pt>
                <c:pt idx="12">
                  <c:v>0.53620955315870567</c:v>
                </c:pt>
                <c:pt idx="13">
                  <c:v>0.60015408320493058</c:v>
                </c:pt>
                <c:pt idx="1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0-4DFE-AA0E-C7138BF90DB4}"/>
            </c:ext>
          </c:extLst>
        </c:ser>
        <c:ser>
          <c:idx val="2"/>
          <c:order val="2"/>
          <c:tx>
            <c:strRef>
              <c:f>'JANAÚBA - MONTE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AZUL'!$O$2:$O$16</c:f>
              <c:numCache>
                <c:formatCode>0.00</c:formatCode>
                <c:ptCount val="15"/>
                <c:pt idx="0">
                  <c:v>1.1661807580174927E-2</c:v>
                </c:pt>
                <c:pt idx="1">
                  <c:v>2.5267249757045675E-2</c:v>
                </c:pt>
                <c:pt idx="2">
                  <c:v>4.0816326530612242E-2</c:v>
                </c:pt>
                <c:pt idx="3">
                  <c:v>7.38581146744412E-2</c:v>
                </c:pt>
                <c:pt idx="4">
                  <c:v>0.10592808551992225</c:v>
                </c:pt>
                <c:pt idx="5">
                  <c:v>0.13508260447035958</c:v>
                </c:pt>
                <c:pt idx="6">
                  <c:v>0.17492711370262393</c:v>
                </c:pt>
                <c:pt idx="7">
                  <c:v>0.20213799805636543</c:v>
                </c:pt>
                <c:pt idx="8">
                  <c:v>0.22740524781341109</c:v>
                </c:pt>
                <c:pt idx="9">
                  <c:v>0.25267249757045679</c:v>
                </c:pt>
                <c:pt idx="10">
                  <c:v>0.29931972789115652</c:v>
                </c:pt>
                <c:pt idx="11">
                  <c:v>0.38872691933916431</c:v>
                </c:pt>
                <c:pt idx="12">
                  <c:v>0.52478134110787178</c:v>
                </c:pt>
                <c:pt idx="13">
                  <c:v>0.59086491739552971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0-4DFE-AA0E-C7138BF90DB4}"/>
            </c:ext>
          </c:extLst>
        </c:ser>
        <c:ser>
          <c:idx val="3"/>
          <c:order val="3"/>
          <c:tx>
            <c:strRef>
              <c:f>'JANAÚBA - MONTE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'JANAÚBA - MONTE AZUL'!$I$2:$I$16</c:f>
              <c:numCache>
                <c:formatCode>0.00</c:formatCode>
                <c:ptCount val="15"/>
                <c:pt idx="0">
                  <c:v>1.7275192095420788E-2</c:v>
                </c:pt>
                <c:pt idx="1">
                  <c:v>3.4936182525478768E-2</c:v>
                </c:pt>
                <c:pt idx="2">
                  <c:v>5.3097281907844213E-2</c:v>
                </c:pt>
                <c:pt idx="3">
                  <c:v>7.4880598987636604E-2</c:v>
                </c:pt>
                <c:pt idx="4">
                  <c:v>9.8332136644054602E-2</c:v>
                </c:pt>
                <c:pt idx="5">
                  <c:v>0.12509868221291068</c:v>
                </c:pt>
                <c:pt idx="6">
                  <c:v>0.15893105283651082</c:v>
                </c:pt>
                <c:pt idx="7">
                  <c:v>0.19296346704103395</c:v>
                </c:pt>
                <c:pt idx="8">
                  <c:v>0.2335437363139827</c:v>
                </c:pt>
                <c:pt idx="9">
                  <c:v>0.27772121783674303</c:v>
                </c:pt>
                <c:pt idx="10">
                  <c:v>0.3511086343810616</c:v>
                </c:pt>
                <c:pt idx="11">
                  <c:v>0.46400108595086786</c:v>
                </c:pt>
                <c:pt idx="12">
                  <c:v>0.59911266383033446</c:v>
                </c:pt>
                <c:pt idx="13">
                  <c:v>0.74146510489785278</c:v>
                </c:pt>
                <c:pt idx="14">
                  <c:v>1</c:v>
                </c:pt>
              </c:numCache>
            </c:numRef>
          </c:xVal>
          <c:yVal>
            <c:numRef>
              <c:f>'JANAÚBA - MONTE AZUL'!$P$2:$P$16</c:f>
              <c:numCache>
                <c:formatCode>0.00</c:formatCode>
                <c:ptCount val="15"/>
                <c:pt idx="0">
                  <c:v>2.2321428571428572E-2</c:v>
                </c:pt>
                <c:pt idx="1">
                  <c:v>6.0267857142857137E-2</c:v>
                </c:pt>
                <c:pt idx="2">
                  <c:v>8.7053571428571425E-2</c:v>
                </c:pt>
                <c:pt idx="3">
                  <c:v>0.109375</c:v>
                </c:pt>
                <c:pt idx="4">
                  <c:v>0.14285714285714285</c:v>
                </c:pt>
                <c:pt idx="5">
                  <c:v>0.20535714285714285</c:v>
                </c:pt>
                <c:pt idx="6">
                  <c:v>0.24107142857142855</c:v>
                </c:pt>
                <c:pt idx="7">
                  <c:v>0.26785714285714285</c:v>
                </c:pt>
                <c:pt idx="8">
                  <c:v>0.2924107142857143</c:v>
                </c:pt>
                <c:pt idx="9">
                  <c:v>0.328125</c:v>
                </c:pt>
                <c:pt idx="10">
                  <c:v>0.4107142857142857</c:v>
                </c:pt>
                <c:pt idx="11">
                  <c:v>0.4955357142857143</c:v>
                </c:pt>
                <c:pt idx="12">
                  <c:v>0.6450892857142857</c:v>
                </c:pt>
                <c:pt idx="13">
                  <c:v>0.70535714285714279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C0-4DFE-AA0E-C7138BF9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42864"/>
        <c:axId val="655548144"/>
      </c:scatterChart>
      <c:valAx>
        <c:axId val="655542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8144"/>
        <c:crosses val="autoZero"/>
        <c:crossBetween val="midCat"/>
      </c:valAx>
      <c:valAx>
        <c:axId val="655548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E-475A-B3AE-EF0A96C26A12}"/>
            </c:ext>
          </c:extLst>
        </c:ser>
        <c:ser>
          <c:idx val="1"/>
          <c:order val="1"/>
          <c:tx>
            <c:strRef>
              <c:f>JANUÁRIA!$K$1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JANUÁRIA!$K$2:$K$6</c:f>
              <c:numCache>
                <c:formatCode>0.00</c:formatCode>
                <c:ptCount val="5"/>
                <c:pt idx="0">
                  <c:v>0.11801242236024845</c:v>
                </c:pt>
                <c:pt idx="1">
                  <c:v>0.3354037267080745</c:v>
                </c:pt>
                <c:pt idx="2">
                  <c:v>0.41614906832298132</c:v>
                </c:pt>
                <c:pt idx="3">
                  <c:v>0.60869565217391297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E-475A-B3AE-EF0A96C26A12}"/>
            </c:ext>
          </c:extLst>
        </c:ser>
        <c:ser>
          <c:idx val="2"/>
          <c:order val="2"/>
          <c:tx>
            <c:strRef>
              <c:f>JANUÁRIA!$L$1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JANUÁRIA!$L$2:$L$6</c:f>
              <c:numCache>
                <c:formatCode>0.00</c:formatCode>
                <c:ptCount val="5"/>
                <c:pt idx="0">
                  <c:v>0.14893617021276595</c:v>
                </c:pt>
                <c:pt idx="1">
                  <c:v>0.31914893617021278</c:v>
                </c:pt>
                <c:pt idx="2">
                  <c:v>0.36170212765957449</c:v>
                </c:pt>
                <c:pt idx="3">
                  <c:v>0.55319148936170215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E-475A-B3AE-EF0A96C26A12}"/>
            </c:ext>
          </c:extLst>
        </c:ser>
        <c:ser>
          <c:idx val="3"/>
          <c:order val="3"/>
          <c:tx>
            <c:strRef>
              <c:f>JANUÁRIA!$M$1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JANUÁRIA!$M$2:$M$6</c:f>
              <c:numCache>
                <c:formatCode>0.00</c:formatCode>
                <c:ptCount val="5"/>
                <c:pt idx="0">
                  <c:v>6.6326530612244902E-2</c:v>
                </c:pt>
                <c:pt idx="1">
                  <c:v>0.15816326530612246</c:v>
                </c:pt>
                <c:pt idx="2">
                  <c:v>0.29081632653061229</c:v>
                </c:pt>
                <c:pt idx="3">
                  <c:v>0.44897959183673475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E-475A-B3AE-EF0A96C2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3552"/>
        <c:axId val="217241152"/>
      </c:scatterChart>
      <c:valAx>
        <c:axId val="217243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1152"/>
        <c:crosses val="autoZero"/>
        <c:crossBetween val="midCat"/>
      </c:valAx>
      <c:valAx>
        <c:axId val="217241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JANUÁRIA!$J$1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JANUÁRIA!$J$2:$J$6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3-4AEB-B4F8-1E828A7CA42D}"/>
            </c:ext>
          </c:extLst>
        </c:ser>
        <c:ser>
          <c:idx val="1"/>
          <c:order val="1"/>
          <c:tx>
            <c:strRef>
              <c:f>JANUÁRIA!$N$1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JANUÁRIA!$N$2:$N$6</c:f>
              <c:numCache>
                <c:formatCode>0.00</c:formatCode>
                <c:ptCount val="5"/>
                <c:pt idx="0">
                  <c:v>8.990825688073395E-2</c:v>
                </c:pt>
                <c:pt idx="1">
                  <c:v>0.16513761467889909</c:v>
                </c:pt>
                <c:pt idx="2">
                  <c:v>0.26605504587155965</c:v>
                </c:pt>
                <c:pt idx="3">
                  <c:v>0.37614678899082571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3-4AEB-B4F8-1E828A7CA42D}"/>
            </c:ext>
          </c:extLst>
        </c:ser>
        <c:ser>
          <c:idx val="2"/>
          <c:order val="2"/>
          <c:tx>
            <c:strRef>
              <c:f>JANUÁRIA!$O$1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JANUÁRIA!$O$2:$O$6</c:f>
              <c:numCache>
                <c:formatCode>0.00</c:formatCode>
                <c:ptCount val="5"/>
                <c:pt idx="0">
                  <c:v>4.6908315565031986E-2</c:v>
                </c:pt>
                <c:pt idx="1">
                  <c:v>0.13219616204690832</c:v>
                </c:pt>
                <c:pt idx="2">
                  <c:v>0.24946695095948829</c:v>
                </c:pt>
                <c:pt idx="3">
                  <c:v>0.34754797441364604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3-4AEB-B4F8-1E828A7CA42D}"/>
            </c:ext>
          </c:extLst>
        </c:ser>
        <c:ser>
          <c:idx val="3"/>
          <c:order val="3"/>
          <c:tx>
            <c:strRef>
              <c:f>JANUÁRIA!$P$1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JANUÁRIA!$I$2:$I$6</c:f>
              <c:numCache>
                <c:formatCode>0.00</c:formatCode>
                <c:ptCount val="5"/>
                <c:pt idx="0">
                  <c:v>6.5687724128554184E-2</c:v>
                </c:pt>
                <c:pt idx="1">
                  <c:v>0.16342901816822175</c:v>
                </c:pt>
                <c:pt idx="2">
                  <c:v>0.26806199969408046</c:v>
                </c:pt>
                <c:pt idx="3">
                  <c:v>0.42250888016451671</c:v>
                </c:pt>
                <c:pt idx="4">
                  <c:v>1</c:v>
                </c:pt>
              </c:numCache>
            </c:numRef>
          </c:xVal>
          <c:yVal>
            <c:numRef>
              <c:f>JANUÁRIA!$P$2:$P$6</c:f>
              <c:numCache>
                <c:formatCode>0.00</c:formatCode>
                <c:ptCount val="5"/>
                <c:pt idx="0">
                  <c:v>4.2145593869731802E-2</c:v>
                </c:pt>
                <c:pt idx="1">
                  <c:v>0.1417624521072797</c:v>
                </c:pt>
                <c:pt idx="2">
                  <c:v>0.23371647509578544</c:v>
                </c:pt>
                <c:pt idx="3">
                  <c:v>0.35632183908045978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3-4AEB-B4F8-1E828A7CA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8464"/>
        <c:axId val="655530864"/>
      </c:scatterChart>
      <c:valAx>
        <c:axId val="655528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0864"/>
        <c:crosses val="autoZero"/>
        <c:crossBetween val="midCat"/>
      </c:valAx>
      <c:valAx>
        <c:axId val="655530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0B-4988-926B-1495E99C8922}"/>
            </c:ext>
          </c:extLst>
        </c:ser>
        <c:ser>
          <c:idx val="1"/>
          <c:order val="1"/>
          <c:tx>
            <c:strRef>
              <c:f>MANGA!$K$1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MANGA!$K$2:$K$6</c:f>
              <c:numCache>
                <c:formatCode>0.00</c:formatCode>
                <c:ptCount val="5"/>
                <c:pt idx="0">
                  <c:v>4.3307086614173228E-2</c:v>
                </c:pt>
                <c:pt idx="1">
                  <c:v>0.11023622047244094</c:v>
                </c:pt>
                <c:pt idx="2">
                  <c:v>0.20866141732283466</c:v>
                </c:pt>
                <c:pt idx="3">
                  <c:v>0.42519685039370081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0B-4988-926B-1495E99C8922}"/>
            </c:ext>
          </c:extLst>
        </c:ser>
        <c:ser>
          <c:idx val="2"/>
          <c:order val="2"/>
          <c:tx>
            <c:strRef>
              <c:f>MANGA!$L$1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MANGA!$L$2:$L$6</c:f>
              <c:numCache>
                <c:formatCode>0.00</c:formatCode>
                <c:ptCount val="5"/>
                <c:pt idx="0">
                  <c:v>0</c:v>
                </c:pt>
                <c:pt idx="1">
                  <c:v>6.9767441860465115E-2</c:v>
                </c:pt>
                <c:pt idx="2">
                  <c:v>0.20930232558139533</c:v>
                </c:pt>
                <c:pt idx="3">
                  <c:v>0.39534883720930231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0B-4988-926B-1495E99C8922}"/>
            </c:ext>
          </c:extLst>
        </c:ser>
        <c:ser>
          <c:idx val="3"/>
          <c:order val="3"/>
          <c:tx>
            <c:strRef>
              <c:f>MANGA!$M$1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MANGA!$M$2:$M$6</c:f>
              <c:numCache>
                <c:formatCode>0.00</c:formatCode>
                <c:ptCount val="5"/>
                <c:pt idx="0">
                  <c:v>7.407407407407407E-2</c:v>
                </c:pt>
                <c:pt idx="1">
                  <c:v>0.16402116402116401</c:v>
                </c:pt>
                <c:pt idx="2">
                  <c:v>0.35978835978835977</c:v>
                </c:pt>
                <c:pt idx="3">
                  <c:v>0.50264550264550256</c:v>
                </c:pt>
                <c:pt idx="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0B-4988-926B-1495E99C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58656"/>
        <c:axId val="544875456"/>
      </c:scatterChart>
      <c:valAx>
        <c:axId val="544858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75456"/>
        <c:crosses val="autoZero"/>
        <c:crossBetween val="midCat"/>
      </c:valAx>
      <c:valAx>
        <c:axId val="544875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85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MANGA!$J$2:$J$6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D-442A-9DBF-20000DC2CFAA}"/>
            </c:ext>
          </c:extLst>
        </c:ser>
        <c:ser>
          <c:idx val="1"/>
          <c:order val="1"/>
          <c:tx>
            <c:strRef>
              <c:f>MANGA!$N$1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MANGA!$N$2:$N$6</c:f>
              <c:numCache>
                <c:formatCode>0.00</c:formatCode>
                <c:ptCount val="5"/>
                <c:pt idx="0">
                  <c:v>7.4666666666666673E-2</c:v>
                </c:pt>
                <c:pt idx="1">
                  <c:v>0.20800000000000002</c:v>
                </c:pt>
                <c:pt idx="2">
                  <c:v>0.34400000000000003</c:v>
                </c:pt>
                <c:pt idx="3">
                  <c:v>0.55733333333333335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D-442A-9DBF-20000DC2CFAA}"/>
            </c:ext>
          </c:extLst>
        </c:ser>
        <c:ser>
          <c:idx val="2"/>
          <c:order val="2"/>
          <c:tx>
            <c:strRef>
              <c:f>MANGA!$O$1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MANGA!$O$2:$O$6</c:f>
              <c:numCache>
                <c:formatCode>0.00</c:formatCode>
                <c:ptCount val="5"/>
                <c:pt idx="0">
                  <c:v>9.9264705882352935E-2</c:v>
                </c:pt>
                <c:pt idx="1">
                  <c:v>0.25367647058823528</c:v>
                </c:pt>
                <c:pt idx="2">
                  <c:v>0.38602941176470584</c:v>
                </c:pt>
                <c:pt idx="3">
                  <c:v>0.63235294117647056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D-442A-9DBF-20000DC2CFAA}"/>
            </c:ext>
          </c:extLst>
        </c:ser>
        <c:ser>
          <c:idx val="3"/>
          <c:order val="3"/>
          <c:tx>
            <c:strRef>
              <c:f>MANGA!$P$1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MANGA!$I$2:$I$6</c:f>
              <c:numCache>
                <c:formatCode>0.00</c:formatCode>
                <c:ptCount val="5"/>
                <c:pt idx="0">
                  <c:v>8.7340182850271453E-2</c:v>
                </c:pt>
                <c:pt idx="1">
                  <c:v>0.18824382394029957</c:v>
                </c:pt>
                <c:pt idx="2">
                  <c:v>0.42223558329943944</c:v>
                </c:pt>
                <c:pt idx="3">
                  <c:v>0.68079011123096778</c:v>
                </c:pt>
                <c:pt idx="4">
                  <c:v>1</c:v>
                </c:pt>
              </c:numCache>
            </c:numRef>
          </c:xVal>
          <c:yVal>
            <c:numRef>
              <c:f>MANGA!$P$2:$P$6</c:f>
              <c:numCache>
                <c:formatCode>0.00</c:formatCode>
                <c:ptCount val="5"/>
                <c:pt idx="0">
                  <c:v>8.1250000000000003E-2</c:v>
                </c:pt>
                <c:pt idx="1">
                  <c:v>0.23749999999999999</c:v>
                </c:pt>
                <c:pt idx="2">
                  <c:v>0.44999999999999996</c:v>
                </c:pt>
                <c:pt idx="3">
                  <c:v>0.625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D-442A-9DBF-20000DC2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0976"/>
        <c:axId val="415001936"/>
      </c:scatterChart>
      <c:valAx>
        <c:axId val="4150009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1936"/>
        <c:crosses val="autoZero"/>
        <c:crossBetween val="midCat"/>
      </c:valAx>
      <c:valAx>
        <c:axId val="415001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9-4A64-A8D5-9D24CFBC4B51}"/>
            </c:ext>
          </c:extLst>
        </c:ser>
        <c:ser>
          <c:idx val="1"/>
          <c:order val="1"/>
          <c:tx>
            <c:strRef>
              <c:f>'MONTES CLAROS'!$K$1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CLAROS'!$K$2:$K$7</c:f>
              <c:numCache>
                <c:formatCode>0.00</c:formatCode>
                <c:ptCount val="6"/>
                <c:pt idx="0">
                  <c:v>1.0025062656641603E-2</c:v>
                </c:pt>
                <c:pt idx="1">
                  <c:v>2.0050125313283207E-2</c:v>
                </c:pt>
                <c:pt idx="2">
                  <c:v>2.5898078529657476E-2</c:v>
                </c:pt>
                <c:pt idx="3">
                  <c:v>4.7619047619047616E-2</c:v>
                </c:pt>
                <c:pt idx="4">
                  <c:v>7.5187969924812026E-2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9-4A64-A8D5-9D24CFBC4B51}"/>
            </c:ext>
          </c:extLst>
        </c:ser>
        <c:ser>
          <c:idx val="2"/>
          <c:order val="2"/>
          <c:tx>
            <c:strRef>
              <c:f>'MONTES CLAROS'!$L$1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CLAROS'!$L$2:$L$7</c:f>
              <c:numCache>
                <c:formatCode>0.00</c:formatCode>
                <c:ptCount val="6"/>
                <c:pt idx="0">
                  <c:v>1.876675603217158E-2</c:v>
                </c:pt>
                <c:pt idx="1">
                  <c:v>2.1447721179624665E-2</c:v>
                </c:pt>
                <c:pt idx="2">
                  <c:v>2.9490616621983913E-2</c:v>
                </c:pt>
                <c:pt idx="3">
                  <c:v>6.1662198391420911E-2</c:v>
                </c:pt>
                <c:pt idx="4">
                  <c:v>0.10187667560321716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F9-4A64-A8D5-9D24CFBC4B51}"/>
            </c:ext>
          </c:extLst>
        </c:ser>
        <c:ser>
          <c:idx val="3"/>
          <c:order val="3"/>
          <c:tx>
            <c:strRef>
              <c:f>'MONTES CLAROS'!$M$1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CLAROS'!$M$2:$M$7</c:f>
              <c:numCache>
                <c:formatCode>0.00</c:formatCode>
                <c:ptCount val="6"/>
                <c:pt idx="0">
                  <c:v>5.7142857142857143E-3</c:v>
                </c:pt>
                <c:pt idx="1">
                  <c:v>2.8571428571428571E-2</c:v>
                </c:pt>
                <c:pt idx="2">
                  <c:v>3.4285714285714287E-2</c:v>
                </c:pt>
                <c:pt idx="3">
                  <c:v>7.047619047619047E-2</c:v>
                </c:pt>
                <c:pt idx="4">
                  <c:v>9.7142857142857142E-2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F9-4A64-A8D5-9D24CFBC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87664"/>
        <c:axId val="655492944"/>
      </c:scatterChart>
      <c:valAx>
        <c:axId val="65548766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2944"/>
        <c:crosses val="autoZero"/>
        <c:crossBetween val="midCat"/>
      </c:valAx>
      <c:valAx>
        <c:axId val="6554929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8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'MONTES CLAROS'!$J$1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CLAROS'!$J$2:$J$7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A-4694-A75A-72D1B9A4AA59}"/>
            </c:ext>
          </c:extLst>
        </c:ser>
        <c:ser>
          <c:idx val="1"/>
          <c:order val="1"/>
          <c:tx>
            <c:strRef>
              <c:f>'MONTES CLAROS'!$N$1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CLAROS'!$N$2:$N$7</c:f>
              <c:numCache>
                <c:formatCode>0.00</c:formatCode>
                <c:ptCount val="6"/>
                <c:pt idx="0">
                  <c:v>1.3545816733067729E-2</c:v>
                </c:pt>
                <c:pt idx="1">
                  <c:v>2.7888446215139442E-2</c:v>
                </c:pt>
                <c:pt idx="2">
                  <c:v>3.8247011952191233E-2</c:v>
                </c:pt>
                <c:pt idx="3">
                  <c:v>5.9760956175298807E-2</c:v>
                </c:pt>
                <c:pt idx="4">
                  <c:v>9.4820717131474108E-2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3A-4694-A75A-72D1B9A4AA59}"/>
            </c:ext>
          </c:extLst>
        </c:ser>
        <c:ser>
          <c:idx val="2"/>
          <c:order val="2"/>
          <c:tx>
            <c:strRef>
              <c:f>'MONTES CLAROS'!$O$1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CLAROS'!$O$2:$O$7</c:f>
              <c:numCache>
                <c:formatCode>0.00</c:formatCode>
                <c:ptCount val="6"/>
                <c:pt idx="0">
                  <c:v>8.3402835696413675E-3</c:v>
                </c:pt>
                <c:pt idx="1">
                  <c:v>1.834862385321101E-2</c:v>
                </c:pt>
                <c:pt idx="2">
                  <c:v>2.8356964136780651E-2</c:v>
                </c:pt>
                <c:pt idx="3">
                  <c:v>3.753127606338616E-2</c:v>
                </c:pt>
                <c:pt idx="4">
                  <c:v>6.5054211843202675E-2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3A-4694-A75A-72D1B9A4AA59}"/>
            </c:ext>
          </c:extLst>
        </c:ser>
        <c:ser>
          <c:idx val="3"/>
          <c:order val="3"/>
          <c:tx>
            <c:strRef>
              <c:f>'MONTES CLAROS'!$P$1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'MONTES CLAROS'!$I$2:$I$7</c:f>
              <c:numCache>
                <c:formatCode>0.00</c:formatCode>
                <c:ptCount val="6"/>
                <c:pt idx="0">
                  <c:v>7.0351424965123229E-3</c:v>
                </c:pt>
                <c:pt idx="1">
                  <c:v>1.6687703447817712E-2</c:v>
                </c:pt>
                <c:pt idx="2">
                  <c:v>2.8749529440421622E-2</c:v>
                </c:pt>
                <c:pt idx="3">
                  <c:v>4.5308797803317168E-2</c:v>
                </c:pt>
                <c:pt idx="4">
                  <c:v>7.553754511835957E-2</c:v>
                </c:pt>
                <c:pt idx="5">
                  <c:v>1</c:v>
                </c:pt>
              </c:numCache>
            </c:numRef>
          </c:xVal>
          <c:yVal>
            <c:numRef>
              <c:f>'MONTES CLAROS'!$P$2:$P$7</c:f>
              <c:numCache>
                <c:formatCode>0.00</c:formatCode>
                <c:ptCount val="6"/>
                <c:pt idx="0">
                  <c:v>1.0265183917878529E-2</c:v>
                </c:pt>
                <c:pt idx="1">
                  <c:v>1.6253207869974338E-2</c:v>
                </c:pt>
                <c:pt idx="2">
                  <c:v>2.0530367835757058E-2</c:v>
                </c:pt>
                <c:pt idx="3">
                  <c:v>2.9084687767322499E-2</c:v>
                </c:pt>
                <c:pt idx="4">
                  <c:v>4.7048759623609923E-2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3A-4694-A75A-72D1B9A4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8176"/>
        <c:axId val="309843056"/>
      </c:scatterChart>
      <c:valAx>
        <c:axId val="30982817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3056"/>
        <c:crosses val="autoZero"/>
        <c:crossBetween val="midCat"/>
      </c:valAx>
      <c:valAx>
        <c:axId val="309843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2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3-413F-812B-344D308D00EA}"/>
            </c:ext>
          </c:extLst>
        </c:ser>
        <c:ser>
          <c:idx val="1"/>
          <c:order val="1"/>
          <c:tx>
            <c:strRef>
              <c:f>PIRAPORA!$K$1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PIRAPORA!$K$2:$K$8</c:f>
              <c:numCache>
                <c:formatCode>0.00</c:formatCode>
                <c:ptCount val="7"/>
                <c:pt idx="0">
                  <c:v>3.2608695652173912E-2</c:v>
                </c:pt>
                <c:pt idx="1">
                  <c:v>7.8260869565217384E-2</c:v>
                </c:pt>
                <c:pt idx="2">
                  <c:v>0.10869565217391304</c:v>
                </c:pt>
                <c:pt idx="3">
                  <c:v>0.16956521739130434</c:v>
                </c:pt>
                <c:pt idx="4">
                  <c:v>0.26956521739130435</c:v>
                </c:pt>
                <c:pt idx="5">
                  <c:v>0.50869565217391299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3-413F-812B-344D308D00EA}"/>
            </c:ext>
          </c:extLst>
        </c:ser>
        <c:ser>
          <c:idx val="2"/>
          <c:order val="2"/>
          <c:tx>
            <c:strRef>
              <c:f>PIRAPORA!$L$1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PIRAPORA!$L$2:$L$8</c:f>
              <c:numCache>
                <c:formatCode>0.00</c:formatCode>
                <c:ptCount val="7"/>
                <c:pt idx="0">
                  <c:v>1.2121212121212121E-2</c:v>
                </c:pt>
                <c:pt idx="1">
                  <c:v>2.7272727272727275E-2</c:v>
                </c:pt>
                <c:pt idx="2">
                  <c:v>5.454545454545455E-2</c:v>
                </c:pt>
                <c:pt idx="3">
                  <c:v>8.4848484848484854E-2</c:v>
                </c:pt>
                <c:pt idx="4">
                  <c:v>0.2</c:v>
                </c:pt>
                <c:pt idx="5">
                  <c:v>0.52121212121212124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3-413F-812B-344D308D00EA}"/>
            </c:ext>
          </c:extLst>
        </c:ser>
        <c:ser>
          <c:idx val="3"/>
          <c:order val="3"/>
          <c:tx>
            <c:strRef>
              <c:f>PIRAPORA!$M$1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PIRAPORA!$M$2:$M$8</c:f>
              <c:numCache>
                <c:formatCode>0.00</c:formatCode>
                <c:ptCount val="7"/>
                <c:pt idx="0">
                  <c:v>4.1139240506329111E-2</c:v>
                </c:pt>
                <c:pt idx="1">
                  <c:v>4.7468354430379743E-2</c:v>
                </c:pt>
                <c:pt idx="2">
                  <c:v>6.9620253164556958E-2</c:v>
                </c:pt>
                <c:pt idx="3">
                  <c:v>9.8101265822784806E-2</c:v>
                </c:pt>
                <c:pt idx="4">
                  <c:v>0.17088607594936708</c:v>
                </c:pt>
                <c:pt idx="5">
                  <c:v>0.58860759493670889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C3-413F-812B-344D308D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896608"/>
        <c:axId val="265898048"/>
      </c:scatterChart>
      <c:valAx>
        <c:axId val="265896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8048"/>
        <c:crosses val="autoZero"/>
        <c:crossBetween val="midCat"/>
      </c:valAx>
      <c:valAx>
        <c:axId val="265898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58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PIRAPORA!$J$1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PIRAPORA!$J$2:$J$8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06-4B4E-BA6E-63C3C979196E}"/>
            </c:ext>
          </c:extLst>
        </c:ser>
        <c:ser>
          <c:idx val="1"/>
          <c:order val="1"/>
          <c:tx>
            <c:strRef>
              <c:f>PIRAPORA!$N$1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PIRAPORA!$N$2:$N$8</c:f>
              <c:numCache>
                <c:formatCode>0.00</c:formatCode>
                <c:ptCount val="7"/>
                <c:pt idx="0">
                  <c:v>4.1907514450867052E-2</c:v>
                </c:pt>
                <c:pt idx="1">
                  <c:v>6.6473988439306353E-2</c:v>
                </c:pt>
                <c:pt idx="2">
                  <c:v>0.11849710982658959</c:v>
                </c:pt>
                <c:pt idx="3">
                  <c:v>0.17341040462427745</c:v>
                </c:pt>
                <c:pt idx="4">
                  <c:v>0.29768786127167629</c:v>
                </c:pt>
                <c:pt idx="5">
                  <c:v>0.65317919075144504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06-4B4E-BA6E-63C3C979196E}"/>
            </c:ext>
          </c:extLst>
        </c:ser>
        <c:ser>
          <c:idx val="2"/>
          <c:order val="2"/>
          <c:tx>
            <c:strRef>
              <c:f>PIRAPORA!$O$1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PIRAPORA!$O$2:$O$8</c:f>
              <c:numCache>
                <c:formatCode>0.00</c:formatCode>
                <c:ptCount val="7"/>
                <c:pt idx="0">
                  <c:v>1.6728624535315983E-2</c:v>
                </c:pt>
                <c:pt idx="1">
                  <c:v>4.8327137546468397E-2</c:v>
                </c:pt>
                <c:pt idx="2">
                  <c:v>8.3643122676579917E-2</c:v>
                </c:pt>
                <c:pt idx="3">
                  <c:v>0.13382899628252787</c:v>
                </c:pt>
                <c:pt idx="4">
                  <c:v>0.28624535315985128</c:v>
                </c:pt>
                <c:pt idx="5">
                  <c:v>0.56505576208178443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06-4B4E-BA6E-63C3C979196E}"/>
            </c:ext>
          </c:extLst>
        </c:ser>
        <c:ser>
          <c:idx val="3"/>
          <c:order val="3"/>
          <c:tx>
            <c:strRef>
              <c:f>PIRAPORA!$P$1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PIRAPORA!$I$2:$I$8</c:f>
              <c:numCache>
                <c:formatCode>0.00</c:formatCode>
                <c:ptCount val="7"/>
                <c:pt idx="0">
                  <c:v>2.5679258904414592E-2</c:v>
                </c:pt>
                <c:pt idx="1">
                  <c:v>5.4725294002550384E-2</c:v>
                </c:pt>
                <c:pt idx="2">
                  <c:v>9.8540613846288788E-2</c:v>
                </c:pt>
                <c:pt idx="3">
                  <c:v>0.15574207390714714</c:v>
                </c:pt>
                <c:pt idx="4">
                  <c:v>0.34590083191083104</c:v>
                </c:pt>
                <c:pt idx="5">
                  <c:v>0.61646414282147988</c:v>
                </c:pt>
                <c:pt idx="6">
                  <c:v>1</c:v>
                </c:pt>
              </c:numCache>
            </c:numRef>
          </c:xVal>
          <c:yVal>
            <c:numRef>
              <c:f>PIRAPORA!$P$2:$P$8</c:f>
              <c:numCache>
                <c:formatCode>0.00</c:formatCode>
                <c:ptCount val="7"/>
                <c:pt idx="0">
                  <c:v>1.4218009478672985E-2</c:v>
                </c:pt>
                <c:pt idx="1">
                  <c:v>7.5829383886255916E-2</c:v>
                </c:pt>
                <c:pt idx="2">
                  <c:v>0.14218009478672985</c:v>
                </c:pt>
                <c:pt idx="3">
                  <c:v>0.1990521327014218</c:v>
                </c:pt>
                <c:pt idx="4">
                  <c:v>0.25592417061611372</c:v>
                </c:pt>
                <c:pt idx="5">
                  <c:v>0.55924170616113744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06-4B4E-BA6E-63C3C979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8256"/>
        <c:axId val="309846416"/>
      </c:scatterChart>
      <c:valAx>
        <c:axId val="309838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6416"/>
        <c:crosses val="autoZero"/>
        <c:crossBetween val="midCat"/>
      </c:valAx>
      <c:valAx>
        <c:axId val="309846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10-4DD5-B06A-4A7A13A55B46}"/>
            </c:ext>
          </c:extLst>
        </c:ser>
        <c:ser>
          <c:idx val="1"/>
          <c:order val="1"/>
          <c:tx>
            <c:strRef>
              <c:f>SALINAS!$K$1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SALINAS!$K$2:$K$7</c:f>
              <c:numCache>
                <c:formatCode>0.00</c:formatCode>
                <c:ptCount val="6"/>
                <c:pt idx="0">
                  <c:v>2.6785714285714284E-2</c:v>
                </c:pt>
                <c:pt idx="1">
                  <c:v>8.9285714285714288E-2</c:v>
                </c:pt>
                <c:pt idx="2">
                  <c:v>0.14732142857142858</c:v>
                </c:pt>
                <c:pt idx="3">
                  <c:v>0.2142857142857143</c:v>
                </c:pt>
                <c:pt idx="4">
                  <c:v>0.25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0-4DD5-B06A-4A7A13A55B46}"/>
            </c:ext>
          </c:extLst>
        </c:ser>
        <c:ser>
          <c:idx val="2"/>
          <c:order val="2"/>
          <c:tx>
            <c:strRef>
              <c:f>SALINAS!$L$1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SALINAS!$L$2:$L$7</c:f>
              <c:numCache>
                <c:formatCode>0.00</c:formatCode>
                <c:ptCount val="6"/>
                <c:pt idx="0">
                  <c:v>9.433962264150943E-3</c:v>
                </c:pt>
                <c:pt idx="1">
                  <c:v>8.4905660377358486E-2</c:v>
                </c:pt>
                <c:pt idx="2">
                  <c:v>0.13207547169811321</c:v>
                </c:pt>
                <c:pt idx="3">
                  <c:v>0.18867924528301888</c:v>
                </c:pt>
                <c:pt idx="4">
                  <c:v>0.21698113207547171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10-4DD5-B06A-4A7A13A55B46}"/>
            </c:ext>
          </c:extLst>
        </c:ser>
        <c:ser>
          <c:idx val="3"/>
          <c:order val="3"/>
          <c:tx>
            <c:strRef>
              <c:f>SALINAS!$M$1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SALINAS!$M$2:$M$7</c:f>
              <c:numCache>
                <c:formatCode>0.00</c:formatCode>
                <c:ptCount val="6"/>
                <c:pt idx="0">
                  <c:v>5.7692307692307696E-2</c:v>
                </c:pt>
                <c:pt idx="1">
                  <c:v>0.15384615384615385</c:v>
                </c:pt>
                <c:pt idx="2">
                  <c:v>0.23717948717948717</c:v>
                </c:pt>
                <c:pt idx="3">
                  <c:v>0.3141025641025641</c:v>
                </c:pt>
                <c:pt idx="4">
                  <c:v>0.35256410256410253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10-4DD5-B06A-4A7A13A55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1488"/>
        <c:axId val="296720528"/>
      </c:scatterChart>
      <c:valAx>
        <c:axId val="296721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0528"/>
        <c:crosses val="autoZero"/>
        <c:crossBetween val="midCat"/>
      </c:valAx>
      <c:valAx>
        <c:axId val="29672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672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SALINAS!$J$1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SALINAS!$J$2:$J$7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E2-4370-9378-294451C0EF69}"/>
            </c:ext>
          </c:extLst>
        </c:ser>
        <c:ser>
          <c:idx val="1"/>
          <c:order val="1"/>
          <c:tx>
            <c:strRef>
              <c:f>SALINAS!$N$1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SALINAS!$N$2:$N$7</c:f>
              <c:numCache>
                <c:formatCode>0.00</c:formatCode>
                <c:ptCount val="6"/>
                <c:pt idx="0">
                  <c:v>6.25E-2</c:v>
                </c:pt>
                <c:pt idx="1">
                  <c:v>0.12847222222222221</c:v>
                </c:pt>
                <c:pt idx="2">
                  <c:v>0.2361111111111111</c:v>
                </c:pt>
                <c:pt idx="3">
                  <c:v>0.31597222222222221</c:v>
                </c:pt>
                <c:pt idx="4">
                  <c:v>0.39930555555555552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E2-4370-9378-294451C0EF69}"/>
            </c:ext>
          </c:extLst>
        </c:ser>
        <c:ser>
          <c:idx val="2"/>
          <c:order val="2"/>
          <c:tx>
            <c:strRef>
              <c:f>SALINAS!$O$1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SALINAS!$O$2:$O$7</c:f>
              <c:numCache>
                <c:formatCode>0.00</c:formatCode>
                <c:ptCount val="6"/>
                <c:pt idx="0">
                  <c:v>8.8353413654618476E-2</c:v>
                </c:pt>
                <c:pt idx="1">
                  <c:v>0.15662650602409639</c:v>
                </c:pt>
                <c:pt idx="2">
                  <c:v>0.23293172690763053</c:v>
                </c:pt>
                <c:pt idx="3">
                  <c:v>0.32931726907630521</c:v>
                </c:pt>
                <c:pt idx="4">
                  <c:v>0.38554216867469876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E2-4370-9378-294451C0EF69}"/>
            </c:ext>
          </c:extLst>
        </c:ser>
        <c:ser>
          <c:idx val="3"/>
          <c:order val="3"/>
          <c:tx>
            <c:strRef>
              <c:f>SALINAS!$P$1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SALINAS!$I$2:$I$7</c:f>
              <c:numCache>
                <c:formatCode>0.00</c:formatCode>
                <c:ptCount val="6"/>
                <c:pt idx="0">
                  <c:v>5.9393815695479128E-2</c:v>
                </c:pt>
                <c:pt idx="1">
                  <c:v>0.13566982053562315</c:v>
                </c:pt>
                <c:pt idx="2">
                  <c:v>0.21363696003965418</c:v>
                </c:pt>
                <c:pt idx="3">
                  <c:v>0.29540915253743094</c:v>
                </c:pt>
                <c:pt idx="4">
                  <c:v>0.38967533130202792</c:v>
                </c:pt>
                <c:pt idx="5">
                  <c:v>1</c:v>
                </c:pt>
              </c:numCache>
            </c:numRef>
          </c:xVal>
          <c:yVal>
            <c:numRef>
              <c:f>SALINAS!$P$2:$P$7</c:f>
              <c:numCache>
                <c:formatCode>0.00</c:formatCode>
                <c:ptCount val="6"/>
                <c:pt idx="0">
                  <c:v>0.10185185185185185</c:v>
                </c:pt>
                <c:pt idx="1">
                  <c:v>0.14814814814814814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0.39814814814814814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E2-4370-9378-294451C0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491984"/>
        <c:axId val="655496304"/>
      </c:scatterChart>
      <c:valAx>
        <c:axId val="655491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6304"/>
        <c:crosses val="autoZero"/>
        <c:crossBetween val="midCat"/>
      </c:valAx>
      <c:valAx>
        <c:axId val="655496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49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2-4AF4-95F7-0DBD865AD9EA}"/>
            </c:ext>
          </c:extLst>
        </c:ser>
        <c:ser>
          <c:idx val="1"/>
          <c:order val="1"/>
          <c:tx>
            <c:strRef>
              <c:f>TAIOBEIRAS!$K$1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TAIOBEIRAS!$K$2:$K$11</c:f>
              <c:numCache>
                <c:formatCode>0.00</c:formatCode>
                <c:ptCount val="10"/>
                <c:pt idx="0">
                  <c:v>3.7950664136622389E-2</c:v>
                </c:pt>
                <c:pt idx="1">
                  <c:v>8.3491461100569264E-2</c:v>
                </c:pt>
                <c:pt idx="2">
                  <c:v>0.13282732447817838</c:v>
                </c:pt>
                <c:pt idx="3">
                  <c:v>0.22011385199240988</c:v>
                </c:pt>
                <c:pt idx="4">
                  <c:v>0.26375711574952565</c:v>
                </c:pt>
                <c:pt idx="5">
                  <c:v>0.34155597722960157</c:v>
                </c:pt>
                <c:pt idx="6">
                  <c:v>0.38140417457305509</c:v>
                </c:pt>
                <c:pt idx="7">
                  <c:v>0.48766603415559778</c:v>
                </c:pt>
                <c:pt idx="8">
                  <c:v>0.72485768500948766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82-4AF4-95F7-0DBD865AD9EA}"/>
            </c:ext>
          </c:extLst>
        </c:ser>
        <c:ser>
          <c:idx val="2"/>
          <c:order val="2"/>
          <c:tx>
            <c:strRef>
              <c:f>TAIOBEIRAS!$L$1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TAIOBEIRAS!$L$2:$L$11</c:f>
              <c:numCache>
                <c:formatCode>0.00</c:formatCode>
                <c:ptCount val="10"/>
                <c:pt idx="0">
                  <c:v>2.8880866425992781E-2</c:v>
                </c:pt>
                <c:pt idx="1">
                  <c:v>5.0541516245487361E-2</c:v>
                </c:pt>
                <c:pt idx="2">
                  <c:v>6.8592057761732855E-2</c:v>
                </c:pt>
                <c:pt idx="3">
                  <c:v>0.11913357400722022</c:v>
                </c:pt>
                <c:pt idx="4">
                  <c:v>0.1407942238267148</c:v>
                </c:pt>
                <c:pt idx="5">
                  <c:v>0.17689530685920579</c:v>
                </c:pt>
                <c:pt idx="6">
                  <c:v>0.20216606498194947</c:v>
                </c:pt>
                <c:pt idx="7">
                  <c:v>0.28880866425992779</c:v>
                </c:pt>
                <c:pt idx="8">
                  <c:v>0.48736462093862815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82-4AF4-95F7-0DBD865AD9EA}"/>
            </c:ext>
          </c:extLst>
        </c:ser>
        <c:ser>
          <c:idx val="3"/>
          <c:order val="3"/>
          <c:tx>
            <c:strRef>
              <c:f>TAIOBEIRAS!$M$1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TAIOBEIRAS!$M$2:$M$11</c:f>
              <c:numCache>
                <c:formatCode>0.00</c:formatCode>
                <c:ptCount val="10"/>
                <c:pt idx="0">
                  <c:v>3.4591194968553458E-2</c:v>
                </c:pt>
                <c:pt idx="1">
                  <c:v>4.40251572327044E-2</c:v>
                </c:pt>
                <c:pt idx="2">
                  <c:v>8.1761006289308172E-2</c:v>
                </c:pt>
                <c:pt idx="3">
                  <c:v>0.11320754716981132</c:v>
                </c:pt>
                <c:pt idx="4">
                  <c:v>0.14150943396226415</c:v>
                </c:pt>
                <c:pt idx="5">
                  <c:v>0.16981132075471697</c:v>
                </c:pt>
                <c:pt idx="6">
                  <c:v>0.20125786163522011</c:v>
                </c:pt>
                <c:pt idx="7">
                  <c:v>0.28301886792452829</c:v>
                </c:pt>
                <c:pt idx="8">
                  <c:v>0.58490566037735847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82-4AF4-95F7-0DBD865A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983632"/>
        <c:axId val="424984112"/>
      </c:scatterChart>
      <c:valAx>
        <c:axId val="424983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4112"/>
        <c:crosses val="autoZero"/>
        <c:crossBetween val="midCat"/>
      </c:valAx>
      <c:valAx>
        <c:axId val="424984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98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TAIOBEIRAS!$J$1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TAIOBEIRAS!$J$2:$J$11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B-4758-8727-39899A5C62E4}"/>
            </c:ext>
          </c:extLst>
        </c:ser>
        <c:ser>
          <c:idx val="1"/>
          <c:order val="1"/>
          <c:tx>
            <c:strRef>
              <c:f>TAIOBEIRAS!$N$1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TAIOBEIRAS!$N$2:$N$11</c:f>
              <c:numCache>
                <c:formatCode>0.00</c:formatCode>
                <c:ptCount val="10"/>
                <c:pt idx="0">
                  <c:v>3.7037037037037035E-2</c:v>
                </c:pt>
                <c:pt idx="1">
                  <c:v>4.9382716049382713E-2</c:v>
                </c:pt>
                <c:pt idx="2">
                  <c:v>0.10185185185185185</c:v>
                </c:pt>
                <c:pt idx="3">
                  <c:v>0.13734567901234568</c:v>
                </c:pt>
                <c:pt idx="4">
                  <c:v>0.2021604938271605</c:v>
                </c:pt>
                <c:pt idx="5">
                  <c:v>0.26234567901234568</c:v>
                </c:pt>
                <c:pt idx="6">
                  <c:v>0.31172839506172839</c:v>
                </c:pt>
                <c:pt idx="7">
                  <c:v>0.48919753086419754</c:v>
                </c:pt>
                <c:pt idx="8">
                  <c:v>0.67592592592592593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FB-4758-8727-39899A5C62E4}"/>
            </c:ext>
          </c:extLst>
        </c:ser>
        <c:ser>
          <c:idx val="2"/>
          <c:order val="2"/>
          <c:tx>
            <c:strRef>
              <c:f>TAIOBEIRAS!$O$1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TAIOBEIRAS!$O$2:$O$11</c:f>
              <c:numCache>
                <c:formatCode>0.00</c:formatCode>
                <c:ptCount val="10"/>
                <c:pt idx="0">
                  <c:v>3.9832285115303984E-2</c:v>
                </c:pt>
                <c:pt idx="1">
                  <c:v>9.2243186582809222E-2</c:v>
                </c:pt>
                <c:pt idx="2">
                  <c:v>0.11949685534591195</c:v>
                </c:pt>
                <c:pt idx="3">
                  <c:v>0.17400419287211741</c:v>
                </c:pt>
                <c:pt idx="4">
                  <c:v>0.2180293501048218</c:v>
                </c:pt>
                <c:pt idx="5">
                  <c:v>0.24318658280922431</c:v>
                </c:pt>
                <c:pt idx="6">
                  <c:v>0.28511530398322849</c:v>
                </c:pt>
                <c:pt idx="7">
                  <c:v>0.48427672955974843</c:v>
                </c:pt>
                <c:pt idx="8">
                  <c:v>0.72327044025157239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FB-4758-8727-39899A5C62E4}"/>
            </c:ext>
          </c:extLst>
        </c:ser>
        <c:ser>
          <c:idx val="3"/>
          <c:order val="3"/>
          <c:tx>
            <c:strRef>
              <c:f>TAIOBEIRAS!$P$1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TAIOBEIRAS!$I$2:$I$11</c:f>
              <c:numCache>
                <c:formatCode>0.00</c:formatCode>
                <c:ptCount val="10"/>
                <c:pt idx="0">
                  <c:v>3.4057553854573111E-2</c:v>
                </c:pt>
                <c:pt idx="1">
                  <c:v>6.9913221466493258E-2</c:v>
                </c:pt>
                <c:pt idx="2">
                  <c:v>0.1219092698805285</c:v>
                </c:pt>
                <c:pt idx="3">
                  <c:v>0.17399060432258021</c:v>
                </c:pt>
                <c:pt idx="4">
                  <c:v>0.22990270285637124</c:v>
                </c:pt>
                <c:pt idx="5">
                  <c:v>0.28945367191886456</c:v>
                </c:pt>
                <c:pt idx="6">
                  <c:v>0.36304840692806833</c:v>
                </c:pt>
                <c:pt idx="7">
                  <c:v>0.53217770765371031</c:v>
                </c:pt>
                <c:pt idx="8">
                  <c:v>0.753715272595467</c:v>
                </c:pt>
                <c:pt idx="9">
                  <c:v>1</c:v>
                </c:pt>
              </c:numCache>
            </c:numRef>
          </c:xVal>
          <c:yVal>
            <c:numRef>
              <c:f>TAIOBEIRAS!$P$2:$P$11</c:f>
              <c:numCache>
                <c:formatCode>0.00</c:formatCode>
                <c:ptCount val="10"/>
                <c:pt idx="0">
                  <c:v>3.6885245901639344E-2</c:v>
                </c:pt>
                <c:pt idx="1">
                  <c:v>8.6065573770491802E-2</c:v>
                </c:pt>
                <c:pt idx="2">
                  <c:v>0.16393442622950821</c:v>
                </c:pt>
                <c:pt idx="3">
                  <c:v>0.22131147540983609</c:v>
                </c:pt>
                <c:pt idx="4">
                  <c:v>0.27459016393442626</c:v>
                </c:pt>
                <c:pt idx="5">
                  <c:v>0.29918032786885251</c:v>
                </c:pt>
                <c:pt idx="6">
                  <c:v>0.35245901639344268</c:v>
                </c:pt>
                <c:pt idx="7">
                  <c:v>0.50409836065573776</c:v>
                </c:pt>
                <c:pt idx="8">
                  <c:v>0.68852459016393452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FB-4758-8727-39899A5C6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99376"/>
        <c:axId val="309810896"/>
      </c:scatterChart>
      <c:valAx>
        <c:axId val="309799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0896"/>
        <c:crosses val="autoZero"/>
        <c:crossBetween val="midCat"/>
      </c:valAx>
      <c:valAx>
        <c:axId val="309810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79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36310EC-2282-23C8-42FE-E0CCC6F8F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156210</xdr:rowOff>
    </xdr:from>
    <xdr:to>
      <xdr:col>23</xdr:col>
      <xdr:colOff>365760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4A2B8CD-E18F-426B-D3F3-2651FD34D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CA580-6B42-3CDD-D28C-95648DE0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14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CDB167-8629-CC9A-AF8F-496F95681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0</xdr:row>
      <xdr:rowOff>57150</xdr:rowOff>
    </xdr:from>
    <xdr:to>
      <xdr:col>23</xdr:col>
      <xdr:colOff>525780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FB148-61C1-83E4-FD01-FF7E5B14D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12</xdr:row>
      <xdr:rowOff>156210</xdr:rowOff>
    </xdr:from>
    <xdr:to>
      <xdr:col>23</xdr:col>
      <xdr:colOff>563880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DD74E9-46FC-9A4B-5C52-3E8A4281D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129540</xdr:colOff>
      <xdr:row>0</xdr:row>
      <xdr:rowOff>0</xdr:rowOff>
    </xdr:from>
    <xdr:to>
      <xdr:col>23</xdr:col>
      <xdr:colOff>434340</xdr:colOff>
      <xdr:row>12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EB9E5E-0B26-0F86-46FB-A6A92229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12</xdr:row>
      <xdr:rowOff>140970</xdr:rowOff>
    </xdr:from>
    <xdr:to>
      <xdr:col>23</xdr:col>
      <xdr:colOff>571500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CD46141-44AE-9B73-843E-EB12694F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0</xdr:row>
      <xdr:rowOff>57150</xdr:rowOff>
    </xdr:from>
    <xdr:to>
      <xdr:col>23</xdr:col>
      <xdr:colOff>480060</xdr:colOff>
      <xdr:row>13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17CDB0-3897-EFE6-2589-F4FDB46B0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179070</xdr:rowOff>
    </xdr:from>
    <xdr:to>
      <xdr:col>23</xdr:col>
      <xdr:colOff>449580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7779612-B0E5-72DE-0C5F-AF75F765F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41910</xdr:rowOff>
    </xdr:from>
    <xdr:to>
      <xdr:col>23</xdr:col>
      <xdr:colOff>396240</xdr:colOff>
      <xdr:row>12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12DC2E-2542-3134-16DA-5670673DF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11430</xdr:rowOff>
    </xdr:from>
    <xdr:to>
      <xdr:col>23</xdr:col>
      <xdr:colOff>388620</xdr:colOff>
      <xdr:row>28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836FF-F319-3E6A-76C1-A846522B8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194829</xdr:colOff>
      <xdr:row>0</xdr:row>
      <xdr:rowOff>39832</xdr:rowOff>
    </xdr:from>
    <xdr:to>
      <xdr:col>23</xdr:col>
      <xdr:colOff>523875</xdr:colOff>
      <xdr:row>12</xdr:row>
      <xdr:rowOff>133350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8A42926-AEB6-1F91-9C03-7EBF7F576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186170</xdr:colOff>
      <xdr:row>12</xdr:row>
      <xdr:rowOff>169718</xdr:rowOff>
    </xdr:from>
    <xdr:to>
      <xdr:col>23</xdr:col>
      <xdr:colOff>515216</xdr:colOff>
      <xdr:row>28</xdr:row>
      <xdr:rowOff>3464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192AA17-B03E-E737-6FCD-9BDEC080B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45720</xdr:rowOff>
    </xdr:from>
    <xdr:to>
      <xdr:col>23</xdr:col>
      <xdr:colOff>373380</xdr:colOff>
      <xdr:row>12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A3500-78E6-C38E-48F4-2B781C455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67236</xdr:colOff>
      <xdr:row>13</xdr:row>
      <xdr:rowOff>35859</xdr:rowOff>
    </xdr:from>
    <xdr:to>
      <xdr:col>23</xdr:col>
      <xdr:colOff>372036</xdr:colOff>
      <xdr:row>28</xdr:row>
      <xdr:rowOff>89647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C27FC3-9202-F0F1-19BF-A5762D47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155510</xdr:colOff>
      <xdr:row>0</xdr:row>
      <xdr:rowOff>62981</xdr:rowOff>
    </xdr:from>
    <xdr:to>
      <xdr:col>23</xdr:col>
      <xdr:colOff>482082</xdr:colOff>
      <xdr:row>12</xdr:row>
      <xdr:rowOff>108079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909EBAA-417A-4672-7EC4-7E49B96D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171062</xdr:colOff>
      <xdr:row>12</xdr:row>
      <xdr:rowOff>148512</xdr:rowOff>
    </xdr:from>
    <xdr:to>
      <xdr:col>23</xdr:col>
      <xdr:colOff>497634</xdr:colOff>
      <xdr:row>27</xdr:row>
      <xdr:rowOff>92528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714E1C4-F0FF-5C2E-7AB6-FBD9962F6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0</xdr:row>
      <xdr:rowOff>57150</xdr:rowOff>
    </xdr:from>
    <xdr:to>
      <xdr:col>23</xdr:col>
      <xdr:colOff>502920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EDD41B0-8876-B840-0157-5BEF3B410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13</xdr:row>
      <xdr:rowOff>3810</xdr:rowOff>
    </xdr:from>
    <xdr:to>
      <xdr:col>23</xdr:col>
      <xdr:colOff>487680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F6FDED-41C3-896F-B791-42D13BAB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49530</xdr:rowOff>
    </xdr:from>
    <xdr:to>
      <xdr:col>23</xdr:col>
      <xdr:colOff>403860</xdr:colOff>
      <xdr:row>12</xdr:row>
      <xdr:rowOff>316230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32D0321-02A4-74BC-C95B-73AEE8548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3810</xdr:rowOff>
    </xdr:from>
    <xdr:to>
      <xdr:col>23</xdr:col>
      <xdr:colOff>396240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11742A-6FBA-A553-0BFF-C7A853BF5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36F3-19D5-43E9-BEA4-DE4E28F7D501}">
  <dimension ref="A1:P17"/>
  <sheetViews>
    <sheetView tabSelected="1" zoomScale="96" workbookViewId="0">
      <selection activeCell="K20" sqref="K20"/>
    </sheetView>
  </sheetViews>
  <sheetFormatPr defaultRowHeight="14.4" x14ac:dyDescent="0.3"/>
  <sheetData>
    <row r="1" spans="1:16" ht="36.6" customHeight="1" x14ac:dyDescent="0.3">
      <c r="A1" s="4" t="s">
        <v>108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</v>
      </c>
      <c r="B2" s="12">
        <v>6.0189285623908698E-2</v>
      </c>
      <c r="C2" s="12">
        <v>4.710144927536232E-2</v>
      </c>
      <c r="D2" s="12">
        <v>4.8543689320388349E-2</v>
      </c>
      <c r="E2" s="12">
        <v>6.6225165562913907E-3</v>
      </c>
      <c r="F2" s="12">
        <v>3.787878787878788E-2</v>
      </c>
      <c r="G2" s="12">
        <v>3.0701754385964911E-2</v>
      </c>
      <c r="H2" s="12">
        <v>1.5267175572519083E-2</v>
      </c>
      <c r="I2" s="11">
        <v>6.0189285623908698E-2</v>
      </c>
      <c r="J2" s="12">
        <v>6.0189285623908698E-2</v>
      </c>
      <c r="K2" s="12">
        <v>4.710144927536232E-2</v>
      </c>
      <c r="L2" s="12">
        <v>4.8543689320388349E-2</v>
      </c>
      <c r="M2" s="12">
        <v>6.6225165562913907E-3</v>
      </c>
      <c r="N2" s="12">
        <v>3.787878787878788E-2</v>
      </c>
      <c r="O2" s="12">
        <v>3.0701754385964911E-2</v>
      </c>
      <c r="P2" s="12">
        <v>1.5267175572519083E-2</v>
      </c>
    </row>
    <row r="3" spans="1:16" x14ac:dyDescent="0.3">
      <c r="A3" s="11" t="s">
        <v>3</v>
      </c>
      <c r="B3" s="12">
        <v>6.3327175645924536E-2</v>
      </c>
      <c r="C3" s="12">
        <v>9.0579710144927536E-2</v>
      </c>
      <c r="D3" s="12">
        <v>1.9417475728155338E-2</v>
      </c>
      <c r="E3" s="12">
        <v>0.10596026490066225</v>
      </c>
      <c r="F3" s="12">
        <v>0.10227272727272728</v>
      </c>
      <c r="G3" s="12">
        <v>7.8947368421052627E-2</v>
      </c>
      <c r="H3" s="12">
        <v>9.9236641221374045E-2</v>
      </c>
      <c r="I3" s="11">
        <v>0.12351646126983323</v>
      </c>
      <c r="J3" s="11">
        <f t="shared" ref="J3:P7" si="0">J2+B3</f>
        <v>0.12351646126983323</v>
      </c>
      <c r="K3" s="11">
        <f t="shared" si="0"/>
        <v>0.13768115942028986</v>
      </c>
      <c r="L3" s="11">
        <f t="shared" si="0"/>
        <v>6.7961165048543687E-2</v>
      </c>
      <c r="M3" s="11">
        <f t="shared" si="0"/>
        <v>0.11258278145695365</v>
      </c>
      <c r="N3" s="11">
        <f t="shared" si="0"/>
        <v>0.14015151515151517</v>
      </c>
      <c r="O3" s="11">
        <f t="shared" si="0"/>
        <v>0.10964912280701754</v>
      </c>
      <c r="P3" s="11">
        <f t="shared" si="0"/>
        <v>0.11450381679389313</v>
      </c>
    </row>
    <row r="4" spans="1:16" x14ac:dyDescent="0.3">
      <c r="A4" s="11" t="s">
        <v>2</v>
      </c>
      <c r="B4" s="12">
        <v>6.6654857403142947E-2</v>
      </c>
      <c r="C4" s="12">
        <v>4.710144927536232E-2</v>
      </c>
      <c r="D4" s="12">
        <v>4.8543689320388349E-2</v>
      </c>
      <c r="E4" s="12">
        <v>3.9735099337748346E-2</v>
      </c>
      <c r="F4" s="12">
        <v>4.1666666666666664E-2</v>
      </c>
      <c r="G4" s="12">
        <v>4.8245614035087717E-2</v>
      </c>
      <c r="H4" s="12">
        <v>6.1068702290076333E-2</v>
      </c>
      <c r="I4" s="11">
        <v>0.19017131867297618</v>
      </c>
      <c r="J4" s="11">
        <f t="shared" si="0"/>
        <v>0.19017131867297618</v>
      </c>
      <c r="K4" s="11">
        <f t="shared" si="0"/>
        <v>0.18478260869565216</v>
      </c>
      <c r="L4" s="11">
        <f t="shared" si="0"/>
        <v>0.11650485436893204</v>
      </c>
      <c r="M4" s="11">
        <f t="shared" si="0"/>
        <v>0.15231788079470199</v>
      </c>
      <c r="N4" s="11">
        <f t="shared" si="0"/>
        <v>0.18181818181818182</v>
      </c>
      <c r="O4" s="11">
        <f t="shared" si="0"/>
        <v>0.15789473684210525</v>
      </c>
      <c r="P4" s="11">
        <f t="shared" si="0"/>
        <v>0.17557251908396945</v>
      </c>
    </row>
    <row r="5" spans="1:16" x14ac:dyDescent="0.3">
      <c r="A5" s="11" t="s">
        <v>5</v>
      </c>
      <c r="B5" s="12">
        <v>7.8991320191310069E-2</v>
      </c>
      <c r="C5" s="12">
        <v>6.5217391304347824E-2</v>
      </c>
      <c r="D5" s="12">
        <v>2.9126213592233011E-2</v>
      </c>
      <c r="E5" s="12">
        <v>7.9470198675496692E-2</v>
      </c>
      <c r="F5" s="12">
        <v>7.9545454545454544E-2</v>
      </c>
      <c r="G5" s="12">
        <v>0.10964912280701754</v>
      </c>
      <c r="H5" s="12">
        <v>0.12977099236641221</v>
      </c>
      <c r="I5" s="11">
        <v>0.26916263886428626</v>
      </c>
      <c r="J5" s="11">
        <f t="shared" si="0"/>
        <v>0.26916263886428626</v>
      </c>
      <c r="K5" s="11">
        <f t="shared" si="0"/>
        <v>0.25</v>
      </c>
      <c r="L5" s="11">
        <f t="shared" si="0"/>
        <v>0.14563106796116504</v>
      </c>
      <c r="M5" s="11">
        <f t="shared" si="0"/>
        <v>0.23178807947019869</v>
      </c>
      <c r="N5" s="11">
        <f t="shared" si="0"/>
        <v>0.26136363636363635</v>
      </c>
      <c r="O5" s="11">
        <f t="shared" si="0"/>
        <v>0.26754385964912281</v>
      </c>
      <c r="P5" s="11">
        <f t="shared" si="0"/>
        <v>0.30534351145038163</v>
      </c>
    </row>
    <row r="6" spans="1:16" x14ac:dyDescent="0.3">
      <c r="A6" s="11" t="s">
        <v>1</v>
      </c>
      <c r="B6" s="12">
        <v>9.160614419110763E-2</v>
      </c>
      <c r="C6" s="12">
        <v>9.420289855072464E-2</v>
      </c>
      <c r="D6" s="12">
        <v>3.8834951456310676E-2</v>
      </c>
      <c r="E6" s="12">
        <v>5.9602649006622516E-2</v>
      </c>
      <c r="F6" s="12">
        <v>0.11742424242424243</v>
      </c>
      <c r="G6" s="12">
        <v>9.6491228070175433E-2</v>
      </c>
      <c r="H6" s="12">
        <v>9.9236641221374045E-2</v>
      </c>
      <c r="I6" s="11">
        <v>0.36076878305539389</v>
      </c>
      <c r="J6" s="11">
        <f t="shared" si="0"/>
        <v>0.36076878305539389</v>
      </c>
      <c r="K6" s="11">
        <f t="shared" si="0"/>
        <v>0.34420289855072461</v>
      </c>
      <c r="L6" s="11">
        <f t="shared" si="0"/>
        <v>0.1844660194174757</v>
      </c>
      <c r="M6" s="11">
        <f t="shared" si="0"/>
        <v>0.29139072847682124</v>
      </c>
      <c r="N6" s="11">
        <f t="shared" si="0"/>
        <v>0.37878787878787878</v>
      </c>
      <c r="O6" s="11">
        <f t="shared" si="0"/>
        <v>0.36403508771929827</v>
      </c>
      <c r="P6" s="11">
        <f t="shared" si="0"/>
        <v>0.40458015267175568</v>
      </c>
    </row>
    <row r="7" spans="1:16" x14ac:dyDescent="0.3">
      <c r="A7" s="11" t="s">
        <v>0</v>
      </c>
      <c r="B7" s="12">
        <v>0.63923121694460616</v>
      </c>
      <c r="C7" s="12">
        <v>0.65579710144927539</v>
      </c>
      <c r="D7" s="12">
        <v>0.81553398058252424</v>
      </c>
      <c r="E7" s="12">
        <v>0.70860927152317876</v>
      </c>
      <c r="F7" s="12">
        <v>0.62121212121212122</v>
      </c>
      <c r="G7" s="12">
        <v>0.63596491228070173</v>
      </c>
      <c r="H7" s="12">
        <v>0.59541984732824427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</row>
    <row r="10" spans="1:16" x14ac:dyDescent="0.3">
      <c r="B10" s="11" t="s">
        <v>4</v>
      </c>
      <c r="C10" s="11">
        <f>C2-B2</f>
        <v>-1.3087836348546378E-2</v>
      </c>
      <c r="D10" s="11">
        <f>D2-B2</f>
        <v>-1.1645596303520349E-2</v>
      </c>
      <c r="E10" s="11">
        <f>E2-B2</f>
        <v>-5.3566769067617308E-2</v>
      </c>
      <c r="F10" s="11">
        <f>F2-B2</f>
        <v>-2.2310497745120818E-2</v>
      </c>
      <c r="G10" s="11">
        <f>G2-B2</f>
        <v>-2.9487531237943787E-2</v>
      </c>
      <c r="H10" s="11">
        <f>H2-B2</f>
        <v>-4.4922110051389616E-2</v>
      </c>
      <c r="J10" s="11" t="s">
        <v>4</v>
      </c>
      <c r="K10" s="3">
        <f>(J2-0) * ((K2+0))</f>
        <v>2.8350025837348301E-3</v>
      </c>
      <c r="L10" s="3">
        <f>(J2-0) * ((L2+0))</f>
        <v>2.9218099817431408E-3</v>
      </c>
      <c r="M10" s="3">
        <f>(J2-0) * ((M2+0))</f>
        <v>3.9860454055568674E-4</v>
      </c>
      <c r="N10" s="3">
        <f>(J2-0) * ((N2+0))</f>
        <v>2.2798971827238143E-3</v>
      </c>
      <c r="O10" s="3">
        <f>(J2-0) * ((O2+0))</f>
        <v>1.8479166638919336E-3</v>
      </c>
      <c r="P10" s="3">
        <f>(J2-0) * ((P2+0))</f>
        <v>9.1892039120471287E-4</v>
      </c>
    </row>
    <row r="11" spans="1:16" x14ac:dyDescent="0.3">
      <c r="B11" s="11" t="s">
        <v>3</v>
      </c>
      <c r="C11" s="11">
        <f t="shared" ref="C11:C15" si="1">C3-B3</f>
        <v>2.7252534499003001E-2</v>
      </c>
      <c r="D11" s="11">
        <f t="shared" ref="D11:D15" si="2">D3-B3</f>
        <v>-4.3909699917769197E-2</v>
      </c>
      <c r="E11" s="11">
        <f t="shared" ref="E11:E15" si="3">E3-B3</f>
        <v>4.2633089254737716E-2</v>
      </c>
      <c r="F11" s="11">
        <f t="shared" ref="F11:F15" si="4">F3-B3</f>
        <v>3.8945551626802744E-2</v>
      </c>
      <c r="G11" s="11">
        <f t="shared" ref="G11:G15" si="5">G3-B3</f>
        <v>1.5620192775128092E-2</v>
      </c>
      <c r="H11" s="11">
        <f t="shared" ref="H11:H15" si="6">H3-B3</f>
        <v>3.5909465575449509E-2</v>
      </c>
      <c r="J11" s="11" t="s">
        <v>3</v>
      </c>
      <c r="K11" s="3">
        <f>(J3-J2) * ((K3+K2))</f>
        <v>1.1701760717181707E-2</v>
      </c>
      <c r="L11" s="3">
        <f>(J3-J2) * ((L3+L2))</f>
        <v>7.3779233762242182E-3</v>
      </c>
      <c r="M11" s="3">
        <f>(J3-J2) * ((M3+M2))</f>
        <v>7.5489348452095484E-3</v>
      </c>
      <c r="N11" s="3">
        <f>(J3-J2) * ((N3+N2))</f>
        <v>1.1274156270297172E-2</v>
      </c>
      <c r="O11" s="3">
        <f>(J3-J2) * ((O3+O2))</f>
        <v>8.888024652059583E-3</v>
      </c>
      <c r="P11" s="3">
        <f>(J3-J2) * ((P3+P2))</f>
        <v>8.2180304273337182E-3</v>
      </c>
    </row>
    <row r="12" spans="1:16" x14ac:dyDescent="0.3">
      <c r="B12" s="11" t="s">
        <v>2</v>
      </c>
      <c r="C12" s="11">
        <f t="shared" si="1"/>
        <v>-1.9553408127780628E-2</v>
      </c>
      <c r="D12" s="11">
        <f t="shared" si="2"/>
        <v>-1.8111168082754599E-2</v>
      </c>
      <c r="E12" s="11">
        <f t="shared" si="3"/>
        <v>-2.6919758065394601E-2</v>
      </c>
      <c r="F12" s="11">
        <f t="shared" si="4"/>
        <v>-2.4988190736476283E-2</v>
      </c>
      <c r="G12" s="11">
        <f t="shared" si="5"/>
        <v>-1.8409243368055231E-2</v>
      </c>
      <c r="H12" s="11">
        <f t="shared" si="6"/>
        <v>-5.586155113066614E-3</v>
      </c>
      <c r="J12" s="11" t="s">
        <v>2</v>
      </c>
      <c r="K12" s="3">
        <f t="shared" ref="K12:K15" si="7">(J4-J3) * ((K4+K3))</f>
        <v>2.1493776481448269E-2</v>
      </c>
      <c r="L12" s="3">
        <f t="shared" ref="L12:L15" si="8">(J4-J3) * ((L4+L3))</f>
        <v>1.2295556219997244E-2</v>
      </c>
      <c r="M12" s="3">
        <f t="shared" ref="M12:M15" si="9">(J4-J3) * ((M4+M3))</f>
        <v>1.765691586838224E-2</v>
      </c>
      <c r="N12" s="3">
        <f t="shared" ref="N12:N15" si="10">(J4-J3) * ((N4+N3))</f>
        <v>2.1460844239648301E-2</v>
      </c>
      <c r="O12" s="3">
        <f t="shared" ref="O12:O15" si="11">(J4-J3) * ((O4+O3))</f>
        <v>1.783309781399877E-2</v>
      </c>
      <c r="P12" s="3">
        <f t="shared" ref="P12:P15" si="12">(J4-J3) * ((P4+P3))</f>
        <v>1.9334996803965127E-2</v>
      </c>
    </row>
    <row r="13" spans="1:16" x14ac:dyDescent="0.3">
      <c r="B13" s="11" t="s">
        <v>5</v>
      </c>
      <c r="C13" s="11">
        <f t="shared" si="1"/>
        <v>-1.3773928886962244E-2</v>
      </c>
      <c r="D13" s="11">
        <f t="shared" si="2"/>
        <v>-4.9865106599077058E-2</v>
      </c>
      <c r="E13" s="11">
        <f t="shared" si="3"/>
        <v>4.7887848418662338E-4</v>
      </c>
      <c r="F13" s="11">
        <f t="shared" si="4"/>
        <v>5.5413435414447543E-4</v>
      </c>
      <c r="G13" s="11">
        <f t="shared" si="5"/>
        <v>3.0657802615707469E-2</v>
      </c>
      <c r="H13" s="11">
        <f t="shared" si="6"/>
        <v>5.0779672175102139E-2</v>
      </c>
      <c r="J13" s="11" t="s">
        <v>5</v>
      </c>
      <c r="K13" s="3">
        <f t="shared" si="7"/>
        <v>3.4344052257091341E-2</v>
      </c>
      <c r="L13" s="3">
        <f t="shared" si="8"/>
        <v>2.0706462574421089E-2</v>
      </c>
      <c r="M13" s="3">
        <f t="shared" si="9"/>
        <v>3.0341036894675398E-2</v>
      </c>
      <c r="N13" s="3">
        <f t="shared" si="10"/>
        <v>3.5007516902966967E-2</v>
      </c>
      <c r="O13" s="3">
        <f t="shared" si="11"/>
        <v>3.3605956397180163E-2</v>
      </c>
      <c r="P13" s="3">
        <f t="shared" si="12"/>
        <v>3.7988192153072781E-2</v>
      </c>
    </row>
    <row r="14" spans="1:16" x14ac:dyDescent="0.3">
      <c r="B14" s="11" t="s">
        <v>1</v>
      </c>
      <c r="C14" s="11">
        <f t="shared" si="1"/>
        <v>2.5967543596170095E-3</v>
      </c>
      <c r="D14" s="11">
        <f t="shared" si="2"/>
        <v>-5.2771192734796954E-2</v>
      </c>
      <c r="E14" s="11">
        <f t="shared" si="3"/>
        <v>-3.2003495184485115E-2</v>
      </c>
      <c r="F14" s="11">
        <f t="shared" si="4"/>
        <v>2.5818098233134801E-2</v>
      </c>
      <c r="G14" s="11">
        <f t="shared" si="5"/>
        <v>4.8850838790678031E-3</v>
      </c>
      <c r="H14" s="11">
        <f t="shared" si="6"/>
        <v>7.6304970302664143E-3</v>
      </c>
      <c r="J14" s="11" t="s">
        <v>1</v>
      </c>
      <c r="K14" s="3">
        <f t="shared" si="7"/>
        <v>5.4432636403411776E-2</v>
      </c>
      <c r="L14" s="3">
        <f t="shared" si="8"/>
        <v>3.0238921383472419E-2</v>
      </c>
      <c r="M14" s="3">
        <f t="shared" si="9"/>
        <v>4.7926393318526508E-2</v>
      </c>
      <c r="N14" s="3">
        <f t="shared" si="10"/>
        <v>5.8641812001125719E-2</v>
      </c>
      <c r="O14" s="3">
        <f t="shared" si="11"/>
        <v>5.7856512120699553E-2</v>
      </c>
      <c r="P14" s="3">
        <f t="shared" si="12"/>
        <v>6.5033369540251976E-2</v>
      </c>
    </row>
    <row r="15" spans="1:16" x14ac:dyDescent="0.3">
      <c r="B15" s="11" t="s">
        <v>0</v>
      </c>
      <c r="C15" s="11">
        <f t="shared" si="1"/>
        <v>1.6565884504669226E-2</v>
      </c>
      <c r="D15" s="11">
        <f t="shared" si="2"/>
        <v>0.17630276363791808</v>
      </c>
      <c r="E15" s="11">
        <f t="shared" si="3"/>
        <v>6.9378054578572601E-2</v>
      </c>
      <c r="F15" s="11">
        <f t="shared" si="4"/>
        <v>-1.8019095732484947E-2</v>
      </c>
      <c r="G15" s="11">
        <f t="shared" si="5"/>
        <v>-3.2663046639044291E-3</v>
      </c>
      <c r="H15" s="11">
        <f t="shared" si="6"/>
        <v>-4.3811369616361895E-2</v>
      </c>
      <c r="J15" s="11" t="s">
        <v>0</v>
      </c>
      <c r="K15" s="3">
        <f t="shared" si="7"/>
        <v>0.85925645466104672</v>
      </c>
      <c r="L15" s="3">
        <f t="shared" si="8"/>
        <v>0.75714765502176651</v>
      </c>
      <c r="M15" s="3">
        <f t="shared" si="9"/>
        <v>0.82549726691521996</v>
      </c>
      <c r="N15" s="3">
        <f t="shared" si="10"/>
        <v>0.88136425366604798</v>
      </c>
      <c r="O15" s="3">
        <f t="shared" si="11"/>
        <v>0.87193380907794971</v>
      </c>
      <c r="P15" s="3">
        <f t="shared" si="12"/>
        <v>0.89785148028860706</v>
      </c>
    </row>
    <row r="16" spans="1:16" x14ac:dyDescent="0.3">
      <c r="J16" s="14" t="s">
        <v>106</v>
      </c>
      <c r="K16" s="13">
        <f>SUM(K10:K15)</f>
        <v>0.98406368310391468</v>
      </c>
      <c r="L16" s="13">
        <f t="shared" ref="L16:P16" si="13">SUM(L10:L15)</f>
        <v>0.83068832855762464</v>
      </c>
      <c r="M16" s="13">
        <f t="shared" si="13"/>
        <v>0.92936915238256934</v>
      </c>
      <c r="N16" s="13">
        <f t="shared" si="13"/>
        <v>1.0100284802628099</v>
      </c>
      <c r="O16" s="13">
        <f t="shared" si="13"/>
        <v>0.9919653167257797</v>
      </c>
      <c r="P16" s="13">
        <f t="shared" si="13"/>
        <v>1.0293449896044353</v>
      </c>
    </row>
    <row r="17" spans="10:16" x14ac:dyDescent="0.3">
      <c r="J17" s="15" t="s">
        <v>107</v>
      </c>
      <c r="K17" s="16">
        <f>1-K16</f>
        <v>1.5936316896085323E-2</v>
      </c>
      <c r="L17" s="16">
        <f t="shared" ref="L17:P17" si="14">1-L16</f>
        <v>0.16931167144237536</v>
      </c>
      <c r="M17" s="16">
        <f t="shared" si="14"/>
        <v>7.0630847617430659E-2</v>
      </c>
      <c r="N17" s="16">
        <f t="shared" si="14"/>
        <v>-1.0028480262809891E-2</v>
      </c>
      <c r="O17" s="16">
        <f t="shared" si="14"/>
        <v>8.0346832742203E-3</v>
      </c>
      <c r="P17" s="16">
        <f t="shared" si="14"/>
        <v>-2.9344989604435323E-2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D33-5F6C-46DA-ABC4-758B94943C43}">
  <dimension ref="A1:P35"/>
  <sheetViews>
    <sheetView topLeftCell="C1" workbookViewId="0">
      <selection activeCell="K19" sqref="K19:P33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</v>
      </c>
      <c r="B2" s="12">
        <v>1.6250503850478392E-2</v>
      </c>
      <c r="C2" s="12">
        <v>1.2422360248447204E-2</v>
      </c>
      <c r="D2" s="12">
        <v>1.3333333333333334E-2</v>
      </c>
      <c r="E2" s="12">
        <v>6.5789473684210523E-3</v>
      </c>
      <c r="F2" s="12">
        <v>3.4523809523809526E-2</v>
      </c>
      <c r="G2" s="12">
        <v>1.4234875444839857E-2</v>
      </c>
      <c r="H2" s="12">
        <v>9.3457943925233638E-3</v>
      </c>
      <c r="I2" s="11">
        <v>1.6250503850478392E-2</v>
      </c>
      <c r="J2" s="12">
        <v>1.6250503850478392E-2</v>
      </c>
      <c r="K2" s="12">
        <v>1.2422360248447204E-2</v>
      </c>
      <c r="L2" s="12">
        <v>1.3333333333333334E-2</v>
      </c>
      <c r="M2" s="12">
        <v>6.5789473684210523E-3</v>
      </c>
      <c r="N2" s="12">
        <v>3.4523809523809526E-2</v>
      </c>
      <c r="O2" s="12">
        <v>1.4234875444839857E-2</v>
      </c>
      <c r="P2" s="12">
        <v>9.3457943925233638E-3</v>
      </c>
    </row>
    <row r="3" spans="1:16" x14ac:dyDescent="0.3">
      <c r="A3" s="11" t="s">
        <v>8</v>
      </c>
      <c r="B3" s="12">
        <v>2.2657360459935931E-2</v>
      </c>
      <c r="C3" s="12">
        <v>1.0351966873706004E-2</v>
      </c>
      <c r="D3" s="12">
        <v>8.8888888888888889E-3</v>
      </c>
      <c r="E3" s="12">
        <v>3.2894736842105261E-3</v>
      </c>
      <c r="F3" s="12">
        <v>1.0714285714285714E-2</v>
      </c>
      <c r="G3" s="12">
        <v>2.1352313167259787E-2</v>
      </c>
      <c r="H3" s="12">
        <v>4.9065420560747662E-2</v>
      </c>
      <c r="I3" s="11">
        <v>3.890786431041432E-2</v>
      </c>
      <c r="J3" s="11">
        <f>J2+B3</f>
        <v>3.890786431041432E-2</v>
      </c>
      <c r="K3" s="11">
        <f t="shared" ref="K3:P16" si="0">K2+C3</f>
        <v>2.2774327122153208E-2</v>
      </c>
      <c r="L3" s="11">
        <f t="shared" si="0"/>
        <v>2.2222222222222223E-2</v>
      </c>
      <c r="M3" s="11">
        <f t="shared" si="0"/>
        <v>9.8684210526315784E-3</v>
      </c>
      <c r="N3" s="11">
        <f t="shared" si="0"/>
        <v>4.5238095238095244E-2</v>
      </c>
      <c r="O3" s="11">
        <f t="shared" si="0"/>
        <v>3.5587188612099641E-2</v>
      </c>
      <c r="P3" s="11">
        <f t="shared" si="0"/>
        <v>5.8411214953271028E-2</v>
      </c>
    </row>
    <row r="4" spans="1:16" x14ac:dyDescent="0.3">
      <c r="A4" s="11" t="s">
        <v>13</v>
      </c>
      <c r="B4" s="12">
        <v>2.5589239875257228E-2</v>
      </c>
      <c r="C4" s="12">
        <v>5.7971014492753624E-2</v>
      </c>
      <c r="D4" s="12">
        <v>0.04</v>
      </c>
      <c r="E4" s="12">
        <v>1.6447368421052631E-2</v>
      </c>
      <c r="F4" s="12">
        <v>2.2619047619047618E-2</v>
      </c>
      <c r="G4" s="12">
        <v>2.0166073546856466E-2</v>
      </c>
      <c r="H4" s="12">
        <v>2.1028037383177569E-2</v>
      </c>
      <c r="I4" s="11">
        <v>6.4497104185671547E-2</v>
      </c>
      <c r="J4" s="11">
        <f t="shared" ref="J4:J16" si="1">J3+B4</f>
        <v>6.4497104185671547E-2</v>
      </c>
      <c r="K4" s="11">
        <f t="shared" si="0"/>
        <v>8.0745341614906832E-2</v>
      </c>
      <c r="L4" s="11">
        <f t="shared" si="0"/>
        <v>6.222222222222222E-2</v>
      </c>
      <c r="M4" s="11">
        <f t="shared" si="0"/>
        <v>2.6315789473684209E-2</v>
      </c>
      <c r="N4" s="11">
        <f t="shared" si="0"/>
        <v>6.7857142857142866E-2</v>
      </c>
      <c r="O4" s="11">
        <f t="shared" si="0"/>
        <v>5.575326215895611E-2</v>
      </c>
      <c r="P4" s="11">
        <f t="shared" si="0"/>
        <v>7.9439252336448593E-2</v>
      </c>
    </row>
    <row r="5" spans="1:16" x14ac:dyDescent="0.3">
      <c r="A5" s="11" t="s">
        <v>12</v>
      </c>
      <c r="B5" s="12">
        <v>2.8576277658739418E-2</v>
      </c>
      <c r="C5" s="12">
        <v>3.1055900621118012E-2</v>
      </c>
      <c r="D5" s="12">
        <v>2.2222222222222223E-2</v>
      </c>
      <c r="E5" s="12">
        <v>1.9736842105263157E-2</v>
      </c>
      <c r="F5" s="12">
        <v>2.1428571428571429E-2</v>
      </c>
      <c r="G5" s="12">
        <v>2.6097271648873072E-2</v>
      </c>
      <c r="H5" s="12">
        <v>2.1028037383177569E-2</v>
      </c>
      <c r="I5" s="11">
        <v>9.3073381844410968E-2</v>
      </c>
      <c r="J5" s="11">
        <f t="shared" si="1"/>
        <v>9.3073381844410968E-2</v>
      </c>
      <c r="K5" s="11">
        <f t="shared" si="0"/>
        <v>0.11180124223602485</v>
      </c>
      <c r="L5" s="11">
        <f t="shared" si="0"/>
        <v>8.4444444444444447E-2</v>
      </c>
      <c r="M5" s="11">
        <f t="shared" si="0"/>
        <v>4.6052631578947366E-2</v>
      </c>
      <c r="N5" s="11">
        <f t="shared" si="0"/>
        <v>8.9285714285714302E-2</v>
      </c>
      <c r="O5" s="11">
        <f t="shared" si="0"/>
        <v>8.1850533807829182E-2</v>
      </c>
      <c r="P5" s="11">
        <f t="shared" si="0"/>
        <v>0.10046728971962617</v>
      </c>
    </row>
    <row r="6" spans="1:16" x14ac:dyDescent="0.3">
      <c r="A6" s="11" t="s">
        <v>14</v>
      </c>
      <c r="B6" s="12">
        <v>3.1991853533317773E-2</v>
      </c>
      <c r="C6" s="12">
        <v>3.7267080745341616E-2</v>
      </c>
      <c r="D6" s="12">
        <v>2.2222222222222223E-2</v>
      </c>
      <c r="E6" s="12">
        <v>9.8684210526315784E-3</v>
      </c>
      <c r="F6" s="12">
        <v>2.7380952380952381E-2</v>
      </c>
      <c r="G6" s="12">
        <v>2.491103202846975E-2</v>
      </c>
      <c r="H6" s="12">
        <v>2.336448598130841E-2</v>
      </c>
      <c r="I6" s="11">
        <v>0.12506523537772873</v>
      </c>
      <c r="J6" s="11">
        <f t="shared" si="1"/>
        <v>0.12506523537772873</v>
      </c>
      <c r="K6" s="11">
        <f t="shared" si="0"/>
        <v>0.14906832298136646</v>
      </c>
      <c r="L6" s="11">
        <f t="shared" si="0"/>
        <v>0.10666666666666667</v>
      </c>
      <c r="M6" s="11">
        <f t="shared" si="0"/>
        <v>5.5921052631578941E-2</v>
      </c>
      <c r="N6" s="11">
        <f t="shared" si="0"/>
        <v>0.11666666666666668</v>
      </c>
      <c r="O6" s="11">
        <f t="shared" si="0"/>
        <v>0.10676156583629894</v>
      </c>
      <c r="P6" s="11">
        <f t="shared" si="0"/>
        <v>0.12383177570093458</v>
      </c>
    </row>
    <row r="7" spans="1:16" x14ac:dyDescent="0.3">
      <c r="A7" s="11" t="s">
        <v>10</v>
      </c>
      <c r="B7" s="12">
        <v>3.3905424613361053E-2</v>
      </c>
      <c r="C7" s="12">
        <v>0.10351966873706005</v>
      </c>
      <c r="D7" s="12">
        <v>2.6666666666666668E-2</v>
      </c>
      <c r="E7" s="12">
        <v>1.9736842105263157E-2</v>
      </c>
      <c r="F7" s="12">
        <v>7.3809523809523811E-2</v>
      </c>
      <c r="G7" s="12">
        <v>5.9311981020166077E-2</v>
      </c>
      <c r="H7" s="12">
        <v>5.6074766355140186E-2</v>
      </c>
      <c r="I7" s="11">
        <v>0.15897065999108978</v>
      </c>
      <c r="J7" s="11">
        <f t="shared" si="1"/>
        <v>0.15897065999108978</v>
      </c>
      <c r="K7" s="11">
        <f t="shared" si="0"/>
        <v>0.2525879917184265</v>
      </c>
      <c r="L7" s="11">
        <f t="shared" si="0"/>
        <v>0.13333333333333333</v>
      </c>
      <c r="M7" s="11">
        <f t="shared" si="0"/>
        <v>7.5657894736842091E-2</v>
      </c>
      <c r="N7" s="11">
        <f t="shared" si="0"/>
        <v>0.19047619047619049</v>
      </c>
      <c r="O7" s="11">
        <f t="shared" si="0"/>
        <v>0.16607354685646503</v>
      </c>
      <c r="P7" s="11">
        <f t="shared" si="0"/>
        <v>0.17990654205607476</v>
      </c>
    </row>
    <row r="8" spans="1:16" x14ac:dyDescent="0.3">
      <c r="A8" s="11" t="s">
        <v>11</v>
      </c>
      <c r="B8" s="12">
        <v>4.1436663343021408E-2</v>
      </c>
      <c r="C8" s="12">
        <v>3.3126293995859216E-2</v>
      </c>
      <c r="D8" s="12">
        <v>2.6666666666666668E-2</v>
      </c>
      <c r="E8" s="12">
        <v>2.3026315789473683E-2</v>
      </c>
      <c r="F8" s="12">
        <v>2.8571428571428571E-2</v>
      </c>
      <c r="G8" s="12">
        <v>5.9311981020166077E-2</v>
      </c>
      <c r="H8" s="12">
        <v>6.0747663551401869E-2</v>
      </c>
      <c r="I8" s="11">
        <v>0.20040732333411118</v>
      </c>
      <c r="J8" s="11">
        <f t="shared" si="1"/>
        <v>0.20040732333411118</v>
      </c>
      <c r="K8" s="11">
        <f t="shared" si="0"/>
        <v>0.2857142857142857</v>
      </c>
      <c r="L8" s="11">
        <f t="shared" si="0"/>
        <v>0.16</v>
      </c>
      <c r="M8" s="11">
        <f t="shared" si="0"/>
        <v>9.8684210526315777E-2</v>
      </c>
      <c r="N8" s="11">
        <f t="shared" si="0"/>
        <v>0.21904761904761907</v>
      </c>
      <c r="O8" s="11">
        <f t="shared" si="0"/>
        <v>0.2253855278766311</v>
      </c>
      <c r="P8" s="11">
        <f t="shared" si="0"/>
        <v>0.24065420560747663</v>
      </c>
    </row>
    <row r="9" spans="1:16" x14ac:dyDescent="0.3">
      <c r="A9" s="11" t="s">
        <v>9</v>
      </c>
      <c r="B9" s="12">
        <v>5.1764007043299316E-2</v>
      </c>
      <c r="C9" s="12">
        <v>5.1759834368530024E-2</v>
      </c>
      <c r="D9" s="12">
        <v>2.6666666666666668E-2</v>
      </c>
      <c r="E9" s="12">
        <v>1.9736842105263157E-2</v>
      </c>
      <c r="F9" s="12">
        <v>3.4523809523809526E-2</v>
      </c>
      <c r="G9" s="12">
        <v>3.3214709371292998E-2</v>
      </c>
      <c r="H9" s="12">
        <v>2.5700934579439252E-2</v>
      </c>
      <c r="I9" s="11">
        <v>0.25217133037741052</v>
      </c>
      <c r="J9" s="11">
        <f t="shared" si="1"/>
        <v>0.25217133037741052</v>
      </c>
      <c r="K9" s="11">
        <f t="shared" si="0"/>
        <v>0.33747412008281574</v>
      </c>
      <c r="L9" s="11">
        <f t="shared" si="0"/>
        <v>0.18666666666666668</v>
      </c>
      <c r="M9" s="11">
        <f t="shared" si="0"/>
        <v>0.11842105263157893</v>
      </c>
      <c r="N9" s="11">
        <f t="shared" si="0"/>
        <v>0.25357142857142861</v>
      </c>
      <c r="O9" s="11">
        <f t="shared" si="0"/>
        <v>0.25860023724792408</v>
      </c>
      <c r="P9" s="11">
        <f t="shared" si="0"/>
        <v>0.26635514018691586</v>
      </c>
    </row>
    <row r="10" spans="1:16" x14ac:dyDescent="0.3">
      <c r="A10" s="11" t="s">
        <v>18</v>
      </c>
      <c r="B10" s="12">
        <v>5.3720007637312515E-2</v>
      </c>
      <c r="C10" s="12">
        <v>3.7267080745341616E-2</v>
      </c>
      <c r="D10" s="12">
        <v>1.7777777777777778E-2</v>
      </c>
      <c r="E10" s="12">
        <v>2.9605263157894735E-2</v>
      </c>
      <c r="F10" s="12">
        <v>4.1666666666666664E-2</v>
      </c>
      <c r="G10" s="12">
        <v>4.3890865954922892E-2</v>
      </c>
      <c r="H10" s="12">
        <v>3.5046728971962614E-2</v>
      </c>
      <c r="I10" s="11">
        <v>0.30589133801472301</v>
      </c>
      <c r="J10" s="11">
        <f t="shared" si="1"/>
        <v>0.30589133801472301</v>
      </c>
      <c r="K10" s="11">
        <f t="shared" si="0"/>
        <v>0.37474120082815737</v>
      </c>
      <c r="L10" s="11">
        <f t="shared" si="0"/>
        <v>0.20444444444444446</v>
      </c>
      <c r="M10" s="11">
        <f t="shared" si="0"/>
        <v>0.14802631578947367</v>
      </c>
      <c r="N10" s="11">
        <f t="shared" si="0"/>
        <v>0.2952380952380953</v>
      </c>
      <c r="O10" s="11">
        <f t="shared" si="0"/>
        <v>0.302491103202847</v>
      </c>
      <c r="P10" s="11">
        <f t="shared" si="0"/>
        <v>0.30140186915887845</v>
      </c>
    </row>
    <row r="11" spans="1:16" x14ac:dyDescent="0.3">
      <c r="A11" s="11" t="s">
        <v>17</v>
      </c>
      <c r="B11" s="12">
        <v>5.3940641109956083E-2</v>
      </c>
      <c r="C11" s="12">
        <v>1.4492753623188406E-2</v>
      </c>
      <c r="D11" s="12">
        <v>2.2222222222222223E-2</v>
      </c>
      <c r="E11" s="12">
        <v>6.5789473684210523E-3</v>
      </c>
      <c r="F11" s="12">
        <v>1.5476190476190477E-2</v>
      </c>
      <c r="G11" s="12">
        <v>3.9145907473309607E-2</v>
      </c>
      <c r="H11" s="12">
        <v>9.3457943925233638E-3</v>
      </c>
      <c r="I11" s="11">
        <v>0.35983197912467912</v>
      </c>
      <c r="J11" s="11">
        <f t="shared" si="1"/>
        <v>0.35983197912467912</v>
      </c>
      <c r="K11" s="11">
        <f t="shared" si="0"/>
        <v>0.38923395445134579</v>
      </c>
      <c r="L11" s="11">
        <f t="shared" si="0"/>
        <v>0.22666666666666668</v>
      </c>
      <c r="M11" s="11">
        <f t="shared" si="0"/>
        <v>0.15460526315789472</v>
      </c>
      <c r="N11" s="11">
        <f t="shared" si="0"/>
        <v>0.31071428571428578</v>
      </c>
      <c r="O11" s="11">
        <f t="shared" si="0"/>
        <v>0.34163701067615659</v>
      </c>
      <c r="P11" s="11">
        <f t="shared" si="0"/>
        <v>0.31074766355140182</v>
      </c>
    </row>
    <row r="12" spans="1:16" x14ac:dyDescent="0.3">
      <c r="A12" s="11" t="s">
        <v>19</v>
      </c>
      <c r="B12" s="12">
        <v>7.412436090544583E-2</v>
      </c>
      <c r="C12" s="12">
        <v>3.9337474120082816E-2</v>
      </c>
      <c r="D12" s="12">
        <v>4.4444444444444444E-3</v>
      </c>
      <c r="E12" s="12">
        <v>0.10197368421052631</v>
      </c>
      <c r="F12" s="12">
        <v>6.4285714285714279E-2</v>
      </c>
      <c r="G12" s="12">
        <v>8.7781731909845784E-2</v>
      </c>
      <c r="H12" s="12">
        <v>1.8691588785046728E-2</v>
      </c>
      <c r="I12" s="11">
        <v>0.43395634003012495</v>
      </c>
      <c r="J12" s="11">
        <f t="shared" si="1"/>
        <v>0.43395634003012495</v>
      </c>
      <c r="K12" s="11">
        <f t="shared" si="0"/>
        <v>0.4285714285714286</v>
      </c>
      <c r="L12" s="11">
        <f t="shared" si="0"/>
        <v>0.23111111111111113</v>
      </c>
      <c r="M12" s="11">
        <f t="shared" si="0"/>
        <v>0.25657894736842102</v>
      </c>
      <c r="N12" s="11">
        <f t="shared" si="0"/>
        <v>0.37500000000000006</v>
      </c>
      <c r="O12" s="11">
        <f t="shared" si="0"/>
        <v>0.42941874258600238</v>
      </c>
      <c r="P12" s="11">
        <f t="shared" si="0"/>
        <v>0.32943925233644855</v>
      </c>
    </row>
    <row r="13" spans="1:16" x14ac:dyDescent="0.3">
      <c r="A13" s="11" t="s">
        <v>20</v>
      </c>
      <c r="B13" s="12">
        <v>8.1846532447970813E-2</v>
      </c>
      <c r="C13" s="12">
        <v>7.0393374741200831E-2</v>
      </c>
      <c r="D13" s="12">
        <v>0.08</v>
      </c>
      <c r="E13" s="12">
        <v>7.8947368421052627E-2</v>
      </c>
      <c r="F13" s="12">
        <v>3.5714285714285712E-2</v>
      </c>
      <c r="G13" s="12">
        <v>5.1008303677342826E-2</v>
      </c>
      <c r="H13" s="12">
        <v>0.11214953271028037</v>
      </c>
      <c r="I13" s="11">
        <v>0.51580287247809575</v>
      </c>
      <c r="J13" s="11">
        <f t="shared" si="1"/>
        <v>0.51580287247809575</v>
      </c>
      <c r="K13" s="11">
        <f t="shared" si="0"/>
        <v>0.49896480331262943</v>
      </c>
      <c r="L13" s="11">
        <f t="shared" si="0"/>
        <v>0.31111111111111112</v>
      </c>
      <c r="M13" s="11">
        <f t="shared" si="0"/>
        <v>0.33552631578947367</v>
      </c>
      <c r="N13" s="11">
        <f t="shared" si="0"/>
        <v>0.41071428571428575</v>
      </c>
      <c r="O13" s="11">
        <f t="shared" si="0"/>
        <v>0.4804270462633452</v>
      </c>
      <c r="P13" s="11">
        <f t="shared" si="0"/>
        <v>0.44158878504672894</v>
      </c>
    </row>
    <row r="14" spans="1:16" x14ac:dyDescent="0.3">
      <c r="A14" s="11" t="s">
        <v>16</v>
      </c>
      <c r="B14" s="12">
        <v>0.10621380232089442</v>
      </c>
      <c r="C14" s="12">
        <v>0.13457556935817805</v>
      </c>
      <c r="D14" s="12">
        <v>0.10666666666666667</v>
      </c>
      <c r="E14" s="12">
        <v>0.27302631578947367</v>
      </c>
      <c r="F14" s="12">
        <v>0.22142857142857142</v>
      </c>
      <c r="G14" s="12">
        <v>0.14709371293001186</v>
      </c>
      <c r="H14" s="12">
        <v>0.16355140186915887</v>
      </c>
      <c r="I14" s="11">
        <v>0.62201667479899014</v>
      </c>
      <c r="J14" s="11">
        <f t="shared" si="1"/>
        <v>0.62201667479899014</v>
      </c>
      <c r="K14" s="11">
        <f t="shared" si="0"/>
        <v>0.63354037267080754</v>
      </c>
      <c r="L14" s="11">
        <f t="shared" si="0"/>
        <v>0.4177777777777778</v>
      </c>
      <c r="M14" s="11">
        <f t="shared" si="0"/>
        <v>0.60855263157894735</v>
      </c>
      <c r="N14" s="11">
        <f t="shared" si="0"/>
        <v>0.63214285714285712</v>
      </c>
      <c r="O14" s="11">
        <f t="shared" si="0"/>
        <v>0.62752075919335704</v>
      </c>
      <c r="P14" s="11">
        <f t="shared" si="0"/>
        <v>0.60514018691588778</v>
      </c>
    </row>
    <row r="15" spans="1:16" x14ac:dyDescent="0.3">
      <c r="A15" s="11" t="s">
        <v>6</v>
      </c>
      <c r="B15" s="12">
        <v>0.13772620234635213</v>
      </c>
      <c r="C15" s="12">
        <v>0.19047619047619047</v>
      </c>
      <c r="D15" s="12">
        <v>0.37333333333333335</v>
      </c>
      <c r="E15" s="12">
        <v>0.18421052631578946</v>
      </c>
      <c r="F15" s="12">
        <v>0.17261904761904762</v>
      </c>
      <c r="G15" s="12">
        <v>0.19572953736654805</v>
      </c>
      <c r="H15" s="12">
        <v>0.22897196261682243</v>
      </c>
      <c r="I15" s="11">
        <v>0.75974287714534228</v>
      </c>
      <c r="J15" s="11">
        <f t="shared" si="1"/>
        <v>0.75974287714534228</v>
      </c>
      <c r="K15" s="11">
        <f t="shared" si="0"/>
        <v>0.824016563146998</v>
      </c>
      <c r="L15" s="11">
        <f t="shared" si="0"/>
        <v>0.7911111111111111</v>
      </c>
      <c r="M15" s="11">
        <f t="shared" si="0"/>
        <v>0.79276315789473684</v>
      </c>
      <c r="N15" s="11">
        <f t="shared" si="0"/>
        <v>0.80476190476190479</v>
      </c>
      <c r="O15" s="11">
        <f t="shared" si="0"/>
        <v>0.82325029655990511</v>
      </c>
      <c r="P15" s="11">
        <f t="shared" si="0"/>
        <v>0.83411214953271018</v>
      </c>
    </row>
    <row r="16" spans="1:16" x14ac:dyDescent="0.3">
      <c r="A16" s="11" t="s">
        <v>15</v>
      </c>
      <c r="B16" s="12">
        <v>0.2402571228546577</v>
      </c>
      <c r="C16" s="12">
        <v>0.17598343685300208</v>
      </c>
      <c r="D16" s="12">
        <v>0.2088888888888889</v>
      </c>
      <c r="E16" s="12">
        <v>0.20723684210526316</v>
      </c>
      <c r="F16" s="12">
        <v>0.19523809523809524</v>
      </c>
      <c r="G16" s="12">
        <v>0.17674970344009491</v>
      </c>
      <c r="H16" s="12">
        <v>0.16588785046728971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 t="shared" si="0"/>
        <v>1</v>
      </c>
      <c r="O16" s="11">
        <f t="shared" si="0"/>
        <v>1</v>
      </c>
      <c r="P16" s="11">
        <f t="shared" si="0"/>
        <v>0.99999999999999989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3" t="s">
        <v>100</v>
      </c>
      <c r="L18" s="13" t="s">
        <v>101</v>
      </c>
      <c r="M18" s="13" t="s">
        <v>102</v>
      </c>
      <c r="N18" s="13" t="s">
        <v>103</v>
      </c>
      <c r="O18" s="13" t="s">
        <v>104</v>
      </c>
      <c r="P18" s="13" t="s">
        <v>105</v>
      </c>
    </row>
    <row r="19" spans="2:16" x14ac:dyDescent="0.3">
      <c r="B19" s="11" t="s">
        <v>7</v>
      </c>
      <c r="C19" s="11">
        <f>C2-B2</f>
        <v>-3.8281436020311879E-3</v>
      </c>
      <c r="D19" s="11">
        <f>D2-B2</f>
        <v>-2.9171705171450579E-3</v>
      </c>
      <c r="E19" s="11">
        <f>E2-B2</f>
        <v>-9.6715564820573398E-3</v>
      </c>
      <c r="F19" s="11">
        <f>F2-B2</f>
        <v>1.8273305673331134E-2</v>
      </c>
      <c r="G19" s="11">
        <f>G2-B2</f>
        <v>-2.0156284056385351E-3</v>
      </c>
      <c r="H19" s="11">
        <f>H2-B2</f>
        <v>-6.9047094579550283E-3</v>
      </c>
      <c r="J19" s="11" t="s">
        <v>7</v>
      </c>
      <c r="K19" s="3">
        <f>(J2-0) * ((K2+0))</f>
        <v>2.0186961304942102E-4</v>
      </c>
      <c r="L19" s="3">
        <f>(J2-0) * ((L2+0))</f>
        <v>2.1667338467304525E-4</v>
      </c>
      <c r="M19" s="3">
        <f>(J2-0) * ((M2+0))</f>
        <v>1.06911209542621E-4</v>
      </c>
      <c r="N19" s="3">
        <f>(J2-0) * ((N2+0))</f>
        <v>5.6102929959984927E-4</v>
      </c>
      <c r="O19" s="3">
        <f>(J2-0) * ((O2+0))</f>
        <v>2.3132389822745042E-4</v>
      </c>
      <c r="P19" s="3">
        <f>(J2-0) * ((P2+0))</f>
        <v>1.5187386776148028E-4</v>
      </c>
    </row>
    <row r="20" spans="2:16" x14ac:dyDescent="0.3">
      <c r="B20" s="11" t="s">
        <v>8</v>
      </c>
      <c r="C20" s="11">
        <f t="shared" ref="C20:C33" si="2">C3-B3</f>
        <v>-1.2305393586229927E-2</v>
      </c>
      <c r="D20" s="11">
        <f t="shared" ref="D20:D33" si="3">D3-B3</f>
        <v>-1.3768471571047042E-2</v>
      </c>
      <c r="E20" s="11">
        <f t="shared" ref="E20:E33" si="4">E3-B3</f>
        <v>-1.9367886775725405E-2</v>
      </c>
      <c r="F20" s="11">
        <f t="shared" ref="F20:F33" si="5">F3-B3</f>
        <v>-1.1943074745650217E-2</v>
      </c>
      <c r="G20" s="11">
        <f t="shared" ref="G20:G33" si="6">G3-B3</f>
        <v>-1.3050472926761439E-3</v>
      </c>
      <c r="H20" s="11">
        <f t="shared" ref="H20:H33" si="7">H3-B3</f>
        <v>2.6408060100811731E-2</v>
      </c>
      <c r="J20" s="11" t="s">
        <v>8</v>
      </c>
      <c r="K20" s="3">
        <f>(J3-J2) * ((K3+K2))</f>
        <v>7.9746403275136814E-4</v>
      </c>
      <c r="L20" s="3">
        <f>(J3-J2) * ((L3+L2))</f>
        <v>8.0559503857549966E-4</v>
      </c>
      <c r="M20" s="3">
        <f>(J3-J2) * ((M3+M2))</f>
        <v>3.7265395493315666E-4</v>
      </c>
      <c r="N20" s="3">
        <f>(J3-J2) * ((N3+N2))</f>
        <v>1.8071942271615563E-3</v>
      </c>
      <c r="O20" s="3">
        <f>(J3-J2) * ((O3+O2))</f>
        <v>1.1288364641960959E-3</v>
      </c>
      <c r="P20" s="3">
        <f>(J3-J2) * ((P3+P2))</f>
        <v>1.5351949844349109E-3</v>
      </c>
    </row>
    <row r="21" spans="2:16" x14ac:dyDescent="0.3">
      <c r="B21" s="11" t="s">
        <v>13</v>
      </c>
      <c r="C21" s="11">
        <f t="shared" si="2"/>
        <v>3.2381774617496396E-2</v>
      </c>
      <c r="D21" s="11">
        <f t="shared" si="3"/>
        <v>1.4410760124742773E-2</v>
      </c>
      <c r="E21" s="11">
        <f t="shared" si="4"/>
        <v>-9.1418714542045969E-3</v>
      </c>
      <c r="F21" s="11">
        <f t="shared" si="5"/>
        <v>-2.9701922562096091E-3</v>
      </c>
      <c r="G21" s="11">
        <f t="shared" si="6"/>
        <v>-5.4231663284007615E-3</v>
      </c>
      <c r="H21" s="11">
        <f t="shared" si="7"/>
        <v>-4.5612024920796586E-3</v>
      </c>
      <c r="J21" s="11" t="s">
        <v>13</v>
      </c>
      <c r="K21" s="3">
        <f t="shared" ref="K21:K33" si="8">(J4-J3) * ((K4+K3))</f>
        <v>2.6489896351197958E-3</v>
      </c>
      <c r="L21" s="3">
        <f t="shared" ref="L21:L33" si="9">(J4-J3) * ((L4+L3))</f>
        <v>2.1608691450217214E-3</v>
      </c>
      <c r="M21" s="3">
        <f t="shared" ref="M21:M33" si="10">(J4-J3) * ((M4+M3))</f>
        <v>9.2592644285470233E-4</v>
      </c>
      <c r="N21" s="3">
        <f t="shared" ref="N21:N33" si="11">(J4-J3) * ((N4+N3))</f>
        <v>2.8940211763683775E-3</v>
      </c>
      <c r="O21" s="3">
        <f t="shared" ref="O21:O33" si="12">(J4-J3) * ((O4+O3))</f>
        <v>2.3373327050946694E-3</v>
      </c>
      <c r="P21" s="3">
        <f t="shared" ref="P21:P33" si="13">(J4-J3) * ((P4+P3))</f>
        <v>3.5274886743929352E-3</v>
      </c>
    </row>
    <row r="22" spans="2:16" x14ac:dyDescent="0.3">
      <c r="B22" s="11" t="s">
        <v>12</v>
      </c>
      <c r="C22" s="11">
        <f t="shared" si="2"/>
        <v>2.4796229623785943E-3</v>
      </c>
      <c r="D22" s="11">
        <f t="shared" si="3"/>
        <v>-6.3540554365171947E-3</v>
      </c>
      <c r="E22" s="11">
        <f t="shared" si="4"/>
        <v>-8.839435553476261E-3</v>
      </c>
      <c r="F22" s="11">
        <f t="shared" si="5"/>
        <v>-7.147706230167989E-3</v>
      </c>
      <c r="G22" s="11">
        <f t="shared" si="6"/>
        <v>-2.4790060098663462E-3</v>
      </c>
      <c r="H22" s="11">
        <f t="shared" si="7"/>
        <v>-7.5482402755618488E-3</v>
      </c>
      <c r="J22" s="11" t="s">
        <v>12</v>
      </c>
      <c r="K22" s="3">
        <f t="shared" si="8"/>
        <v>5.5022646423659753E-3</v>
      </c>
      <c r="L22" s="3">
        <f t="shared" si="9"/>
        <v>4.1911873899484484E-3</v>
      </c>
      <c r="M22" s="3">
        <f t="shared" si="10"/>
        <v>2.0680200937245635E-3</v>
      </c>
      <c r="N22" s="3">
        <f t="shared" si="11"/>
        <v>4.49055791780191E-3</v>
      </c>
      <c r="O22" s="3">
        <f t="shared" si="12"/>
        <v>3.9322042804433846E-3</v>
      </c>
      <c r="P22" s="3">
        <f t="shared" si="13"/>
        <v>5.1410592984180731E-3</v>
      </c>
    </row>
    <row r="23" spans="2:16" x14ac:dyDescent="0.3">
      <c r="B23" s="11" t="s">
        <v>14</v>
      </c>
      <c r="C23" s="11">
        <f t="shared" si="2"/>
        <v>5.2752272120238433E-3</v>
      </c>
      <c r="D23" s="11">
        <f t="shared" si="3"/>
        <v>-9.7696313110955495E-3</v>
      </c>
      <c r="E23" s="11">
        <f t="shared" si="4"/>
        <v>-2.2123432480686194E-2</v>
      </c>
      <c r="F23" s="11">
        <f t="shared" si="5"/>
        <v>-4.6109011523653917E-3</v>
      </c>
      <c r="G23" s="11">
        <f t="shared" si="6"/>
        <v>-7.0808215048480221E-3</v>
      </c>
      <c r="H23" s="11">
        <f t="shared" si="7"/>
        <v>-8.6273675520093622E-3</v>
      </c>
      <c r="J23" s="11" t="s">
        <v>14</v>
      </c>
      <c r="K23" s="3">
        <f t="shared" si="8"/>
        <v>8.3457009217350695E-3</v>
      </c>
      <c r="L23" s="3">
        <f t="shared" si="9"/>
        <v>6.1139986752562847E-3</v>
      </c>
      <c r="M23" s="3">
        <f t="shared" si="10"/>
        <v>3.2623271695159557E-3</v>
      </c>
      <c r="N23" s="3">
        <f t="shared" si="11"/>
        <v>6.5887984062666365E-3</v>
      </c>
      <c r="O23" s="3">
        <f t="shared" si="12"/>
        <v>6.0340506664264826E-3</v>
      </c>
      <c r="P23" s="3">
        <f t="shared" si="13"/>
        <v>7.1757428485946387E-3</v>
      </c>
    </row>
    <row r="24" spans="2:16" x14ac:dyDescent="0.3">
      <c r="B24" s="11" t="s">
        <v>10</v>
      </c>
      <c r="C24" s="11">
        <f t="shared" si="2"/>
        <v>6.9614244123698987E-2</v>
      </c>
      <c r="D24" s="11">
        <f t="shared" si="3"/>
        <v>-7.2387579466943845E-3</v>
      </c>
      <c r="E24" s="11">
        <f t="shared" si="4"/>
        <v>-1.4168582508097896E-2</v>
      </c>
      <c r="F24" s="11">
        <f t="shared" si="5"/>
        <v>3.9904099196162758E-2</v>
      </c>
      <c r="G24" s="11">
        <f t="shared" si="6"/>
        <v>2.5406556406805024E-2</v>
      </c>
      <c r="H24" s="11">
        <f t="shared" si="7"/>
        <v>2.2169341741779133E-2</v>
      </c>
      <c r="J24" s="11" t="s">
        <v>10</v>
      </c>
      <c r="K24" s="3">
        <f t="shared" si="8"/>
        <v>1.361832789853425E-2</v>
      </c>
      <c r="L24" s="3">
        <f t="shared" si="9"/>
        <v>8.1373019072066514E-3</v>
      </c>
      <c r="M24" s="3">
        <f t="shared" si="10"/>
        <v>4.4612400807053998E-3</v>
      </c>
      <c r="N24" s="3">
        <f t="shared" si="11"/>
        <v>1.0413808988389464E-2</v>
      </c>
      <c r="O24" s="3">
        <f t="shared" si="12"/>
        <v>9.2505903452823734E-3</v>
      </c>
      <c r="P24" s="3">
        <f t="shared" si="13"/>
        <v>1.0298376634899383E-2</v>
      </c>
    </row>
    <row r="25" spans="2:16" x14ac:dyDescent="0.3">
      <c r="B25" s="11" t="s">
        <v>11</v>
      </c>
      <c r="C25" s="11">
        <f t="shared" si="2"/>
        <v>-8.3103693471621928E-3</v>
      </c>
      <c r="D25" s="11">
        <f t="shared" si="3"/>
        <v>-1.476999667635474E-2</v>
      </c>
      <c r="E25" s="11">
        <f t="shared" si="4"/>
        <v>-1.8410347553547726E-2</v>
      </c>
      <c r="F25" s="11">
        <f t="shared" si="5"/>
        <v>-1.2865234771592838E-2</v>
      </c>
      <c r="G25" s="11">
        <f t="shared" si="6"/>
        <v>1.7875317677144668E-2</v>
      </c>
      <c r="H25" s="11">
        <f t="shared" si="7"/>
        <v>1.931100020838046E-2</v>
      </c>
      <c r="J25" s="11" t="s">
        <v>11</v>
      </c>
      <c r="K25" s="3">
        <f t="shared" si="8"/>
        <v>2.2305450246761001E-2</v>
      </c>
      <c r="L25" s="3">
        <f t="shared" si="9"/>
        <v>1.2154754580619612E-2</v>
      </c>
      <c r="M25" s="3">
        <f t="shared" si="10"/>
        <v>7.2241551223030716E-3</v>
      </c>
      <c r="N25" s="3">
        <f t="shared" si="11"/>
        <v>1.6969300226189719E-2</v>
      </c>
      <c r="O25" s="3">
        <f t="shared" si="12"/>
        <v>1.6220757892285959E-2</v>
      </c>
      <c r="P25" s="3">
        <f t="shared" si="13"/>
        <v>1.7426634116223954E-2</v>
      </c>
    </row>
    <row r="26" spans="2:16" x14ac:dyDescent="0.3">
      <c r="B26" s="11" t="s">
        <v>9</v>
      </c>
      <c r="C26" s="11">
        <f t="shared" si="2"/>
        <v>-4.172674769292728E-6</v>
      </c>
      <c r="D26" s="11">
        <f t="shared" si="3"/>
        <v>-2.5097340376632648E-2</v>
      </c>
      <c r="E26" s="11">
        <f t="shared" si="4"/>
        <v>-3.2027164938036159E-2</v>
      </c>
      <c r="F26" s="11">
        <f t="shared" si="5"/>
        <v>-1.724019751948979E-2</v>
      </c>
      <c r="G26" s="11">
        <f t="shared" si="6"/>
        <v>-1.8549297672006318E-2</v>
      </c>
      <c r="H26" s="11">
        <f t="shared" si="7"/>
        <v>-2.6063072463860065E-2</v>
      </c>
      <c r="J26" s="11" t="s">
        <v>9</v>
      </c>
      <c r="K26" s="3">
        <f t="shared" si="8"/>
        <v>3.2258729026983644E-2</v>
      </c>
      <c r="L26" s="3">
        <f t="shared" si="9"/>
        <v>1.7944855775010437E-2</v>
      </c>
      <c r="M26" s="3">
        <f t="shared" si="10"/>
        <v>1.1238238371242618E-2</v>
      </c>
      <c r="N26" s="3">
        <f t="shared" si="11"/>
        <v>2.4464655709749809E-2</v>
      </c>
      <c r="O26" s="3">
        <f t="shared" si="12"/>
        <v>2.5053042554764093E-2</v>
      </c>
      <c r="P26" s="3">
        <f t="shared" si="13"/>
        <v>2.6244835346719522E-2</v>
      </c>
    </row>
    <row r="27" spans="2:16" x14ac:dyDescent="0.3">
      <c r="B27" s="11" t="s">
        <v>18</v>
      </c>
      <c r="C27" s="11">
        <f t="shared" si="2"/>
        <v>-1.64529268919709E-2</v>
      </c>
      <c r="D27" s="11">
        <f t="shared" si="3"/>
        <v>-3.5942229859534741E-2</v>
      </c>
      <c r="E27" s="11">
        <f t="shared" si="4"/>
        <v>-2.411474447941778E-2</v>
      </c>
      <c r="F27" s="11">
        <f t="shared" si="5"/>
        <v>-1.2053340970645851E-2</v>
      </c>
      <c r="G27" s="11">
        <f t="shared" si="6"/>
        <v>-9.8291416823896235E-3</v>
      </c>
      <c r="H27" s="11">
        <f t="shared" si="7"/>
        <v>-1.8673278665349902E-2</v>
      </c>
      <c r="J27" s="11" t="s">
        <v>18</v>
      </c>
      <c r="K27" s="3">
        <f t="shared" si="8"/>
        <v>3.8260212478748445E-2</v>
      </c>
      <c r="L27" s="3">
        <f t="shared" si="9"/>
        <v>2.1010491875926667E-2</v>
      </c>
      <c r="M27" s="3">
        <f t="shared" si="10"/>
        <v>1.4313554666520761E-2</v>
      </c>
      <c r="N27" s="3">
        <f t="shared" si="11"/>
        <v>2.9482051810477455E-2</v>
      </c>
      <c r="O27" s="3">
        <f t="shared" si="12"/>
        <v>3.0141831094245331E-2</v>
      </c>
      <c r="P27" s="3">
        <f t="shared" si="13"/>
        <v>3.0499910878193773E-2</v>
      </c>
    </row>
    <row r="28" spans="2:16" x14ac:dyDescent="0.3">
      <c r="B28" s="11" t="s">
        <v>17</v>
      </c>
      <c r="C28" s="11">
        <f t="shared" si="2"/>
        <v>-3.9447887486767676E-2</v>
      </c>
      <c r="D28" s="11">
        <f t="shared" si="3"/>
        <v>-3.1718418887733857E-2</v>
      </c>
      <c r="E28" s="11">
        <f t="shared" si="4"/>
        <v>-4.7361693741535031E-2</v>
      </c>
      <c r="F28" s="11">
        <f t="shared" si="5"/>
        <v>-3.8464450633765607E-2</v>
      </c>
      <c r="G28" s="11">
        <f t="shared" si="6"/>
        <v>-1.4794733636646476E-2</v>
      </c>
      <c r="H28" s="11">
        <f t="shared" si="7"/>
        <v>-4.4594846717432718E-2</v>
      </c>
      <c r="J28" s="11" t="s">
        <v>17</v>
      </c>
      <c r="K28" s="3">
        <f t="shared" si="8"/>
        <v>4.1209309667854667E-2</v>
      </c>
      <c r="L28" s="3">
        <f t="shared" si="9"/>
        <v>2.3254409722958856E-2</v>
      </c>
      <c r="M28" s="3">
        <f t="shared" si="10"/>
        <v>1.6324141388539347E-2</v>
      </c>
      <c r="N28" s="3">
        <f t="shared" si="11"/>
        <v>3.2685459910675792E-2</v>
      </c>
      <c r="O28" s="3">
        <f t="shared" si="12"/>
        <v>3.4744683419580272E-2</v>
      </c>
      <c r="P28" s="3">
        <f t="shared" si="13"/>
        <v>3.3019738249552566E-2</v>
      </c>
    </row>
    <row r="29" spans="2:16" x14ac:dyDescent="0.3">
      <c r="B29" s="11" t="s">
        <v>19</v>
      </c>
      <c r="C29" s="11">
        <f t="shared" si="2"/>
        <v>-3.4786886785363014E-2</v>
      </c>
      <c r="D29" s="11">
        <f t="shared" si="3"/>
        <v>-6.9679916461001384E-2</v>
      </c>
      <c r="E29" s="11">
        <f t="shared" si="4"/>
        <v>2.7849323305080484E-2</v>
      </c>
      <c r="F29" s="11">
        <f t="shared" si="5"/>
        <v>-9.8386466197315503E-3</v>
      </c>
      <c r="G29" s="11">
        <f t="shared" si="6"/>
        <v>1.3657371004399954E-2</v>
      </c>
      <c r="H29" s="11">
        <f t="shared" si="7"/>
        <v>-5.5432772120399099E-2</v>
      </c>
      <c r="J29" s="11" t="s">
        <v>19</v>
      </c>
      <c r="K29" s="3">
        <f t="shared" si="8"/>
        <v>6.0619301361596489E-2</v>
      </c>
      <c r="L29" s="3">
        <f t="shared" si="9"/>
        <v>3.3932485214492984E-2</v>
      </c>
      <c r="M29" s="3">
        <f t="shared" si="10"/>
        <v>3.0478766819673445E-2</v>
      </c>
      <c r="N29" s="3">
        <f t="shared" si="11"/>
        <v>5.0828133192305718E-2</v>
      </c>
      <c r="O29" s="3">
        <f t="shared" si="12"/>
        <v>5.7154014933024661E-2</v>
      </c>
      <c r="P29" s="3">
        <f t="shared" si="13"/>
        <v>4.7453446000215317E-2</v>
      </c>
    </row>
    <row r="30" spans="2:16" x14ac:dyDescent="0.3">
      <c r="B30" s="11" t="s">
        <v>20</v>
      </c>
      <c r="C30" s="11">
        <f t="shared" si="2"/>
        <v>-1.1453157706769981E-2</v>
      </c>
      <c r="D30" s="11">
        <f t="shared" si="3"/>
        <v>-1.8465324479708112E-3</v>
      </c>
      <c r="E30" s="11">
        <f t="shared" si="4"/>
        <v>-2.8991640269181856E-3</v>
      </c>
      <c r="F30" s="11">
        <f t="shared" si="5"/>
        <v>-4.6132246733685101E-2</v>
      </c>
      <c r="G30" s="11">
        <f t="shared" si="6"/>
        <v>-3.0838228770627987E-2</v>
      </c>
      <c r="H30" s="11">
        <f t="shared" si="7"/>
        <v>3.030300026230956E-2</v>
      </c>
      <c r="J30" s="11" t="s">
        <v>20</v>
      </c>
      <c r="K30" s="3">
        <f t="shared" si="8"/>
        <v>7.5915624299567122E-2</v>
      </c>
      <c r="L30" s="3">
        <f t="shared" si="9"/>
        <v>4.4379008705121951E-2</v>
      </c>
      <c r="M30" s="3">
        <f t="shared" si="10"/>
        <v>4.8461762633666916E-2</v>
      </c>
      <c r="N30" s="3">
        <f t="shared" si="11"/>
        <v>6.4307989780548497E-2</v>
      </c>
      <c r="O30" s="3">
        <f t="shared" si="12"/>
        <v>7.4467722879707723E-2</v>
      </c>
      <c r="P30" s="3">
        <f t="shared" si="13"/>
        <v>6.3105971279977482E-2</v>
      </c>
    </row>
    <row r="31" spans="2:16" x14ac:dyDescent="0.3">
      <c r="B31" s="11" t="s">
        <v>16</v>
      </c>
      <c r="C31" s="11">
        <f t="shared" si="2"/>
        <v>2.8361767037283631E-2</v>
      </c>
      <c r="D31" s="11">
        <f t="shared" si="3"/>
        <v>4.5286434577225532E-4</v>
      </c>
      <c r="E31" s="11">
        <f t="shared" si="4"/>
        <v>0.16681251346857925</v>
      </c>
      <c r="F31" s="11">
        <f t="shared" si="5"/>
        <v>0.115214769107677</v>
      </c>
      <c r="G31" s="11">
        <f t="shared" si="6"/>
        <v>4.0879910609117442E-2</v>
      </c>
      <c r="H31" s="11">
        <f t="shared" si="7"/>
        <v>5.7337599548264451E-2</v>
      </c>
      <c r="J31" s="11" t="s">
        <v>16</v>
      </c>
      <c r="K31" s="3">
        <f t="shared" si="8"/>
        <v>0.12028768088929449</v>
      </c>
      <c r="L31" s="3">
        <f t="shared" si="9"/>
        <v>7.7418060358340798E-2</v>
      </c>
      <c r="M31" s="3">
        <f t="shared" si="10"/>
        <v>0.10027421469110753</v>
      </c>
      <c r="N31" s="3">
        <f t="shared" si="11"/>
        <v>0.1107658224203613</v>
      </c>
      <c r="O31" s="3">
        <f t="shared" si="12"/>
        <v>0.11767934919064693</v>
      </c>
      <c r="P31" s="3">
        <f t="shared" si="13"/>
        <v>0.11117706411159038</v>
      </c>
    </row>
    <row r="32" spans="2:16" x14ac:dyDescent="0.3">
      <c r="B32" s="11" t="s">
        <v>6</v>
      </c>
      <c r="C32" s="11">
        <f t="shared" si="2"/>
        <v>5.2749988129838332E-2</v>
      </c>
      <c r="D32" s="11">
        <f t="shared" si="3"/>
        <v>0.23560713098698122</v>
      </c>
      <c r="E32" s="11">
        <f t="shared" si="4"/>
        <v>4.648432396943733E-2</v>
      </c>
      <c r="F32" s="11">
        <f t="shared" si="5"/>
        <v>3.4892845272695483E-2</v>
      </c>
      <c r="G32" s="11">
        <f t="shared" si="6"/>
        <v>5.8003335020195917E-2</v>
      </c>
      <c r="H32" s="11">
        <f t="shared" si="7"/>
        <v>9.1245760270470294E-2</v>
      </c>
      <c r="J32" s="11" t="s">
        <v>6</v>
      </c>
      <c r="K32" s="3">
        <f t="shared" si="8"/>
        <v>0.20074378147377209</v>
      </c>
      <c r="L32" s="3">
        <f t="shared" si="9"/>
        <v>0.16649567572536791</v>
      </c>
      <c r="M32" s="3">
        <f t="shared" si="10"/>
        <v>0.1929979019721908</v>
      </c>
      <c r="N32" s="3">
        <f t="shared" si="11"/>
        <v>0.19789943599053217</v>
      </c>
      <c r="O32" s="3">
        <f t="shared" si="12"/>
        <v>0.19980918798290467</v>
      </c>
      <c r="P32" s="3">
        <f t="shared" si="13"/>
        <v>0.19822275851717969</v>
      </c>
    </row>
    <row r="33" spans="2:16" x14ac:dyDescent="0.3">
      <c r="B33" s="11" t="s">
        <v>15</v>
      </c>
      <c r="C33" s="11">
        <f t="shared" si="2"/>
        <v>-6.4273686001655617E-2</v>
      </c>
      <c r="D33" s="11">
        <f t="shared" si="3"/>
        <v>-3.1368233965768794E-2</v>
      </c>
      <c r="E33" s="11">
        <f t="shared" si="4"/>
        <v>-3.3020280749394532E-2</v>
      </c>
      <c r="F33" s="11">
        <f t="shared" si="5"/>
        <v>-4.5019027616562457E-2</v>
      </c>
      <c r="G33" s="11">
        <f t="shared" si="6"/>
        <v>-6.3507419414562782E-2</v>
      </c>
      <c r="H33" s="11">
        <f t="shared" si="7"/>
        <v>-7.4369272387367985E-2</v>
      </c>
      <c r="J33" s="11" t="s">
        <v>15</v>
      </c>
      <c r="K33" s="3">
        <f t="shared" si="8"/>
        <v>0.43823297150093887</v>
      </c>
      <c r="L33" s="3">
        <f t="shared" si="9"/>
        <v>0.43032720226856475</v>
      </c>
      <c r="M33" s="3">
        <f t="shared" si="10"/>
        <v>0.4307241182756199</v>
      </c>
      <c r="N33" s="3">
        <f t="shared" si="11"/>
        <v>0.43360690267578705</v>
      </c>
      <c r="O33" s="3">
        <f t="shared" si="12"/>
        <v>0.43804887049538427</v>
      </c>
      <c r="P33" s="3">
        <f t="shared" si="13"/>
        <v>0.44065850803950063</v>
      </c>
    </row>
    <row r="34" spans="2:16" x14ac:dyDescent="0.3">
      <c r="J34" s="14" t="s">
        <v>106</v>
      </c>
      <c r="K34" s="13">
        <f>SUM(K19:K33)</f>
        <v>1.0609476776890725</v>
      </c>
      <c r="L34" s="13">
        <f t="shared" ref="L34:P34" si="14">SUM(L19:L33)</f>
        <v>0.84854256976708564</v>
      </c>
      <c r="M34" s="13">
        <f t="shared" si="14"/>
        <v>0.86323393289214079</v>
      </c>
      <c r="N34" s="13">
        <f t="shared" si="14"/>
        <v>0.98776516173221529</v>
      </c>
      <c r="O34" s="13">
        <f t="shared" si="14"/>
        <v>1.0162337988022143</v>
      </c>
      <c r="P34" s="13">
        <f t="shared" si="14"/>
        <v>0.99563860284765471</v>
      </c>
    </row>
    <row r="35" spans="2:16" x14ac:dyDescent="0.3">
      <c r="J35" s="15" t="s">
        <v>107</v>
      </c>
      <c r="K35" s="16">
        <f>1-K34</f>
        <v>-6.0947677689072499E-2</v>
      </c>
      <c r="L35" s="16">
        <f t="shared" ref="L35:P35" si="15">1-L34</f>
        <v>0.15145743023291436</v>
      </c>
      <c r="M35" s="16">
        <f t="shared" si="15"/>
        <v>0.13676606710785921</v>
      </c>
      <c r="N35" s="16">
        <f t="shared" si="15"/>
        <v>1.2234838267784709E-2</v>
      </c>
      <c r="O35" s="16">
        <f t="shared" si="15"/>
        <v>-1.6233798802214316E-2</v>
      </c>
      <c r="P35" s="16">
        <f t="shared" si="15"/>
        <v>4.3613971523452921E-3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40DF-E92D-486B-B565-616B738E210F}">
  <dimension ref="A1:P15"/>
  <sheetViews>
    <sheetView workbookViewId="0">
      <selection activeCell="N1" activeCellId="1" sqref="I1:J6 N1:P6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23</v>
      </c>
      <c r="B2" s="12">
        <v>8.5490592246495772E-2</v>
      </c>
      <c r="C2" s="12">
        <v>7.6023391812865493E-2</v>
      </c>
      <c r="D2" s="12">
        <v>0.10344827586206896</v>
      </c>
      <c r="E2" s="12">
        <v>3.2608695652173912E-2</v>
      </c>
      <c r="F2" s="12">
        <v>9.9206349206349201E-2</v>
      </c>
      <c r="G2" s="12">
        <v>8.5470085470085472E-2</v>
      </c>
      <c r="H2" s="12">
        <v>8.0808080808080815E-2</v>
      </c>
      <c r="I2" s="11">
        <v>8.5490592246495772E-2</v>
      </c>
      <c r="J2" s="12">
        <v>8.5490592246495772E-2</v>
      </c>
      <c r="K2" s="12">
        <v>7.6023391812865493E-2</v>
      </c>
      <c r="L2" s="12">
        <v>0.10344827586206896</v>
      </c>
      <c r="M2" s="12">
        <v>3.2608695652173912E-2</v>
      </c>
      <c r="N2" s="12">
        <v>9.9206349206349201E-2</v>
      </c>
      <c r="O2" s="12">
        <v>8.5470085470085472E-2</v>
      </c>
      <c r="P2" s="12">
        <v>8.0808080808080815E-2</v>
      </c>
    </row>
    <row r="3" spans="1:16" x14ac:dyDescent="0.3">
      <c r="A3" s="11" t="s">
        <v>25</v>
      </c>
      <c r="B3" s="12">
        <v>9.4203813612829909E-2</v>
      </c>
      <c r="C3" s="12">
        <v>5.8479532163742687E-2</v>
      </c>
      <c r="D3" s="12">
        <v>5.1724137931034482E-2</v>
      </c>
      <c r="E3" s="12">
        <v>6.5217391304347824E-2</v>
      </c>
      <c r="F3" s="12">
        <v>0.11507936507936507</v>
      </c>
      <c r="G3" s="12">
        <v>3.4188034188034191E-2</v>
      </c>
      <c r="H3" s="12">
        <v>0.12121212121212122</v>
      </c>
      <c r="I3" s="11">
        <v>0.17969440585932567</v>
      </c>
      <c r="J3" s="11">
        <f t="shared" ref="J3:P6" si="0">J2+B3</f>
        <v>0.17969440585932567</v>
      </c>
      <c r="K3" s="11">
        <f t="shared" si="0"/>
        <v>0.13450292397660818</v>
      </c>
      <c r="L3" s="11">
        <f t="shared" si="0"/>
        <v>0.15517241379310345</v>
      </c>
      <c r="M3" s="11">
        <f t="shared" si="0"/>
        <v>9.7826086956521729E-2</v>
      </c>
      <c r="N3" s="11">
        <f t="shared" si="0"/>
        <v>0.21428571428571427</v>
      </c>
      <c r="O3" s="11">
        <f t="shared" si="0"/>
        <v>0.11965811965811966</v>
      </c>
      <c r="P3" s="11">
        <f t="shared" si="0"/>
        <v>0.20202020202020204</v>
      </c>
    </row>
    <row r="4" spans="1:16" x14ac:dyDescent="0.3">
      <c r="A4" s="11" t="s">
        <v>24</v>
      </c>
      <c r="B4" s="12">
        <v>0.10415877425600875</v>
      </c>
      <c r="C4" s="12">
        <v>0.18128654970760233</v>
      </c>
      <c r="D4" s="12">
        <v>8.6206896551724144E-2</v>
      </c>
      <c r="E4" s="12">
        <v>1.0869565217391304E-2</v>
      </c>
      <c r="F4" s="12">
        <v>8.7301587301587297E-2</v>
      </c>
      <c r="G4" s="12">
        <v>9.4017094017094016E-2</v>
      </c>
      <c r="H4" s="12">
        <v>0.19191919191919191</v>
      </c>
      <c r="I4" s="11">
        <v>0.28385318011533445</v>
      </c>
      <c r="J4" s="11">
        <f t="shared" si="0"/>
        <v>0.28385318011533445</v>
      </c>
      <c r="K4" s="11">
        <f t="shared" si="0"/>
        <v>0.31578947368421051</v>
      </c>
      <c r="L4" s="11">
        <f t="shared" si="0"/>
        <v>0.2413793103448276</v>
      </c>
      <c r="M4" s="11">
        <f t="shared" si="0"/>
        <v>0.10869565217391303</v>
      </c>
      <c r="N4" s="11">
        <f t="shared" si="0"/>
        <v>0.30158730158730157</v>
      </c>
      <c r="O4" s="11">
        <f t="shared" si="0"/>
        <v>0.21367521367521369</v>
      </c>
      <c r="P4" s="11">
        <f t="shared" si="0"/>
        <v>0.39393939393939392</v>
      </c>
    </row>
    <row r="5" spans="1:16" x14ac:dyDescent="0.3">
      <c r="A5" s="11" t="s">
        <v>22</v>
      </c>
      <c r="B5" s="12">
        <v>0.15589089531506503</v>
      </c>
      <c r="C5" s="12">
        <v>0.13450292397660818</v>
      </c>
      <c r="D5" s="12">
        <v>0.1206896551724138</v>
      </c>
      <c r="E5" s="12">
        <v>0.11956521739130435</v>
      </c>
      <c r="F5" s="12">
        <v>0.1388888888888889</v>
      </c>
      <c r="G5" s="12">
        <v>0.19658119658119658</v>
      </c>
      <c r="H5" s="12">
        <v>0.13131313131313133</v>
      </c>
      <c r="I5" s="11">
        <v>0.43974407543039951</v>
      </c>
      <c r="J5" s="11">
        <f t="shared" si="0"/>
        <v>0.43974407543039951</v>
      </c>
      <c r="K5" s="11">
        <f t="shared" si="0"/>
        <v>0.45029239766081869</v>
      </c>
      <c r="L5" s="11">
        <f t="shared" si="0"/>
        <v>0.36206896551724138</v>
      </c>
      <c r="M5" s="11">
        <f t="shared" si="0"/>
        <v>0.22826086956521738</v>
      </c>
      <c r="N5" s="11">
        <f t="shared" si="0"/>
        <v>0.44047619047619047</v>
      </c>
      <c r="O5" s="11">
        <f t="shared" si="0"/>
        <v>0.41025641025641024</v>
      </c>
      <c r="P5" s="11">
        <f t="shared" si="0"/>
        <v>0.5252525252525253</v>
      </c>
    </row>
    <row r="6" spans="1:16" x14ac:dyDescent="0.3">
      <c r="A6" s="11" t="s">
        <v>21</v>
      </c>
      <c r="B6" s="12">
        <v>0.56025592456960049</v>
      </c>
      <c r="C6" s="12">
        <v>0.54970760233918126</v>
      </c>
      <c r="D6" s="12">
        <v>0.63793103448275867</v>
      </c>
      <c r="E6" s="12">
        <v>0.77173913043478259</v>
      </c>
      <c r="F6" s="12">
        <v>0.55952380952380953</v>
      </c>
      <c r="G6" s="12">
        <v>0.58974358974358976</v>
      </c>
      <c r="H6" s="12">
        <v>0.47474747474747475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3" t="s">
        <v>100</v>
      </c>
      <c r="L8" s="13" t="s">
        <v>101</v>
      </c>
      <c r="M8" s="13" t="s">
        <v>102</v>
      </c>
      <c r="N8" s="13" t="s">
        <v>103</v>
      </c>
      <c r="O8" s="13" t="s">
        <v>104</v>
      </c>
      <c r="P8" s="13" t="s">
        <v>105</v>
      </c>
    </row>
    <row r="9" spans="1:16" x14ac:dyDescent="0.3">
      <c r="B9" s="11" t="s">
        <v>23</v>
      </c>
      <c r="C9" s="11">
        <f>C2-B2</f>
        <v>-9.4672004336302795E-3</v>
      </c>
      <c r="D9" s="11">
        <f>D2-B2</f>
        <v>1.7957683615573192E-2</v>
      </c>
      <c r="E9" s="11">
        <f>E2-B2</f>
        <v>-5.288189659432186E-2</v>
      </c>
      <c r="F9" s="11">
        <f>F2-B2</f>
        <v>1.3715756959853428E-2</v>
      </c>
      <c r="G9" s="11">
        <f>G2-B2</f>
        <v>-2.0506776410300631E-5</v>
      </c>
      <c r="H9" s="11">
        <f>H2-B2</f>
        <v>-4.6825114384149574E-3</v>
      </c>
      <c r="J9" s="11" t="s">
        <v>23</v>
      </c>
      <c r="K9" s="3">
        <f>(J2-0) * ((K2+0))</f>
        <v>6.4992847906692689E-3</v>
      </c>
      <c r="L9" s="3">
        <f>(J2-0) * ((L2+0))</f>
        <v>8.8438543703271491E-3</v>
      </c>
      <c r="M9" s="3">
        <f>(J2-0) * ((M2+0))</f>
        <v>2.7877367036900796E-3</v>
      </c>
      <c r="N9" s="3">
        <f>(J2-0) * ((N2+0))</f>
        <v>8.4812095482634693E-3</v>
      </c>
      <c r="O9" s="3">
        <f>(J2-0) * ((O2+0))</f>
        <v>7.3068882261962198E-3</v>
      </c>
      <c r="P9" s="3">
        <f>(J2-0) * ((P2+0))</f>
        <v>6.9083306865855175E-3</v>
      </c>
    </row>
    <row r="10" spans="1:16" x14ac:dyDescent="0.3">
      <c r="B10" s="11" t="s">
        <v>25</v>
      </c>
      <c r="C10" s="11">
        <f t="shared" ref="C10:C13" si="1">C3-B3</f>
        <v>-3.5724281449087222E-2</v>
      </c>
      <c r="D10" s="11">
        <f t="shared" ref="D10:D13" si="2">D3-B3</f>
        <v>-4.2479675681795427E-2</v>
      </c>
      <c r="E10" s="11">
        <f t="shared" ref="E10:E13" si="3">E3-B3</f>
        <v>-2.8986422308482085E-2</v>
      </c>
      <c r="F10" s="11">
        <f t="shared" ref="F10:F13" si="4">F3-B3</f>
        <v>2.0875551466535164E-2</v>
      </c>
      <c r="G10" s="11">
        <f t="shared" ref="G10:G13" si="5">G3-B3</f>
        <v>-6.0015779424795718E-2</v>
      </c>
      <c r="H10" s="11">
        <f t="shared" ref="H10:H13" si="6">H3-B3</f>
        <v>2.7008307599291306E-2</v>
      </c>
      <c r="J10" s="11" t="s">
        <v>25</v>
      </c>
      <c r="K10" s="3">
        <f>(J3-J2) * ((K3+K2))</f>
        <v>1.9832381813227346E-2</v>
      </c>
      <c r="L10" s="3">
        <f>(J3-J2) * ((L3+L2))</f>
        <v>2.4363055244697389E-2</v>
      </c>
      <c r="M10" s="3">
        <f>(J3-J2) * ((M3+M2))</f>
        <v>1.228745394949955E-2</v>
      </c>
      <c r="N10" s="3">
        <f>(J3-J2) * ((N3+N2))</f>
        <v>2.9532147918307786E-2</v>
      </c>
      <c r="O10" s="3">
        <f>(J3-J2) * ((O3+O2))</f>
        <v>1.9323859202631771E-2</v>
      </c>
      <c r="P10" s="3">
        <f>(J3-J2) * ((P3+P2))</f>
        <v>2.6643502839992297E-2</v>
      </c>
    </row>
    <row r="11" spans="1:16" x14ac:dyDescent="0.3">
      <c r="B11" s="11" t="s">
        <v>24</v>
      </c>
      <c r="C11" s="11">
        <f t="shared" si="1"/>
        <v>7.7127775451593578E-2</v>
      </c>
      <c r="D11" s="11">
        <f t="shared" si="2"/>
        <v>-1.7951877704284608E-2</v>
      </c>
      <c r="E11" s="11">
        <f t="shared" si="3"/>
        <v>-9.3289209038617454E-2</v>
      </c>
      <c r="F11" s="11">
        <f t="shared" si="4"/>
        <v>-1.6857186954421455E-2</v>
      </c>
      <c r="G11" s="11">
        <f t="shared" si="5"/>
        <v>-1.0141680238914735E-2</v>
      </c>
      <c r="H11" s="11">
        <f t="shared" si="6"/>
        <v>8.7760417663183155E-2</v>
      </c>
      <c r="J11" s="11" t="s">
        <v>24</v>
      </c>
      <c r="K11" s="3">
        <f t="shared" ref="K11:K13" si="7">(J4-J3) * ((K4+K3))</f>
        <v>4.6901904197150152E-2</v>
      </c>
      <c r="L11" s="3">
        <f t="shared" ref="L11:L13" si="8">(J4-J3) * ((L4+L3))</f>
        <v>4.1304341515313828E-2</v>
      </c>
      <c r="M11" s="3">
        <f t="shared" ref="M11:M13" si="9">(J4-J3) * ((M4+M3))</f>
        <v>2.151105120504529E-2</v>
      </c>
      <c r="N11" s="3">
        <f t="shared" ref="N11:N13" si="10">(J4-J3) * ((N4+N3))</f>
        <v>5.3732701005083885E-2</v>
      </c>
      <c r="O11" s="3">
        <f t="shared" ref="O11:O13" si="11">(J4-J3) * ((O4+O3))</f>
        <v>3.47195914186696E-2</v>
      </c>
      <c r="P11" s="3">
        <f t="shared" ref="P11:P13" si="12">(J4-J3) * ((P4+P3))</f>
        <v>6.2074421021257764E-2</v>
      </c>
    </row>
    <row r="12" spans="1:16" x14ac:dyDescent="0.3">
      <c r="B12" s="11" t="s">
        <v>22</v>
      </c>
      <c r="C12" s="11">
        <f t="shared" si="1"/>
        <v>-2.1387971338456851E-2</v>
      </c>
      <c r="D12" s="11">
        <f t="shared" si="2"/>
        <v>-3.5201240142651233E-2</v>
      </c>
      <c r="E12" s="11">
        <f t="shared" si="3"/>
        <v>-3.632567792376068E-2</v>
      </c>
      <c r="F12" s="11">
        <f t="shared" si="4"/>
        <v>-1.7002006426176136E-2</v>
      </c>
      <c r="G12" s="11">
        <f t="shared" si="5"/>
        <v>4.0690301266131546E-2</v>
      </c>
      <c r="H12" s="11">
        <f t="shared" si="6"/>
        <v>-2.4577764001933705E-2</v>
      </c>
      <c r="J12" s="11" t="s">
        <v>22</v>
      </c>
      <c r="K12" s="3">
        <f t="shared" si="7"/>
        <v>0.11942518880861709</v>
      </c>
      <c r="L12" s="3">
        <f t="shared" si="8"/>
        <v>9.4072092000470287E-2</v>
      </c>
      <c r="M12" s="3">
        <f t="shared" si="9"/>
        <v>5.2528453856163219E-2</v>
      </c>
      <c r="N12" s="3">
        <f t="shared" si="10"/>
        <v>0.11568094215840145</v>
      </c>
      <c r="O12" s="3">
        <f t="shared" si="11"/>
        <v>9.7265259470083326E-2</v>
      </c>
      <c r="P12" s="3">
        <f t="shared" si="12"/>
        <v>0.14329365124920121</v>
      </c>
    </row>
    <row r="13" spans="1:16" x14ac:dyDescent="0.3">
      <c r="B13" s="11" t="s">
        <v>21</v>
      </c>
      <c r="C13" s="11">
        <f t="shared" si="1"/>
        <v>-1.0548322230419238E-2</v>
      </c>
      <c r="D13" s="11">
        <f t="shared" si="2"/>
        <v>7.767510991315818E-2</v>
      </c>
      <c r="E13" s="11">
        <f t="shared" si="3"/>
        <v>0.2114832058651821</v>
      </c>
      <c r="F13" s="11">
        <f t="shared" si="4"/>
        <v>-7.3211504579095976E-4</v>
      </c>
      <c r="G13" s="11">
        <f t="shared" si="5"/>
        <v>2.9487665173989264E-2</v>
      </c>
      <c r="H13" s="11">
        <f t="shared" si="6"/>
        <v>-8.5508449822125743E-2</v>
      </c>
      <c r="J13" s="11" t="s">
        <v>21</v>
      </c>
      <c r="K13" s="3">
        <f t="shared" si="7"/>
        <v>0.81253490814772467</v>
      </c>
      <c r="L13" s="3">
        <f t="shared" si="8"/>
        <v>0.76310720760342132</v>
      </c>
      <c r="M13" s="3">
        <f t="shared" si="9"/>
        <v>0.68814042909092232</v>
      </c>
      <c r="N13" s="3">
        <f t="shared" si="10"/>
        <v>0.80703531991573407</v>
      </c>
      <c r="O13" s="3">
        <f t="shared" si="11"/>
        <v>0.79010450900841089</v>
      </c>
      <c r="P13" s="3">
        <f t="shared" si="12"/>
        <v>0.85453176373747153</v>
      </c>
    </row>
    <row r="14" spans="1:16" x14ac:dyDescent="0.3">
      <c r="J14" s="13" t="s">
        <v>106</v>
      </c>
      <c r="K14" s="13">
        <f>SUM(K9:K13)</f>
        <v>1.0051936677573885</v>
      </c>
      <c r="L14" s="13">
        <f t="shared" ref="L14:P14" si="13">SUM(L9:L13)</f>
        <v>0.93169055073422991</v>
      </c>
      <c r="M14" s="13">
        <f t="shared" si="13"/>
        <v>0.77725512480532044</v>
      </c>
      <c r="N14" s="13">
        <f t="shared" si="13"/>
        <v>1.0144623205457908</v>
      </c>
      <c r="O14" s="13">
        <f t="shared" si="13"/>
        <v>0.94872010732599188</v>
      </c>
      <c r="P14" s="13">
        <f t="shared" si="13"/>
        <v>1.0934516695345082</v>
      </c>
    </row>
    <row r="15" spans="1:16" x14ac:dyDescent="0.3">
      <c r="J15" s="16" t="s">
        <v>107</v>
      </c>
      <c r="K15" s="16">
        <f>1-K14</f>
        <v>-5.1936677573884982E-3</v>
      </c>
      <c r="L15" s="16">
        <f t="shared" ref="L15:P15" si="14">1-L14</f>
        <v>6.8309449265770095E-2</v>
      </c>
      <c r="M15" s="16">
        <f t="shared" si="14"/>
        <v>0.22274487519467956</v>
      </c>
      <c r="N15" s="16">
        <f t="shared" si="14"/>
        <v>-1.4462320545790774E-2</v>
      </c>
      <c r="O15" s="16">
        <f t="shared" si="14"/>
        <v>5.1279892674008121E-2</v>
      </c>
      <c r="P15" s="16">
        <f t="shared" si="14"/>
        <v>-9.345166953450823E-2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FEE7-B7DA-4588-8F52-D828CB07228D}">
  <dimension ref="A1:P17"/>
  <sheetViews>
    <sheetView zoomScale="78" workbookViewId="0">
      <selection sqref="A1:XFD1048576"/>
    </sheetView>
  </sheetViews>
  <sheetFormatPr defaultRowHeight="14.4" x14ac:dyDescent="0.3"/>
  <cols>
    <col min="1" max="1" width="15.88671875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31</v>
      </c>
      <c r="B2" s="12">
        <v>6.5521934037784182E-2</v>
      </c>
      <c r="C2" s="12">
        <v>1.6666666666666666E-2</v>
      </c>
      <c r="D2" s="12">
        <v>9.433962264150943E-3</v>
      </c>
      <c r="E2" s="12">
        <v>5.434782608695652E-2</v>
      </c>
      <c r="F2" s="12">
        <v>7.8651685393258425E-2</v>
      </c>
      <c r="G2" s="12">
        <v>5.204460966542751E-2</v>
      </c>
      <c r="H2" s="12">
        <v>7.1428571428571426E-3</v>
      </c>
      <c r="I2" s="11">
        <v>6.5521934037784182E-2</v>
      </c>
      <c r="J2" s="12">
        <v>6.5521934037784182E-2</v>
      </c>
      <c r="K2" s="12">
        <v>1.6666666666666666E-2</v>
      </c>
      <c r="L2" s="12">
        <v>9.433962264150943E-3</v>
      </c>
      <c r="M2" s="12">
        <v>5.434782608695652E-2</v>
      </c>
      <c r="N2" s="12">
        <v>7.8651685393258425E-2</v>
      </c>
      <c r="O2" s="12">
        <v>5.204460966542751E-2</v>
      </c>
      <c r="P2" s="12">
        <v>7.1428571428571426E-3</v>
      </c>
    </row>
    <row r="3" spans="1:16" x14ac:dyDescent="0.3">
      <c r="A3" s="11" t="s">
        <v>29</v>
      </c>
      <c r="B3" s="12">
        <v>7.9944497811932969E-2</v>
      </c>
      <c r="C3" s="12">
        <v>7.7777777777777779E-2</v>
      </c>
      <c r="D3" s="12">
        <v>5.6603773584905662E-2</v>
      </c>
      <c r="E3" s="12">
        <v>0.16304347826086957</v>
      </c>
      <c r="F3" s="12">
        <v>3.6516853932584269E-2</v>
      </c>
      <c r="G3" s="12">
        <v>6.3197026022304828E-2</v>
      </c>
      <c r="H3" s="12">
        <v>5.7142857142857141E-2</v>
      </c>
      <c r="I3" s="11">
        <v>0.14546643184971714</v>
      </c>
      <c r="J3" s="11">
        <f t="shared" ref="J3:P7" si="0">J2+B3</f>
        <v>0.14546643184971714</v>
      </c>
      <c r="K3" s="11">
        <f t="shared" si="0"/>
        <v>9.4444444444444442E-2</v>
      </c>
      <c r="L3" s="11">
        <f t="shared" si="0"/>
        <v>6.6037735849056603E-2</v>
      </c>
      <c r="M3" s="11">
        <f t="shared" si="0"/>
        <v>0.21739130434782608</v>
      </c>
      <c r="N3" s="11">
        <f t="shared" si="0"/>
        <v>0.1151685393258427</v>
      </c>
      <c r="O3" s="11">
        <f t="shared" si="0"/>
        <v>0.11524163568773234</v>
      </c>
      <c r="P3" s="11">
        <f t="shared" si="0"/>
        <v>6.4285714285714279E-2</v>
      </c>
    </row>
    <row r="4" spans="1:16" x14ac:dyDescent="0.3">
      <c r="A4" s="11" t="s">
        <v>27</v>
      </c>
      <c r="B4" s="12">
        <v>8.3506777671042795E-2</v>
      </c>
      <c r="C4" s="12">
        <v>1.1111111111111112E-2</v>
      </c>
      <c r="D4" s="12">
        <v>9.433962264150943E-3</v>
      </c>
      <c r="E4" s="12">
        <v>6.5217391304347824E-2</v>
      </c>
      <c r="F4" s="12">
        <v>7.3033707865168537E-2</v>
      </c>
      <c r="G4" s="12">
        <v>5.204460966542751E-2</v>
      </c>
      <c r="H4" s="12">
        <v>7.857142857142857E-2</v>
      </c>
      <c r="I4" s="11">
        <v>0.22897320952075995</v>
      </c>
      <c r="J4" s="11">
        <f t="shared" si="0"/>
        <v>0.22897320952075995</v>
      </c>
      <c r="K4" s="11">
        <f t="shared" si="0"/>
        <v>0.10555555555555556</v>
      </c>
      <c r="L4" s="11">
        <f t="shared" si="0"/>
        <v>7.5471698113207544E-2</v>
      </c>
      <c r="M4" s="11">
        <f t="shared" si="0"/>
        <v>0.28260869565217389</v>
      </c>
      <c r="N4" s="11">
        <f t="shared" si="0"/>
        <v>0.18820224719101125</v>
      </c>
      <c r="O4" s="11">
        <f t="shared" si="0"/>
        <v>0.16728624535315983</v>
      </c>
      <c r="P4" s="11">
        <f t="shared" si="0"/>
        <v>0.14285714285714285</v>
      </c>
    </row>
    <row r="5" spans="1:16" x14ac:dyDescent="0.3">
      <c r="A5" s="11" t="s">
        <v>28</v>
      </c>
      <c r="B5" s="12">
        <v>0.20530472835948341</v>
      </c>
      <c r="C5" s="12">
        <v>0.10555555555555556</v>
      </c>
      <c r="D5" s="12">
        <v>4.716981132075472E-2</v>
      </c>
      <c r="E5" s="12">
        <v>5.434782608695652E-2</v>
      </c>
      <c r="F5" s="12">
        <v>0.16853932584269662</v>
      </c>
      <c r="G5" s="12">
        <v>0.11524163568773234</v>
      </c>
      <c r="H5" s="12">
        <v>0.1357142857142857</v>
      </c>
      <c r="I5" s="11">
        <v>0.43427793788024338</v>
      </c>
      <c r="J5" s="11">
        <f t="shared" si="0"/>
        <v>0.43427793788024338</v>
      </c>
      <c r="K5" s="11">
        <f t="shared" si="0"/>
        <v>0.21111111111111111</v>
      </c>
      <c r="L5" s="11">
        <f t="shared" si="0"/>
        <v>0.12264150943396226</v>
      </c>
      <c r="M5" s="11">
        <f t="shared" si="0"/>
        <v>0.33695652173913043</v>
      </c>
      <c r="N5" s="11">
        <f t="shared" si="0"/>
        <v>0.3567415730337079</v>
      </c>
      <c r="O5" s="11">
        <f t="shared" si="0"/>
        <v>0.28252788104089216</v>
      </c>
      <c r="P5" s="11">
        <f t="shared" si="0"/>
        <v>0.27857142857142858</v>
      </c>
    </row>
    <row r="6" spans="1:16" x14ac:dyDescent="0.3">
      <c r="A6" s="11" t="s">
        <v>30</v>
      </c>
      <c r="B6" s="12">
        <v>0.21270946739246452</v>
      </c>
      <c r="C6" s="12">
        <v>0.29444444444444445</v>
      </c>
      <c r="D6" s="12">
        <v>0.66981132075471694</v>
      </c>
      <c r="E6" s="12">
        <v>0.2391304347826087</v>
      </c>
      <c r="F6" s="12">
        <v>0.21348314606741572</v>
      </c>
      <c r="G6" s="12">
        <v>0.32342007434944237</v>
      </c>
      <c r="H6" s="12">
        <v>0.33571428571428569</v>
      </c>
      <c r="I6" s="11">
        <v>0.64698740527270793</v>
      </c>
      <c r="J6" s="11">
        <f t="shared" si="0"/>
        <v>0.64698740527270793</v>
      </c>
      <c r="K6" s="11">
        <f t="shared" si="0"/>
        <v>0.50555555555555554</v>
      </c>
      <c r="L6" s="11">
        <f t="shared" si="0"/>
        <v>0.79245283018867918</v>
      </c>
      <c r="M6" s="11">
        <f t="shared" si="0"/>
        <v>0.57608695652173914</v>
      </c>
      <c r="N6" s="11">
        <f t="shared" si="0"/>
        <v>0.5702247191011236</v>
      </c>
      <c r="O6" s="11">
        <f t="shared" si="0"/>
        <v>0.60594795539033453</v>
      </c>
      <c r="P6" s="11">
        <f t="shared" si="0"/>
        <v>0.61428571428571432</v>
      </c>
    </row>
    <row r="7" spans="1:16" x14ac:dyDescent="0.3">
      <c r="A7" s="11" t="s">
        <v>26</v>
      </c>
      <c r="B7" s="12">
        <v>0.35301259472729213</v>
      </c>
      <c r="C7" s="12">
        <v>0.49444444444444446</v>
      </c>
      <c r="D7" s="12">
        <v>0.20754716981132076</v>
      </c>
      <c r="E7" s="12">
        <v>0.42391304347826086</v>
      </c>
      <c r="F7" s="12">
        <v>0.4297752808988764</v>
      </c>
      <c r="G7" s="12">
        <v>0.39405204460966542</v>
      </c>
      <c r="H7" s="12">
        <v>0.38571428571428573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</row>
    <row r="10" spans="1:16" x14ac:dyDescent="0.3">
      <c r="B10" s="11" t="s">
        <v>31</v>
      </c>
      <c r="C10" s="11">
        <f>C2-B2</f>
        <v>-4.8855267371117519E-2</v>
      </c>
      <c r="D10" s="11">
        <f>D2-B2</f>
        <v>-5.6087971773633241E-2</v>
      </c>
      <c r="E10" s="11">
        <f>E2-B2</f>
        <v>-1.1174107950827662E-2</v>
      </c>
      <c r="F10" s="11">
        <f>F2-B2</f>
        <v>1.3129751355474242E-2</v>
      </c>
      <c r="G10" s="11">
        <f>G2-B2</f>
        <v>-1.3477324372356672E-2</v>
      </c>
      <c r="H10" s="11">
        <f>H2-B2</f>
        <v>-5.8379076894927037E-2</v>
      </c>
      <c r="J10" s="11" t="s">
        <v>31</v>
      </c>
      <c r="K10" s="3">
        <f>(J2-0) * ((K2+0))</f>
        <v>1.0920322339630698E-3</v>
      </c>
      <c r="L10" s="3">
        <f>(J2-0) * ((L2+0))</f>
        <v>6.1813145318664322E-4</v>
      </c>
      <c r="M10" s="3">
        <f>(J2-0) * ((M2+0))</f>
        <v>3.5609746759665316E-3</v>
      </c>
      <c r="N10" s="3">
        <f>(J2-0) * ((N2+0))</f>
        <v>5.1534105422976319E-3</v>
      </c>
      <c r="O10" s="3">
        <f>(J2-0) * ((O2+0))</f>
        <v>3.4100634815203666E-3</v>
      </c>
      <c r="P10" s="3">
        <f>(J2-0) * ((P2+0))</f>
        <v>4.6801381455560128E-4</v>
      </c>
    </row>
    <row r="11" spans="1:16" x14ac:dyDescent="0.3">
      <c r="B11" s="11" t="s">
        <v>29</v>
      </c>
      <c r="C11" s="11">
        <f t="shared" ref="C11:C15" si="1">C3-B3</f>
        <v>-2.1667200341551895E-3</v>
      </c>
      <c r="D11" s="11">
        <f t="shared" ref="D11:D15" si="2">D3-B3</f>
        <v>-2.3340724227027307E-2</v>
      </c>
      <c r="E11" s="11">
        <f t="shared" ref="E11:E15" si="3">E3-B3</f>
        <v>8.3098980448936599E-2</v>
      </c>
      <c r="F11" s="11">
        <f t="shared" ref="F11:F15" si="4">F3-B3</f>
        <v>-4.34276438793487E-2</v>
      </c>
      <c r="G11" s="11">
        <f t="shared" ref="G11:G15" si="5">G3-B3</f>
        <v>-1.6747471789628141E-2</v>
      </c>
      <c r="H11" s="11">
        <f t="shared" ref="H11:H15" si="6">H3-B3</f>
        <v>-2.2801640669075827E-2</v>
      </c>
      <c r="J11" s="11" t="s">
        <v>29</v>
      </c>
      <c r="K11" s="3">
        <f>(J3-J2) * ((K3+K2))</f>
        <v>8.8827219791036607E-3</v>
      </c>
      <c r="L11" s="3">
        <f>(J3-J2) * ((L3+L2))</f>
        <v>6.0335470046741849E-3</v>
      </c>
      <c r="M11" s="3">
        <f>(J3-J2) * ((M3+M2))</f>
        <v>2.1724048318460042E-2</v>
      </c>
      <c r="N11" s="3">
        <f>(J3-J2) * ((N3+N2))</f>
        <v>1.5494860530964534E-2</v>
      </c>
      <c r="O11" s="3">
        <f>(J3-J2) * ((O3+O2))</f>
        <v>1.3373614875602166E-2</v>
      </c>
      <c r="P11" s="3">
        <f>(J3-J2) * ((P3+P2))</f>
        <v>5.7103212722809252E-3</v>
      </c>
    </row>
    <row r="12" spans="1:16" x14ac:dyDescent="0.3">
      <c r="B12" s="11" t="s">
        <v>27</v>
      </c>
      <c r="C12" s="11">
        <f t="shared" si="1"/>
        <v>-7.2395666559931682E-2</v>
      </c>
      <c r="D12" s="11">
        <f t="shared" si="2"/>
        <v>-7.4072815406891854E-2</v>
      </c>
      <c r="E12" s="11">
        <f t="shared" si="3"/>
        <v>-1.8289386366694971E-2</v>
      </c>
      <c r="F12" s="11">
        <f t="shared" si="4"/>
        <v>-1.0473069805874258E-2</v>
      </c>
      <c r="G12" s="11">
        <f t="shared" si="5"/>
        <v>-3.1462168005615285E-2</v>
      </c>
      <c r="H12" s="11">
        <f t="shared" si="6"/>
        <v>-4.9353490996142252E-3</v>
      </c>
      <c r="J12" s="11" t="s">
        <v>27</v>
      </c>
      <c r="K12" s="3">
        <f t="shared" ref="K12:K15" si="7">(J4-J3) * ((K4+K3))</f>
        <v>1.6701355534208564E-2</v>
      </c>
      <c r="L12" s="3">
        <f t="shared" ref="L12:L15" si="8">(J4-J3) * ((L4+L3))</f>
        <v>1.1816996840241907E-2</v>
      </c>
      <c r="M12" s="3">
        <f t="shared" ref="M12:M15" si="9">(J4-J3) * ((M4+M3))</f>
        <v>4.1753388835521404E-2</v>
      </c>
      <c r="N12" s="3">
        <f t="shared" ref="N12:N15" si="10">(J4-J3) * ((N4+N3))</f>
        <v>2.5333516821552316E-2</v>
      </c>
      <c r="O12" s="3">
        <f t="shared" ref="O12:O15" si="11">(J4-J3) * ((O4+O3))</f>
        <v>2.3592992947952612E-2</v>
      </c>
      <c r="P12" s="3">
        <f t="shared" ref="P12:P15" si="12">(J4-J3) * ((P4+P3))</f>
        <v>1.7297832517573154E-2</v>
      </c>
    </row>
    <row r="13" spans="1:16" x14ac:dyDescent="0.3">
      <c r="B13" s="11" t="s">
        <v>28</v>
      </c>
      <c r="C13" s="11">
        <f t="shared" si="1"/>
        <v>-9.9749172803927852E-2</v>
      </c>
      <c r="D13" s="11">
        <f t="shared" si="2"/>
        <v>-0.15813491703872867</v>
      </c>
      <c r="E13" s="11">
        <f t="shared" si="3"/>
        <v>-0.15095690227252689</v>
      </c>
      <c r="F13" s="11">
        <f t="shared" si="4"/>
        <v>-3.6765402516786783E-2</v>
      </c>
      <c r="G13" s="11">
        <f t="shared" si="5"/>
        <v>-9.0063092671751069E-2</v>
      </c>
      <c r="H13" s="11">
        <f t="shared" si="6"/>
        <v>-6.9590442645197703E-2</v>
      </c>
      <c r="J13" s="11" t="s">
        <v>28</v>
      </c>
      <c r="K13" s="3">
        <f t="shared" si="7"/>
        <v>6.501316398050308E-2</v>
      </c>
      <c r="L13" s="3">
        <f t="shared" si="8"/>
        <v>4.0673578259897661E-2</v>
      </c>
      <c r="M13" s="3">
        <f t="shared" si="9"/>
        <v>0.12719966865750604</v>
      </c>
      <c r="N13" s="3">
        <f t="shared" si="10"/>
        <v>0.11187954298241515</v>
      </c>
      <c r="O13" s="3">
        <f t="shared" si="11"/>
        <v>9.2348967031589194E-2</v>
      </c>
      <c r="P13" s="3">
        <f t="shared" si="12"/>
        <v>8.6521278380068026E-2</v>
      </c>
    </row>
    <row r="14" spans="1:16" x14ac:dyDescent="0.3">
      <c r="B14" s="11" t="s">
        <v>30</v>
      </c>
      <c r="C14" s="11">
        <f t="shared" si="1"/>
        <v>8.1734977051979935E-2</v>
      </c>
      <c r="D14" s="11">
        <f t="shared" si="2"/>
        <v>0.4571018533622524</v>
      </c>
      <c r="E14" s="11">
        <f t="shared" si="3"/>
        <v>2.6420967390144184E-2</v>
      </c>
      <c r="F14" s="11">
        <f t="shared" si="4"/>
        <v>7.736786749512059E-4</v>
      </c>
      <c r="G14" s="11">
        <f t="shared" si="5"/>
        <v>0.11071060695697785</v>
      </c>
      <c r="H14" s="11">
        <f t="shared" si="6"/>
        <v>0.12300481832182117</v>
      </c>
      <c r="J14" s="11" t="s">
        <v>30</v>
      </c>
      <c r="K14" s="3">
        <f t="shared" si="7"/>
        <v>0.15244178496459959</v>
      </c>
      <c r="L14" s="3">
        <f t="shared" si="8"/>
        <v>0.19464922959499112</v>
      </c>
      <c r="M14" s="3">
        <f t="shared" si="9"/>
        <v>0.19421299196703287</v>
      </c>
      <c r="N14" s="3">
        <f t="shared" si="10"/>
        <v>0.19717450629076771</v>
      </c>
      <c r="O14" s="3">
        <f t="shared" si="11"/>
        <v>0.18898722195836065</v>
      </c>
      <c r="P14" s="3">
        <f t="shared" si="12"/>
        <v>0.18991916731470049</v>
      </c>
    </row>
    <row r="15" spans="1:16" x14ac:dyDescent="0.3">
      <c r="B15" s="11" t="s">
        <v>26</v>
      </c>
      <c r="C15" s="11">
        <f t="shared" si="1"/>
        <v>0.14143184971715234</v>
      </c>
      <c r="D15" s="11">
        <f t="shared" si="2"/>
        <v>-0.14546542491597136</v>
      </c>
      <c r="E15" s="11">
        <f t="shared" si="3"/>
        <v>7.0900448750968736E-2</v>
      </c>
      <c r="F15" s="11">
        <f t="shared" si="4"/>
        <v>7.6762686171584271E-2</v>
      </c>
      <c r="G15" s="11">
        <f t="shared" si="5"/>
        <v>4.1039449882373291E-2</v>
      </c>
      <c r="H15" s="11">
        <f t="shared" si="6"/>
        <v>3.2701690986993603E-2</v>
      </c>
      <c r="J15" s="11" t="s">
        <v>26</v>
      </c>
      <c r="K15" s="3">
        <f t="shared" si="7"/>
        <v>0.53148007317275636</v>
      </c>
      <c r="L15" s="3">
        <f t="shared" si="8"/>
        <v>0.6327584245111838</v>
      </c>
      <c r="M15" s="3">
        <f t="shared" si="9"/>
        <v>0.55637854603757997</v>
      </c>
      <c r="N15" s="3">
        <f t="shared" si="10"/>
        <v>0.55430910239482101</v>
      </c>
      <c r="O15" s="3">
        <f t="shared" si="11"/>
        <v>0.56691985472933148</v>
      </c>
      <c r="P15" s="3">
        <f t="shared" si="12"/>
        <v>0.56986318863120011</v>
      </c>
    </row>
    <row r="16" spans="1:16" x14ac:dyDescent="0.3">
      <c r="J16" s="14" t="s">
        <v>106</v>
      </c>
      <c r="K16" s="13">
        <f>SUM(K10:K15)</f>
        <v>0.77561113186513431</v>
      </c>
      <c r="L16" s="13">
        <f t="shared" ref="L16:P16" si="13">SUM(L10:L15)</f>
        <v>0.8865499076641753</v>
      </c>
      <c r="M16" s="13">
        <f t="shared" si="13"/>
        <v>0.94482961849206681</v>
      </c>
      <c r="N16" s="13">
        <f t="shared" si="13"/>
        <v>0.90934493956281837</v>
      </c>
      <c r="O16" s="13">
        <f t="shared" si="13"/>
        <v>0.88863271502435648</v>
      </c>
      <c r="P16" s="13">
        <f t="shared" si="13"/>
        <v>0.86977980193037829</v>
      </c>
    </row>
    <row r="17" spans="10:16" x14ac:dyDescent="0.3">
      <c r="J17" s="15" t="s">
        <v>107</v>
      </c>
      <c r="K17" s="16">
        <f>1-K16</f>
        <v>0.22438886813486569</v>
      </c>
      <c r="L17" s="16">
        <f t="shared" ref="L17:P17" si="14">1-L16</f>
        <v>0.1134500923358247</v>
      </c>
      <c r="M17" s="16">
        <f t="shared" si="14"/>
        <v>5.5170381507933186E-2</v>
      </c>
      <c r="N17" s="16">
        <f t="shared" si="14"/>
        <v>9.0655060437181634E-2</v>
      </c>
      <c r="O17" s="16">
        <f t="shared" si="14"/>
        <v>0.11136728497564352</v>
      </c>
      <c r="P17" s="16">
        <f t="shared" si="14"/>
        <v>0.13022019806962171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AE63-F1BE-4A20-8F64-E9A495781992}">
  <dimension ref="A1:P35"/>
  <sheetViews>
    <sheetView topLeftCell="E1" workbookViewId="0">
      <selection activeCell="Y6" sqref="Y6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45</v>
      </c>
      <c r="B2" s="12">
        <v>1.7275192095420788E-2</v>
      </c>
      <c r="C2" s="12">
        <v>3.0581039755351682E-3</v>
      </c>
      <c r="D2" s="12">
        <v>7.0671378091872791E-3</v>
      </c>
      <c r="E2" s="12">
        <v>2.8169014084507043E-2</v>
      </c>
      <c r="F2" s="12">
        <v>1.7719568567026195E-2</v>
      </c>
      <c r="G2" s="12">
        <v>1.1661807580174927E-2</v>
      </c>
      <c r="H2" s="12">
        <v>2.2321428571428572E-2</v>
      </c>
      <c r="I2" s="11">
        <v>1.7275192095420788E-2</v>
      </c>
      <c r="J2" s="12">
        <v>1.7275192095420788E-2</v>
      </c>
      <c r="K2" s="12">
        <v>3.0581039755351682E-3</v>
      </c>
      <c r="L2" s="12">
        <v>7.0671378091872791E-3</v>
      </c>
      <c r="M2" s="12">
        <v>2.8169014084507043E-2</v>
      </c>
      <c r="N2" s="12">
        <v>1.7719568567026195E-2</v>
      </c>
      <c r="O2" s="12">
        <v>1.1661807580174927E-2</v>
      </c>
      <c r="P2" s="12">
        <v>2.2321428571428572E-2</v>
      </c>
    </row>
    <row r="3" spans="1:16" x14ac:dyDescent="0.3">
      <c r="A3" s="11" t="s">
        <v>32</v>
      </c>
      <c r="B3" s="12">
        <v>1.7660990430057977E-2</v>
      </c>
      <c r="C3" s="12">
        <v>2.9051987767584098E-2</v>
      </c>
      <c r="D3" s="12">
        <v>1.7667844522968199E-2</v>
      </c>
      <c r="E3" s="12">
        <v>2.8169014084507043E-2</v>
      </c>
      <c r="F3" s="12">
        <v>6.9337442218798152E-3</v>
      </c>
      <c r="G3" s="12">
        <v>1.3605442176870748E-2</v>
      </c>
      <c r="H3" s="12">
        <v>3.7946428571428568E-2</v>
      </c>
      <c r="I3" s="11">
        <v>3.4936182525478768E-2</v>
      </c>
      <c r="J3" s="11">
        <f>J2+B3</f>
        <v>3.4936182525478768E-2</v>
      </c>
      <c r="K3" s="11">
        <f t="shared" ref="K3:P16" si="0">K2+C3</f>
        <v>3.2110091743119268E-2</v>
      </c>
      <c r="L3" s="11">
        <f t="shared" si="0"/>
        <v>2.4734982332155479E-2</v>
      </c>
      <c r="M3" s="11">
        <f t="shared" si="0"/>
        <v>5.6338028169014086E-2</v>
      </c>
      <c r="N3" s="11">
        <f t="shared" si="0"/>
        <v>2.465331278890601E-2</v>
      </c>
      <c r="O3" s="11">
        <f t="shared" si="0"/>
        <v>2.5267249757045675E-2</v>
      </c>
      <c r="P3" s="11">
        <f t="shared" si="0"/>
        <v>6.0267857142857137E-2</v>
      </c>
    </row>
    <row r="4" spans="1:16" x14ac:dyDescent="0.3">
      <c r="A4" s="11" t="s">
        <v>34</v>
      </c>
      <c r="B4" s="12">
        <v>1.8161099382365445E-2</v>
      </c>
      <c r="C4" s="12">
        <v>2.5993883792048929E-2</v>
      </c>
      <c r="D4" s="12">
        <v>2.8268551236749116E-2</v>
      </c>
      <c r="E4" s="12">
        <v>4.2253521126760563E-2</v>
      </c>
      <c r="F4" s="12">
        <v>9.2449922958397542E-3</v>
      </c>
      <c r="G4" s="12">
        <v>1.5549076773566569E-2</v>
      </c>
      <c r="H4" s="12">
        <v>2.6785714285714284E-2</v>
      </c>
      <c r="I4" s="11">
        <v>5.3097281907844213E-2</v>
      </c>
      <c r="J4" s="11">
        <f t="shared" ref="J4:J16" si="1">J3+B4</f>
        <v>5.3097281907844213E-2</v>
      </c>
      <c r="K4" s="11">
        <f t="shared" si="0"/>
        <v>5.8103975535168197E-2</v>
      </c>
      <c r="L4" s="11">
        <f t="shared" si="0"/>
        <v>5.3003533568904596E-2</v>
      </c>
      <c r="M4" s="11">
        <f t="shared" si="0"/>
        <v>9.8591549295774655E-2</v>
      </c>
      <c r="N4" s="11">
        <f t="shared" si="0"/>
        <v>3.3898305084745763E-2</v>
      </c>
      <c r="O4" s="11">
        <f t="shared" si="0"/>
        <v>4.0816326530612242E-2</v>
      </c>
      <c r="P4" s="11">
        <f t="shared" si="0"/>
        <v>8.7053571428571425E-2</v>
      </c>
    </row>
    <row r="5" spans="1:16" x14ac:dyDescent="0.3">
      <c r="A5" s="11" t="s">
        <v>42</v>
      </c>
      <c r="B5" s="12">
        <v>2.1783317079792384E-2</v>
      </c>
      <c r="C5" s="12">
        <v>2.2935779816513763E-2</v>
      </c>
      <c r="D5" s="12">
        <v>1.4134275618374558E-2</v>
      </c>
      <c r="E5" s="12">
        <v>2.8169014084507043E-2</v>
      </c>
      <c r="F5" s="12">
        <v>2.3112480739599383E-2</v>
      </c>
      <c r="G5" s="12">
        <v>3.3041788143828958E-2</v>
      </c>
      <c r="H5" s="12">
        <v>2.2321428571428572E-2</v>
      </c>
      <c r="I5" s="11">
        <v>7.4880598987636604E-2</v>
      </c>
      <c r="J5" s="11">
        <f t="shared" si="1"/>
        <v>7.4880598987636604E-2</v>
      </c>
      <c r="K5" s="11">
        <f t="shared" si="0"/>
        <v>8.1039755351681952E-2</v>
      </c>
      <c r="L5" s="11">
        <f t="shared" si="0"/>
        <v>6.7137809187279157E-2</v>
      </c>
      <c r="M5" s="11">
        <f t="shared" si="0"/>
        <v>0.12676056338028169</v>
      </c>
      <c r="N5" s="11">
        <f t="shared" si="0"/>
        <v>5.7010785824345142E-2</v>
      </c>
      <c r="O5" s="11">
        <f t="shared" si="0"/>
        <v>7.38581146744412E-2</v>
      </c>
      <c r="P5" s="11">
        <f t="shared" si="0"/>
        <v>0.109375</v>
      </c>
    </row>
    <row r="6" spans="1:16" x14ac:dyDescent="0.3">
      <c r="A6" s="11" t="s">
        <v>37</v>
      </c>
      <c r="B6" s="12">
        <v>2.3451537656418005E-2</v>
      </c>
      <c r="C6" s="12">
        <v>3.9755351681957186E-2</v>
      </c>
      <c r="D6" s="12">
        <v>1.7667844522968199E-2</v>
      </c>
      <c r="E6" s="12">
        <v>3.2863849765258218E-2</v>
      </c>
      <c r="F6" s="12">
        <v>2.3882896764252697E-2</v>
      </c>
      <c r="G6" s="12">
        <v>3.2069970845481049E-2</v>
      </c>
      <c r="H6" s="12">
        <v>3.3482142857142856E-2</v>
      </c>
      <c r="I6" s="11">
        <v>9.8332136644054602E-2</v>
      </c>
      <c r="J6" s="11">
        <f t="shared" si="1"/>
        <v>9.8332136644054602E-2</v>
      </c>
      <c r="K6" s="11">
        <f t="shared" si="0"/>
        <v>0.12079510703363913</v>
      </c>
      <c r="L6" s="11">
        <f t="shared" si="0"/>
        <v>8.4805653710247356E-2</v>
      </c>
      <c r="M6" s="11">
        <f t="shared" si="0"/>
        <v>0.15962441314553991</v>
      </c>
      <c r="N6" s="11">
        <f t="shared" si="0"/>
        <v>8.0893682588597832E-2</v>
      </c>
      <c r="O6" s="11">
        <f t="shared" si="0"/>
        <v>0.10592808551992225</v>
      </c>
      <c r="P6" s="11">
        <f t="shared" si="0"/>
        <v>0.14285714285714285</v>
      </c>
    </row>
    <row r="7" spans="1:16" x14ac:dyDescent="0.3">
      <c r="A7" s="11" t="s">
        <v>41</v>
      </c>
      <c r="B7" s="12">
        <v>2.6766545568856073E-2</v>
      </c>
      <c r="C7" s="12">
        <v>1.0703363914373088E-2</v>
      </c>
      <c r="D7" s="12">
        <v>7.0671378091872791E-3</v>
      </c>
      <c r="E7" s="12">
        <v>9.3896713615023476E-3</v>
      </c>
      <c r="F7" s="12">
        <v>7.7041602465331279E-3</v>
      </c>
      <c r="G7" s="12">
        <v>2.9154518950437316E-2</v>
      </c>
      <c r="H7" s="12">
        <v>6.25E-2</v>
      </c>
      <c r="I7" s="11">
        <v>0.12509868221291068</v>
      </c>
      <c r="J7" s="11">
        <f t="shared" si="1"/>
        <v>0.12509868221291068</v>
      </c>
      <c r="K7" s="11">
        <f t="shared" si="0"/>
        <v>0.13149847094801223</v>
      </c>
      <c r="L7" s="11">
        <f t="shared" si="0"/>
        <v>9.187279151943463E-2</v>
      </c>
      <c r="M7" s="11">
        <f t="shared" si="0"/>
        <v>0.16901408450704225</v>
      </c>
      <c r="N7" s="11">
        <f t="shared" si="0"/>
        <v>8.859784283513096E-2</v>
      </c>
      <c r="O7" s="11">
        <f t="shared" si="0"/>
        <v>0.13508260447035958</v>
      </c>
      <c r="P7" s="11">
        <f t="shared" si="0"/>
        <v>0.20535714285714285</v>
      </c>
    </row>
    <row r="8" spans="1:16" x14ac:dyDescent="0.3">
      <c r="A8" s="11" t="s">
        <v>44</v>
      </c>
      <c r="B8" s="12">
        <v>3.3832370623600144E-2</v>
      </c>
      <c r="C8" s="12">
        <v>3.82262996941896E-2</v>
      </c>
      <c r="D8" s="12">
        <v>7.0671378091872791E-3</v>
      </c>
      <c r="E8" s="12">
        <v>1.8779342723004695E-2</v>
      </c>
      <c r="F8" s="12">
        <v>2.8505392912172575E-2</v>
      </c>
      <c r="G8" s="12">
        <v>3.9844509232264333E-2</v>
      </c>
      <c r="H8" s="12">
        <v>3.5714285714285712E-2</v>
      </c>
      <c r="I8" s="11">
        <v>0.15893105283651082</v>
      </c>
      <c r="J8" s="11">
        <f t="shared" si="1"/>
        <v>0.15893105283651082</v>
      </c>
      <c r="K8" s="11">
        <f t="shared" si="0"/>
        <v>0.16972477064220182</v>
      </c>
      <c r="L8" s="11">
        <f t="shared" si="0"/>
        <v>9.8939929328621903E-2</v>
      </c>
      <c r="M8" s="11">
        <f t="shared" si="0"/>
        <v>0.18779342723004694</v>
      </c>
      <c r="N8" s="11">
        <f t="shared" si="0"/>
        <v>0.11710323574730354</v>
      </c>
      <c r="O8" s="11">
        <f t="shared" si="0"/>
        <v>0.17492711370262393</v>
      </c>
      <c r="P8" s="11">
        <f t="shared" si="0"/>
        <v>0.24107142857142855</v>
      </c>
    </row>
    <row r="9" spans="1:16" x14ac:dyDescent="0.3">
      <c r="A9" s="11" t="s">
        <v>46</v>
      </c>
      <c r="B9" s="12">
        <v>3.4032414204523131E-2</v>
      </c>
      <c r="C9" s="12">
        <v>3.0581039755351681E-2</v>
      </c>
      <c r="D9" s="12">
        <v>1.4134275618374558E-2</v>
      </c>
      <c r="E9" s="12">
        <v>1.8779342723004695E-2</v>
      </c>
      <c r="F9" s="12">
        <v>1.5408320493066256E-2</v>
      </c>
      <c r="G9" s="12">
        <v>2.7210884353741496E-2</v>
      </c>
      <c r="H9" s="12">
        <v>2.6785714285714284E-2</v>
      </c>
      <c r="I9" s="11">
        <v>0.19296346704103395</v>
      </c>
      <c r="J9" s="11">
        <f t="shared" si="1"/>
        <v>0.19296346704103395</v>
      </c>
      <c r="K9" s="11">
        <f t="shared" si="0"/>
        <v>0.20030581039755349</v>
      </c>
      <c r="L9" s="11">
        <f t="shared" si="0"/>
        <v>0.11307420494699646</v>
      </c>
      <c r="M9" s="11">
        <f t="shared" si="0"/>
        <v>0.20657276995305163</v>
      </c>
      <c r="N9" s="11">
        <f t="shared" si="0"/>
        <v>0.13251155624036978</v>
      </c>
      <c r="O9" s="11">
        <f t="shared" si="0"/>
        <v>0.20213799805636543</v>
      </c>
      <c r="P9" s="11">
        <f t="shared" si="0"/>
        <v>0.26785714285714285</v>
      </c>
    </row>
    <row r="10" spans="1:16" x14ac:dyDescent="0.3">
      <c r="A10" s="11" t="s">
        <v>38</v>
      </c>
      <c r="B10" s="12">
        <v>4.0580269272948749E-2</v>
      </c>
      <c r="C10" s="12">
        <v>3.669724770642202E-2</v>
      </c>
      <c r="D10" s="12">
        <v>3.5335689045936395E-3</v>
      </c>
      <c r="E10" s="12">
        <v>2.3474178403755867E-2</v>
      </c>
      <c r="F10" s="12">
        <v>2.8505392912172575E-2</v>
      </c>
      <c r="G10" s="12">
        <v>2.5267249757045675E-2</v>
      </c>
      <c r="H10" s="12">
        <v>2.4553571428571428E-2</v>
      </c>
      <c r="I10" s="11">
        <v>0.2335437363139827</v>
      </c>
      <c r="J10" s="11">
        <f t="shared" si="1"/>
        <v>0.2335437363139827</v>
      </c>
      <c r="K10" s="11">
        <f t="shared" si="0"/>
        <v>0.23700305810397551</v>
      </c>
      <c r="L10" s="11">
        <f t="shared" si="0"/>
        <v>0.1166077738515901</v>
      </c>
      <c r="M10" s="11">
        <f t="shared" si="0"/>
        <v>0.2300469483568075</v>
      </c>
      <c r="N10" s="11">
        <f t="shared" si="0"/>
        <v>0.16101694915254236</v>
      </c>
      <c r="O10" s="11">
        <f t="shared" si="0"/>
        <v>0.22740524781341109</v>
      </c>
      <c r="P10" s="11">
        <f t="shared" si="0"/>
        <v>0.2924107142857143</v>
      </c>
    </row>
    <row r="11" spans="1:16" x14ac:dyDescent="0.3">
      <c r="A11" s="11" t="s">
        <v>39</v>
      </c>
      <c r="B11" s="12">
        <v>4.4177481522760319E-2</v>
      </c>
      <c r="C11" s="12">
        <v>0.10091743119266056</v>
      </c>
      <c r="D11" s="12">
        <v>2.4734982332155476E-2</v>
      </c>
      <c r="E11" s="12">
        <v>6.1032863849765258E-2</v>
      </c>
      <c r="F11" s="12">
        <v>3.3898305084745763E-2</v>
      </c>
      <c r="G11" s="12">
        <v>2.5267249757045675E-2</v>
      </c>
      <c r="H11" s="12">
        <v>3.5714285714285712E-2</v>
      </c>
      <c r="I11" s="11">
        <v>0.27772121783674303</v>
      </c>
      <c r="J11" s="11">
        <f t="shared" si="1"/>
        <v>0.27772121783674303</v>
      </c>
      <c r="K11" s="11">
        <f t="shared" si="0"/>
        <v>0.3379204892966361</v>
      </c>
      <c r="L11" s="11">
        <f t="shared" si="0"/>
        <v>0.14134275618374559</v>
      </c>
      <c r="M11" s="11">
        <f t="shared" si="0"/>
        <v>0.29107981220657275</v>
      </c>
      <c r="N11" s="11">
        <f t="shared" si="0"/>
        <v>0.19491525423728812</v>
      </c>
      <c r="O11" s="11">
        <f t="shared" si="0"/>
        <v>0.25267249757045679</v>
      </c>
      <c r="P11" s="11">
        <f t="shared" si="0"/>
        <v>0.328125</v>
      </c>
    </row>
    <row r="12" spans="1:16" x14ac:dyDescent="0.3">
      <c r="A12" s="11" t="s">
        <v>40</v>
      </c>
      <c r="B12" s="12">
        <v>7.3387416544318587E-2</v>
      </c>
      <c r="C12" s="12">
        <v>8.1039755351681952E-2</v>
      </c>
      <c r="D12" s="12">
        <v>8.4805653710247356E-2</v>
      </c>
      <c r="E12" s="12">
        <v>0.20657276995305165</v>
      </c>
      <c r="F12" s="12">
        <v>4.7765793528505393E-2</v>
      </c>
      <c r="G12" s="12">
        <v>4.6647230320699708E-2</v>
      </c>
      <c r="H12" s="12">
        <v>8.2589285714285712E-2</v>
      </c>
      <c r="I12" s="11">
        <v>0.3511086343810616</v>
      </c>
      <c r="J12" s="11">
        <f t="shared" si="1"/>
        <v>0.3511086343810616</v>
      </c>
      <c r="K12" s="11">
        <f t="shared" si="0"/>
        <v>0.41896024464831805</v>
      </c>
      <c r="L12" s="11">
        <f t="shared" si="0"/>
        <v>0.22614840989399293</v>
      </c>
      <c r="M12" s="11">
        <f t="shared" si="0"/>
        <v>0.49765258215962438</v>
      </c>
      <c r="N12" s="11">
        <f t="shared" si="0"/>
        <v>0.24268104776579352</v>
      </c>
      <c r="O12" s="11">
        <f t="shared" si="0"/>
        <v>0.29931972789115652</v>
      </c>
      <c r="P12" s="11">
        <f t="shared" si="0"/>
        <v>0.4107142857142857</v>
      </c>
    </row>
    <row r="13" spans="1:16" x14ac:dyDescent="0.3">
      <c r="A13" s="11" t="s">
        <v>33</v>
      </c>
      <c r="B13" s="12">
        <v>0.11289245156980628</v>
      </c>
      <c r="C13" s="12">
        <v>0.14525993883792049</v>
      </c>
      <c r="D13" s="12">
        <v>0.16254416961130741</v>
      </c>
      <c r="E13" s="12">
        <v>0.27230046948356806</v>
      </c>
      <c r="F13" s="12">
        <v>0.13713405238828968</v>
      </c>
      <c r="G13" s="12">
        <v>8.9407191448007781E-2</v>
      </c>
      <c r="H13" s="12">
        <v>8.4821428571428575E-2</v>
      </c>
      <c r="I13" s="11">
        <v>0.46400108595086786</v>
      </c>
      <c r="J13" s="11">
        <f t="shared" si="1"/>
        <v>0.46400108595086786</v>
      </c>
      <c r="K13" s="11">
        <f t="shared" si="0"/>
        <v>0.56422018348623859</v>
      </c>
      <c r="L13" s="11">
        <f t="shared" si="0"/>
        <v>0.38869257950530034</v>
      </c>
      <c r="M13" s="11">
        <f t="shared" si="0"/>
        <v>0.7699530516431925</v>
      </c>
      <c r="N13" s="11">
        <f t="shared" si="0"/>
        <v>0.37981510015408321</v>
      </c>
      <c r="O13" s="11">
        <f t="shared" si="0"/>
        <v>0.38872691933916431</v>
      </c>
      <c r="P13" s="11">
        <f t="shared" si="0"/>
        <v>0.4955357142857143</v>
      </c>
    </row>
    <row r="14" spans="1:16" x14ac:dyDescent="0.3">
      <c r="A14" s="11" t="s">
        <v>43</v>
      </c>
      <c r="B14" s="12">
        <v>0.13511157787946659</v>
      </c>
      <c r="C14" s="12">
        <v>0.2400611620795107</v>
      </c>
      <c r="D14" s="12">
        <v>0.40989399293286222</v>
      </c>
      <c r="E14" s="12">
        <v>9.3896713615023476E-3</v>
      </c>
      <c r="F14" s="12">
        <v>0.15639445300462249</v>
      </c>
      <c r="G14" s="12">
        <v>0.1360544217687075</v>
      </c>
      <c r="H14" s="12">
        <v>0.14955357142857142</v>
      </c>
      <c r="I14" s="11">
        <v>0.59911266383033446</v>
      </c>
      <c r="J14" s="11">
        <f t="shared" si="1"/>
        <v>0.59911266383033446</v>
      </c>
      <c r="K14" s="11">
        <f t="shared" si="0"/>
        <v>0.80428134556574926</v>
      </c>
      <c r="L14" s="11">
        <f t="shared" si="0"/>
        <v>0.79858657243816256</v>
      </c>
      <c r="M14" s="11">
        <f t="shared" si="0"/>
        <v>0.77934272300469487</v>
      </c>
      <c r="N14" s="11">
        <f t="shared" si="0"/>
        <v>0.53620955315870567</v>
      </c>
      <c r="O14" s="11">
        <f t="shared" si="0"/>
        <v>0.52478134110787178</v>
      </c>
      <c r="P14" s="11">
        <f t="shared" si="0"/>
        <v>0.6450892857142857</v>
      </c>
    </row>
    <row r="15" spans="1:16" x14ac:dyDescent="0.3">
      <c r="A15" s="11" t="s">
        <v>35</v>
      </c>
      <c r="B15" s="12">
        <v>0.14235244106751829</v>
      </c>
      <c r="C15" s="12">
        <v>8.5626911314984705E-2</v>
      </c>
      <c r="D15" s="12">
        <v>4.5936395759717315E-2</v>
      </c>
      <c r="E15" s="12">
        <v>8.4507042253521125E-2</v>
      </c>
      <c r="F15" s="12">
        <v>6.3944530046224968E-2</v>
      </c>
      <c r="G15" s="12">
        <v>6.6083576287657916E-2</v>
      </c>
      <c r="H15" s="12">
        <v>6.0267857142857144E-2</v>
      </c>
      <c r="I15" s="11">
        <v>0.74146510489785278</v>
      </c>
      <c r="J15" s="11">
        <f t="shared" si="1"/>
        <v>0.74146510489785278</v>
      </c>
      <c r="K15" s="11">
        <f t="shared" si="0"/>
        <v>0.88990825688073394</v>
      </c>
      <c r="L15" s="11">
        <f t="shared" si="0"/>
        <v>0.84452296819787986</v>
      </c>
      <c r="M15" s="11">
        <f t="shared" si="0"/>
        <v>0.863849765258216</v>
      </c>
      <c r="N15" s="11">
        <f t="shared" si="0"/>
        <v>0.60015408320493058</v>
      </c>
      <c r="O15" s="11">
        <f t="shared" si="0"/>
        <v>0.59086491739552971</v>
      </c>
      <c r="P15" s="11">
        <f t="shared" si="0"/>
        <v>0.70535714285714279</v>
      </c>
    </row>
    <row r="16" spans="1:16" x14ac:dyDescent="0.3">
      <c r="A16" s="11" t="s">
        <v>36</v>
      </c>
      <c r="B16" s="12">
        <v>0.25853489510214728</v>
      </c>
      <c r="C16" s="12">
        <v>0.11009174311926606</v>
      </c>
      <c r="D16" s="12">
        <v>0.15547703180212014</v>
      </c>
      <c r="E16" s="12">
        <v>0.13615023474178403</v>
      </c>
      <c r="F16" s="12">
        <v>0.39984591679506931</v>
      </c>
      <c r="G16" s="12">
        <v>0.40913508260447035</v>
      </c>
      <c r="H16" s="12">
        <v>0.29464285714285715</v>
      </c>
      <c r="I16" s="11">
        <v>1</v>
      </c>
      <c r="J16" s="11">
        <f t="shared" si="1"/>
        <v>1</v>
      </c>
      <c r="K16" s="11">
        <f t="shared" si="0"/>
        <v>1</v>
      </c>
      <c r="L16" s="11">
        <f t="shared" si="0"/>
        <v>1</v>
      </c>
      <c r="M16" s="11">
        <f t="shared" si="0"/>
        <v>1</v>
      </c>
      <c r="N16" s="11">
        <f t="shared" si="0"/>
        <v>0.99999999999999989</v>
      </c>
      <c r="O16" s="11">
        <f t="shared" si="0"/>
        <v>1</v>
      </c>
      <c r="P16" s="11">
        <f t="shared" si="0"/>
        <v>1</v>
      </c>
    </row>
    <row r="18" spans="2:16" ht="28.8" x14ac:dyDescent="0.3">
      <c r="B18" s="1" t="s">
        <v>86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J18" s="3"/>
      <c r="K18" s="13" t="s">
        <v>100</v>
      </c>
      <c r="L18" s="13" t="s">
        <v>101</v>
      </c>
      <c r="M18" s="13" t="s">
        <v>102</v>
      </c>
      <c r="N18" s="13" t="s">
        <v>103</v>
      </c>
      <c r="O18" s="13" t="s">
        <v>104</v>
      </c>
      <c r="P18" s="13" t="s">
        <v>105</v>
      </c>
    </row>
    <row r="19" spans="2:16" x14ac:dyDescent="0.3">
      <c r="B19" s="11" t="s">
        <v>45</v>
      </c>
      <c r="C19" s="11">
        <f>C2-B2</f>
        <v>-1.421708811988562E-2</v>
      </c>
      <c r="D19" s="11">
        <f>D2-B2</f>
        <v>-1.0208054286233509E-2</v>
      </c>
      <c r="E19" s="11">
        <f>E2-B2</f>
        <v>1.0893821989086255E-2</v>
      </c>
      <c r="F19" s="11">
        <f>F2-B2</f>
        <v>4.443764716054073E-4</v>
      </c>
      <c r="G19" s="11">
        <f>G2-B2</f>
        <v>-5.6133845152458606E-3</v>
      </c>
      <c r="H19" s="11">
        <f>H2-B2</f>
        <v>5.0462364760077844E-3</v>
      </c>
      <c r="J19" s="11" t="s">
        <v>45</v>
      </c>
      <c r="K19" s="3">
        <f>(J2-0) * ((K2+0))</f>
        <v>5.2829333625140025E-5</v>
      </c>
      <c r="L19" s="3">
        <f>(J2-0) * ((L2+0))</f>
        <v>1.2208616321852147E-4</v>
      </c>
      <c r="M19" s="3">
        <f>(J2-0) * ((M2+0))</f>
        <v>4.8662512944847291E-4</v>
      </c>
      <c r="N19" s="3">
        <f>(J2-0) * ((N2+0))</f>
        <v>3.0610895084335759E-4</v>
      </c>
      <c r="O19" s="3">
        <f>(J2-0) * ((O2+0))</f>
        <v>2.0145996612735612E-4</v>
      </c>
      <c r="P19" s="3">
        <f>(J2-0) * ((P2+0))</f>
        <v>3.8560696641564259E-4</v>
      </c>
    </row>
    <row r="20" spans="2:16" x14ac:dyDescent="0.3">
      <c r="B20" s="11" t="s">
        <v>32</v>
      </c>
      <c r="C20" s="11">
        <f t="shared" ref="C20:C33" si="2">C3-B3</f>
        <v>1.1390997337526122E-2</v>
      </c>
      <c r="D20" s="11">
        <f t="shared" ref="D20:D33" si="3">D3-B3</f>
        <v>6.8540929102217651E-6</v>
      </c>
      <c r="E20" s="11">
        <f t="shared" ref="E20:E33" si="4">E3-B3</f>
        <v>1.0508023654449066E-2</v>
      </c>
      <c r="F20" s="11">
        <f t="shared" ref="F20:F33" si="5">F3-B3</f>
        <v>-1.0727246208178162E-2</v>
      </c>
      <c r="G20" s="11">
        <f t="shared" ref="G20:G33" si="6">G3-B3</f>
        <v>-4.055548253187229E-3</v>
      </c>
      <c r="H20" s="11">
        <f t="shared" ref="H20:H33" si="7">H3-B3</f>
        <v>2.0285438141370592E-2</v>
      </c>
      <c r="J20" s="11" t="s">
        <v>32</v>
      </c>
      <c r="K20" s="3">
        <f>(J3-J2) * ((K3+K2))</f>
        <v>6.21105168029562E-4</v>
      </c>
      <c r="L20" s="3">
        <f>(J3-J2) * ((L3+L2))</f>
        <v>5.6165693947180862E-4</v>
      </c>
      <c r="M20" s="3">
        <f>(J3-J2) * ((M3+M2))</f>
        <v>1.492478064511942E-3</v>
      </c>
      <c r="N20" s="3">
        <f>(J3-J2) * ((N3+N2))</f>
        <v>7.4834705212110085E-4</v>
      </c>
      <c r="O20" s="3">
        <f>(J3-J2) * ((O3+O2))</f>
        <v>6.5220372822371545E-4</v>
      </c>
      <c r="P20" s="3">
        <f>(J3-J2) * ((P3+P2))</f>
        <v>1.4586085846253242E-3</v>
      </c>
    </row>
    <row r="21" spans="2:16" x14ac:dyDescent="0.3">
      <c r="B21" s="11" t="s">
        <v>34</v>
      </c>
      <c r="C21" s="11">
        <f t="shared" si="2"/>
        <v>7.8327844096834839E-3</v>
      </c>
      <c r="D21" s="11">
        <f t="shared" si="3"/>
        <v>1.0107451854383671E-2</v>
      </c>
      <c r="E21" s="11">
        <f t="shared" si="4"/>
        <v>2.4092421744395118E-2</v>
      </c>
      <c r="F21" s="11">
        <f t="shared" si="5"/>
        <v>-8.9161070865256906E-3</v>
      </c>
      <c r="G21" s="11">
        <f t="shared" si="6"/>
        <v>-2.6120226087988762E-3</v>
      </c>
      <c r="H21" s="11">
        <f t="shared" si="7"/>
        <v>8.6246149033488394E-3</v>
      </c>
      <c r="J21" s="11" t="s">
        <v>34</v>
      </c>
      <c r="K21" s="3">
        <f t="shared" ref="K21:K33" si="8">(J4-J3) * ((K4+K3))</f>
        <v>1.6383866415283811E-3</v>
      </c>
      <c r="L21" s="3">
        <f t="shared" ref="L21:L33" si="9">(J4-J3) * ((L4+L3))</f>
        <v>1.4118169131167482E-3</v>
      </c>
      <c r="M21" s="3">
        <f t="shared" ref="M21:M33" si="10">(J4-J3) * ((M4+M3))</f>
        <v>2.8136914536059142E-3</v>
      </c>
      <c r="N21" s="3">
        <f t="shared" ref="N21:N33" si="11">(J4-J3) * ((N4+N3))</f>
        <v>1.0633617512016747E-3</v>
      </c>
      <c r="O21" s="3">
        <f t="shared" ref="O21:O33" si="12">(J4-J3) * ((O4+O3))</f>
        <v>1.200150396502284E-3</v>
      </c>
      <c r="P21" s="3">
        <f t="shared" ref="P21:P33" si="13">(J4-J3) * ((P4+P3))</f>
        <v>2.6755191054377661E-3</v>
      </c>
    </row>
    <row r="22" spans="2:16" x14ac:dyDescent="0.3">
      <c r="B22" s="11" t="s">
        <v>42</v>
      </c>
      <c r="C22" s="11">
        <f t="shared" si="2"/>
        <v>1.1524627367213783E-3</v>
      </c>
      <c r="D22" s="11">
        <f t="shared" si="3"/>
        <v>-7.6490414614178263E-3</v>
      </c>
      <c r="E22" s="11">
        <f t="shared" si="4"/>
        <v>6.3856970047146584E-3</v>
      </c>
      <c r="F22" s="11">
        <f t="shared" si="5"/>
        <v>1.3291636598069985E-3</v>
      </c>
      <c r="G22" s="11">
        <f t="shared" si="6"/>
        <v>1.1258471064036574E-2</v>
      </c>
      <c r="H22" s="11">
        <f t="shared" si="7"/>
        <v>5.3811149163618746E-4</v>
      </c>
      <c r="J22" s="11" t="s">
        <v>42</v>
      </c>
      <c r="K22" s="3">
        <f t="shared" si="8"/>
        <v>3.031012009573559E-3</v>
      </c>
      <c r="L22" s="3">
        <f t="shared" si="9"/>
        <v>2.6170769636499696E-3</v>
      </c>
      <c r="M22" s="3">
        <f t="shared" si="10"/>
        <v>4.9089165250236376E-3</v>
      </c>
      <c r="N22" s="3">
        <f t="shared" si="11"/>
        <v>1.9803015527083993E-3</v>
      </c>
      <c r="O22" s="3">
        <f t="shared" si="12"/>
        <v>2.4979897137176891E-3</v>
      </c>
      <c r="P22" s="3">
        <f t="shared" si="13"/>
        <v>4.2788658549592195E-3</v>
      </c>
    </row>
    <row r="23" spans="2:16" x14ac:dyDescent="0.3">
      <c r="B23" s="11" t="s">
        <v>37</v>
      </c>
      <c r="C23" s="11">
        <f t="shared" si="2"/>
        <v>1.6303814025539182E-2</v>
      </c>
      <c r="D23" s="11">
        <f t="shared" si="3"/>
        <v>-5.7836931334498062E-3</v>
      </c>
      <c r="E23" s="11">
        <f t="shared" si="4"/>
        <v>9.4123121088402137E-3</v>
      </c>
      <c r="F23" s="11">
        <f t="shared" si="5"/>
        <v>4.3135910783469178E-4</v>
      </c>
      <c r="G23" s="11">
        <f t="shared" si="6"/>
        <v>8.6184331890630447E-3</v>
      </c>
      <c r="H23" s="11">
        <f t="shared" si="7"/>
        <v>1.0030605200724851E-2</v>
      </c>
      <c r="J23" s="11" t="s">
        <v>37</v>
      </c>
      <c r="K23" s="3">
        <f t="shared" si="8"/>
        <v>4.7333378756073017E-3</v>
      </c>
      <c r="L23" s="3">
        <f t="shared" si="9"/>
        <v>3.5633078417878941E-3</v>
      </c>
      <c r="M23" s="3">
        <f t="shared" si="10"/>
        <v>6.7161680612276902E-3</v>
      </c>
      <c r="N23" s="3">
        <f t="shared" si="11"/>
        <v>3.2340718339744379E-3</v>
      </c>
      <c r="O23" s="3">
        <f t="shared" si="12"/>
        <v>4.2162628439624192E-3</v>
      </c>
      <c r="P23" s="3">
        <f t="shared" si="13"/>
        <v>5.9152315963732893E-3</v>
      </c>
    </row>
    <row r="24" spans="2:16" x14ac:dyDescent="0.3">
      <c r="B24" s="11" t="s">
        <v>41</v>
      </c>
      <c r="C24" s="11">
        <f t="shared" si="2"/>
        <v>-1.6063181654482984E-2</v>
      </c>
      <c r="D24" s="11">
        <f t="shared" si="3"/>
        <v>-1.9699407759668795E-2</v>
      </c>
      <c r="E24" s="11">
        <f t="shared" si="4"/>
        <v>-1.7376874207353725E-2</v>
      </c>
      <c r="F24" s="11">
        <f t="shared" si="5"/>
        <v>-1.9062385322322944E-2</v>
      </c>
      <c r="G24" s="11">
        <f t="shared" si="6"/>
        <v>2.3879733815812439E-3</v>
      </c>
      <c r="H24" s="11">
        <f t="shared" si="7"/>
        <v>3.5733454431143924E-2</v>
      </c>
      <c r="J24" s="11" t="s">
        <v>41</v>
      </c>
      <c r="K24" s="3">
        <f t="shared" si="8"/>
        <v>6.7530275517756148E-3</v>
      </c>
      <c r="L24" s="3">
        <f t="shared" si="9"/>
        <v>4.7290716552749251E-3</v>
      </c>
      <c r="M24" s="3">
        <f t="shared" si="10"/>
        <v>8.7965173230982394E-3</v>
      </c>
      <c r="N24" s="3">
        <f t="shared" si="11"/>
        <v>4.5367026387891649E-3</v>
      </c>
      <c r="O24" s="3">
        <f t="shared" si="12"/>
        <v>6.4510236162063231E-3</v>
      </c>
      <c r="P24" s="3">
        <f t="shared" si="13"/>
        <v>9.3204935462980979E-3</v>
      </c>
    </row>
    <row r="25" spans="2:16" x14ac:dyDescent="0.3">
      <c r="B25" s="11" t="s">
        <v>44</v>
      </c>
      <c r="C25" s="11">
        <f t="shared" si="2"/>
        <v>4.3939290705894557E-3</v>
      </c>
      <c r="D25" s="11">
        <f t="shared" si="3"/>
        <v>-2.6765232814412863E-2</v>
      </c>
      <c r="E25" s="11">
        <f t="shared" si="4"/>
        <v>-1.5053027900595449E-2</v>
      </c>
      <c r="F25" s="11">
        <f t="shared" si="5"/>
        <v>-5.3269777114275697E-3</v>
      </c>
      <c r="G25" s="11">
        <f t="shared" si="6"/>
        <v>6.0121386086641887E-3</v>
      </c>
      <c r="H25" s="11">
        <f t="shared" si="7"/>
        <v>1.8819150906855681E-3</v>
      </c>
      <c r="J25" s="11" t="s">
        <v>44</v>
      </c>
      <c r="K25" s="3">
        <f t="shared" si="8"/>
        <v>1.0191096349922367E-2</v>
      </c>
      <c r="L25" s="3">
        <f t="shared" si="9"/>
        <v>6.4556466914290024E-3</v>
      </c>
      <c r="M25" s="3">
        <f t="shared" si="10"/>
        <v>1.207164397837376E-2</v>
      </c>
      <c r="N25" s="3">
        <f t="shared" si="11"/>
        <v>6.9593551282752216E-3</v>
      </c>
      <c r="O25" s="3">
        <f t="shared" si="12"/>
        <v>1.0488363682146206E-2</v>
      </c>
      <c r="P25" s="3">
        <f t="shared" si="13"/>
        <v>1.5103736885535778E-2</v>
      </c>
    </row>
    <row r="26" spans="2:16" x14ac:dyDescent="0.3">
      <c r="B26" s="11" t="s">
        <v>46</v>
      </c>
      <c r="C26" s="11">
        <f t="shared" si="2"/>
        <v>-3.4513744491714501E-3</v>
      </c>
      <c r="D26" s="11">
        <f t="shared" si="3"/>
        <v>-1.9898138586148573E-2</v>
      </c>
      <c r="E26" s="11">
        <f t="shared" si="4"/>
        <v>-1.5253071481518436E-2</v>
      </c>
      <c r="F26" s="11">
        <f t="shared" si="5"/>
        <v>-1.8624093711456874E-2</v>
      </c>
      <c r="G26" s="11">
        <f t="shared" si="6"/>
        <v>-6.8215298507816359E-3</v>
      </c>
      <c r="H26" s="11">
        <f t="shared" si="7"/>
        <v>-7.2466999188088473E-3</v>
      </c>
      <c r="J26" s="11" t="s">
        <v>46</v>
      </c>
      <c r="K26" s="3">
        <f t="shared" si="8"/>
        <v>1.2593034002285316E-2</v>
      </c>
      <c r="L26" s="3">
        <f t="shared" si="9"/>
        <v>7.2153528348812297E-3</v>
      </c>
      <c r="M26" s="3">
        <f t="shared" si="10"/>
        <v>1.3421233770797854E-2</v>
      </c>
      <c r="N26" s="3">
        <f t="shared" si="11"/>
        <v>8.4949939925003815E-3</v>
      </c>
      <c r="O26" s="3">
        <f t="shared" si="12"/>
        <v>1.2832436065456733E-2</v>
      </c>
      <c r="P26" s="3">
        <f t="shared" si="13"/>
        <v>1.7320067943373377E-2</v>
      </c>
    </row>
    <row r="27" spans="2:16" x14ac:dyDescent="0.3">
      <c r="B27" s="11" t="s">
        <v>38</v>
      </c>
      <c r="C27" s="11">
        <f t="shared" si="2"/>
        <v>-3.8830215665267287E-3</v>
      </c>
      <c r="D27" s="11">
        <f t="shared" si="3"/>
        <v>-3.7046700368355112E-2</v>
      </c>
      <c r="E27" s="11">
        <f t="shared" si="4"/>
        <v>-1.7106090869192882E-2</v>
      </c>
      <c r="F27" s="11">
        <f t="shared" si="5"/>
        <v>-1.2074876360776175E-2</v>
      </c>
      <c r="G27" s="11">
        <f t="shared" si="6"/>
        <v>-1.5313019515903074E-2</v>
      </c>
      <c r="H27" s="11">
        <f t="shared" si="7"/>
        <v>-1.6026697844377321E-2</v>
      </c>
      <c r="J27" s="11" t="s">
        <v>38</v>
      </c>
      <c r="K27" s="3">
        <f t="shared" si="8"/>
        <v>1.7746111639240583E-2</v>
      </c>
      <c r="L27" s="3">
        <f t="shared" si="9"/>
        <v>9.320556546790348E-3</v>
      </c>
      <c r="M27" s="3">
        <f t="shared" si="10"/>
        <v>1.7718145738893114E-2</v>
      </c>
      <c r="N27" s="3">
        <f t="shared" si="11"/>
        <v>1.1911465788130564E-2</v>
      </c>
      <c r="O27" s="3">
        <f t="shared" si="12"/>
        <v>1.7430980581771963E-2</v>
      </c>
      <c r="P27" s="3">
        <f t="shared" si="13"/>
        <v>2.2735820507835128E-2</v>
      </c>
    </row>
    <row r="28" spans="2:16" x14ac:dyDescent="0.3">
      <c r="B28" s="11" t="s">
        <v>39</v>
      </c>
      <c r="C28" s="11">
        <f t="shared" si="2"/>
        <v>5.6739949669900237E-2</v>
      </c>
      <c r="D28" s="11">
        <f t="shared" si="3"/>
        <v>-1.9442499190604843E-2</v>
      </c>
      <c r="E28" s="11">
        <f t="shared" si="4"/>
        <v>1.6855382327004939E-2</v>
      </c>
      <c r="F28" s="11">
        <f t="shared" si="5"/>
        <v>-1.0279176438014556E-2</v>
      </c>
      <c r="G28" s="11">
        <f t="shared" si="6"/>
        <v>-1.8910231765714644E-2</v>
      </c>
      <c r="H28" s="11">
        <f t="shared" si="7"/>
        <v>-8.4631958084746065E-3</v>
      </c>
      <c r="J28" s="11" t="s">
        <v>39</v>
      </c>
      <c r="K28" s="3">
        <f t="shared" si="8"/>
        <v>2.5398674392290339E-2</v>
      </c>
      <c r="L28" s="3">
        <f t="shared" si="9"/>
        <v>1.1395604774422275E-2</v>
      </c>
      <c r="M28" s="3">
        <f t="shared" si="10"/>
        <v>2.3022067835804676E-2</v>
      </c>
      <c r="N28" s="3">
        <f t="shared" si="11"/>
        <v>1.5724188338609606E-2</v>
      </c>
      <c r="O28" s="3">
        <f t="shared" si="12"/>
        <v>2.120862572618426E-2</v>
      </c>
      <c r="P28" s="3">
        <f t="shared" si="13"/>
        <v>2.7413705052070025E-2</v>
      </c>
    </row>
    <row r="29" spans="2:16" x14ac:dyDescent="0.3">
      <c r="B29" s="11" t="s">
        <v>40</v>
      </c>
      <c r="C29" s="11">
        <f t="shared" si="2"/>
        <v>7.6523388073633652E-3</v>
      </c>
      <c r="D29" s="11">
        <f t="shared" si="3"/>
        <v>1.1418237165928768E-2</v>
      </c>
      <c r="E29" s="11">
        <f t="shared" si="4"/>
        <v>0.13318535340873305</v>
      </c>
      <c r="F29" s="11">
        <f t="shared" si="5"/>
        <v>-2.5621623015813194E-2</v>
      </c>
      <c r="G29" s="11">
        <f t="shared" si="6"/>
        <v>-2.6740186223618879E-2</v>
      </c>
      <c r="H29" s="11">
        <f t="shared" si="7"/>
        <v>9.2018691699671251E-3</v>
      </c>
      <c r="J29" s="11" t="s">
        <v>40</v>
      </c>
      <c r="K29" s="3">
        <f t="shared" si="8"/>
        <v>5.5545521696387913E-2</v>
      </c>
      <c r="L29" s="3">
        <f t="shared" si="9"/>
        <v>2.6969227281304353E-2</v>
      </c>
      <c r="M29" s="3">
        <f t="shared" si="10"/>
        <v>5.7883032767349858E-2</v>
      </c>
      <c r="N29" s="3">
        <f t="shared" si="11"/>
        <v>3.2114062093353581E-2</v>
      </c>
      <c r="O29" s="3">
        <f t="shared" si="12"/>
        <v>4.0509283379176829E-2</v>
      </c>
      <c r="P29" s="3">
        <f t="shared" si="13"/>
        <v>5.422150642002109E-2</v>
      </c>
    </row>
    <row r="30" spans="2:16" x14ac:dyDescent="0.3">
      <c r="B30" s="11" t="s">
        <v>33</v>
      </c>
      <c r="C30" s="11">
        <f t="shared" si="2"/>
        <v>3.2367487268114212E-2</v>
      </c>
      <c r="D30" s="11">
        <f t="shared" si="3"/>
        <v>4.9651718041501133E-2</v>
      </c>
      <c r="E30" s="11">
        <f t="shared" si="4"/>
        <v>0.1594080179137618</v>
      </c>
      <c r="F30" s="11">
        <f t="shared" si="5"/>
        <v>2.4241600818483408E-2</v>
      </c>
      <c r="G30" s="11">
        <f t="shared" si="6"/>
        <v>-2.3485260121798496E-2</v>
      </c>
      <c r="H30" s="11">
        <f t="shared" si="7"/>
        <v>-2.8071022998377701E-2</v>
      </c>
      <c r="J30" s="11" t="s">
        <v>33</v>
      </c>
      <c r="K30" s="3">
        <f t="shared" si="8"/>
        <v>0.11099364886756183</v>
      </c>
      <c r="L30" s="3">
        <f t="shared" si="9"/>
        <v>6.9410906618891474E-2</v>
      </c>
      <c r="M30" s="3">
        <f t="shared" si="10"/>
        <v>0.1431031076236981</v>
      </c>
      <c r="N30" s="3">
        <f t="shared" si="11"/>
        <v>7.0275116231435633E-2</v>
      </c>
      <c r="O30" s="3">
        <f t="shared" si="12"/>
        <v>7.7675272800216563E-2</v>
      </c>
      <c r="P30" s="3">
        <f t="shared" si="13"/>
        <v>0.10230878423513692</v>
      </c>
    </row>
    <row r="31" spans="2:16" x14ac:dyDescent="0.3">
      <c r="B31" s="11" t="s">
        <v>43</v>
      </c>
      <c r="C31" s="11">
        <f t="shared" si="2"/>
        <v>0.1049495842000441</v>
      </c>
      <c r="D31" s="11">
        <f t="shared" si="3"/>
        <v>0.27478241505339562</v>
      </c>
      <c r="E31" s="11">
        <f t="shared" si="4"/>
        <v>-0.12572190651796425</v>
      </c>
      <c r="F31" s="11">
        <f t="shared" si="5"/>
        <v>2.1282875125155892E-2</v>
      </c>
      <c r="G31" s="11">
        <f t="shared" si="6"/>
        <v>9.428438892409019E-4</v>
      </c>
      <c r="H31" s="11">
        <f t="shared" si="7"/>
        <v>1.4441993549104831E-2</v>
      </c>
      <c r="J31" s="11" t="s">
        <v>43</v>
      </c>
      <c r="K31" s="3">
        <f t="shared" si="8"/>
        <v>0.18490040092067675</v>
      </c>
      <c r="L31" s="3">
        <f t="shared" si="9"/>
        <v>0.16041515960247624</v>
      </c>
      <c r="M31" s="3">
        <f t="shared" si="10"/>
        <v>0.20932779671466659</v>
      </c>
      <c r="N31" s="3">
        <f t="shared" si="11"/>
        <v>0.12376553628558226</v>
      </c>
      <c r="O31" s="3">
        <f t="shared" si="12"/>
        <v>0.12342554247492578</v>
      </c>
      <c r="P31" s="3">
        <f t="shared" si="13"/>
        <v>0.15411164351876658</v>
      </c>
    </row>
    <row r="32" spans="2:16" x14ac:dyDescent="0.3">
      <c r="B32" s="11" t="s">
        <v>35</v>
      </c>
      <c r="C32" s="11">
        <f t="shared" si="2"/>
        <v>-5.6725529752533588E-2</v>
      </c>
      <c r="D32" s="11">
        <f t="shared" si="3"/>
        <v>-9.6416045307800985E-2</v>
      </c>
      <c r="E32" s="11">
        <f t="shared" si="4"/>
        <v>-5.7845398813997168E-2</v>
      </c>
      <c r="F32" s="11">
        <f t="shared" si="5"/>
        <v>-7.8407911021293325E-2</v>
      </c>
      <c r="G32" s="11">
        <f t="shared" si="6"/>
        <v>-7.6268864779860376E-2</v>
      </c>
      <c r="H32" s="11">
        <f t="shared" si="7"/>
        <v>-8.2084583924661142E-2</v>
      </c>
      <c r="J32" s="11" t="s">
        <v>35</v>
      </c>
      <c r="K32" s="3">
        <f t="shared" si="8"/>
        <v>0.24117202553946526</v>
      </c>
      <c r="L32" s="3">
        <f t="shared" si="9"/>
        <v>0.23390065405086935</v>
      </c>
      <c r="M32" s="3">
        <f t="shared" si="10"/>
        <v>0.23391246184803482</v>
      </c>
      <c r="N32" s="3">
        <f t="shared" si="11"/>
        <v>0.16176413757672534</v>
      </c>
      <c r="O32" s="3">
        <f t="shared" si="12"/>
        <v>0.15881496826580277</v>
      </c>
      <c r="P32" s="3">
        <f t="shared" si="13"/>
        <v>0.19223934563805484</v>
      </c>
    </row>
    <row r="33" spans="2:16" x14ac:dyDescent="0.3">
      <c r="B33" s="11" t="s">
        <v>36</v>
      </c>
      <c r="C33" s="11">
        <f t="shared" si="2"/>
        <v>-0.14844315198288122</v>
      </c>
      <c r="D33" s="11">
        <f t="shared" si="3"/>
        <v>-0.10305786330002714</v>
      </c>
      <c r="E33" s="11">
        <f t="shared" si="4"/>
        <v>-0.12238466036036325</v>
      </c>
      <c r="F33" s="11">
        <f t="shared" si="5"/>
        <v>0.14131102169292203</v>
      </c>
      <c r="G33" s="11">
        <f t="shared" si="6"/>
        <v>0.15060018750232307</v>
      </c>
      <c r="H33" s="11">
        <f t="shared" si="7"/>
        <v>3.6107962040709873E-2</v>
      </c>
      <c r="J33" s="11" t="s">
        <v>36</v>
      </c>
      <c r="K33" s="3">
        <f t="shared" si="8"/>
        <v>0.48860723294534247</v>
      </c>
      <c r="L33" s="3">
        <f t="shared" si="9"/>
        <v>0.47687355209654009</v>
      </c>
      <c r="M33" s="3">
        <f t="shared" si="10"/>
        <v>0.48187020354719462</v>
      </c>
      <c r="N33" s="3">
        <f t="shared" si="11"/>
        <v>0.4136956680486592</v>
      </c>
      <c r="O33" s="3">
        <f t="shared" si="12"/>
        <v>0.41129409454053933</v>
      </c>
      <c r="P33" s="3">
        <f t="shared" si="13"/>
        <v>0.4408943300402689</v>
      </c>
    </row>
    <row r="34" spans="2:16" x14ac:dyDescent="0.3">
      <c r="J34" s="14" t="s">
        <v>106</v>
      </c>
      <c r="K34" s="13">
        <f>SUM(K19:K33)</f>
        <v>1.1639774449333125</v>
      </c>
      <c r="L34" s="13">
        <f t="shared" ref="L34:P34" si="14">SUM(L19:L33)</f>
        <v>1.0149616769741243</v>
      </c>
      <c r="M34" s="13">
        <f t="shared" si="14"/>
        <v>1.2175440903817294</v>
      </c>
      <c r="N34" s="13">
        <f t="shared" si="14"/>
        <v>0.85657341726290992</v>
      </c>
      <c r="O34" s="13">
        <f t="shared" si="14"/>
        <v>0.88889865778096022</v>
      </c>
      <c r="P34" s="13">
        <f t="shared" si="14"/>
        <v>1.0503832658951722</v>
      </c>
    </row>
    <row r="35" spans="2:16" x14ac:dyDescent="0.3">
      <c r="J35" s="15" t="s">
        <v>107</v>
      </c>
      <c r="K35" s="16">
        <f>1-K34</f>
        <v>-0.16397744493331246</v>
      </c>
      <c r="L35" s="16">
        <f t="shared" ref="L35:P35" si="15">1-L34</f>
        <v>-1.4961676974124316E-2</v>
      </c>
      <c r="M35" s="16">
        <f t="shared" si="15"/>
        <v>-0.21754409038172939</v>
      </c>
      <c r="N35" s="16">
        <f t="shared" si="15"/>
        <v>0.14342658273709008</v>
      </c>
      <c r="O35" s="16">
        <f t="shared" si="15"/>
        <v>0.11110134221903978</v>
      </c>
      <c r="P35" s="16">
        <f t="shared" si="15"/>
        <v>-5.0383265895172169E-2</v>
      </c>
    </row>
  </sheetData>
  <sortState xmlns:xlrd2="http://schemas.microsoft.com/office/spreadsheetml/2017/richdata2" ref="A2:P17">
    <sortCondition ref="B1:B17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CF9-85B0-4C19-8A0B-4D4113371121}">
  <dimension ref="A1:P15"/>
  <sheetViews>
    <sheetView workbookViewId="0">
      <selection activeCell="N1" activeCellId="1" sqref="I1:J6 N1:P6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3" t="s">
        <v>49</v>
      </c>
      <c r="B2" s="12">
        <v>6.5687724128554184E-2</v>
      </c>
      <c r="C2" s="12">
        <v>0.11801242236024845</v>
      </c>
      <c r="D2" s="12">
        <v>0.14893617021276595</v>
      </c>
      <c r="E2" s="12">
        <v>6.6326530612244902E-2</v>
      </c>
      <c r="F2" s="12">
        <v>8.990825688073395E-2</v>
      </c>
      <c r="G2" s="12">
        <v>4.6908315565031986E-2</v>
      </c>
      <c r="H2" s="12">
        <v>4.2145593869731802E-2</v>
      </c>
      <c r="I2" s="11">
        <v>6.5687724128554184E-2</v>
      </c>
      <c r="J2" s="12">
        <v>6.5687724128554184E-2</v>
      </c>
      <c r="K2" s="12">
        <v>0.11801242236024845</v>
      </c>
      <c r="L2" s="12">
        <v>0.14893617021276595</v>
      </c>
      <c r="M2" s="12">
        <v>6.6326530612244902E-2</v>
      </c>
      <c r="N2" s="12">
        <v>8.990825688073395E-2</v>
      </c>
      <c r="O2" s="12">
        <v>4.6908315565031986E-2</v>
      </c>
      <c r="P2" s="12">
        <v>4.2145593869731802E-2</v>
      </c>
    </row>
    <row r="3" spans="1:16" x14ac:dyDescent="0.3">
      <c r="A3" s="3" t="s">
        <v>48</v>
      </c>
      <c r="B3" s="12">
        <v>9.7741294039667567E-2</v>
      </c>
      <c r="C3" s="12">
        <v>0.21739130434782608</v>
      </c>
      <c r="D3" s="12">
        <v>0.1702127659574468</v>
      </c>
      <c r="E3" s="12">
        <v>9.1836734693877556E-2</v>
      </c>
      <c r="F3" s="12">
        <v>7.5229357798165142E-2</v>
      </c>
      <c r="G3" s="12">
        <v>8.5287846481876331E-2</v>
      </c>
      <c r="H3" s="12">
        <v>9.9616858237547887E-2</v>
      </c>
      <c r="I3" s="11">
        <v>0.16342901816822175</v>
      </c>
      <c r="J3" s="11">
        <f t="shared" ref="J3:P6" si="0">J2+B3</f>
        <v>0.16342901816822175</v>
      </c>
      <c r="K3" s="11">
        <f t="shared" si="0"/>
        <v>0.3354037267080745</v>
      </c>
      <c r="L3" s="11">
        <f t="shared" si="0"/>
        <v>0.31914893617021278</v>
      </c>
      <c r="M3" s="11">
        <f t="shared" si="0"/>
        <v>0.15816326530612246</v>
      </c>
      <c r="N3" s="11">
        <f t="shared" si="0"/>
        <v>0.16513761467889909</v>
      </c>
      <c r="O3" s="11">
        <f t="shared" si="0"/>
        <v>0.13219616204690832</v>
      </c>
      <c r="P3" s="11">
        <f t="shared" si="0"/>
        <v>0.1417624521072797</v>
      </c>
    </row>
    <row r="4" spans="1:16" x14ac:dyDescent="0.3">
      <c r="A4" s="3" t="s">
        <v>51</v>
      </c>
      <c r="B4" s="12">
        <v>0.1046329815258587</v>
      </c>
      <c r="C4" s="12">
        <v>8.0745341614906832E-2</v>
      </c>
      <c r="D4" s="12">
        <v>4.2553191489361701E-2</v>
      </c>
      <c r="E4" s="12">
        <v>0.1326530612244898</v>
      </c>
      <c r="F4" s="12">
        <v>0.10091743119266056</v>
      </c>
      <c r="G4" s="12">
        <v>0.11727078891257996</v>
      </c>
      <c r="H4" s="12">
        <v>9.1954022988505746E-2</v>
      </c>
      <c r="I4" s="11">
        <v>0.26806199969408046</v>
      </c>
      <c r="J4" s="11">
        <f t="shared" si="0"/>
        <v>0.26806199969408046</v>
      </c>
      <c r="K4" s="11">
        <f t="shared" si="0"/>
        <v>0.41614906832298132</v>
      </c>
      <c r="L4" s="11">
        <f t="shared" si="0"/>
        <v>0.36170212765957449</v>
      </c>
      <c r="M4" s="11">
        <f t="shared" si="0"/>
        <v>0.29081632653061229</v>
      </c>
      <c r="N4" s="11">
        <f t="shared" si="0"/>
        <v>0.26605504587155965</v>
      </c>
      <c r="O4" s="11">
        <f t="shared" si="0"/>
        <v>0.24946695095948829</v>
      </c>
      <c r="P4" s="11">
        <f t="shared" si="0"/>
        <v>0.23371647509578544</v>
      </c>
    </row>
    <row r="5" spans="1:16" x14ac:dyDescent="0.3">
      <c r="A5" s="3" t="s">
        <v>50</v>
      </c>
      <c r="B5" s="12">
        <v>0.15444688047043628</v>
      </c>
      <c r="C5" s="12">
        <v>0.19254658385093168</v>
      </c>
      <c r="D5" s="12">
        <v>0.19148936170212766</v>
      </c>
      <c r="E5" s="12">
        <v>0.15816326530612246</v>
      </c>
      <c r="F5" s="12">
        <v>0.11009174311926606</v>
      </c>
      <c r="G5" s="12">
        <v>9.8081023454157784E-2</v>
      </c>
      <c r="H5" s="12">
        <v>0.12260536398467432</v>
      </c>
      <c r="I5" s="11">
        <v>0.42250888016451671</v>
      </c>
      <c r="J5" s="11">
        <f t="shared" si="0"/>
        <v>0.42250888016451671</v>
      </c>
      <c r="K5" s="11">
        <f t="shared" si="0"/>
        <v>0.60869565217391297</v>
      </c>
      <c r="L5" s="11">
        <f t="shared" si="0"/>
        <v>0.55319148936170215</v>
      </c>
      <c r="M5" s="11">
        <f t="shared" si="0"/>
        <v>0.44897959183673475</v>
      </c>
      <c r="N5" s="11">
        <f t="shared" si="0"/>
        <v>0.37614678899082571</v>
      </c>
      <c r="O5" s="11">
        <f t="shared" si="0"/>
        <v>0.34754797441364604</v>
      </c>
      <c r="P5" s="11">
        <f t="shared" si="0"/>
        <v>0.35632183908045978</v>
      </c>
    </row>
    <row r="6" spans="1:16" x14ac:dyDescent="0.3">
      <c r="A6" s="3" t="s">
        <v>47</v>
      </c>
      <c r="B6" s="12">
        <v>0.57749111983548329</v>
      </c>
      <c r="C6" s="12">
        <v>0.39130434782608697</v>
      </c>
      <c r="D6" s="12">
        <v>0.44680851063829785</v>
      </c>
      <c r="E6" s="12">
        <v>0.55102040816326525</v>
      </c>
      <c r="F6" s="12">
        <v>0.62385321100917435</v>
      </c>
      <c r="G6" s="12">
        <v>0.65245202558635396</v>
      </c>
      <c r="H6" s="12">
        <v>0.64367816091954022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1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3" t="s">
        <v>100</v>
      </c>
      <c r="L8" s="13" t="s">
        <v>101</v>
      </c>
      <c r="M8" s="13" t="s">
        <v>102</v>
      </c>
      <c r="N8" s="13" t="s">
        <v>103</v>
      </c>
      <c r="O8" s="13" t="s">
        <v>104</v>
      </c>
      <c r="P8" s="13" t="s">
        <v>105</v>
      </c>
    </row>
    <row r="9" spans="1:16" x14ac:dyDescent="0.3">
      <c r="B9" s="3" t="s">
        <v>49</v>
      </c>
      <c r="C9" s="11">
        <f>C2-B2</f>
        <v>5.2324698231694264E-2</v>
      </c>
      <c r="D9" s="11">
        <f>D2-B2</f>
        <v>8.3248446084211766E-2</v>
      </c>
      <c r="E9" s="11">
        <f>E2-B2</f>
        <v>6.3880648369071813E-4</v>
      </c>
      <c r="F9" s="11">
        <f>F2-B2</f>
        <v>2.4220532752179766E-2</v>
      </c>
      <c r="G9" s="11">
        <f>G2-B2</f>
        <v>-1.8779408563522199E-2</v>
      </c>
      <c r="H9" s="11">
        <f>H2-B2</f>
        <v>-2.3542130258822382E-2</v>
      </c>
      <c r="J9" s="3" t="s">
        <v>49</v>
      </c>
      <c r="K9" s="3">
        <f>(J2-0) * ((K2+0))</f>
        <v>7.7519674437424189E-3</v>
      </c>
      <c r="L9" s="3">
        <f>(J2-0) * ((L2+0))</f>
        <v>9.7832780616995581E-3</v>
      </c>
      <c r="M9" s="3">
        <f>(J2-0) * ((M2+0))</f>
        <v>4.3568388452612473E-3</v>
      </c>
      <c r="N9" s="3">
        <f>(J2-0) * ((N2+0))</f>
        <v>5.9058687748608351E-3</v>
      </c>
      <c r="O9" s="3">
        <f>(J2-0) * ((O2+0))</f>
        <v>3.0813004921709853E-3</v>
      </c>
      <c r="P9" s="3">
        <f>(J2-0) * ((P2+0))</f>
        <v>2.7684481433490268E-3</v>
      </c>
    </row>
    <row r="10" spans="1:16" x14ac:dyDescent="0.3">
      <c r="B10" s="3" t="s">
        <v>48</v>
      </c>
      <c r="C10" s="11">
        <f t="shared" ref="C10:C13" si="1">C3-B3</f>
        <v>0.11965001030815851</v>
      </c>
      <c r="D10" s="11">
        <f t="shared" ref="D10:D13" si="2">D3-B3</f>
        <v>7.2471471917779237E-2</v>
      </c>
      <c r="E10" s="11">
        <f t="shared" ref="E10:E13" si="3">E3-B3</f>
        <v>-5.9045593457900114E-3</v>
      </c>
      <c r="F10" s="11">
        <f t="shared" ref="F10:F13" si="4">F3-B3</f>
        <v>-2.2511936241502425E-2</v>
      </c>
      <c r="G10" s="11">
        <f t="shared" ref="G10:G13" si="5">G3-B3</f>
        <v>-1.2453447557791236E-2</v>
      </c>
      <c r="H10" s="11">
        <f t="shared" ref="H10:H13" si="6">H3-B3</f>
        <v>1.8755641978803195E-3</v>
      </c>
      <c r="J10" s="3" t="s">
        <v>48</v>
      </c>
      <c r="K10" s="3">
        <f>(J3-J2) * ((K3+K2))</f>
        <v>4.4317481148420698E-2</v>
      </c>
      <c r="L10" s="3">
        <f>(J3-J2) * ((L3+L2))</f>
        <v>4.5751244018567797E-2</v>
      </c>
      <c r="M10" s="3">
        <f>(J3-J2) * ((M3+M2))</f>
        <v>2.1941923151762108E-2</v>
      </c>
      <c r="N10" s="3">
        <f>(J3-J2) * ((N3+N2))</f>
        <v>2.4928513525713382E-2</v>
      </c>
      <c r="O10" s="3">
        <f>(J3-J2) * ((O3+O2))</f>
        <v>1.7505903410089715E-2</v>
      </c>
      <c r="P10" s="3">
        <f>(J3-J2) * ((P3+P2))</f>
        <v>1.7975410398099783E-2</v>
      </c>
    </row>
    <row r="11" spans="1:16" x14ac:dyDescent="0.3">
      <c r="B11" s="3" t="s">
        <v>51</v>
      </c>
      <c r="C11" s="11">
        <f t="shared" si="1"/>
        <v>-2.3887639910951872E-2</v>
      </c>
      <c r="D11" s="11">
        <f t="shared" si="2"/>
        <v>-6.2079790036497003E-2</v>
      </c>
      <c r="E11" s="11">
        <f t="shared" si="3"/>
        <v>2.8020079698631101E-2</v>
      </c>
      <c r="F11" s="11">
        <f t="shared" si="4"/>
        <v>-3.7155503331981476E-3</v>
      </c>
      <c r="G11" s="11">
        <f t="shared" si="5"/>
        <v>1.2637807386721253E-2</v>
      </c>
      <c r="H11" s="11">
        <f t="shared" si="6"/>
        <v>-1.2678958537352958E-2</v>
      </c>
      <c r="J11" s="3" t="s">
        <v>51</v>
      </c>
      <c r="K11" s="3">
        <f t="shared" ref="K11:K13" si="7">(J4-J3) * ((K4+K3))</f>
        <v>7.8637209718191936E-2</v>
      </c>
      <c r="L11" s="3">
        <f t="shared" ref="L11:L13" si="8">(J4-J3) * ((L4+L3))</f>
        <v>7.1239476783563377E-2</v>
      </c>
      <c r="M11" s="3">
        <f t="shared" ref="M11:M13" si="9">(J4-J3) * ((M4+M3))</f>
        <v>4.697807333814065E-2</v>
      </c>
      <c r="N11" s="3">
        <f t="shared" ref="N11:N13" si="10">(J4-J3) * ((N4+N3))</f>
        <v>4.5116973685462011E-2</v>
      </c>
      <c r="O11" s="3">
        <f t="shared" ref="O11:O13" si="11">(J4-J3) * ((O4+O3))</f>
        <v>3.9934549452300017E-2</v>
      </c>
      <c r="P11" s="3">
        <f t="shared" ref="P11:P13" si="12">(J4-J3) * ((P4+P3))</f>
        <v>3.9287479653387559E-2</v>
      </c>
    </row>
    <row r="12" spans="1:16" x14ac:dyDescent="0.3">
      <c r="B12" s="3" t="s">
        <v>50</v>
      </c>
      <c r="C12" s="11">
        <f t="shared" si="1"/>
        <v>3.8099703380495398E-2</v>
      </c>
      <c r="D12" s="11">
        <f t="shared" si="2"/>
        <v>3.7042481231691377E-2</v>
      </c>
      <c r="E12" s="11">
        <f t="shared" si="3"/>
        <v>3.7163848356861762E-3</v>
      </c>
      <c r="F12" s="11">
        <f t="shared" si="4"/>
        <v>-4.4355137351170221E-2</v>
      </c>
      <c r="G12" s="11">
        <f t="shared" si="5"/>
        <v>-5.6365857016278498E-2</v>
      </c>
      <c r="H12" s="11">
        <f t="shared" si="6"/>
        <v>-3.1841516485761959E-2</v>
      </c>
      <c r="J12" s="3" t="s">
        <v>50</v>
      </c>
      <c r="K12" s="3">
        <f t="shared" si="7"/>
        <v>0.15828407004734146</v>
      </c>
      <c r="L12" s="3">
        <f t="shared" si="8"/>
        <v>0.14130246511125019</v>
      </c>
      <c r="M12" s="3">
        <f t="shared" si="9"/>
        <v>0.11425917177659826</v>
      </c>
      <c r="N12" s="3">
        <f t="shared" si="10"/>
        <v>9.9186070026885675E-2</v>
      </c>
      <c r="O12" s="3">
        <f t="shared" si="11"/>
        <v>9.2207092818170897E-2</v>
      </c>
      <c r="P12" s="3">
        <f t="shared" si="12"/>
        <v>9.1129576982556248E-2</v>
      </c>
    </row>
    <row r="13" spans="1:16" x14ac:dyDescent="0.3">
      <c r="B13" s="3" t="s">
        <v>47</v>
      </c>
      <c r="C13" s="11">
        <f t="shared" si="1"/>
        <v>-0.18618677200939632</v>
      </c>
      <c r="D13" s="11">
        <f t="shared" si="2"/>
        <v>-0.13068260919718544</v>
      </c>
      <c r="E13" s="11">
        <f t="shared" si="3"/>
        <v>-2.6470711672218039E-2</v>
      </c>
      <c r="F13" s="11">
        <f t="shared" si="4"/>
        <v>4.6362091173691056E-2</v>
      </c>
      <c r="G13" s="11">
        <f t="shared" si="5"/>
        <v>7.4960905750870666E-2</v>
      </c>
      <c r="H13" s="11">
        <f t="shared" si="6"/>
        <v>6.618704108405693E-2</v>
      </c>
      <c r="J13" s="3" t="s">
        <v>47</v>
      </c>
      <c r="K13" s="3">
        <f t="shared" si="7"/>
        <v>0.92900745364838622</v>
      </c>
      <c r="L13" s="3">
        <f t="shared" si="8"/>
        <v>0.89695429251043157</v>
      </c>
      <c r="M13" s="3">
        <f t="shared" si="9"/>
        <v>0.83677284710855748</v>
      </c>
      <c r="N13" s="3">
        <f t="shared" si="10"/>
        <v>0.79471255023231646</v>
      </c>
      <c r="O13" s="3">
        <f t="shared" si="11"/>
        <v>0.7781969887761736</v>
      </c>
      <c r="P13" s="3">
        <f t="shared" si="12"/>
        <v>0.78326381770789677</v>
      </c>
    </row>
    <row r="14" spans="1:16" x14ac:dyDescent="0.3">
      <c r="J14" s="13" t="s">
        <v>106</v>
      </c>
      <c r="K14" s="13">
        <f>SUM(K9:K13)</f>
        <v>1.2179981820060828</v>
      </c>
      <c r="L14" s="13">
        <f t="shared" ref="L14:P14" si="13">SUM(L9:L13)</f>
        <v>1.1650307564855125</v>
      </c>
      <c r="M14" s="13">
        <f t="shared" si="13"/>
        <v>1.0243088542203198</v>
      </c>
      <c r="N14" s="13">
        <f t="shared" si="13"/>
        <v>0.96984997624523839</v>
      </c>
      <c r="O14" s="13">
        <f t="shared" si="13"/>
        <v>0.93092583494890524</v>
      </c>
      <c r="P14" s="13">
        <f t="shared" si="13"/>
        <v>0.93442473288528938</v>
      </c>
    </row>
    <row r="15" spans="1:16" x14ac:dyDescent="0.3">
      <c r="J15" s="16" t="s">
        <v>107</v>
      </c>
      <c r="K15" s="16">
        <f>1-K14</f>
        <v>-0.21799818200608279</v>
      </c>
      <c r="L15" s="16">
        <f t="shared" ref="L15:P15" si="14">1-L14</f>
        <v>-0.16503075648551246</v>
      </c>
      <c r="M15" s="16">
        <f t="shared" si="14"/>
        <v>-2.4308854220319809E-2</v>
      </c>
      <c r="N15" s="16">
        <f t="shared" si="14"/>
        <v>3.0150023754761612E-2</v>
      </c>
      <c r="O15" s="16">
        <f t="shared" si="14"/>
        <v>6.907416505109476E-2</v>
      </c>
      <c r="P15" s="16">
        <f t="shared" si="14"/>
        <v>6.5575267114710623E-2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5759-137F-4CCE-838E-1BDB9590AE7D}">
  <dimension ref="A1:P15"/>
  <sheetViews>
    <sheetView topLeftCell="F1" zoomScale="88" workbookViewId="0">
      <selection activeCell="Z16" sqref="Z16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54</v>
      </c>
      <c r="B2" s="12">
        <v>8.7340182850271453E-2</v>
      </c>
      <c r="C2" s="12">
        <v>4.3307086614173228E-2</v>
      </c>
      <c r="D2" s="12">
        <v>0</v>
      </c>
      <c r="E2" s="12">
        <v>7.407407407407407E-2</v>
      </c>
      <c r="F2" s="12">
        <v>7.4666666666666673E-2</v>
      </c>
      <c r="G2" s="12">
        <v>9.9264705882352935E-2</v>
      </c>
      <c r="H2" s="12">
        <v>8.1250000000000003E-2</v>
      </c>
      <c r="I2" s="11">
        <v>8.7340182850271453E-2</v>
      </c>
      <c r="J2" s="12">
        <v>8.7340182850271453E-2</v>
      </c>
      <c r="K2" s="12">
        <v>4.3307086614173228E-2</v>
      </c>
      <c r="L2" s="12">
        <v>0</v>
      </c>
      <c r="M2" s="12">
        <v>7.407407407407407E-2</v>
      </c>
      <c r="N2" s="12">
        <v>7.4666666666666673E-2</v>
      </c>
      <c r="O2" s="12">
        <v>9.9264705882352935E-2</v>
      </c>
      <c r="P2" s="12">
        <v>8.1250000000000003E-2</v>
      </c>
    </row>
    <row r="3" spans="1:16" x14ac:dyDescent="0.3">
      <c r="A3" s="11" t="s">
        <v>53</v>
      </c>
      <c r="B3" s="12">
        <v>0.10090364109002811</v>
      </c>
      <c r="C3" s="12">
        <v>6.6929133858267723E-2</v>
      </c>
      <c r="D3" s="12">
        <v>6.9767441860465115E-2</v>
      </c>
      <c r="E3" s="12">
        <v>8.9947089947089942E-2</v>
      </c>
      <c r="F3" s="12">
        <v>0.13333333333333333</v>
      </c>
      <c r="G3" s="12">
        <v>0.15441176470588236</v>
      </c>
      <c r="H3" s="12">
        <v>0.15625</v>
      </c>
      <c r="I3" s="11">
        <v>0.18824382394029957</v>
      </c>
      <c r="J3" s="11">
        <f t="shared" ref="J3:P6" si="0">J2+B3</f>
        <v>0.18824382394029957</v>
      </c>
      <c r="K3" s="11">
        <f t="shared" si="0"/>
        <v>0.11023622047244094</v>
      </c>
      <c r="L3" s="11">
        <f t="shared" si="0"/>
        <v>6.9767441860465115E-2</v>
      </c>
      <c r="M3" s="11">
        <f t="shared" si="0"/>
        <v>0.16402116402116401</v>
      </c>
      <c r="N3" s="11">
        <f t="shared" si="0"/>
        <v>0.20800000000000002</v>
      </c>
      <c r="O3" s="11">
        <f t="shared" si="0"/>
        <v>0.25367647058823528</v>
      </c>
      <c r="P3" s="11">
        <f t="shared" si="0"/>
        <v>0.23749999999999999</v>
      </c>
    </row>
    <row r="4" spans="1:16" x14ac:dyDescent="0.3">
      <c r="A4" s="11" t="s">
        <v>56</v>
      </c>
      <c r="B4" s="12">
        <v>0.23399175935913985</v>
      </c>
      <c r="C4" s="12">
        <v>9.8425196850393706E-2</v>
      </c>
      <c r="D4" s="12">
        <v>0.13953488372093023</v>
      </c>
      <c r="E4" s="12">
        <v>0.19576719576719576</v>
      </c>
      <c r="F4" s="12">
        <v>0.13600000000000001</v>
      </c>
      <c r="G4" s="12">
        <v>0.13235294117647059</v>
      </c>
      <c r="H4" s="12">
        <v>0.21249999999999999</v>
      </c>
      <c r="I4" s="11">
        <v>0.42223558329943944</v>
      </c>
      <c r="J4" s="11">
        <f t="shared" si="0"/>
        <v>0.42223558329943944</v>
      </c>
      <c r="K4" s="11">
        <f t="shared" si="0"/>
        <v>0.20866141732283466</v>
      </c>
      <c r="L4" s="11">
        <f t="shared" si="0"/>
        <v>0.20930232558139533</v>
      </c>
      <c r="M4" s="11">
        <f t="shared" si="0"/>
        <v>0.35978835978835977</v>
      </c>
      <c r="N4" s="11">
        <f t="shared" si="0"/>
        <v>0.34400000000000003</v>
      </c>
      <c r="O4" s="11">
        <f t="shared" si="0"/>
        <v>0.38602941176470584</v>
      </c>
      <c r="P4" s="11">
        <f t="shared" si="0"/>
        <v>0.44999999999999996</v>
      </c>
    </row>
    <row r="5" spans="1:16" x14ac:dyDescent="0.3">
      <c r="A5" s="11" t="s">
        <v>55</v>
      </c>
      <c r="B5" s="12">
        <v>0.25855452793152839</v>
      </c>
      <c r="C5" s="12">
        <v>0.21653543307086615</v>
      </c>
      <c r="D5" s="12">
        <v>0.18604651162790697</v>
      </c>
      <c r="E5" s="12">
        <v>0.14285714285714285</v>
      </c>
      <c r="F5" s="12">
        <v>0.21333333333333335</v>
      </c>
      <c r="G5" s="12">
        <v>0.24632352941176472</v>
      </c>
      <c r="H5" s="12">
        <v>0.17499999999999999</v>
      </c>
      <c r="I5" s="11">
        <v>0.68079011123096778</v>
      </c>
      <c r="J5" s="11">
        <f t="shared" si="0"/>
        <v>0.68079011123096778</v>
      </c>
      <c r="K5" s="11">
        <f t="shared" si="0"/>
        <v>0.42519685039370081</v>
      </c>
      <c r="L5" s="11">
        <f t="shared" si="0"/>
        <v>0.39534883720930231</v>
      </c>
      <c r="M5" s="11">
        <f t="shared" si="0"/>
        <v>0.50264550264550256</v>
      </c>
      <c r="N5" s="11">
        <f t="shared" si="0"/>
        <v>0.55733333333333335</v>
      </c>
      <c r="O5" s="11">
        <f t="shared" si="0"/>
        <v>0.63235294117647056</v>
      </c>
      <c r="P5" s="11">
        <f t="shared" si="0"/>
        <v>0.625</v>
      </c>
    </row>
    <row r="6" spans="1:16" x14ac:dyDescent="0.3">
      <c r="A6" s="11" t="s">
        <v>52</v>
      </c>
      <c r="B6" s="12">
        <v>0.31920988876903217</v>
      </c>
      <c r="C6" s="12">
        <v>0.57480314960629919</v>
      </c>
      <c r="D6" s="12">
        <v>0.60465116279069764</v>
      </c>
      <c r="E6" s="12">
        <v>0.49735449735449733</v>
      </c>
      <c r="F6" s="12">
        <v>0.44266666666666665</v>
      </c>
      <c r="G6" s="12">
        <v>0.36764705882352944</v>
      </c>
      <c r="H6" s="12">
        <v>0.375</v>
      </c>
      <c r="I6" s="11">
        <v>1</v>
      </c>
      <c r="J6" s="11">
        <f t="shared" si="0"/>
        <v>1</v>
      </c>
      <c r="K6" s="11">
        <f t="shared" si="0"/>
        <v>1</v>
      </c>
      <c r="L6" s="11">
        <f t="shared" si="0"/>
        <v>1</v>
      </c>
      <c r="M6" s="11">
        <f t="shared" si="0"/>
        <v>0.99999999999999989</v>
      </c>
      <c r="N6" s="11">
        <f t="shared" si="0"/>
        <v>1</v>
      </c>
      <c r="O6" s="11">
        <f t="shared" si="0"/>
        <v>1</v>
      </c>
      <c r="P6" s="11">
        <f t="shared" si="0"/>
        <v>1</v>
      </c>
    </row>
    <row r="8" spans="1:16" ht="28.8" x14ac:dyDescent="0.3">
      <c r="B8" s="1" t="s">
        <v>86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99</v>
      </c>
      <c r="J8" s="3"/>
      <c r="K8" s="13" t="s">
        <v>100</v>
      </c>
      <c r="L8" s="13" t="s">
        <v>101</v>
      </c>
      <c r="M8" s="13" t="s">
        <v>102</v>
      </c>
      <c r="N8" s="13" t="s">
        <v>103</v>
      </c>
      <c r="O8" s="13" t="s">
        <v>104</v>
      </c>
      <c r="P8" s="13" t="s">
        <v>105</v>
      </c>
    </row>
    <row r="9" spans="1:16" x14ac:dyDescent="0.3">
      <c r="B9" s="11" t="s">
        <v>54</v>
      </c>
      <c r="C9" s="11">
        <f>C2-B2</f>
        <v>-4.4033096236098225E-2</v>
      </c>
      <c r="D9" s="11">
        <f>D2-B2</f>
        <v>-8.7340182850271453E-2</v>
      </c>
      <c r="E9" s="11">
        <f>E2-B2</f>
        <v>-1.3266108776197383E-2</v>
      </c>
      <c r="F9" s="11">
        <f>F2-B2</f>
        <v>-1.267351618360478E-2</v>
      </c>
      <c r="G9" s="11">
        <f>G2-B2</f>
        <v>1.1924523032081483E-2</v>
      </c>
      <c r="H9" s="11">
        <f>H2-B2</f>
        <v>-6.09018285027145E-3</v>
      </c>
      <c r="J9" s="11" t="s">
        <v>54</v>
      </c>
      <c r="K9" s="3">
        <f>(J2-0) * ((K2+0))</f>
        <v>3.7824488635944328E-3</v>
      </c>
      <c r="L9" s="3">
        <f>(J2-0) * ((L2+0))</f>
        <v>0</v>
      </c>
      <c r="M9" s="3">
        <f>(J2-0) * ((M2+0))</f>
        <v>6.4696431740941815E-3</v>
      </c>
      <c r="N9" s="3">
        <f>(J2-0) * ((N2+0))</f>
        <v>6.5214003194869353E-3</v>
      </c>
      <c r="O9" s="3">
        <f>(J2-0) * ((O2+0))</f>
        <v>8.6697975623431216E-3</v>
      </c>
      <c r="P9" s="3">
        <f>(J2-0) * ((P2+0))</f>
        <v>7.0963898565845557E-3</v>
      </c>
    </row>
    <row r="10" spans="1:16" x14ac:dyDescent="0.3">
      <c r="B10" s="11" t="s">
        <v>53</v>
      </c>
      <c r="C10" s="11">
        <f t="shared" ref="C10:C13" si="1">C3-B3</f>
        <v>-3.397450723176039E-2</v>
      </c>
      <c r="D10" s="11">
        <f t="shared" ref="D10:D13" si="2">D3-B3</f>
        <v>-3.1136199229562997E-2</v>
      </c>
      <c r="E10" s="11">
        <f t="shared" ref="E10:E13" si="3">E3-B3</f>
        <v>-1.095655114293817E-2</v>
      </c>
      <c r="F10" s="11">
        <f t="shared" ref="F10:F13" si="4">F3-B3</f>
        <v>3.2429692243305219E-2</v>
      </c>
      <c r="G10" s="11">
        <f t="shared" ref="G10:G13" si="5">G3-B3</f>
        <v>5.3508123615854247E-2</v>
      </c>
      <c r="H10" s="11">
        <f t="shared" ref="H10:H13" si="6">H3-B3</f>
        <v>5.5346358909971888E-2</v>
      </c>
      <c r="J10" s="11" t="s">
        <v>53</v>
      </c>
      <c r="K10" s="3">
        <f>(J3-J2) * ((K3+K2))</f>
        <v>1.5493078750043687E-2</v>
      </c>
      <c r="L10" s="3">
        <f>(J3-J2) * ((L3+L2))</f>
        <v>7.0397889132577749E-3</v>
      </c>
      <c r="M10" s="3">
        <f>(J3-J2) * ((M3+M2))</f>
        <v>2.4024676450006693E-2</v>
      </c>
      <c r="N10" s="3">
        <f>(J3-J2) * ((N3+N2))</f>
        <v>2.8522095881447947E-2</v>
      </c>
      <c r="O10" s="3">
        <f>(J3-J2) * ((O3+O2))</f>
        <v>3.5613049796480507E-2</v>
      </c>
      <c r="P10" s="3">
        <f>(J3-J2) * ((P3+P2))</f>
        <v>3.216303559744646E-2</v>
      </c>
    </row>
    <row r="11" spans="1:16" x14ac:dyDescent="0.3">
      <c r="B11" s="11" t="s">
        <v>56</v>
      </c>
      <c r="C11" s="11">
        <f t="shared" si="1"/>
        <v>-0.13556656250874616</v>
      </c>
      <c r="D11" s="11">
        <f t="shared" si="2"/>
        <v>-9.445687563820962E-2</v>
      </c>
      <c r="E11" s="11">
        <f t="shared" si="3"/>
        <v>-3.8224563591944094E-2</v>
      </c>
      <c r="F11" s="11">
        <f t="shared" si="4"/>
        <v>-9.7991759359139841E-2</v>
      </c>
      <c r="G11" s="11">
        <f t="shared" si="5"/>
        <v>-0.10163881818266926</v>
      </c>
      <c r="H11" s="11">
        <f t="shared" si="6"/>
        <v>-2.1491759359139856E-2</v>
      </c>
      <c r="J11" s="11" t="s">
        <v>56</v>
      </c>
      <c r="K11" s="3">
        <f t="shared" ref="K11:K13" si="7">(J4-J3) * ((K4+K3))</f>
        <v>7.4619419323190272E-2</v>
      </c>
      <c r="L11" s="3">
        <f t="shared" ref="L11:L13" si="8">(J4-J3) * ((L4+L3))</f>
        <v>6.5300025867666936E-2</v>
      </c>
      <c r="M11" s="3">
        <f t="shared" ref="M11:M13" si="9">(J4-J3) * ((M4+M3))</f>
        <v>0.12256711204526373</v>
      </c>
      <c r="N11" s="3">
        <f t="shared" ref="N11:N13" si="10">(J4-J3) * ((N4+N3))</f>
        <v>0.12916345116624522</v>
      </c>
      <c r="O11" s="3">
        <f t="shared" ref="O11:O13" si="11">(J4-J3) * ((O4+O3))</f>
        <v>0.14968590488415565</v>
      </c>
      <c r="P11" s="3">
        <f t="shared" ref="P11:P13" si="12">(J4-J3) * ((P4+P3))</f>
        <v>0.16086933455940866</v>
      </c>
    </row>
    <row r="12" spans="1:16" x14ac:dyDescent="0.3">
      <c r="B12" s="11" t="s">
        <v>55</v>
      </c>
      <c r="C12" s="11">
        <f t="shared" si="1"/>
        <v>-4.2019094860662243E-2</v>
      </c>
      <c r="D12" s="11">
        <f t="shared" si="2"/>
        <v>-7.2508016303621414E-2</v>
      </c>
      <c r="E12" s="11">
        <f t="shared" si="3"/>
        <v>-0.11569738507438554</v>
      </c>
      <c r="F12" s="11">
        <f t="shared" si="4"/>
        <v>-4.5221194598195041E-2</v>
      </c>
      <c r="G12" s="11">
        <f t="shared" si="5"/>
        <v>-1.2230998519763669E-2</v>
      </c>
      <c r="H12" s="11">
        <f t="shared" si="6"/>
        <v>-8.35545279315284E-2</v>
      </c>
      <c r="J12" s="11" t="s">
        <v>55</v>
      </c>
      <c r="K12" s="3">
        <f t="shared" si="7"/>
        <v>0.16388692518494513</v>
      </c>
      <c r="L12" s="3">
        <f t="shared" si="8"/>
        <v>0.15633529595859852</v>
      </c>
      <c r="M12" s="3">
        <f t="shared" si="9"/>
        <v>0.22298618017375194</v>
      </c>
      <c r="N12" s="3">
        <f t="shared" si="10"/>
        <v>0.23304381450895087</v>
      </c>
      <c r="O12" s="3">
        <f t="shared" si="11"/>
        <v>0.26330736851850495</v>
      </c>
      <c r="P12" s="3">
        <f t="shared" si="12"/>
        <v>0.27794611752639292</v>
      </c>
    </row>
    <row r="13" spans="1:16" x14ac:dyDescent="0.3">
      <c r="B13" s="11" t="s">
        <v>52</v>
      </c>
      <c r="C13" s="11">
        <f t="shared" si="1"/>
        <v>0.25559326083726702</v>
      </c>
      <c r="D13" s="11">
        <f t="shared" si="2"/>
        <v>0.28544127402166547</v>
      </c>
      <c r="E13" s="11">
        <f t="shared" si="3"/>
        <v>0.17814460858546516</v>
      </c>
      <c r="F13" s="11">
        <f t="shared" si="4"/>
        <v>0.12345677789763448</v>
      </c>
      <c r="G13" s="11">
        <f t="shared" si="5"/>
        <v>4.8437170054497269E-2</v>
      </c>
      <c r="H13" s="11">
        <f t="shared" si="6"/>
        <v>5.5790111230967832E-2</v>
      </c>
      <c r="J13" s="11" t="s">
        <v>52</v>
      </c>
      <c r="K13" s="3">
        <f t="shared" si="7"/>
        <v>0.45493692808814834</v>
      </c>
      <c r="L13" s="3">
        <f t="shared" si="8"/>
        <v>0.44540914711957985</v>
      </c>
      <c r="M13" s="3">
        <f t="shared" si="9"/>
        <v>0.47965930375875732</v>
      </c>
      <c r="N13" s="3">
        <f t="shared" si="10"/>
        <v>0.49711620010963947</v>
      </c>
      <c r="O13" s="3">
        <f t="shared" si="11"/>
        <v>0.52106320078474377</v>
      </c>
      <c r="P13" s="3">
        <f t="shared" si="12"/>
        <v>0.51871606924967739</v>
      </c>
    </row>
    <row r="14" spans="1:16" x14ac:dyDescent="0.3">
      <c r="J14" s="13" t="s">
        <v>106</v>
      </c>
      <c r="K14" s="13">
        <f>SUM(K9:K13)</f>
        <v>0.71271880020992184</v>
      </c>
      <c r="L14" s="13">
        <f t="shared" ref="L14:P14" si="13">SUM(L9:L13)</f>
        <v>0.67408425785910309</v>
      </c>
      <c r="M14" s="13">
        <f t="shared" si="13"/>
        <v>0.85570691560187384</v>
      </c>
      <c r="N14" s="13">
        <f t="shared" si="13"/>
        <v>0.89436696198577037</v>
      </c>
      <c r="O14" s="13">
        <f t="shared" si="13"/>
        <v>0.97833932154622794</v>
      </c>
      <c r="P14" s="13">
        <f t="shared" si="13"/>
        <v>0.99679094678950997</v>
      </c>
    </row>
    <row r="15" spans="1:16" x14ac:dyDescent="0.3">
      <c r="J15" s="16" t="s">
        <v>107</v>
      </c>
      <c r="K15" s="16">
        <f>1-K14</f>
        <v>0.28728119979007816</v>
      </c>
      <c r="L15" s="16">
        <f t="shared" ref="L15:P15" si="14">1-L14</f>
        <v>0.32591574214089691</v>
      </c>
      <c r="M15" s="16">
        <f t="shared" si="14"/>
        <v>0.14429308439812616</v>
      </c>
      <c r="N15" s="16">
        <f t="shared" si="14"/>
        <v>0.10563303801422963</v>
      </c>
      <c r="O15" s="16">
        <f t="shared" si="14"/>
        <v>2.1660678453772064E-2</v>
      </c>
      <c r="P15" s="16">
        <f t="shared" si="14"/>
        <v>3.2090532104900316E-3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485-BB85-4411-A324-A0BDB346725E}">
  <dimension ref="A1:P17"/>
  <sheetViews>
    <sheetView zoomScale="85" zoomScaleNormal="100" workbookViewId="0">
      <selection sqref="A1:XFD1048576"/>
    </sheetView>
  </sheetViews>
  <sheetFormatPr defaultRowHeight="14.4" x14ac:dyDescent="0.3"/>
  <cols>
    <col min="1" max="1" width="13.44140625" customWidth="1"/>
    <col min="2" max="10" width="9" bestFit="1" customWidth="1"/>
    <col min="11" max="11" width="12.6640625" bestFit="1" customWidth="1"/>
    <col min="12" max="12" width="9" bestFit="1" customWidth="1"/>
    <col min="13" max="15" width="12.6640625" bestFit="1" customWidth="1"/>
    <col min="16" max="16" width="11.6640625" bestFit="1" customWidth="1"/>
  </cols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59</v>
      </c>
      <c r="B2" s="12">
        <v>7.0351424965123229E-3</v>
      </c>
      <c r="C2" s="12">
        <v>1.0025062656641603E-2</v>
      </c>
      <c r="D2" s="12">
        <v>1.876675603217158E-2</v>
      </c>
      <c r="E2" s="12">
        <v>5.7142857142857143E-3</v>
      </c>
      <c r="F2" s="12">
        <v>1.3545816733067729E-2</v>
      </c>
      <c r="G2" s="12">
        <v>8.3402835696413675E-3</v>
      </c>
      <c r="H2" s="12">
        <v>1.0265183917878529E-2</v>
      </c>
      <c r="I2" s="11">
        <v>7.0351424965123229E-3</v>
      </c>
      <c r="J2" s="12">
        <v>7.0351424965123229E-3</v>
      </c>
      <c r="K2" s="12">
        <v>1.0025062656641603E-2</v>
      </c>
      <c r="L2" s="12">
        <v>1.876675603217158E-2</v>
      </c>
      <c r="M2" s="12">
        <v>5.7142857142857143E-3</v>
      </c>
      <c r="N2" s="12">
        <v>1.3545816733067729E-2</v>
      </c>
      <c r="O2" s="12">
        <v>8.3402835696413675E-3</v>
      </c>
      <c r="P2" s="12">
        <v>1.0265183917878529E-2</v>
      </c>
    </row>
    <row r="3" spans="1:16" x14ac:dyDescent="0.3">
      <c r="A3" s="11" t="s">
        <v>61</v>
      </c>
      <c r="B3" s="12">
        <v>9.6525609513053879E-3</v>
      </c>
      <c r="C3" s="12">
        <v>1.0025062656641603E-2</v>
      </c>
      <c r="D3" s="12">
        <v>2.6809651474530832E-3</v>
      </c>
      <c r="E3" s="12">
        <v>2.2857142857142857E-2</v>
      </c>
      <c r="F3" s="12">
        <v>1.4342629482071713E-2</v>
      </c>
      <c r="G3" s="12">
        <v>1.0008340283569641E-2</v>
      </c>
      <c r="H3" s="12">
        <v>5.9880239520958087E-3</v>
      </c>
      <c r="I3" s="11">
        <v>1.6687703447817712E-2</v>
      </c>
      <c r="J3" s="11">
        <f>J2+B3</f>
        <v>1.6687703447817712E-2</v>
      </c>
      <c r="K3" s="11">
        <f t="shared" ref="K3:P7" si="0">K2+C3</f>
        <v>2.0050125313283207E-2</v>
      </c>
      <c r="L3" s="11">
        <f t="shared" si="0"/>
        <v>2.1447721179624665E-2</v>
      </c>
      <c r="M3" s="11">
        <f t="shared" si="0"/>
        <v>2.8571428571428571E-2</v>
      </c>
      <c r="N3" s="11">
        <f t="shared" si="0"/>
        <v>2.7888446215139442E-2</v>
      </c>
      <c r="O3" s="11">
        <f t="shared" si="0"/>
        <v>1.834862385321101E-2</v>
      </c>
      <c r="P3" s="11">
        <f t="shared" si="0"/>
        <v>1.6253207869974338E-2</v>
      </c>
    </row>
    <row r="4" spans="1:16" x14ac:dyDescent="0.3">
      <c r="A4" s="11" t="s">
        <v>60</v>
      </c>
      <c r="B4" s="12">
        <v>1.2061825992603911E-2</v>
      </c>
      <c r="C4" s="12">
        <v>5.8479532163742687E-3</v>
      </c>
      <c r="D4" s="12">
        <v>8.0428954423592495E-3</v>
      </c>
      <c r="E4" s="12">
        <v>5.7142857142857143E-3</v>
      </c>
      <c r="F4" s="12">
        <v>1.0358565737051793E-2</v>
      </c>
      <c r="G4" s="12">
        <v>1.0008340283569641E-2</v>
      </c>
      <c r="H4" s="12">
        <v>4.2771599657827203E-3</v>
      </c>
      <c r="I4" s="11">
        <v>2.8749529440421622E-2</v>
      </c>
      <c r="J4" s="11">
        <f t="shared" ref="J4:J7" si="1">J3+B4</f>
        <v>2.8749529440421622E-2</v>
      </c>
      <c r="K4" s="11">
        <f t="shared" si="0"/>
        <v>2.5898078529657476E-2</v>
      </c>
      <c r="L4" s="11">
        <f t="shared" si="0"/>
        <v>2.9490616621983913E-2</v>
      </c>
      <c r="M4" s="11">
        <f t="shared" si="0"/>
        <v>3.4285714285714287E-2</v>
      </c>
      <c r="N4" s="11">
        <f t="shared" si="0"/>
        <v>3.8247011952191233E-2</v>
      </c>
      <c r="O4" s="11">
        <f t="shared" si="0"/>
        <v>2.8356964136780651E-2</v>
      </c>
      <c r="P4" s="11">
        <f t="shared" si="0"/>
        <v>2.0530367835757058E-2</v>
      </c>
    </row>
    <row r="5" spans="1:16" x14ac:dyDescent="0.3">
      <c r="A5" s="11" t="s">
        <v>58</v>
      </c>
      <c r="B5" s="12">
        <v>1.6559268362895545E-2</v>
      </c>
      <c r="C5" s="12">
        <v>2.1720969089390141E-2</v>
      </c>
      <c r="D5" s="12">
        <v>3.2171581769436998E-2</v>
      </c>
      <c r="E5" s="12">
        <v>3.619047619047619E-2</v>
      </c>
      <c r="F5" s="12">
        <v>2.1513944223107571E-2</v>
      </c>
      <c r="G5" s="12">
        <v>9.1743119266055051E-3</v>
      </c>
      <c r="H5" s="12">
        <v>8.5543199315654406E-3</v>
      </c>
      <c r="I5" s="11">
        <v>4.5308797803317168E-2</v>
      </c>
      <c r="J5" s="11">
        <f t="shared" si="1"/>
        <v>4.5308797803317168E-2</v>
      </c>
      <c r="K5" s="11">
        <f t="shared" si="0"/>
        <v>4.7619047619047616E-2</v>
      </c>
      <c r="L5" s="11">
        <f t="shared" si="0"/>
        <v>6.1662198391420911E-2</v>
      </c>
      <c r="M5" s="11">
        <f t="shared" si="0"/>
        <v>7.047619047619047E-2</v>
      </c>
      <c r="N5" s="11">
        <f t="shared" si="0"/>
        <v>5.9760956175298807E-2</v>
      </c>
      <c r="O5" s="11">
        <f t="shared" si="0"/>
        <v>3.753127606338616E-2</v>
      </c>
      <c r="P5" s="11">
        <f t="shared" si="0"/>
        <v>2.9084687767322499E-2</v>
      </c>
    </row>
    <row r="6" spans="1:16" x14ac:dyDescent="0.3">
      <c r="A6" s="11" t="s">
        <v>62</v>
      </c>
      <c r="B6" s="12">
        <v>3.0228747315042406E-2</v>
      </c>
      <c r="C6" s="12">
        <v>2.7568922305764409E-2</v>
      </c>
      <c r="D6" s="12">
        <v>4.0214477211796246E-2</v>
      </c>
      <c r="E6" s="12">
        <v>2.6666666666666668E-2</v>
      </c>
      <c r="F6" s="12">
        <v>3.5059760956175301E-2</v>
      </c>
      <c r="G6" s="12">
        <v>2.7522935779816515E-2</v>
      </c>
      <c r="H6" s="12">
        <v>1.7964071856287425E-2</v>
      </c>
      <c r="I6" s="11">
        <v>7.553754511835957E-2</v>
      </c>
      <c r="J6" s="11">
        <f t="shared" si="1"/>
        <v>7.553754511835957E-2</v>
      </c>
      <c r="K6" s="11">
        <f t="shared" si="0"/>
        <v>7.5187969924812026E-2</v>
      </c>
      <c r="L6" s="11">
        <f t="shared" si="0"/>
        <v>0.10187667560321716</v>
      </c>
      <c r="M6" s="11">
        <f t="shared" si="0"/>
        <v>9.7142857142857142E-2</v>
      </c>
      <c r="N6" s="11">
        <f t="shared" si="0"/>
        <v>9.4820717131474108E-2</v>
      </c>
      <c r="O6" s="11">
        <f t="shared" si="0"/>
        <v>6.5054211843202675E-2</v>
      </c>
      <c r="P6" s="11">
        <f t="shared" si="0"/>
        <v>4.7048759623609923E-2</v>
      </c>
    </row>
    <row r="7" spans="1:16" x14ac:dyDescent="0.3">
      <c r="A7" s="11" t="s">
        <v>57</v>
      </c>
      <c r="B7" s="12">
        <v>0.92446245488164047</v>
      </c>
      <c r="C7" s="12">
        <v>0.92481203007518797</v>
      </c>
      <c r="D7" s="12">
        <v>0.89812332439678288</v>
      </c>
      <c r="E7" s="12">
        <v>0.9028571428571428</v>
      </c>
      <c r="F7" s="12">
        <v>0.90517928286852589</v>
      </c>
      <c r="G7" s="12">
        <v>0.9349457881567973</v>
      </c>
      <c r="H7" s="12">
        <v>0.95295124037639012</v>
      </c>
      <c r="I7" s="11">
        <v>1</v>
      </c>
      <c r="J7" s="11">
        <f t="shared" si="1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</row>
    <row r="10" spans="1:16" x14ac:dyDescent="0.3">
      <c r="B10" s="11" t="s">
        <v>59</v>
      </c>
      <c r="C10" s="11">
        <f>C2-B2</f>
        <v>2.9899201601292806E-3</v>
      </c>
      <c r="D10" s="11">
        <f>D2-B2</f>
        <v>1.1731613535659258E-2</v>
      </c>
      <c r="E10" s="11">
        <f>E2-B2</f>
        <v>-1.3208567822266086E-3</v>
      </c>
      <c r="F10" s="11">
        <f>F2-B2</f>
        <v>6.5106742365554056E-3</v>
      </c>
      <c r="G10" s="11">
        <f>G2-B2</f>
        <v>1.3051410731290446E-3</v>
      </c>
      <c r="H10" s="11">
        <f>H2-B2</f>
        <v>3.2300414213662062E-3</v>
      </c>
      <c r="J10" s="11" t="s">
        <v>59</v>
      </c>
      <c r="K10" s="3">
        <f>(J2-0) * ((K2+0))</f>
        <v>7.0527744325938067E-5</v>
      </c>
      <c r="L10" s="3">
        <f>(J2-0) * ((L2+0))</f>
        <v>1.3202680288360927E-4</v>
      </c>
      <c r="M10" s="3">
        <f>(J2-0) * ((M2+0))</f>
        <v>4.0200814265784703E-5</v>
      </c>
      <c r="N10" s="3">
        <f>(J2-0) * ((N2+0))</f>
        <v>9.5296750948772502E-5</v>
      </c>
      <c r="O10" s="3">
        <f>(J2-0) * ((O2+0))</f>
        <v>5.8675083373747478E-5</v>
      </c>
      <c r="P10" s="3">
        <f>(J2-0) * ((P2+0))</f>
        <v>7.2217031615182101E-5</v>
      </c>
    </row>
    <row r="11" spans="1:16" x14ac:dyDescent="0.3">
      <c r="B11" s="11" t="s">
        <v>61</v>
      </c>
      <c r="C11" s="11">
        <f t="shared" ref="C11:C15" si="2">C3-B3</f>
        <v>3.7250170533621556E-4</v>
      </c>
      <c r="D11" s="11">
        <f t="shared" ref="D11:D15" si="3">D3-B3</f>
        <v>-6.9715958038523047E-3</v>
      </c>
      <c r="E11" s="11">
        <f t="shared" ref="E11:E15" si="4">E3-B3</f>
        <v>1.3204581905837469E-2</v>
      </c>
      <c r="F11" s="11">
        <f t="shared" ref="F11:F15" si="5">F3-B3</f>
        <v>4.6900685307663253E-3</v>
      </c>
      <c r="G11" s="11">
        <f t="shared" ref="G11:G15" si="6">G3-B3</f>
        <v>3.5577933226425308E-4</v>
      </c>
      <c r="H11" s="11">
        <f t="shared" ref="H11:H15" si="7">H3-B3</f>
        <v>-3.6645369992095791E-3</v>
      </c>
      <c r="J11" s="11" t="s">
        <v>61</v>
      </c>
      <c r="K11" s="3">
        <f>(J3-J2) * ((K3+K2))</f>
        <v>2.9030258500166586E-4</v>
      </c>
      <c r="L11" s="3">
        <f>(J3-J2) * ((L3+L2))</f>
        <v>3.8817269241174491E-4</v>
      </c>
      <c r="M11" s="3">
        <f>(J3-J2) * ((M3+M2))</f>
        <v>3.3094494690189908E-4</v>
      </c>
      <c r="N11" s="3">
        <f>(J3-J2) * ((N3+N2))</f>
        <v>3.9994674857998428E-4</v>
      </c>
      <c r="O11" s="3">
        <f>(J3-J2) * ((O3+O2))</f>
        <v>2.5761630562282941E-4</v>
      </c>
      <c r="P11" s="3">
        <f>(J3-J2) * ((P3+P2))</f>
        <v>2.5597039306284611E-4</v>
      </c>
    </row>
    <row r="12" spans="1:16" x14ac:dyDescent="0.3">
      <c r="B12" s="11" t="s">
        <v>60</v>
      </c>
      <c r="C12" s="11">
        <f t="shared" si="2"/>
        <v>-6.2138727762296418E-3</v>
      </c>
      <c r="D12" s="11">
        <f t="shared" si="3"/>
        <v>-4.018930550244661E-3</v>
      </c>
      <c r="E12" s="11">
        <f t="shared" si="4"/>
        <v>-6.3475402783181962E-3</v>
      </c>
      <c r="F12" s="11">
        <f t="shared" si="5"/>
        <v>-1.7032602555521175E-3</v>
      </c>
      <c r="G12" s="11">
        <f t="shared" si="6"/>
        <v>-2.0534857090342695E-3</v>
      </c>
      <c r="H12" s="11">
        <f t="shared" si="7"/>
        <v>-7.7846660268211902E-3</v>
      </c>
      <c r="J12" s="11" t="s">
        <v>60</v>
      </c>
      <c r="K12" s="3">
        <f t="shared" ref="K12:K15" si="8">(J4-J3) * ((K4+K3))</f>
        <v>5.5421923942624478E-4</v>
      </c>
      <c r="L12" s="3">
        <f t="shared" ref="L12:L15" si="9">(J4-J3) * ((L4+L3))</f>
        <v>6.1440936691548064E-4</v>
      </c>
      <c r="M12" s="3">
        <f t="shared" ref="M12:M15" si="10">(J4-J3) * ((M4+M3))</f>
        <v>7.5817191953510298E-4</v>
      </c>
      <c r="N12" s="3">
        <f t="shared" ref="N12:N15" si="11">(J4-J3) * ((N4+N3))</f>
        <v>7.977143883554777E-4</v>
      </c>
      <c r="O12" s="3">
        <f t="shared" ref="O12:O15" si="12">(J4-J3) * ((O4+O3))</f>
        <v>5.633546752175305E-4</v>
      </c>
      <c r="P12" s="3">
        <f t="shared" ref="P12:P15" si="13">(J4-J3) * ((P4+P3))</f>
        <v>4.4367708954830466E-4</v>
      </c>
    </row>
    <row r="13" spans="1:16" x14ac:dyDescent="0.3">
      <c r="B13" s="11" t="s">
        <v>58</v>
      </c>
      <c r="C13" s="11">
        <f t="shared" si="2"/>
        <v>5.1617007264945954E-3</v>
      </c>
      <c r="D13" s="11">
        <f t="shared" si="3"/>
        <v>1.5612313406541452E-2</v>
      </c>
      <c r="E13" s="11">
        <f t="shared" si="4"/>
        <v>1.9631207827580644E-2</v>
      </c>
      <c r="F13" s="11">
        <f t="shared" si="5"/>
        <v>4.9546758602120253E-3</v>
      </c>
      <c r="G13" s="11">
        <f t="shared" si="6"/>
        <v>-7.3849564362900404E-3</v>
      </c>
      <c r="H13" s="11">
        <f t="shared" si="7"/>
        <v>-8.0049484313301049E-3</v>
      </c>
      <c r="J13" s="11" t="s">
        <v>58</v>
      </c>
      <c r="K13" s="3">
        <f t="shared" si="8"/>
        <v>1.2173898211652531E-3</v>
      </c>
      <c r="L13" s="3">
        <f t="shared" si="9"/>
        <v>1.5094239258403447E-3</v>
      </c>
      <c r="M13" s="3">
        <f t="shared" si="10"/>
        <v>1.7347804951604855E-3</v>
      </c>
      <c r="N13" s="3">
        <f t="shared" si="11"/>
        <v>1.622940245925221E-3</v>
      </c>
      <c r="O13" s="3">
        <f t="shared" si="12"/>
        <v>1.0910610514334848E-3</v>
      </c>
      <c r="P13" s="3">
        <f t="shared" si="13"/>
        <v>8.2158902057137865E-4</v>
      </c>
    </row>
    <row r="14" spans="1:16" x14ac:dyDescent="0.3">
      <c r="B14" s="11" t="s">
        <v>62</v>
      </c>
      <c r="C14" s="11">
        <f t="shared" si="2"/>
        <v>-2.6598250092779961E-3</v>
      </c>
      <c r="D14" s="11">
        <f t="shared" si="3"/>
        <v>9.9857298967538401E-3</v>
      </c>
      <c r="E14" s="11">
        <f t="shared" si="4"/>
        <v>-3.5620806483757372E-3</v>
      </c>
      <c r="F14" s="11">
        <f t="shared" si="5"/>
        <v>4.8310136411328954E-3</v>
      </c>
      <c r="G14" s="11">
        <f t="shared" si="6"/>
        <v>-2.7058115352258903E-3</v>
      </c>
      <c r="H14" s="11">
        <f t="shared" si="7"/>
        <v>-1.2264675458754981E-2</v>
      </c>
      <c r="J14" s="11" t="s">
        <v>62</v>
      </c>
      <c r="K14" s="3">
        <f t="shared" si="8"/>
        <v>3.7123023018473121E-3</v>
      </c>
      <c r="L14" s="3">
        <f t="shared" si="9"/>
        <v>4.9435752981704731E-3</v>
      </c>
      <c r="M14" s="3">
        <f t="shared" si="10"/>
        <v>5.0669138356642498E-3</v>
      </c>
      <c r="N14" s="3">
        <f t="shared" si="11"/>
        <v>4.6728103419268734E-3</v>
      </c>
      <c r="O14" s="3">
        <f t="shared" si="12"/>
        <v>3.1010307921186119E-3</v>
      </c>
      <c r="P14" s="3">
        <f t="shared" si="13"/>
        <v>2.3014187434035704E-3</v>
      </c>
    </row>
    <row r="15" spans="1:16" x14ac:dyDescent="0.3">
      <c r="B15" s="11" t="s">
        <v>57</v>
      </c>
      <c r="C15" s="11">
        <f t="shared" si="2"/>
        <v>3.4957519354750222E-4</v>
      </c>
      <c r="D15" s="11">
        <f t="shared" si="3"/>
        <v>-2.6339130484857587E-2</v>
      </c>
      <c r="E15" s="11">
        <f t="shared" si="4"/>
        <v>-2.1605312024497669E-2</v>
      </c>
      <c r="F15" s="11">
        <f t="shared" si="5"/>
        <v>-1.928317201311458E-2</v>
      </c>
      <c r="G15" s="11">
        <f t="shared" si="6"/>
        <v>1.0483333275156825E-2</v>
      </c>
      <c r="H15" s="11">
        <f t="shared" si="7"/>
        <v>2.8488785494749647E-2</v>
      </c>
      <c r="J15" s="11" t="s">
        <v>57</v>
      </c>
      <c r="K15" s="3">
        <f t="shared" si="8"/>
        <v>0.99397091013589922</v>
      </c>
      <c r="L15" s="3">
        <f t="shared" si="9"/>
        <v>1.0186436165049713</v>
      </c>
      <c r="M15" s="3">
        <f t="shared" si="10"/>
        <v>1.0142673790701426</v>
      </c>
      <c r="N15" s="3">
        <f t="shared" si="11"/>
        <v>1.0121206478146407</v>
      </c>
      <c r="O15" s="3">
        <f t="shared" si="12"/>
        <v>0.98460263126259795</v>
      </c>
      <c r="P15" s="3">
        <f t="shared" si="13"/>
        <v>0.96795726670241922</v>
      </c>
    </row>
    <row r="16" spans="1:16" x14ac:dyDescent="0.3">
      <c r="J16" s="14" t="s">
        <v>106</v>
      </c>
      <c r="K16" s="13">
        <f>SUM(K10:K15)</f>
        <v>0.99981565182766563</v>
      </c>
      <c r="L16" s="13">
        <f t="shared" ref="L16:P16" si="14">SUM(L10:L15)</f>
        <v>1.0262312245911929</v>
      </c>
      <c r="M16" s="13">
        <f t="shared" si="14"/>
        <v>1.0221983910816701</v>
      </c>
      <c r="N16" s="13">
        <f t="shared" si="14"/>
        <v>1.019709356290377</v>
      </c>
      <c r="O16" s="13">
        <f t="shared" si="14"/>
        <v>0.98967436917036411</v>
      </c>
      <c r="P16" s="13">
        <f t="shared" si="14"/>
        <v>0.97185213898062051</v>
      </c>
    </row>
    <row r="17" spans="10:16" x14ac:dyDescent="0.3">
      <c r="J17" s="15" t="s">
        <v>107</v>
      </c>
      <c r="K17" s="16">
        <f>1-K16</f>
        <v>1.8434817233436984E-4</v>
      </c>
      <c r="L17" s="16">
        <f t="shared" ref="L17:P17" si="15">1-L16</f>
        <v>-2.623122459119287E-2</v>
      </c>
      <c r="M17" s="16">
        <f t="shared" si="15"/>
        <v>-2.2198391081670099E-2</v>
      </c>
      <c r="N17" s="16">
        <f t="shared" si="15"/>
        <v>-1.9709356290376956E-2</v>
      </c>
      <c r="O17" s="16">
        <f t="shared" si="15"/>
        <v>1.032563082963589E-2</v>
      </c>
      <c r="P17" s="16">
        <f t="shared" si="15"/>
        <v>2.8147861019379494E-2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1758-775F-4E6E-B15D-EA42BB570569}">
  <dimension ref="A1:P19"/>
  <sheetViews>
    <sheetView zoomScale="98" workbookViewId="0">
      <selection activeCell="K11" sqref="K11:P17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10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68</v>
      </c>
      <c r="B2" s="12">
        <v>2.5679258904414592E-2</v>
      </c>
      <c r="C2" s="12">
        <v>3.2608695652173912E-2</v>
      </c>
      <c r="D2" s="12">
        <v>1.2121212121212121E-2</v>
      </c>
      <c r="E2" s="12">
        <v>4.1139240506329111E-2</v>
      </c>
      <c r="F2" s="12">
        <v>4.1907514450867052E-2</v>
      </c>
      <c r="G2" s="12">
        <v>1.6728624535315983E-2</v>
      </c>
      <c r="H2" s="12">
        <v>1.4218009478672985E-2</v>
      </c>
      <c r="I2" s="11">
        <v>2.5679258904414592E-2</v>
      </c>
      <c r="J2" s="12">
        <v>2.5679258904414592E-2</v>
      </c>
      <c r="K2" s="12">
        <v>3.2608695652173912E-2</v>
      </c>
      <c r="L2" s="12">
        <v>1.2121212121212121E-2</v>
      </c>
      <c r="M2" s="12">
        <v>4.1139240506329111E-2</v>
      </c>
      <c r="N2" s="12">
        <v>4.1907514450867052E-2</v>
      </c>
      <c r="O2" s="12">
        <v>1.6728624535315983E-2</v>
      </c>
      <c r="P2" s="12">
        <v>1.4218009478672985E-2</v>
      </c>
    </row>
    <row r="3" spans="1:16" x14ac:dyDescent="0.3">
      <c r="A3" s="11" t="s">
        <v>67</v>
      </c>
      <c r="B3" s="12">
        <v>2.9046035098135792E-2</v>
      </c>
      <c r="C3" s="12">
        <v>4.5652173913043478E-2</v>
      </c>
      <c r="D3" s="12">
        <v>1.5151515151515152E-2</v>
      </c>
      <c r="E3" s="12">
        <v>6.3291139240506328E-3</v>
      </c>
      <c r="F3" s="12">
        <v>2.4566473988439308E-2</v>
      </c>
      <c r="G3" s="12">
        <v>3.1598513011152414E-2</v>
      </c>
      <c r="H3" s="12">
        <v>6.1611374407582936E-2</v>
      </c>
      <c r="I3" s="11">
        <v>5.4725294002550384E-2</v>
      </c>
      <c r="J3" s="11">
        <f>J2+B3</f>
        <v>5.4725294002550384E-2</v>
      </c>
      <c r="K3" s="11">
        <f t="shared" ref="K3:P8" si="0">K2+C3</f>
        <v>7.8260869565217384E-2</v>
      </c>
      <c r="L3" s="11">
        <f t="shared" si="0"/>
        <v>2.7272727272727275E-2</v>
      </c>
      <c r="M3" s="11">
        <f t="shared" si="0"/>
        <v>4.7468354430379743E-2</v>
      </c>
      <c r="N3" s="11">
        <f t="shared" si="0"/>
        <v>6.6473988439306353E-2</v>
      </c>
      <c r="O3" s="11">
        <f t="shared" si="0"/>
        <v>4.8327137546468397E-2</v>
      </c>
      <c r="P3" s="11">
        <f t="shared" si="0"/>
        <v>7.5829383886255916E-2</v>
      </c>
    </row>
    <row r="4" spans="1:16" x14ac:dyDescent="0.3">
      <c r="A4" s="11" t="s">
        <v>66</v>
      </c>
      <c r="B4" s="12">
        <v>4.3815319843738404E-2</v>
      </c>
      <c r="C4" s="12">
        <v>3.0434782608695653E-2</v>
      </c>
      <c r="D4" s="12">
        <v>2.7272727272727271E-2</v>
      </c>
      <c r="E4" s="12">
        <v>2.2151898734177215E-2</v>
      </c>
      <c r="F4" s="12">
        <v>5.2023121387283239E-2</v>
      </c>
      <c r="G4" s="12">
        <v>3.5315985130111527E-2</v>
      </c>
      <c r="H4" s="12">
        <v>6.6350710900473939E-2</v>
      </c>
      <c r="I4" s="11">
        <v>9.8540613846288788E-2</v>
      </c>
      <c r="J4" s="11">
        <f t="shared" ref="J4:J8" si="1">J3+B4</f>
        <v>9.8540613846288788E-2</v>
      </c>
      <c r="K4" s="11">
        <f t="shared" si="0"/>
        <v>0.10869565217391304</v>
      </c>
      <c r="L4" s="11">
        <f t="shared" si="0"/>
        <v>5.454545454545455E-2</v>
      </c>
      <c r="M4" s="11">
        <f t="shared" si="0"/>
        <v>6.9620253164556958E-2</v>
      </c>
      <c r="N4" s="11">
        <f t="shared" si="0"/>
        <v>0.11849710982658959</v>
      </c>
      <c r="O4" s="11">
        <f t="shared" si="0"/>
        <v>8.3643122676579917E-2</v>
      </c>
      <c r="P4" s="11">
        <f t="shared" si="0"/>
        <v>0.14218009478672985</v>
      </c>
    </row>
    <row r="5" spans="1:16" x14ac:dyDescent="0.3">
      <c r="A5" s="11" t="s">
        <v>65</v>
      </c>
      <c r="B5" s="12">
        <v>5.7201460060858363E-2</v>
      </c>
      <c r="C5" s="12">
        <v>6.0869565217391307E-2</v>
      </c>
      <c r="D5" s="12">
        <v>3.0303030303030304E-2</v>
      </c>
      <c r="E5" s="12">
        <v>2.8481012658227847E-2</v>
      </c>
      <c r="F5" s="12">
        <v>5.4913294797687862E-2</v>
      </c>
      <c r="G5" s="12">
        <v>5.0185873605947957E-2</v>
      </c>
      <c r="H5" s="12">
        <v>5.6872037914691941E-2</v>
      </c>
      <c r="I5" s="11">
        <v>0.15574207390714714</v>
      </c>
      <c r="J5" s="11">
        <f t="shared" si="1"/>
        <v>0.15574207390714714</v>
      </c>
      <c r="K5" s="11">
        <f t="shared" si="0"/>
        <v>0.16956521739130434</v>
      </c>
      <c r="L5" s="11">
        <f t="shared" si="0"/>
        <v>8.4848484848484854E-2</v>
      </c>
      <c r="M5" s="11">
        <f t="shared" si="0"/>
        <v>9.8101265822784806E-2</v>
      </c>
      <c r="N5" s="11">
        <f t="shared" si="0"/>
        <v>0.17341040462427745</v>
      </c>
      <c r="O5" s="11">
        <f t="shared" si="0"/>
        <v>0.13382899628252787</v>
      </c>
      <c r="P5" s="11">
        <f t="shared" si="0"/>
        <v>0.1990521327014218</v>
      </c>
    </row>
    <row r="6" spans="1:16" x14ac:dyDescent="0.3">
      <c r="A6" s="11" t="s">
        <v>64</v>
      </c>
      <c r="B6" s="12">
        <v>0.1901587580036839</v>
      </c>
      <c r="C6" s="12">
        <v>0.1</v>
      </c>
      <c r="D6" s="12">
        <v>0.11515151515151516</v>
      </c>
      <c r="E6" s="12">
        <v>7.2784810126582278E-2</v>
      </c>
      <c r="F6" s="12">
        <v>0.12427745664739884</v>
      </c>
      <c r="G6" s="12">
        <v>0.15241635687732341</v>
      </c>
      <c r="H6" s="12">
        <v>5.6872037914691941E-2</v>
      </c>
      <c r="I6" s="11">
        <v>0.34590083191083104</v>
      </c>
      <c r="J6" s="11">
        <f t="shared" si="1"/>
        <v>0.34590083191083104</v>
      </c>
      <c r="K6" s="11">
        <f t="shared" si="0"/>
        <v>0.26956521739130435</v>
      </c>
      <c r="L6" s="11">
        <f t="shared" si="0"/>
        <v>0.2</v>
      </c>
      <c r="M6" s="11">
        <f t="shared" si="0"/>
        <v>0.17088607594936708</v>
      </c>
      <c r="N6" s="11">
        <f t="shared" si="0"/>
        <v>0.29768786127167629</v>
      </c>
      <c r="O6" s="11">
        <f t="shared" si="0"/>
        <v>0.28624535315985128</v>
      </c>
      <c r="P6" s="11">
        <f t="shared" si="0"/>
        <v>0.25592417061611372</v>
      </c>
    </row>
    <row r="7" spans="1:16" x14ac:dyDescent="0.3">
      <c r="A7" s="11" t="s">
        <v>69</v>
      </c>
      <c r="B7" s="12">
        <v>0.27056331091064889</v>
      </c>
      <c r="C7" s="12">
        <v>0.2391304347826087</v>
      </c>
      <c r="D7" s="12">
        <v>0.32121212121212123</v>
      </c>
      <c r="E7" s="12">
        <v>0.41772151898734178</v>
      </c>
      <c r="F7" s="12">
        <v>0.3554913294797688</v>
      </c>
      <c r="G7" s="12">
        <v>0.27881040892193309</v>
      </c>
      <c r="H7" s="12">
        <v>0.30331753554502372</v>
      </c>
      <c r="I7" s="11">
        <v>0.61646414282147988</v>
      </c>
      <c r="J7" s="11">
        <f t="shared" si="1"/>
        <v>0.61646414282147988</v>
      </c>
      <c r="K7" s="11">
        <f t="shared" si="0"/>
        <v>0.50869565217391299</v>
      </c>
      <c r="L7" s="11">
        <f t="shared" si="0"/>
        <v>0.52121212121212124</v>
      </c>
      <c r="M7" s="11">
        <f t="shared" si="0"/>
        <v>0.58860759493670889</v>
      </c>
      <c r="N7" s="11">
        <f t="shared" si="0"/>
        <v>0.65317919075144504</v>
      </c>
      <c r="O7" s="11">
        <f t="shared" si="0"/>
        <v>0.56505576208178443</v>
      </c>
      <c r="P7" s="11">
        <f t="shared" si="0"/>
        <v>0.55924170616113744</v>
      </c>
    </row>
    <row r="8" spans="1:16" x14ac:dyDescent="0.3">
      <c r="A8" s="11" t="s">
        <v>63</v>
      </c>
      <c r="B8" s="12">
        <v>0.38353585717852012</v>
      </c>
      <c r="C8" s="12">
        <v>0.49130434782608695</v>
      </c>
      <c r="D8" s="12">
        <v>0.47878787878787876</v>
      </c>
      <c r="E8" s="12">
        <v>0.41139240506329117</v>
      </c>
      <c r="F8" s="12">
        <v>0.34682080924855491</v>
      </c>
      <c r="G8" s="12">
        <v>0.43494423791821563</v>
      </c>
      <c r="H8" s="12">
        <v>0.44075829383886256</v>
      </c>
      <c r="I8" s="11">
        <v>1</v>
      </c>
      <c r="J8" s="11">
        <f t="shared" si="1"/>
        <v>1</v>
      </c>
      <c r="K8" s="11">
        <f t="shared" si="0"/>
        <v>1</v>
      </c>
      <c r="L8" s="11">
        <f t="shared" si="0"/>
        <v>1</v>
      </c>
      <c r="M8" s="11">
        <f t="shared" si="0"/>
        <v>1</v>
      </c>
      <c r="N8" s="11">
        <f t="shared" si="0"/>
        <v>1</v>
      </c>
      <c r="O8" s="11">
        <f t="shared" si="0"/>
        <v>1</v>
      </c>
      <c r="P8" s="11">
        <f t="shared" si="0"/>
        <v>1</v>
      </c>
    </row>
    <row r="10" spans="1:16" ht="28.8" x14ac:dyDescent="0.3">
      <c r="B10" s="1" t="s">
        <v>86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J10" s="3"/>
      <c r="K10" s="13" t="s">
        <v>100</v>
      </c>
      <c r="L10" s="13" t="s">
        <v>101</v>
      </c>
      <c r="M10" s="13" t="s">
        <v>102</v>
      </c>
      <c r="N10" s="13" t="s">
        <v>103</v>
      </c>
      <c r="O10" s="13" t="s">
        <v>104</v>
      </c>
      <c r="P10" s="13" t="s">
        <v>105</v>
      </c>
    </row>
    <row r="11" spans="1:16" x14ac:dyDescent="0.3">
      <c r="B11" s="11" t="s">
        <v>68</v>
      </c>
      <c r="C11" s="11">
        <f>C2-B2</f>
        <v>6.9294367477593204E-3</v>
      </c>
      <c r="D11" s="11">
        <f>D2-B2</f>
        <v>-1.3558046783202471E-2</v>
      </c>
      <c r="E11" s="11">
        <f>E2-B2</f>
        <v>1.5459981601914519E-2</v>
      </c>
      <c r="F11" s="11">
        <f>F2-B2</f>
        <v>1.622825554645246E-2</v>
      </c>
      <c r="G11" s="11">
        <f>G2-B2</f>
        <v>-8.9506343690986083E-3</v>
      </c>
      <c r="H11" s="11">
        <f>H2-B2</f>
        <v>-1.1461249425741607E-2</v>
      </c>
      <c r="J11" s="11" t="s">
        <v>68</v>
      </c>
      <c r="K11" s="3">
        <f>(J2-0) * ((K2+0))</f>
        <v>8.373671381874323E-4</v>
      </c>
      <c r="L11" s="3">
        <f>(J2-0) * ((L2+0))</f>
        <v>3.1126374429593445E-4</v>
      </c>
      <c r="M11" s="3">
        <f>(J2-0) * ((M2+0))</f>
        <v>1.0564252080930052E-3</v>
      </c>
      <c r="N11" s="3">
        <f>(J2-0) * ((N2+0))</f>
        <v>1.076153913624311E-3</v>
      </c>
      <c r="O11" s="3">
        <f>(J2-0) * ((O2+0))</f>
        <v>4.2957868055712136E-4</v>
      </c>
      <c r="P11" s="3">
        <f>(J2-0) * ((P2+0))</f>
        <v>3.6510794650826433E-4</v>
      </c>
    </row>
    <row r="12" spans="1:16" x14ac:dyDescent="0.3">
      <c r="B12" s="11" t="s">
        <v>67</v>
      </c>
      <c r="C12" s="11">
        <f t="shared" ref="C12:C17" si="2">C3-B3</f>
        <v>1.6606138814907686E-2</v>
      </c>
      <c r="D12" s="11">
        <f t="shared" ref="D12:D17" si="3">D3-B3</f>
        <v>-1.3894519946620641E-2</v>
      </c>
      <c r="E12" s="11">
        <f t="shared" ref="E12:E17" si="4">E3-B3</f>
        <v>-2.2716921174085161E-2</v>
      </c>
      <c r="F12" s="11">
        <f t="shared" ref="F12:F17" si="5">F3-B3</f>
        <v>-4.4795611096964845E-3</v>
      </c>
      <c r="G12" s="11">
        <f t="shared" ref="G12:G17" si="6">G3-B3</f>
        <v>2.5524779130166216E-3</v>
      </c>
      <c r="H12" s="11">
        <f t="shared" ref="H12:H17" si="7">H3-B3</f>
        <v>3.2565339309447147E-2</v>
      </c>
      <c r="J12" s="11" t="s">
        <v>67</v>
      </c>
      <c r="K12" s="3">
        <f>(J3-J2) * ((K3+K2))</f>
        <v>3.2203212826194031E-3</v>
      </c>
      <c r="L12" s="3">
        <f>(J3-J2) * ((L3+L2))</f>
        <v>1.144237746290198E-3</v>
      </c>
      <c r="M12" s="3">
        <f>(J3-J2) * ((M3+M2))</f>
        <v>2.5736993124930449E-3</v>
      </c>
      <c r="N12" s="3">
        <f>(J3-J2) * ((N3+N2))</f>
        <v>3.1480529369366825E-3</v>
      </c>
      <c r="O12" s="3">
        <f>(J3-J2) * ((O3+O2))</f>
        <v>1.8896119487634806E-3</v>
      </c>
      <c r="P12" s="3">
        <f>(J3-J2) * ((P3+P2))</f>
        <v>2.6155197481733646E-3</v>
      </c>
    </row>
    <row r="13" spans="1:16" x14ac:dyDescent="0.3">
      <c r="B13" s="11" t="s">
        <v>66</v>
      </c>
      <c r="C13" s="11">
        <f t="shared" si="2"/>
        <v>-1.3380537235042751E-2</v>
      </c>
      <c r="D13" s="11">
        <f t="shared" si="3"/>
        <v>-1.6542592571011133E-2</v>
      </c>
      <c r="E13" s="11">
        <f t="shared" si="4"/>
        <v>-2.1663421109561189E-2</v>
      </c>
      <c r="F13" s="11">
        <f t="shared" si="5"/>
        <v>8.2078015435448348E-3</v>
      </c>
      <c r="G13" s="11">
        <f t="shared" si="6"/>
        <v>-8.4993347136268771E-3</v>
      </c>
      <c r="H13" s="11">
        <f t="shared" si="7"/>
        <v>2.2535391056735535E-2</v>
      </c>
      <c r="J13" s="11" t="s">
        <v>66</v>
      </c>
      <c r="K13" s="3">
        <f t="shared" ref="K13:K17" si="8">(J4-J3) * ((K4+K3))</f>
        <v>8.1915597968728309E-3</v>
      </c>
      <c r="L13" s="3">
        <f t="shared" ref="L13:L17" si="9">(J4-J3) * ((L4+L3))</f>
        <v>3.5848898053967783E-3</v>
      </c>
      <c r="M13" s="3">
        <f t="shared" ref="M13:M17" si="10">(J4-J3) * ((M4+M3))</f>
        <v>5.130274791830129E-3</v>
      </c>
      <c r="N13" s="3">
        <f t="shared" ref="N13:N17" si="11">(J4-J3) * ((N4+N3))</f>
        <v>8.1045678323677962E-3</v>
      </c>
      <c r="O13" s="3">
        <f t="shared" ref="O13:O17" si="12">(J4-J3) * ((O4+O3))</f>
        <v>5.7823191615342497E-3</v>
      </c>
      <c r="P13" s="3">
        <f t="shared" ref="P13:P17" si="13">(J4-J3) * ((P4+P3))</f>
        <v>9.5521550370235367E-3</v>
      </c>
    </row>
    <row r="14" spans="1:16" x14ac:dyDescent="0.3">
      <c r="B14" s="11" t="s">
        <v>65</v>
      </c>
      <c r="C14" s="11">
        <f t="shared" si="2"/>
        <v>3.6681051565329442E-3</v>
      </c>
      <c r="D14" s="11">
        <f t="shared" si="3"/>
        <v>-2.6898429757828059E-2</v>
      </c>
      <c r="E14" s="11">
        <f t="shared" si="4"/>
        <v>-2.8720447402630515E-2</v>
      </c>
      <c r="F14" s="11">
        <f t="shared" si="5"/>
        <v>-2.288165263170501E-3</v>
      </c>
      <c r="G14" s="11">
        <f t="shared" si="6"/>
        <v>-7.0155864549104052E-3</v>
      </c>
      <c r="H14" s="11">
        <f t="shared" si="7"/>
        <v>-3.2942214616642207E-4</v>
      </c>
      <c r="J14" s="11" t="s">
        <v>65</v>
      </c>
      <c r="K14" s="3">
        <f t="shared" si="8"/>
        <v>1.5916928016934499E-2</v>
      </c>
      <c r="L14" s="3">
        <f t="shared" si="9"/>
        <v>7.9735368569681352E-3</v>
      </c>
      <c r="M14" s="3">
        <f t="shared" si="10"/>
        <v>9.5939157697009277E-3</v>
      </c>
      <c r="N14" s="3">
        <f t="shared" si="11"/>
        <v>1.6697536029325704E-2</v>
      </c>
      <c r="O14" s="3">
        <f t="shared" si="12"/>
        <v>1.2439722726989641E-2</v>
      </c>
      <c r="P14" s="3">
        <f t="shared" si="13"/>
        <v>1.951898163214124E-2</v>
      </c>
    </row>
    <row r="15" spans="1:16" x14ac:dyDescent="0.3">
      <c r="B15" s="11" t="s">
        <v>64</v>
      </c>
      <c r="C15" s="11">
        <f t="shared" si="2"/>
        <v>-9.0158758003683892E-2</v>
      </c>
      <c r="D15" s="11">
        <f t="shared" si="3"/>
        <v>-7.500724285216874E-2</v>
      </c>
      <c r="E15" s="11">
        <f t="shared" si="4"/>
        <v>-0.11737394787710162</v>
      </c>
      <c r="F15" s="11">
        <f t="shared" si="5"/>
        <v>-6.588130135628506E-2</v>
      </c>
      <c r="G15" s="11">
        <f t="shared" si="6"/>
        <v>-3.7742401126360486E-2</v>
      </c>
      <c r="H15" s="11">
        <f t="shared" si="7"/>
        <v>-0.13328672008899195</v>
      </c>
      <c r="J15" s="11" t="s">
        <v>64</v>
      </c>
      <c r="K15" s="3">
        <f t="shared" si="8"/>
        <v>8.3504498079878586E-2</v>
      </c>
      <c r="L15" s="3">
        <f t="shared" si="9"/>
        <v>5.4166434098019051E-2</v>
      </c>
      <c r="M15" s="3">
        <f t="shared" si="10"/>
        <v>5.1150298830104843E-2</v>
      </c>
      <c r="N15" s="3">
        <f t="shared" si="11"/>
        <v>8.9583461140463796E-2</v>
      </c>
      <c r="O15" s="3">
        <f t="shared" si="12"/>
        <v>7.9880816559168316E-2</v>
      </c>
      <c r="P15" s="3">
        <f t="shared" si="13"/>
        <v>8.6517728759969922E-2</v>
      </c>
    </row>
    <row r="16" spans="1:16" x14ac:dyDescent="0.3">
      <c r="B16" s="11" t="s">
        <v>69</v>
      </c>
      <c r="C16" s="11">
        <f t="shared" si="2"/>
        <v>-3.1432876128040188E-2</v>
      </c>
      <c r="D16" s="11">
        <f t="shared" si="3"/>
        <v>5.0648810301472336E-2</v>
      </c>
      <c r="E16" s="11">
        <f t="shared" si="4"/>
        <v>0.14715820807669289</v>
      </c>
      <c r="F16" s="11">
        <f t="shared" si="5"/>
        <v>8.4928018569119912E-2</v>
      </c>
      <c r="G16" s="11">
        <f t="shared" si="6"/>
        <v>8.2470980112842041E-3</v>
      </c>
      <c r="H16" s="11">
        <f t="shared" si="7"/>
        <v>3.2754224634374829E-2</v>
      </c>
      <c r="J16" s="11" t="s">
        <v>69</v>
      </c>
      <c r="K16" s="3">
        <f t="shared" si="8"/>
        <v>0.21056883762176581</v>
      </c>
      <c r="L16" s="3">
        <f t="shared" si="9"/>
        <v>0.19513353938404371</v>
      </c>
      <c r="M16" s="3">
        <f t="shared" si="10"/>
        <v>0.20549112221061938</v>
      </c>
      <c r="N16" s="3">
        <f t="shared" si="11"/>
        <v>0.25726973783122387</v>
      </c>
      <c r="O16" s="3">
        <f t="shared" si="12"/>
        <v>0.23033084832170475</v>
      </c>
      <c r="P16" s="3">
        <f t="shared" si="13"/>
        <v>0.22055397856223508</v>
      </c>
    </row>
    <row r="17" spans="2:16" x14ac:dyDescent="0.3">
      <c r="B17" s="11" t="s">
        <v>63</v>
      </c>
      <c r="C17" s="11">
        <f t="shared" si="2"/>
        <v>0.10776849064756683</v>
      </c>
      <c r="D17" s="11">
        <f t="shared" si="3"/>
        <v>9.5252021609358639E-2</v>
      </c>
      <c r="E17" s="11">
        <f t="shared" si="4"/>
        <v>2.7856547884771043E-2</v>
      </c>
      <c r="F17" s="11">
        <f t="shared" si="5"/>
        <v>-3.6715047929965217E-2</v>
      </c>
      <c r="G17" s="11">
        <f t="shared" si="6"/>
        <v>5.1408380739695503E-2</v>
      </c>
      <c r="H17" s="11">
        <f t="shared" si="7"/>
        <v>5.7222436660342435E-2</v>
      </c>
      <c r="J17" s="11" t="s">
        <v>63</v>
      </c>
      <c r="K17" s="3">
        <f t="shared" si="8"/>
        <v>0.57863888017802811</v>
      </c>
      <c r="L17" s="3">
        <f t="shared" si="9"/>
        <v>0.58343939485944574</v>
      </c>
      <c r="M17" s="3">
        <f t="shared" si="10"/>
        <v>0.60928797564435788</v>
      </c>
      <c r="N17" s="3">
        <f t="shared" si="11"/>
        <v>0.63405349799454769</v>
      </c>
      <c r="O17" s="3">
        <f t="shared" si="12"/>
        <v>0.60025500324221925</v>
      </c>
      <c r="P17" s="3">
        <f t="shared" si="13"/>
        <v>0.59802510432101008</v>
      </c>
    </row>
    <row r="18" spans="2:16" x14ac:dyDescent="0.3">
      <c r="J18" s="14" t="s">
        <v>106</v>
      </c>
      <c r="K18" s="13">
        <f>SUM(K11:K17)</f>
        <v>0.90087839211428666</v>
      </c>
      <c r="L18" s="13">
        <f t="shared" ref="L18:P18" si="14">SUM(L11:L17)</f>
        <v>0.84575329649445952</v>
      </c>
      <c r="M18" s="13">
        <f t="shared" si="14"/>
        <v>0.88428371176719922</v>
      </c>
      <c r="N18" s="13">
        <f t="shared" si="14"/>
        <v>1.0099330076784898</v>
      </c>
      <c r="O18" s="13">
        <f t="shared" si="14"/>
        <v>0.93100790064093686</v>
      </c>
      <c r="P18" s="13">
        <f t="shared" si="14"/>
        <v>0.93714857600706147</v>
      </c>
    </row>
    <row r="19" spans="2:16" x14ac:dyDescent="0.3">
      <c r="J19" s="15" t="s">
        <v>107</v>
      </c>
      <c r="K19" s="16">
        <f>1-K18</f>
        <v>9.9121607885713336E-2</v>
      </c>
      <c r="L19" s="16">
        <f t="shared" ref="L19:P19" si="15">1-L18</f>
        <v>0.15424670350554048</v>
      </c>
      <c r="M19" s="16">
        <f t="shared" si="15"/>
        <v>0.11571628823280078</v>
      </c>
      <c r="N19" s="16">
        <f t="shared" si="15"/>
        <v>-9.9330076784898136E-3</v>
      </c>
      <c r="O19" s="16">
        <f t="shared" si="15"/>
        <v>6.8992099359063142E-2</v>
      </c>
      <c r="P19" s="16">
        <f t="shared" si="15"/>
        <v>6.2851423992938527E-2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B109-4067-48F5-9D8F-ACE4BE342234}">
  <dimension ref="A1:P17"/>
  <sheetViews>
    <sheetView topLeftCell="I1" workbookViewId="0">
      <selection activeCell="Z21" sqref="Z21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75</v>
      </c>
      <c r="B2" s="12">
        <v>5.9393815695479128E-2</v>
      </c>
      <c r="C2" s="12">
        <v>2.6785714285714284E-2</v>
      </c>
      <c r="D2" s="12">
        <v>9.433962264150943E-3</v>
      </c>
      <c r="E2" s="12">
        <v>5.7692307692307696E-2</v>
      </c>
      <c r="F2" s="12">
        <v>6.25E-2</v>
      </c>
      <c r="G2" s="12">
        <v>8.8353413654618476E-2</v>
      </c>
      <c r="H2" s="12">
        <v>0.10185185185185185</v>
      </c>
      <c r="I2" s="11">
        <v>5.9393815695479128E-2</v>
      </c>
      <c r="J2" s="12">
        <v>5.9393815695479128E-2</v>
      </c>
      <c r="K2" s="12">
        <v>2.6785714285714284E-2</v>
      </c>
      <c r="L2" s="12">
        <v>9.433962264150943E-3</v>
      </c>
      <c r="M2" s="12">
        <v>5.7692307692307696E-2</v>
      </c>
      <c r="N2" s="12">
        <v>6.25E-2</v>
      </c>
      <c r="O2" s="12">
        <v>8.8353413654618476E-2</v>
      </c>
      <c r="P2" s="12">
        <v>0.10185185185185185</v>
      </c>
    </row>
    <row r="3" spans="1:16" x14ac:dyDescent="0.3">
      <c r="A3" s="11" t="s">
        <v>71</v>
      </c>
      <c r="B3" s="12">
        <v>7.6276004840144032E-2</v>
      </c>
      <c r="C3" s="12">
        <v>6.25E-2</v>
      </c>
      <c r="D3" s="12">
        <v>7.5471698113207544E-2</v>
      </c>
      <c r="E3" s="12">
        <v>9.6153846153846159E-2</v>
      </c>
      <c r="F3" s="12">
        <v>6.5972222222222224E-2</v>
      </c>
      <c r="G3" s="12">
        <v>6.8273092369477914E-2</v>
      </c>
      <c r="H3" s="12">
        <v>4.6296296296296294E-2</v>
      </c>
      <c r="I3" s="11">
        <v>0.13566982053562315</v>
      </c>
      <c r="J3" s="11">
        <f t="shared" ref="J3:P7" si="0">J2+B3</f>
        <v>0.13566982053562315</v>
      </c>
      <c r="K3" s="11">
        <f t="shared" si="0"/>
        <v>8.9285714285714288E-2</v>
      </c>
      <c r="L3" s="11">
        <f t="shared" si="0"/>
        <v>8.4905660377358486E-2</v>
      </c>
      <c r="M3" s="11">
        <f t="shared" si="0"/>
        <v>0.15384615384615385</v>
      </c>
      <c r="N3" s="11">
        <f t="shared" si="0"/>
        <v>0.12847222222222221</v>
      </c>
      <c r="O3" s="11">
        <f t="shared" si="0"/>
        <v>0.15662650602409639</v>
      </c>
      <c r="P3" s="11">
        <f t="shared" si="0"/>
        <v>0.14814814814814814</v>
      </c>
    </row>
    <row r="4" spans="1:16" x14ac:dyDescent="0.3">
      <c r="A4" s="11" t="s">
        <v>72</v>
      </c>
      <c r="B4" s="12">
        <v>7.796713950403103E-2</v>
      </c>
      <c r="C4" s="12">
        <v>5.8035714285714288E-2</v>
      </c>
      <c r="D4" s="12">
        <v>4.716981132075472E-2</v>
      </c>
      <c r="E4" s="12">
        <v>8.3333333333333329E-2</v>
      </c>
      <c r="F4" s="12">
        <v>0.1076388888888889</v>
      </c>
      <c r="G4" s="12">
        <v>7.6305220883534142E-2</v>
      </c>
      <c r="H4" s="12">
        <v>0.10185185185185185</v>
      </c>
      <c r="I4" s="11">
        <v>0.21363696003965418</v>
      </c>
      <c r="J4" s="11">
        <f t="shared" si="0"/>
        <v>0.21363696003965418</v>
      </c>
      <c r="K4" s="11">
        <f t="shared" si="0"/>
        <v>0.14732142857142858</v>
      </c>
      <c r="L4" s="11">
        <f t="shared" si="0"/>
        <v>0.13207547169811321</v>
      </c>
      <c r="M4" s="11">
        <f t="shared" si="0"/>
        <v>0.23717948717948717</v>
      </c>
      <c r="N4" s="11">
        <f t="shared" si="0"/>
        <v>0.2361111111111111</v>
      </c>
      <c r="O4" s="11">
        <f t="shared" si="0"/>
        <v>0.23293172690763053</v>
      </c>
      <c r="P4" s="11">
        <f t="shared" si="0"/>
        <v>0.25</v>
      </c>
    </row>
    <row r="5" spans="1:16" x14ac:dyDescent="0.3">
      <c r="A5" s="11" t="s">
        <v>74</v>
      </c>
      <c r="B5" s="12">
        <v>8.1772192497776744E-2</v>
      </c>
      <c r="C5" s="12">
        <v>6.6964285714285712E-2</v>
      </c>
      <c r="D5" s="12">
        <v>5.6603773584905662E-2</v>
      </c>
      <c r="E5" s="12">
        <v>7.6923076923076927E-2</v>
      </c>
      <c r="F5" s="12">
        <v>7.9861111111111105E-2</v>
      </c>
      <c r="G5" s="12">
        <v>9.6385542168674704E-2</v>
      </c>
      <c r="H5" s="12">
        <v>8.3333333333333329E-2</v>
      </c>
      <c r="I5" s="11">
        <v>0.29540915253743094</v>
      </c>
      <c r="J5" s="11">
        <f t="shared" si="0"/>
        <v>0.29540915253743094</v>
      </c>
      <c r="K5" s="11">
        <f t="shared" si="0"/>
        <v>0.2142857142857143</v>
      </c>
      <c r="L5" s="11">
        <f t="shared" si="0"/>
        <v>0.18867924528301888</v>
      </c>
      <c r="M5" s="11">
        <f t="shared" si="0"/>
        <v>0.3141025641025641</v>
      </c>
      <c r="N5" s="11">
        <f t="shared" si="0"/>
        <v>0.31597222222222221</v>
      </c>
      <c r="O5" s="11">
        <f t="shared" si="0"/>
        <v>0.32931726907630521</v>
      </c>
      <c r="P5" s="11">
        <f t="shared" si="0"/>
        <v>0.33333333333333331</v>
      </c>
    </row>
    <row r="6" spans="1:16" x14ac:dyDescent="0.3">
      <c r="A6" s="11" t="s">
        <v>73</v>
      </c>
      <c r="B6" s="12">
        <v>9.4266178764596975E-2</v>
      </c>
      <c r="C6" s="12">
        <v>3.5714285714285712E-2</v>
      </c>
      <c r="D6" s="12">
        <v>2.8301886792452831E-2</v>
      </c>
      <c r="E6" s="12">
        <v>3.8461538461538464E-2</v>
      </c>
      <c r="F6" s="12">
        <v>8.3333333333333329E-2</v>
      </c>
      <c r="G6" s="12">
        <v>5.6224899598393573E-2</v>
      </c>
      <c r="H6" s="12">
        <v>6.4814814814814811E-2</v>
      </c>
      <c r="I6" s="11">
        <v>0.38967533130202792</v>
      </c>
      <c r="J6" s="11">
        <f t="shared" si="0"/>
        <v>0.38967533130202792</v>
      </c>
      <c r="K6" s="11">
        <f t="shared" si="0"/>
        <v>0.25</v>
      </c>
      <c r="L6" s="11">
        <f t="shared" si="0"/>
        <v>0.21698113207547171</v>
      </c>
      <c r="M6" s="11">
        <f t="shared" si="0"/>
        <v>0.35256410256410253</v>
      </c>
      <c r="N6" s="11">
        <f t="shared" si="0"/>
        <v>0.39930555555555552</v>
      </c>
      <c r="O6" s="11">
        <f t="shared" si="0"/>
        <v>0.38554216867469876</v>
      </c>
      <c r="P6" s="11">
        <f t="shared" si="0"/>
        <v>0.39814814814814814</v>
      </c>
    </row>
    <row r="7" spans="1:16" x14ac:dyDescent="0.3">
      <c r="A7" s="11" t="s">
        <v>70</v>
      </c>
      <c r="B7" s="12">
        <v>0.61032466869797208</v>
      </c>
      <c r="C7" s="12">
        <v>0.75</v>
      </c>
      <c r="D7" s="12">
        <v>0.78301886792452835</v>
      </c>
      <c r="E7" s="12">
        <v>0.64743589743589747</v>
      </c>
      <c r="F7" s="12">
        <v>0.60069444444444442</v>
      </c>
      <c r="G7" s="12">
        <v>0.61445783132530118</v>
      </c>
      <c r="H7" s="12">
        <v>0.60185185185185186</v>
      </c>
      <c r="I7" s="11">
        <v>1</v>
      </c>
      <c r="J7" s="11">
        <f t="shared" si="0"/>
        <v>1</v>
      </c>
      <c r="K7" s="11">
        <f t="shared" si="0"/>
        <v>1</v>
      </c>
      <c r="L7" s="11">
        <f t="shared" si="0"/>
        <v>1</v>
      </c>
      <c r="M7" s="11">
        <f t="shared" si="0"/>
        <v>1</v>
      </c>
      <c r="N7" s="11">
        <f t="shared" si="0"/>
        <v>1</v>
      </c>
      <c r="O7" s="11">
        <f t="shared" si="0"/>
        <v>1</v>
      </c>
      <c r="P7" s="11">
        <f t="shared" si="0"/>
        <v>1</v>
      </c>
    </row>
    <row r="9" spans="1:16" ht="28.8" x14ac:dyDescent="0.3">
      <c r="B9" s="1" t="s">
        <v>86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J9" s="1" t="s">
        <v>86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</row>
    <row r="10" spans="1:16" x14ac:dyDescent="0.3">
      <c r="B10" s="11" t="s">
        <v>75</v>
      </c>
      <c r="C10" s="11">
        <f>C2-B2</f>
        <v>-3.2608101409764848E-2</v>
      </c>
      <c r="D10" s="11">
        <f>D2-B2</f>
        <v>-4.9959853431328187E-2</v>
      </c>
      <c r="E10" s="11">
        <f>E2-B2</f>
        <v>-1.7015080031714327E-3</v>
      </c>
      <c r="F10" s="11">
        <f>F2-B2</f>
        <v>3.1061843045208717E-3</v>
      </c>
      <c r="G10" s="11">
        <f>G2-B2</f>
        <v>2.8959597959139348E-2</v>
      </c>
      <c r="H10" s="11">
        <f>H2-B2</f>
        <v>4.2458036156372718E-2</v>
      </c>
      <c r="J10" s="11" t="s">
        <v>75</v>
      </c>
      <c r="K10" s="3">
        <f>(J2-0) * ((K2+0))</f>
        <v>1.5909057775574766E-3</v>
      </c>
      <c r="L10" s="3">
        <f>(J2-0) * ((L2+0))</f>
        <v>5.603190159950861E-4</v>
      </c>
      <c r="M10" s="3">
        <f>(J2-0) * ((M2+0))</f>
        <v>3.4265662901237959E-3</v>
      </c>
      <c r="N10" s="3">
        <f>(J2-0) * ((N2+0))</f>
        <v>3.7121134809674455E-3</v>
      </c>
      <c r="O10" s="3">
        <f>(J2-0) * ((O2+0))</f>
        <v>5.2476463666688384E-3</v>
      </c>
      <c r="P10" s="3">
        <f>(J2-0) * ((P2+0))</f>
        <v>6.0493701171321331E-3</v>
      </c>
    </row>
    <row r="11" spans="1:16" x14ac:dyDescent="0.3">
      <c r="B11" s="11" t="s">
        <v>71</v>
      </c>
      <c r="C11" s="11">
        <f t="shared" ref="C11:C15" si="1">C3-B3</f>
        <v>-1.3776004840144032E-2</v>
      </c>
      <c r="D11" s="11">
        <f t="shared" ref="D11:D15" si="2">D3-B3</f>
        <v>-8.0430672693648786E-4</v>
      </c>
      <c r="E11" s="11">
        <f t="shared" ref="E11:E15" si="3">E3-B3</f>
        <v>1.9877841313702127E-2</v>
      </c>
      <c r="F11" s="11">
        <f t="shared" ref="F11:F15" si="4">F3-B3</f>
        <v>-1.0303782617921808E-2</v>
      </c>
      <c r="G11" s="11">
        <f t="shared" ref="G11:G15" si="5">G3-B3</f>
        <v>-8.0029124706661181E-3</v>
      </c>
      <c r="H11" s="11">
        <f t="shared" ref="H11:H15" si="6">H3-B3</f>
        <v>-2.9979708543847738E-2</v>
      </c>
      <c r="J11" s="11" t="s">
        <v>71</v>
      </c>
      <c r="K11" s="3">
        <f>(J3-J2) * ((K3+K2))</f>
        <v>8.8534648475167167E-3</v>
      </c>
      <c r="L11" s="3">
        <f>(J3-J2) * ((L3+L2))</f>
        <v>7.1958495132211329E-3</v>
      </c>
      <c r="M11" s="3">
        <f>(J3-J2) * ((M3+M2))</f>
        <v>1.6135308716184314E-2</v>
      </c>
      <c r="N11" s="3">
        <f>(J3-J2) * ((N3+N2))</f>
        <v>1.456659814655528E-2</v>
      </c>
      <c r="O11" s="3">
        <f>(J3-J2) * ((O3+O2))</f>
        <v>1.8686089539151747E-2</v>
      </c>
      <c r="P11" s="3">
        <f>(J3-J2) * ((P3+P2))</f>
        <v>1.9069001210036005E-2</v>
      </c>
    </row>
    <row r="12" spans="1:16" x14ac:dyDescent="0.3">
      <c r="B12" s="11" t="s">
        <v>72</v>
      </c>
      <c r="C12" s="11">
        <f t="shared" si="1"/>
        <v>-1.9931425218316742E-2</v>
      </c>
      <c r="D12" s="11">
        <f t="shared" si="2"/>
        <v>-3.079732818327631E-2</v>
      </c>
      <c r="E12" s="11">
        <f t="shared" si="3"/>
        <v>5.3661938293022987E-3</v>
      </c>
      <c r="F12" s="11">
        <f t="shared" si="4"/>
        <v>2.9671749384857865E-2</v>
      </c>
      <c r="G12" s="11">
        <f t="shared" si="5"/>
        <v>-1.6619186204968883E-3</v>
      </c>
      <c r="H12" s="11">
        <f t="shared" si="6"/>
        <v>2.3884712347820816E-2</v>
      </c>
      <c r="J12" s="11" t="s">
        <v>72</v>
      </c>
      <c r="K12" s="3">
        <f t="shared" ref="K12:K15" si="7">(J4-J3) * ((K4+K3))</f>
        <v>1.8447582114793054E-2</v>
      </c>
      <c r="L12" s="3">
        <f t="shared" ref="L12:L15" si="8">(J4-J3) * ((L4+L3))</f>
        <v>1.6917398194270884E-2</v>
      </c>
      <c r="M12" s="3">
        <f t="shared" ref="M12:M15" si="9">(J4-J3) * ((M4+M3))</f>
        <v>3.0487150703499312E-2</v>
      </c>
      <c r="N12" s="3">
        <f t="shared" ref="N12:N15" si="10">(J4-J3) * ((N4+N3))</f>
        <v>2.8425519610844645E-2</v>
      </c>
      <c r="O12" s="3">
        <f t="shared" ref="O12:O15" si="11">(J4-J3) * ((O4+O3))</f>
        <v>3.0372741091931769E-2</v>
      </c>
      <c r="P12" s="3">
        <f t="shared" ref="P12:P15" si="12">(J4-J3) * ((P4+P3))</f>
        <v>3.104247220993828E-2</v>
      </c>
    </row>
    <row r="13" spans="1:16" x14ac:dyDescent="0.3">
      <c r="B13" s="11" t="s">
        <v>74</v>
      </c>
      <c r="C13" s="11">
        <f t="shared" si="1"/>
        <v>-1.4807906783491032E-2</v>
      </c>
      <c r="D13" s="11">
        <f t="shared" si="2"/>
        <v>-2.5168418912871082E-2</v>
      </c>
      <c r="E13" s="11">
        <f t="shared" si="3"/>
        <v>-4.8491155746998166E-3</v>
      </c>
      <c r="F13" s="11">
        <f t="shared" si="4"/>
        <v>-1.911081386665639E-3</v>
      </c>
      <c r="G13" s="11">
        <f t="shared" si="5"/>
        <v>1.461334967089796E-2</v>
      </c>
      <c r="H13" s="11">
        <f t="shared" si="6"/>
        <v>1.5611408355565848E-3</v>
      </c>
      <c r="J13" s="11" t="s">
        <v>74</v>
      </c>
      <c r="K13" s="3">
        <f t="shared" si="7"/>
        <v>2.9569408894285349E-2</v>
      </c>
      <c r="L13" s="3">
        <f t="shared" si="8"/>
        <v>2.6228816461551039E-2</v>
      </c>
      <c r="M13" s="3">
        <f t="shared" si="9"/>
        <v>4.5079542018005139E-2</v>
      </c>
      <c r="N13" s="3">
        <f t="shared" si="10"/>
        <v>4.514506460814758E-2</v>
      </c>
      <c r="O13" s="3">
        <f t="shared" si="11"/>
        <v>4.5976333131280106E-2</v>
      </c>
      <c r="P13" s="3">
        <f t="shared" si="12"/>
        <v>4.7700445623703104E-2</v>
      </c>
    </row>
    <row r="14" spans="1:16" x14ac:dyDescent="0.3">
      <c r="B14" s="11" t="s">
        <v>73</v>
      </c>
      <c r="C14" s="11">
        <f t="shared" si="1"/>
        <v>-5.8551893050311263E-2</v>
      </c>
      <c r="D14" s="11">
        <f t="shared" si="2"/>
        <v>-6.5964291972144151E-2</v>
      </c>
      <c r="E14" s="11">
        <f t="shared" si="3"/>
        <v>-5.5804640303058511E-2</v>
      </c>
      <c r="F14" s="11">
        <f t="shared" si="4"/>
        <v>-1.0932845431263646E-2</v>
      </c>
      <c r="G14" s="11">
        <f t="shared" si="5"/>
        <v>-3.8041279166203402E-2</v>
      </c>
      <c r="H14" s="11">
        <f t="shared" si="6"/>
        <v>-2.9451363949782164E-2</v>
      </c>
      <c r="J14" s="11" t="s">
        <v>73</v>
      </c>
      <c r="K14" s="3">
        <f t="shared" si="7"/>
        <v>4.3766440140705742E-2</v>
      </c>
      <c r="L14" s="3">
        <f t="shared" si="8"/>
        <v>3.8240053649789343E-2</v>
      </c>
      <c r="M14" s="3">
        <f t="shared" si="9"/>
        <v>6.2844119176397983E-2</v>
      </c>
      <c r="N14" s="3">
        <f t="shared" si="10"/>
        <v>6.7426502866343663E-2</v>
      </c>
      <c r="O14" s="3">
        <f t="shared" si="11"/>
        <v>6.7387067550595425E-2</v>
      </c>
      <c r="P14" s="3">
        <f t="shared" si="12"/>
        <v>6.8953964096325551E-2</v>
      </c>
    </row>
    <row r="15" spans="1:16" x14ac:dyDescent="0.3">
      <c r="B15" s="11" t="s">
        <v>70</v>
      </c>
      <c r="C15" s="11">
        <f t="shared" si="1"/>
        <v>0.13967533130202792</v>
      </c>
      <c r="D15" s="11">
        <f t="shared" si="2"/>
        <v>0.17269419922655627</v>
      </c>
      <c r="E15" s="11">
        <f t="shared" si="3"/>
        <v>3.7111228737925384E-2</v>
      </c>
      <c r="F15" s="11">
        <f t="shared" si="4"/>
        <v>-9.6302242535276639E-3</v>
      </c>
      <c r="G15" s="11">
        <f t="shared" si="5"/>
        <v>4.1331626273291011E-3</v>
      </c>
      <c r="H15" s="11">
        <f t="shared" si="6"/>
        <v>-8.4728168461202236E-3</v>
      </c>
      <c r="J15" s="11" t="s">
        <v>70</v>
      </c>
      <c r="K15" s="3">
        <f t="shared" si="7"/>
        <v>0.76290583587246508</v>
      </c>
      <c r="L15" s="3">
        <f t="shared" si="8"/>
        <v>0.74275360624564535</v>
      </c>
      <c r="M15" s="3">
        <f t="shared" si="9"/>
        <v>0.82550323779020585</v>
      </c>
      <c r="N15" s="3">
        <f t="shared" si="10"/>
        <v>0.85403069960167621</v>
      </c>
      <c r="O15" s="3">
        <f t="shared" si="11"/>
        <v>0.84563056506345524</v>
      </c>
      <c r="P15" s="3">
        <f t="shared" si="12"/>
        <v>0.85332430530920167</v>
      </c>
    </row>
    <row r="16" spans="1:16" x14ac:dyDescent="0.3">
      <c r="J16" s="14" t="s">
        <v>106</v>
      </c>
      <c r="K16" s="13">
        <f>SUM(K10:K15)</f>
        <v>0.86513363764732343</v>
      </c>
      <c r="L16" s="13">
        <f t="shared" ref="L16:P16" si="13">SUM(L10:L15)</f>
        <v>0.83189604308047282</v>
      </c>
      <c r="M16" s="13">
        <f t="shared" si="13"/>
        <v>0.98347592469441636</v>
      </c>
      <c r="N16" s="13">
        <f t="shared" si="13"/>
        <v>1.0133064983145348</v>
      </c>
      <c r="O16" s="13">
        <f t="shared" si="13"/>
        <v>1.0133004427430832</v>
      </c>
      <c r="P16" s="13">
        <f t="shared" si="13"/>
        <v>1.0261395585663369</v>
      </c>
    </row>
    <row r="17" spans="10:16" x14ac:dyDescent="0.3">
      <c r="J17" s="15" t="s">
        <v>107</v>
      </c>
      <c r="K17" s="16">
        <f>1-K16</f>
        <v>0.13486636235267657</v>
      </c>
      <c r="L17" s="16">
        <f t="shared" ref="L17:P17" si="14">1-L16</f>
        <v>0.16810395691952718</v>
      </c>
      <c r="M17" s="16">
        <f t="shared" si="14"/>
        <v>1.6524075305583641E-2</v>
      </c>
      <c r="N17" s="16">
        <f t="shared" si="14"/>
        <v>-1.3306498314534787E-2</v>
      </c>
      <c r="O17" s="16">
        <f t="shared" si="14"/>
        <v>-1.3300442743083174E-2</v>
      </c>
      <c r="P17" s="16">
        <f t="shared" si="14"/>
        <v>-2.6139558566336873E-2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D36D-D2A9-4A75-AD3C-739F4451C513}">
  <dimension ref="A1:P25"/>
  <sheetViews>
    <sheetView workbookViewId="0">
      <selection activeCell="K14" sqref="K14:P23"/>
    </sheetView>
  </sheetViews>
  <sheetFormatPr defaultRowHeight="14.4" x14ac:dyDescent="0.3"/>
  <sheetData>
    <row r="1" spans="1:16" ht="36.6" customHeight="1" x14ac:dyDescent="0.3">
      <c r="A1" s="4" t="s">
        <v>86</v>
      </c>
      <c r="B1" s="5" t="s">
        <v>87</v>
      </c>
      <c r="C1" s="6" t="s">
        <v>88</v>
      </c>
      <c r="D1" s="6" t="s">
        <v>89</v>
      </c>
      <c r="E1" s="6" t="s">
        <v>90</v>
      </c>
      <c r="F1" s="5" t="s">
        <v>91</v>
      </c>
      <c r="G1" s="6" t="s">
        <v>92</v>
      </c>
      <c r="H1" s="6" t="s">
        <v>93</v>
      </c>
      <c r="I1" s="7" t="s">
        <v>87</v>
      </c>
      <c r="J1" s="8" t="s">
        <v>87</v>
      </c>
      <c r="K1" s="9" t="s">
        <v>88</v>
      </c>
      <c r="L1" s="9" t="s">
        <v>89</v>
      </c>
      <c r="M1" s="9" t="s">
        <v>90</v>
      </c>
      <c r="N1" s="10" t="s">
        <v>91</v>
      </c>
      <c r="O1" s="9" t="s">
        <v>92</v>
      </c>
      <c r="P1" s="9" t="s">
        <v>93</v>
      </c>
    </row>
    <row r="2" spans="1:16" x14ac:dyDescent="0.3">
      <c r="A2" s="11" t="s">
        <v>77</v>
      </c>
      <c r="B2" s="12">
        <v>3.4057553854573111E-2</v>
      </c>
      <c r="C2" s="12">
        <v>3.7950664136622389E-2</v>
      </c>
      <c r="D2" s="12">
        <v>2.8880866425992781E-2</v>
      </c>
      <c r="E2" s="12">
        <v>3.4591194968553458E-2</v>
      </c>
      <c r="F2" s="12">
        <v>3.7037037037037035E-2</v>
      </c>
      <c r="G2" s="12">
        <v>3.9832285115303984E-2</v>
      </c>
      <c r="H2" s="12">
        <v>3.6885245901639344E-2</v>
      </c>
      <c r="I2" s="11">
        <v>3.4057553854573111E-2</v>
      </c>
      <c r="J2" s="12">
        <v>3.4057553854573111E-2</v>
      </c>
      <c r="K2" s="12">
        <v>3.7950664136622389E-2</v>
      </c>
      <c r="L2" s="12">
        <v>2.8880866425992781E-2</v>
      </c>
      <c r="M2" s="12">
        <v>3.4591194968553458E-2</v>
      </c>
      <c r="N2" s="12">
        <v>3.7037037037037035E-2</v>
      </c>
      <c r="O2" s="12">
        <v>3.9832285115303984E-2</v>
      </c>
      <c r="P2" s="12">
        <v>3.6885245901639344E-2</v>
      </c>
    </row>
    <row r="3" spans="1:16" x14ac:dyDescent="0.3">
      <c r="A3" s="11" t="s">
        <v>85</v>
      </c>
      <c r="B3" s="12">
        <v>3.5855667611920147E-2</v>
      </c>
      <c r="C3" s="12">
        <v>4.5540796963946868E-2</v>
      </c>
      <c r="D3" s="12">
        <v>2.1660649819494584E-2</v>
      </c>
      <c r="E3" s="12">
        <v>9.433962264150943E-3</v>
      </c>
      <c r="F3" s="12">
        <v>1.2345679012345678E-2</v>
      </c>
      <c r="G3" s="12">
        <v>5.2410901467505239E-2</v>
      </c>
      <c r="H3" s="12">
        <v>4.9180327868852458E-2</v>
      </c>
      <c r="I3" s="11">
        <v>6.9913221466493258E-2</v>
      </c>
      <c r="J3" s="11">
        <f>J2+B3</f>
        <v>6.9913221466493258E-2</v>
      </c>
      <c r="K3" s="11">
        <f t="shared" ref="K3:P11" si="0">K2+C3</f>
        <v>8.3491461100569264E-2</v>
      </c>
      <c r="L3" s="11">
        <f t="shared" si="0"/>
        <v>5.0541516245487361E-2</v>
      </c>
      <c r="M3" s="11">
        <f t="shared" si="0"/>
        <v>4.40251572327044E-2</v>
      </c>
      <c r="N3" s="11">
        <f t="shared" si="0"/>
        <v>4.9382716049382713E-2</v>
      </c>
      <c r="O3" s="11">
        <f t="shared" si="0"/>
        <v>9.2243186582809222E-2</v>
      </c>
      <c r="P3" s="11">
        <f t="shared" si="0"/>
        <v>8.6065573770491802E-2</v>
      </c>
    </row>
    <row r="4" spans="1:16" x14ac:dyDescent="0.3">
      <c r="A4" s="11" t="s">
        <v>83</v>
      </c>
      <c r="B4" s="12">
        <v>5.199604841403524E-2</v>
      </c>
      <c r="C4" s="12">
        <v>4.9335863377609111E-2</v>
      </c>
      <c r="D4" s="12">
        <v>1.8050541516245487E-2</v>
      </c>
      <c r="E4" s="12">
        <v>3.7735849056603772E-2</v>
      </c>
      <c r="F4" s="12">
        <v>5.2469135802469133E-2</v>
      </c>
      <c r="G4" s="12">
        <v>2.7253668763102725E-2</v>
      </c>
      <c r="H4" s="12">
        <v>7.7868852459016397E-2</v>
      </c>
      <c r="I4" s="11">
        <v>0.1219092698805285</v>
      </c>
      <c r="J4" s="11">
        <f t="shared" ref="J4:J11" si="1">J3+B4</f>
        <v>0.1219092698805285</v>
      </c>
      <c r="K4" s="11">
        <f t="shared" si="0"/>
        <v>0.13282732447817838</v>
      </c>
      <c r="L4" s="11">
        <f t="shared" si="0"/>
        <v>6.8592057761732855E-2</v>
      </c>
      <c r="M4" s="11">
        <f t="shared" si="0"/>
        <v>8.1761006289308172E-2</v>
      </c>
      <c r="N4" s="11">
        <f t="shared" si="0"/>
        <v>0.10185185185185185</v>
      </c>
      <c r="O4" s="11">
        <f t="shared" si="0"/>
        <v>0.11949685534591195</v>
      </c>
      <c r="P4" s="11">
        <f t="shared" si="0"/>
        <v>0.16393442622950821</v>
      </c>
    </row>
    <row r="5" spans="1:16" x14ac:dyDescent="0.3">
      <c r="A5" s="11" t="s">
        <v>79</v>
      </c>
      <c r="B5" s="12">
        <v>5.2081334442051701E-2</v>
      </c>
      <c r="C5" s="12">
        <v>8.7286527514231493E-2</v>
      </c>
      <c r="D5" s="12">
        <v>5.0541516245487361E-2</v>
      </c>
      <c r="E5" s="12">
        <v>3.1446540880503145E-2</v>
      </c>
      <c r="F5" s="12">
        <v>3.5493827160493825E-2</v>
      </c>
      <c r="G5" s="12">
        <v>5.450733752620545E-2</v>
      </c>
      <c r="H5" s="12">
        <v>5.737704918032787E-2</v>
      </c>
      <c r="I5" s="11">
        <v>0.17399060432258021</v>
      </c>
      <c r="J5" s="11">
        <f t="shared" si="1"/>
        <v>0.17399060432258021</v>
      </c>
      <c r="K5" s="11">
        <f t="shared" si="0"/>
        <v>0.22011385199240988</v>
      </c>
      <c r="L5" s="11">
        <f t="shared" si="0"/>
        <v>0.11913357400722022</v>
      </c>
      <c r="M5" s="11">
        <f t="shared" si="0"/>
        <v>0.11320754716981132</v>
      </c>
      <c r="N5" s="11">
        <f t="shared" si="0"/>
        <v>0.13734567901234568</v>
      </c>
      <c r="O5" s="11">
        <f t="shared" si="0"/>
        <v>0.17400419287211741</v>
      </c>
      <c r="P5" s="11">
        <f t="shared" si="0"/>
        <v>0.22131147540983609</v>
      </c>
    </row>
    <row r="6" spans="1:16" x14ac:dyDescent="0.3">
      <c r="A6" s="11" t="s">
        <v>78</v>
      </c>
      <c r="B6" s="12">
        <v>5.5912098533791033E-2</v>
      </c>
      <c r="C6" s="12">
        <v>4.3643263757115747E-2</v>
      </c>
      <c r="D6" s="12">
        <v>2.1660649819494584E-2</v>
      </c>
      <c r="E6" s="12">
        <v>2.8301886792452831E-2</v>
      </c>
      <c r="F6" s="12">
        <v>6.4814814814814811E-2</v>
      </c>
      <c r="G6" s="12">
        <v>4.40251572327044E-2</v>
      </c>
      <c r="H6" s="12">
        <v>5.3278688524590161E-2</v>
      </c>
      <c r="I6" s="11">
        <v>0.22990270285637124</v>
      </c>
      <c r="J6" s="11">
        <f t="shared" si="1"/>
        <v>0.22990270285637124</v>
      </c>
      <c r="K6" s="11">
        <f t="shared" si="0"/>
        <v>0.26375711574952565</v>
      </c>
      <c r="L6" s="11">
        <f t="shared" si="0"/>
        <v>0.1407942238267148</v>
      </c>
      <c r="M6" s="11">
        <f t="shared" si="0"/>
        <v>0.14150943396226415</v>
      </c>
      <c r="N6" s="11">
        <f t="shared" si="0"/>
        <v>0.2021604938271605</v>
      </c>
      <c r="O6" s="11">
        <f t="shared" si="0"/>
        <v>0.2180293501048218</v>
      </c>
      <c r="P6" s="11">
        <f t="shared" si="0"/>
        <v>0.27459016393442626</v>
      </c>
    </row>
    <row r="7" spans="1:16" x14ac:dyDescent="0.3">
      <c r="A7" s="11" t="s">
        <v>80</v>
      </c>
      <c r="B7" s="12">
        <v>5.9550969062493339E-2</v>
      </c>
      <c r="C7" s="12">
        <v>7.7798861480075907E-2</v>
      </c>
      <c r="D7" s="12">
        <v>3.6101083032490974E-2</v>
      </c>
      <c r="E7" s="12">
        <v>2.8301886792452831E-2</v>
      </c>
      <c r="F7" s="12">
        <v>6.0185185185185182E-2</v>
      </c>
      <c r="G7" s="12">
        <v>2.5157232704402517E-2</v>
      </c>
      <c r="H7" s="12">
        <v>2.4590163934426229E-2</v>
      </c>
      <c r="I7" s="11">
        <v>0.28945367191886456</v>
      </c>
      <c r="J7" s="11">
        <f t="shared" si="1"/>
        <v>0.28945367191886456</v>
      </c>
      <c r="K7" s="11">
        <f t="shared" si="0"/>
        <v>0.34155597722960157</v>
      </c>
      <c r="L7" s="11">
        <f t="shared" si="0"/>
        <v>0.17689530685920579</v>
      </c>
      <c r="M7" s="11">
        <f t="shared" si="0"/>
        <v>0.16981132075471697</v>
      </c>
      <c r="N7" s="11">
        <f t="shared" si="0"/>
        <v>0.26234567901234568</v>
      </c>
      <c r="O7" s="11">
        <f t="shared" si="0"/>
        <v>0.24318658280922431</v>
      </c>
      <c r="P7" s="11">
        <f t="shared" si="0"/>
        <v>0.29918032786885251</v>
      </c>
    </row>
    <row r="8" spans="1:16" x14ac:dyDescent="0.3">
      <c r="A8" s="11" t="s">
        <v>81</v>
      </c>
      <c r="B8" s="12">
        <v>7.3594735009203785E-2</v>
      </c>
      <c r="C8" s="12">
        <v>3.9848197343453511E-2</v>
      </c>
      <c r="D8" s="12">
        <v>2.5270758122743681E-2</v>
      </c>
      <c r="E8" s="12">
        <v>3.1446540880503145E-2</v>
      </c>
      <c r="F8" s="12">
        <v>4.9382716049382713E-2</v>
      </c>
      <c r="G8" s="12">
        <v>4.1928721174004195E-2</v>
      </c>
      <c r="H8" s="12">
        <v>5.3278688524590161E-2</v>
      </c>
      <c r="I8" s="11">
        <v>0.36304840692806833</v>
      </c>
      <c r="J8" s="11">
        <f t="shared" si="1"/>
        <v>0.36304840692806833</v>
      </c>
      <c r="K8" s="11">
        <f t="shared" si="0"/>
        <v>0.38140417457305509</v>
      </c>
      <c r="L8" s="11">
        <f t="shared" si="0"/>
        <v>0.20216606498194947</v>
      </c>
      <c r="M8" s="11">
        <f t="shared" si="0"/>
        <v>0.20125786163522011</v>
      </c>
      <c r="N8" s="11">
        <f t="shared" si="0"/>
        <v>0.31172839506172839</v>
      </c>
      <c r="O8" s="11">
        <f t="shared" si="0"/>
        <v>0.28511530398322849</v>
      </c>
      <c r="P8" s="11">
        <f t="shared" si="0"/>
        <v>0.35245901639344268</v>
      </c>
    </row>
    <row r="9" spans="1:16" x14ac:dyDescent="0.3">
      <c r="A9" s="11" t="s">
        <v>84</v>
      </c>
      <c r="B9" s="12">
        <v>0.16912930072564195</v>
      </c>
      <c r="C9" s="12">
        <v>0.10626185958254269</v>
      </c>
      <c r="D9" s="12">
        <v>8.6642599277978335E-2</v>
      </c>
      <c r="E9" s="12">
        <v>8.1761006289308172E-2</v>
      </c>
      <c r="F9" s="12">
        <v>0.17746913580246915</v>
      </c>
      <c r="G9" s="12">
        <v>0.19916142557651992</v>
      </c>
      <c r="H9" s="12">
        <v>0.15163934426229508</v>
      </c>
      <c r="I9" s="11">
        <v>0.53217770765371031</v>
      </c>
      <c r="J9" s="11">
        <f t="shared" si="1"/>
        <v>0.53217770765371031</v>
      </c>
      <c r="K9" s="11">
        <f t="shared" si="0"/>
        <v>0.48766603415559778</v>
      </c>
      <c r="L9" s="11">
        <f t="shared" si="0"/>
        <v>0.28880866425992779</v>
      </c>
      <c r="M9" s="11">
        <f t="shared" si="0"/>
        <v>0.28301886792452829</v>
      </c>
      <c r="N9" s="11">
        <f t="shared" si="0"/>
        <v>0.48919753086419754</v>
      </c>
      <c r="O9" s="11">
        <f t="shared" si="0"/>
        <v>0.48427672955974843</v>
      </c>
      <c r="P9" s="11">
        <f t="shared" si="0"/>
        <v>0.50409836065573776</v>
      </c>
    </row>
    <row r="10" spans="1:16" x14ac:dyDescent="0.3">
      <c r="A10" s="11" t="s">
        <v>82</v>
      </c>
      <c r="B10" s="12">
        <v>0.22153756494175675</v>
      </c>
      <c r="C10" s="12">
        <v>0.23719165085388993</v>
      </c>
      <c r="D10" s="12">
        <v>0.19855595667870035</v>
      </c>
      <c r="E10" s="12">
        <v>0.30188679245283018</v>
      </c>
      <c r="F10" s="12">
        <v>0.18672839506172839</v>
      </c>
      <c r="G10" s="12">
        <v>0.2389937106918239</v>
      </c>
      <c r="H10" s="12">
        <v>0.18442622950819673</v>
      </c>
      <c r="I10" s="11">
        <v>0.753715272595467</v>
      </c>
      <c r="J10" s="11">
        <f t="shared" si="1"/>
        <v>0.753715272595467</v>
      </c>
      <c r="K10" s="11">
        <f t="shared" si="0"/>
        <v>0.72485768500948766</v>
      </c>
      <c r="L10" s="11">
        <f t="shared" si="0"/>
        <v>0.48736462093862815</v>
      </c>
      <c r="M10" s="11">
        <f t="shared" si="0"/>
        <v>0.58490566037735847</v>
      </c>
      <c r="N10" s="11">
        <f t="shared" si="0"/>
        <v>0.67592592592592593</v>
      </c>
      <c r="O10" s="11">
        <f t="shared" si="0"/>
        <v>0.72327044025157239</v>
      </c>
      <c r="P10" s="11">
        <f t="shared" si="0"/>
        <v>0.68852459016393452</v>
      </c>
    </row>
    <row r="11" spans="1:16" x14ac:dyDescent="0.3">
      <c r="A11" s="11" t="s">
        <v>76</v>
      </c>
      <c r="B11" s="12">
        <v>0.24628472740453294</v>
      </c>
      <c r="C11" s="12">
        <v>0.27514231499051234</v>
      </c>
      <c r="D11" s="12">
        <v>0.5126353790613718</v>
      </c>
      <c r="E11" s="12">
        <v>0.41509433962264153</v>
      </c>
      <c r="F11" s="12">
        <v>0.32407407407407407</v>
      </c>
      <c r="G11" s="12">
        <v>0.27672955974842767</v>
      </c>
      <c r="H11" s="12">
        <v>0.31147540983606559</v>
      </c>
      <c r="I11" s="11">
        <v>1</v>
      </c>
      <c r="J11" s="11">
        <f t="shared" si="1"/>
        <v>1</v>
      </c>
      <c r="K11" s="11">
        <f t="shared" si="0"/>
        <v>1</v>
      </c>
      <c r="L11" s="11">
        <f t="shared" si="0"/>
        <v>1</v>
      </c>
      <c r="M11" s="11">
        <f t="shared" si="0"/>
        <v>1</v>
      </c>
      <c r="N11" s="11">
        <f t="shared" si="0"/>
        <v>1</v>
      </c>
      <c r="O11" s="11">
        <f t="shared" si="0"/>
        <v>1</v>
      </c>
      <c r="P11" s="11">
        <f t="shared" si="0"/>
        <v>1</v>
      </c>
    </row>
    <row r="13" spans="1:16" ht="28.8" x14ac:dyDescent="0.3">
      <c r="B13" s="1" t="s">
        <v>86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J13" s="1" t="s">
        <v>86</v>
      </c>
      <c r="K13" s="13" t="s">
        <v>100</v>
      </c>
      <c r="L13" s="13" t="s">
        <v>101</v>
      </c>
      <c r="M13" s="13" t="s">
        <v>102</v>
      </c>
      <c r="N13" s="13" t="s">
        <v>103</v>
      </c>
      <c r="O13" s="13" t="s">
        <v>104</v>
      </c>
      <c r="P13" s="13" t="s">
        <v>105</v>
      </c>
    </row>
    <row r="14" spans="1:16" x14ac:dyDescent="0.3">
      <c r="B14" s="11" t="s">
        <v>77</v>
      </c>
      <c r="C14" s="11">
        <f>C2-B2</f>
        <v>3.893110282049278E-3</v>
      </c>
      <c r="D14" s="11">
        <f>D2-B2</f>
        <v>-5.1766874285803302E-3</v>
      </c>
      <c r="E14" s="11">
        <f>E2-B2</f>
        <v>5.3364111398034736E-4</v>
      </c>
      <c r="F14" s="11">
        <f>F2-B2</f>
        <v>2.979483182463924E-3</v>
      </c>
      <c r="G14" s="11">
        <f>G2-B2</f>
        <v>5.7747312607308726E-3</v>
      </c>
      <c r="H14" s="11">
        <f>H2-B2</f>
        <v>2.8276920470662326E-3</v>
      </c>
      <c r="J14" s="11" t="s">
        <v>77</v>
      </c>
      <c r="K14" s="3">
        <f>(J2-0) * ((K2+0))</f>
        <v>1.2925067876498333E-3</v>
      </c>
      <c r="L14" s="3">
        <f>(J2-0) * ((L2+0))</f>
        <v>9.836116636699815E-4</v>
      </c>
      <c r="M14" s="3">
        <f>(J2-0) * ((M2+0))</f>
        <v>1.1780914855355478E-3</v>
      </c>
      <c r="N14" s="3">
        <f>(J2-0) * ((N2+0))</f>
        <v>1.2613908835027077E-3</v>
      </c>
      <c r="O14" s="3">
        <f>(J2-0) * ((O2+0))</f>
        <v>1.3565901954651763E-3</v>
      </c>
      <c r="P14" s="3">
        <f>(J2-0) * ((P2+0))</f>
        <v>1.256221248734254E-3</v>
      </c>
    </row>
    <row r="15" spans="1:16" x14ac:dyDescent="0.3">
      <c r="B15" s="11" t="s">
        <v>85</v>
      </c>
      <c r="C15" s="11">
        <f t="shared" ref="C15:C23" si="2">C3-B3</f>
        <v>9.6851293520267209E-3</v>
      </c>
      <c r="D15" s="11">
        <f t="shared" ref="D15:D23" si="3">D3-B3</f>
        <v>-1.4195017792425563E-2</v>
      </c>
      <c r="E15" s="11">
        <f t="shared" ref="E15:E23" si="4">E3-B3</f>
        <v>-2.6421705347769206E-2</v>
      </c>
      <c r="F15" s="11">
        <f t="shared" ref="F15:F23" si="5">F3-B3</f>
        <v>-2.3509988599574469E-2</v>
      </c>
      <c r="G15" s="11">
        <f t="shared" ref="G15:G23" si="6">G3-B3</f>
        <v>1.6555233855585091E-2</v>
      </c>
      <c r="H15" s="11">
        <f t="shared" ref="H15:H23" si="7">H3-B3</f>
        <v>1.3324660256932311E-2</v>
      </c>
      <c r="J15" s="11" t="s">
        <v>85</v>
      </c>
      <c r="K15" s="3">
        <f>(J3-J2) * ((K3+K2))</f>
        <v>4.3543884765899227E-3</v>
      </c>
      <c r="L15" s="3">
        <f>(J3-J2) * ((L3+L2))</f>
        <v>2.8477425540153183E-3</v>
      </c>
      <c r="M15" s="3">
        <f>(J3-J2) * ((M3+M2))</f>
        <v>2.8188417933899487E-3</v>
      </c>
      <c r="N15" s="3">
        <f>(J3-J2) * ((N3+N2))</f>
        <v>3.0986379417708766E-3</v>
      </c>
      <c r="O15" s="3">
        <f>(J3-J2) * ((O3+O2))</f>
        <v>4.7356542128951136E-3</v>
      </c>
      <c r="P15" s="3">
        <f>(J3-J2) * ((P3+P2))</f>
        <v>4.4084837227770669E-3</v>
      </c>
    </row>
    <row r="16" spans="1:16" x14ac:dyDescent="0.3">
      <c r="B16" s="11" t="s">
        <v>83</v>
      </c>
      <c r="C16" s="11">
        <f t="shared" si="2"/>
        <v>-2.6601850364261284E-3</v>
      </c>
      <c r="D16" s="11">
        <f t="shared" si="3"/>
        <v>-3.3945506897789753E-2</v>
      </c>
      <c r="E16" s="11">
        <f t="shared" si="4"/>
        <v>-1.4260199357431468E-2</v>
      </c>
      <c r="F16" s="11">
        <f t="shared" si="5"/>
        <v>4.730873884338932E-4</v>
      </c>
      <c r="G16" s="11">
        <f t="shared" si="6"/>
        <v>-2.4742379650932515E-2</v>
      </c>
      <c r="H16" s="11">
        <f t="shared" si="7"/>
        <v>2.5872804044981157E-2</v>
      </c>
      <c r="J16" s="11" t="s">
        <v>83</v>
      </c>
      <c r="K16" s="3">
        <f t="shared" ref="K16:K23" si="8">(J4-J3) * ((K4+K3))</f>
        <v>1.1247722047817871E-2</v>
      </c>
      <c r="L16" s="3">
        <f t="shared" ref="L16:L23" si="9">(J4-J3) * ((L4+L3))</f>
        <v>6.1944750818164725E-3</v>
      </c>
      <c r="M16" s="3">
        <f t="shared" ref="M16:M23" si="10">(J4-J3) * ((M4+M3))</f>
        <v>6.5403834483063195E-3</v>
      </c>
      <c r="N16" s="3">
        <f t="shared" ref="N16:N23" si="11">(J4-J3) * ((N4+N3))</f>
        <v>7.8635999144682934E-3</v>
      </c>
      <c r="O16" s="3">
        <f t="shared" ref="O16:O23" si="12">(J4-J3) * ((O4+O3))</f>
        <v>1.1009645471315638E-2</v>
      </c>
      <c r="P16" s="3">
        <f t="shared" ref="P16:P23" si="13">(J4-J3) * ((P4+P3))</f>
        <v>1.299901210350881E-2</v>
      </c>
    </row>
    <row r="17" spans="2:16" x14ac:dyDescent="0.3">
      <c r="B17" s="11" t="s">
        <v>79</v>
      </c>
      <c r="C17" s="11">
        <f t="shared" si="2"/>
        <v>3.5205193072179793E-2</v>
      </c>
      <c r="D17" s="11">
        <f t="shared" si="3"/>
        <v>-1.5398181965643395E-3</v>
      </c>
      <c r="E17" s="11">
        <f t="shared" si="4"/>
        <v>-2.0634793561548556E-2</v>
      </c>
      <c r="F17" s="11">
        <f t="shared" si="5"/>
        <v>-1.6587507281557876E-2</v>
      </c>
      <c r="G17" s="11">
        <f t="shared" si="6"/>
        <v>2.4260030841537494E-3</v>
      </c>
      <c r="H17" s="11">
        <f t="shared" si="7"/>
        <v>5.2957147382761693E-3</v>
      </c>
      <c r="J17" s="11" t="s">
        <v>79</v>
      </c>
      <c r="K17" s="3">
        <f t="shared" si="8"/>
        <v>1.8381647450135898E-2</v>
      </c>
      <c r="L17" s="3">
        <f t="shared" si="9"/>
        <v>9.7770014115042912E-3</v>
      </c>
      <c r="M17" s="3">
        <f t="shared" si="10"/>
        <v>1.015422243838744E-2</v>
      </c>
      <c r="N17" s="3">
        <f t="shared" si="11"/>
        <v>1.2457726602651258E-2</v>
      </c>
      <c r="O17" s="3">
        <f t="shared" si="12"/>
        <v>1.5285926251335931E-2</v>
      </c>
      <c r="P17" s="3">
        <f t="shared" si="13"/>
        <v>2.0064120645708446E-2</v>
      </c>
    </row>
    <row r="18" spans="2:16" x14ac:dyDescent="0.3">
      <c r="B18" s="11" t="s">
        <v>78</v>
      </c>
      <c r="C18" s="11">
        <f t="shared" si="2"/>
        <v>-1.2268834776675286E-2</v>
      </c>
      <c r="D18" s="11">
        <f t="shared" si="3"/>
        <v>-3.4251448714296445E-2</v>
      </c>
      <c r="E18" s="11">
        <f t="shared" si="4"/>
        <v>-2.7610211741338202E-2</v>
      </c>
      <c r="F18" s="11">
        <f t="shared" si="5"/>
        <v>8.9027162810237787E-3</v>
      </c>
      <c r="G18" s="11">
        <f t="shared" si="6"/>
        <v>-1.1886941301086633E-2</v>
      </c>
      <c r="H18" s="11">
        <f t="shared" si="7"/>
        <v>-2.6334100092008719E-3</v>
      </c>
      <c r="J18" s="11" t="s">
        <v>78</v>
      </c>
      <c r="K18" s="3">
        <f t="shared" si="8"/>
        <v>2.7054241226027918E-2</v>
      </c>
      <c r="L18" s="3">
        <f t="shared" si="9"/>
        <v>1.4533108644162292E-2</v>
      </c>
      <c r="M18" s="3">
        <f t="shared" si="10"/>
        <v>1.4241760947286394E-2</v>
      </c>
      <c r="N18" s="3">
        <f t="shared" si="11"/>
        <v>1.8982502588632759E-2</v>
      </c>
      <c r="O18" s="3">
        <f t="shared" si="12"/>
        <v>2.1919418083477825E-2</v>
      </c>
      <c r="P18" s="3">
        <f t="shared" si="13"/>
        <v>2.7726901322084899E-2</v>
      </c>
    </row>
    <row r="19" spans="2:16" x14ac:dyDescent="0.3">
      <c r="B19" s="11" t="s">
        <v>80</v>
      </c>
      <c r="C19" s="11">
        <f t="shared" si="2"/>
        <v>1.8247892417582567E-2</v>
      </c>
      <c r="D19" s="11">
        <f t="shared" si="3"/>
        <v>-2.3449886030002365E-2</v>
      </c>
      <c r="E19" s="11">
        <f t="shared" si="4"/>
        <v>-3.1249082270040508E-2</v>
      </c>
      <c r="F19" s="11">
        <f t="shared" si="5"/>
        <v>6.3421612269184274E-4</v>
      </c>
      <c r="G19" s="11">
        <f t="shared" si="6"/>
        <v>-3.4393736358090822E-2</v>
      </c>
      <c r="H19" s="11">
        <f t="shared" si="7"/>
        <v>-3.496080512806711E-2</v>
      </c>
      <c r="J19" s="11" t="s">
        <v>80</v>
      </c>
      <c r="K19" s="3">
        <f t="shared" si="8"/>
        <v>3.6046981273122156E-2</v>
      </c>
      <c r="L19" s="3">
        <f t="shared" si="9"/>
        <v>1.8918719413355281E-2</v>
      </c>
      <c r="M19" s="3">
        <f t="shared" si="10"/>
        <v>1.8539452632663017E-2</v>
      </c>
      <c r="N19" s="3">
        <f t="shared" si="11"/>
        <v>2.766179272810261E-2</v>
      </c>
      <c r="O19" s="3">
        <f t="shared" si="12"/>
        <v>2.7465855752093357E-2</v>
      </c>
      <c r="P19" s="3">
        <f t="shared" si="13"/>
        <v>3.4168588806348633E-2</v>
      </c>
    </row>
    <row r="20" spans="2:16" x14ac:dyDescent="0.3">
      <c r="B20" s="11" t="s">
        <v>81</v>
      </c>
      <c r="C20" s="11">
        <f t="shared" si="2"/>
        <v>-3.3746537665750274E-2</v>
      </c>
      <c r="D20" s="11">
        <f t="shared" si="3"/>
        <v>-4.8323976886460104E-2</v>
      </c>
      <c r="E20" s="11">
        <f t="shared" si="4"/>
        <v>-4.214819412870064E-2</v>
      </c>
      <c r="F20" s="11">
        <f t="shared" si="5"/>
        <v>-2.4212018959821072E-2</v>
      </c>
      <c r="G20" s="11">
        <f t="shared" si="6"/>
        <v>-3.166601383519959E-2</v>
      </c>
      <c r="H20" s="11">
        <f t="shared" si="7"/>
        <v>-2.0316046484613624E-2</v>
      </c>
      <c r="J20" s="11" t="s">
        <v>81</v>
      </c>
      <c r="K20" s="3">
        <f t="shared" si="8"/>
        <v>5.3206060794130254E-2</v>
      </c>
      <c r="L20" s="3">
        <f t="shared" si="9"/>
        <v>2.789692121287508E-2</v>
      </c>
      <c r="M20" s="3">
        <f t="shared" si="10"/>
        <v>2.7308738148069323E-2</v>
      </c>
      <c r="N20" s="3">
        <f t="shared" si="11"/>
        <v>4.2248829357135496E-2</v>
      </c>
      <c r="O20" s="3">
        <f t="shared" si="12"/>
        <v>3.8880237363352936E-2</v>
      </c>
      <c r="P20" s="3">
        <f t="shared" si="13"/>
        <v>4.7957224862554923E-2</v>
      </c>
    </row>
    <row r="21" spans="2:16" x14ac:dyDescent="0.3">
      <c r="B21" s="11" t="s">
        <v>84</v>
      </c>
      <c r="C21" s="11">
        <f t="shared" si="2"/>
        <v>-6.2867441143099251E-2</v>
      </c>
      <c r="D21" s="11">
        <f t="shared" si="3"/>
        <v>-8.248670144766361E-2</v>
      </c>
      <c r="E21" s="11">
        <f t="shared" si="4"/>
        <v>-8.7368294436333774E-2</v>
      </c>
      <c r="F21" s="11">
        <f t="shared" si="5"/>
        <v>8.3398350768272012E-3</v>
      </c>
      <c r="G21" s="11">
        <f t="shared" si="6"/>
        <v>3.0032124850877973E-2</v>
      </c>
      <c r="H21" s="11">
        <f t="shared" si="7"/>
        <v>-1.7489956463346862E-2</v>
      </c>
      <c r="J21" s="11" t="s">
        <v>84</v>
      </c>
      <c r="K21" s="3">
        <f t="shared" si="8"/>
        <v>0.14698523668376476</v>
      </c>
      <c r="L21" s="3">
        <f t="shared" si="9"/>
        <v>8.3038212630640096E-2</v>
      </c>
      <c r="M21" s="3">
        <f t="shared" si="10"/>
        <v>8.1905384628141079E-2</v>
      </c>
      <c r="N21" s="3">
        <f t="shared" si="11"/>
        <v>0.13546004178488918</v>
      </c>
      <c r="O21" s="3">
        <f t="shared" si="12"/>
        <v>0.13012673661700336</v>
      </c>
      <c r="P21" s="3">
        <f t="shared" si="13"/>
        <v>0.14486895021171795</v>
      </c>
    </row>
    <row r="22" spans="2:16" x14ac:dyDescent="0.3">
      <c r="B22" s="11" t="s">
        <v>82</v>
      </c>
      <c r="C22" s="11">
        <f t="shared" si="2"/>
        <v>1.5654085912133187E-2</v>
      </c>
      <c r="D22" s="11">
        <f t="shared" si="3"/>
        <v>-2.2981608263056397E-2</v>
      </c>
      <c r="E22" s="11">
        <f t="shared" si="4"/>
        <v>8.0349227511073429E-2</v>
      </c>
      <c r="F22" s="11">
        <f t="shared" si="5"/>
        <v>-3.4809169880028357E-2</v>
      </c>
      <c r="G22" s="11">
        <f t="shared" si="6"/>
        <v>1.7456145750067154E-2</v>
      </c>
      <c r="H22" s="11">
        <f t="shared" si="7"/>
        <v>-3.7111335433560017E-2</v>
      </c>
      <c r="J22" s="11" t="s">
        <v>82</v>
      </c>
      <c r="K22" s="3">
        <f t="shared" si="8"/>
        <v>0.26861955217795547</v>
      </c>
      <c r="L22" s="3">
        <f t="shared" si="9"/>
        <v>0.17195153957573173</v>
      </c>
      <c r="M22" s="3">
        <f t="shared" si="10"/>
        <v>0.19227788655322281</v>
      </c>
      <c r="N22" s="3">
        <f t="shared" si="11"/>
        <v>0.25811861347380599</v>
      </c>
      <c r="O22" s="3">
        <f t="shared" si="12"/>
        <v>0.26751705955231003</v>
      </c>
      <c r="P22" s="3">
        <f t="shared" si="13"/>
        <v>0.26421078441824269</v>
      </c>
    </row>
    <row r="23" spans="2:16" x14ac:dyDescent="0.3">
      <c r="B23" s="11" t="s">
        <v>76</v>
      </c>
      <c r="C23" s="11">
        <f t="shared" si="2"/>
        <v>2.8857587585979394E-2</v>
      </c>
      <c r="D23" s="11">
        <f t="shared" si="3"/>
        <v>0.26635065165683885</v>
      </c>
      <c r="E23" s="11">
        <f t="shared" si="4"/>
        <v>0.16880961221810858</v>
      </c>
      <c r="F23" s="11">
        <f t="shared" si="5"/>
        <v>7.7789346669541126E-2</v>
      </c>
      <c r="G23" s="11">
        <f t="shared" si="6"/>
        <v>3.0444832343894723E-2</v>
      </c>
      <c r="H23" s="11">
        <f t="shared" si="7"/>
        <v>6.5190682431532643E-2</v>
      </c>
      <c r="J23" s="11" t="s">
        <v>76</v>
      </c>
      <c r="K23" s="3">
        <f t="shared" si="8"/>
        <v>0.42480610476417552</v>
      </c>
      <c r="L23" s="3">
        <f t="shared" si="9"/>
        <v>0.3663151902190166</v>
      </c>
      <c r="M23" s="3">
        <f t="shared" si="10"/>
        <v>0.39033805852793912</v>
      </c>
      <c r="N23" s="3">
        <f t="shared" si="11"/>
        <v>0.41275495981685628</v>
      </c>
      <c r="O23" s="3">
        <f t="shared" si="12"/>
        <v>0.42441519062164806</v>
      </c>
      <c r="P23" s="3">
        <f t="shared" si="13"/>
        <v>0.41585781840437541</v>
      </c>
    </row>
    <row r="24" spans="2:16" x14ac:dyDescent="0.3">
      <c r="J24" s="14" t="s">
        <v>106</v>
      </c>
      <c r="K24" s="13">
        <f>SUM(K14:K23)</f>
        <v>0.99199444168136974</v>
      </c>
      <c r="L24" s="13">
        <f t="shared" ref="L24:P24" si="14">SUM(L14:L23)</f>
        <v>0.70245652240678713</v>
      </c>
      <c r="M24" s="13">
        <f t="shared" si="14"/>
        <v>0.74530282060294106</v>
      </c>
      <c r="N24" s="13">
        <f t="shared" si="14"/>
        <v>0.91990809509181548</v>
      </c>
      <c r="O24" s="13">
        <f t="shared" si="14"/>
        <v>0.94271231412089729</v>
      </c>
      <c r="P24" s="13">
        <f t="shared" si="14"/>
        <v>0.97351810574605302</v>
      </c>
    </row>
    <row r="25" spans="2:16" x14ac:dyDescent="0.3">
      <c r="J25" s="15" t="s">
        <v>107</v>
      </c>
      <c r="K25" s="16">
        <f>1-K24</f>
        <v>8.005558318630257E-3</v>
      </c>
      <c r="L25" s="16">
        <f t="shared" ref="L25:P25" si="15">1-L24</f>
        <v>0.29754347759321287</v>
      </c>
      <c r="M25" s="16">
        <f t="shared" si="15"/>
        <v>0.25469717939705894</v>
      </c>
      <c r="N25" s="16">
        <f t="shared" si="15"/>
        <v>8.0091904908184519E-2</v>
      </c>
      <c r="O25" s="16">
        <f t="shared" si="15"/>
        <v>5.7287685879102712E-2</v>
      </c>
      <c r="P25" s="16">
        <f t="shared" si="15"/>
        <v>2.648189425394698E-2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BOCAIUVA</vt:lpstr>
      <vt:lpstr>BRASÍLIA DE MINAS</vt:lpstr>
      <vt:lpstr>CORAÇÃO DE JESUS</vt:lpstr>
      <vt:lpstr>FRANCISCO SÁ</vt:lpstr>
      <vt:lpstr>JANAÚBA - MONTE AZUL</vt:lpstr>
      <vt:lpstr>JANUÁRIA</vt:lpstr>
      <vt:lpstr>MANGA</vt:lpstr>
      <vt:lpstr>MONTES CLAROS</vt:lpstr>
      <vt:lpstr>PIRAPORA</vt:lpstr>
      <vt:lpstr>SALINAS</vt:lpstr>
      <vt:lpstr>TAIOBEIRAS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2025-04-20T23:22:09Z</dcterms:created>
  <dcterms:modified xsi:type="dcterms:W3CDTF">2025-08-24T19:09:32Z</dcterms:modified>
</cp:coreProperties>
</file>