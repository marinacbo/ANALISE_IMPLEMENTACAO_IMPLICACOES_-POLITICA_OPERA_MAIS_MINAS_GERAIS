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gineco/"/>
    </mc:Choice>
  </mc:AlternateContent>
  <xr:revisionPtr revIDLastSave="33" documentId="8_{DAAA68FB-4FD0-4D1D-BCAE-14CD541BC731}" xr6:coauthVersionLast="47" xr6:coauthVersionMax="47" xr10:uidLastSave="{4362F59F-6BB4-4F95-ADB7-7D1FD80FB0BD}"/>
  <bookViews>
    <workbookView xWindow="-108" yWindow="-108" windowWidth="23256" windowHeight="12456" xr2:uid="{1E5F6FC4-0BEA-4BCA-9BB4-1A6107782226}"/>
  </bookViews>
  <sheets>
    <sheet name="ARAÇUAÍ" sheetId="1" r:id="rId1"/>
    <sheet name="DIAMANTINA" sheetId="2" r:id="rId2"/>
    <sheet name="SERRO" sheetId="3" r:id="rId3"/>
    <sheet name="TURMALINA-MINAS NOVA-CAPELINH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4" l="1"/>
  <c r="O12" i="4"/>
  <c r="N12" i="4"/>
  <c r="M12" i="4"/>
  <c r="L12" i="4"/>
  <c r="K12" i="4"/>
  <c r="P9" i="3"/>
  <c r="O9" i="3"/>
  <c r="N9" i="3"/>
  <c r="M9" i="3"/>
  <c r="L9" i="3"/>
  <c r="K9" i="3"/>
  <c r="P16" i="2"/>
  <c r="O16" i="2"/>
  <c r="N16" i="2"/>
  <c r="M16" i="2"/>
  <c r="L16" i="2"/>
  <c r="K16" i="2"/>
  <c r="P10" i="1"/>
  <c r="O10" i="1"/>
  <c r="N10" i="1"/>
  <c r="M10" i="1"/>
  <c r="L10" i="1"/>
  <c r="K10" i="1"/>
  <c r="E13" i="4"/>
  <c r="F13" i="4"/>
  <c r="G13" i="4"/>
  <c r="H13" i="4"/>
  <c r="E14" i="4"/>
  <c r="F14" i="4"/>
  <c r="G14" i="4"/>
  <c r="H14" i="4"/>
  <c r="E15" i="4"/>
  <c r="F15" i="4"/>
  <c r="G15" i="4"/>
  <c r="H15" i="4"/>
  <c r="E16" i="4"/>
  <c r="F16" i="4"/>
  <c r="G16" i="4"/>
  <c r="H16" i="4"/>
  <c r="E17" i="4"/>
  <c r="F17" i="4"/>
  <c r="G17" i="4"/>
  <c r="H17" i="4"/>
  <c r="E18" i="4"/>
  <c r="F18" i="4"/>
  <c r="G18" i="4"/>
  <c r="H18" i="4"/>
  <c r="E19" i="4"/>
  <c r="F19" i="4"/>
  <c r="G19" i="4"/>
  <c r="H19" i="4"/>
  <c r="H12" i="4"/>
  <c r="G12" i="4"/>
  <c r="F12" i="4"/>
  <c r="E12" i="4"/>
  <c r="D13" i="4"/>
  <c r="D14" i="4"/>
  <c r="D15" i="4"/>
  <c r="D16" i="4"/>
  <c r="D17" i="4"/>
  <c r="D18" i="4"/>
  <c r="D19" i="4"/>
  <c r="D12" i="4"/>
  <c r="C13" i="4"/>
  <c r="C14" i="4"/>
  <c r="C15" i="4"/>
  <c r="C16" i="4"/>
  <c r="C17" i="4"/>
  <c r="C18" i="4"/>
  <c r="C19" i="4"/>
  <c r="C12" i="4"/>
  <c r="P3" i="4"/>
  <c r="P4" i="4" s="1"/>
  <c r="P5" i="4" s="1"/>
  <c r="P6" i="4" s="1"/>
  <c r="P7" i="4" s="1"/>
  <c r="P8" i="4" s="1"/>
  <c r="P9" i="4" s="1"/>
  <c r="O3" i="4"/>
  <c r="O4" i="4" s="1"/>
  <c r="O5" i="4" s="1"/>
  <c r="O6" i="4" s="1"/>
  <c r="O7" i="4" s="1"/>
  <c r="O8" i="4" s="1"/>
  <c r="O9" i="4" s="1"/>
  <c r="N3" i="4"/>
  <c r="N4" i="4" s="1"/>
  <c r="N5" i="4" s="1"/>
  <c r="N6" i="4" s="1"/>
  <c r="N7" i="4" s="1"/>
  <c r="N8" i="4" s="1"/>
  <c r="N9" i="4" s="1"/>
  <c r="M3" i="4"/>
  <c r="M4" i="4" s="1"/>
  <c r="M5" i="4" s="1"/>
  <c r="M6" i="4" s="1"/>
  <c r="M7" i="4" s="1"/>
  <c r="M8" i="4" s="1"/>
  <c r="M9" i="4" s="1"/>
  <c r="L3" i="4"/>
  <c r="L4" i="4" s="1"/>
  <c r="L5" i="4" s="1"/>
  <c r="L6" i="4" s="1"/>
  <c r="L7" i="4" s="1"/>
  <c r="L8" i="4" s="1"/>
  <c r="L9" i="4" s="1"/>
  <c r="K3" i="4"/>
  <c r="K4" i="4" s="1"/>
  <c r="K5" i="4" s="1"/>
  <c r="K6" i="4" s="1"/>
  <c r="K7" i="4" s="1"/>
  <c r="K8" i="4" s="1"/>
  <c r="K9" i="4" s="1"/>
  <c r="J3" i="4"/>
  <c r="J4" i="4" s="1"/>
  <c r="J5" i="4" s="1"/>
  <c r="J6" i="4" s="1"/>
  <c r="J7" i="4" s="1"/>
  <c r="J8" i="4" s="1"/>
  <c r="J9" i="4" s="1"/>
  <c r="C10" i="3"/>
  <c r="D10" i="3"/>
  <c r="E10" i="3"/>
  <c r="F10" i="3"/>
  <c r="G10" i="3"/>
  <c r="H10" i="3"/>
  <c r="C11" i="3"/>
  <c r="D11" i="3"/>
  <c r="E11" i="3"/>
  <c r="F11" i="3"/>
  <c r="G11" i="3"/>
  <c r="H11" i="3"/>
  <c r="C12" i="3"/>
  <c r="D12" i="3"/>
  <c r="E12" i="3"/>
  <c r="F12" i="3"/>
  <c r="G12" i="3"/>
  <c r="H12" i="3"/>
  <c r="C13" i="3"/>
  <c r="D13" i="3"/>
  <c r="E13" i="3"/>
  <c r="F13" i="3"/>
  <c r="G13" i="3"/>
  <c r="H13" i="3"/>
  <c r="H9" i="3"/>
  <c r="G9" i="3"/>
  <c r="F9" i="3"/>
  <c r="E9" i="3"/>
  <c r="D9" i="3"/>
  <c r="C9" i="3"/>
  <c r="P3" i="3"/>
  <c r="P4" i="3" s="1"/>
  <c r="P5" i="3" s="1"/>
  <c r="P6" i="3" s="1"/>
  <c r="O3" i="3"/>
  <c r="O4" i="3" s="1"/>
  <c r="O5" i="3" s="1"/>
  <c r="O6" i="3" s="1"/>
  <c r="N3" i="3"/>
  <c r="N4" i="3" s="1"/>
  <c r="N5" i="3" s="1"/>
  <c r="N6" i="3" s="1"/>
  <c r="M3" i="3"/>
  <c r="M4" i="3" s="1"/>
  <c r="M5" i="3" s="1"/>
  <c r="M6" i="3" s="1"/>
  <c r="L3" i="3"/>
  <c r="L4" i="3" s="1"/>
  <c r="L5" i="3" s="1"/>
  <c r="L6" i="3" s="1"/>
  <c r="K3" i="3"/>
  <c r="K4" i="3" s="1"/>
  <c r="K5" i="3" s="1"/>
  <c r="K6" i="3" s="1"/>
  <c r="J3" i="3"/>
  <c r="J4" i="3" s="1"/>
  <c r="J5" i="3" s="1"/>
  <c r="J6" i="3" s="1"/>
  <c r="H27" i="2"/>
  <c r="G27" i="2"/>
  <c r="F27" i="2"/>
  <c r="E27" i="2"/>
  <c r="D27" i="2"/>
  <c r="C27" i="2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H11" i="1"/>
  <c r="H12" i="1"/>
  <c r="H13" i="1"/>
  <c r="H14" i="1"/>
  <c r="H15" i="1"/>
  <c r="G11" i="1"/>
  <c r="G12" i="1"/>
  <c r="G13" i="1"/>
  <c r="G14" i="1"/>
  <c r="G15" i="1"/>
  <c r="F11" i="1"/>
  <c r="F12" i="1"/>
  <c r="F13" i="1"/>
  <c r="F14" i="1"/>
  <c r="F15" i="1"/>
  <c r="E11" i="1"/>
  <c r="E12" i="1"/>
  <c r="E13" i="1"/>
  <c r="E14" i="1"/>
  <c r="E15" i="1"/>
  <c r="D11" i="1"/>
  <c r="D12" i="1"/>
  <c r="D13" i="1"/>
  <c r="D14" i="1"/>
  <c r="D15" i="1"/>
  <c r="C11" i="1"/>
  <c r="C12" i="1"/>
  <c r="C13" i="1"/>
  <c r="C14" i="1"/>
  <c r="C15" i="1"/>
  <c r="H10" i="1"/>
  <c r="G10" i="1"/>
  <c r="F10" i="1"/>
  <c r="E10" i="1"/>
  <c r="D10" i="1"/>
  <c r="C10" i="1"/>
  <c r="P3" i="1"/>
  <c r="P4" i="1" s="1"/>
  <c r="P5" i="1" s="1"/>
  <c r="P6" i="1" s="1"/>
  <c r="P7" i="1" s="1"/>
  <c r="O3" i="1"/>
  <c r="O4" i="1" s="1"/>
  <c r="O5" i="1" s="1"/>
  <c r="O6" i="1" s="1"/>
  <c r="O7" i="1" s="1"/>
  <c r="N3" i="1"/>
  <c r="N4" i="1" s="1"/>
  <c r="N5" i="1" s="1"/>
  <c r="N6" i="1" s="1"/>
  <c r="N7" i="1" s="1"/>
  <c r="M3" i="1"/>
  <c r="M4" i="1" s="1"/>
  <c r="M5" i="1" s="1"/>
  <c r="M6" i="1" s="1"/>
  <c r="M7" i="1" s="1"/>
  <c r="L3" i="1"/>
  <c r="L4" i="1" s="1"/>
  <c r="L5" i="1" s="1"/>
  <c r="L6" i="1" s="1"/>
  <c r="L7" i="1" s="1"/>
  <c r="K3" i="1"/>
  <c r="K4" i="1" s="1"/>
  <c r="K5" i="1" s="1"/>
  <c r="K6" i="1" s="1"/>
  <c r="K7" i="1" s="1"/>
  <c r="J3" i="1"/>
  <c r="J4" i="1" s="1"/>
  <c r="J5" i="1" s="1"/>
  <c r="J6" i="1" s="1"/>
  <c r="J7" i="1" s="1"/>
  <c r="N13" i="3" l="1"/>
  <c r="N27" i="2"/>
  <c r="O19" i="2"/>
  <c r="O26" i="2"/>
  <c r="P19" i="2"/>
  <c r="O27" i="2"/>
  <c r="O22" i="2"/>
  <c r="N18" i="2"/>
  <c r="O23" i="2"/>
  <c r="O18" i="2"/>
  <c r="P23" i="2"/>
  <c r="P18" i="2"/>
  <c r="M26" i="2"/>
  <c r="M22" i="2"/>
  <c r="M18" i="2"/>
  <c r="P22" i="2"/>
  <c r="K15" i="1"/>
  <c r="P19" i="4"/>
  <c r="M13" i="4"/>
  <c r="O14" i="4"/>
  <c r="K16" i="4"/>
  <c r="M17" i="4"/>
  <c r="O18" i="4"/>
  <c r="N13" i="4"/>
  <c r="P14" i="4"/>
  <c r="L16" i="4"/>
  <c r="N17" i="4"/>
  <c r="P18" i="4"/>
  <c r="O13" i="4"/>
  <c r="K15" i="4"/>
  <c r="M16" i="4"/>
  <c r="O17" i="4"/>
  <c r="K19" i="4"/>
  <c r="P13" i="4"/>
  <c r="L15" i="4"/>
  <c r="N16" i="4"/>
  <c r="P17" i="4"/>
  <c r="L19" i="4"/>
  <c r="K14" i="4"/>
  <c r="M15" i="4"/>
  <c r="O16" i="4"/>
  <c r="K18" i="4"/>
  <c r="M19" i="4"/>
  <c r="L14" i="4"/>
  <c r="N15" i="4"/>
  <c r="P16" i="4"/>
  <c r="L18" i="4"/>
  <c r="N19" i="4"/>
  <c r="K13" i="4"/>
  <c r="M14" i="4"/>
  <c r="O15" i="4"/>
  <c r="K17" i="4"/>
  <c r="M18" i="4"/>
  <c r="O19" i="4"/>
  <c r="L13" i="4"/>
  <c r="N14" i="4"/>
  <c r="P15" i="4"/>
  <c r="L17" i="4"/>
  <c r="N18" i="4"/>
  <c r="P13" i="3"/>
  <c r="K10" i="3"/>
  <c r="L10" i="3"/>
  <c r="K11" i="3"/>
  <c r="M11" i="3"/>
  <c r="M12" i="3"/>
  <c r="K13" i="3"/>
  <c r="L11" i="3"/>
  <c r="O13" i="3"/>
  <c r="N11" i="3"/>
  <c r="M10" i="3"/>
  <c r="P11" i="3"/>
  <c r="O10" i="3"/>
  <c r="K12" i="3"/>
  <c r="M13" i="3"/>
  <c r="N12" i="3"/>
  <c r="O12" i="3"/>
  <c r="P12" i="3"/>
  <c r="O11" i="3"/>
  <c r="N10" i="3"/>
  <c r="L13" i="3"/>
  <c r="P10" i="3"/>
  <c r="L12" i="3"/>
  <c r="L17" i="2"/>
  <c r="L21" i="2"/>
  <c r="N22" i="2"/>
  <c r="L25" i="2"/>
  <c r="N26" i="2"/>
  <c r="P27" i="2"/>
  <c r="K24" i="2"/>
  <c r="P26" i="2"/>
  <c r="K25" i="2"/>
  <c r="N21" i="2"/>
  <c r="O17" i="2"/>
  <c r="K19" i="2"/>
  <c r="M20" i="2"/>
  <c r="O21" i="2"/>
  <c r="K23" i="2"/>
  <c r="M24" i="2"/>
  <c r="O25" i="2"/>
  <c r="K27" i="2"/>
  <c r="M17" i="2"/>
  <c r="K20" i="2"/>
  <c r="M25" i="2"/>
  <c r="N17" i="2"/>
  <c r="L20" i="2"/>
  <c r="L24" i="2"/>
  <c r="P17" i="2"/>
  <c r="L19" i="2"/>
  <c r="N20" i="2"/>
  <c r="P21" i="2"/>
  <c r="L23" i="2"/>
  <c r="N24" i="2"/>
  <c r="P25" i="2"/>
  <c r="L27" i="2"/>
  <c r="K21" i="2"/>
  <c r="M21" i="2"/>
  <c r="N25" i="2"/>
  <c r="K18" i="2"/>
  <c r="M19" i="2"/>
  <c r="O20" i="2"/>
  <c r="K22" i="2"/>
  <c r="M23" i="2"/>
  <c r="O24" i="2"/>
  <c r="K26" i="2"/>
  <c r="M27" i="2"/>
  <c r="K17" i="2"/>
  <c r="L18" i="2"/>
  <c r="N19" i="2"/>
  <c r="P20" i="2"/>
  <c r="L22" i="2"/>
  <c r="N23" i="2"/>
  <c r="P24" i="2"/>
  <c r="L26" i="2"/>
  <c r="P15" i="1"/>
  <c r="L13" i="1"/>
  <c r="M14" i="1"/>
  <c r="K11" i="1"/>
  <c r="L14" i="1"/>
  <c r="P12" i="1"/>
  <c r="L11" i="1"/>
  <c r="M15" i="1"/>
  <c r="O12" i="1"/>
  <c r="M11" i="1"/>
  <c r="L15" i="1"/>
  <c r="N12" i="1"/>
  <c r="N11" i="1"/>
  <c r="O13" i="1"/>
  <c r="O11" i="1"/>
  <c r="P14" i="1"/>
  <c r="N13" i="1"/>
  <c r="L12" i="1"/>
  <c r="N14" i="1"/>
  <c r="O15" i="1"/>
  <c r="K13" i="1"/>
  <c r="N15" i="1"/>
  <c r="K14" i="1"/>
  <c r="P13" i="1"/>
  <c r="M12" i="1"/>
  <c r="P11" i="1"/>
  <c r="O14" i="1"/>
  <c r="M13" i="1"/>
  <c r="K12" i="1"/>
  <c r="N14" i="3" l="1"/>
  <c r="N15" i="3" s="1"/>
  <c r="P14" i="3"/>
  <c r="P15" i="3" s="1"/>
  <c r="K28" i="2"/>
  <c r="K29" i="2" s="1"/>
  <c r="K20" i="4"/>
  <c r="K21" i="4" s="1"/>
  <c r="N20" i="4"/>
  <c r="N21" i="4" s="1"/>
  <c r="M20" i="4"/>
  <c r="M21" i="4" s="1"/>
  <c r="L20" i="4"/>
  <c r="L21" i="4" s="1"/>
  <c r="P20" i="4"/>
  <c r="P21" i="4" s="1"/>
  <c r="O20" i="4"/>
  <c r="O21" i="4" s="1"/>
  <c r="O14" i="3"/>
  <c r="O15" i="3" s="1"/>
  <c r="L14" i="3"/>
  <c r="L15" i="3" s="1"/>
  <c r="K14" i="3"/>
  <c r="K15" i="3" s="1"/>
  <c r="M14" i="3"/>
  <c r="M15" i="3" s="1"/>
  <c r="O28" i="2"/>
  <c r="O29" i="2" s="1"/>
  <c r="N28" i="2"/>
  <c r="N29" i="2" s="1"/>
  <c r="P28" i="2"/>
  <c r="P29" i="2" s="1"/>
  <c r="M28" i="2"/>
  <c r="M29" i="2" s="1"/>
  <c r="L28" i="2"/>
  <c r="L29" i="2" s="1"/>
  <c r="K16" i="1"/>
  <c r="K17" i="1" s="1"/>
  <c r="O16" i="1"/>
  <c r="O17" i="1" s="1"/>
  <c r="N16" i="1"/>
  <c r="N17" i="1" s="1"/>
  <c r="P16" i="1"/>
  <c r="P17" i="1" s="1"/>
  <c r="L16" i="1"/>
  <c r="L17" i="1" s="1"/>
  <c r="M16" i="1"/>
  <c r="M17" i="1" s="1"/>
</calcChain>
</file>

<file path=xl/sharedStrings.xml><?xml version="1.0" encoding="utf-8"?>
<sst xmlns="http://schemas.openxmlformats.org/spreadsheetml/2006/main" count="219" uniqueCount="66">
  <si>
    <t>ARAÇUAÍ</t>
  </si>
  <si>
    <t>BERILO</t>
  </si>
  <si>
    <t>CORONEL MURTA</t>
  </si>
  <si>
    <t>FRANCISCO BADARÓ</t>
  </si>
  <si>
    <t>JENIPAPO DE MINAS</t>
  </si>
  <si>
    <t>VIRGEM DA LAPA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</si>
  <si>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</si>
  <si>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</si>
  <si>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</si>
  <si>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</si>
  <si>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</si>
  <si>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</si>
  <si>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</si>
  <si>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</si>
  <si>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</si>
  <si>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</si>
  <si>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</si>
  <si>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</si>
  <si>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</si>
  <si>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</si>
  <si>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</si>
  <si>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</si>
  <si>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</si>
  <si>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</si>
  <si>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</si>
  <si>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</si>
  <si>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</si>
  <si>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</si>
  <si>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DIAMANTINA</t>
  </si>
  <si>
    <t>CARBONITA</t>
  </si>
  <si>
    <t>COLUNA</t>
  </si>
  <si>
    <t>CONGONHAS DO NORTE</t>
  </si>
  <si>
    <t>COUTO DE MAGALHÃES DE MINAS</t>
  </si>
  <si>
    <t>DATAS</t>
  </si>
  <si>
    <t>FELÍCIO DOS SANTOS</t>
  </si>
  <si>
    <t>GOUVEIA</t>
  </si>
  <si>
    <t>ITAMARANDIBA</t>
  </si>
  <si>
    <t>PRESIDENTE KUBITSCHEK</t>
  </si>
  <si>
    <t>SÃO GONÇALO DO RIO PRETO</t>
  </si>
  <si>
    <t>SENADOR MODESTINO GONÇALVES</t>
  </si>
  <si>
    <t>QUELUZITO</t>
  </si>
  <si>
    <t>CASA GRANDE</t>
  </si>
  <si>
    <t>CARANAÍBA</t>
  </si>
  <si>
    <t>LAMIM</t>
  </si>
  <si>
    <t>CATAS ALTAS DA NORUEGA</t>
  </si>
  <si>
    <t>SANTANA DOS MONTES</t>
  </si>
  <si>
    <t>CRISTIANO OTONI</t>
  </si>
  <si>
    <t>ITAVERAVA</t>
  </si>
  <si>
    <t>RIO ESPERA</t>
  </si>
  <si>
    <t>SENHORA DE OLIVEIRA</t>
  </si>
  <si>
    <t>PIRANGA</t>
  </si>
  <si>
    <t>CONSELHEIRO LAFAIETE</t>
  </si>
  <si>
    <t>SERRO</t>
  </si>
  <si>
    <t>ALVORADA DE MINAS</t>
  </si>
  <si>
    <t>CONCEIÇÃO DO MATO DENTRO</t>
  </si>
  <si>
    <t>SANTO ANTÔNIO DO ITAMBÉ</t>
  </si>
  <si>
    <t>SERRA AZUL DE MINAS</t>
  </si>
  <si>
    <t/>
  </si>
  <si>
    <t>ARICANDUVA</t>
  </si>
  <si>
    <t>CAPELINHA</t>
  </si>
  <si>
    <t>CHAPADA DO NORTE</t>
  </si>
  <si>
    <t>JOSÉ GONÇALVES DE MINAS</t>
  </si>
  <si>
    <t>LEME DO PRADO</t>
  </si>
  <si>
    <t>MINAS NOVAS</t>
  </si>
  <si>
    <t>TURMALINA</t>
  </si>
  <si>
    <t>VEREDINHA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</si>
</sst>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2" fontId="0" fillId="0" borderId="1" xfId="0" applyNumberFormat="1" applyBorder="1"/>
    <xf numFmtId="0" fontId="0" fillId="0" borderId="1" xfId="0" applyBorder="1"/>
    <xf numFmtId="0" fontId="0" fillId="8" borderId="1" xfId="0" applyFill="1" applyBorder="1"/>
    <xf numFmtId="0" fontId="1" fillId="6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0" fontId="1" fillId="7" borderId="2" xfId="0" applyFont="1" applyFill="1" applyBorder="1" applyAlignment="1">
      <alignment vertical="center" wrapText="1"/>
    </xf>
    <xf numFmtId="2" fontId="0" fillId="0" borderId="2" xfId="0" applyNumberFormat="1" applyBorder="1"/>
    <xf numFmtId="0" fontId="0" fillId="0" borderId="0" xfId="0" quotePrefix="1"/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ARAÇUAÍ!$J$1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ARAÇUAÍ!$J$2:$J$7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EE-4A66-81A4-1B65F9A09347}"/>
            </c:ext>
          </c:extLst>
        </c:ser>
        <c:ser>
          <c:idx val="1"/>
          <c:order val="1"/>
          <c:tx>
            <c:strRef>
              <c:f>ARAÇUAÍ!$K$1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ARAÇUAÍ!$K$2:$K$7</c:f>
              <c:numCache>
                <c:formatCode>0.00</c:formatCode>
                <c:ptCount val="6"/>
                <c:pt idx="0">
                  <c:v>4.6153846153846156E-2</c:v>
                </c:pt>
                <c:pt idx="1">
                  <c:v>0.11538461538461539</c:v>
                </c:pt>
                <c:pt idx="2">
                  <c:v>0.2076923076923077</c:v>
                </c:pt>
                <c:pt idx="3">
                  <c:v>0.37692307692307692</c:v>
                </c:pt>
                <c:pt idx="4">
                  <c:v>0.47692307692307689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EE-4A66-81A4-1B65F9A09347}"/>
            </c:ext>
          </c:extLst>
        </c:ser>
        <c:ser>
          <c:idx val="2"/>
          <c:order val="2"/>
          <c:tx>
            <c:strRef>
              <c:f>ARAÇUAÍ!$L$1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ARAÇUAÍ!$L$2:$L$7</c:f>
              <c:numCache>
                <c:formatCode>0.00</c:formatCode>
                <c:ptCount val="6"/>
                <c:pt idx="0">
                  <c:v>5.3571428571428568E-2</c:v>
                </c:pt>
                <c:pt idx="1">
                  <c:v>0.17857142857142858</c:v>
                </c:pt>
                <c:pt idx="2">
                  <c:v>0.3035714285714286</c:v>
                </c:pt>
                <c:pt idx="3">
                  <c:v>0.4285714285714286</c:v>
                </c:pt>
                <c:pt idx="4">
                  <c:v>0.625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EE-4A66-81A4-1B65F9A09347}"/>
            </c:ext>
          </c:extLst>
        </c:ser>
        <c:ser>
          <c:idx val="3"/>
          <c:order val="3"/>
          <c:tx>
            <c:strRef>
              <c:f>ARAÇUAÍ!$M$1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ARAÇUAÍ!$M$2:$M$7</c:f>
              <c:numCache>
                <c:formatCode>0.00</c:formatCode>
                <c:ptCount val="6"/>
                <c:pt idx="0">
                  <c:v>0.11428571428571428</c:v>
                </c:pt>
                <c:pt idx="1">
                  <c:v>0.31428571428571428</c:v>
                </c:pt>
                <c:pt idx="2">
                  <c:v>0.42857142857142855</c:v>
                </c:pt>
                <c:pt idx="3">
                  <c:v>0.68571428571428572</c:v>
                </c:pt>
                <c:pt idx="4">
                  <c:v>0.82857142857142851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DEE-4A66-81A4-1B65F9A09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218720"/>
        <c:axId val="1733214880"/>
      </c:scatterChart>
      <c:valAx>
        <c:axId val="173321872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3214880"/>
        <c:crosses val="autoZero"/>
        <c:crossBetween val="midCat"/>
      </c:valAx>
      <c:valAx>
        <c:axId val="173321488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321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ARAÇUAÍ!$J$1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ARAÇUAÍ!$J$2:$J$7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BD-4038-83C5-422C2A6D7F85}"/>
            </c:ext>
          </c:extLst>
        </c:ser>
        <c:ser>
          <c:idx val="1"/>
          <c:order val="1"/>
          <c:tx>
            <c:strRef>
              <c:f>ARAÇUAÍ!$N$1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ARAÇUAÍ!$N$2:$N$7</c:f>
              <c:numCache>
                <c:formatCode>0.00</c:formatCode>
                <c:ptCount val="6"/>
                <c:pt idx="0">
                  <c:v>5.4794520547945202E-2</c:v>
                </c:pt>
                <c:pt idx="1">
                  <c:v>0.23287671232876711</c:v>
                </c:pt>
                <c:pt idx="2">
                  <c:v>0.39726027397260272</c:v>
                </c:pt>
                <c:pt idx="3">
                  <c:v>0.50684931506849318</c:v>
                </c:pt>
                <c:pt idx="4">
                  <c:v>0.58904109589041098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BD-4038-83C5-422C2A6D7F85}"/>
            </c:ext>
          </c:extLst>
        </c:ser>
        <c:ser>
          <c:idx val="2"/>
          <c:order val="2"/>
          <c:tx>
            <c:strRef>
              <c:f>ARAÇUAÍ!$O$1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ARAÇUAÍ!$O$2:$O$7</c:f>
              <c:numCache>
                <c:formatCode>0.00</c:formatCode>
                <c:ptCount val="6"/>
                <c:pt idx="0">
                  <c:v>9.2307692307692313E-2</c:v>
                </c:pt>
                <c:pt idx="1">
                  <c:v>0.18461538461538463</c:v>
                </c:pt>
                <c:pt idx="2">
                  <c:v>0.29230769230769232</c:v>
                </c:pt>
                <c:pt idx="3">
                  <c:v>0.40769230769230769</c:v>
                </c:pt>
                <c:pt idx="4">
                  <c:v>0.51538461538461533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BD-4038-83C5-422C2A6D7F85}"/>
            </c:ext>
          </c:extLst>
        </c:ser>
        <c:ser>
          <c:idx val="3"/>
          <c:order val="3"/>
          <c:tx>
            <c:strRef>
              <c:f>ARAÇUAÍ!$P$1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ARAÇUAÍ!$P$2:$P$7</c:f>
              <c:numCache>
                <c:formatCode>0.00</c:formatCode>
                <c:ptCount val="6"/>
                <c:pt idx="0">
                  <c:v>0.15909090909090909</c:v>
                </c:pt>
                <c:pt idx="1">
                  <c:v>0.47727272727272729</c:v>
                </c:pt>
                <c:pt idx="2">
                  <c:v>0.54545454545454541</c:v>
                </c:pt>
                <c:pt idx="3">
                  <c:v>0.65909090909090906</c:v>
                </c:pt>
                <c:pt idx="4">
                  <c:v>0.68181818181818177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BD-4038-83C5-422C2A6D7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06688"/>
        <c:axId val="265901888"/>
      </c:scatterChart>
      <c:valAx>
        <c:axId val="2659066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5901888"/>
        <c:crosses val="autoZero"/>
        <c:crossBetween val="midCat"/>
      </c:valAx>
      <c:valAx>
        <c:axId val="26590188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590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DIAMANTINA!$J$1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DIAMANTINA!$J$2:$J$13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46-4989-BEAD-69B376F0B271}"/>
            </c:ext>
          </c:extLst>
        </c:ser>
        <c:ser>
          <c:idx val="1"/>
          <c:order val="1"/>
          <c:tx>
            <c:strRef>
              <c:f>DIAMANTINA!$K$1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DIAMANTINA!$K$2:$K$13</c:f>
              <c:numCache>
                <c:formatCode>0.00</c:formatCode>
                <c:ptCount val="12"/>
                <c:pt idx="0">
                  <c:v>0</c:v>
                </c:pt>
                <c:pt idx="1">
                  <c:v>2.8753993610223641E-2</c:v>
                </c:pt>
                <c:pt idx="2">
                  <c:v>5.7507987220447282E-2</c:v>
                </c:pt>
                <c:pt idx="3">
                  <c:v>9.9041533546325874E-2</c:v>
                </c:pt>
                <c:pt idx="4">
                  <c:v>0.13099041533546324</c:v>
                </c:pt>
                <c:pt idx="5">
                  <c:v>0.13418530351437696</c:v>
                </c:pt>
                <c:pt idx="6">
                  <c:v>0.194888178913738</c:v>
                </c:pt>
                <c:pt idx="7">
                  <c:v>0.23322683706070285</c:v>
                </c:pt>
                <c:pt idx="8">
                  <c:v>0.28753993610223638</c:v>
                </c:pt>
                <c:pt idx="9">
                  <c:v>0.31948881789137373</c:v>
                </c:pt>
                <c:pt idx="10">
                  <c:v>0.49201277955271561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46-4989-BEAD-69B376F0B271}"/>
            </c:ext>
          </c:extLst>
        </c:ser>
        <c:ser>
          <c:idx val="2"/>
          <c:order val="2"/>
          <c:tx>
            <c:strRef>
              <c:f>DIAMANTINA!$L$1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DIAMANTINA!$L$2:$L$13</c:f>
              <c:numCache>
                <c:formatCode>0.00</c:formatCode>
                <c:ptCount val="12"/>
                <c:pt idx="0">
                  <c:v>1.6393442622950821E-2</c:v>
                </c:pt>
                <c:pt idx="1">
                  <c:v>4.9180327868852458E-2</c:v>
                </c:pt>
                <c:pt idx="2">
                  <c:v>8.1967213114754106E-2</c:v>
                </c:pt>
                <c:pt idx="3">
                  <c:v>0.10655737704918034</c:v>
                </c:pt>
                <c:pt idx="4">
                  <c:v>0.13934426229508198</c:v>
                </c:pt>
                <c:pt idx="5">
                  <c:v>0.1475409836065574</c:v>
                </c:pt>
                <c:pt idx="6">
                  <c:v>0.18852459016393444</c:v>
                </c:pt>
                <c:pt idx="7">
                  <c:v>0.19672131147540986</c:v>
                </c:pt>
                <c:pt idx="8">
                  <c:v>0.29508196721311475</c:v>
                </c:pt>
                <c:pt idx="9">
                  <c:v>0.37704918032786883</c:v>
                </c:pt>
                <c:pt idx="10">
                  <c:v>0.67213114754098358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46-4989-BEAD-69B376F0B271}"/>
            </c:ext>
          </c:extLst>
        </c:ser>
        <c:ser>
          <c:idx val="3"/>
          <c:order val="3"/>
          <c:tx>
            <c:strRef>
              <c:f>DIAMANTINA!$M$1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DIAMANTINA!$M$2:$M$13</c:f>
              <c:numCache>
                <c:formatCode>0.00</c:formatCode>
                <c:ptCount val="12"/>
                <c:pt idx="0">
                  <c:v>2.7272727272727271E-2</c:v>
                </c:pt>
                <c:pt idx="1">
                  <c:v>2.7272727272727271E-2</c:v>
                </c:pt>
                <c:pt idx="2">
                  <c:v>8.1818181818181818E-2</c:v>
                </c:pt>
                <c:pt idx="3">
                  <c:v>0.14545454545454545</c:v>
                </c:pt>
                <c:pt idx="4">
                  <c:v>0.15454545454545454</c:v>
                </c:pt>
                <c:pt idx="5">
                  <c:v>0.19090909090909092</c:v>
                </c:pt>
                <c:pt idx="6">
                  <c:v>0.19090909090909092</c:v>
                </c:pt>
                <c:pt idx="7">
                  <c:v>0.19090909090909092</c:v>
                </c:pt>
                <c:pt idx="8">
                  <c:v>0.28181818181818186</c:v>
                </c:pt>
                <c:pt idx="9">
                  <c:v>0.48181818181818187</c:v>
                </c:pt>
                <c:pt idx="10">
                  <c:v>0.8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46-4989-BEAD-69B376F0B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323984"/>
        <c:axId val="639325424"/>
      </c:scatterChart>
      <c:valAx>
        <c:axId val="6393239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25424"/>
        <c:crosses val="autoZero"/>
        <c:crossBetween val="midCat"/>
      </c:valAx>
      <c:valAx>
        <c:axId val="639325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23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DIAMANTINA!$J$1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DIAMANTINA!$J$2:$J$13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A1-4B90-93F0-F26A669038E5}"/>
            </c:ext>
          </c:extLst>
        </c:ser>
        <c:ser>
          <c:idx val="1"/>
          <c:order val="1"/>
          <c:tx>
            <c:strRef>
              <c:f>DIAMANTINA!$N$1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DIAMANTINA!$N$2:$N$13</c:f>
              <c:numCache>
                <c:formatCode>0.00</c:formatCode>
                <c:ptCount val="12"/>
                <c:pt idx="0">
                  <c:v>1.8072289156626505E-2</c:v>
                </c:pt>
                <c:pt idx="1">
                  <c:v>4.2168674698795178E-2</c:v>
                </c:pt>
                <c:pt idx="2">
                  <c:v>8.7349397590361449E-2</c:v>
                </c:pt>
                <c:pt idx="3">
                  <c:v>0.10542168674698796</c:v>
                </c:pt>
                <c:pt idx="4">
                  <c:v>0.13253012048192772</c:v>
                </c:pt>
                <c:pt idx="5">
                  <c:v>0.15963855421686748</c:v>
                </c:pt>
                <c:pt idx="6">
                  <c:v>0.20481927710843376</c:v>
                </c:pt>
                <c:pt idx="7">
                  <c:v>0.23493975903614461</c:v>
                </c:pt>
                <c:pt idx="8">
                  <c:v>0.27710843373493976</c:v>
                </c:pt>
                <c:pt idx="9">
                  <c:v>0.53915662650602414</c:v>
                </c:pt>
                <c:pt idx="10">
                  <c:v>0.68373493975903621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A1-4B90-93F0-F26A669038E5}"/>
            </c:ext>
          </c:extLst>
        </c:ser>
        <c:ser>
          <c:idx val="2"/>
          <c:order val="2"/>
          <c:tx>
            <c:strRef>
              <c:f>DIAMANTINA!$O$1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DIAMANTINA!$O$2:$O$13</c:f>
              <c:numCache>
                <c:formatCode>0.00</c:formatCode>
                <c:ptCount val="12"/>
                <c:pt idx="0">
                  <c:v>7.6530612244897957E-3</c:v>
                </c:pt>
                <c:pt idx="1">
                  <c:v>3.5714285714285712E-2</c:v>
                </c:pt>
                <c:pt idx="2">
                  <c:v>6.8877551020408156E-2</c:v>
                </c:pt>
                <c:pt idx="3">
                  <c:v>0.11479591836734693</c:v>
                </c:pt>
                <c:pt idx="4">
                  <c:v>0.15306122448979592</c:v>
                </c:pt>
                <c:pt idx="5">
                  <c:v>0.19897959183673469</c:v>
                </c:pt>
                <c:pt idx="6">
                  <c:v>0.26530612244897961</c:v>
                </c:pt>
                <c:pt idx="7">
                  <c:v>0.3035714285714286</c:v>
                </c:pt>
                <c:pt idx="8">
                  <c:v>0.35969387755102045</c:v>
                </c:pt>
                <c:pt idx="9">
                  <c:v>0.57908163265306123</c:v>
                </c:pt>
                <c:pt idx="10">
                  <c:v>0.70663265306122447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A1-4B90-93F0-F26A669038E5}"/>
            </c:ext>
          </c:extLst>
        </c:ser>
        <c:ser>
          <c:idx val="3"/>
          <c:order val="3"/>
          <c:tx>
            <c:strRef>
              <c:f>DIAMANTINA!$P$1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DIAMANTINA!$P$2:$P$13</c:f>
              <c:numCache>
                <c:formatCode>0.00</c:formatCode>
                <c:ptCount val="12"/>
                <c:pt idx="0">
                  <c:v>1.2121212121212121E-2</c:v>
                </c:pt>
                <c:pt idx="1">
                  <c:v>3.6363636363636362E-2</c:v>
                </c:pt>
                <c:pt idx="2">
                  <c:v>6.0606060606060608E-2</c:v>
                </c:pt>
                <c:pt idx="3">
                  <c:v>0.12121212121212122</c:v>
                </c:pt>
                <c:pt idx="4">
                  <c:v>0.16969696969696971</c:v>
                </c:pt>
                <c:pt idx="5">
                  <c:v>0.23636363636363639</c:v>
                </c:pt>
                <c:pt idx="6">
                  <c:v>0.27272727272727276</c:v>
                </c:pt>
                <c:pt idx="7">
                  <c:v>0.29090909090909095</c:v>
                </c:pt>
                <c:pt idx="8">
                  <c:v>0.3575757575757576</c:v>
                </c:pt>
                <c:pt idx="9">
                  <c:v>0.47878787878787882</c:v>
                </c:pt>
                <c:pt idx="10">
                  <c:v>0.67878787878787883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A1-4B90-93F0-F26A66903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195504"/>
        <c:axId val="2055195984"/>
      </c:scatterChart>
      <c:valAx>
        <c:axId val="20551955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195984"/>
        <c:crosses val="autoZero"/>
        <c:crossBetween val="midCat"/>
      </c:valAx>
      <c:valAx>
        <c:axId val="205519598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19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SERRO!$J$1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SERRO!$J$2:$J$6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BF-405E-8534-F7D2710DBC7A}"/>
            </c:ext>
          </c:extLst>
        </c:ser>
        <c:ser>
          <c:idx val="1"/>
          <c:order val="1"/>
          <c:tx>
            <c:strRef>
              <c:f>SERRO!$K$1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SERRO!$K$2:$K$6</c:f>
              <c:numCache>
                <c:formatCode>0.00</c:formatCode>
                <c:ptCount val="5"/>
                <c:pt idx="0">
                  <c:v>0.20588235294117646</c:v>
                </c:pt>
                <c:pt idx="1">
                  <c:v>0.32352941176470584</c:v>
                </c:pt>
                <c:pt idx="2">
                  <c:v>0.32352941176470584</c:v>
                </c:pt>
                <c:pt idx="3">
                  <c:v>0.39705882352941174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BF-405E-8534-F7D2710DBC7A}"/>
            </c:ext>
          </c:extLst>
        </c:ser>
        <c:ser>
          <c:idx val="2"/>
          <c:order val="2"/>
          <c:tx>
            <c:strRef>
              <c:f>SERRO!$L$1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SERRO!$L$2:$L$6</c:f>
              <c:numCache>
                <c:formatCode>0.00</c:formatCode>
                <c:ptCount val="5"/>
                <c:pt idx="0">
                  <c:v>0.14814814814814814</c:v>
                </c:pt>
                <c:pt idx="1">
                  <c:v>0.37037037037037035</c:v>
                </c:pt>
                <c:pt idx="2">
                  <c:v>0.40740740740740738</c:v>
                </c:pt>
                <c:pt idx="3">
                  <c:v>0.44444444444444442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BF-405E-8534-F7D2710DBC7A}"/>
            </c:ext>
          </c:extLst>
        </c:ser>
        <c:ser>
          <c:idx val="3"/>
          <c:order val="3"/>
          <c:tx>
            <c:strRef>
              <c:f>SERRO!$M$1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SERRO!$M$2:$M$6</c:f>
              <c:numCache>
                <c:formatCode>0.00</c:formatCode>
                <c:ptCount val="5"/>
                <c:pt idx="0">
                  <c:v>9.0909090909090912E-2</c:v>
                </c:pt>
                <c:pt idx="1">
                  <c:v>0.12121212121212122</c:v>
                </c:pt>
                <c:pt idx="2">
                  <c:v>0.15151515151515152</c:v>
                </c:pt>
                <c:pt idx="3">
                  <c:v>0.39393939393939392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BF-405E-8534-F7D2710DB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08176"/>
        <c:axId val="650506736"/>
      </c:scatterChart>
      <c:valAx>
        <c:axId val="6505081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06736"/>
        <c:crosses val="autoZero"/>
        <c:crossBetween val="midCat"/>
      </c:valAx>
      <c:valAx>
        <c:axId val="65050673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0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SERRO!$J$1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SERRO!$J$2:$J$6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B5-49F3-97FE-47C6C32D6EDB}"/>
            </c:ext>
          </c:extLst>
        </c:ser>
        <c:ser>
          <c:idx val="1"/>
          <c:order val="1"/>
          <c:tx>
            <c:strRef>
              <c:f>SERRO!$N$1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SERRO!$N$2:$N$6</c:f>
              <c:numCache>
                <c:formatCode>0.00</c:formatCode>
                <c:ptCount val="5"/>
                <c:pt idx="0">
                  <c:v>0.16279069767441862</c:v>
                </c:pt>
                <c:pt idx="1">
                  <c:v>0.23255813953488375</c:v>
                </c:pt>
                <c:pt idx="2">
                  <c:v>0.44186046511627908</c:v>
                </c:pt>
                <c:pt idx="3">
                  <c:v>0.51162790697674421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B5-49F3-97FE-47C6C32D6EDB}"/>
            </c:ext>
          </c:extLst>
        </c:ser>
        <c:ser>
          <c:idx val="2"/>
          <c:order val="2"/>
          <c:tx>
            <c:strRef>
              <c:f>SERRO!$O$1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SERRO!$O$2:$O$6</c:f>
              <c:numCache>
                <c:formatCode>0.00</c:formatCode>
                <c:ptCount val="5"/>
                <c:pt idx="0">
                  <c:v>9.5238095238095233E-2</c:v>
                </c:pt>
                <c:pt idx="1">
                  <c:v>0.20634920634920634</c:v>
                </c:pt>
                <c:pt idx="2">
                  <c:v>0.2857142857142857</c:v>
                </c:pt>
                <c:pt idx="3">
                  <c:v>0.60317460317460314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B5-49F3-97FE-47C6C32D6EDB}"/>
            </c:ext>
          </c:extLst>
        </c:ser>
        <c:ser>
          <c:idx val="3"/>
          <c:order val="3"/>
          <c:tx>
            <c:strRef>
              <c:f>SERRO!$P$1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SERRO!$P$2:$P$6</c:f>
              <c:numCache>
                <c:formatCode>0.00</c:formatCode>
                <c:ptCount val="5"/>
                <c:pt idx="0">
                  <c:v>0.34782608695652173</c:v>
                </c:pt>
                <c:pt idx="1">
                  <c:v>0.39130434782608692</c:v>
                </c:pt>
                <c:pt idx="2">
                  <c:v>0.60869565217391297</c:v>
                </c:pt>
                <c:pt idx="3">
                  <c:v>0.73913043478260865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B5-49F3-97FE-47C6C32D6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491392"/>
        <c:axId val="2106475072"/>
      </c:scatterChart>
      <c:valAx>
        <c:axId val="21064913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6475072"/>
        <c:crosses val="autoZero"/>
        <c:crossBetween val="midCat"/>
      </c:valAx>
      <c:valAx>
        <c:axId val="21064750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6491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'TURMALINA-MINAS NOVA-CAPELINHA'!$J$1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NOVA-CAPELINHA'!$J$2:$J$9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2D-4B21-B14D-1BFB57AB291D}"/>
            </c:ext>
          </c:extLst>
        </c:ser>
        <c:ser>
          <c:idx val="1"/>
          <c:order val="1"/>
          <c:tx>
            <c:strRef>
              <c:f>'TURMALINA-MINAS NOVA-CAPELINHA'!$K$1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NOVA-CAPELINHA'!$K$2:$K$9</c:f>
              <c:numCache>
                <c:formatCode>0.00</c:formatCode>
                <c:ptCount val="8"/>
                <c:pt idx="0">
                  <c:v>4.8543689320388345E-3</c:v>
                </c:pt>
                <c:pt idx="1">
                  <c:v>2.9126213592233011E-2</c:v>
                </c:pt>
                <c:pt idx="2">
                  <c:v>5.3398058252427189E-2</c:v>
                </c:pt>
                <c:pt idx="3">
                  <c:v>7.7669902912621366E-2</c:v>
                </c:pt>
                <c:pt idx="4">
                  <c:v>0.17475728155339806</c:v>
                </c:pt>
                <c:pt idx="5">
                  <c:v>0.37864077669902912</c:v>
                </c:pt>
                <c:pt idx="6">
                  <c:v>0.78155339805825241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2D-4B21-B14D-1BFB57AB291D}"/>
            </c:ext>
          </c:extLst>
        </c:ser>
        <c:ser>
          <c:idx val="2"/>
          <c:order val="2"/>
          <c:tx>
            <c:strRef>
              <c:f>'TURMALINA-MINAS NOVA-CAPELINHA'!$L$1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NOVA-CAPELINHA'!$L$2:$L$9</c:f>
              <c:numCache>
                <c:formatCode>0.00</c:formatCode>
                <c:ptCount val="8"/>
                <c:pt idx="0">
                  <c:v>5.0505050505050504E-2</c:v>
                </c:pt>
                <c:pt idx="1">
                  <c:v>6.0606060606060608E-2</c:v>
                </c:pt>
                <c:pt idx="2">
                  <c:v>6.0606060606060608E-2</c:v>
                </c:pt>
                <c:pt idx="3">
                  <c:v>8.0808080808080815E-2</c:v>
                </c:pt>
                <c:pt idx="4">
                  <c:v>0.13131313131313133</c:v>
                </c:pt>
                <c:pt idx="5">
                  <c:v>0.41414141414141414</c:v>
                </c:pt>
                <c:pt idx="6">
                  <c:v>0.72727272727272729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2D-4B21-B14D-1BFB57AB291D}"/>
            </c:ext>
          </c:extLst>
        </c:ser>
        <c:ser>
          <c:idx val="3"/>
          <c:order val="3"/>
          <c:tx>
            <c:strRef>
              <c:f>'TURMALINA-MINAS NOVA-CAPELINHA'!$M$1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NOVA-CAPELINHA'!$M$2:$M$9</c:f>
              <c:numCache>
                <c:formatCode>0.00</c:formatCode>
                <c:ptCount val="8"/>
                <c:pt idx="0">
                  <c:v>2.0408163265306121E-2</c:v>
                </c:pt>
                <c:pt idx="1">
                  <c:v>7.4829931972789115E-2</c:v>
                </c:pt>
                <c:pt idx="2">
                  <c:v>0.17687074829931973</c:v>
                </c:pt>
                <c:pt idx="3">
                  <c:v>0.26530612244897961</c:v>
                </c:pt>
                <c:pt idx="4">
                  <c:v>0.34013605442176875</c:v>
                </c:pt>
                <c:pt idx="5">
                  <c:v>0.5374149659863946</c:v>
                </c:pt>
                <c:pt idx="6">
                  <c:v>0.78911564625850339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2D-4B21-B14D-1BFB57AB2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000496"/>
        <c:axId val="414994256"/>
      </c:scatterChart>
      <c:valAx>
        <c:axId val="4150004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4994256"/>
        <c:crosses val="autoZero"/>
        <c:crossBetween val="midCat"/>
      </c:valAx>
      <c:valAx>
        <c:axId val="4149942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00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'TURMALINA-MINAS NOVA-CAPELINHA'!$J$1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NOVA-CAPELINHA'!$J$2:$J$9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6C-429D-A7ED-142B9C83C98F}"/>
            </c:ext>
          </c:extLst>
        </c:ser>
        <c:ser>
          <c:idx val="1"/>
          <c:order val="1"/>
          <c:tx>
            <c:strRef>
              <c:f>'TURMALINA-MINAS NOVA-CAPELINHA'!$N$1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NOVA-CAPELINHA'!$N$2:$N$9</c:f>
              <c:numCache>
                <c:formatCode>0.00</c:formatCode>
                <c:ptCount val="8"/>
                <c:pt idx="0">
                  <c:v>2.3255813953488372E-2</c:v>
                </c:pt>
                <c:pt idx="1">
                  <c:v>8.6378737541528236E-2</c:v>
                </c:pt>
                <c:pt idx="2">
                  <c:v>0.10963455149501661</c:v>
                </c:pt>
                <c:pt idx="3">
                  <c:v>0.19933554817275748</c:v>
                </c:pt>
                <c:pt idx="4">
                  <c:v>0.24584717607973422</c:v>
                </c:pt>
                <c:pt idx="5">
                  <c:v>0.49501661129568109</c:v>
                </c:pt>
                <c:pt idx="6">
                  <c:v>0.74086378737541536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6C-429D-A7ED-142B9C83C98F}"/>
            </c:ext>
          </c:extLst>
        </c:ser>
        <c:ser>
          <c:idx val="2"/>
          <c:order val="2"/>
          <c:tx>
            <c:strRef>
              <c:f>'TURMALINA-MINAS NOVA-CAPELINHA'!$O$1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NOVA-CAPELINHA'!$O$2:$O$9</c:f>
              <c:numCache>
                <c:formatCode>0.00</c:formatCode>
                <c:ptCount val="8"/>
                <c:pt idx="0">
                  <c:v>2.5830258302583026E-2</c:v>
                </c:pt>
                <c:pt idx="1">
                  <c:v>5.1660516605166053E-2</c:v>
                </c:pt>
                <c:pt idx="2">
                  <c:v>7.7490774907749083E-2</c:v>
                </c:pt>
                <c:pt idx="3">
                  <c:v>0.13653136531365315</c:v>
                </c:pt>
                <c:pt idx="4">
                  <c:v>0.19557195571955721</c:v>
                </c:pt>
                <c:pt idx="5">
                  <c:v>0.42066420664206644</c:v>
                </c:pt>
                <c:pt idx="6">
                  <c:v>0.66051660516605171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6C-429D-A7ED-142B9C83C98F}"/>
            </c:ext>
          </c:extLst>
        </c:ser>
        <c:ser>
          <c:idx val="3"/>
          <c:order val="3"/>
          <c:tx>
            <c:strRef>
              <c:f>'TURMALINA-MINAS NOVA-CAPELINHA'!$P$1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NOVA-CAPELINHA'!$P$2:$P$9</c:f>
              <c:numCache>
                <c:formatCode>0.00</c:formatCode>
                <c:ptCount val="8"/>
                <c:pt idx="0">
                  <c:v>2.0408163265306121E-2</c:v>
                </c:pt>
                <c:pt idx="1">
                  <c:v>4.7619047619047616E-2</c:v>
                </c:pt>
                <c:pt idx="2">
                  <c:v>0.14965986394557823</c:v>
                </c:pt>
                <c:pt idx="3">
                  <c:v>0.20408163265306123</c:v>
                </c:pt>
                <c:pt idx="4">
                  <c:v>0.29931972789115646</c:v>
                </c:pt>
                <c:pt idx="5">
                  <c:v>0.4285714285714286</c:v>
                </c:pt>
                <c:pt idx="6">
                  <c:v>0.66666666666666674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6C-429D-A7ED-142B9C83C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25936"/>
        <c:axId val="650517776"/>
      </c:scatterChart>
      <c:valAx>
        <c:axId val="6505259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17776"/>
        <c:crosses val="autoZero"/>
        <c:crossBetween val="midCat"/>
      </c:valAx>
      <c:valAx>
        <c:axId val="6505177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2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68580</xdr:colOff>
      <xdr:row>0</xdr:row>
      <xdr:rowOff>80010</xdr:rowOff>
    </xdr:from>
    <xdr:to>
      <xdr:col>23</xdr:col>
      <xdr:colOff>373380</xdr:colOff>
      <xdr:row>12</xdr:row>
      <xdr:rowOff>163830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56F8C54-80BC-244B-D633-9F21E28C7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76200</xdr:colOff>
      <xdr:row>13</xdr:row>
      <xdr:rowOff>19050</xdr:rowOff>
    </xdr:from>
    <xdr:to>
      <xdr:col>23</xdr:col>
      <xdr:colOff>381000</xdr:colOff>
      <xdr:row>28</xdr:row>
      <xdr:rowOff>19050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D7E8956-FCAF-9A65-9FA2-90CD9B5D9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68580</xdr:colOff>
      <xdr:row>0</xdr:row>
      <xdr:rowOff>41910</xdr:rowOff>
    </xdr:from>
    <xdr:to>
      <xdr:col>23</xdr:col>
      <xdr:colOff>373380</xdr:colOff>
      <xdr:row>13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3BD129-9B2D-445D-DFAA-3CF28D718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53340</xdr:colOff>
      <xdr:row>14</xdr:row>
      <xdr:rowOff>11430</xdr:rowOff>
    </xdr:from>
    <xdr:to>
      <xdr:col>23</xdr:col>
      <xdr:colOff>358140</xdr:colOff>
      <xdr:row>28</xdr:row>
      <xdr:rowOff>11430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A35B895-22DA-E46E-DEB1-3D9C3975F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49530</xdr:rowOff>
    </xdr:from>
    <xdr:to>
      <xdr:col>23</xdr:col>
      <xdr:colOff>396240</xdr:colOff>
      <xdr:row>12</xdr:row>
      <xdr:rowOff>133350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5C77237-5927-84BF-E059-FA1C4D6A4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76200</xdr:colOff>
      <xdr:row>12</xdr:row>
      <xdr:rowOff>163830</xdr:rowOff>
    </xdr:from>
    <xdr:to>
      <xdr:col>23</xdr:col>
      <xdr:colOff>381000</xdr:colOff>
      <xdr:row>27</xdr:row>
      <xdr:rowOff>163830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A303C2B-96C4-798B-BFA2-F41E30DCE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57150</xdr:rowOff>
    </xdr:from>
    <xdr:to>
      <xdr:col>23</xdr:col>
      <xdr:colOff>381000</xdr:colOff>
      <xdr:row>13</xdr:row>
      <xdr:rowOff>49530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E23896-5AC4-B7B0-5608-CD0566EB1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13</xdr:row>
      <xdr:rowOff>87630</xdr:rowOff>
    </xdr:from>
    <xdr:to>
      <xdr:col>23</xdr:col>
      <xdr:colOff>365760</xdr:colOff>
      <xdr:row>28</xdr:row>
      <xdr:rowOff>87630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EBE9A6B-E01E-BB1F-63DC-105CF6540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F1EE-A6E7-4C6A-A8A3-4715DC5C8958}">
  <dimension ref="A1:P17"/>
  <sheetViews>
    <sheetView tabSelected="1" workbookViewId="0">
      <selection activeCell="A8" sqref="A8"/>
    </sheetView>
  </sheetViews>
  <sheetFormatPr defaultRowHeight="14.4" x14ac:dyDescent="0.3"/>
  <cols>
    <col min="2" max="2" width="10.88671875" customWidth="1"/>
  </cols>
  <sheetData>
    <row r="1" spans="1:16" ht="36.6" customHeight="1" x14ac:dyDescent="0.3">
      <c r="A1" s="1" t="s">
        <v>6</v>
      </c>
      <c r="B1" s="2" t="s">
        <v>7</v>
      </c>
      <c r="C1" s="3" t="s">
        <v>8</v>
      </c>
      <c r="D1" s="3" t="s">
        <v>9</v>
      </c>
      <c r="E1" s="3" t="s">
        <v>10</v>
      </c>
      <c r="F1" s="2" t="s">
        <v>11</v>
      </c>
      <c r="G1" s="3" t="s">
        <v>12</v>
      </c>
      <c r="H1" s="3" t="s">
        <v>13</v>
      </c>
      <c r="I1" s="4" t="s">
        <v>7</v>
      </c>
      <c r="J1" s="10" t="s">
        <v>7</v>
      </c>
      <c r="K1" s="6" t="s">
        <v>8</v>
      </c>
      <c r="L1" s="6" t="s">
        <v>9</v>
      </c>
      <c r="M1" s="6" t="s">
        <v>10</v>
      </c>
      <c r="N1" s="5" t="s">
        <v>11</v>
      </c>
      <c r="O1" s="6" t="s">
        <v>12</v>
      </c>
      <c r="P1" s="6" t="s">
        <v>13</v>
      </c>
    </row>
    <row r="2" spans="1:16" x14ac:dyDescent="0.3">
      <c r="A2" s="8" t="s">
        <v>4</v>
      </c>
      <c r="B2" s="17">
        <v>8.6882243908975185E-2</v>
      </c>
      <c r="C2" s="17">
        <v>4.6153846153846156E-2</v>
      </c>
      <c r="D2" s="17">
        <v>5.3571428571428568E-2</v>
      </c>
      <c r="E2" s="17">
        <v>0.11428571428571428</v>
      </c>
      <c r="F2" s="17">
        <v>5.4794520547945202E-2</v>
      </c>
      <c r="G2" s="17">
        <v>9.2307692307692313E-2</v>
      </c>
      <c r="H2" s="17">
        <v>0.15909090909090909</v>
      </c>
      <c r="I2" s="7">
        <v>8.6882243908975185E-2</v>
      </c>
      <c r="J2" s="18">
        <v>8.6882243908975185E-2</v>
      </c>
      <c r="K2" s="18">
        <v>4.6153846153846156E-2</v>
      </c>
      <c r="L2" s="18">
        <v>5.3571428571428568E-2</v>
      </c>
      <c r="M2" s="18">
        <v>0.11428571428571428</v>
      </c>
      <c r="N2" s="18">
        <v>5.4794520547945202E-2</v>
      </c>
      <c r="O2" s="18">
        <v>9.2307692307692313E-2</v>
      </c>
      <c r="P2" s="18">
        <v>0.15909090909090909</v>
      </c>
    </row>
    <row r="3" spans="1:16" x14ac:dyDescent="0.3">
      <c r="A3" s="8" t="s">
        <v>2</v>
      </c>
      <c r="B3" s="17">
        <v>0.10282721811563456</v>
      </c>
      <c r="C3" s="17">
        <v>6.9230769230769235E-2</v>
      </c>
      <c r="D3" s="17">
        <v>0.125</v>
      </c>
      <c r="E3" s="17">
        <v>0.2</v>
      </c>
      <c r="F3" s="17">
        <v>0.17808219178082191</v>
      </c>
      <c r="G3" s="17">
        <v>9.2307692307692313E-2</v>
      </c>
      <c r="H3" s="17">
        <v>0.31818181818181818</v>
      </c>
      <c r="I3" s="7">
        <v>0.18970946202460975</v>
      </c>
      <c r="J3" s="7">
        <f t="shared" ref="J3:P7" si="0">J2+B3</f>
        <v>0.18970946202460975</v>
      </c>
      <c r="K3" s="7">
        <f t="shared" si="0"/>
        <v>0.11538461538461539</v>
      </c>
      <c r="L3" s="7">
        <f t="shared" si="0"/>
        <v>0.17857142857142858</v>
      </c>
      <c r="M3" s="7">
        <f t="shared" si="0"/>
        <v>0.31428571428571428</v>
      </c>
      <c r="N3" s="7">
        <f t="shared" si="0"/>
        <v>0.23287671232876711</v>
      </c>
      <c r="O3" s="7">
        <f t="shared" si="0"/>
        <v>0.18461538461538463</v>
      </c>
      <c r="P3" s="7">
        <f t="shared" si="0"/>
        <v>0.47727272727272729</v>
      </c>
    </row>
    <row r="4" spans="1:16" x14ac:dyDescent="0.3">
      <c r="A4" s="8" t="s">
        <v>3</v>
      </c>
      <c r="B4" s="17">
        <v>0.11513209316867282</v>
      </c>
      <c r="C4" s="17">
        <v>9.2307692307692313E-2</v>
      </c>
      <c r="D4" s="17">
        <v>0.125</v>
      </c>
      <c r="E4" s="17">
        <v>0.11428571428571428</v>
      </c>
      <c r="F4" s="17">
        <v>0.16438356164383561</v>
      </c>
      <c r="G4" s="17">
        <v>0.1076923076923077</v>
      </c>
      <c r="H4" s="17">
        <v>6.8181818181818177E-2</v>
      </c>
      <c r="I4" s="7">
        <v>0.3048415551932826</v>
      </c>
      <c r="J4" s="7">
        <f t="shared" si="0"/>
        <v>0.3048415551932826</v>
      </c>
      <c r="K4" s="7">
        <f t="shared" si="0"/>
        <v>0.2076923076923077</v>
      </c>
      <c r="L4" s="7">
        <f t="shared" si="0"/>
        <v>0.3035714285714286</v>
      </c>
      <c r="M4" s="7">
        <f t="shared" si="0"/>
        <v>0.42857142857142855</v>
      </c>
      <c r="N4" s="7">
        <f t="shared" si="0"/>
        <v>0.39726027397260272</v>
      </c>
      <c r="O4" s="7">
        <f t="shared" si="0"/>
        <v>0.29230769230769232</v>
      </c>
      <c r="P4" s="7">
        <f t="shared" si="0"/>
        <v>0.54545454545454541</v>
      </c>
    </row>
    <row r="5" spans="1:16" x14ac:dyDescent="0.3">
      <c r="A5" s="8" t="s">
        <v>1</v>
      </c>
      <c r="B5" s="17">
        <v>0.13190334755130753</v>
      </c>
      <c r="C5" s="17">
        <v>0.16923076923076924</v>
      </c>
      <c r="D5" s="17">
        <v>0.125</v>
      </c>
      <c r="E5" s="17">
        <v>0.25714285714285712</v>
      </c>
      <c r="F5" s="17">
        <v>0.1095890410958904</v>
      </c>
      <c r="G5" s="17">
        <v>0.11538461538461539</v>
      </c>
      <c r="H5" s="17">
        <v>0.11363636363636363</v>
      </c>
      <c r="I5" s="7">
        <v>0.4367449027445901</v>
      </c>
      <c r="J5" s="7">
        <f t="shared" si="0"/>
        <v>0.4367449027445901</v>
      </c>
      <c r="K5" s="7">
        <f t="shared" si="0"/>
        <v>0.37692307692307692</v>
      </c>
      <c r="L5" s="7">
        <f t="shared" si="0"/>
        <v>0.4285714285714286</v>
      </c>
      <c r="M5" s="7">
        <f t="shared" si="0"/>
        <v>0.68571428571428572</v>
      </c>
      <c r="N5" s="7">
        <f t="shared" si="0"/>
        <v>0.50684931506849318</v>
      </c>
      <c r="O5" s="7">
        <f t="shared" si="0"/>
        <v>0.40769230769230769</v>
      </c>
      <c r="P5" s="7">
        <f t="shared" si="0"/>
        <v>0.65909090909090906</v>
      </c>
    </row>
    <row r="6" spans="1:16" x14ac:dyDescent="0.3">
      <c r="A6" s="8" t="s">
        <v>5</v>
      </c>
      <c r="B6" s="17">
        <v>0.15329730454007459</v>
      </c>
      <c r="C6" s="17">
        <v>0.1</v>
      </c>
      <c r="D6" s="17">
        <v>0.19642857142857142</v>
      </c>
      <c r="E6" s="17">
        <v>0.14285714285714285</v>
      </c>
      <c r="F6" s="17">
        <v>8.2191780821917804E-2</v>
      </c>
      <c r="G6" s="17">
        <v>0.1076923076923077</v>
      </c>
      <c r="H6" s="17">
        <v>2.2727272727272728E-2</v>
      </c>
      <c r="I6" s="7">
        <v>0.59004220728466472</v>
      </c>
      <c r="J6" s="7">
        <f t="shared" si="0"/>
        <v>0.59004220728466472</v>
      </c>
      <c r="K6" s="7">
        <f t="shared" si="0"/>
        <v>0.47692307692307689</v>
      </c>
      <c r="L6" s="7">
        <f t="shared" si="0"/>
        <v>0.625</v>
      </c>
      <c r="M6" s="7">
        <f t="shared" si="0"/>
        <v>0.82857142857142851</v>
      </c>
      <c r="N6" s="7">
        <f t="shared" si="0"/>
        <v>0.58904109589041098</v>
      </c>
      <c r="O6" s="7">
        <f t="shared" si="0"/>
        <v>0.51538461538461533</v>
      </c>
      <c r="P6" s="7">
        <f t="shared" si="0"/>
        <v>0.68181818181818177</v>
      </c>
    </row>
    <row r="7" spans="1:16" x14ac:dyDescent="0.3">
      <c r="A7" s="8" t="s">
        <v>0</v>
      </c>
      <c r="B7" s="17">
        <v>0.40995779271533533</v>
      </c>
      <c r="C7" s="17">
        <v>0.52307692307692311</v>
      </c>
      <c r="D7" s="17">
        <v>0.375</v>
      </c>
      <c r="E7" s="17">
        <v>0.17142857142857143</v>
      </c>
      <c r="F7" s="17">
        <v>0.41095890410958902</v>
      </c>
      <c r="G7" s="17">
        <v>0.48461538461538461</v>
      </c>
      <c r="H7" s="17">
        <v>0.31818181818181818</v>
      </c>
      <c r="I7" s="7">
        <v>1</v>
      </c>
      <c r="J7" s="7">
        <f t="shared" si="0"/>
        <v>1</v>
      </c>
      <c r="K7" s="7">
        <f t="shared" si="0"/>
        <v>1</v>
      </c>
      <c r="L7" s="7">
        <f t="shared" si="0"/>
        <v>1</v>
      </c>
      <c r="M7" s="7">
        <f t="shared" si="0"/>
        <v>1</v>
      </c>
      <c r="N7" s="7">
        <f t="shared" si="0"/>
        <v>1</v>
      </c>
      <c r="O7" s="7">
        <f t="shared" si="0"/>
        <v>1</v>
      </c>
      <c r="P7" s="7">
        <f t="shared" si="0"/>
        <v>1</v>
      </c>
    </row>
    <row r="9" spans="1:16" ht="28.8" x14ac:dyDescent="0.3">
      <c r="B9" s="1" t="s">
        <v>6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J9" s="1" t="s">
        <v>6</v>
      </c>
      <c r="K9" s="9" t="s">
        <v>20</v>
      </c>
      <c r="L9" s="9" t="s">
        <v>21</v>
      </c>
      <c r="M9" s="9" t="s">
        <v>22</v>
      </c>
      <c r="N9" s="9" t="s">
        <v>23</v>
      </c>
      <c r="O9" s="9" t="s">
        <v>24</v>
      </c>
      <c r="P9" s="9" t="s">
        <v>25</v>
      </c>
    </row>
    <row r="10" spans="1:16" x14ac:dyDescent="0.3">
      <c r="B10" s="8" t="s">
        <v>4</v>
      </c>
      <c r="C10" s="7">
        <f>C2-B2</f>
        <v>-4.0728397755129028E-2</v>
      </c>
      <c r="D10" s="7">
        <f>D2-B2</f>
        <v>-3.3310815337546616E-2</v>
      </c>
      <c r="E10" s="7">
        <f>E2-B2</f>
        <v>2.7403470376739097E-2</v>
      </c>
      <c r="F10" s="7">
        <f>F2-B2</f>
        <v>-3.2087723361029982E-2</v>
      </c>
      <c r="G10" s="7">
        <f>G2-B2</f>
        <v>5.4254483987171281E-3</v>
      </c>
      <c r="H10" s="7">
        <f>H2-B2</f>
        <v>7.2208665181933904E-2</v>
      </c>
      <c r="J10" s="8" t="s">
        <v>4</v>
      </c>
      <c r="K10" s="8">
        <f>(J2-0) * ((K2+0))</f>
        <v>4.009949718875778E-3</v>
      </c>
      <c r="L10" s="8">
        <f>(J2-0) * ((L2+0))</f>
        <v>4.6544059236950991E-3</v>
      </c>
      <c r="M10" s="8">
        <f>(J2-0) * ((M2+0))</f>
        <v>9.9293993038828774E-3</v>
      </c>
      <c r="N10" s="8">
        <f>(J2-0) * ((N2+0))</f>
        <v>4.7606708991219278E-3</v>
      </c>
      <c r="O10" s="8">
        <f>(J2-0) * ((O2+0))</f>
        <v>8.019899437751556E-3</v>
      </c>
      <c r="P10" s="8">
        <f>(J2-0) * ((P2+0))</f>
        <v>1.3822175167336961E-2</v>
      </c>
    </row>
    <row r="11" spans="1:16" x14ac:dyDescent="0.3">
      <c r="B11" s="8" t="s">
        <v>2</v>
      </c>
      <c r="C11" s="7">
        <f t="shared" ref="C11:C15" si="1">C3-B3</f>
        <v>-3.3596448884865321E-2</v>
      </c>
      <c r="D11" s="7">
        <f t="shared" ref="D11:D15" si="2">D3-B3</f>
        <v>2.2172781884365445E-2</v>
      </c>
      <c r="E11" s="7">
        <f t="shared" ref="E11:E15" si="3">E3-B3</f>
        <v>9.7172781884365456E-2</v>
      </c>
      <c r="F11" s="7">
        <f t="shared" ref="F11:F15" si="4">F3-B3</f>
        <v>7.5254973665187352E-2</v>
      </c>
      <c r="G11" s="7">
        <f t="shared" ref="G11:G15" si="5">G3-B3</f>
        <v>-1.0519525807942243E-2</v>
      </c>
      <c r="H11" s="7">
        <f t="shared" ref="H11:H15" si="6">H3-B3</f>
        <v>0.21535460006618362</v>
      </c>
      <c r="J11" s="8" t="s">
        <v>2</v>
      </c>
      <c r="K11" s="8">
        <f>(J3-J2) * ((K3+K2))</f>
        <v>1.6610550618679432E-2</v>
      </c>
      <c r="L11" s="8">
        <f>(J3-J2) * ((L3+L2))</f>
        <v>2.3870604205415168E-2</v>
      </c>
      <c r="M11" s="8">
        <f>(J3-J2) * ((M3+M2))</f>
        <v>4.4068807763843386E-2</v>
      </c>
      <c r="N11" s="8">
        <f>(J3-J2) * ((N3+N2))</f>
        <v>2.9580432608607203E-2</v>
      </c>
      <c r="O11" s="8">
        <f>(J3-J2) * ((O3+O2))</f>
        <v>2.8475229632021884E-2</v>
      </c>
      <c r="P11" s="8">
        <f>(J3-J2) * ((P3+P2))</f>
        <v>6.5435502437222001E-2</v>
      </c>
    </row>
    <row r="12" spans="1:16" x14ac:dyDescent="0.3">
      <c r="B12" s="8" t="s">
        <v>3</v>
      </c>
      <c r="C12" s="7">
        <f t="shared" si="1"/>
        <v>-2.2824400860980504E-2</v>
      </c>
      <c r="D12" s="7">
        <f t="shared" si="2"/>
        <v>9.8679068313271834E-3</v>
      </c>
      <c r="E12" s="7">
        <f t="shared" si="3"/>
        <v>-8.4637888295853447E-4</v>
      </c>
      <c r="F12" s="7">
        <f t="shared" si="4"/>
        <v>4.9251468475162791E-2</v>
      </c>
      <c r="G12" s="7">
        <f t="shared" si="5"/>
        <v>-7.4397854763651183E-3</v>
      </c>
      <c r="H12" s="7">
        <f t="shared" si="6"/>
        <v>-4.695027498685464E-2</v>
      </c>
      <c r="J12" s="8" t="s">
        <v>3</v>
      </c>
      <c r="K12" s="8">
        <f t="shared" ref="K12:K15" si="7">(J4-J3) * ((K4+K3))</f>
        <v>3.7196522408340461E-2</v>
      </c>
      <c r="L12" s="8">
        <f t="shared" ref="L12:L15" si="8">(J4-J3) * ((L4+L3))</f>
        <v>5.5510116349181557E-2</v>
      </c>
      <c r="M12" s="8">
        <f t="shared" ref="M12:M15" si="9">(J4-J3) * ((M4+M3))</f>
        <v>8.5526697782442693E-2</v>
      </c>
      <c r="N12" s="8">
        <f t="shared" ref="N12:N15" si="10">(J4-J3) * ((N4+N3))</f>
        <v>7.2548990215876033E-2</v>
      </c>
      <c r="O12" s="8">
        <f t="shared" ref="O12:O15" si="11">(J4-J3) * ((O4+O3))</f>
        <v>5.4909152126597818E-2</v>
      </c>
      <c r="P12" s="8">
        <f t="shared" ref="P12:P15" si="12">(J4-J3) * ((P4+P3))</f>
        <v>0.11774873164977905</v>
      </c>
    </row>
    <row r="13" spans="1:16" x14ac:dyDescent="0.3">
      <c r="B13" s="8" t="s">
        <v>1</v>
      </c>
      <c r="C13" s="7">
        <f t="shared" si="1"/>
        <v>3.7327421679461709E-2</v>
      </c>
      <c r="D13" s="7">
        <f t="shared" si="2"/>
        <v>-6.9033475513075315E-3</v>
      </c>
      <c r="E13" s="7">
        <f t="shared" si="3"/>
        <v>0.12523950959154959</v>
      </c>
      <c r="F13" s="7">
        <f t="shared" si="4"/>
        <v>-2.2314306455417127E-2</v>
      </c>
      <c r="G13" s="7">
        <f t="shared" si="5"/>
        <v>-1.6518732166692141E-2</v>
      </c>
      <c r="H13" s="7">
        <f t="shared" si="6"/>
        <v>-1.8266983914943899E-2</v>
      </c>
      <c r="J13" s="8" t="s">
        <v>1</v>
      </c>
      <c r="K13" s="8">
        <f t="shared" si="7"/>
        <v>7.7112726260764389E-2</v>
      </c>
      <c r="L13" s="8">
        <f t="shared" si="8"/>
        <v>9.6572093742921569E-2</v>
      </c>
      <c r="M13" s="8">
        <f t="shared" si="9"/>
        <v>0.1469780158428855</v>
      </c>
      <c r="N13" s="8">
        <f t="shared" si="10"/>
        <v>0.11925508134775747</v>
      </c>
      <c r="O13" s="8">
        <f t="shared" si="11"/>
        <v>9.2332343285915247E-2</v>
      </c>
      <c r="P13" s="8">
        <f t="shared" si="12"/>
        <v>0.15888357773225678</v>
      </c>
    </row>
    <row r="14" spans="1:16" x14ac:dyDescent="0.3">
      <c r="B14" s="8" t="s">
        <v>5</v>
      </c>
      <c r="C14" s="7">
        <f t="shared" si="1"/>
        <v>-5.3297304540074586E-2</v>
      </c>
      <c r="D14" s="7">
        <f t="shared" si="2"/>
        <v>4.3131266888496833E-2</v>
      </c>
      <c r="E14" s="7">
        <f t="shared" si="3"/>
        <v>-1.0440161682931742E-2</v>
      </c>
      <c r="F14" s="7">
        <f t="shared" si="4"/>
        <v>-7.1105523718156788E-2</v>
      </c>
      <c r="G14" s="7">
        <f t="shared" si="5"/>
        <v>-4.5604996847766893E-2</v>
      </c>
      <c r="H14" s="7">
        <f t="shared" si="6"/>
        <v>-0.13057003181280186</v>
      </c>
      <c r="J14" s="8" t="s">
        <v>5</v>
      </c>
      <c r="K14" s="8">
        <f t="shared" si="7"/>
        <v>0.13089231387652525</v>
      </c>
      <c r="L14" s="8">
        <f t="shared" si="8"/>
        <v>0.16150966014043577</v>
      </c>
      <c r="M14" s="8">
        <f t="shared" si="9"/>
        <v>0.23213591830354155</v>
      </c>
      <c r="N14" s="8">
        <f t="shared" si="10"/>
        <v>0.16799704607131463</v>
      </c>
      <c r="O14" s="8">
        <f t="shared" si="11"/>
        <v>0.14150520419083809</v>
      </c>
      <c r="P14" s="8">
        <f t="shared" si="12"/>
        <v>0.20555774926964551</v>
      </c>
    </row>
    <row r="15" spans="1:16" x14ac:dyDescent="0.3">
      <c r="B15" s="8" t="s">
        <v>0</v>
      </c>
      <c r="C15" s="7">
        <f t="shared" si="1"/>
        <v>0.11311913036158777</v>
      </c>
      <c r="D15" s="7">
        <f t="shared" si="2"/>
        <v>-3.4957792715335334E-2</v>
      </c>
      <c r="E15" s="7">
        <f t="shared" si="3"/>
        <v>-0.2385292212867639</v>
      </c>
      <c r="F15" s="7">
        <f t="shared" si="4"/>
        <v>1.0011113942536842E-3</v>
      </c>
      <c r="G15" s="7">
        <f t="shared" si="5"/>
        <v>7.465759190004928E-2</v>
      </c>
      <c r="H15" s="7">
        <f t="shared" si="6"/>
        <v>-9.1775974533517157E-2</v>
      </c>
      <c r="J15" s="8" t="s">
        <v>0</v>
      </c>
      <c r="K15" s="8">
        <f t="shared" si="7"/>
        <v>0.60547612462572598</v>
      </c>
      <c r="L15" s="8">
        <f t="shared" si="8"/>
        <v>0.66618141316241986</v>
      </c>
      <c r="M15" s="8">
        <f t="shared" si="9"/>
        <v>0.74963710667947026</v>
      </c>
      <c r="N15" s="8">
        <f t="shared" si="10"/>
        <v>0.65143978020519033</v>
      </c>
      <c r="O15" s="8">
        <f t="shared" si="11"/>
        <v>0.62124373203785421</v>
      </c>
      <c r="P15" s="8">
        <f t="shared" si="12"/>
        <v>0.68947446956670022</v>
      </c>
    </row>
    <row r="16" spans="1:16" x14ac:dyDescent="0.3">
      <c r="J16" s="11" t="s">
        <v>26</v>
      </c>
      <c r="K16" s="9">
        <f>SUM(K10:K15)</f>
        <v>0.8712981875089113</v>
      </c>
      <c r="L16" s="9">
        <f t="shared" ref="L16:P16" si="13">SUM(L10:L15)</f>
        <v>1.008298293524069</v>
      </c>
      <c r="M16" s="9">
        <f t="shared" si="13"/>
        <v>1.2682759456760664</v>
      </c>
      <c r="N16" s="9">
        <f t="shared" si="13"/>
        <v>1.0455820013478676</v>
      </c>
      <c r="O16" s="9">
        <f t="shared" si="13"/>
        <v>0.94648556071097878</v>
      </c>
      <c r="P16" s="9">
        <f t="shared" si="13"/>
        <v>1.2509222058229406</v>
      </c>
    </row>
    <row r="17" spans="10:16" x14ac:dyDescent="0.3">
      <c r="J17" s="12" t="s">
        <v>27</v>
      </c>
      <c r="K17" s="13">
        <f>1-K16</f>
        <v>0.1287018124910887</v>
      </c>
      <c r="L17" s="13">
        <f t="shared" ref="L17:P17" si="14">1-L16</f>
        <v>-8.298293524068967E-3</v>
      </c>
      <c r="M17" s="13">
        <f t="shared" si="14"/>
        <v>-0.26827594567606639</v>
      </c>
      <c r="N17" s="13">
        <f t="shared" si="14"/>
        <v>-4.5582001347867607E-2</v>
      </c>
      <c r="O17" s="13">
        <f t="shared" si="14"/>
        <v>5.3514439289021221E-2</v>
      </c>
      <c r="P17" s="13">
        <f t="shared" si="14"/>
        <v>-0.25092220582294056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F471-295F-4D4A-A152-857BFE70D681}">
  <dimension ref="A1:P29"/>
  <sheetViews>
    <sheetView workbookViewId="0">
      <selection activeCell="J2" sqref="J2"/>
    </sheetView>
  </sheetViews>
  <sheetFormatPr defaultRowHeight="14.4" x14ac:dyDescent="0.3"/>
  <cols>
    <col min="1" max="1" width="12.5546875" customWidth="1"/>
  </cols>
  <sheetData>
    <row r="1" spans="1:16" ht="36.6" customHeight="1" x14ac:dyDescent="0.3">
      <c r="A1" s="1" t="s">
        <v>6</v>
      </c>
      <c r="B1" s="2" t="s">
        <v>7</v>
      </c>
      <c r="C1" s="3" t="s">
        <v>8</v>
      </c>
      <c r="D1" s="3" t="s">
        <v>9</v>
      </c>
      <c r="E1" s="3" t="s">
        <v>10</v>
      </c>
      <c r="F1" s="2" t="s">
        <v>11</v>
      </c>
      <c r="G1" s="3" t="s">
        <v>12</v>
      </c>
      <c r="H1" s="3" t="s">
        <v>13</v>
      </c>
      <c r="I1" s="4" t="s">
        <v>7</v>
      </c>
      <c r="J1" s="10" t="s">
        <v>7</v>
      </c>
      <c r="K1" s="6" t="s">
        <v>8</v>
      </c>
      <c r="L1" s="14" t="s">
        <v>9</v>
      </c>
      <c r="M1" s="6" t="s">
        <v>10</v>
      </c>
      <c r="N1" s="5" t="s">
        <v>11</v>
      </c>
      <c r="O1" s="6" t="s">
        <v>12</v>
      </c>
      <c r="P1" s="6" t="s">
        <v>13</v>
      </c>
    </row>
    <row r="2" spans="1:16" x14ac:dyDescent="0.3">
      <c r="A2" s="8" t="s">
        <v>37</v>
      </c>
      <c r="B2" s="17">
        <v>2.0993408069866062E-2</v>
      </c>
      <c r="C2" s="17">
        <v>0</v>
      </c>
      <c r="D2" s="17">
        <v>1.6393442622950821E-2</v>
      </c>
      <c r="E2" s="17">
        <v>2.7272727272727271E-2</v>
      </c>
      <c r="F2" s="17">
        <v>1.8072289156626505E-2</v>
      </c>
      <c r="G2" s="17">
        <v>7.6530612244897957E-3</v>
      </c>
      <c r="H2" s="17">
        <v>1.2121212121212121E-2</v>
      </c>
      <c r="I2" s="7">
        <v>2.0993408069866062E-2</v>
      </c>
      <c r="J2" s="18">
        <v>2.0993408069866062E-2</v>
      </c>
      <c r="K2" s="18">
        <v>0</v>
      </c>
      <c r="L2" s="18">
        <v>1.6393442622950821E-2</v>
      </c>
      <c r="M2" s="18">
        <v>2.7272727272727271E-2</v>
      </c>
      <c r="N2" s="18">
        <v>1.8072289156626505E-2</v>
      </c>
      <c r="O2" s="18">
        <v>7.6530612244897957E-3</v>
      </c>
      <c r="P2" s="18">
        <v>1.2121212121212121E-2</v>
      </c>
    </row>
    <row r="3" spans="1:16" x14ac:dyDescent="0.3">
      <c r="A3" s="8" t="s">
        <v>38</v>
      </c>
      <c r="B3" s="17">
        <v>2.2239016948678116E-2</v>
      </c>
      <c r="C3" s="17">
        <v>2.8753993610223641E-2</v>
      </c>
      <c r="D3" s="17">
        <v>3.2786885245901641E-2</v>
      </c>
      <c r="E3" s="17">
        <v>0</v>
      </c>
      <c r="F3" s="17">
        <v>2.4096385542168676E-2</v>
      </c>
      <c r="G3" s="17">
        <v>2.8061224489795918E-2</v>
      </c>
      <c r="H3" s="17">
        <v>2.4242424242424242E-2</v>
      </c>
      <c r="I3" s="7">
        <v>4.3232425018544178E-2</v>
      </c>
      <c r="J3" s="7">
        <f t="shared" ref="J3:P13" si="0">J2+B3</f>
        <v>4.3232425018544178E-2</v>
      </c>
      <c r="K3" s="7">
        <f t="shared" si="0"/>
        <v>2.8753993610223641E-2</v>
      </c>
      <c r="L3" s="15">
        <f t="shared" si="0"/>
        <v>4.9180327868852458E-2</v>
      </c>
      <c r="M3" s="7">
        <f t="shared" si="0"/>
        <v>2.7272727272727271E-2</v>
      </c>
      <c r="N3" s="7">
        <f t="shared" si="0"/>
        <v>4.2168674698795178E-2</v>
      </c>
      <c r="O3" s="7">
        <f t="shared" si="0"/>
        <v>3.5714285714285712E-2</v>
      </c>
      <c r="P3" s="7">
        <f t="shared" si="0"/>
        <v>3.6363636363636362E-2</v>
      </c>
    </row>
    <row r="4" spans="1:16" x14ac:dyDescent="0.3">
      <c r="A4" s="8" t="s">
        <v>39</v>
      </c>
      <c r="B4" s="17">
        <v>2.8383087710458915E-2</v>
      </c>
      <c r="C4" s="17">
        <v>2.8753993610223641E-2</v>
      </c>
      <c r="D4" s="17">
        <v>3.2786885245901641E-2</v>
      </c>
      <c r="E4" s="17">
        <v>5.4545454545454543E-2</v>
      </c>
      <c r="F4" s="17">
        <v>4.5180722891566265E-2</v>
      </c>
      <c r="G4" s="17">
        <v>3.3163265306122451E-2</v>
      </c>
      <c r="H4" s="17">
        <v>2.4242424242424242E-2</v>
      </c>
      <c r="I4" s="7">
        <v>7.16155127290031E-2</v>
      </c>
      <c r="J4" s="7">
        <f t="shared" si="0"/>
        <v>7.16155127290031E-2</v>
      </c>
      <c r="K4" s="7">
        <f t="shared" si="0"/>
        <v>5.7507987220447282E-2</v>
      </c>
      <c r="L4" s="15">
        <f t="shared" si="0"/>
        <v>8.1967213114754106E-2</v>
      </c>
      <c r="M4" s="7">
        <f t="shared" si="0"/>
        <v>8.1818181818181818E-2</v>
      </c>
      <c r="N4" s="7">
        <f t="shared" si="0"/>
        <v>8.7349397590361449E-2</v>
      </c>
      <c r="O4" s="7">
        <f t="shared" si="0"/>
        <v>6.8877551020408156E-2</v>
      </c>
      <c r="P4" s="7">
        <f t="shared" si="0"/>
        <v>6.0606060606060608E-2</v>
      </c>
    </row>
    <row r="5" spans="1:16" x14ac:dyDescent="0.3">
      <c r="A5" s="8" t="s">
        <v>32</v>
      </c>
      <c r="B5" s="17">
        <v>3.104225273264195E-2</v>
      </c>
      <c r="C5" s="17">
        <v>4.1533546325878593E-2</v>
      </c>
      <c r="D5" s="17">
        <v>2.4590163934426229E-2</v>
      </c>
      <c r="E5" s="17">
        <v>6.363636363636363E-2</v>
      </c>
      <c r="F5" s="17">
        <v>1.8072289156626505E-2</v>
      </c>
      <c r="G5" s="17">
        <v>4.5918367346938778E-2</v>
      </c>
      <c r="H5" s="17">
        <v>6.0606060606060608E-2</v>
      </c>
      <c r="I5" s="7">
        <v>0.10265776546164505</v>
      </c>
      <c r="J5" s="7">
        <f t="shared" si="0"/>
        <v>0.10265776546164505</v>
      </c>
      <c r="K5" s="7">
        <f t="shared" si="0"/>
        <v>9.9041533546325874E-2</v>
      </c>
      <c r="L5" s="15">
        <f t="shared" si="0"/>
        <v>0.10655737704918034</v>
      </c>
      <c r="M5" s="7">
        <f t="shared" si="0"/>
        <v>0.14545454545454545</v>
      </c>
      <c r="N5" s="7">
        <f t="shared" si="0"/>
        <v>0.10542168674698796</v>
      </c>
      <c r="O5" s="7">
        <f t="shared" si="0"/>
        <v>0.11479591836734693</v>
      </c>
      <c r="P5" s="7">
        <f t="shared" si="0"/>
        <v>0.12121212121212122</v>
      </c>
    </row>
    <row r="6" spans="1:16" x14ac:dyDescent="0.3">
      <c r="A6" s="8" t="s">
        <v>34</v>
      </c>
      <c r="B6" s="17">
        <v>3.258176932443213E-2</v>
      </c>
      <c r="C6" s="17">
        <v>3.1948881789137379E-2</v>
      </c>
      <c r="D6" s="17">
        <v>3.2786885245901641E-2</v>
      </c>
      <c r="E6" s="17">
        <v>9.0909090909090905E-3</v>
      </c>
      <c r="F6" s="17">
        <v>2.710843373493976E-2</v>
      </c>
      <c r="G6" s="17">
        <v>3.826530612244898E-2</v>
      </c>
      <c r="H6" s="17">
        <v>4.8484848484848485E-2</v>
      </c>
      <c r="I6" s="7">
        <v>0.1352395347860772</v>
      </c>
      <c r="J6" s="7">
        <f t="shared" si="0"/>
        <v>0.1352395347860772</v>
      </c>
      <c r="K6" s="7">
        <f t="shared" si="0"/>
        <v>0.13099041533546324</v>
      </c>
      <c r="L6" s="15">
        <f t="shared" si="0"/>
        <v>0.13934426229508198</v>
      </c>
      <c r="M6" s="7">
        <f t="shared" si="0"/>
        <v>0.15454545454545454</v>
      </c>
      <c r="N6" s="7">
        <f t="shared" si="0"/>
        <v>0.13253012048192772</v>
      </c>
      <c r="O6" s="7">
        <f t="shared" si="0"/>
        <v>0.15306122448979592</v>
      </c>
      <c r="P6" s="7">
        <f t="shared" si="0"/>
        <v>0.16969696969696971</v>
      </c>
    </row>
    <row r="7" spans="1:16" x14ac:dyDescent="0.3">
      <c r="A7" s="8" t="s">
        <v>31</v>
      </c>
      <c r="B7" s="17">
        <v>3.531791017620467E-2</v>
      </c>
      <c r="C7" s="17">
        <v>3.1948881789137379E-3</v>
      </c>
      <c r="D7" s="17">
        <v>8.1967213114754103E-3</v>
      </c>
      <c r="E7" s="17">
        <v>3.6363636363636362E-2</v>
      </c>
      <c r="F7" s="17">
        <v>2.710843373493976E-2</v>
      </c>
      <c r="G7" s="17">
        <v>4.5918367346938778E-2</v>
      </c>
      <c r="H7" s="17">
        <v>6.6666666666666666E-2</v>
      </c>
      <c r="I7" s="7">
        <v>0.17055744496228187</v>
      </c>
      <c r="J7" s="7">
        <f t="shared" si="0"/>
        <v>0.17055744496228187</v>
      </c>
      <c r="K7" s="7">
        <f t="shared" si="0"/>
        <v>0.13418530351437696</v>
      </c>
      <c r="L7" s="15">
        <f t="shared" si="0"/>
        <v>0.1475409836065574</v>
      </c>
      <c r="M7" s="7">
        <f t="shared" si="0"/>
        <v>0.19090909090909092</v>
      </c>
      <c r="N7" s="7">
        <f t="shared" si="0"/>
        <v>0.15963855421686748</v>
      </c>
      <c r="O7" s="7">
        <f t="shared" si="0"/>
        <v>0.19897959183673469</v>
      </c>
      <c r="P7" s="7">
        <f t="shared" si="0"/>
        <v>0.23636363636363639</v>
      </c>
    </row>
    <row r="8" spans="1:16" x14ac:dyDescent="0.3">
      <c r="A8" s="8" t="s">
        <v>33</v>
      </c>
      <c r="B8" s="17">
        <v>3.8005066409147525E-2</v>
      </c>
      <c r="C8" s="17">
        <v>6.070287539936102E-2</v>
      </c>
      <c r="D8" s="17">
        <v>4.0983606557377046E-2</v>
      </c>
      <c r="E8" s="17">
        <v>0</v>
      </c>
      <c r="F8" s="17">
        <v>4.5180722891566265E-2</v>
      </c>
      <c r="G8" s="17">
        <v>6.6326530612244902E-2</v>
      </c>
      <c r="H8" s="17">
        <v>3.6363636363636362E-2</v>
      </c>
      <c r="I8" s="7">
        <v>0.20856251137142939</v>
      </c>
      <c r="J8" s="7">
        <f t="shared" si="0"/>
        <v>0.20856251137142939</v>
      </c>
      <c r="K8" s="7">
        <f t="shared" si="0"/>
        <v>0.194888178913738</v>
      </c>
      <c r="L8" s="15">
        <f t="shared" si="0"/>
        <v>0.18852459016393444</v>
      </c>
      <c r="M8" s="7">
        <f t="shared" si="0"/>
        <v>0.19090909090909092</v>
      </c>
      <c r="N8" s="7">
        <f t="shared" si="0"/>
        <v>0.20481927710843376</v>
      </c>
      <c r="O8" s="7">
        <f t="shared" si="0"/>
        <v>0.26530612244897961</v>
      </c>
      <c r="P8" s="7">
        <f t="shared" si="0"/>
        <v>0.27272727272727276</v>
      </c>
    </row>
    <row r="9" spans="1:16" x14ac:dyDescent="0.3">
      <c r="A9" s="8" t="s">
        <v>30</v>
      </c>
      <c r="B9" s="17">
        <v>6.1650641698506668E-2</v>
      </c>
      <c r="C9" s="17">
        <v>3.8338658146964855E-2</v>
      </c>
      <c r="D9" s="17">
        <v>8.1967213114754103E-3</v>
      </c>
      <c r="E9" s="17">
        <v>0</v>
      </c>
      <c r="F9" s="17">
        <v>3.0120481927710843E-2</v>
      </c>
      <c r="G9" s="17">
        <v>3.826530612244898E-2</v>
      </c>
      <c r="H9" s="17">
        <v>1.8181818181818181E-2</v>
      </c>
      <c r="I9" s="7">
        <v>0.27021315306993604</v>
      </c>
      <c r="J9" s="7">
        <f t="shared" si="0"/>
        <v>0.27021315306993604</v>
      </c>
      <c r="K9" s="7">
        <f t="shared" si="0"/>
        <v>0.23322683706070285</v>
      </c>
      <c r="L9" s="15">
        <f t="shared" si="0"/>
        <v>0.19672131147540986</v>
      </c>
      <c r="M9" s="7">
        <f t="shared" si="0"/>
        <v>0.19090909090909092</v>
      </c>
      <c r="N9" s="7">
        <f t="shared" si="0"/>
        <v>0.23493975903614461</v>
      </c>
      <c r="O9" s="7">
        <f t="shared" si="0"/>
        <v>0.3035714285714286</v>
      </c>
      <c r="P9" s="7">
        <f t="shared" si="0"/>
        <v>0.29090909090909095</v>
      </c>
    </row>
    <row r="10" spans="1:16" x14ac:dyDescent="0.3">
      <c r="A10" s="8" t="s">
        <v>29</v>
      </c>
      <c r="B10" s="17">
        <v>6.5940294747449307E-2</v>
      </c>
      <c r="C10" s="17">
        <v>5.4313099041533544E-2</v>
      </c>
      <c r="D10" s="17">
        <v>9.8360655737704916E-2</v>
      </c>
      <c r="E10" s="17">
        <v>9.0909090909090912E-2</v>
      </c>
      <c r="F10" s="17">
        <v>4.2168674698795178E-2</v>
      </c>
      <c r="G10" s="17">
        <v>5.6122448979591837E-2</v>
      </c>
      <c r="H10" s="17">
        <v>6.6666666666666666E-2</v>
      </c>
      <c r="I10" s="7">
        <v>0.33615344781738532</v>
      </c>
      <c r="J10" s="7">
        <f t="shared" si="0"/>
        <v>0.33615344781738532</v>
      </c>
      <c r="K10" s="7">
        <f t="shared" si="0"/>
        <v>0.28753993610223638</v>
      </c>
      <c r="L10" s="15">
        <f t="shared" si="0"/>
        <v>0.29508196721311475</v>
      </c>
      <c r="M10" s="7">
        <f t="shared" si="0"/>
        <v>0.28181818181818186</v>
      </c>
      <c r="N10" s="7">
        <f t="shared" si="0"/>
        <v>0.27710843373493976</v>
      </c>
      <c r="O10" s="7">
        <f t="shared" si="0"/>
        <v>0.35969387755102045</v>
      </c>
      <c r="P10" s="7">
        <f t="shared" si="0"/>
        <v>0.3575757575757576</v>
      </c>
    </row>
    <row r="11" spans="1:16" x14ac:dyDescent="0.3">
      <c r="A11" s="8" t="s">
        <v>35</v>
      </c>
      <c r="B11" s="17">
        <v>8.2651047571062689E-2</v>
      </c>
      <c r="C11" s="17">
        <v>3.1948881789137379E-2</v>
      </c>
      <c r="D11" s="17">
        <v>8.1967213114754092E-2</v>
      </c>
      <c r="E11" s="17">
        <v>0.2</v>
      </c>
      <c r="F11" s="17">
        <v>0.26204819277108432</v>
      </c>
      <c r="G11" s="17">
        <v>0.21938775510204081</v>
      </c>
      <c r="H11" s="17">
        <v>0.12121212121212122</v>
      </c>
      <c r="I11" s="7">
        <v>0.41880449538844799</v>
      </c>
      <c r="J11" s="7">
        <f t="shared" si="0"/>
        <v>0.41880449538844799</v>
      </c>
      <c r="K11" s="7">
        <f t="shared" si="0"/>
        <v>0.31948881789137373</v>
      </c>
      <c r="L11" s="15">
        <f t="shared" si="0"/>
        <v>0.37704918032786883</v>
      </c>
      <c r="M11" s="7">
        <f t="shared" si="0"/>
        <v>0.48181818181818187</v>
      </c>
      <c r="N11" s="7">
        <f t="shared" si="0"/>
        <v>0.53915662650602414</v>
      </c>
      <c r="O11" s="7">
        <f t="shared" si="0"/>
        <v>0.57908163265306123</v>
      </c>
      <c r="P11" s="7">
        <f t="shared" si="0"/>
        <v>0.47878787878787882</v>
      </c>
    </row>
    <row r="12" spans="1:16" x14ac:dyDescent="0.3">
      <c r="A12" s="8" t="s">
        <v>36</v>
      </c>
      <c r="B12" s="17">
        <v>0.24583280849813158</v>
      </c>
      <c r="C12" s="17">
        <v>0.17252396166134185</v>
      </c>
      <c r="D12" s="17">
        <v>0.29508196721311475</v>
      </c>
      <c r="E12" s="17">
        <v>0.31818181818181818</v>
      </c>
      <c r="F12" s="17">
        <v>0.14457831325301204</v>
      </c>
      <c r="G12" s="17">
        <v>0.12755102040816327</v>
      </c>
      <c r="H12" s="17">
        <v>0.2</v>
      </c>
      <c r="I12" s="7">
        <v>0.6646373038865796</v>
      </c>
      <c r="J12" s="7">
        <f t="shared" si="0"/>
        <v>0.6646373038865796</v>
      </c>
      <c r="K12" s="7">
        <f t="shared" si="0"/>
        <v>0.49201277955271561</v>
      </c>
      <c r="L12" s="15">
        <f t="shared" si="0"/>
        <v>0.67213114754098358</v>
      </c>
      <c r="M12" s="7">
        <f t="shared" si="0"/>
        <v>0.8</v>
      </c>
      <c r="N12" s="7">
        <f t="shared" si="0"/>
        <v>0.68373493975903621</v>
      </c>
      <c r="O12" s="7">
        <f t="shared" si="0"/>
        <v>0.70663265306122447</v>
      </c>
      <c r="P12" s="7">
        <f t="shared" si="0"/>
        <v>0.67878787878787883</v>
      </c>
    </row>
    <row r="13" spans="1:16" x14ac:dyDescent="0.3">
      <c r="A13" s="8" t="s">
        <v>28</v>
      </c>
      <c r="B13" s="17">
        <v>0.3353626961134204</v>
      </c>
      <c r="C13" s="17">
        <v>0.50798722044728439</v>
      </c>
      <c r="D13" s="17">
        <v>0.32786885245901637</v>
      </c>
      <c r="E13" s="17">
        <v>0.2</v>
      </c>
      <c r="F13" s="17">
        <v>0.31626506024096385</v>
      </c>
      <c r="G13" s="17">
        <v>0.29336734693877553</v>
      </c>
      <c r="H13" s="17">
        <v>0.32121212121212123</v>
      </c>
      <c r="I13" s="7">
        <v>1</v>
      </c>
      <c r="J13" s="7">
        <f t="shared" si="0"/>
        <v>1</v>
      </c>
      <c r="K13" s="7">
        <f t="shared" si="0"/>
        <v>1</v>
      </c>
      <c r="L13" s="15">
        <f t="shared" si="0"/>
        <v>1</v>
      </c>
      <c r="M13" s="7">
        <f t="shared" si="0"/>
        <v>1</v>
      </c>
      <c r="N13" s="7">
        <f t="shared" si="0"/>
        <v>1</v>
      </c>
      <c r="O13" s="7">
        <f t="shared" si="0"/>
        <v>1</v>
      </c>
      <c r="P13" s="7">
        <f t="shared" si="0"/>
        <v>1</v>
      </c>
    </row>
    <row r="15" spans="1:16" ht="28.8" x14ac:dyDescent="0.3">
      <c r="B15" s="1" t="s">
        <v>6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18</v>
      </c>
      <c r="H15" s="3" t="s">
        <v>19</v>
      </c>
      <c r="J15" s="8"/>
      <c r="K15" s="9" t="s">
        <v>20</v>
      </c>
      <c r="L15" s="9" t="s">
        <v>21</v>
      </c>
      <c r="M15" s="9" t="s">
        <v>22</v>
      </c>
      <c r="N15" s="9" t="s">
        <v>23</v>
      </c>
      <c r="O15" s="9" t="s">
        <v>24</v>
      </c>
      <c r="P15" s="9" t="s">
        <v>25</v>
      </c>
    </row>
    <row r="16" spans="1:16" x14ac:dyDescent="0.3">
      <c r="B16" s="8" t="s">
        <v>37</v>
      </c>
      <c r="C16" s="7">
        <f>C2-B2</f>
        <v>-2.0993408069866062E-2</v>
      </c>
      <c r="D16" s="7">
        <f>D2-B2</f>
        <v>-4.5999654469152419E-3</v>
      </c>
      <c r="E16" s="7">
        <f>E2-B2</f>
        <v>6.279319202861209E-3</v>
      </c>
      <c r="F16" s="7">
        <f>F2-B2</f>
        <v>-2.9211189132395572E-3</v>
      </c>
      <c r="G16" s="7">
        <f>G2-B2</f>
        <v>-1.3340346845376267E-2</v>
      </c>
      <c r="H16" s="7">
        <f>H2-B2</f>
        <v>-8.8721959486539412E-3</v>
      </c>
      <c r="J16" s="8" t="s">
        <v>40</v>
      </c>
      <c r="K16" s="8">
        <f>($J2-0) * ((K2+0))</f>
        <v>0</v>
      </c>
      <c r="L16" s="8">
        <f t="shared" ref="L16:P16" si="1">($J2-0) * ((L2+0))</f>
        <v>3.44154230653542E-4</v>
      </c>
      <c r="M16" s="8">
        <f t="shared" si="1"/>
        <v>5.7254749281452895E-4</v>
      </c>
      <c r="N16" s="8">
        <f t="shared" si="1"/>
        <v>3.7939894102167581E-4</v>
      </c>
      <c r="O16" s="8">
        <f t="shared" si="1"/>
        <v>1.6066383726938313E-4</v>
      </c>
      <c r="P16" s="8">
        <f t="shared" si="1"/>
        <v>2.544655523620129E-4</v>
      </c>
    </row>
    <row r="17" spans="2:16" x14ac:dyDescent="0.3">
      <c r="B17" s="8" t="s">
        <v>38</v>
      </c>
      <c r="C17" s="7">
        <f t="shared" ref="C17:C27" si="2">C3-B3</f>
        <v>6.5149766615455254E-3</v>
      </c>
      <c r="D17" s="7">
        <f t="shared" ref="D17:D27" si="3">D3-B3</f>
        <v>1.0547868297223525E-2</v>
      </c>
      <c r="E17" s="7">
        <f t="shared" ref="E17:E27" si="4">E3-B3</f>
        <v>-2.2239016948678116E-2</v>
      </c>
      <c r="F17" s="7">
        <f t="shared" ref="F17:F27" si="5">F3-B3</f>
        <v>1.8573685934905604E-3</v>
      </c>
      <c r="G17" s="7">
        <f t="shared" ref="G17:G27" si="6">G3-B3</f>
        <v>5.8222075411178027E-3</v>
      </c>
      <c r="H17" s="7">
        <f t="shared" ref="H17:H27" si="7">H3-B3</f>
        <v>2.0034072937461268E-3</v>
      </c>
      <c r="J17" s="8" t="s">
        <v>41</v>
      </c>
      <c r="K17" s="8">
        <f>($J3-$J2) * ((K3+K2))</f>
        <v>6.3946055123994584E-4</v>
      </c>
      <c r="L17" s="8">
        <f t="shared" ref="L17:P17" si="8">($J3-$J2) * ((L3+L2))</f>
        <v>1.4582961933559421E-3</v>
      </c>
      <c r="M17" s="8">
        <f t="shared" si="8"/>
        <v>1.2130372881097153E-3</v>
      </c>
      <c r="N17" s="8">
        <f t="shared" si="8"/>
        <v>1.3396998161854287E-3</v>
      </c>
      <c r="O17" s="8">
        <f t="shared" si="8"/>
        <v>9.6444716359063258E-4</v>
      </c>
      <c r="P17" s="8">
        <f t="shared" si="8"/>
        <v>1.0782553672086359E-3</v>
      </c>
    </row>
    <row r="18" spans="2:16" x14ac:dyDescent="0.3">
      <c r="B18" s="8" t="s">
        <v>39</v>
      </c>
      <c r="C18" s="7">
        <f t="shared" si="2"/>
        <v>3.7090589976472577E-4</v>
      </c>
      <c r="D18" s="7">
        <f t="shared" si="3"/>
        <v>4.4037975354427258E-3</v>
      </c>
      <c r="E18" s="7">
        <f t="shared" si="4"/>
        <v>2.6162366834995628E-2</v>
      </c>
      <c r="F18" s="7">
        <f t="shared" si="5"/>
        <v>1.679763518110735E-2</v>
      </c>
      <c r="G18" s="7">
        <f t="shared" si="6"/>
        <v>4.7801775956635359E-3</v>
      </c>
      <c r="H18" s="7">
        <f t="shared" si="7"/>
        <v>-4.1406634680346728E-3</v>
      </c>
      <c r="J18" s="8" t="s">
        <v>42</v>
      </c>
      <c r="K18" s="8">
        <f t="shared" ref="K18:P27" si="9">($J4-$J3) * ((K4+K3))</f>
        <v>2.4483813679948589E-3</v>
      </c>
      <c r="L18" s="8">
        <f t="shared" si="9"/>
        <v>3.7223721587487115E-3</v>
      </c>
      <c r="M18" s="8">
        <f t="shared" si="9"/>
        <v>3.0963368411409732E-3</v>
      </c>
      <c r="N18" s="8">
        <f t="shared" si="9"/>
        <v>3.6761228058726919E-3</v>
      </c>
      <c r="O18" s="8">
        <f t="shared" si="9"/>
        <v>2.9686392758388157E-3</v>
      </c>
      <c r="P18" s="8">
        <f t="shared" si="9"/>
        <v>2.7522994143475317E-3</v>
      </c>
    </row>
    <row r="19" spans="2:16" x14ac:dyDescent="0.3">
      <c r="B19" s="8" t="s">
        <v>32</v>
      </c>
      <c r="C19" s="7">
        <f t="shared" si="2"/>
        <v>1.0491293593236643E-2</v>
      </c>
      <c r="D19" s="7">
        <f t="shared" si="3"/>
        <v>-6.4520887982157209E-3</v>
      </c>
      <c r="E19" s="7">
        <f t="shared" si="4"/>
        <v>3.2594110903721676E-2</v>
      </c>
      <c r="F19" s="7">
        <f t="shared" si="5"/>
        <v>-1.2969963576015445E-2</v>
      </c>
      <c r="G19" s="7">
        <f t="shared" si="6"/>
        <v>1.4876114614296828E-2</v>
      </c>
      <c r="H19" s="7">
        <f t="shared" si="7"/>
        <v>2.9563807873418658E-2</v>
      </c>
      <c r="J19" s="8" t="s">
        <v>43</v>
      </c>
      <c r="K19" s="8">
        <f t="shared" si="9"/>
        <v>4.8596497888161519E-3</v>
      </c>
      <c r="L19" s="8">
        <f t="shared" si="9"/>
        <v>5.8522279741865984E-3</v>
      </c>
      <c r="M19" s="8">
        <f t="shared" si="9"/>
        <v>7.0550574392368075E-3</v>
      </c>
      <c r="N19" s="8">
        <f t="shared" si="9"/>
        <v>5.9840487195454367E-3</v>
      </c>
      <c r="O19" s="8">
        <f t="shared" si="9"/>
        <v>5.7016382570158688E-3</v>
      </c>
      <c r="P19" s="8">
        <f t="shared" si="9"/>
        <v>5.6440459513894458E-3</v>
      </c>
    </row>
    <row r="20" spans="2:16" x14ac:dyDescent="0.3">
      <c r="B20" s="8" t="s">
        <v>34</v>
      </c>
      <c r="C20" s="7">
        <f t="shared" si="2"/>
        <v>-6.3288753529475161E-4</v>
      </c>
      <c r="D20" s="7">
        <f t="shared" si="3"/>
        <v>2.0511592146951058E-4</v>
      </c>
      <c r="E20" s="7">
        <f t="shared" si="4"/>
        <v>-2.349086023352304E-2</v>
      </c>
      <c r="F20" s="7">
        <f t="shared" si="5"/>
        <v>-5.4733355894923709E-3</v>
      </c>
      <c r="G20" s="7">
        <f t="shared" si="6"/>
        <v>5.68353679801685E-3</v>
      </c>
      <c r="H20" s="7">
        <f t="shared" si="7"/>
        <v>1.5903079160416354E-2</v>
      </c>
      <c r="J20" s="8" t="s">
        <v>44</v>
      </c>
      <c r="K20" s="8">
        <f t="shared" si="9"/>
        <v>7.4948478957160202E-3</v>
      </c>
      <c r="L20" s="8">
        <f t="shared" si="9"/>
        <v>8.0119104896144624E-3</v>
      </c>
      <c r="M20" s="8">
        <f t="shared" si="9"/>
        <v>9.7745307973296433E-3</v>
      </c>
      <c r="N20" s="8">
        <f t="shared" si="9"/>
        <v>7.7528908934642758E-3</v>
      </c>
      <c r="O20" s="8">
        <f t="shared" si="9"/>
        <v>8.7272596404728963E-3</v>
      </c>
      <c r="P20" s="8">
        <f t="shared" si="9"/>
        <v>9.4783328943802599E-3</v>
      </c>
    </row>
    <row r="21" spans="2:16" x14ac:dyDescent="0.3">
      <c r="B21" s="8" t="s">
        <v>31</v>
      </c>
      <c r="C21" s="7">
        <f t="shared" si="2"/>
        <v>-3.2123021997290932E-2</v>
      </c>
      <c r="D21" s="7">
        <f t="shared" si="3"/>
        <v>-2.7121188864729258E-2</v>
      </c>
      <c r="E21" s="7">
        <f t="shared" si="4"/>
        <v>1.045726187431692E-3</v>
      </c>
      <c r="F21" s="7">
        <f t="shared" si="5"/>
        <v>-8.2094764412649103E-3</v>
      </c>
      <c r="G21" s="7">
        <f t="shared" si="6"/>
        <v>1.0600457170734108E-2</v>
      </c>
      <c r="H21" s="7">
        <f t="shared" si="7"/>
        <v>3.1348756490461996E-2</v>
      </c>
      <c r="J21" s="8" t="s">
        <v>45</v>
      </c>
      <c r="K21" s="8">
        <f t="shared" si="9"/>
        <v>9.3654522192491603E-3</v>
      </c>
      <c r="L21" s="8">
        <f t="shared" si="9"/>
        <v>1.0132187345632489E-2</v>
      </c>
      <c r="M21" s="8">
        <f t="shared" si="9"/>
        <v>1.2200732606325249E-2</v>
      </c>
      <c r="N21" s="8">
        <f t="shared" si="9"/>
        <v>1.031878700931281E-2</v>
      </c>
      <c r="O21" s="8">
        <f t="shared" si="9"/>
        <v>1.2433345929378175E-2</v>
      </c>
      <c r="P21" s="8">
        <f t="shared" si="9"/>
        <v>1.4341212010943717E-2</v>
      </c>
    </row>
    <row r="22" spans="2:16" x14ac:dyDescent="0.3">
      <c r="B22" s="8" t="s">
        <v>33</v>
      </c>
      <c r="C22" s="7">
        <f t="shared" si="2"/>
        <v>2.2697808990213494E-2</v>
      </c>
      <c r="D22" s="7">
        <f t="shared" si="3"/>
        <v>2.9785401482295207E-3</v>
      </c>
      <c r="E22" s="7">
        <f t="shared" si="4"/>
        <v>-3.8005066409147525E-2</v>
      </c>
      <c r="F22" s="7">
        <f t="shared" si="5"/>
        <v>7.1756564824187394E-3</v>
      </c>
      <c r="G22" s="7">
        <f t="shared" si="6"/>
        <v>2.8321464203097377E-2</v>
      </c>
      <c r="H22" s="7">
        <f t="shared" si="7"/>
        <v>-1.6414300455111636E-3</v>
      </c>
      <c r="J22" s="8" t="s">
        <v>46</v>
      </c>
      <c r="K22" s="8">
        <f t="shared" si="9"/>
        <v>1.250645955316995E-2</v>
      </c>
      <c r="L22" s="8">
        <f t="shared" si="9"/>
        <v>1.2772194448975809E-2</v>
      </c>
      <c r="M22" s="8">
        <f t="shared" si="9"/>
        <v>1.4511025356219965E-2</v>
      </c>
      <c r="N22" s="8">
        <f t="shared" si="9"/>
        <v>1.385124408285196E-2</v>
      </c>
      <c r="O22" s="8">
        <f t="shared" si="9"/>
        <v>1.7645209404247065E-2</v>
      </c>
      <c r="P22" s="8">
        <f t="shared" si="9"/>
        <v>1.9348033808293287E-2</v>
      </c>
    </row>
    <row r="23" spans="2:16" x14ac:dyDescent="0.3">
      <c r="B23" s="8" t="s">
        <v>30</v>
      </c>
      <c r="C23" s="7">
        <f t="shared" si="2"/>
        <v>-2.3311983551541814E-2</v>
      </c>
      <c r="D23" s="7">
        <f t="shared" si="3"/>
        <v>-5.3453920387031256E-2</v>
      </c>
      <c r="E23" s="7">
        <f t="shared" si="4"/>
        <v>-6.1650641698506668E-2</v>
      </c>
      <c r="F23" s="7">
        <f t="shared" si="5"/>
        <v>-3.1530159770795825E-2</v>
      </c>
      <c r="G23" s="7">
        <f t="shared" si="6"/>
        <v>-2.3385335576057688E-2</v>
      </c>
      <c r="H23" s="7">
        <f t="shared" si="7"/>
        <v>-4.3468823516688487E-2</v>
      </c>
      <c r="J23" s="8" t="s">
        <v>47</v>
      </c>
      <c r="K23" s="8">
        <f t="shared" si="9"/>
        <v>2.6393565455590701E-2</v>
      </c>
      <c r="L23" s="8">
        <f t="shared" si="9"/>
        <v>2.375065704778535E-2</v>
      </c>
      <c r="M23" s="8">
        <f t="shared" si="9"/>
        <v>2.3539335921247993E-2</v>
      </c>
      <c r="N23" s="8">
        <f t="shared" si="9"/>
        <v>2.7111426771030032E-2</v>
      </c>
      <c r="O23" s="8">
        <f t="shared" si="9"/>
        <v>3.5071666068283124E-2</v>
      </c>
      <c r="P23" s="8">
        <f t="shared" si="9"/>
        <v>3.474854350279466E-2</v>
      </c>
    </row>
    <row r="24" spans="2:16" x14ac:dyDescent="0.3">
      <c r="B24" s="8" t="s">
        <v>29</v>
      </c>
      <c r="C24" s="7">
        <f t="shared" si="2"/>
        <v>-1.1627195705915763E-2</v>
      </c>
      <c r="D24" s="7">
        <f t="shared" si="3"/>
        <v>3.2420360990255609E-2</v>
      </c>
      <c r="E24" s="7">
        <f t="shared" si="4"/>
        <v>2.4968796161641604E-2</v>
      </c>
      <c r="F24" s="7">
        <f t="shared" si="5"/>
        <v>-2.377162004865413E-2</v>
      </c>
      <c r="G24" s="7">
        <f t="shared" si="6"/>
        <v>-9.8178457678574707E-3</v>
      </c>
      <c r="H24" s="7">
        <f t="shared" si="7"/>
        <v>7.2637191921735844E-4</v>
      </c>
      <c r="J24" s="8" t="s">
        <v>48</v>
      </c>
      <c r="K24" s="8">
        <f t="shared" si="9"/>
        <v>3.4339514517042279E-2</v>
      </c>
      <c r="L24" s="8">
        <f t="shared" si="9"/>
        <v>3.2429653154483248E-2</v>
      </c>
      <c r="M24" s="8">
        <f t="shared" si="9"/>
        <v>3.1171775698794209E-2</v>
      </c>
      <c r="N24" s="8">
        <f t="shared" si="9"/>
        <v>3.3764608756224029E-2</v>
      </c>
      <c r="O24" s="8">
        <f t="shared" si="9"/>
        <v>4.3735909781471467E-2</v>
      </c>
      <c r="P24" s="8">
        <f t="shared" si="9"/>
        <v>4.2761282048345901E-2</v>
      </c>
    </row>
    <row r="25" spans="2:16" x14ac:dyDescent="0.3">
      <c r="B25" s="8" t="s">
        <v>35</v>
      </c>
      <c r="C25" s="7">
        <f t="shared" si="2"/>
        <v>-5.070216578192531E-2</v>
      </c>
      <c r="D25" s="7">
        <f t="shared" si="3"/>
        <v>-6.8383445630859629E-4</v>
      </c>
      <c r="E25" s="7">
        <f t="shared" si="4"/>
        <v>0.11734895242893732</v>
      </c>
      <c r="F25" s="7">
        <f t="shared" si="5"/>
        <v>0.17939714520002165</v>
      </c>
      <c r="G25" s="7">
        <f t="shared" si="6"/>
        <v>0.13673670753097811</v>
      </c>
      <c r="H25" s="7">
        <f t="shared" si="7"/>
        <v>3.8561073641058527E-2</v>
      </c>
      <c r="J25" s="8" t="s">
        <v>49</v>
      </c>
      <c r="K25" s="8">
        <f t="shared" si="9"/>
        <v>5.0171562423328771E-2</v>
      </c>
      <c r="L25" s="8">
        <f t="shared" si="9"/>
        <v>5.5552343449402776E-2</v>
      </c>
      <c r="M25" s="8">
        <f t="shared" si="9"/>
        <v>6.311534541790241E-2</v>
      </c>
      <c r="N25" s="8">
        <f t="shared" si="9"/>
        <v>6.7465162324572253E-2</v>
      </c>
      <c r="O25" s="8">
        <f t="shared" si="9"/>
        <v>7.7590779352426184E-2</v>
      </c>
      <c r="P25" s="8">
        <f t="shared" si="9"/>
        <v>6.9126330695797877E-2</v>
      </c>
    </row>
    <row r="26" spans="2:16" x14ac:dyDescent="0.3">
      <c r="B26" s="8" t="s">
        <v>36</v>
      </c>
      <c r="C26" s="7">
        <f t="shared" si="2"/>
        <v>-7.3308846836789732E-2</v>
      </c>
      <c r="D26" s="7">
        <f t="shared" si="3"/>
        <v>4.9249158714983171E-2</v>
      </c>
      <c r="E26" s="7">
        <f t="shared" si="4"/>
        <v>7.2349009683686599E-2</v>
      </c>
      <c r="F26" s="7">
        <f t="shared" si="5"/>
        <v>-0.10125449524511954</v>
      </c>
      <c r="G26" s="7">
        <f t="shared" si="6"/>
        <v>-0.11828178808996831</v>
      </c>
      <c r="H26" s="7">
        <f t="shared" si="7"/>
        <v>-4.5832808498131566E-2</v>
      </c>
      <c r="J26" s="8" t="s">
        <v>50</v>
      </c>
      <c r="K26" s="8">
        <f t="shared" si="9"/>
        <v>0.19949371680040071</v>
      </c>
      <c r="L26" s="8">
        <f t="shared" si="9"/>
        <v>0.25792294662099052</v>
      </c>
      <c r="M26" s="8">
        <f t="shared" si="9"/>
        <v>0.31511296362033236</v>
      </c>
      <c r="N26" s="8">
        <f t="shared" si="9"/>
        <v>0.30062686822361878</v>
      </c>
      <c r="O26" s="8">
        <f t="shared" si="9"/>
        <v>0.31607075378331201</v>
      </c>
      <c r="P26" s="8">
        <f t="shared" si="9"/>
        <v>0.28457009953420087</v>
      </c>
    </row>
    <row r="27" spans="2:16" x14ac:dyDescent="0.3">
      <c r="B27" s="8" t="s">
        <v>28</v>
      </c>
      <c r="C27" s="7">
        <f t="shared" si="2"/>
        <v>0.17262452433386399</v>
      </c>
      <c r="D27" s="7">
        <f t="shared" si="3"/>
        <v>-7.493843654404031E-3</v>
      </c>
      <c r="E27" s="7">
        <f t="shared" si="4"/>
        <v>-0.13536269611342039</v>
      </c>
      <c r="F27" s="7">
        <f t="shared" si="5"/>
        <v>-1.9097635872456553E-2</v>
      </c>
      <c r="G27" s="7">
        <f t="shared" si="6"/>
        <v>-4.1995349174644869E-2</v>
      </c>
      <c r="H27" s="7">
        <f t="shared" si="7"/>
        <v>-1.4150574901299173E-2</v>
      </c>
      <c r="J27" s="8" t="s">
        <v>51</v>
      </c>
      <c r="K27" s="8">
        <f t="shared" si="9"/>
        <v>0.50036542838647702</v>
      </c>
      <c r="L27" s="8">
        <f t="shared" si="9"/>
        <v>0.56077040989457183</v>
      </c>
      <c r="M27" s="8">
        <f t="shared" si="9"/>
        <v>0.60365285300415672</v>
      </c>
      <c r="N27" s="8">
        <f t="shared" si="9"/>
        <v>0.56466188893795788</v>
      </c>
      <c r="O27" s="8">
        <f t="shared" si="9"/>
        <v>0.57234092780581192</v>
      </c>
      <c r="P27" s="8">
        <f t="shared" si="9"/>
        <v>0.56300282923283296</v>
      </c>
    </row>
    <row r="28" spans="2:16" x14ac:dyDescent="0.3">
      <c r="J28" s="9" t="s">
        <v>26</v>
      </c>
      <c r="K28" s="9">
        <f t="shared" ref="K28:P28" si="10">SUM(K16:K27)</f>
        <v>0.84807803895902556</v>
      </c>
      <c r="L28" s="9">
        <f t="shared" si="10"/>
        <v>0.97271935300840129</v>
      </c>
      <c r="M28" s="9">
        <f t="shared" si="10"/>
        <v>1.0850155414836107</v>
      </c>
      <c r="N28" s="9">
        <f t="shared" si="10"/>
        <v>1.0369321472816573</v>
      </c>
      <c r="O28" s="9">
        <f t="shared" si="10"/>
        <v>1.0934112402991176</v>
      </c>
      <c r="P28" s="9">
        <f t="shared" si="10"/>
        <v>1.0471057300128972</v>
      </c>
    </row>
    <row r="29" spans="2:16" x14ac:dyDescent="0.3">
      <c r="J29" s="13" t="s">
        <v>27</v>
      </c>
      <c r="K29" s="13">
        <f>1-K28</f>
        <v>0.15192196104097444</v>
      </c>
      <c r="L29" s="13">
        <f t="shared" ref="L29:P29" si="11">1-L28</f>
        <v>2.7280646991598712E-2</v>
      </c>
      <c r="M29" s="13">
        <f t="shared" si="11"/>
        <v>-8.5015541483610679E-2</v>
      </c>
      <c r="N29" s="13">
        <f t="shared" si="11"/>
        <v>-3.6932147281657279E-2</v>
      </c>
      <c r="O29" s="13">
        <f t="shared" si="11"/>
        <v>-9.3411240299117626E-2</v>
      </c>
      <c r="P29" s="13">
        <f t="shared" si="11"/>
        <v>-4.7105730012897196E-2</v>
      </c>
    </row>
  </sheetData>
  <sortState xmlns:xlrd2="http://schemas.microsoft.com/office/spreadsheetml/2017/richdata2" ref="A2:P14">
    <sortCondition ref="B1:B14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1F6C-E29D-4D1F-AC70-4FECB14858F7}">
  <dimension ref="A1:P16"/>
  <sheetViews>
    <sheetView workbookViewId="0">
      <selection activeCell="A12" sqref="A12"/>
    </sheetView>
  </sheetViews>
  <sheetFormatPr defaultRowHeight="14.4" x14ac:dyDescent="0.3"/>
  <cols>
    <col min="1" max="1" width="12.33203125" customWidth="1"/>
  </cols>
  <sheetData>
    <row r="1" spans="1:16" ht="36.6" customHeight="1" x14ac:dyDescent="0.3">
      <c r="A1" s="1" t="s">
        <v>6</v>
      </c>
      <c r="B1" s="2" t="s">
        <v>7</v>
      </c>
      <c r="C1" s="3" t="s">
        <v>8</v>
      </c>
      <c r="D1" s="3" t="s">
        <v>9</v>
      </c>
      <c r="E1" s="3" t="s">
        <v>10</v>
      </c>
      <c r="F1" s="2" t="s">
        <v>11</v>
      </c>
      <c r="G1" s="3" t="s">
        <v>12</v>
      </c>
      <c r="H1" s="3" t="s">
        <v>13</v>
      </c>
      <c r="I1" s="4" t="s">
        <v>7</v>
      </c>
      <c r="J1" s="5" t="s">
        <v>7</v>
      </c>
      <c r="K1" s="6" t="s">
        <v>8</v>
      </c>
      <c r="L1" s="6" t="s">
        <v>9</v>
      </c>
      <c r="M1" s="6" t="s">
        <v>10</v>
      </c>
      <c r="N1" s="5" t="s">
        <v>11</v>
      </c>
      <c r="O1" s="6" t="s">
        <v>12</v>
      </c>
      <c r="P1" s="6" t="s">
        <v>13</v>
      </c>
    </row>
    <row r="2" spans="1:16" x14ac:dyDescent="0.3">
      <c r="A2" s="8" t="s">
        <v>53</v>
      </c>
      <c r="B2" s="17">
        <v>7.2081258872693094E-2</v>
      </c>
      <c r="C2" s="17">
        <v>0.20588235294117646</v>
      </c>
      <c r="D2" s="17">
        <v>0.14814814814814814</v>
      </c>
      <c r="E2" s="17">
        <v>9.0909090909090912E-2</v>
      </c>
      <c r="F2" s="17">
        <v>0.16279069767441862</v>
      </c>
      <c r="G2" s="17">
        <v>9.5238095238095233E-2</v>
      </c>
      <c r="H2" s="17">
        <v>0.34782608695652173</v>
      </c>
      <c r="I2" s="7">
        <v>7.2081258872693094E-2</v>
      </c>
      <c r="J2" s="18">
        <v>7.2081258872693094E-2</v>
      </c>
      <c r="K2" s="18">
        <v>0.20588235294117646</v>
      </c>
      <c r="L2" s="18">
        <v>0.14814814814814814</v>
      </c>
      <c r="M2" s="18">
        <v>9.0909090909090912E-2</v>
      </c>
      <c r="N2" s="18">
        <v>0.16279069767441862</v>
      </c>
      <c r="O2" s="18">
        <v>9.5238095238095233E-2</v>
      </c>
      <c r="P2" s="18">
        <v>0.34782608695652173</v>
      </c>
    </row>
    <row r="3" spans="1:16" x14ac:dyDescent="0.3">
      <c r="A3" s="8" t="s">
        <v>55</v>
      </c>
      <c r="B3" s="17">
        <v>7.5240437486253572E-2</v>
      </c>
      <c r="C3" s="17">
        <v>0.11764705882352941</v>
      </c>
      <c r="D3" s="17">
        <v>0.22222222222222221</v>
      </c>
      <c r="E3" s="17">
        <v>3.0303030303030304E-2</v>
      </c>
      <c r="F3" s="17">
        <v>6.9767441860465115E-2</v>
      </c>
      <c r="G3" s="17">
        <v>0.1111111111111111</v>
      </c>
      <c r="H3" s="17">
        <v>4.3478260869565216E-2</v>
      </c>
      <c r="I3" s="7">
        <v>0.14732169635894665</v>
      </c>
      <c r="J3" s="7">
        <f t="shared" ref="J3:P6" si="0">J2+B3</f>
        <v>0.14732169635894665</v>
      </c>
      <c r="K3" s="7">
        <f t="shared" si="0"/>
        <v>0.32352941176470584</v>
      </c>
      <c r="L3" s="7">
        <f t="shared" si="0"/>
        <v>0.37037037037037035</v>
      </c>
      <c r="M3" s="7">
        <f t="shared" si="0"/>
        <v>0.12121212121212122</v>
      </c>
      <c r="N3" s="7">
        <f t="shared" si="0"/>
        <v>0.23255813953488375</v>
      </c>
      <c r="O3" s="7">
        <f t="shared" si="0"/>
        <v>0.20634920634920634</v>
      </c>
      <c r="P3" s="7">
        <f t="shared" si="0"/>
        <v>0.39130434782608692</v>
      </c>
    </row>
    <row r="4" spans="1:16" x14ac:dyDescent="0.3">
      <c r="A4" s="8" t="s">
        <v>56</v>
      </c>
      <c r="B4" s="17">
        <v>8.5817687401275669E-2</v>
      </c>
      <c r="C4" s="17">
        <v>0</v>
      </c>
      <c r="D4" s="17">
        <v>3.7037037037037035E-2</v>
      </c>
      <c r="E4" s="17">
        <v>3.0303030303030304E-2</v>
      </c>
      <c r="F4" s="17">
        <v>0.20930232558139536</v>
      </c>
      <c r="G4" s="17">
        <v>7.9365079365079361E-2</v>
      </c>
      <c r="H4" s="17">
        <v>0.21739130434782608</v>
      </c>
      <c r="I4" s="7">
        <v>0.23313938376022231</v>
      </c>
      <c r="J4" s="7">
        <f t="shared" si="0"/>
        <v>0.23313938376022231</v>
      </c>
      <c r="K4" s="7">
        <f t="shared" si="0"/>
        <v>0.32352941176470584</v>
      </c>
      <c r="L4" s="7">
        <f t="shared" si="0"/>
        <v>0.40740740740740738</v>
      </c>
      <c r="M4" s="7">
        <f t="shared" si="0"/>
        <v>0.15151515151515152</v>
      </c>
      <c r="N4" s="7">
        <f t="shared" si="0"/>
        <v>0.44186046511627908</v>
      </c>
      <c r="O4" s="7">
        <f t="shared" si="0"/>
        <v>0.2857142857142857</v>
      </c>
      <c r="P4" s="7">
        <f t="shared" si="0"/>
        <v>0.60869565217391297</v>
      </c>
    </row>
    <row r="5" spans="1:16" x14ac:dyDescent="0.3">
      <c r="A5" s="8" t="s">
        <v>54</v>
      </c>
      <c r="B5" s="17">
        <v>0.34866934597004778</v>
      </c>
      <c r="C5" s="17">
        <v>7.3529411764705885E-2</v>
      </c>
      <c r="D5" s="17">
        <v>3.7037037037037035E-2</v>
      </c>
      <c r="E5" s="17">
        <v>0.24242424242424243</v>
      </c>
      <c r="F5" s="17">
        <v>6.9767441860465115E-2</v>
      </c>
      <c r="G5" s="17">
        <v>0.31746031746031744</v>
      </c>
      <c r="H5" s="17">
        <v>0.13043478260869565</v>
      </c>
      <c r="I5" s="7">
        <v>0.58180872973027009</v>
      </c>
      <c r="J5" s="7">
        <f t="shared" si="0"/>
        <v>0.58180872973027009</v>
      </c>
      <c r="K5" s="7">
        <f t="shared" si="0"/>
        <v>0.39705882352941174</v>
      </c>
      <c r="L5" s="7">
        <f t="shared" si="0"/>
        <v>0.44444444444444442</v>
      </c>
      <c r="M5" s="7">
        <f t="shared" si="0"/>
        <v>0.39393939393939392</v>
      </c>
      <c r="N5" s="7">
        <f t="shared" si="0"/>
        <v>0.51162790697674421</v>
      </c>
      <c r="O5" s="7">
        <f t="shared" si="0"/>
        <v>0.60317460317460314</v>
      </c>
      <c r="P5" s="7">
        <f t="shared" si="0"/>
        <v>0.73913043478260865</v>
      </c>
    </row>
    <row r="6" spans="1:16" x14ac:dyDescent="0.3">
      <c r="A6" s="8" t="s">
        <v>52</v>
      </c>
      <c r="B6" s="17">
        <v>0.41819127026972985</v>
      </c>
      <c r="C6" s="17">
        <v>0.6029411764705882</v>
      </c>
      <c r="D6" s="17">
        <v>0.55555555555555558</v>
      </c>
      <c r="E6" s="17">
        <v>0.60606060606060608</v>
      </c>
      <c r="F6" s="17">
        <v>0.48837209302325579</v>
      </c>
      <c r="G6" s="17">
        <v>0.3968253968253968</v>
      </c>
      <c r="H6" s="17">
        <v>0.2608695652173913</v>
      </c>
      <c r="I6" s="7">
        <v>1</v>
      </c>
      <c r="J6" s="7">
        <f t="shared" si="0"/>
        <v>1</v>
      </c>
      <c r="K6" s="7">
        <f t="shared" si="0"/>
        <v>1</v>
      </c>
      <c r="L6" s="7">
        <f t="shared" si="0"/>
        <v>1</v>
      </c>
      <c r="M6" s="7">
        <f t="shared" si="0"/>
        <v>1</v>
      </c>
      <c r="N6" s="7">
        <f t="shared" si="0"/>
        <v>1</v>
      </c>
      <c r="O6" s="7">
        <f t="shared" si="0"/>
        <v>1</v>
      </c>
      <c r="P6" s="7">
        <f t="shared" si="0"/>
        <v>1</v>
      </c>
    </row>
    <row r="8" spans="1:16" ht="28.8" x14ac:dyDescent="0.3">
      <c r="B8" s="1" t="s">
        <v>6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J8" s="8"/>
      <c r="K8" s="9" t="s">
        <v>20</v>
      </c>
      <c r="L8" s="9" t="s">
        <v>21</v>
      </c>
      <c r="M8" s="9" t="s">
        <v>22</v>
      </c>
      <c r="N8" s="9" t="s">
        <v>23</v>
      </c>
      <c r="O8" s="9" t="s">
        <v>24</v>
      </c>
      <c r="P8" s="9" t="s">
        <v>25</v>
      </c>
    </row>
    <row r="9" spans="1:16" x14ac:dyDescent="0.3">
      <c r="B9" s="8" t="s">
        <v>53</v>
      </c>
      <c r="C9" s="7">
        <f>C2-B2</f>
        <v>0.13380109406848337</v>
      </c>
      <c r="D9" s="7">
        <f>D2-B2</f>
        <v>7.6066889275455046E-2</v>
      </c>
      <c r="E9" s="7">
        <f>E2-B2</f>
        <v>1.8827832036397818E-2</v>
      </c>
      <c r="F9" s="7">
        <f>F2-B2</f>
        <v>9.0709438801725523E-2</v>
      </c>
      <c r="G9" s="7">
        <f>G2-B2</f>
        <v>2.3156836365402139E-2</v>
      </c>
      <c r="H9" s="7">
        <f>H2-B2</f>
        <v>0.27574482808382861</v>
      </c>
      <c r="J9" s="8" t="s">
        <v>53</v>
      </c>
      <c r="K9" s="8">
        <f>(J2-0) * ((K2+0))</f>
        <v>1.4840259179672107E-2</v>
      </c>
      <c r="L9" s="8">
        <f>(J2-0) * ((L2+0))</f>
        <v>1.0678705018176754E-2</v>
      </c>
      <c r="M9" s="8">
        <f>(J2-0) * ((M2+0))</f>
        <v>6.5528417156993724E-3</v>
      </c>
      <c r="N9" s="8">
        <f>(J2-0) * ((N2+0))</f>
        <v>1.1734158421136086E-2</v>
      </c>
      <c r="O9" s="8">
        <f>(J2-0) * ((O2+0))</f>
        <v>6.8648817973993416E-3</v>
      </c>
      <c r="P9" s="8">
        <f>(J2-0) * ((P2+0))</f>
        <v>2.5071742216588901E-2</v>
      </c>
    </row>
    <row r="10" spans="1:16" x14ac:dyDescent="0.3">
      <c r="B10" s="8" t="s">
        <v>55</v>
      </c>
      <c r="C10" s="7">
        <f t="shared" ref="C10:C13" si="1">C3-B3</f>
        <v>4.2406621337275838E-2</v>
      </c>
      <c r="D10" s="7">
        <f t="shared" ref="D10:D13" si="2">D3-B3</f>
        <v>0.14698178473596862</v>
      </c>
      <c r="E10" s="7">
        <f t="shared" ref="E10:E13" si="3">E3-B3</f>
        <v>-4.4937407183223269E-2</v>
      </c>
      <c r="F10" s="7">
        <f t="shared" ref="F10:F13" si="4">F3-B3</f>
        <v>-5.4729956257884571E-3</v>
      </c>
      <c r="G10" s="7">
        <f t="shared" ref="G10:G13" si="5">G3-B3</f>
        <v>3.5870673624857533E-2</v>
      </c>
      <c r="H10" s="7">
        <f t="shared" ref="H10:H13" si="6">H3-B3</f>
        <v>-3.1762176616688356E-2</v>
      </c>
      <c r="J10" s="8" t="s">
        <v>55</v>
      </c>
      <c r="K10" s="8">
        <f>(J3-J2) * ((K3+K2))</f>
        <v>3.9833172786840114E-2</v>
      </c>
      <c r="L10" s="8">
        <f>(J3-J2) * ((L3+L2))</f>
        <v>3.9013560178057398E-2</v>
      </c>
      <c r="M10" s="8">
        <f>(J3-J2) * ((M3+M2))</f>
        <v>1.596009280011439E-2</v>
      </c>
      <c r="N10" s="8">
        <f>(J3-J2) * ((N3+N2))</f>
        <v>2.9746219471309548E-2</v>
      </c>
      <c r="O10" s="8">
        <f>(J3-J2) * ((O3+O2))</f>
        <v>2.2691560511727261E-2</v>
      </c>
      <c r="P10" s="8">
        <f>(J3-J2) * ((P3+P2))</f>
        <v>5.5612497272448276E-2</v>
      </c>
    </row>
    <row r="11" spans="1:16" x14ac:dyDescent="0.3">
      <c r="B11" s="8" t="s">
        <v>56</v>
      </c>
      <c r="C11" s="7">
        <f t="shared" si="1"/>
        <v>-8.5817687401275669E-2</v>
      </c>
      <c r="D11" s="7">
        <f t="shared" si="2"/>
        <v>-4.8780650364238634E-2</v>
      </c>
      <c r="E11" s="7">
        <f t="shared" si="3"/>
        <v>-5.5514657098245365E-2</v>
      </c>
      <c r="F11" s="7">
        <f t="shared" si="4"/>
        <v>0.12348463818011969</v>
      </c>
      <c r="G11" s="7">
        <f t="shared" si="5"/>
        <v>-6.4526080361963084E-3</v>
      </c>
      <c r="H11" s="7">
        <f t="shared" si="6"/>
        <v>0.1315736169465504</v>
      </c>
      <c r="J11" s="8" t="s">
        <v>56</v>
      </c>
      <c r="K11" s="8">
        <f t="shared" ref="K11:K13" si="7">(J4-J3) * ((K4+K3))</f>
        <v>5.5529091847884238E-2</v>
      </c>
      <c r="L11" s="8">
        <f t="shared" ref="L11:L13" si="8">(J4-J3) * ((L4+L3))</f>
        <v>6.6747090200992162E-2</v>
      </c>
      <c r="M11" s="8">
        <f t="shared" ref="M11:M13" si="9">(J4-J3) * ((M4+M3))</f>
        <v>2.3404823836711542E-2</v>
      </c>
      <c r="N11" s="8">
        <f t="shared" ref="N11:N13" si="10">(J4-J3) * ((N4+N3))</f>
        <v>5.7877044991558005E-2</v>
      </c>
      <c r="O11" s="8">
        <f t="shared" ref="O11:O13" si="11">(J4-J3) * ((O4+O3))</f>
        <v>4.2227750943484847E-2</v>
      </c>
      <c r="P11" s="8">
        <f t="shared" ref="P11:P13" si="12">(J4-J3) * ((P4+P3))</f>
        <v>8.5817687401275641E-2</v>
      </c>
    </row>
    <row r="12" spans="1:16" x14ac:dyDescent="0.3">
      <c r="B12" s="8" t="s">
        <v>54</v>
      </c>
      <c r="C12" s="7">
        <f t="shared" si="1"/>
        <v>-0.27513993420534189</v>
      </c>
      <c r="D12" s="7">
        <f t="shared" si="2"/>
        <v>-0.31163230893301075</v>
      </c>
      <c r="E12" s="7">
        <f t="shared" si="3"/>
        <v>-0.10624510354580535</v>
      </c>
      <c r="F12" s="7">
        <f t="shared" si="4"/>
        <v>-0.27890190410958265</v>
      </c>
      <c r="G12" s="7">
        <f t="shared" si="5"/>
        <v>-3.1209028509730341E-2</v>
      </c>
      <c r="H12" s="7">
        <f t="shared" si="6"/>
        <v>-0.21823456336135214</v>
      </c>
      <c r="J12" s="8" t="s">
        <v>54</v>
      </c>
      <c r="K12" s="8">
        <f t="shared" si="7"/>
        <v>0.25124702871371085</v>
      </c>
      <c r="L12" s="8">
        <f t="shared" si="8"/>
        <v>0.29701462804855921</v>
      </c>
      <c r="M12" s="8">
        <f t="shared" si="9"/>
        <v>0.19018327962002604</v>
      </c>
      <c r="N12" s="8">
        <f t="shared" si="10"/>
        <v>0.33245216708771996</v>
      </c>
      <c r="O12" s="8">
        <f t="shared" si="11"/>
        <v>0.30992830752893136</v>
      </c>
      <c r="P12" s="8">
        <f t="shared" si="12"/>
        <v>0.46994564022049912</v>
      </c>
    </row>
    <row r="13" spans="1:16" x14ac:dyDescent="0.3">
      <c r="B13" s="8" t="s">
        <v>52</v>
      </c>
      <c r="C13" s="7">
        <f t="shared" si="1"/>
        <v>0.18474990620085835</v>
      </c>
      <c r="D13" s="7">
        <f t="shared" si="2"/>
        <v>0.13736428528582573</v>
      </c>
      <c r="E13" s="7">
        <f t="shared" si="3"/>
        <v>0.18786933579087622</v>
      </c>
      <c r="F13" s="7">
        <f t="shared" si="4"/>
        <v>7.018082275352594E-2</v>
      </c>
      <c r="G13" s="7">
        <f t="shared" si="5"/>
        <v>-2.136587344433305E-2</v>
      </c>
      <c r="H13" s="7">
        <f t="shared" si="6"/>
        <v>-0.15732170505233856</v>
      </c>
      <c r="J13" s="8" t="s">
        <v>52</v>
      </c>
      <c r="K13" s="8">
        <f t="shared" si="7"/>
        <v>0.58423780405329906</v>
      </c>
      <c r="L13" s="8">
        <f t="shared" si="8"/>
        <v>0.60405405705627657</v>
      </c>
      <c r="M13" s="8">
        <f t="shared" si="9"/>
        <v>0.58293328583053261</v>
      </c>
      <c r="N13" s="8">
        <f t="shared" si="10"/>
        <v>0.63214959459377773</v>
      </c>
      <c r="O13" s="8">
        <f t="shared" si="11"/>
        <v>0.67043362376575755</v>
      </c>
      <c r="P13" s="8">
        <f t="shared" si="12"/>
        <v>0.72728916568648683</v>
      </c>
    </row>
    <row r="14" spans="1:16" x14ac:dyDescent="0.3">
      <c r="J14" s="9" t="s">
        <v>26</v>
      </c>
      <c r="K14" s="9">
        <f>SUM(K9:K13)</f>
        <v>0.94568735658140635</v>
      </c>
      <c r="L14" s="9">
        <f t="shared" ref="L14:P14" si="13">SUM(L9:L13)</f>
        <v>1.017508040502062</v>
      </c>
      <c r="M14" s="9">
        <f t="shared" si="13"/>
        <v>0.81903432380308394</v>
      </c>
      <c r="N14" s="9">
        <f t="shared" si="13"/>
        <v>1.0639591845655012</v>
      </c>
      <c r="O14" s="9">
        <f t="shared" si="13"/>
        <v>1.0521461245473005</v>
      </c>
      <c r="P14" s="9">
        <f t="shared" si="13"/>
        <v>1.3637367327972987</v>
      </c>
    </row>
    <row r="15" spans="1:16" x14ac:dyDescent="0.3">
      <c r="J15" s="13" t="s">
        <v>27</v>
      </c>
      <c r="K15" s="13">
        <f>1-K14</f>
        <v>5.4312643418593654E-2</v>
      </c>
      <c r="L15" s="13">
        <f t="shared" ref="L15:P15" si="14">1-L14</f>
        <v>-1.7508040502062006E-2</v>
      </c>
      <c r="M15" s="13">
        <f t="shared" si="14"/>
        <v>0.18096567619691606</v>
      </c>
      <c r="N15" s="13">
        <f t="shared" si="14"/>
        <v>-6.3959184565501204E-2</v>
      </c>
      <c r="O15" s="13">
        <f t="shared" si="14"/>
        <v>-5.2146124547300499E-2</v>
      </c>
      <c r="P15" s="13">
        <f t="shared" si="14"/>
        <v>-0.36373673279729868</v>
      </c>
    </row>
    <row r="16" spans="1:16" x14ac:dyDescent="0.3">
      <c r="E16" s="16" t="s">
        <v>57</v>
      </c>
    </row>
  </sheetData>
  <sortState xmlns:xlrd2="http://schemas.microsoft.com/office/spreadsheetml/2017/richdata2" ref="A2:P17">
    <sortCondition ref="B1:B17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8A02-0730-455F-82FB-08FE47270C6F}">
  <dimension ref="A1:P21"/>
  <sheetViews>
    <sheetView workbookViewId="0">
      <selection activeCell="J2" sqref="J2:P2"/>
    </sheetView>
  </sheetViews>
  <sheetFormatPr defaultRowHeight="14.4" x14ac:dyDescent="0.3"/>
  <cols>
    <col min="1" max="1" width="20.33203125" customWidth="1"/>
  </cols>
  <sheetData>
    <row r="1" spans="1:16" ht="29.4" customHeight="1" x14ac:dyDescent="0.3">
      <c r="A1" s="1" t="s">
        <v>6</v>
      </c>
      <c r="B1" s="2" t="s">
        <v>7</v>
      </c>
      <c r="C1" s="3" t="s">
        <v>8</v>
      </c>
      <c r="D1" s="3" t="s">
        <v>9</v>
      </c>
      <c r="E1" s="3" t="s">
        <v>10</v>
      </c>
      <c r="F1" s="2" t="s">
        <v>11</v>
      </c>
      <c r="G1" s="3" t="s">
        <v>12</v>
      </c>
      <c r="H1" s="3" t="s">
        <v>13</v>
      </c>
      <c r="I1" s="4" t="s">
        <v>7</v>
      </c>
      <c r="J1" s="5" t="s">
        <v>7</v>
      </c>
      <c r="K1" s="6" t="s">
        <v>8</v>
      </c>
      <c r="L1" s="6" t="s">
        <v>9</v>
      </c>
      <c r="M1" s="6" t="s">
        <v>10</v>
      </c>
      <c r="N1" s="5" t="s">
        <v>11</v>
      </c>
      <c r="O1" s="6" t="s">
        <v>12</v>
      </c>
      <c r="P1" s="6" t="s">
        <v>13</v>
      </c>
    </row>
    <row r="2" spans="1:16" x14ac:dyDescent="0.3">
      <c r="A2" s="8" t="s">
        <v>61</v>
      </c>
      <c r="B2" s="17">
        <v>3.5542068176582273E-2</v>
      </c>
      <c r="C2" s="17">
        <v>4.8543689320388345E-3</v>
      </c>
      <c r="D2" s="17">
        <v>5.0505050505050504E-2</v>
      </c>
      <c r="E2" s="17">
        <v>2.0408163265306121E-2</v>
      </c>
      <c r="F2" s="17">
        <v>2.3255813953488372E-2</v>
      </c>
      <c r="G2" s="17">
        <v>2.5830258302583026E-2</v>
      </c>
      <c r="H2" s="17">
        <v>2.0408163265306121E-2</v>
      </c>
      <c r="I2" s="7">
        <v>3.5542068176582273E-2</v>
      </c>
      <c r="J2" s="18">
        <v>3.5542068176582273E-2</v>
      </c>
      <c r="K2" s="18">
        <v>4.8543689320388345E-3</v>
      </c>
      <c r="L2" s="18">
        <v>5.0505050505050504E-2</v>
      </c>
      <c r="M2" s="18">
        <v>2.0408163265306121E-2</v>
      </c>
      <c r="N2" s="18">
        <v>2.3255813953488372E-2</v>
      </c>
      <c r="O2" s="18">
        <v>2.5830258302583026E-2</v>
      </c>
      <c r="P2" s="18">
        <v>2.0408163265306121E-2</v>
      </c>
    </row>
    <row r="3" spans="1:16" x14ac:dyDescent="0.3">
      <c r="A3" s="8" t="s">
        <v>62</v>
      </c>
      <c r="B3" s="17">
        <v>3.9108985613168203E-2</v>
      </c>
      <c r="C3" s="17">
        <v>2.4271844660194174E-2</v>
      </c>
      <c r="D3" s="17">
        <v>1.0101010101010102E-2</v>
      </c>
      <c r="E3" s="17">
        <v>5.4421768707482991E-2</v>
      </c>
      <c r="F3" s="17">
        <v>6.3122923588039864E-2</v>
      </c>
      <c r="G3" s="17">
        <v>2.5830258302583026E-2</v>
      </c>
      <c r="H3" s="17">
        <v>2.7210884353741496E-2</v>
      </c>
      <c r="I3" s="7">
        <v>7.4651053789750482E-2</v>
      </c>
      <c r="J3" s="7">
        <f t="shared" ref="J3:P9" si="0">J2+B3</f>
        <v>7.4651053789750482E-2</v>
      </c>
      <c r="K3" s="7">
        <f t="shared" si="0"/>
        <v>2.9126213592233011E-2</v>
      </c>
      <c r="L3" s="15">
        <f t="shared" si="0"/>
        <v>6.0606060606060608E-2</v>
      </c>
      <c r="M3" s="7">
        <f t="shared" si="0"/>
        <v>7.4829931972789115E-2</v>
      </c>
      <c r="N3" s="7">
        <f t="shared" si="0"/>
        <v>8.6378737541528236E-2</v>
      </c>
      <c r="O3" s="7">
        <f t="shared" si="0"/>
        <v>5.1660516605166053E-2</v>
      </c>
      <c r="P3" s="7">
        <f t="shared" si="0"/>
        <v>4.7619047619047616E-2</v>
      </c>
    </row>
    <row r="4" spans="1:16" x14ac:dyDescent="0.3">
      <c r="A4" s="8" t="s">
        <v>58</v>
      </c>
      <c r="B4" s="17">
        <v>4.2143645882156675E-2</v>
      </c>
      <c r="C4" s="17">
        <v>2.4271844660194174E-2</v>
      </c>
      <c r="D4" s="17">
        <v>0</v>
      </c>
      <c r="E4" s="17">
        <v>0.10204081632653061</v>
      </c>
      <c r="F4" s="17">
        <v>2.3255813953488372E-2</v>
      </c>
      <c r="G4" s="17">
        <v>2.5830258302583026E-2</v>
      </c>
      <c r="H4" s="17">
        <v>0.10204081632653061</v>
      </c>
      <c r="I4" s="7">
        <v>0.11679469967190716</v>
      </c>
      <c r="J4" s="7">
        <f t="shared" si="0"/>
        <v>0.11679469967190716</v>
      </c>
      <c r="K4" s="7">
        <f t="shared" si="0"/>
        <v>5.3398058252427189E-2</v>
      </c>
      <c r="L4" s="15">
        <f t="shared" si="0"/>
        <v>6.0606060606060608E-2</v>
      </c>
      <c r="M4" s="7">
        <f t="shared" si="0"/>
        <v>0.17687074829931973</v>
      </c>
      <c r="N4" s="7">
        <f t="shared" si="0"/>
        <v>0.10963455149501661</v>
      </c>
      <c r="O4" s="7">
        <f t="shared" si="0"/>
        <v>7.7490774907749083E-2</v>
      </c>
      <c r="P4" s="7">
        <f t="shared" si="0"/>
        <v>0.14965986394557823</v>
      </c>
    </row>
    <row r="5" spans="1:16" x14ac:dyDescent="0.3">
      <c r="A5" s="8" t="s">
        <v>65</v>
      </c>
      <c r="B5" s="17">
        <v>4.5543736445316535E-2</v>
      </c>
      <c r="C5" s="17">
        <v>2.4271844660194174E-2</v>
      </c>
      <c r="D5" s="17">
        <v>2.0202020202020204E-2</v>
      </c>
      <c r="E5" s="17">
        <v>8.8435374149659865E-2</v>
      </c>
      <c r="F5" s="17">
        <v>8.9700996677740868E-2</v>
      </c>
      <c r="G5" s="17">
        <v>5.9040590405904057E-2</v>
      </c>
      <c r="H5" s="17">
        <v>5.4421768707482991E-2</v>
      </c>
      <c r="I5" s="7">
        <v>0.16233843611722371</v>
      </c>
      <c r="J5" s="7">
        <f t="shared" si="0"/>
        <v>0.16233843611722371</v>
      </c>
      <c r="K5" s="7">
        <f t="shared" si="0"/>
        <v>7.7669902912621366E-2</v>
      </c>
      <c r="L5" s="15">
        <f t="shared" si="0"/>
        <v>8.0808080808080815E-2</v>
      </c>
      <c r="M5" s="7">
        <f t="shared" si="0"/>
        <v>0.26530612244897961</v>
      </c>
      <c r="N5" s="7">
        <f t="shared" si="0"/>
        <v>0.19933554817275748</v>
      </c>
      <c r="O5" s="7">
        <f t="shared" si="0"/>
        <v>0.13653136531365315</v>
      </c>
      <c r="P5" s="7">
        <f t="shared" si="0"/>
        <v>0.20408163265306123</v>
      </c>
    </row>
    <row r="6" spans="1:16" x14ac:dyDescent="0.3">
      <c r="A6" s="8" t="s">
        <v>60</v>
      </c>
      <c r="B6" s="17">
        <v>0.12181539414834881</v>
      </c>
      <c r="C6" s="17">
        <v>9.7087378640776698E-2</v>
      </c>
      <c r="D6" s="17">
        <v>5.0505050505050504E-2</v>
      </c>
      <c r="E6" s="17">
        <v>7.4829931972789115E-2</v>
      </c>
      <c r="F6" s="17">
        <v>4.6511627906976744E-2</v>
      </c>
      <c r="G6" s="17">
        <v>5.9040590405904057E-2</v>
      </c>
      <c r="H6" s="17">
        <v>9.5238095238095233E-2</v>
      </c>
      <c r="I6" s="7">
        <v>0.2841538302655725</v>
      </c>
      <c r="J6" s="7">
        <f t="shared" si="0"/>
        <v>0.2841538302655725</v>
      </c>
      <c r="K6" s="7">
        <f t="shared" si="0"/>
        <v>0.17475728155339806</v>
      </c>
      <c r="L6" s="15">
        <f t="shared" si="0"/>
        <v>0.13131313131313133</v>
      </c>
      <c r="M6" s="7">
        <f t="shared" si="0"/>
        <v>0.34013605442176875</v>
      </c>
      <c r="N6" s="7">
        <f t="shared" si="0"/>
        <v>0.24584717607973422</v>
      </c>
      <c r="O6" s="7">
        <f t="shared" si="0"/>
        <v>0.19557195571955721</v>
      </c>
      <c r="P6" s="7">
        <f t="shared" si="0"/>
        <v>0.29931972789115646</v>
      </c>
    </row>
    <row r="7" spans="1:16" x14ac:dyDescent="0.3">
      <c r="A7" s="8" t="s">
        <v>64</v>
      </c>
      <c r="B7" s="17">
        <v>0.1611070949086027</v>
      </c>
      <c r="C7" s="17">
        <v>0.20388349514563106</v>
      </c>
      <c r="D7" s="17">
        <v>0.28282828282828282</v>
      </c>
      <c r="E7" s="17">
        <v>0.19727891156462585</v>
      </c>
      <c r="F7" s="17">
        <v>0.24916943521594684</v>
      </c>
      <c r="G7" s="17">
        <v>0.22509225092250923</v>
      </c>
      <c r="H7" s="17">
        <v>0.12925170068027211</v>
      </c>
      <c r="I7" s="7">
        <v>0.4452609251741752</v>
      </c>
      <c r="J7" s="7">
        <f t="shared" si="0"/>
        <v>0.4452609251741752</v>
      </c>
      <c r="K7" s="7">
        <f t="shared" si="0"/>
        <v>0.37864077669902912</v>
      </c>
      <c r="L7" s="15">
        <f t="shared" si="0"/>
        <v>0.41414141414141414</v>
      </c>
      <c r="M7" s="7">
        <f t="shared" si="0"/>
        <v>0.5374149659863946</v>
      </c>
      <c r="N7" s="7">
        <f t="shared" si="0"/>
        <v>0.49501661129568109</v>
      </c>
      <c r="O7" s="7">
        <f t="shared" si="0"/>
        <v>0.42066420664206644</v>
      </c>
      <c r="P7" s="7">
        <f t="shared" si="0"/>
        <v>0.4285714285714286</v>
      </c>
    </row>
    <row r="8" spans="1:16" x14ac:dyDescent="0.3">
      <c r="A8" s="8" t="s">
        <v>63</v>
      </c>
      <c r="B8" s="17">
        <v>0.25031180737057013</v>
      </c>
      <c r="C8" s="17">
        <v>0.40291262135922329</v>
      </c>
      <c r="D8" s="17">
        <v>0.31313131313131315</v>
      </c>
      <c r="E8" s="17">
        <v>0.25170068027210885</v>
      </c>
      <c r="F8" s="17">
        <v>0.24584717607973422</v>
      </c>
      <c r="G8" s="17">
        <v>0.23985239852398524</v>
      </c>
      <c r="H8" s="17">
        <v>0.23809523809523808</v>
      </c>
      <c r="I8" s="7">
        <v>0.69557273254474539</v>
      </c>
      <c r="J8" s="7">
        <f t="shared" si="0"/>
        <v>0.69557273254474539</v>
      </c>
      <c r="K8" s="7">
        <f t="shared" si="0"/>
        <v>0.78155339805825241</v>
      </c>
      <c r="L8" s="15">
        <f t="shared" si="0"/>
        <v>0.72727272727272729</v>
      </c>
      <c r="M8" s="7">
        <f t="shared" si="0"/>
        <v>0.78911564625850339</v>
      </c>
      <c r="N8" s="7">
        <f t="shared" si="0"/>
        <v>0.74086378737541536</v>
      </c>
      <c r="O8" s="7">
        <f t="shared" si="0"/>
        <v>0.66051660516605171</v>
      </c>
      <c r="P8" s="7">
        <f t="shared" si="0"/>
        <v>0.66666666666666674</v>
      </c>
    </row>
    <row r="9" spans="1:16" x14ac:dyDescent="0.3">
      <c r="A9" s="8" t="s">
        <v>59</v>
      </c>
      <c r="B9" s="17">
        <v>0.30442726745525467</v>
      </c>
      <c r="C9" s="17">
        <v>0.21844660194174756</v>
      </c>
      <c r="D9" s="17">
        <v>0.27272727272727271</v>
      </c>
      <c r="E9" s="17">
        <v>0.21088435374149661</v>
      </c>
      <c r="F9" s="17">
        <v>0.25913621262458469</v>
      </c>
      <c r="G9" s="17">
        <v>0.33948339483394835</v>
      </c>
      <c r="H9" s="17">
        <v>0.33333333333333331</v>
      </c>
      <c r="I9" s="7">
        <v>1</v>
      </c>
      <c r="J9" s="7">
        <f t="shared" si="0"/>
        <v>1</v>
      </c>
      <c r="K9" s="7">
        <f t="shared" si="0"/>
        <v>1</v>
      </c>
      <c r="L9" s="15">
        <f t="shared" si="0"/>
        <v>1</v>
      </c>
      <c r="M9" s="7">
        <f t="shared" si="0"/>
        <v>1</v>
      </c>
      <c r="N9" s="7">
        <f t="shared" si="0"/>
        <v>1</v>
      </c>
      <c r="O9" s="7">
        <f t="shared" si="0"/>
        <v>1</v>
      </c>
      <c r="P9" s="7">
        <f t="shared" si="0"/>
        <v>1</v>
      </c>
    </row>
    <row r="11" spans="1:16" ht="28.8" x14ac:dyDescent="0.3">
      <c r="B11" s="1" t="s">
        <v>6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18</v>
      </c>
      <c r="H11" s="3" t="s">
        <v>19</v>
      </c>
      <c r="J11" s="8"/>
      <c r="K11" s="9" t="s">
        <v>20</v>
      </c>
      <c r="L11" s="9" t="s">
        <v>21</v>
      </c>
      <c r="M11" s="9" t="s">
        <v>22</v>
      </c>
      <c r="N11" s="9" t="s">
        <v>23</v>
      </c>
      <c r="O11" s="9" t="s">
        <v>24</v>
      </c>
      <c r="P11" s="9" t="s">
        <v>25</v>
      </c>
    </row>
    <row r="12" spans="1:16" x14ac:dyDescent="0.3">
      <c r="B12" s="8" t="s">
        <v>61</v>
      </c>
      <c r="C12" s="7">
        <f>C2-B2</f>
        <v>-3.068769924454344E-2</v>
      </c>
      <c r="D12" s="7">
        <f>D2-B2</f>
        <v>1.4962982328468231E-2</v>
      </c>
      <c r="E12" s="7">
        <f>E2-B2</f>
        <v>-1.5133904911276152E-2</v>
      </c>
      <c r="F12" s="7">
        <f>F2-B2</f>
        <v>-1.2286254223093901E-2</v>
      </c>
      <c r="G12" s="7">
        <f>G2-B2</f>
        <v>-9.7118098739992463E-3</v>
      </c>
      <c r="H12" s="7">
        <f>H2-B2</f>
        <v>-1.5133904911276152E-2</v>
      </c>
      <c r="J12" s="8" t="s">
        <v>61</v>
      </c>
      <c r="K12" s="8">
        <f>(J2-0) * ((K2+0))</f>
        <v>1.7253431153680713E-4</v>
      </c>
      <c r="L12" s="8">
        <f>(J2-0) * ((L2+0))</f>
        <v>1.795053948312236E-3</v>
      </c>
      <c r="M12" s="8">
        <f>(J2-0) * ((M2+0))</f>
        <v>7.2534833013433199E-4</v>
      </c>
      <c r="N12" s="8">
        <f>(J2-0) * ((N2+0))</f>
        <v>8.2655972503679702E-4</v>
      </c>
      <c r="O12" s="8">
        <f>(J2-0) * ((O2+0))</f>
        <v>9.1806080160913622E-4</v>
      </c>
      <c r="P12" s="8">
        <f>(J2-0) * ((P2+0))</f>
        <v>7.2534833013433199E-4</v>
      </c>
    </row>
    <row r="13" spans="1:16" x14ac:dyDescent="0.3">
      <c r="B13" s="8" t="s">
        <v>62</v>
      </c>
      <c r="C13" s="7">
        <f t="shared" ref="C13:C19" si="1">C3-B3</f>
        <v>-1.4837140952974028E-2</v>
      </c>
      <c r="D13" s="7">
        <f t="shared" ref="D13:D19" si="2">D3-B3</f>
        <v>-2.9007975512158099E-2</v>
      </c>
      <c r="E13" s="7">
        <f t="shared" ref="E13:E19" si="3">E3-B3</f>
        <v>1.5312783094314789E-2</v>
      </c>
      <c r="F13" s="7">
        <f t="shared" ref="F13:F19" si="4">F3-B3</f>
        <v>2.4013937974871662E-2</v>
      </c>
      <c r="G13" s="7">
        <f t="shared" ref="G13:G19" si="5">G3-B3</f>
        <v>-1.3278727310585176E-2</v>
      </c>
      <c r="H13" s="7">
        <f t="shared" ref="H13:H19" si="6">H3-B3</f>
        <v>-1.1898101259426707E-2</v>
      </c>
      <c r="J13" s="8" t="s">
        <v>62</v>
      </c>
      <c r="K13" s="8">
        <f>(J3-J2) * ((K3+K2))</f>
        <v>1.3289461130688227E-3</v>
      </c>
      <c r="L13" s="8">
        <f>(J3-J2) * ((L3+L2))</f>
        <v>4.3454428459075789E-3</v>
      </c>
      <c r="M13" s="8">
        <f>(J3-J2) * ((M3+M2))</f>
        <v>3.7246652964922104E-3</v>
      </c>
      <c r="N13" s="8">
        <f>(J3-J2) * ((N3+N2))</f>
        <v>4.2876960971247541E-3</v>
      </c>
      <c r="O13" s="8">
        <f>(J3-J2) * ((O3+O2))</f>
        <v>3.030585601020415E-3</v>
      </c>
      <c r="P13" s="8">
        <f>(J3-J2) * ((P3+P2))</f>
        <v>2.6604752117801501E-3</v>
      </c>
    </row>
    <row r="14" spans="1:16" x14ac:dyDescent="0.3">
      <c r="B14" s="8" t="s">
        <v>58</v>
      </c>
      <c r="C14" s="7">
        <f t="shared" si="1"/>
        <v>-1.78718012219625E-2</v>
      </c>
      <c r="D14" s="7">
        <f t="shared" si="2"/>
        <v>-4.2143645882156675E-2</v>
      </c>
      <c r="E14" s="7">
        <f t="shared" si="3"/>
        <v>5.989717044437394E-2</v>
      </c>
      <c r="F14" s="7">
        <f t="shared" si="4"/>
        <v>-1.8887831928668303E-2</v>
      </c>
      <c r="G14" s="7">
        <f t="shared" si="5"/>
        <v>-1.6313387579573648E-2</v>
      </c>
      <c r="H14" s="7">
        <f t="shared" si="6"/>
        <v>5.989717044437394E-2</v>
      </c>
      <c r="J14" s="8" t="s">
        <v>58</v>
      </c>
      <c r="K14" s="8">
        <f t="shared" ref="K14:K19" si="7">(J4-J3) * ((K4+K3))</f>
        <v>3.4778736893041917E-3</v>
      </c>
      <c r="L14" s="8">
        <f t="shared" ref="L14:L19" si="8">(J4-J3) * ((L4+L3))</f>
        <v>5.1083207129886876E-3</v>
      </c>
      <c r="M14" s="8">
        <f t="shared" ref="M14:M19" si="9">(J4-J3) * ((M4+M3))</f>
        <v>1.0607584337685693E-2</v>
      </c>
      <c r="N14" s="8">
        <f t="shared" ref="N14:N19" si="10">(J4-J3) * ((N4+N3))</f>
        <v>8.2607146413529696E-3</v>
      </c>
      <c r="O14" s="8">
        <f t="shared" ref="O14:O19" si="11">(J4-J3) * ((O4+O3))</f>
        <v>5.4429062947434822E-3</v>
      </c>
      <c r="P14" s="8">
        <f t="shared" ref="P14:P19" si="12">(J4-J3) * ((P4+P3))</f>
        <v>8.3140525889968953E-3</v>
      </c>
    </row>
    <row r="15" spans="1:16" x14ac:dyDescent="0.3">
      <c r="B15" s="8" t="s">
        <v>65</v>
      </c>
      <c r="C15" s="7">
        <f t="shared" si="1"/>
        <v>-2.1271891785122361E-2</v>
      </c>
      <c r="D15" s="7">
        <f t="shared" si="2"/>
        <v>-2.5341716243296331E-2</v>
      </c>
      <c r="E15" s="7">
        <f t="shared" si="3"/>
        <v>4.289163770434333E-2</v>
      </c>
      <c r="F15" s="7">
        <f t="shared" si="4"/>
        <v>4.4157260232424334E-2</v>
      </c>
      <c r="G15" s="7">
        <f t="shared" si="5"/>
        <v>1.3496853960587522E-2</v>
      </c>
      <c r="H15" s="7">
        <f t="shared" si="6"/>
        <v>8.8780322621664562E-3</v>
      </c>
      <c r="J15" s="8" t="s">
        <v>65</v>
      </c>
      <c r="K15" s="8">
        <f t="shared" si="7"/>
        <v>5.969324679725955E-3</v>
      </c>
      <c r="L15" s="8">
        <f t="shared" si="8"/>
        <v>6.440528386206382E-3</v>
      </c>
      <c r="M15" s="8">
        <f t="shared" si="9"/>
        <v>2.0138386863575348E-2</v>
      </c>
      <c r="N15" s="8">
        <f t="shared" si="10"/>
        <v>1.407165278875229E-2</v>
      </c>
      <c r="O15" s="8">
        <f t="shared" si="11"/>
        <v>9.7473679477061252E-3</v>
      </c>
      <c r="P15" s="8">
        <f t="shared" si="12"/>
        <v>1.6110709490860277E-2</v>
      </c>
    </row>
    <row r="16" spans="1:16" x14ac:dyDescent="0.3">
      <c r="B16" s="8" t="s">
        <v>60</v>
      </c>
      <c r="C16" s="7">
        <f t="shared" si="1"/>
        <v>-2.4728015507572115E-2</v>
      </c>
      <c r="D16" s="7">
        <f t="shared" si="2"/>
        <v>-7.1310343643298302E-2</v>
      </c>
      <c r="E16" s="7">
        <f t="shared" si="3"/>
        <v>-4.6985462175559697E-2</v>
      </c>
      <c r="F16" s="7">
        <f t="shared" si="4"/>
        <v>-7.5303766241372069E-2</v>
      </c>
      <c r="G16" s="7">
        <f t="shared" si="5"/>
        <v>-6.2774803742444762E-2</v>
      </c>
      <c r="H16" s="7">
        <f t="shared" si="6"/>
        <v>-2.657729891025358E-2</v>
      </c>
      <c r="J16" s="8" t="s">
        <v>60</v>
      </c>
      <c r="K16" s="8">
        <f t="shared" si="7"/>
        <v>3.0749516969486104E-2</v>
      </c>
      <c r="L16" s="8">
        <f t="shared" si="8"/>
        <v>2.5839629061770963E-2</v>
      </c>
      <c r="M16" s="8">
        <f t="shared" si="9"/>
        <v>7.3752177409544512E-2</v>
      </c>
      <c r="N16" s="8">
        <f t="shared" si="10"/>
        <v>5.4230109022852954E-2</v>
      </c>
      <c r="O16" s="8">
        <f t="shared" si="11"/>
        <v>4.0455296949636142E-2</v>
      </c>
      <c r="P16" s="8">
        <f t="shared" si="12"/>
        <v>6.1322035149508923E-2</v>
      </c>
    </row>
    <row r="17" spans="2:16" x14ac:dyDescent="0.3">
      <c r="B17" s="8" t="s">
        <v>64</v>
      </c>
      <c r="C17" s="7">
        <f t="shared" si="1"/>
        <v>4.2776400237028361E-2</v>
      </c>
      <c r="D17" s="7">
        <f t="shared" si="2"/>
        <v>0.12172118791968012</v>
      </c>
      <c r="E17" s="7">
        <f t="shared" si="3"/>
        <v>3.6171816656023148E-2</v>
      </c>
      <c r="F17" s="7">
        <f t="shared" si="4"/>
        <v>8.8062340307344139E-2</v>
      </c>
      <c r="G17" s="7">
        <f t="shared" si="5"/>
        <v>6.398515601390653E-2</v>
      </c>
      <c r="H17" s="7">
        <f t="shared" si="6"/>
        <v>-3.1855394228330586E-2</v>
      </c>
      <c r="J17" s="8" t="s">
        <v>64</v>
      </c>
      <c r="K17" s="8">
        <f t="shared" si="7"/>
        <v>8.9156353493110227E-2</v>
      </c>
      <c r="L17" s="8">
        <f t="shared" si="8"/>
        <v>8.7876597222874192E-2</v>
      </c>
      <c r="M17" s="8">
        <f t="shared" si="9"/>
        <v>0.14137969553203911</v>
      </c>
      <c r="N17" s="8">
        <f t="shared" si="10"/>
        <v>0.11935841250703789</v>
      </c>
      <c r="O17" s="8">
        <f t="shared" si="11"/>
        <v>9.9280017895707215E-2</v>
      </c>
      <c r="P17" s="8">
        <f t="shared" si="12"/>
        <v>0.11726842962735026</v>
      </c>
    </row>
    <row r="18" spans="2:16" x14ac:dyDescent="0.3">
      <c r="B18" s="8" t="s">
        <v>63</v>
      </c>
      <c r="C18" s="7">
        <f t="shared" si="1"/>
        <v>0.15260081398865316</v>
      </c>
      <c r="D18" s="7">
        <f t="shared" si="2"/>
        <v>6.2819505760743022E-2</v>
      </c>
      <c r="E18" s="7">
        <f t="shared" si="3"/>
        <v>1.388872901538718E-3</v>
      </c>
      <c r="F18" s="7">
        <f t="shared" si="4"/>
        <v>-4.4646312908359076E-3</v>
      </c>
      <c r="G18" s="7">
        <f t="shared" si="5"/>
        <v>-1.0459408846584889E-2</v>
      </c>
      <c r="H18" s="7">
        <f t="shared" si="6"/>
        <v>-1.2216569275332045E-2</v>
      </c>
      <c r="J18" s="8" t="s">
        <v>63</v>
      </c>
      <c r="K18" s="8">
        <f t="shared" si="7"/>
        <v>0.2904103007843023</v>
      </c>
      <c r="L18" s="8">
        <f t="shared" si="8"/>
        <v>0.28570943669570131</v>
      </c>
      <c r="M18" s="8">
        <f t="shared" si="9"/>
        <v>0.33204627508340939</v>
      </c>
      <c r="N18" s="8">
        <f t="shared" si="10"/>
        <v>0.30935545628522299</v>
      </c>
      <c r="O18" s="8">
        <f t="shared" si="11"/>
        <v>0.27063232309807034</v>
      </c>
      <c r="P18" s="8">
        <f t="shared" si="12"/>
        <v>0.27415102712014833</v>
      </c>
    </row>
    <row r="19" spans="2:16" x14ac:dyDescent="0.3">
      <c r="B19" s="8" t="s">
        <v>59</v>
      </c>
      <c r="C19" s="7">
        <f t="shared" si="1"/>
        <v>-8.598066551350711E-2</v>
      </c>
      <c r="D19" s="7">
        <f t="shared" si="2"/>
        <v>-3.1699994727981962E-2</v>
      </c>
      <c r="E19" s="7">
        <f t="shared" si="3"/>
        <v>-9.3542913713758058E-2</v>
      </c>
      <c r="F19" s="7">
        <f t="shared" si="4"/>
        <v>-4.5291054830669975E-2</v>
      </c>
      <c r="G19" s="7">
        <f t="shared" si="5"/>
        <v>3.505612737869368E-2</v>
      </c>
      <c r="H19" s="7">
        <f t="shared" si="6"/>
        <v>2.8906065878078646E-2</v>
      </c>
      <c r="J19" s="8" t="s">
        <v>59</v>
      </c>
      <c r="K19" s="8">
        <f t="shared" si="7"/>
        <v>0.54235343279649728</v>
      </c>
      <c r="L19" s="8">
        <f t="shared" si="8"/>
        <v>0.52582891651362162</v>
      </c>
      <c r="M19" s="8">
        <f t="shared" si="9"/>
        <v>0.5446555873519181</v>
      </c>
      <c r="N19" s="8">
        <f t="shared" si="10"/>
        <v>0.52996640580250309</v>
      </c>
      <c r="O19" s="8">
        <f t="shared" si="11"/>
        <v>0.50550653267477708</v>
      </c>
      <c r="P19" s="8">
        <f t="shared" si="12"/>
        <v>0.50737877909209106</v>
      </c>
    </row>
    <row r="20" spans="2:16" x14ac:dyDescent="0.3">
      <c r="J20" s="9" t="s">
        <v>26</v>
      </c>
      <c r="K20" s="9">
        <f>SUM(K12:K19)</f>
        <v>0.96361828283703166</v>
      </c>
      <c r="L20" s="9">
        <f t="shared" ref="L20:P20" si="13">SUM(L12:L19)</f>
        <v>0.94294392538738303</v>
      </c>
      <c r="M20" s="9">
        <f t="shared" si="13"/>
        <v>1.1270297202047987</v>
      </c>
      <c r="N20" s="9">
        <f t="shared" si="13"/>
        <v>1.0403570068698837</v>
      </c>
      <c r="O20" s="9">
        <f t="shared" si="13"/>
        <v>0.93501309126326992</v>
      </c>
      <c r="P20" s="9">
        <f t="shared" si="13"/>
        <v>0.98793085661087021</v>
      </c>
    </row>
    <row r="21" spans="2:16" x14ac:dyDescent="0.3">
      <c r="J21" s="13" t="s">
        <v>27</v>
      </c>
      <c r="K21" s="13">
        <f>1-K20</f>
        <v>3.6381717162968341E-2</v>
      </c>
      <c r="L21" s="13">
        <f t="shared" ref="L21:P21" si="14">1-L20</f>
        <v>5.7056074612616969E-2</v>
      </c>
      <c r="M21" s="13">
        <f t="shared" si="14"/>
        <v>-0.12702972020479875</v>
      </c>
      <c r="N21" s="13">
        <f t="shared" si="14"/>
        <v>-4.0357006869883749E-2</v>
      </c>
      <c r="O21" s="13">
        <f t="shared" si="14"/>
        <v>6.4986908736730076E-2</v>
      </c>
      <c r="P21" s="13">
        <f t="shared" si="14"/>
        <v>1.2069143389129788E-2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ARAÇUAÍ</vt:lpstr>
      <vt:lpstr>DIAMANTINA</vt:lpstr>
      <vt:lpstr>SERRO</vt:lpstr>
      <vt:lpstr>TURMALINA-MINAS NOVA-CAPELINHA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2025-04-20T01:54:14Z</dcterms:created>
  <dcterms:modified xsi:type="dcterms:W3CDTF">2025-11-26T01:15:11Z</dcterms:modified>
</cp:coreProperties>
</file>