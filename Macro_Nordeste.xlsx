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cirurgia_geral/"/>
    </mc:Choice>
  </mc:AlternateContent>
  <xr:revisionPtr revIDLastSave="124" documentId="8_{3AA177FB-82D0-4804-839C-B044E87108B9}" xr6:coauthVersionLast="47" xr6:coauthVersionMax="47" xr10:uidLastSave="{6527A050-A6C7-4B20-8B79-7A49CE4BAB91}"/>
  <bookViews>
    <workbookView xWindow="-108" yWindow="-108" windowWidth="23256" windowHeight="12456" firstSheet="4" activeTab="7" xr2:uid="{4007B732-8C8D-4379-9A07-2A39595D579A}"/>
  </bookViews>
  <sheets>
    <sheet name="ÁGUAS FORMOSAS" sheetId="1" r:id="rId1"/>
    <sheet name="ALMENARA-JACINTO" sheetId="2" r:id="rId2"/>
    <sheet name="ITAMBACURI" sheetId="3" r:id="rId3"/>
    <sheet name="ITAOBIM" sheetId="4" r:id="rId4"/>
    <sheet name="NANUQUE" sheetId="5" r:id="rId5"/>
    <sheet name="PADRE PARAÍSO" sheetId="6" r:id="rId6"/>
    <sheet name="PEDRA AZUL" sheetId="7" r:id="rId7"/>
    <sheet name="TEÓFILO OTONI - MALACACHETA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8" l="1"/>
  <c r="L18" i="8"/>
  <c r="M18" i="8"/>
  <c r="N18" i="8"/>
  <c r="O18" i="8"/>
  <c r="P18" i="8"/>
  <c r="K19" i="8"/>
  <c r="L19" i="8"/>
  <c r="M19" i="8"/>
  <c r="N19" i="8"/>
  <c r="O19" i="8"/>
  <c r="P19" i="8"/>
  <c r="K20" i="8"/>
  <c r="L20" i="8"/>
  <c r="M20" i="8"/>
  <c r="N20" i="8"/>
  <c r="O20" i="8"/>
  <c r="P20" i="8"/>
  <c r="K21" i="8"/>
  <c r="L21" i="8"/>
  <c r="M21" i="8"/>
  <c r="N21" i="8"/>
  <c r="O21" i="8"/>
  <c r="P21" i="8"/>
  <c r="K22" i="8"/>
  <c r="L22" i="8"/>
  <c r="M22" i="8"/>
  <c r="N22" i="8"/>
  <c r="O22" i="8"/>
  <c r="P22" i="8"/>
  <c r="K23" i="8"/>
  <c r="L23" i="8"/>
  <c r="M23" i="8"/>
  <c r="N23" i="8"/>
  <c r="O23" i="8"/>
  <c r="P23" i="8"/>
  <c r="K24" i="8"/>
  <c r="L24" i="8"/>
  <c r="M24" i="8"/>
  <c r="N24" i="8"/>
  <c r="O24" i="8"/>
  <c r="P24" i="8"/>
  <c r="K25" i="8"/>
  <c r="L25" i="8"/>
  <c r="M25" i="8"/>
  <c r="N25" i="8"/>
  <c r="O25" i="8"/>
  <c r="P25" i="8"/>
  <c r="K26" i="8"/>
  <c r="L26" i="8"/>
  <c r="M26" i="8"/>
  <c r="N26" i="8"/>
  <c r="O26" i="8"/>
  <c r="P26" i="8"/>
  <c r="P17" i="8"/>
  <c r="O17" i="8"/>
  <c r="N17" i="8"/>
  <c r="M17" i="8"/>
  <c r="L17" i="8"/>
  <c r="K17" i="8"/>
  <c r="P16" i="8"/>
  <c r="O16" i="8"/>
  <c r="N16" i="8"/>
  <c r="M16" i="8"/>
  <c r="L16" i="8"/>
  <c r="K16" i="8"/>
  <c r="L15" i="7"/>
  <c r="M15" i="7"/>
  <c r="N15" i="7"/>
  <c r="O15" i="7"/>
  <c r="P15" i="7"/>
  <c r="L14" i="7"/>
  <c r="M14" i="7"/>
  <c r="N14" i="7"/>
  <c r="O14" i="7"/>
  <c r="P14" i="7"/>
  <c r="K14" i="7"/>
  <c r="L13" i="7"/>
  <c r="K13" i="7"/>
  <c r="O12" i="7"/>
  <c r="O11" i="7"/>
  <c r="L11" i="7"/>
  <c r="M10" i="7"/>
  <c r="K10" i="7"/>
  <c r="P9" i="7"/>
  <c r="O9" i="7"/>
  <c r="N9" i="7"/>
  <c r="M9" i="7"/>
  <c r="L9" i="7"/>
  <c r="K9" i="7"/>
  <c r="K11" i="6"/>
  <c r="P8" i="6"/>
  <c r="O8" i="6"/>
  <c r="N8" i="6"/>
  <c r="M8" i="6"/>
  <c r="L8" i="6"/>
  <c r="K8" i="6"/>
  <c r="O9" i="5"/>
  <c r="P8" i="5"/>
  <c r="O8" i="5"/>
  <c r="N8" i="5"/>
  <c r="M8" i="5"/>
  <c r="L8" i="5"/>
  <c r="K8" i="5"/>
  <c r="N14" i="4"/>
  <c r="M14" i="4"/>
  <c r="L14" i="4"/>
  <c r="L13" i="4"/>
  <c r="K13" i="4"/>
  <c r="P12" i="4"/>
  <c r="N11" i="4"/>
  <c r="P10" i="4"/>
  <c r="O10" i="4"/>
  <c r="N10" i="4"/>
  <c r="M10" i="4"/>
  <c r="L10" i="4"/>
  <c r="K10" i="4"/>
  <c r="K15" i="3"/>
  <c r="P14" i="3"/>
  <c r="O14" i="3"/>
  <c r="M13" i="3"/>
  <c r="M12" i="3"/>
  <c r="L12" i="3"/>
  <c r="K12" i="3"/>
  <c r="K11" i="3"/>
  <c r="P10" i="3"/>
  <c r="O10" i="3"/>
  <c r="N10" i="3"/>
  <c r="M10" i="3"/>
  <c r="L10" i="3"/>
  <c r="K10" i="3"/>
  <c r="D26" i="2"/>
  <c r="E26" i="2"/>
  <c r="F26" i="2"/>
  <c r="G26" i="2"/>
  <c r="H26" i="2"/>
  <c r="D27" i="2"/>
  <c r="E27" i="2"/>
  <c r="F27" i="2"/>
  <c r="G27" i="2"/>
  <c r="H27" i="2"/>
  <c r="D28" i="2"/>
  <c r="E28" i="2"/>
  <c r="F28" i="2"/>
  <c r="G28" i="2"/>
  <c r="H28" i="2"/>
  <c r="D29" i="2"/>
  <c r="E29" i="2"/>
  <c r="F29" i="2"/>
  <c r="G29" i="2"/>
  <c r="H29" i="2"/>
  <c r="D30" i="2"/>
  <c r="E30" i="2"/>
  <c r="F30" i="2"/>
  <c r="G30" i="2"/>
  <c r="H30" i="2"/>
  <c r="D31" i="2"/>
  <c r="E31" i="2"/>
  <c r="F31" i="2"/>
  <c r="G31" i="2"/>
  <c r="H31" i="2"/>
  <c r="C26" i="2"/>
  <c r="C27" i="2"/>
  <c r="C28" i="2"/>
  <c r="C29" i="2"/>
  <c r="C30" i="2"/>
  <c r="C31" i="2"/>
  <c r="P18" i="2"/>
  <c r="O18" i="2"/>
  <c r="N18" i="2"/>
  <c r="M18" i="2"/>
  <c r="L18" i="2"/>
  <c r="K18" i="2"/>
  <c r="P14" i="1"/>
  <c r="L16" i="1"/>
  <c r="N17" i="1"/>
  <c r="P18" i="1"/>
  <c r="O13" i="1"/>
  <c r="P12" i="1"/>
  <c r="O12" i="1"/>
  <c r="N12" i="1"/>
  <c r="M12" i="1"/>
  <c r="K12" i="1"/>
  <c r="L12" i="1"/>
  <c r="H26" i="8"/>
  <c r="G26" i="8"/>
  <c r="F26" i="8"/>
  <c r="E26" i="8"/>
  <c r="D26" i="8"/>
  <c r="C26" i="8"/>
  <c r="H25" i="8"/>
  <c r="G25" i="8"/>
  <c r="F25" i="8"/>
  <c r="E25" i="8"/>
  <c r="D25" i="8"/>
  <c r="C25" i="8"/>
  <c r="H24" i="8"/>
  <c r="G24" i="8"/>
  <c r="F24" i="8"/>
  <c r="E24" i="8"/>
  <c r="D24" i="8"/>
  <c r="C24" i="8"/>
  <c r="H23" i="8"/>
  <c r="G23" i="8"/>
  <c r="F23" i="8"/>
  <c r="E23" i="8"/>
  <c r="D23" i="8"/>
  <c r="C23" i="8"/>
  <c r="H22" i="8"/>
  <c r="G22" i="8"/>
  <c r="F22" i="8"/>
  <c r="E22" i="8"/>
  <c r="D22" i="8"/>
  <c r="C22" i="8"/>
  <c r="H21" i="8"/>
  <c r="G21" i="8"/>
  <c r="F21" i="8"/>
  <c r="E21" i="8"/>
  <c r="D21" i="8"/>
  <c r="C21" i="8"/>
  <c r="H20" i="8"/>
  <c r="G20" i="8"/>
  <c r="F20" i="8"/>
  <c r="E20" i="8"/>
  <c r="D20" i="8"/>
  <c r="C20" i="8"/>
  <c r="H19" i="8"/>
  <c r="G19" i="8"/>
  <c r="F19" i="8"/>
  <c r="E19" i="8"/>
  <c r="D19" i="8"/>
  <c r="C19" i="8"/>
  <c r="H18" i="8"/>
  <c r="G18" i="8"/>
  <c r="F18" i="8"/>
  <c r="E18" i="8"/>
  <c r="D18" i="8"/>
  <c r="C18" i="8"/>
  <c r="H17" i="8"/>
  <c r="G17" i="8"/>
  <c r="F17" i="8"/>
  <c r="E17" i="8"/>
  <c r="D17" i="8"/>
  <c r="C17" i="8"/>
  <c r="H16" i="8"/>
  <c r="G16" i="8"/>
  <c r="F16" i="8"/>
  <c r="E16" i="8"/>
  <c r="D16" i="8"/>
  <c r="C16" i="8"/>
  <c r="K3" i="8"/>
  <c r="K4" i="8" s="1"/>
  <c r="K5" i="8" s="1"/>
  <c r="K6" i="8" s="1"/>
  <c r="K7" i="8" s="1"/>
  <c r="K8" i="8" s="1"/>
  <c r="K9" i="8" s="1"/>
  <c r="K10" i="8" s="1"/>
  <c r="K11" i="8" s="1"/>
  <c r="K12" i="8" s="1"/>
  <c r="P3" i="8"/>
  <c r="P4" i="8" s="1"/>
  <c r="P5" i="8" s="1"/>
  <c r="P6" i="8" s="1"/>
  <c r="P7" i="8" s="1"/>
  <c r="P8" i="8" s="1"/>
  <c r="P9" i="8" s="1"/>
  <c r="P10" i="8" s="1"/>
  <c r="P11" i="8" s="1"/>
  <c r="P12" i="8" s="1"/>
  <c r="O3" i="8"/>
  <c r="O4" i="8" s="1"/>
  <c r="O5" i="8" s="1"/>
  <c r="O6" i="8" s="1"/>
  <c r="O7" i="8" s="1"/>
  <c r="O8" i="8" s="1"/>
  <c r="O9" i="8" s="1"/>
  <c r="O10" i="8" s="1"/>
  <c r="O11" i="8" s="1"/>
  <c r="O12" i="8" s="1"/>
  <c r="N3" i="8"/>
  <c r="N4" i="8" s="1"/>
  <c r="N5" i="8" s="1"/>
  <c r="N6" i="8" s="1"/>
  <c r="N7" i="8" s="1"/>
  <c r="N8" i="8" s="1"/>
  <c r="N9" i="8" s="1"/>
  <c r="N10" i="8" s="1"/>
  <c r="N11" i="8" s="1"/>
  <c r="N12" i="8" s="1"/>
  <c r="M3" i="8"/>
  <c r="M4" i="8" s="1"/>
  <c r="M5" i="8" s="1"/>
  <c r="M6" i="8" s="1"/>
  <c r="M7" i="8" s="1"/>
  <c r="M8" i="8" s="1"/>
  <c r="M9" i="8" s="1"/>
  <c r="M10" i="8" s="1"/>
  <c r="M11" i="8" s="1"/>
  <c r="M12" i="8" s="1"/>
  <c r="L3" i="8"/>
  <c r="L4" i="8" s="1"/>
  <c r="L5" i="8" s="1"/>
  <c r="L6" i="8" s="1"/>
  <c r="L7" i="8" s="1"/>
  <c r="L8" i="8" s="1"/>
  <c r="L9" i="8" s="1"/>
  <c r="L10" i="8" s="1"/>
  <c r="L11" i="8" s="1"/>
  <c r="L12" i="8" s="1"/>
  <c r="J3" i="8"/>
  <c r="J4" i="8" s="1"/>
  <c r="J5" i="8" s="1"/>
  <c r="J6" i="8" s="1"/>
  <c r="J7" i="8" s="1"/>
  <c r="J8" i="8" s="1"/>
  <c r="J9" i="8" s="1"/>
  <c r="J10" i="8" s="1"/>
  <c r="J11" i="8" s="1"/>
  <c r="J12" i="8" s="1"/>
  <c r="H13" i="7"/>
  <c r="G13" i="7"/>
  <c r="F13" i="7"/>
  <c r="E13" i="7"/>
  <c r="D13" i="7"/>
  <c r="C13" i="7"/>
  <c r="H12" i="7"/>
  <c r="G12" i="7"/>
  <c r="F12" i="7"/>
  <c r="E12" i="7"/>
  <c r="D12" i="7"/>
  <c r="C12" i="7"/>
  <c r="H11" i="7"/>
  <c r="G11" i="7"/>
  <c r="F11" i="7"/>
  <c r="E11" i="7"/>
  <c r="D11" i="7"/>
  <c r="C11" i="7"/>
  <c r="H10" i="7"/>
  <c r="G10" i="7"/>
  <c r="F10" i="7"/>
  <c r="E10" i="7"/>
  <c r="D10" i="7"/>
  <c r="C10" i="7"/>
  <c r="H9" i="7"/>
  <c r="G9" i="7"/>
  <c r="F9" i="7"/>
  <c r="E9" i="7"/>
  <c r="D9" i="7"/>
  <c r="C9" i="7"/>
  <c r="P3" i="7"/>
  <c r="P4" i="7" s="1"/>
  <c r="P5" i="7" s="1"/>
  <c r="P6" i="7" s="1"/>
  <c r="P13" i="7" s="1"/>
  <c r="O3" i="7"/>
  <c r="O4" i="7" s="1"/>
  <c r="O5" i="7" s="1"/>
  <c r="O6" i="7" s="1"/>
  <c r="N3" i="7"/>
  <c r="N4" i="7" s="1"/>
  <c r="N5" i="7" s="1"/>
  <c r="N6" i="7" s="1"/>
  <c r="M3" i="7"/>
  <c r="M4" i="7" s="1"/>
  <c r="M5" i="7" s="1"/>
  <c r="M6" i="7" s="1"/>
  <c r="L3" i="7"/>
  <c r="L4" i="7" s="1"/>
  <c r="L5" i="7" s="1"/>
  <c r="L6" i="7" s="1"/>
  <c r="K3" i="7"/>
  <c r="K4" i="7" s="1"/>
  <c r="K5" i="7" s="1"/>
  <c r="K6" i="7" s="1"/>
  <c r="J3" i="7"/>
  <c r="J4" i="7" s="1"/>
  <c r="J5" i="7" s="1"/>
  <c r="J6" i="7" s="1"/>
  <c r="O13" i="7" s="1"/>
  <c r="H11" i="6"/>
  <c r="G11" i="6"/>
  <c r="F11" i="6"/>
  <c r="E11" i="6"/>
  <c r="D11" i="6"/>
  <c r="C11" i="6"/>
  <c r="H10" i="6"/>
  <c r="G10" i="6"/>
  <c r="F10" i="6"/>
  <c r="E10" i="6"/>
  <c r="D10" i="6"/>
  <c r="C10" i="6"/>
  <c r="H9" i="6"/>
  <c r="G9" i="6"/>
  <c r="F9" i="6"/>
  <c r="E9" i="6"/>
  <c r="D9" i="6"/>
  <c r="C9" i="6"/>
  <c r="H8" i="6"/>
  <c r="G8" i="6"/>
  <c r="F8" i="6"/>
  <c r="E8" i="6"/>
  <c r="D8" i="6"/>
  <c r="C8" i="6"/>
  <c r="P3" i="6"/>
  <c r="P4" i="6" s="1"/>
  <c r="P5" i="6" s="1"/>
  <c r="O3" i="6"/>
  <c r="O4" i="6" s="1"/>
  <c r="O5" i="6" s="1"/>
  <c r="N3" i="6"/>
  <c r="N4" i="6" s="1"/>
  <c r="N5" i="6" s="1"/>
  <c r="M3" i="6"/>
  <c r="M4" i="6" s="1"/>
  <c r="M5" i="6" s="1"/>
  <c r="L3" i="6"/>
  <c r="L4" i="6" s="1"/>
  <c r="L5" i="6" s="1"/>
  <c r="K3" i="6"/>
  <c r="K4" i="6" s="1"/>
  <c r="K5" i="6" s="1"/>
  <c r="J3" i="6"/>
  <c r="J4" i="6" s="1"/>
  <c r="J5" i="6" s="1"/>
  <c r="O11" i="6" s="1"/>
  <c r="H10" i="5"/>
  <c r="G10" i="5"/>
  <c r="F10" i="5"/>
  <c r="E10" i="5"/>
  <c r="D10" i="5"/>
  <c r="C10" i="5"/>
  <c r="H9" i="5"/>
  <c r="G9" i="5"/>
  <c r="F9" i="5"/>
  <c r="E9" i="5"/>
  <c r="D9" i="5"/>
  <c r="C9" i="5"/>
  <c r="H8" i="5"/>
  <c r="G8" i="5"/>
  <c r="F8" i="5"/>
  <c r="E8" i="5"/>
  <c r="D8" i="5"/>
  <c r="C8" i="5"/>
  <c r="P3" i="5"/>
  <c r="P4" i="5" s="1"/>
  <c r="O3" i="5"/>
  <c r="O4" i="5" s="1"/>
  <c r="N3" i="5"/>
  <c r="N4" i="5" s="1"/>
  <c r="M3" i="5"/>
  <c r="M4" i="5" s="1"/>
  <c r="L3" i="5"/>
  <c r="L4" i="5" s="1"/>
  <c r="K3" i="5"/>
  <c r="K4" i="5" s="1"/>
  <c r="K10" i="5" s="1"/>
  <c r="J3" i="5"/>
  <c r="J4" i="5" s="1"/>
  <c r="P10" i="5" s="1"/>
  <c r="H15" i="4"/>
  <c r="G15" i="4"/>
  <c r="F15" i="4"/>
  <c r="E15" i="4"/>
  <c r="D15" i="4"/>
  <c r="C15" i="4"/>
  <c r="H14" i="4"/>
  <c r="G14" i="4"/>
  <c r="F14" i="4"/>
  <c r="E14" i="4"/>
  <c r="D14" i="4"/>
  <c r="C14" i="4"/>
  <c r="H13" i="4"/>
  <c r="G13" i="4"/>
  <c r="F13" i="4"/>
  <c r="E13" i="4"/>
  <c r="D13" i="4"/>
  <c r="C13" i="4"/>
  <c r="H12" i="4"/>
  <c r="G12" i="4"/>
  <c r="F12" i="4"/>
  <c r="E12" i="4"/>
  <c r="D12" i="4"/>
  <c r="C12" i="4"/>
  <c r="H11" i="4"/>
  <c r="G11" i="4"/>
  <c r="F11" i="4"/>
  <c r="E11" i="4"/>
  <c r="D11" i="4"/>
  <c r="C11" i="4"/>
  <c r="H10" i="4"/>
  <c r="G10" i="4"/>
  <c r="F10" i="4"/>
  <c r="E10" i="4"/>
  <c r="D10" i="4"/>
  <c r="C10" i="4"/>
  <c r="P3" i="4"/>
  <c r="P4" i="4" s="1"/>
  <c r="P5" i="4" s="1"/>
  <c r="P6" i="4" s="1"/>
  <c r="P7" i="4" s="1"/>
  <c r="P15" i="4" s="1"/>
  <c r="O3" i="4"/>
  <c r="O4" i="4" s="1"/>
  <c r="O5" i="4" s="1"/>
  <c r="O6" i="4" s="1"/>
  <c r="O7" i="4" s="1"/>
  <c r="O15" i="4" s="1"/>
  <c r="N3" i="4"/>
  <c r="N4" i="4" s="1"/>
  <c r="N5" i="4" s="1"/>
  <c r="N6" i="4" s="1"/>
  <c r="N7" i="4" s="1"/>
  <c r="M3" i="4"/>
  <c r="M4" i="4" s="1"/>
  <c r="M5" i="4" s="1"/>
  <c r="M6" i="4" s="1"/>
  <c r="M7" i="4" s="1"/>
  <c r="L3" i="4"/>
  <c r="L4" i="4" s="1"/>
  <c r="L5" i="4" s="1"/>
  <c r="L6" i="4" s="1"/>
  <c r="L7" i="4" s="1"/>
  <c r="K3" i="4"/>
  <c r="K4" i="4" s="1"/>
  <c r="K5" i="4" s="1"/>
  <c r="K6" i="4" s="1"/>
  <c r="K7" i="4" s="1"/>
  <c r="J3" i="4"/>
  <c r="J4" i="4" s="1"/>
  <c r="J5" i="4" s="1"/>
  <c r="J6" i="4" s="1"/>
  <c r="J7" i="4" s="1"/>
  <c r="N15" i="4" s="1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H11" i="3"/>
  <c r="G11" i="3"/>
  <c r="F11" i="3"/>
  <c r="E11" i="3"/>
  <c r="D11" i="3"/>
  <c r="C11" i="3"/>
  <c r="H10" i="3"/>
  <c r="G10" i="3"/>
  <c r="F10" i="3"/>
  <c r="E10" i="3"/>
  <c r="D10" i="3"/>
  <c r="C10" i="3"/>
  <c r="P3" i="3"/>
  <c r="P4" i="3" s="1"/>
  <c r="P5" i="3" s="1"/>
  <c r="P6" i="3" s="1"/>
  <c r="P7" i="3" s="1"/>
  <c r="O3" i="3"/>
  <c r="O4" i="3" s="1"/>
  <c r="O5" i="3" s="1"/>
  <c r="O6" i="3" s="1"/>
  <c r="O7" i="3" s="1"/>
  <c r="N3" i="3"/>
  <c r="N4" i="3" s="1"/>
  <c r="N5" i="3" s="1"/>
  <c r="N6" i="3" s="1"/>
  <c r="N7" i="3" s="1"/>
  <c r="M3" i="3"/>
  <c r="M4" i="3" s="1"/>
  <c r="M5" i="3" s="1"/>
  <c r="M6" i="3" s="1"/>
  <c r="M7" i="3" s="1"/>
  <c r="L3" i="3"/>
  <c r="L4" i="3" s="1"/>
  <c r="L5" i="3" s="1"/>
  <c r="L6" i="3" s="1"/>
  <c r="L7" i="3" s="1"/>
  <c r="K3" i="3"/>
  <c r="K4" i="3" s="1"/>
  <c r="K5" i="3" s="1"/>
  <c r="K6" i="3" s="1"/>
  <c r="K7" i="3" s="1"/>
  <c r="J3" i="3"/>
  <c r="J4" i="3" s="1"/>
  <c r="J5" i="3" s="1"/>
  <c r="J6" i="3" s="1"/>
  <c r="J7" i="3" s="1"/>
  <c r="P15" i="3" s="1"/>
  <c r="H19" i="2"/>
  <c r="H20" i="2"/>
  <c r="H21" i="2"/>
  <c r="H22" i="2"/>
  <c r="H23" i="2"/>
  <c r="H24" i="2"/>
  <c r="H25" i="2"/>
  <c r="H18" i="2"/>
  <c r="G19" i="2"/>
  <c r="G20" i="2"/>
  <c r="G21" i="2"/>
  <c r="G22" i="2"/>
  <c r="G23" i="2"/>
  <c r="G24" i="2"/>
  <c r="G25" i="2"/>
  <c r="G18" i="2"/>
  <c r="F19" i="2"/>
  <c r="F20" i="2"/>
  <c r="F21" i="2"/>
  <c r="F22" i="2"/>
  <c r="F23" i="2"/>
  <c r="F24" i="2"/>
  <c r="F25" i="2"/>
  <c r="F18" i="2"/>
  <c r="E19" i="2"/>
  <c r="E20" i="2"/>
  <c r="E21" i="2"/>
  <c r="E22" i="2"/>
  <c r="E23" i="2"/>
  <c r="E24" i="2"/>
  <c r="E25" i="2"/>
  <c r="E18" i="2"/>
  <c r="D19" i="2"/>
  <c r="D20" i="2"/>
  <c r="D21" i="2"/>
  <c r="D22" i="2"/>
  <c r="D23" i="2"/>
  <c r="D24" i="2"/>
  <c r="D25" i="2"/>
  <c r="D18" i="2"/>
  <c r="C19" i="2"/>
  <c r="C20" i="2"/>
  <c r="C21" i="2"/>
  <c r="C22" i="2"/>
  <c r="C23" i="2"/>
  <c r="C24" i="2"/>
  <c r="C25" i="2"/>
  <c r="C18" i="2"/>
  <c r="N13" i="2"/>
  <c r="N14" i="2" s="1"/>
  <c r="N15" i="2" s="1"/>
  <c r="O13" i="2"/>
  <c r="O14" i="2" s="1"/>
  <c r="O15" i="2" s="1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O3" i="2"/>
  <c r="O4" i="2" s="1"/>
  <c r="O5" i="2" s="1"/>
  <c r="O6" i="2" s="1"/>
  <c r="O7" i="2" s="1"/>
  <c r="O8" i="2" s="1"/>
  <c r="O9" i="2" s="1"/>
  <c r="O10" i="2" s="1"/>
  <c r="O11" i="2" s="1"/>
  <c r="O12" i="2" s="1"/>
  <c r="N3" i="2"/>
  <c r="N4" i="2" s="1"/>
  <c r="N5" i="2" s="1"/>
  <c r="N6" i="2" s="1"/>
  <c r="N7" i="2" s="1"/>
  <c r="N8" i="2" s="1"/>
  <c r="N9" i="2" s="1"/>
  <c r="N10" i="2" s="1"/>
  <c r="N11" i="2" s="1"/>
  <c r="N12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K3" i="2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J3" i="2"/>
  <c r="J4" i="2" s="1"/>
  <c r="J5" i="2" s="1"/>
  <c r="J6" i="2" s="1"/>
  <c r="J7" i="2" s="1"/>
  <c r="J8" i="2" s="1"/>
  <c r="J9" i="2" s="1"/>
  <c r="J10" i="2" s="1"/>
  <c r="J11" i="2" s="1"/>
  <c r="J12" i="2" s="1"/>
  <c r="J13" i="2" s="1"/>
  <c r="K29" i="2" s="1"/>
  <c r="H19" i="1"/>
  <c r="G19" i="1"/>
  <c r="F19" i="1"/>
  <c r="E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C17" i="1"/>
  <c r="H16" i="1"/>
  <c r="G16" i="1"/>
  <c r="F16" i="1"/>
  <c r="E16" i="1"/>
  <c r="D16" i="1"/>
  <c r="C16" i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H12" i="1"/>
  <c r="G12" i="1"/>
  <c r="F12" i="1"/>
  <c r="E12" i="1"/>
  <c r="D12" i="1"/>
  <c r="C12" i="1"/>
  <c r="P3" i="1"/>
  <c r="P4" i="1" s="1"/>
  <c r="P5" i="1" s="1"/>
  <c r="P6" i="1" s="1"/>
  <c r="P7" i="1" s="1"/>
  <c r="P8" i="1" s="1"/>
  <c r="P9" i="1" s="1"/>
  <c r="O3" i="1"/>
  <c r="O4" i="1" s="1"/>
  <c r="O5" i="1" s="1"/>
  <c r="O6" i="1" s="1"/>
  <c r="O7" i="1" s="1"/>
  <c r="O8" i="1" s="1"/>
  <c r="O9" i="1" s="1"/>
  <c r="N3" i="1"/>
  <c r="N4" i="1" s="1"/>
  <c r="N5" i="1" s="1"/>
  <c r="N6" i="1" s="1"/>
  <c r="N7" i="1" s="1"/>
  <c r="N8" i="1" s="1"/>
  <c r="N9" i="1" s="1"/>
  <c r="M3" i="1"/>
  <c r="M4" i="1" s="1"/>
  <c r="M5" i="1" s="1"/>
  <c r="M6" i="1" s="1"/>
  <c r="M7" i="1" s="1"/>
  <c r="M8" i="1" s="1"/>
  <c r="M9" i="1" s="1"/>
  <c r="L3" i="1"/>
  <c r="L4" i="1" s="1"/>
  <c r="L5" i="1" s="1"/>
  <c r="L6" i="1" s="1"/>
  <c r="L7" i="1" s="1"/>
  <c r="L8" i="1" s="1"/>
  <c r="L9" i="1" s="1"/>
  <c r="K3" i="1"/>
  <c r="K4" i="1" s="1"/>
  <c r="K5" i="1" s="1"/>
  <c r="K6" i="1" s="1"/>
  <c r="K7" i="1" s="1"/>
  <c r="K8" i="1" s="1"/>
  <c r="K9" i="1" s="1"/>
  <c r="J3" i="1"/>
  <c r="J4" i="1" s="1"/>
  <c r="J5" i="1" s="1"/>
  <c r="J6" i="1" s="1"/>
  <c r="J7" i="1" s="1"/>
  <c r="J8" i="1" s="1"/>
  <c r="J9" i="1" s="1"/>
  <c r="M19" i="1" s="1"/>
  <c r="M11" i="7" l="1"/>
  <c r="L10" i="7"/>
  <c r="N11" i="7"/>
  <c r="P12" i="7"/>
  <c r="N10" i="7"/>
  <c r="P11" i="7"/>
  <c r="O10" i="7"/>
  <c r="K12" i="7"/>
  <c r="M13" i="7"/>
  <c r="P10" i="7"/>
  <c r="L12" i="7"/>
  <c r="N13" i="7"/>
  <c r="K11" i="7"/>
  <c r="K15" i="7" s="1"/>
  <c r="M12" i="7"/>
  <c r="N12" i="7"/>
  <c r="O9" i="6"/>
  <c r="O12" i="6" s="1"/>
  <c r="O13" i="6" s="1"/>
  <c r="L9" i="6"/>
  <c r="P11" i="6"/>
  <c r="M9" i="6"/>
  <c r="O10" i="6"/>
  <c r="N10" i="6"/>
  <c r="N9" i="6"/>
  <c r="P10" i="6"/>
  <c r="P9" i="6"/>
  <c r="P12" i="6" s="1"/>
  <c r="P13" i="6" s="1"/>
  <c r="L11" i="6"/>
  <c r="K10" i="6"/>
  <c r="M11" i="6"/>
  <c r="L10" i="6"/>
  <c r="N11" i="6"/>
  <c r="K9" i="6"/>
  <c r="K12" i="6" s="1"/>
  <c r="K13" i="6" s="1"/>
  <c r="M10" i="6"/>
  <c r="M12" i="6" s="1"/>
  <c r="M13" i="6" s="1"/>
  <c r="P9" i="5"/>
  <c r="P11" i="5"/>
  <c r="P12" i="5" s="1"/>
  <c r="L10" i="5"/>
  <c r="K9" i="5"/>
  <c r="K11" i="5" s="1"/>
  <c r="K12" i="5" s="1"/>
  <c r="M10" i="5"/>
  <c r="L9" i="5"/>
  <c r="L11" i="5" s="1"/>
  <c r="L12" i="5" s="1"/>
  <c r="N10" i="5"/>
  <c r="M9" i="5"/>
  <c r="M11" i="5" s="1"/>
  <c r="M12" i="5" s="1"/>
  <c r="O10" i="5"/>
  <c r="O11" i="5" s="1"/>
  <c r="O12" i="5" s="1"/>
  <c r="N9" i="5"/>
  <c r="N16" i="4"/>
  <c r="N17" i="4" s="1"/>
  <c r="P11" i="4"/>
  <c r="O16" i="4"/>
  <c r="O17" i="4" s="1"/>
  <c r="K12" i="4"/>
  <c r="M13" i="4"/>
  <c r="O14" i="4"/>
  <c r="L12" i="4"/>
  <c r="N13" i="4"/>
  <c r="P14" i="4"/>
  <c r="O11" i="4"/>
  <c r="K11" i="4"/>
  <c r="O13" i="4"/>
  <c r="L11" i="4"/>
  <c r="N12" i="4"/>
  <c r="P13" i="4"/>
  <c r="L15" i="4"/>
  <c r="M12" i="4"/>
  <c r="K15" i="4"/>
  <c r="M11" i="4"/>
  <c r="O12" i="4"/>
  <c r="K14" i="4"/>
  <c r="M15" i="4"/>
  <c r="L11" i="3"/>
  <c r="N12" i="3"/>
  <c r="P13" i="3"/>
  <c r="L15" i="3"/>
  <c r="N13" i="3"/>
  <c r="M11" i="3"/>
  <c r="M16" i="3" s="1"/>
  <c r="M17" i="3" s="1"/>
  <c r="O12" i="3"/>
  <c r="K14" i="3"/>
  <c r="M15" i="3"/>
  <c r="N11" i="3"/>
  <c r="P12" i="3"/>
  <c r="L14" i="3"/>
  <c r="N15" i="3"/>
  <c r="O13" i="3"/>
  <c r="O11" i="3"/>
  <c r="K13" i="3"/>
  <c r="K16" i="3" s="1"/>
  <c r="K17" i="3" s="1"/>
  <c r="M14" i="3"/>
  <c r="O15" i="3"/>
  <c r="P11" i="3"/>
  <c r="P16" i="3" s="1"/>
  <c r="P17" i="3" s="1"/>
  <c r="L13" i="3"/>
  <c r="L16" i="3" s="1"/>
  <c r="L17" i="3" s="1"/>
  <c r="N14" i="3"/>
  <c r="M13" i="1"/>
  <c r="M20" i="1" s="1"/>
  <c r="M21" i="1" s="1"/>
  <c r="L19" i="1"/>
  <c r="P17" i="1"/>
  <c r="N16" i="1"/>
  <c r="L15" i="1"/>
  <c r="N13" i="1"/>
  <c r="K19" i="1"/>
  <c r="O17" i="1"/>
  <c r="M16" i="1"/>
  <c r="K15" i="1"/>
  <c r="P19" i="1"/>
  <c r="N18" i="1"/>
  <c r="L17" i="1"/>
  <c r="P15" i="1"/>
  <c r="N14" i="1"/>
  <c r="P13" i="1"/>
  <c r="P20" i="1" s="1"/>
  <c r="P21" i="1" s="1"/>
  <c r="M17" i="1"/>
  <c r="O14" i="1"/>
  <c r="O20" i="1" s="1"/>
  <c r="O21" i="1" s="1"/>
  <c r="O19" i="1"/>
  <c r="M18" i="1"/>
  <c r="K17" i="1"/>
  <c r="O15" i="1"/>
  <c r="M14" i="1"/>
  <c r="K13" i="1"/>
  <c r="K20" i="1" s="1"/>
  <c r="K21" i="1" s="1"/>
  <c r="N19" i="1"/>
  <c r="N20" i="1" s="1"/>
  <c r="N21" i="1" s="1"/>
  <c r="L18" i="1"/>
  <c r="P16" i="1"/>
  <c r="N15" i="1"/>
  <c r="L14" i="1"/>
  <c r="O18" i="1"/>
  <c r="K16" i="1"/>
  <c r="L13" i="1"/>
  <c r="L20" i="1" s="1"/>
  <c r="K18" i="1"/>
  <c r="O16" i="1"/>
  <c r="M15" i="1"/>
  <c r="K14" i="1"/>
  <c r="J14" i="2"/>
  <c r="P28" i="2"/>
  <c r="N27" i="2"/>
  <c r="L26" i="2"/>
  <c r="P24" i="2"/>
  <c r="N23" i="2"/>
  <c r="L22" i="2"/>
  <c r="P20" i="2"/>
  <c r="L19" i="2"/>
  <c r="O28" i="2"/>
  <c r="M27" i="2"/>
  <c r="K26" i="2"/>
  <c r="O24" i="2"/>
  <c r="M23" i="2"/>
  <c r="K22" i="2"/>
  <c r="O20" i="2"/>
  <c r="L27" i="2"/>
  <c r="P21" i="2"/>
  <c r="O19" i="2"/>
  <c r="N29" i="2"/>
  <c r="L28" i="2"/>
  <c r="P26" i="2"/>
  <c r="N25" i="2"/>
  <c r="L24" i="2"/>
  <c r="P22" i="2"/>
  <c r="N21" i="2"/>
  <c r="L20" i="2"/>
  <c r="O29" i="2"/>
  <c r="P19" i="2"/>
  <c r="M29" i="2"/>
  <c r="K28" i="2"/>
  <c r="O26" i="2"/>
  <c r="M25" i="2"/>
  <c r="K24" i="2"/>
  <c r="O22" i="2"/>
  <c r="M21" i="2"/>
  <c r="K20" i="2"/>
  <c r="M19" i="2"/>
  <c r="P29" i="2"/>
  <c r="N24" i="2"/>
  <c r="N19" i="2"/>
  <c r="M28" i="2"/>
  <c r="O25" i="2"/>
  <c r="K23" i="2"/>
  <c r="O21" i="2"/>
  <c r="M20" i="2"/>
  <c r="K19" i="2"/>
  <c r="L29" i="2"/>
  <c r="P27" i="2"/>
  <c r="N26" i="2"/>
  <c r="L25" i="2"/>
  <c r="P23" i="2"/>
  <c r="N22" i="2"/>
  <c r="L21" i="2"/>
  <c r="N28" i="2"/>
  <c r="P25" i="2"/>
  <c r="L23" i="2"/>
  <c r="N20" i="2"/>
  <c r="K27" i="2"/>
  <c r="M24" i="2"/>
  <c r="O27" i="2"/>
  <c r="M26" i="2"/>
  <c r="K25" i="2"/>
  <c r="O23" i="2"/>
  <c r="M22" i="2"/>
  <c r="K21" i="2"/>
  <c r="K27" i="8" l="1"/>
  <c r="K28" i="8" s="1"/>
  <c r="M27" i="8"/>
  <c r="M28" i="8" s="1"/>
  <c r="O27" i="8"/>
  <c r="O28" i="8" s="1"/>
  <c r="N27" i="8"/>
  <c r="N28" i="8" s="1"/>
  <c r="L27" i="8"/>
  <c r="L28" i="8" s="1"/>
  <c r="P27" i="8"/>
  <c r="P28" i="8" s="1"/>
  <c r="N12" i="6"/>
  <c r="N13" i="6" s="1"/>
  <c r="L12" i="6"/>
  <c r="L13" i="6" s="1"/>
  <c r="N11" i="5"/>
  <c r="N12" i="5" s="1"/>
  <c r="L16" i="4"/>
  <c r="L17" i="4" s="1"/>
  <c r="M16" i="4"/>
  <c r="M17" i="4" s="1"/>
  <c r="K16" i="4"/>
  <c r="K17" i="4" s="1"/>
  <c r="P16" i="4"/>
  <c r="P17" i="4" s="1"/>
  <c r="O16" i="3"/>
  <c r="O17" i="3" s="1"/>
  <c r="N16" i="3"/>
  <c r="N17" i="3" s="1"/>
  <c r="L21" i="1"/>
  <c r="M30" i="2"/>
  <c r="J15" i="2"/>
  <c r="N30" i="2"/>
  <c r="O30" i="2"/>
  <c r="P30" i="2"/>
  <c r="K30" i="2"/>
  <c r="L30" i="2"/>
  <c r="O31" i="2" l="1"/>
  <c r="O32" i="2" s="1"/>
  <c r="O33" i="2" s="1"/>
  <c r="K31" i="2"/>
  <c r="K32" i="2" s="1"/>
  <c r="K33" i="2" s="1"/>
  <c r="L31" i="2"/>
  <c r="L32" i="2" s="1"/>
  <c r="L33" i="2" s="1"/>
  <c r="P31" i="2"/>
  <c r="P32" i="2" s="1"/>
  <c r="P33" i="2" s="1"/>
  <c r="M31" i="2"/>
  <c r="M32" i="2" s="1"/>
  <c r="M33" i="2" s="1"/>
  <c r="N31" i="2"/>
  <c r="N32" i="2" s="1"/>
  <c r="N33" i="2" s="1"/>
</calcChain>
</file>

<file path=xl/sharedStrings.xml><?xml version="1.0" encoding="utf-8"?>
<sst xmlns="http://schemas.openxmlformats.org/spreadsheetml/2006/main" count="421" uniqueCount="79">
  <si>
    <t>ÁGUAS FORMOSAS</t>
  </si>
  <si>
    <t>BERTÓPOLIS</t>
  </si>
  <si>
    <t>CRISÓLITA</t>
  </si>
  <si>
    <t>FRONTEIRA DOS VALES</t>
  </si>
  <si>
    <t>MACHACALIS</t>
  </si>
  <si>
    <t>PAVÃO</t>
  </si>
  <si>
    <t>SANTA HELENA DE MINAS</t>
  </si>
  <si>
    <t>UMBURATIBA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</si>
  <si>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</si>
  <si>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</si>
  <si>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</si>
  <si>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</si>
  <si>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</si>
  <si>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</si>
  <si>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</si>
  <si>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</si>
  <si>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ALMENARA</t>
  </si>
  <si>
    <t>BANDEIRA</t>
  </si>
  <si>
    <t>FELISBURGO</t>
  </si>
  <si>
    <t>JACINTO</t>
  </si>
  <si>
    <t>JEQUITINHONHA</t>
  </si>
  <si>
    <t>JOAÍMA</t>
  </si>
  <si>
    <t>JORDÂNIA</t>
  </si>
  <si>
    <t>MATA VERDE</t>
  </si>
  <si>
    <t>PALMÓPOLIS</t>
  </si>
  <si>
    <t>RIO DO PRADO</t>
  </si>
  <si>
    <t>RUBIM</t>
  </si>
  <si>
    <t>SALTO DA DIVISA</t>
  </si>
  <si>
    <t>SANTA MARIA DO SALTO</t>
  </si>
  <si>
    <t>SANTO ANTÔNIO DO JACINTO</t>
  </si>
  <si>
    <t>ITAMBACURI</t>
  </si>
  <si>
    <t>CAMPANÁRIO</t>
  </si>
  <si>
    <t>FREI GASPAR</t>
  </si>
  <si>
    <t>NOVA MÓDICA</t>
  </si>
  <si>
    <t>PESCADOR</t>
  </si>
  <si>
    <t>SÃO JOSÉ DO DIVINO</t>
  </si>
  <si>
    <t>ITAOBIM</t>
  </si>
  <si>
    <t>COMERCINHO</t>
  </si>
  <si>
    <t>ITINGA</t>
  </si>
  <si>
    <t>MEDINA</t>
  </si>
  <si>
    <t>MONTE FORMOSO</t>
  </si>
  <si>
    <t>PONTO DOS VOLANTES</t>
  </si>
  <si>
    <t>NANUQUE</t>
  </si>
  <si>
    <t>CARLOS CHAGAS</t>
  </si>
  <si>
    <t>SERRA DOS AIMORÉS</t>
  </si>
  <si>
    <t>PADRE PARAÍSO</t>
  </si>
  <si>
    <t>CARAÍ</t>
  </si>
  <si>
    <t>CATUJI</t>
  </si>
  <si>
    <t>ITAIPÉ</t>
  </si>
  <si>
    <t>PEDRA AZUL</t>
  </si>
  <si>
    <t>ÁGUAS VERMELHAS</t>
  </si>
  <si>
    <t>CACHOEIRA DE PAJEÚ</t>
  </si>
  <si>
    <t>DIVISA ALEGRE</t>
  </si>
  <si>
    <t>DIVISÓPOLIS</t>
  </si>
  <si>
    <t>ANGELÂNDIA</t>
  </si>
  <si>
    <t>ATALÉIA</t>
  </si>
  <si>
    <t>FRANCISCÓPOLIS</t>
  </si>
  <si>
    <t>LADAINHA</t>
  </si>
  <si>
    <t>MALACACHETA</t>
  </si>
  <si>
    <t>NOVO CRUZEIRO</t>
  </si>
  <si>
    <t>NOVO ORIENTE DE MINAS</t>
  </si>
  <si>
    <t>OURO VERDE DE MINAS</t>
  </si>
  <si>
    <t>POTÉ</t>
  </si>
  <si>
    <t>SETUBINHA</t>
  </si>
  <si>
    <t>TEÓFILO OTONI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</si>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</sst>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2" fontId="0" fillId="0" borderId="2" xfId="0" applyNumberFormat="1" applyBorder="1"/>
    <xf numFmtId="0" fontId="0" fillId="8" borderId="1" xfId="0" applyFill="1" applyBorder="1"/>
    <xf numFmtId="0" fontId="2" fillId="7" borderId="1" xfId="0" applyFont="1" applyFill="1" applyBorder="1"/>
    <xf numFmtId="0" fontId="0" fillId="8" borderId="1" xfId="0" applyFill="1" applyBorder="1" applyAlignment="1">
      <alignment horizontal="left" indent="2"/>
    </xf>
    <xf numFmtId="0" fontId="2" fillId="7" borderId="1" xfId="0" applyFont="1" applyFill="1" applyBorder="1" applyAlignment="1">
      <alignment horizontal="left" indent="2"/>
    </xf>
    <xf numFmtId="2" fontId="0" fillId="0" borderId="1" xfId="1" applyNumberFormat="1" applyFont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'ÁGUAS FORMOSAS'!$J$1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'ÁGUAS FORMOSAS'!$I$2:$I$9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xVal>
          <c:yVal>
            <c:numRef>
              <c:f>'ÁGUAS FORMOSAS'!$J$2:$J$9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80-4DD3-B211-74B3FCD0BA20}"/>
            </c:ext>
          </c:extLst>
        </c:ser>
        <c:ser>
          <c:idx val="1"/>
          <c:order val="1"/>
          <c:tx>
            <c:strRef>
              <c:f>'ÁGUAS FORMOSAS'!$K$1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'ÁGUAS FORMOSAS'!$I$2:$I$9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xVal>
          <c:yVal>
            <c:numRef>
              <c:f>'ÁGUAS FORMOSAS'!$K$2:$K$9</c:f>
              <c:numCache>
                <c:formatCode>0.00</c:formatCode>
                <c:ptCount val="8"/>
                <c:pt idx="0">
                  <c:v>0</c:v>
                </c:pt>
                <c:pt idx="1">
                  <c:v>4.6153846153846156E-2</c:v>
                </c:pt>
                <c:pt idx="2">
                  <c:v>0.15384615384615385</c:v>
                </c:pt>
                <c:pt idx="3">
                  <c:v>0.33846153846153848</c:v>
                </c:pt>
                <c:pt idx="4">
                  <c:v>0.38461538461538464</c:v>
                </c:pt>
                <c:pt idx="5">
                  <c:v>0.43076923076923079</c:v>
                </c:pt>
                <c:pt idx="6">
                  <c:v>0.52307692307692311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80-4DD3-B211-74B3FCD0BA20}"/>
            </c:ext>
          </c:extLst>
        </c:ser>
        <c:ser>
          <c:idx val="2"/>
          <c:order val="2"/>
          <c:tx>
            <c:strRef>
              <c:f>'ÁGUAS FORMOSAS'!$L$1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'ÁGUAS FORMOSAS'!$I$2:$I$9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xVal>
          <c:yVal>
            <c:numRef>
              <c:f>'ÁGUAS FORMOSAS'!$L$2:$L$9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0.2</c:v>
                </c:pt>
                <c:pt idx="4">
                  <c:v>0.26666666666666666</c:v>
                </c:pt>
                <c:pt idx="5">
                  <c:v>0.33333333333333331</c:v>
                </c:pt>
                <c:pt idx="6">
                  <c:v>0.46666666666666667</c:v>
                </c:pt>
                <c:pt idx="7">
                  <c:v>0.99999999999999967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80-4DD3-B211-74B3FCD0BA20}"/>
            </c:ext>
          </c:extLst>
        </c:ser>
        <c:ser>
          <c:idx val="3"/>
          <c:order val="3"/>
          <c:tx>
            <c:strRef>
              <c:f>'ÁGUAS FORMOSAS'!$M$1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'ÁGUAS FORMOSAS'!$I$2:$I$9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xVal>
          <c:yVal>
            <c:numRef>
              <c:f>'ÁGUAS FORMOSAS'!$M$2:$M$9</c:f>
              <c:numCache>
                <c:formatCode>0.00</c:formatCode>
                <c:ptCount val="8"/>
                <c:pt idx="0">
                  <c:v>4.6728971962616821E-2</c:v>
                </c:pt>
                <c:pt idx="1">
                  <c:v>0.15887850467289719</c:v>
                </c:pt>
                <c:pt idx="2">
                  <c:v>0.28037383177570091</c:v>
                </c:pt>
                <c:pt idx="3">
                  <c:v>0.38317757009345793</c:v>
                </c:pt>
                <c:pt idx="4">
                  <c:v>0.44859813084112149</c:v>
                </c:pt>
                <c:pt idx="5">
                  <c:v>0.56074766355140182</c:v>
                </c:pt>
                <c:pt idx="6">
                  <c:v>0.65420560747663548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80-4DD3-B211-74B3FCD0B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21216"/>
        <c:axId val="154330336"/>
      </c:scatterChart>
      <c:valAx>
        <c:axId val="15432121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30336"/>
        <c:crosses val="autoZero"/>
        <c:crossBetween val="midCat"/>
      </c:valAx>
      <c:valAx>
        <c:axId val="1543303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21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'ÁGUAS FORMOSAS'!$J$1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'ÁGUAS FORMOSAS'!$I$2:$I$9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xVal>
          <c:yVal>
            <c:numRef>
              <c:f>'ÁGUAS FORMOSAS'!$J$2:$J$9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77-4E7C-8907-C177737ACC13}"/>
            </c:ext>
          </c:extLst>
        </c:ser>
        <c:ser>
          <c:idx val="1"/>
          <c:order val="1"/>
          <c:tx>
            <c:strRef>
              <c:f>'ÁGUAS FORMOSAS'!$N$1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'ÁGUAS FORMOSAS'!$I$2:$I$9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xVal>
          <c:yVal>
            <c:numRef>
              <c:f>'ÁGUAS FORMOSAS'!$N$2:$N$9</c:f>
              <c:numCache>
                <c:formatCode>0.00</c:formatCode>
                <c:ptCount val="8"/>
                <c:pt idx="0">
                  <c:v>3.3653846153846152E-2</c:v>
                </c:pt>
                <c:pt idx="1">
                  <c:v>9.6153846153846145E-2</c:v>
                </c:pt>
                <c:pt idx="2">
                  <c:v>0.16346153846153844</c:v>
                </c:pt>
                <c:pt idx="3">
                  <c:v>0.27884615384615385</c:v>
                </c:pt>
                <c:pt idx="4">
                  <c:v>0.37980769230769229</c:v>
                </c:pt>
                <c:pt idx="5">
                  <c:v>0.53846153846153844</c:v>
                </c:pt>
                <c:pt idx="6">
                  <c:v>0.61057692307692302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77-4E7C-8907-C177737ACC13}"/>
            </c:ext>
          </c:extLst>
        </c:ser>
        <c:ser>
          <c:idx val="2"/>
          <c:order val="2"/>
          <c:tx>
            <c:strRef>
              <c:f>'ÁGUAS FORMOSAS'!$O$1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'ÁGUAS FORMOSAS'!$I$2:$I$9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xVal>
          <c:yVal>
            <c:numRef>
              <c:f>'ÁGUAS FORMOSAS'!$O$2:$O$9</c:f>
              <c:numCache>
                <c:formatCode>0.00</c:formatCode>
                <c:ptCount val="8"/>
                <c:pt idx="0">
                  <c:v>2.6086956521739129E-2</c:v>
                </c:pt>
                <c:pt idx="1">
                  <c:v>6.9565217391304349E-2</c:v>
                </c:pt>
                <c:pt idx="2">
                  <c:v>0.14782608695652175</c:v>
                </c:pt>
                <c:pt idx="3">
                  <c:v>0.27826086956521739</c:v>
                </c:pt>
                <c:pt idx="4">
                  <c:v>0.38260869565217392</c:v>
                </c:pt>
                <c:pt idx="5">
                  <c:v>0.45217391304347826</c:v>
                </c:pt>
                <c:pt idx="6">
                  <c:v>0.53913043478260869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77-4E7C-8907-C177737ACC13}"/>
            </c:ext>
          </c:extLst>
        </c:ser>
        <c:ser>
          <c:idx val="3"/>
          <c:order val="3"/>
          <c:tx>
            <c:strRef>
              <c:f>'ÁGUAS FORMOSAS'!$P$1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'ÁGUAS FORMOSAS'!$I$2:$I$9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xVal>
          <c:yVal>
            <c:numRef>
              <c:f>'ÁGUAS FORMOSAS'!$P$2:$P$9</c:f>
              <c:numCache>
                <c:formatCode>0.00</c:formatCode>
                <c:ptCount val="8"/>
                <c:pt idx="0">
                  <c:v>6.8181818181818177E-2</c:v>
                </c:pt>
                <c:pt idx="1">
                  <c:v>0.14772727272727271</c:v>
                </c:pt>
                <c:pt idx="2">
                  <c:v>0.19318181818181818</c:v>
                </c:pt>
                <c:pt idx="3">
                  <c:v>0.28409090909090906</c:v>
                </c:pt>
                <c:pt idx="4">
                  <c:v>0.375</c:v>
                </c:pt>
                <c:pt idx="5">
                  <c:v>0.52272727272727271</c:v>
                </c:pt>
                <c:pt idx="6">
                  <c:v>0.59090909090909083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77-4E7C-8907-C177737AC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152912"/>
        <c:axId val="525146192"/>
      </c:scatterChart>
      <c:valAx>
        <c:axId val="5251529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46192"/>
        <c:crosses val="autoZero"/>
        <c:crossBetween val="midCat"/>
      </c:valAx>
      <c:valAx>
        <c:axId val="5251461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52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'ALMENARA-JACINTO'!$J$1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'ALMENARA-JACINTO'!$I$2:$I$15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xVal>
          <c:yVal>
            <c:numRef>
              <c:f>'ALMENARA-JACINTO'!$J$2:$J$15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CA-43C4-A87D-B8691A90713B}"/>
            </c:ext>
          </c:extLst>
        </c:ser>
        <c:ser>
          <c:idx val="1"/>
          <c:order val="1"/>
          <c:tx>
            <c:strRef>
              <c:f>'ALMENARA-JACINTO'!$K$1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'ALMENARA-JACINTO'!$I$2:$I$15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xVal>
          <c:yVal>
            <c:numRef>
              <c:f>'ALMENARA-JACINTO'!$K$2:$K$15</c:f>
              <c:numCache>
                <c:formatCode>0.00</c:formatCode>
                <c:ptCount val="14"/>
                <c:pt idx="0">
                  <c:v>5.3658536585365853E-2</c:v>
                </c:pt>
                <c:pt idx="1">
                  <c:v>7.8048780487804878E-2</c:v>
                </c:pt>
                <c:pt idx="2">
                  <c:v>0.11219512195121951</c:v>
                </c:pt>
                <c:pt idx="3">
                  <c:v>0.16585365853658537</c:v>
                </c:pt>
                <c:pt idx="4">
                  <c:v>0.2</c:v>
                </c:pt>
                <c:pt idx="5">
                  <c:v>0.26097560975609757</c:v>
                </c:pt>
                <c:pt idx="6">
                  <c:v>0.3</c:v>
                </c:pt>
                <c:pt idx="7">
                  <c:v>0.34634146341463412</c:v>
                </c:pt>
                <c:pt idx="8">
                  <c:v>0.38536585365853654</c:v>
                </c:pt>
                <c:pt idx="9">
                  <c:v>0.48292682926829267</c:v>
                </c:pt>
                <c:pt idx="10">
                  <c:v>0.57073170731707312</c:v>
                </c:pt>
                <c:pt idx="11">
                  <c:v>0.68292682926829262</c:v>
                </c:pt>
                <c:pt idx="12">
                  <c:v>0.74390243902439024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CA-43C4-A87D-B8691A90713B}"/>
            </c:ext>
          </c:extLst>
        </c:ser>
        <c:ser>
          <c:idx val="2"/>
          <c:order val="2"/>
          <c:tx>
            <c:strRef>
              <c:f>'ALMENARA-JACINTO'!$L$1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'ALMENARA-JACINTO'!$I$2:$I$15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xVal>
          <c:yVal>
            <c:numRef>
              <c:f>'ALMENARA-JACINTO'!$L$2:$L$15</c:f>
              <c:numCache>
                <c:formatCode>0.00</c:formatCode>
                <c:ptCount val="14"/>
                <c:pt idx="0">
                  <c:v>3.0769230769230771E-2</c:v>
                </c:pt>
                <c:pt idx="1">
                  <c:v>6.1538461538461542E-2</c:v>
                </c:pt>
                <c:pt idx="2">
                  <c:v>6.9230769230769235E-2</c:v>
                </c:pt>
                <c:pt idx="3">
                  <c:v>0.15384615384615385</c:v>
                </c:pt>
                <c:pt idx="4">
                  <c:v>0.19230769230769232</c:v>
                </c:pt>
                <c:pt idx="5">
                  <c:v>0.23846153846153847</c:v>
                </c:pt>
                <c:pt idx="6">
                  <c:v>0.26153846153846155</c:v>
                </c:pt>
                <c:pt idx="7">
                  <c:v>0.2846153846153846</c:v>
                </c:pt>
                <c:pt idx="8">
                  <c:v>0.30769230769230771</c:v>
                </c:pt>
                <c:pt idx="9">
                  <c:v>0.37692307692307692</c:v>
                </c:pt>
                <c:pt idx="10">
                  <c:v>0.57692307692307687</c:v>
                </c:pt>
                <c:pt idx="11">
                  <c:v>0.72307692307692306</c:v>
                </c:pt>
                <c:pt idx="12">
                  <c:v>0.76923076923076916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CA-43C4-A87D-B8691A90713B}"/>
            </c:ext>
          </c:extLst>
        </c:ser>
        <c:ser>
          <c:idx val="3"/>
          <c:order val="3"/>
          <c:tx>
            <c:strRef>
              <c:f>'ALMENARA-JACINTO'!$M$1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'ALMENARA-JACINTO'!$I$2:$I$15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xVal>
          <c:yVal>
            <c:numRef>
              <c:f>'ALMENARA-JACINTO'!$M$2:$M$15</c:f>
              <c:numCache>
                <c:formatCode>0.00</c:formatCode>
                <c:ptCount val="14"/>
                <c:pt idx="0">
                  <c:v>5.1643192488262914E-2</c:v>
                </c:pt>
                <c:pt idx="1">
                  <c:v>7.0422535211267609E-2</c:v>
                </c:pt>
                <c:pt idx="2">
                  <c:v>8.4507042253521125E-2</c:v>
                </c:pt>
                <c:pt idx="3">
                  <c:v>0.12676056338028169</c:v>
                </c:pt>
                <c:pt idx="4">
                  <c:v>0.16901408450704225</c:v>
                </c:pt>
                <c:pt idx="5">
                  <c:v>0.20187793427230047</c:v>
                </c:pt>
                <c:pt idx="6">
                  <c:v>0.23474178403755869</c:v>
                </c:pt>
                <c:pt idx="7">
                  <c:v>0.28638497652582162</c:v>
                </c:pt>
                <c:pt idx="8">
                  <c:v>0.30516431924882631</c:v>
                </c:pt>
                <c:pt idx="9">
                  <c:v>0.37558685446009393</c:v>
                </c:pt>
                <c:pt idx="10">
                  <c:v>0.48826291079812212</c:v>
                </c:pt>
                <c:pt idx="11">
                  <c:v>0.56338028169014087</c:v>
                </c:pt>
                <c:pt idx="12">
                  <c:v>0.62441314553990612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CA-43C4-A87D-B8691A907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097632"/>
        <c:axId val="424086112"/>
      </c:scatterChart>
      <c:valAx>
        <c:axId val="4240976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86112"/>
        <c:crosses val="autoZero"/>
        <c:crossBetween val="midCat"/>
      </c:valAx>
      <c:valAx>
        <c:axId val="4240861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97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'ALMENARA-JACINTO'!$J$1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'ALMENARA-JACINTO'!$I$2:$I$15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xVal>
          <c:yVal>
            <c:numRef>
              <c:f>'ALMENARA-JACINTO'!$J$2:$J$15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55-4F8C-86A7-B5972EDA59B6}"/>
            </c:ext>
          </c:extLst>
        </c:ser>
        <c:ser>
          <c:idx val="1"/>
          <c:order val="1"/>
          <c:tx>
            <c:strRef>
              <c:f>'ALMENARA-JACINTO'!$N$1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'ALMENARA-JACINTO'!$I$2:$I$15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xVal>
          <c:yVal>
            <c:numRef>
              <c:f>'ALMENARA-JACINTO'!$N$2:$N$15</c:f>
              <c:numCache>
                <c:formatCode>0.00</c:formatCode>
                <c:ptCount val="14"/>
                <c:pt idx="0">
                  <c:v>3.2258064516129031E-2</c:v>
                </c:pt>
                <c:pt idx="1">
                  <c:v>0.11935483870967742</c:v>
                </c:pt>
                <c:pt idx="2">
                  <c:v>0.14193548387096774</c:v>
                </c:pt>
                <c:pt idx="3">
                  <c:v>0.17258064516129032</c:v>
                </c:pt>
                <c:pt idx="4">
                  <c:v>0.21129032258064517</c:v>
                </c:pt>
                <c:pt idx="5">
                  <c:v>0.27419354838709675</c:v>
                </c:pt>
                <c:pt idx="6">
                  <c:v>0.32258064516129031</c:v>
                </c:pt>
                <c:pt idx="7">
                  <c:v>0.40645161290322579</c:v>
                </c:pt>
                <c:pt idx="8">
                  <c:v>0.4467741935483871</c:v>
                </c:pt>
                <c:pt idx="9">
                  <c:v>0.49677419354838709</c:v>
                </c:pt>
                <c:pt idx="10">
                  <c:v>0.56451612903225801</c:v>
                </c:pt>
                <c:pt idx="11">
                  <c:v>0.62419354838709673</c:v>
                </c:pt>
                <c:pt idx="12">
                  <c:v>0.77419354838709675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55-4F8C-86A7-B5972EDA59B6}"/>
            </c:ext>
          </c:extLst>
        </c:ser>
        <c:ser>
          <c:idx val="2"/>
          <c:order val="2"/>
          <c:tx>
            <c:strRef>
              <c:f>'ALMENARA-JACINTO'!$O$1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'ALMENARA-JACINTO'!$I$2:$I$15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xVal>
          <c:yVal>
            <c:numRef>
              <c:f>'ALMENARA-JACINTO'!$O$2:$O$15</c:f>
              <c:numCache>
                <c:formatCode>0.00</c:formatCode>
                <c:ptCount val="14"/>
                <c:pt idx="0">
                  <c:v>2.8301886792452831E-2</c:v>
                </c:pt>
                <c:pt idx="1">
                  <c:v>7.8616352201257872E-2</c:v>
                </c:pt>
                <c:pt idx="2">
                  <c:v>0.11635220125786164</c:v>
                </c:pt>
                <c:pt idx="3">
                  <c:v>0.19496855345911951</c:v>
                </c:pt>
                <c:pt idx="4">
                  <c:v>0.21698113207547171</c:v>
                </c:pt>
                <c:pt idx="5">
                  <c:v>0.27044025157232704</c:v>
                </c:pt>
                <c:pt idx="6">
                  <c:v>0.33647798742138363</c:v>
                </c:pt>
                <c:pt idx="7">
                  <c:v>0.4213836477987421</c:v>
                </c:pt>
                <c:pt idx="8">
                  <c:v>0.44968553459119492</c:v>
                </c:pt>
                <c:pt idx="9">
                  <c:v>0.52830188679245282</c:v>
                </c:pt>
                <c:pt idx="10">
                  <c:v>0.61006289308176098</c:v>
                </c:pt>
                <c:pt idx="11">
                  <c:v>0.62893081761006286</c:v>
                </c:pt>
                <c:pt idx="12">
                  <c:v>0.75786163522012573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55-4F8C-86A7-B5972EDA59B6}"/>
            </c:ext>
          </c:extLst>
        </c:ser>
        <c:ser>
          <c:idx val="3"/>
          <c:order val="3"/>
          <c:tx>
            <c:strRef>
              <c:f>'ALMENARA-JACINTO'!$P$1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'ALMENARA-JACINTO'!$I$2:$I$15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xVal>
          <c:yVal>
            <c:numRef>
              <c:f>'ALMENARA-JACINTO'!$P$2:$P$15</c:f>
              <c:numCache>
                <c:formatCode>0.00</c:formatCode>
                <c:ptCount val="14"/>
                <c:pt idx="0">
                  <c:v>0.05</c:v>
                </c:pt>
                <c:pt idx="1">
                  <c:v>9.5000000000000001E-2</c:v>
                </c:pt>
                <c:pt idx="2">
                  <c:v>0.125</c:v>
                </c:pt>
                <c:pt idx="3">
                  <c:v>0.15</c:v>
                </c:pt>
                <c:pt idx="4">
                  <c:v>0.19</c:v>
                </c:pt>
                <c:pt idx="5">
                  <c:v>0.25</c:v>
                </c:pt>
                <c:pt idx="6">
                  <c:v>0.33500000000000002</c:v>
                </c:pt>
                <c:pt idx="7">
                  <c:v>0.35500000000000004</c:v>
                </c:pt>
                <c:pt idx="8">
                  <c:v>0.42500000000000004</c:v>
                </c:pt>
                <c:pt idx="9">
                  <c:v>0.47000000000000003</c:v>
                </c:pt>
                <c:pt idx="10">
                  <c:v>0.58500000000000008</c:v>
                </c:pt>
                <c:pt idx="11">
                  <c:v>0.70500000000000007</c:v>
                </c:pt>
                <c:pt idx="12">
                  <c:v>0.78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555-4F8C-86A7-B5972EDA5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99744"/>
        <c:axId val="158200224"/>
      </c:scatterChart>
      <c:valAx>
        <c:axId val="158199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200224"/>
        <c:crosses val="autoZero"/>
        <c:crossBetween val="midCat"/>
      </c:valAx>
      <c:valAx>
        <c:axId val="15820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199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ITAMBACURI!$J$1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ITAMBACURI!$I$2:$I$7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xVal>
          <c:yVal>
            <c:numRef>
              <c:f>ITAMBACURI!$J$2:$J$7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B6-459C-9380-6B2E3B6E24F3}"/>
            </c:ext>
          </c:extLst>
        </c:ser>
        <c:ser>
          <c:idx val="1"/>
          <c:order val="1"/>
          <c:tx>
            <c:strRef>
              <c:f>ITAMBACURI!$K$1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ITAMBACURI!$I$2:$I$7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xVal>
          <c:yVal>
            <c:numRef>
              <c:f>ITAMBACURI!$K$2:$K$7</c:f>
              <c:numCache>
                <c:formatCode>0.00</c:formatCode>
                <c:ptCount val="6"/>
                <c:pt idx="0">
                  <c:v>0.17857142857142858</c:v>
                </c:pt>
                <c:pt idx="1">
                  <c:v>0.27380952380952384</c:v>
                </c:pt>
                <c:pt idx="2">
                  <c:v>0.3392857142857143</c:v>
                </c:pt>
                <c:pt idx="3">
                  <c:v>0.39880952380952384</c:v>
                </c:pt>
                <c:pt idx="4">
                  <c:v>0.57738095238095244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B6-459C-9380-6B2E3B6E24F3}"/>
            </c:ext>
          </c:extLst>
        </c:ser>
        <c:ser>
          <c:idx val="2"/>
          <c:order val="2"/>
          <c:tx>
            <c:strRef>
              <c:f>ITAMBACURI!$L$1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ITAMBACURI!$I$2:$I$7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xVal>
          <c:yVal>
            <c:numRef>
              <c:f>ITAMBACURI!$L$2:$L$7</c:f>
              <c:numCache>
                <c:formatCode>0.00</c:formatCode>
                <c:ptCount val="6"/>
                <c:pt idx="0">
                  <c:v>0.16049382716049382</c:v>
                </c:pt>
                <c:pt idx="1">
                  <c:v>0.22222222222222221</c:v>
                </c:pt>
                <c:pt idx="2">
                  <c:v>0.23456790123456789</c:v>
                </c:pt>
                <c:pt idx="3">
                  <c:v>0.37037037037037035</c:v>
                </c:pt>
                <c:pt idx="4">
                  <c:v>0.49382716049382713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B6-459C-9380-6B2E3B6E24F3}"/>
            </c:ext>
          </c:extLst>
        </c:ser>
        <c:ser>
          <c:idx val="3"/>
          <c:order val="3"/>
          <c:tx>
            <c:strRef>
              <c:f>ITAMBACURI!$M$1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ITAMBACURI!$I$2:$I$7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xVal>
          <c:yVal>
            <c:numRef>
              <c:f>ITAMBACURI!$M$2:$M$7</c:f>
              <c:numCache>
                <c:formatCode>0.00</c:formatCode>
                <c:ptCount val="6"/>
                <c:pt idx="0">
                  <c:v>0.23529411764705882</c:v>
                </c:pt>
                <c:pt idx="1">
                  <c:v>0.32941176470588235</c:v>
                </c:pt>
                <c:pt idx="2">
                  <c:v>0.4</c:v>
                </c:pt>
                <c:pt idx="3">
                  <c:v>0.47058823529411764</c:v>
                </c:pt>
                <c:pt idx="4">
                  <c:v>0.6588235294117647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B6-459C-9380-6B2E3B6E2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145232"/>
        <c:axId val="525163472"/>
      </c:scatterChart>
      <c:valAx>
        <c:axId val="5251452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63472"/>
        <c:crosses val="autoZero"/>
        <c:crossBetween val="midCat"/>
      </c:valAx>
      <c:valAx>
        <c:axId val="5251634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45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ITAMBACURI!$J$1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ITAMBACURI!$I$2:$I$7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xVal>
          <c:yVal>
            <c:numRef>
              <c:f>ITAMBACURI!$J$2:$J$7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31-40B2-8DF8-D8F95057F601}"/>
            </c:ext>
          </c:extLst>
        </c:ser>
        <c:ser>
          <c:idx val="1"/>
          <c:order val="1"/>
          <c:tx>
            <c:strRef>
              <c:f>ITAMBACURI!$N$1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ITAMBACURI!$I$2:$I$7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xVal>
          <c:yVal>
            <c:numRef>
              <c:f>ITAMBACURI!$N$2:$N$7</c:f>
              <c:numCache>
                <c:formatCode>0.00</c:formatCode>
                <c:ptCount val="6"/>
                <c:pt idx="0">
                  <c:v>0.19727891156462585</c:v>
                </c:pt>
                <c:pt idx="1">
                  <c:v>0.31972789115646261</c:v>
                </c:pt>
                <c:pt idx="2">
                  <c:v>0.34693877551020408</c:v>
                </c:pt>
                <c:pt idx="3">
                  <c:v>0.44217687074829931</c:v>
                </c:pt>
                <c:pt idx="4">
                  <c:v>0.58503401360544216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31-40B2-8DF8-D8F95057F601}"/>
            </c:ext>
          </c:extLst>
        </c:ser>
        <c:ser>
          <c:idx val="2"/>
          <c:order val="2"/>
          <c:tx>
            <c:strRef>
              <c:f>ITAMBACURI!$O$1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ITAMBACURI!$I$2:$I$7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xVal>
          <c:yVal>
            <c:numRef>
              <c:f>ITAMBACURI!$O$2:$O$7</c:f>
              <c:numCache>
                <c:formatCode>0.00</c:formatCode>
                <c:ptCount val="6"/>
                <c:pt idx="0">
                  <c:v>7.6923076923076927E-2</c:v>
                </c:pt>
                <c:pt idx="1">
                  <c:v>0.21794871794871795</c:v>
                </c:pt>
                <c:pt idx="2">
                  <c:v>0.26282051282051283</c:v>
                </c:pt>
                <c:pt idx="3">
                  <c:v>0.37179487179487181</c:v>
                </c:pt>
                <c:pt idx="4">
                  <c:v>0.51282051282051277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B31-40B2-8DF8-D8F95057F601}"/>
            </c:ext>
          </c:extLst>
        </c:ser>
        <c:ser>
          <c:idx val="3"/>
          <c:order val="3"/>
          <c:tx>
            <c:strRef>
              <c:f>ITAMBACURI!$P$1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ITAMBACURI!$I$2:$I$7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xVal>
          <c:yVal>
            <c:numRef>
              <c:f>ITAMBACURI!$P$2:$P$7</c:f>
              <c:numCache>
                <c:formatCode>0.00</c:formatCode>
                <c:ptCount val="6"/>
                <c:pt idx="0">
                  <c:v>7.3529411764705885E-2</c:v>
                </c:pt>
                <c:pt idx="1">
                  <c:v>0.16176470588235295</c:v>
                </c:pt>
                <c:pt idx="2">
                  <c:v>0.22058823529411764</c:v>
                </c:pt>
                <c:pt idx="3">
                  <c:v>0.27941176470588236</c:v>
                </c:pt>
                <c:pt idx="4">
                  <c:v>0.48529411764705882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B31-40B2-8DF8-D8F95057F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299264"/>
        <c:axId val="297282944"/>
      </c:scatterChart>
      <c:valAx>
        <c:axId val="2972992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282944"/>
        <c:crosses val="autoZero"/>
        <c:crossBetween val="midCat"/>
      </c:valAx>
      <c:valAx>
        <c:axId val="2972829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29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ITAOBIM!$J$1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ITAOBIM!$I$2:$I$7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xVal>
          <c:yVal>
            <c:numRef>
              <c:f>ITAOBIM!$J$2:$J$7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0B-4503-99D4-9F6039EDB185}"/>
            </c:ext>
          </c:extLst>
        </c:ser>
        <c:ser>
          <c:idx val="1"/>
          <c:order val="1"/>
          <c:tx>
            <c:strRef>
              <c:f>ITAOBIM!$K$1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ITAOBIM!$I$2:$I$7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xVal>
          <c:yVal>
            <c:numRef>
              <c:f>ITAOBIM!$K$2:$K$7</c:f>
              <c:numCache>
                <c:formatCode>0.00</c:formatCode>
                <c:ptCount val="6"/>
                <c:pt idx="0">
                  <c:v>0.112</c:v>
                </c:pt>
                <c:pt idx="1">
                  <c:v>0.21200000000000002</c:v>
                </c:pt>
                <c:pt idx="2">
                  <c:v>0.38400000000000001</c:v>
                </c:pt>
                <c:pt idx="3">
                  <c:v>0.57200000000000006</c:v>
                </c:pt>
                <c:pt idx="4">
                  <c:v>0.79200000000000004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0B-4503-99D4-9F6039EDB185}"/>
            </c:ext>
          </c:extLst>
        </c:ser>
        <c:ser>
          <c:idx val="2"/>
          <c:order val="2"/>
          <c:tx>
            <c:strRef>
              <c:f>ITAOBIM!$L$1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ITAOBIM!$I$2:$I$7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xVal>
          <c:yVal>
            <c:numRef>
              <c:f>ITAOBIM!$L$2:$L$7</c:f>
              <c:numCache>
                <c:formatCode>0.00</c:formatCode>
                <c:ptCount val="6"/>
                <c:pt idx="0">
                  <c:v>5.3333333333333337E-2</c:v>
                </c:pt>
                <c:pt idx="1">
                  <c:v>0.14666666666666667</c:v>
                </c:pt>
                <c:pt idx="2">
                  <c:v>0.29333333333333333</c:v>
                </c:pt>
                <c:pt idx="3">
                  <c:v>0.36</c:v>
                </c:pt>
                <c:pt idx="4">
                  <c:v>0.76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0B-4503-99D4-9F6039EDB185}"/>
            </c:ext>
          </c:extLst>
        </c:ser>
        <c:ser>
          <c:idx val="3"/>
          <c:order val="3"/>
          <c:tx>
            <c:strRef>
              <c:f>ITAOBIM!$M$1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ITAOBIM!$I$2:$I$7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xVal>
          <c:yVal>
            <c:numRef>
              <c:f>ITAOBIM!$M$2:$M$7</c:f>
              <c:numCache>
                <c:formatCode>0.00</c:formatCode>
                <c:ptCount val="6"/>
                <c:pt idx="0">
                  <c:v>4.0983606557377046E-2</c:v>
                </c:pt>
                <c:pt idx="1">
                  <c:v>0.13934426229508196</c:v>
                </c:pt>
                <c:pt idx="2">
                  <c:v>0.28688524590163933</c:v>
                </c:pt>
                <c:pt idx="3">
                  <c:v>0.47540983606557374</c:v>
                </c:pt>
                <c:pt idx="4">
                  <c:v>0.77049180327868849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0B-4503-99D4-9F6039EDB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70304"/>
        <c:axId val="85570784"/>
      </c:scatterChart>
      <c:valAx>
        <c:axId val="855703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570784"/>
        <c:crosses val="autoZero"/>
        <c:crossBetween val="midCat"/>
      </c:valAx>
      <c:valAx>
        <c:axId val="855707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570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ITAOBIM!$J$1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ITAOBIM!$I$2:$I$7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xVal>
          <c:yVal>
            <c:numRef>
              <c:f>ITAOBIM!$J$2:$J$7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67-4A35-BABA-784A4E53EA0F}"/>
            </c:ext>
          </c:extLst>
        </c:ser>
        <c:ser>
          <c:idx val="1"/>
          <c:order val="1"/>
          <c:tx>
            <c:strRef>
              <c:f>ITAOBIM!$N$1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ITAOBIM!$I$2:$I$7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xVal>
          <c:yVal>
            <c:numRef>
              <c:f>ITAOBIM!$N$2:$N$7</c:f>
              <c:numCache>
                <c:formatCode>0.00</c:formatCode>
                <c:ptCount val="6"/>
                <c:pt idx="0">
                  <c:v>4.810126582278481E-2</c:v>
                </c:pt>
                <c:pt idx="1">
                  <c:v>0.17215189873417722</c:v>
                </c:pt>
                <c:pt idx="2">
                  <c:v>0.31898734177215193</c:v>
                </c:pt>
                <c:pt idx="3">
                  <c:v>0.42784810126582284</c:v>
                </c:pt>
                <c:pt idx="4">
                  <c:v>0.8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67-4A35-BABA-784A4E53EA0F}"/>
            </c:ext>
          </c:extLst>
        </c:ser>
        <c:ser>
          <c:idx val="2"/>
          <c:order val="2"/>
          <c:tx>
            <c:strRef>
              <c:f>ITAOBIM!$O$1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ITAOBIM!$I$2:$I$7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xVal>
          <c:yVal>
            <c:numRef>
              <c:f>ITAOBIM!$O$2:$O$7</c:f>
              <c:numCache>
                <c:formatCode>0.00</c:formatCode>
                <c:ptCount val="6"/>
                <c:pt idx="0">
                  <c:v>5.9523809523809521E-2</c:v>
                </c:pt>
                <c:pt idx="1">
                  <c:v>0.11904761904761904</c:v>
                </c:pt>
                <c:pt idx="2">
                  <c:v>0.24206349206349204</c:v>
                </c:pt>
                <c:pt idx="3">
                  <c:v>0.40079365079365076</c:v>
                </c:pt>
                <c:pt idx="4">
                  <c:v>0.74603174603174605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B67-4A35-BABA-784A4E53EA0F}"/>
            </c:ext>
          </c:extLst>
        </c:ser>
        <c:ser>
          <c:idx val="3"/>
          <c:order val="3"/>
          <c:tx>
            <c:strRef>
              <c:f>ITAOBIM!$P$1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ITAOBIM!$I$2:$I$7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xVal>
          <c:yVal>
            <c:numRef>
              <c:f>ITAOBIM!$P$2:$P$7</c:f>
              <c:numCache>
                <c:formatCode>0.00</c:formatCode>
                <c:ptCount val="6"/>
                <c:pt idx="0">
                  <c:v>9.1743119266055051E-2</c:v>
                </c:pt>
                <c:pt idx="1">
                  <c:v>0.15596330275229359</c:v>
                </c:pt>
                <c:pt idx="2">
                  <c:v>0.29357798165137616</c:v>
                </c:pt>
                <c:pt idx="3">
                  <c:v>0.50458715596330284</c:v>
                </c:pt>
                <c:pt idx="4">
                  <c:v>0.84403669724770647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B67-4A35-BABA-784A4E53E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83264"/>
        <c:axId val="85573184"/>
      </c:scatterChart>
      <c:valAx>
        <c:axId val="855832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573184"/>
        <c:crosses val="autoZero"/>
        <c:crossBetween val="midCat"/>
      </c:valAx>
      <c:valAx>
        <c:axId val="855731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583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NANUQUE!$J$1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NANUQUE!$I$2:$I$4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xVal>
          <c:yVal>
            <c:numRef>
              <c:f>NANUQUE!$J$2:$J$4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A6-40A6-B058-E9D69770C914}"/>
            </c:ext>
          </c:extLst>
        </c:ser>
        <c:ser>
          <c:idx val="1"/>
          <c:order val="1"/>
          <c:tx>
            <c:strRef>
              <c:f>NANUQUE!$K$1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NANUQUE!$I$2:$I$4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xVal>
          <c:yVal>
            <c:numRef>
              <c:f>NANUQUE!$K$2:$K$4</c:f>
              <c:numCache>
                <c:formatCode>0.00</c:formatCode>
                <c:ptCount val="3"/>
                <c:pt idx="0">
                  <c:v>0.20930232558139536</c:v>
                </c:pt>
                <c:pt idx="1">
                  <c:v>0.59302325581395354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A6-40A6-B058-E9D69770C914}"/>
            </c:ext>
          </c:extLst>
        </c:ser>
        <c:ser>
          <c:idx val="2"/>
          <c:order val="2"/>
          <c:tx>
            <c:strRef>
              <c:f>NANUQUE!$L$1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NANUQUE!$I$2:$I$4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xVal>
          <c:yVal>
            <c:numRef>
              <c:f>NANUQUE!$L$2:$L$4</c:f>
              <c:numCache>
                <c:formatCode>0.00</c:formatCode>
                <c:ptCount val="3"/>
                <c:pt idx="0">
                  <c:v>0.12121212121212122</c:v>
                </c:pt>
                <c:pt idx="1">
                  <c:v>0.42424242424242425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A6-40A6-B058-E9D69770C914}"/>
            </c:ext>
          </c:extLst>
        </c:ser>
        <c:ser>
          <c:idx val="3"/>
          <c:order val="3"/>
          <c:tx>
            <c:strRef>
              <c:f>NANUQUE!$M$1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NANUQUE!$I$2:$I$4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xVal>
          <c:yVal>
            <c:numRef>
              <c:f>NANUQUE!$M$2:$M$4</c:f>
              <c:numCache>
                <c:formatCode>0.00</c:formatCode>
                <c:ptCount val="3"/>
                <c:pt idx="0">
                  <c:v>7.3684210526315783E-2</c:v>
                </c:pt>
                <c:pt idx="1">
                  <c:v>0.29473684210526313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1A6-40A6-B058-E9D69770C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247392"/>
        <c:axId val="217248832"/>
      </c:scatterChart>
      <c:valAx>
        <c:axId val="2172473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7248832"/>
        <c:crosses val="autoZero"/>
        <c:crossBetween val="midCat"/>
      </c:valAx>
      <c:valAx>
        <c:axId val="2172488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7247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NANUQUE!$J$1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NANUQUE!$I$2:$I$4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xVal>
          <c:yVal>
            <c:numRef>
              <c:f>NANUQUE!$J$2:$J$4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37-44AE-9721-EFE883C4CBE9}"/>
            </c:ext>
          </c:extLst>
        </c:ser>
        <c:ser>
          <c:idx val="1"/>
          <c:order val="1"/>
          <c:tx>
            <c:strRef>
              <c:f>NANUQUE!$N$1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NANUQUE!$I$2:$I$4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xVal>
          <c:yVal>
            <c:numRef>
              <c:f>NANUQUE!$N$2:$N$4</c:f>
              <c:numCache>
                <c:formatCode>0.00</c:formatCode>
                <c:ptCount val="3"/>
                <c:pt idx="0">
                  <c:v>9.3103448275862075E-2</c:v>
                </c:pt>
                <c:pt idx="1">
                  <c:v>0.25862068965517243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37-44AE-9721-EFE883C4CBE9}"/>
            </c:ext>
          </c:extLst>
        </c:ser>
        <c:ser>
          <c:idx val="2"/>
          <c:order val="2"/>
          <c:tx>
            <c:strRef>
              <c:f>NANUQUE!$O$1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NANUQUE!$I$2:$I$4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xVal>
          <c:yVal>
            <c:numRef>
              <c:f>NANUQUE!$O$2:$O$4</c:f>
              <c:numCache>
                <c:formatCode>0.00</c:formatCode>
                <c:ptCount val="3"/>
                <c:pt idx="0">
                  <c:v>5.0955414012738856E-2</c:v>
                </c:pt>
                <c:pt idx="1">
                  <c:v>0.29936305732484075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137-44AE-9721-EFE883C4CBE9}"/>
            </c:ext>
          </c:extLst>
        </c:ser>
        <c:ser>
          <c:idx val="3"/>
          <c:order val="3"/>
          <c:tx>
            <c:strRef>
              <c:f>NANUQUE!$P$1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NANUQUE!$I$2:$I$4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xVal>
          <c:yVal>
            <c:numRef>
              <c:f>NANUQUE!$P$2:$P$4</c:f>
              <c:numCache>
                <c:formatCode>0.00</c:formatCode>
                <c:ptCount val="3"/>
                <c:pt idx="0">
                  <c:v>9.2436974789915971E-2</c:v>
                </c:pt>
                <c:pt idx="1">
                  <c:v>0.36134453781512604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37-44AE-9721-EFE883C4C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187840"/>
        <c:axId val="342945520"/>
      </c:scatterChart>
      <c:valAx>
        <c:axId val="20881878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2945520"/>
        <c:crosses val="autoZero"/>
        <c:crossBetween val="midCat"/>
      </c:valAx>
      <c:valAx>
        <c:axId val="3429455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8187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'PADRE PARAÍSO'!$J$1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'PADRE PARAÍSO'!$I$2:$I$5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xVal>
          <c:yVal>
            <c:numRef>
              <c:f>'PADRE PARAÍSO'!$J$2:$J$5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F0-4A07-9A8C-06EB14B8B206}"/>
            </c:ext>
          </c:extLst>
        </c:ser>
        <c:ser>
          <c:idx val="1"/>
          <c:order val="1"/>
          <c:tx>
            <c:strRef>
              <c:f>'PADRE PARAÍSO'!$K$1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'PADRE PARAÍSO'!$I$2:$I$5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xVal>
          <c:yVal>
            <c:numRef>
              <c:f>'PADRE PARAÍSO'!$K$2:$K$5</c:f>
              <c:numCache>
                <c:formatCode>0.00</c:formatCode>
                <c:ptCount val="4"/>
                <c:pt idx="0">
                  <c:v>6.4039408866995079E-2</c:v>
                </c:pt>
                <c:pt idx="1">
                  <c:v>0.33990147783251234</c:v>
                </c:pt>
                <c:pt idx="2">
                  <c:v>0.65517241379310343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F0-4A07-9A8C-06EB14B8B206}"/>
            </c:ext>
          </c:extLst>
        </c:ser>
        <c:ser>
          <c:idx val="2"/>
          <c:order val="2"/>
          <c:tx>
            <c:strRef>
              <c:f>'PADRE PARAÍSO'!$L$1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'PADRE PARAÍSO'!$I$2:$I$5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xVal>
          <c:yVal>
            <c:numRef>
              <c:f>'PADRE PARAÍSO'!$L$2:$L$5</c:f>
              <c:numCache>
                <c:formatCode>0.00</c:formatCode>
                <c:ptCount val="4"/>
                <c:pt idx="0">
                  <c:v>8.1632653061224483E-2</c:v>
                </c:pt>
                <c:pt idx="1">
                  <c:v>0.32653061224489793</c:v>
                </c:pt>
                <c:pt idx="2">
                  <c:v>0.73469387755102034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F0-4A07-9A8C-06EB14B8B206}"/>
            </c:ext>
          </c:extLst>
        </c:ser>
        <c:ser>
          <c:idx val="3"/>
          <c:order val="3"/>
          <c:tx>
            <c:strRef>
              <c:f>'PADRE PARAÍSO'!$M$1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'PADRE PARAÍSO'!$I$2:$I$5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xVal>
          <c:yVal>
            <c:numRef>
              <c:f>'PADRE PARAÍSO'!$M$2:$M$5</c:f>
              <c:numCache>
                <c:formatCode>0.00</c:formatCode>
                <c:ptCount val="4"/>
                <c:pt idx="0">
                  <c:v>0.10526315789473684</c:v>
                </c:pt>
                <c:pt idx="1">
                  <c:v>0.42105263157894735</c:v>
                </c:pt>
                <c:pt idx="2">
                  <c:v>0.94736842105263153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F0-4A07-9A8C-06EB14B8B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095712"/>
        <c:axId val="424094272"/>
      </c:scatterChart>
      <c:valAx>
        <c:axId val="4240957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94272"/>
        <c:crosses val="autoZero"/>
        <c:crossBetween val="midCat"/>
      </c:valAx>
      <c:valAx>
        <c:axId val="4240942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95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'PADRE PARAÍSO'!$J$1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'PADRE PARAÍSO'!$I$2:$I$5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xVal>
          <c:yVal>
            <c:numRef>
              <c:f>'PADRE PARAÍSO'!$J$2:$J$5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B7-4E8F-A133-E0B5D79F6A4B}"/>
            </c:ext>
          </c:extLst>
        </c:ser>
        <c:ser>
          <c:idx val="1"/>
          <c:order val="1"/>
          <c:tx>
            <c:strRef>
              <c:f>'PADRE PARAÍSO'!$N$1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'PADRE PARAÍSO'!$I$2:$I$5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xVal>
          <c:yVal>
            <c:numRef>
              <c:f>'PADRE PARAÍSO'!$N$2:$N$5</c:f>
              <c:numCache>
                <c:formatCode>0.00</c:formatCode>
                <c:ptCount val="4"/>
                <c:pt idx="0">
                  <c:v>6.1946902654867256E-2</c:v>
                </c:pt>
                <c:pt idx="1">
                  <c:v>0.26548672566371684</c:v>
                </c:pt>
                <c:pt idx="2">
                  <c:v>0.70796460176991149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B7-4E8F-A133-E0B5D79F6A4B}"/>
            </c:ext>
          </c:extLst>
        </c:ser>
        <c:ser>
          <c:idx val="2"/>
          <c:order val="2"/>
          <c:tx>
            <c:strRef>
              <c:f>'PADRE PARAÍSO'!$O$1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'PADRE PARAÍSO'!$I$2:$I$5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xVal>
          <c:yVal>
            <c:numRef>
              <c:f>'PADRE PARAÍSO'!$O$2:$O$5</c:f>
              <c:numCache>
                <c:formatCode>0.00</c:formatCode>
                <c:ptCount val="4"/>
                <c:pt idx="0">
                  <c:v>0.12295081967213115</c:v>
                </c:pt>
                <c:pt idx="1">
                  <c:v>0.26229508196721307</c:v>
                </c:pt>
                <c:pt idx="2">
                  <c:v>0.62295081967213117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1B7-4E8F-A133-E0B5D79F6A4B}"/>
            </c:ext>
          </c:extLst>
        </c:ser>
        <c:ser>
          <c:idx val="3"/>
          <c:order val="3"/>
          <c:tx>
            <c:strRef>
              <c:f>'PADRE PARAÍSO'!$P$1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'PADRE PARAÍSO'!$I$2:$I$5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xVal>
          <c:yVal>
            <c:numRef>
              <c:f>'PADRE PARAÍSO'!$P$2:$P$5</c:f>
              <c:numCache>
                <c:formatCode>0.00</c:formatCode>
                <c:ptCount val="4"/>
                <c:pt idx="0">
                  <c:v>0.10126582278481013</c:v>
                </c:pt>
                <c:pt idx="1">
                  <c:v>0.37974683544303794</c:v>
                </c:pt>
                <c:pt idx="2">
                  <c:v>0.56962025316455689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1B7-4E8F-A133-E0B5D79F6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29152"/>
        <c:axId val="49539232"/>
      </c:scatterChart>
      <c:valAx>
        <c:axId val="495291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539232"/>
        <c:crosses val="autoZero"/>
        <c:crossBetween val="midCat"/>
      </c:valAx>
      <c:valAx>
        <c:axId val="49539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529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'PEDRA AZUL'!$J$1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'PEDRA AZUL'!$I$2:$I$6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xVal>
          <c:yVal>
            <c:numRef>
              <c:f>'PEDRA AZUL'!$J$2:$J$6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E0-493A-81F2-C984E317D705}"/>
            </c:ext>
          </c:extLst>
        </c:ser>
        <c:ser>
          <c:idx val="1"/>
          <c:order val="1"/>
          <c:tx>
            <c:strRef>
              <c:f>'PEDRA AZUL'!$K$1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'PEDRA AZUL'!$I$2:$I$6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xVal>
          <c:yVal>
            <c:numRef>
              <c:f>'PEDRA AZUL'!$K$2:$K$6</c:f>
              <c:numCache>
                <c:formatCode>0.00</c:formatCode>
                <c:ptCount val="5"/>
                <c:pt idx="0">
                  <c:v>0.15686274509803921</c:v>
                </c:pt>
                <c:pt idx="1">
                  <c:v>0.37254901960784315</c:v>
                </c:pt>
                <c:pt idx="2">
                  <c:v>0.52287581699346408</c:v>
                </c:pt>
                <c:pt idx="3">
                  <c:v>0.62745098039215685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E0-493A-81F2-C984E317D705}"/>
            </c:ext>
          </c:extLst>
        </c:ser>
        <c:ser>
          <c:idx val="2"/>
          <c:order val="2"/>
          <c:tx>
            <c:strRef>
              <c:f>'PEDRA AZUL'!$L$1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'PEDRA AZUL'!$I$2:$I$6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xVal>
          <c:yVal>
            <c:numRef>
              <c:f>'PEDRA AZUL'!$L$2:$L$6</c:f>
              <c:numCache>
                <c:formatCode>0.00</c:formatCode>
                <c:ptCount val="5"/>
                <c:pt idx="0">
                  <c:v>0.15625</c:v>
                </c:pt>
                <c:pt idx="1">
                  <c:v>0.28125</c:v>
                </c:pt>
                <c:pt idx="2">
                  <c:v>0.34375</c:v>
                </c:pt>
                <c:pt idx="3">
                  <c:v>0.53125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6E0-493A-81F2-C984E317D705}"/>
            </c:ext>
          </c:extLst>
        </c:ser>
        <c:ser>
          <c:idx val="3"/>
          <c:order val="3"/>
          <c:tx>
            <c:strRef>
              <c:f>'PEDRA AZUL'!$M$1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'PEDRA AZUL'!$I$2:$I$6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xVal>
          <c:yVal>
            <c:numRef>
              <c:f>'PEDRA AZUL'!$M$2:$M$6</c:f>
              <c:numCache>
                <c:formatCode>0.00</c:formatCode>
                <c:ptCount val="5"/>
                <c:pt idx="0">
                  <c:v>7.6923076923076927E-2</c:v>
                </c:pt>
                <c:pt idx="1">
                  <c:v>0.32692307692307693</c:v>
                </c:pt>
                <c:pt idx="2">
                  <c:v>0.42307692307692307</c:v>
                </c:pt>
                <c:pt idx="3">
                  <c:v>0.61538461538461542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6E0-493A-81F2-C984E317D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307904"/>
        <c:axId val="297298784"/>
      </c:scatterChart>
      <c:valAx>
        <c:axId val="2973079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298784"/>
        <c:crosses val="autoZero"/>
        <c:crossBetween val="midCat"/>
      </c:valAx>
      <c:valAx>
        <c:axId val="2972987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307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'PEDRA AZUL'!$J$1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'PEDRA AZUL'!$I$2:$I$6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xVal>
          <c:yVal>
            <c:numRef>
              <c:f>'PEDRA AZUL'!$J$2:$J$6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D2-4CCF-AB63-FD1BE27241EF}"/>
            </c:ext>
          </c:extLst>
        </c:ser>
        <c:ser>
          <c:idx val="1"/>
          <c:order val="1"/>
          <c:tx>
            <c:strRef>
              <c:f>'PEDRA AZUL'!$N$1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'PEDRA AZUL'!$I$2:$I$6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xVal>
          <c:yVal>
            <c:numRef>
              <c:f>'PEDRA AZUL'!$N$2:$N$6</c:f>
              <c:numCache>
                <c:formatCode>0.00</c:formatCode>
                <c:ptCount val="5"/>
                <c:pt idx="0">
                  <c:v>0.1032258064516129</c:v>
                </c:pt>
                <c:pt idx="1">
                  <c:v>0.26129032258064516</c:v>
                </c:pt>
                <c:pt idx="2">
                  <c:v>0.3935483870967742</c:v>
                </c:pt>
                <c:pt idx="3">
                  <c:v>0.5741935483870968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D2-4CCF-AB63-FD1BE27241EF}"/>
            </c:ext>
          </c:extLst>
        </c:ser>
        <c:ser>
          <c:idx val="2"/>
          <c:order val="2"/>
          <c:tx>
            <c:strRef>
              <c:f>'PEDRA AZUL'!$O$1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'PEDRA AZUL'!$I$2:$I$6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xVal>
          <c:yVal>
            <c:numRef>
              <c:f>'PEDRA AZUL'!$O$2:$O$6</c:f>
              <c:numCache>
                <c:formatCode>0.00</c:formatCode>
                <c:ptCount val="5"/>
                <c:pt idx="0">
                  <c:v>0.11353711790393013</c:v>
                </c:pt>
                <c:pt idx="1">
                  <c:v>0.38427947598253276</c:v>
                </c:pt>
                <c:pt idx="2">
                  <c:v>0.48471615720524019</c:v>
                </c:pt>
                <c:pt idx="3">
                  <c:v>0.72489082969432317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D2-4CCF-AB63-FD1BE27241EF}"/>
            </c:ext>
          </c:extLst>
        </c:ser>
        <c:ser>
          <c:idx val="3"/>
          <c:order val="3"/>
          <c:tx>
            <c:strRef>
              <c:f>'PEDRA AZUL'!$P$1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'PEDRA AZUL'!$I$2:$I$6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xVal>
          <c:yVal>
            <c:numRef>
              <c:f>'PEDRA AZUL'!$P$2:$P$6</c:f>
              <c:numCache>
                <c:formatCode>0.00</c:formatCode>
                <c:ptCount val="5"/>
                <c:pt idx="0">
                  <c:v>0.10344827586206896</c:v>
                </c:pt>
                <c:pt idx="1">
                  <c:v>0.30172413793103448</c:v>
                </c:pt>
                <c:pt idx="2">
                  <c:v>0.33620689655172414</c:v>
                </c:pt>
                <c:pt idx="3">
                  <c:v>0.60344827586206895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D2-4CCF-AB63-FD1BE2724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724224"/>
        <c:axId val="1914724704"/>
      </c:scatterChart>
      <c:valAx>
        <c:axId val="19147242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4724704"/>
        <c:crosses val="autoZero"/>
        <c:crossBetween val="midCat"/>
      </c:valAx>
      <c:valAx>
        <c:axId val="19147247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4724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'TEÓFILO OTONI - MALACACHETA'!$J$1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'TEÓFILO OTONI - MALACACHETA'!$I$2:$I$12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xVal>
          <c:yVal>
            <c:numRef>
              <c:f>'TEÓFILO OTONI - MALACACHETA'!$J$2:$J$12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BC-4225-8F3F-7EDD6A5B6F4F}"/>
            </c:ext>
          </c:extLst>
        </c:ser>
        <c:ser>
          <c:idx val="1"/>
          <c:order val="1"/>
          <c:tx>
            <c:strRef>
              <c:f>'TEÓFILO OTONI - MALACACHETA'!$K$1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'TEÓFILO OTONI - MALACACHETA'!$I$2:$I$12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xVal>
          <c:yVal>
            <c:numRef>
              <c:f>'TEÓFILO OTONI - MALACACHETA'!$K$2:$K$12</c:f>
              <c:numCache>
                <c:formatCode>0.00</c:formatCode>
                <c:ptCount val="11"/>
                <c:pt idx="0">
                  <c:v>3.1486146095717885E-2</c:v>
                </c:pt>
                <c:pt idx="1">
                  <c:v>5.7934508816120903E-2</c:v>
                </c:pt>
                <c:pt idx="2">
                  <c:v>6.6750629722921909E-2</c:v>
                </c:pt>
                <c:pt idx="3">
                  <c:v>9.06801007556675E-2</c:v>
                </c:pt>
                <c:pt idx="4">
                  <c:v>0.10453400503778337</c:v>
                </c:pt>
                <c:pt idx="5">
                  <c:v>0.14609571788413098</c:v>
                </c:pt>
                <c:pt idx="6">
                  <c:v>0.19899244332493701</c:v>
                </c:pt>
                <c:pt idx="7">
                  <c:v>0.23551637279596976</c:v>
                </c:pt>
                <c:pt idx="8">
                  <c:v>0.32241813602015112</c:v>
                </c:pt>
                <c:pt idx="9">
                  <c:v>0.4282115869017632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BC-4225-8F3F-7EDD6A5B6F4F}"/>
            </c:ext>
          </c:extLst>
        </c:ser>
        <c:ser>
          <c:idx val="2"/>
          <c:order val="2"/>
          <c:tx>
            <c:strRef>
              <c:f>'TEÓFILO OTONI - MALACACHETA'!$L$1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'TEÓFILO OTONI - MALACACHETA'!$I$2:$I$12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xVal>
          <c:yVal>
            <c:numRef>
              <c:f>'TEÓFILO OTONI - MALACACHETA'!$L$2:$L$12</c:f>
              <c:numCache>
                <c:formatCode>0.00</c:formatCode>
                <c:ptCount val="11"/>
                <c:pt idx="0">
                  <c:v>1.1695906432748537E-2</c:v>
                </c:pt>
                <c:pt idx="1">
                  <c:v>4.0935672514619881E-2</c:v>
                </c:pt>
                <c:pt idx="2">
                  <c:v>4.6783625730994149E-2</c:v>
                </c:pt>
                <c:pt idx="3">
                  <c:v>7.0175438596491224E-2</c:v>
                </c:pt>
                <c:pt idx="4">
                  <c:v>8.4795321637426896E-2</c:v>
                </c:pt>
                <c:pt idx="5">
                  <c:v>0.11695906432748537</c:v>
                </c:pt>
                <c:pt idx="6">
                  <c:v>0.14912280701754385</c:v>
                </c:pt>
                <c:pt idx="7">
                  <c:v>0.28654970760233917</c:v>
                </c:pt>
                <c:pt idx="8">
                  <c:v>0.35087719298245612</c:v>
                </c:pt>
                <c:pt idx="9">
                  <c:v>0.44444444444444442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BC-4225-8F3F-7EDD6A5B6F4F}"/>
            </c:ext>
          </c:extLst>
        </c:ser>
        <c:ser>
          <c:idx val="3"/>
          <c:order val="3"/>
          <c:tx>
            <c:strRef>
              <c:f>'TEÓFILO OTONI - MALACACHETA'!$M$1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'TEÓFILO OTONI - MALACACHETA'!$I$2:$I$12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xVal>
          <c:yVal>
            <c:numRef>
              <c:f>'TEÓFILO OTONI - MALACACHETA'!$M$2:$M$12</c:f>
              <c:numCache>
                <c:formatCode>0.00</c:formatCode>
                <c:ptCount val="11"/>
                <c:pt idx="0">
                  <c:v>3.3816425120772944E-2</c:v>
                </c:pt>
                <c:pt idx="1">
                  <c:v>4.3478260869565216E-2</c:v>
                </c:pt>
                <c:pt idx="2">
                  <c:v>5.3140096618357488E-2</c:v>
                </c:pt>
                <c:pt idx="3">
                  <c:v>6.0386473429951688E-2</c:v>
                </c:pt>
                <c:pt idx="4">
                  <c:v>0.10144927536231885</c:v>
                </c:pt>
                <c:pt idx="5">
                  <c:v>0.13285024154589373</c:v>
                </c:pt>
                <c:pt idx="6">
                  <c:v>0.16666666666666669</c:v>
                </c:pt>
                <c:pt idx="7">
                  <c:v>0.2391304347826087</c:v>
                </c:pt>
                <c:pt idx="8">
                  <c:v>0.3888888888888889</c:v>
                </c:pt>
                <c:pt idx="9">
                  <c:v>0.42995169082125606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BC-4225-8F3F-7EDD6A5B6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458640"/>
        <c:axId val="1420464400"/>
      </c:scatterChart>
      <c:valAx>
        <c:axId val="14204586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0464400"/>
        <c:crosses val="autoZero"/>
        <c:crossBetween val="midCat"/>
      </c:valAx>
      <c:valAx>
        <c:axId val="14204644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0458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'TEÓFILO OTONI - MALACACHETA'!$J$1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'TEÓFILO OTONI - MALACACHETA'!$I$2:$I$12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xVal>
          <c:yVal>
            <c:numRef>
              <c:f>'TEÓFILO OTONI - MALACACHETA'!$J$2:$J$12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74-4669-8DD9-3E9B9214CDA7}"/>
            </c:ext>
          </c:extLst>
        </c:ser>
        <c:ser>
          <c:idx val="1"/>
          <c:order val="1"/>
          <c:tx>
            <c:strRef>
              <c:f>'TEÓFILO OTONI - MALACACHETA'!$N$1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'TEÓFILO OTONI - MALACACHETA'!$I$2:$I$12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xVal>
          <c:yVal>
            <c:numRef>
              <c:f>'TEÓFILO OTONI - MALACACHETA'!$N$2:$N$12</c:f>
              <c:numCache>
                <c:formatCode>0.00</c:formatCode>
                <c:ptCount val="11"/>
                <c:pt idx="0">
                  <c:v>3.4313725490196081E-2</c:v>
                </c:pt>
                <c:pt idx="1">
                  <c:v>6.4950980392156868E-2</c:v>
                </c:pt>
                <c:pt idx="2">
                  <c:v>9.6813725490196081E-2</c:v>
                </c:pt>
                <c:pt idx="3">
                  <c:v>0.11519607843137256</c:v>
                </c:pt>
                <c:pt idx="4">
                  <c:v>0.16544117647058826</c:v>
                </c:pt>
                <c:pt idx="5">
                  <c:v>0.19117647058823531</c:v>
                </c:pt>
                <c:pt idx="6">
                  <c:v>0.23651960784313728</c:v>
                </c:pt>
                <c:pt idx="7">
                  <c:v>0.29044117647058826</c:v>
                </c:pt>
                <c:pt idx="8">
                  <c:v>0.40318627450980393</c:v>
                </c:pt>
                <c:pt idx="9">
                  <c:v>0.44975490196078433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74-4669-8DD9-3E9B9214CDA7}"/>
            </c:ext>
          </c:extLst>
        </c:ser>
        <c:ser>
          <c:idx val="2"/>
          <c:order val="2"/>
          <c:tx>
            <c:strRef>
              <c:f>'TEÓFILO OTONI - MALACACHETA'!$O$1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'TEÓFILO OTONI - MALACACHETA'!$I$2:$I$12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xVal>
          <c:yVal>
            <c:numRef>
              <c:f>'TEÓFILO OTONI - MALACACHETA'!$O$2:$O$12</c:f>
              <c:numCache>
                <c:formatCode>0.00</c:formatCode>
                <c:ptCount val="11"/>
                <c:pt idx="0">
                  <c:v>1.1456628477905073E-2</c:v>
                </c:pt>
                <c:pt idx="1">
                  <c:v>2.9459901800327332E-2</c:v>
                </c:pt>
                <c:pt idx="2">
                  <c:v>6.5466448445171854E-2</c:v>
                </c:pt>
                <c:pt idx="3">
                  <c:v>8.346972176759411E-2</c:v>
                </c:pt>
                <c:pt idx="4">
                  <c:v>0.12438625204582651</c:v>
                </c:pt>
                <c:pt idx="5">
                  <c:v>0.16693944353518822</c:v>
                </c:pt>
                <c:pt idx="6">
                  <c:v>0.19312602291325695</c:v>
                </c:pt>
                <c:pt idx="7">
                  <c:v>0.26677577741407527</c:v>
                </c:pt>
                <c:pt idx="8">
                  <c:v>0.36661211129296234</c:v>
                </c:pt>
                <c:pt idx="9">
                  <c:v>0.48608837970540097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74-4669-8DD9-3E9B9214CDA7}"/>
            </c:ext>
          </c:extLst>
        </c:ser>
        <c:ser>
          <c:idx val="3"/>
          <c:order val="3"/>
          <c:tx>
            <c:strRef>
              <c:f>'TEÓFILO OTONI - MALACACHETA'!$P$1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'TEÓFILO OTONI - MALACACHETA'!$I$2:$I$12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xVal>
          <c:yVal>
            <c:numRef>
              <c:f>'TEÓFILO OTONI - MALACACHETA'!$P$2:$P$12</c:f>
              <c:numCache>
                <c:formatCode>0.00</c:formatCode>
                <c:ptCount val="11"/>
                <c:pt idx="0">
                  <c:v>3.0395136778115502E-2</c:v>
                </c:pt>
                <c:pt idx="1">
                  <c:v>9.1185410334346503E-2</c:v>
                </c:pt>
                <c:pt idx="2">
                  <c:v>0.14285714285714285</c:v>
                </c:pt>
                <c:pt idx="3">
                  <c:v>0.19756838905775076</c:v>
                </c:pt>
                <c:pt idx="4">
                  <c:v>0.24620060790273557</c:v>
                </c:pt>
                <c:pt idx="5">
                  <c:v>0.26747720364741639</c:v>
                </c:pt>
                <c:pt idx="6">
                  <c:v>0.30091185410334342</c:v>
                </c:pt>
                <c:pt idx="7">
                  <c:v>0.35866261398176286</c:v>
                </c:pt>
                <c:pt idx="8">
                  <c:v>0.43465045592705159</c:v>
                </c:pt>
                <c:pt idx="9">
                  <c:v>0.54711246200607899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74-4669-8DD9-3E9B9214C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184000"/>
        <c:axId val="2088186400"/>
      </c:scatterChart>
      <c:valAx>
        <c:axId val="20881840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8186400"/>
        <c:crosses val="autoZero"/>
        <c:crossBetween val="midCat"/>
      </c:valAx>
      <c:valAx>
        <c:axId val="20881864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8184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152400</xdr:colOff>
      <xdr:row>0</xdr:row>
      <xdr:rowOff>41910</xdr:rowOff>
    </xdr:from>
    <xdr:to>
      <xdr:col>23</xdr:col>
      <xdr:colOff>457200</xdr:colOff>
      <xdr:row>13</xdr:row>
      <xdr:rowOff>49530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9E3EBEC-62F1-96AF-8677-FD696ABAF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137160</xdr:colOff>
      <xdr:row>13</xdr:row>
      <xdr:rowOff>110490</xdr:rowOff>
    </xdr:from>
    <xdr:to>
      <xdr:col>23</xdr:col>
      <xdr:colOff>441960</xdr:colOff>
      <xdr:row>28</xdr:row>
      <xdr:rowOff>110490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3CEBBE4-BF71-017F-66AE-4AB004794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166456</xdr:colOff>
      <xdr:row>0</xdr:row>
      <xdr:rowOff>34031</xdr:rowOff>
    </xdr:from>
    <xdr:to>
      <xdr:col>23</xdr:col>
      <xdr:colOff>491970</xdr:colOff>
      <xdr:row>14</xdr:row>
      <xdr:rowOff>17755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E3C5BDF-C198-C329-78E1-E02326B08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166456</xdr:colOff>
      <xdr:row>14</xdr:row>
      <xdr:rowOff>93214</xdr:rowOff>
    </xdr:from>
    <xdr:to>
      <xdr:col>23</xdr:col>
      <xdr:colOff>491970</xdr:colOff>
      <xdr:row>28</xdr:row>
      <xdr:rowOff>69540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E79139C-5413-EE56-B8E3-4F30772D2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190500</xdr:colOff>
      <xdr:row>0</xdr:row>
      <xdr:rowOff>80010</xdr:rowOff>
    </xdr:from>
    <xdr:to>
      <xdr:col>23</xdr:col>
      <xdr:colOff>495300</xdr:colOff>
      <xdr:row>13</xdr:row>
      <xdr:rowOff>87630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72752C7-C8B3-6D75-DBB1-11E4D7009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213360</xdr:colOff>
      <xdr:row>13</xdr:row>
      <xdr:rowOff>140970</xdr:rowOff>
    </xdr:from>
    <xdr:to>
      <xdr:col>23</xdr:col>
      <xdr:colOff>518160</xdr:colOff>
      <xdr:row>28</xdr:row>
      <xdr:rowOff>140970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4180789-C842-FEFE-9208-0013A71BF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160020</xdr:colOff>
      <xdr:row>0</xdr:row>
      <xdr:rowOff>26670</xdr:rowOff>
    </xdr:from>
    <xdr:to>
      <xdr:col>23</xdr:col>
      <xdr:colOff>464820</xdr:colOff>
      <xdr:row>13</xdr:row>
      <xdr:rowOff>34290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0E2CC87-AABC-3D0F-E557-79D067105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151006</xdr:colOff>
      <xdr:row>13</xdr:row>
      <xdr:rowOff>111964</xdr:rowOff>
    </xdr:from>
    <xdr:to>
      <xdr:col>23</xdr:col>
      <xdr:colOff>468648</xdr:colOff>
      <xdr:row>28</xdr:row>
      <xdr:rowOff>141375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473E366-584C-EF09-B69B-14A999D5C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129988</xdr:colOff>
      <xdr:row>0</xdr:row>
      <xdr:rowOff>44824</xdr:rowOff>
    </xdr:from>
    <xdr:to>
      <xdr:col>23</xdr:col>
      <xdr:colOff>434788</xdr:colOff>
      <xdr:row>13</xdr:row>
      <xdr:rowOff>89648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C4BF188-DEA0-7D87-C08B-48230AE43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119062</xdr:colOff>
      <xdr:row>14</xdr:row>
      <xdr:rowOff>5555</xdr:rowOff>
    </xdr:from>
    <xdr:to>
      <xdr:col>23</xdr:col>
      <xdr:colOff>412750</xdr:colOff>
      <xdr:row>29</xdr:row>
      <xdr:rowOff>10318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3D43A8D-C616-BB9A-ADC8-9D41C3BFB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121920</xdr:colOff>
      <xdr:row>0</xdr:row>
      <xdr:rowOff>34290</xdr:rowOff>
    </xdr:from>
    <xdr:to>
      <xdr:col>23</xdr:col>
      <xdr:colOff>426720</xdr:colOff>
      <xdr:row>13</xdr:row>
      <xdr:rowOff>41910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6B52E80-AED5-8BB4-5F17-0700F54883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121920</xdr:colOff>
      <xdr:row>13</xdr:row>
      <xdr:rowOff>118110</xdr:rowOff>
    </xdr:from>
    <xdr:to>
      <xdr:col>23</xdr:col>
      <xdr:colOff>426720</xdr:colOff>
      <xdr:row>28</xdr:row>
      <xdr:rowOff>118110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AC5E101-E3E7-7159-4239-A30B0EFB3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0</xdr:row>
      <xdr:rowOff>41910</xdr:rowOff>
    </xdr:from>
    <xdr:to>
      <xdr:col>23</xdr:col>
      <xdr:colOff>571500</xdr:colOff>
      <xdr:row>13</xdr:row>
      <xdr:rowOff>49530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A768847-5F72-2F6B-5661-2823FAA3F3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281940</xdr:colOff>
      <xdr:row>13</xdr:row>
      <xdr:rowOff>102870</xdr:rowOff>
    </xdr:from>
    <xdr:to>
      <xdr:col>23</xdr:col>
      <xdr:colOff>586740</xdr:colOff>
      <xdr:row>28</xdr:row>
      <xdr:rowOff>102870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5C89230-19BB-9F96-5906-A3914CF94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106680</xdr:colOff>
      <xdr:row>0</xdr:row>
      <xdr:rowOff>102870</xdr:rowOff>
    </xdr:from>
    <xdr:to>
      <xdr:col>23</xdr:col>
      <xdr:colOff>411480</xdr:colOff>
      <xdr:row>14</xdr:row>
      <xdr:rowOff>110490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51C649CC-9AB9-D47D-EFEC-4A3B856FB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99060</xdr:colOff>
      <xdr:row>14</xdr:row>
      <xdr:rowOff>163830</xdr:rowOff>
    </xdr:from>
    <xdr:to>
      <xdr:col>23</xdr:col>
      <xdr:colOff>403860</xdr:colOff>
      <xdr:row>28</xdr:row>
      <xdr:rowOff>163830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5CF338E-D90F-EB07-2F42-C32583C47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1AC9-AF57-4F72-ADE6-84E3B9A17E36}">
  <dimension ref="A1:P21"/>
  <sheetViews>
    <sheetView workbookViewId="0">
      <selection activeCell="G8" sqref="G8"/>
    </sheetView>
  </sheetViews>
  <sheetFormatPr defaultRowHeight="14.4" x14ac:dyDescent="0.3"/>
  <cols>
    <col min="1" max="1" width="21.21875" customWidth="1"/>
  </cols>
  <sheetData>
    <row r="1" spans="1:16" ht="28.2" customHeight="1" x14ac:dyDescent="0.3">
      <c r="A1" s="1" t="s">
        <v>8</v>
      </c>
      <c r="B1" s="2" t="s">
        <v>9</v>
      </c>
      <c r="C1" s="3" t="s">
        <v>10</v>
      </c>
      <c r="D1" s="3" t="s">
        <v>11</v>
      </c>
      <c r="E1" s="3" t="s">
        <v>12</v>
      </c>
      <c r="F1" s="2" t="s">
        <v>13</v>
      </c>
      <c r="G1" s="3" t="s">
        <v>14</v>
      </c>
      <c r="H1" s="3" t="s">
        <v>15</v>
      </c>
      <c r="I1" s="4" t="s">
        <v>9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</row>
    <row r="2" spans="1:16" x14ac:dyDescent="0.3">
      <c r="A2" s="8" t="s">
        <v>7</v>
      </c>
      <c r="B2" s="9">
        <v>4.3220622698359558E-2</v>
      </c>
      <c r="C2" s="9">
        <v>0</v>
      </c>
      <c r="D2" s="9">
        <v>0</v>
      </c>
      <c r="E2" s="9">
        <v>4.6728971962616821E-2</v>
      </c>
      <c r="F2" s="9">
        <v>3.3653846153846152E-2</v>
      </c>
      <c r="G2" s="9">
        <v>2.6086956521739129E-2</v>
      </c>
      <c r="H2" s="9">
        <v>6.8181818181818177E-2</v>
      </c>
      <c r="I2" s="10">
        <v>4.3220622698359558E-2</v>
      </c>
      <c r="J2" s="9">
        <v>4.3220622698359558E-2</v>
      </c>
      <c r="K2" s="9">
        <v>0</v>
      </c>
      <c r="L2" s="9">
        <v>0</v>
      </c>
      <c r="M2" s="9">
        <v>4.6728971962616821E-2</v>
      </c>
      <c r="N2" s="9">
        <v>3.3653846153846152E-2</v>
      </c>
      <c r="O2" s="9">
        <v>2.6086956521739129E-2</v>
      </c>
      <c r="P2" s="9">
        <v>6.8181818181818177E-2</v>
      </c>
    </row>
    <row r="3" spans="1:16" x14ac:dyDescent="0.3">
      <c r="A3" s="8" t="s">
        <v>3</v>
      </c>
      <c r="B3" s="9">
        <v>7.6029460997656506E-2</v>
      </c>
      <c r="C3" s="9">
        <v>4.6153846153846156E-2</v>
      </c>
      <c r="D3" s="9">
        <v>0</v>
      </c>
      <c r="E3" s="9">
        <v>0.11214953271028037</v>
      </c>
      <c r="F3" s="9">
        <v>6.25E-2</v>
      </c>
      <c r="G3" s="9">
        <v>4.3478260869565216E-2</v>
      </c>
      <c r="H3" s="9">
        <v>7.9545454545454544E-2</v>
      </c>
      <c r="I3" s="10">
        <v>0.11925008369601606</v>
      </c>
      <c r="J3" s="10">
        <f t="shared" ref="J3:P9" si="0">J2+B3</f>
        <v>0.11925008369601606</v>
      </c>
      <c r="K3" s="10">
        <f t="shared" si="0"/>
        <v>4.6153846153846156E-2</v>
      </c>
      <c r="L3" s="11">
        <f t="shared" si="0"/>
        <v>0</v>
      </c>
      <c r="M3" s="10">
        <f t="shared" si="0"/>
        <v>0.15887850467289719</v>
      </c>
      <c r="N3" s="10">
        <f t="shared" si="0"/>
        <v>9.6153846153846145E-2</v>
      </c>
      <c r="O3" s="10">
        <f t="shared" si="0"/>
        <v>6.9565217391304349E-2</v>
      </c>
      <c r="P3" s="10">
        <f t="shared" si="0"/>
        <v>0.14772727272727271</v>
      </c>
    </row>
    <row r="4" spans="1:16" x14ac:dyDescent="0.3">
      <c r="A4" s="8" t="s">
        <v>1</v>
      </c>
      <c r="B4" s="9">
        <v>7.7150987612989622E-2</v>
      </c>
      <c r="C4" s="9">
        <v>0.1076923076923077</v>
      </c>
      <c r="D4" s="9">
        <v>0.2</v>
      </c>
      <c r="E4" s="9">
        <v>0.12149532710280374</v>
      </c>
      <c r="F4" s="9">
        <v>6.7307692307692304E-2</v>
      </c>
      <c r="G4" s="9">
        <v>7.8260869565217397E-2</v>
      </c>
      <c r="H4" s="9">
        <v>4.5454545454545456E-2</v>
      </c>
      <c r="I4" s="10">
        <v>0.19640107130900569</v>
      </c>
      <c r="J4" s="10">
        <f t="shared" si="0"/>
        <v>0.19640107130900569</v>
      </c>
      <c r="K4" s="10">
        <f t="shared" si="0"/>
        <v>0.15384615384615385</v>
      </c>
      <c r="L4" s="11">
        <f t="shared" si="0"/>
        <v>0.2</v>
      </c>
      <c r="M4" s="10">
        <f t="shared" si="0"/>
        <v>0.28037383177570091</v>
      </c>
      <c r="N4" s="10">
        <f t="shared" si="0"/>
        <v>0.16346153846153844</v>
      </c>
      <c r="O4" s="10">
        <f t="shared" si="0"/>
        <v>0.14782608695652175</v>
      </c>
      <c r="P4" s="10">
        <f t="shared" si="0"/>
        <v>0.19318181818181818</v>
      </c>
    </row>
    <row r="5" spans="1:16" x14ac:dyDescent="0.3">
      <c r="A5" s="8" t="s">
        <v>6</v>
      </c>
      <c r="B5" s="9">
        <v>0.10723133578841647</v>
      </c>
      <c r="C5" s="9">
        <v>0.18461538461538463</v>
      </c>
      <c r="D5" s="9">
        <v>0</v>
      </c>
      <c r="E5" s="9">
        <v>0.10280373831775701</v>
      </c>
      <c r="F5" s="9">
        <v>0.11538461538461539</v>
      </c>
      <c r="G5" s="9">
        <v>0.13043478260869565</v>
      </c>
      <c r="H5" s="9">
        <v>9.0909090909090912E-2</v>
      </c>
      <c r="I5" s="10">
        <v>0.30363240709742217</v>
      </c>
      <c r="J5" s="10">
        <f t="shared" si="0"/>
        <v>0.30363240709742217</v>
      </c>
      <c r="K5" s="10">
        <f t="shared" si="0"/>
        <v>0.33846153846153848</v>
      </c>
      <c r="L5" s="11">
        <f t="shared" si="0"/>
        <v>0.2</v>
      </c>
      <c r="M5" s="10">
        <f t="shared" si="0"/>
        <v>0.38317757009345793</v>
      </c>
      <c r="N5" s="10">
        <f t="shared" si="0"/>
        <v>0.27884615384615385</v>
      </c>
      <c r="O5" s="10">
        <f t="shared" si="0"/>
        <v>0.27826086956521739</v>
      </c>
      <c r="P5" s="10">
        <f t="shared" si="0"/>
        <v>0.28409090909090906</v>
      </c>
    </row>
    <row r="6" spans="1:16" x14ac:dyDescent="0.3">
      <c r="A6" s="8" t="s">
        <v>2</v>
      </c>
      <c r="B6" s="9">
        <v>0.11406093069969869</v>
      </c>
      <c r="C6" s="9">
        <v>4.6153846153846156E-2</v>
      </c>
      <c r="D6" s="9">
        <v>6.6666666666666666E-2</v>
      </c>
      <c r="E6" s="9">
        <v>6.5420560747663545E-2</v>
      </c>
      <c r="F6" s="9">
        <v>0.10096153846153846</v>
      </c>
      <c r="G6" s="9">
        <v>0.10434782608695652</v>
      </c>
      <c r="H6" s="9">
        <v>9.0909090909090912E-2</v>
      </c>
      <c r="I6" s="10">
        <v>0.41769333779712087</v>
      </c>
      <c r="J6" s="10">
        <f t="shared" si="0"/>
        <v>0.41769333779712087</v>
      </c>
      <c r="K6" s="10">
        <f t="shared" si="0"/>
        <v>0.38461538461538464</v>
      </c>
      <c r="L6" s="11">
        <f t="shared" si="0"/>
        <v>0.26666666666666666</v>
      </c>
      <c r="M6" s="10">
        <f t="shared" si="0"/>
        <v>0.44859813084112149</v>
      </c>
      <c r="N6" s="10">
        <f t="shared" si="0"/>
        <v>0.37980769230769229</v>
      </c>
      <c r="O6" s="10">
        <f t="shared" si="0"/>
        <v>0.38260869565217392</v>
      </c>
      <c r="P6" s="10">
        <f t="shared" si="0"/>
        <v>0.375</v>
      </c>
    </row>
    <row r="7" spans="1:16" x14ac:dyDescent="0.3">
      <c r="A7" s="8" t="s">
        <v>4</v>
      </c>
      <c r="B7" s="9">
        <v>0.11904921325744895</v>
      </c>
      <c r="C7" s="9">
        <v>4.6153846153846156E-2</v>
      </c>
      <c r="D7" s="9">
        <v>6.6666666666666666E-2</v>
      </c>
      <c r="E7" s="9">
        <v>0.11214953271028037</v>
      </c>
      <c r="F7" s="9">
        <v>0.15865384615384615</v>
      </c>
      <c r="G7" s="9">
        <v>6.9565217391304349E-2</v>
      </c>
      <c r="H7" s="9">
        <v>0.14772727272727273</v>
      </c>
      <c r="I7" s="10">
        <v>0.53674255105456981</v>
      </c>
      <c r="J7" s="10">
        <f t="shared" si="0"/>
        <v>0.53674255105456981</v>
      </c>
      <c r="K7" s="10">
        <f t="shared" si="0"/>
        <v>0.43076923076923079</v>
      </c>
      <c r="L7" s="11">
        <f t="shared" si="0"/>
        <v>0.33333333333333331</v>
      </c>
      <c r="M7" s="10">
        <f t="shared" si="0"/>
        <v>0.56074766355140182</v>
      </c>
      <c r="N7" s="10">
        <f t="shared" si="0"/>
        <v>0.53846153846153844</v>
      </c>
      <c r="O7" s="10">
        <f t="shared" si="0"/>
        <v>0.45217391304347826</v>
      </c>
      <c r="P7" s="10">
        <f t="shared" si="0"/>
        <v>0.52272727272727271</v>
      </c>
    </row>
    <row r="8" spans="1:16" x14ac:dyDescent="0.3">
      <c r="A8" s="8" t="s">
        <v>5</v>
      </c>
      <c r="B8" s="9">
        <v>0.14044191496484768</v>
      </c>
      <c r="C8" s="9">
        <v>9.2307692307692313E-2</v>
      </c>
      <c r="D8" s="9">
        <v>0.13333333333333333</v>
      </c>
      <c r="E8" s="9">
        <v>9.3457943925233641E-2</v>
      </c>
      <c r="F8" s="9">
        <v>7.2115384615384609E-2</v>
      </c>
      <c r="G8" s="9">
        <v>8.6956521739130432E-2</v>
      </c>
      <c r="H8" s="9">
        <v>6.8181818181818177E-2</v>
      </c>
      <c r="I8" s="10">
        <v>0.67718446601941751</v>
      </c>
      <c r="J8" s="10">
        <f t="shared" si="0"/>
        <v>0.67718446601941751</v>
      </c>
      <c r="K8" s="10">
        <f t="shared" si="0"/>
        <v>0.52307692307692311</v>
      </c>
      <c r="L8" s="11">
        <f t="shared" si="0"/>
        <v>0.46666666666666667</v>
      </c>
      <c r="M8" s="10">
        <f t="shared" si="0"/>
        <v>0.65420560747663548</v>
      </c>
      <c r="N8" s="10">
        <f t="shared" si="0"/>
        <v>0.61057692307692302</v>
      </c>
      <c r="O8" s="10">
        <f t="shared" si="0"/>
        <v>0.53913043478260869</v>
      </c>
      <c r="P8" s="10">
        <f t="shared" si="0"/>
        <v>0.59090909090909083</v>
      </c>
    </row>
    <row r="9" spans="1:16" x14ac:dyDescent="0.3">
      <c r="A9" s="8" t="s">
        <v>0</v>
      </c>
      <c r="B9" s="9">
        <v>0.32281553398058255</v>
      </c>
      <c r="C9" s="9">
        <v>0.47692307692307695</v>
      </c>
      <c r="D9" s="9">
        <v>0.53333333333333299</v>
      </c>
      <c r="E9" s="9">
        <v>0.34579439252336447</v>
      </c>
      <c r="F9" s="9">
        <v>0.38942307692307693</v>
      </c>
      <c r="G9" s="9">
        <v>0.46086956521739131</v>
      </c>
      <c r="H9" s="9">
        <v>0.40909090909090912</v>
      </c>
      <c r="I9" s="10">
        <v>1</v>
      </c>
      <c r="J9" s="10">
        <f t="shared" si="0"/>
        <v>1</v>
      </c>
      <c r="K9" s="10">
        <f t="shared" si="0"/>
        <v>1</v>
      </c>
      <c r="L9" s="11">
        <f t="shared" si="0"/>
        <v>0.99999999999999967</v>
      </c>
      <c r="M9" s="10">
        <f t="shared" si="0"/>
        <v>1</v>
      </c>
      <c r="N9" s="10">
        <f t="shared" si="0"/>
        <v>1</v>
      </c>
      <c r="O9" s="10">
        <f t="shared" si="0"/>
        <v>1</v>
      </c>
      <c r="P9" s="10">
        <f t="shared" si="0"/>
        <v>1</v>
      </c>
    </row>
    <row r="11" spans="1:16" ht="28.8" x14ac:dyDescent="0.3">
      <c r="B11" s="1" t="s">
        <v>8</v>
      </c>
      <c r="C11" s="3" t="s">
        <v>65</v>
      </c>
      <c r="D11" s="3" t="s">
        <v>66</v>
      </c>
      <c r="E11" s="3" t="s">
        <v>67</v>
      </c>
      <c r="F11" s="3" t="s">
        <v>68</v>
      </c>
      <c r="G11" s="3" t="s">
        <v>69</v>
      </c>
      <c r="H11" s="3" t="s">
        <v>70</v>
      </c>
      <c r="J11" s="8"/>
      <c r="K11" s="12" t="s">
        <v>71</v>
      </c>
      <c r="L11" s="12" t="s">
        <v>72</v>
      </c>
      <c r="M11" s="12" t="s">
        <v>73</v>
      </c>
      <c r="N11" s="12" t="s">
        <v>74</v>
      </c>
      <c r="O11" s="12" t="s">
        <v>75</v>
      </c>
      <c r="P11" s="12" t="s">
        <v>76</v>
      </c>
    </row>
    <row r="12" spans="1:16" x14ac:dyDescent="0.3">
      <c r="B12" s="8" t="s">
        <v>7</v>
      </c>
      <c r="C12" s="10">
        <f>C2-B2</f>
        <v>-4.3220622698359558E-2</v>
      </c>
      <c r="D12" s="10">
        <f>D2-B2</f>
        <v>-4.3220622698359558E-2</v>
      </c>
      <c r="E12" s="10">
        <f>E2-B2</f>
        <v>3.5083492642572628E-3</v>
      </c>
      <c r="F12" s="10">
        <f>F2-B2</f>
        <v>-9.5667765445134056E-3</v>
      </c>
      <c r="G12" s="10">
        <f>G2-B2</f>
        <v>-1.7133666176620429E-2</v>
      </c>
      <c r="H12" s="10">
        <f>H2-B2</f>
        <v>2.4961195483458619E-2</v>
      </c>
      <c r="J12" s="8" t="s">
        <v>7</v>
      </c>
      <c r="K12" s="8">
        <f>(J2-0) * (K2+0)</f>
        <v>0</v>
      </c>
      <c r="L12" s="8">
        <f t="shared" ref="L12" si="1">(K2-0) * (L2+0)</f>
        <v>0</v>
      </c>
      <c r="M12" s="8">
        <f>(J2-0) * (M2+0)</f>
        <v>2.019655266278484E-3</v>
      </c>
      <c r="N12" s="8">
        <f>(J2-0) * (N2+0)</f>
        <v>1.4545401869640235E-3</v>
      </c>
      <c r="O12" s="8">
        <f>(J2-0) * (O2+0)</f>
        <v>1.1274945051745972E-3</v>
      </c>
      <c r="P12" s="8">
        <f>(J2-0) * (P2+0)</f>
        <v>2.9468606385245149E-3</v>
      </c>
    </row>
    <row r="13" spans="1:16" x14ac:dyDescent="0.3">
      <c r="B13" s="8" t="s">
        <v>3</v>
      </c>
      <c r="C13" s="10">
        <f t="shared" ref="C13:C19" si="2">C3-B3</f>
        <v>-2.987561484381035E-2</v>
      </c>
      <c r="D13" s="10">
        <f t="shared" ref="D13:D19" si="3">D3-B3</f>
        <v>-7.6029460997656506E-2</v>
      </c>
      <c r="E13" s="10">
        <f t="shared" ref="E13:E19" si="4">E3-B3</f>
        <v>3.6120071712623866E-2</v>
      </c>
      <c r="F13" s="10">
        <f t="shared" ref="F13:F19" si="5">F3-B3</f>
        <v>-1.3529460997656506E-2</v>
      </c>
      <c r="G13" s="10">
        <f t="shared" ref="G13:G19" si="6">G3-B3</f>
        <v>-3.255120012809129E-2</v>
      </c>
      <c r="H13" s="10">
        <f t="shared" ref="H13:H19" si="7">H3-B3</f>
        <v>3.5159935477980381E-3</v>
      </c>
      <c r="J13" s="8" t="s">
        <v>3</v>
      </c>
      <c r="K13" s="8">
        <f>(J3-J2) * (K3+K2)</f>
        <v>3.509052046045685E-3</v>
      </c>
      <c r="L13" s="8">
        <f>(J3-J2) * (L3+L2)</f>
        <v>0</v>
      </c>
      <c r="M13" s="8">
        <f>(J3-J2) * (M3+M2)</f>
        <v>1.5632225625686384E-2</v>
      </c>
      <c r="N13" s="8">
        <f>(J3-J2) * (N3+N2)</f>
        <v>9.8692088795034882E-3</v>
      </c>
      <c r="O13" s="8">
        <f>(J3-J2) * (O3+O2)</f>
        <v>7.2723832258627967E-3</v>
      </c>
      <c r="P13" s="8">
        <f>(J3-J2) * (P3+P2)</f>
        <v>1.6415451806312199E-2</v>
      </c>
    </row>
    <row r="14" spans="1:16" x14ac:dyDescent="0.3">
      <c r="B14" s="8" t="s">
        <v>1</v>
      </c>
      <c r="C14" s="10">
        <f t="shared" si="2"/>
        <v>3.0541320079318077E-2</v>
      </c>
      <c r="D14" s="10">
        <f t="shared" si="3"/>
        <v>0.12284901238701039</v>
      </c>
      <c r="E14" s="10">
        <f t="shared" si="4"/>
        <v>4.4344339489814116E-2</v>
      </c>
      <c r="F14" s="10">
        <f t="shared" si="5"/>
        <v>-9.8432953052973171E-3</v>
      </c>
      <c r="G14" s="10">
        <f t="shared" si="6"/>
        <v>1.1098819522277759E-3</v>
      </c>
      <c r="H14" s="10">
        <f t="shared" si="7"/>
        <v>-3.1696442158444166E-2</v>
      </c>
      <c r="J14" s="8" t="s">
        <v>1</v>
      </c>
      <c r="K14" s="8">
        <f t="shared" ref="K14:K19" si="8">(J4-J3) * (K4+K3)</f>
        <v>1.5430197522597928E-2</v>
      </c>
      <c r="L14" s="8">
        <f t="shared" ref="L14:L19" si="9">(J4-J3) * (L4+L3)</f>
        <v>1.5430197522597928E-2</v>
      </c>
      <c r="M14" s="8">
        <f t="shared" ref="M14:M19" si="10">(J4-J3) * (M4+M3)</f>
        <v>3.3888751568322543E-2</v>
      </c>
      <c r="N14" s="8">
        <f t="shared" ref="N14:N19" si="11">(J4-J3) * (N4+N3)</f>
        <v>2.0029583322603076E-2</v>
      </c>
      <c r="O14" s="8">
        <f t="shared" ref="O14:O19" si="12">(J4-J3) * (O4+O3)</f>
        <v>1.6771953828910793E-2</v>
      </c>
      <c r="P14" s="8">
        <f t="shared" ref="P14:P19" si="13">(J4-J3) * (P4+P3)</f>
        <v>2.6301473049882829E-2</v>
      </c>
    </row>
    <row r="15" spans="1:16" x14ac:dyDescent="0.3">
      <c r="B15" s="8" t="s">
        <v>6</v>
      </c>
      <c r="C15" s="10">
        <f t="shared" si="2"/>
        <v>7.7384048826968158E-2</v>
      </c>
      <c r="D15" s="10">
        <f t="shared" si="3"/>
        <v>-0.10723133578841647</v>
      </c>
      <c r="E15" s="10">
        <f t="shared" si="4"/>
        <v>-4.4275974706594612E-3</v>
      </c>
      <c r="F15" s="10">
        <f t="shared" si="5"/>
        <v>8.153279596198923E-3</v>
      </c>
      <c r="G15" s="10">
        <f t="shared" si="6"/>
        <v>2.320344682027918E-2</v>
      </c>
      <c r="H15" s="10">
        <f t="shared" si="7"/>
        <v>-1.6322244879325556E-2</v>
      </c>
      <c r="J15" s="8" t="s">
        <v>6</v>
      </c>
      <c r="K15" s="8">
        <f t="shared" si="8"/>
        <v>5.2790811465066576E-2</v>
      </c>
      <c r="L15" s="8">
        <f t="shared" si="9"/>
        <v>4.2892534315366597E-2</v>
      </c>
      <c r="M15" s="8">
        <f t="shared" si="10"/>
        <v>7.1153503186706255E-2</v>
      </c>
      <c r="N15" s="8">
        <f t="shared" si="11"/>
        <v>4.742924467564575E-2</v>
      </c>
      <c r="O15" s="8">
        <f t="shared" si="12"/>
        <v>4.5689873509847018E-2</v>
      </c>
      <c r="P15" s="8">
        <f t="shared" si="13"/>
        <v>5.1178592080835132E-2</v>
      </c>
    </row>
    <row r="16" spans="1:16" x14ac:dyDescent="0.3">
      <c r="B16" s="8" t="s">
        <v>2</v>
      </c>
      <c r="C16" s="10">
        <f t="shared" si="2"/>
        <v>-6.7907084545852536E-2</v>
      </c>
      <c r="D16" s="10">
        <f t="shared" si="3"/>
        <v>-4.7394264033032027E-2</v>
      </c>
      <c r="E16" s="10">
        <f t="shared" si="4"/>
        <v>-4.8640369952035148E-2</v>
      </c>
      <c r="F16" s="10">
        <f t="shared" si="5"/>
        <v>-1.3099392238160229E-2</v>
      </c>
      <c r="G16" s="10">
        <f t="shared" si="6"/>
        <v>-9.7131046127421766E-3</v>
      </c>
      <c r="H16" s="10">
        <f t="shared" si="7"/>
        <v>-2.3151839790607781E-2</v>
      </c>
      <c r="J16" s="8" t="s">
        <v>2</v>
      </c>
      <c r="K16" s="8">
        <f t="shared" si="8"/>
        <v>8.2474826813628291E-2</v>
      </c>
      <c r="L16" s="8">
        <f t="shared" si="9"/>
        <v>5.3228434326526054E-2</v>
      </c>
      <c r="M16" s="8">
        <f t="shared" si="10"/>
        <v>9.4873110581992368E-2</v>
      </c>
      <c r="N16" s="8">
        <f t="shared" si="11"/>
        <v>7.5126670701243847E-2</v>
      </c>
      <c r="O16" s="8">
        <f t="shared" si="12"/>
        <v>7.5379397679800869E-2</v>
      </c>
      <c r="P16" s="8">
        <f t="shared" si="13"/>
        <v>7.5176522506619589E-2</v>
      </c>
    </row>
    <row r="17" spans="2:16" x14ac:dyDescent="0.3">
      <c r="B17" s="8" t="s">
        <v>4</v>
      </c>
      <c r="C17" s="10">
        <f t="shared" si="2"/>
        <v>-7.2895367103602796E-2</v>
      </c>
      <c r="D17" s="10">
        <f t="shared" si="3"/>
        <v>-5.2382546590782286E-2</v>
      </c>
      <c r="E17" s="10">
        <f t="shared" si="4"/>
        <v>-6.8996805471685796E-3</v>
      </c>
      <c r="F17" s="10">
        <f t="shared" si="5"/>
        <v>3.9604632896397193E-2</v>
      </c>
      <c r="G17" s="10">
        <f t="shared" si="6"/>
        <v>-4.9483995866144603E-2</v>
      </c>
      <c r="H17" s="10">
        <f t="shared" si="7"/>
        <v>2.8678059469823783E-2</v>
      </c>
      <c r="J17" s="8" t="s">
        <v>4</v>
      </c>
      <c r="K17" s="8">
        <f t="shared" si="8"/>
        <v>9.7070896963766057E-2</v>
      </c>
      <c r="L17" s="8">
        <f t="shared" si="9"/>
        <v>7.1429527954469357E-2</v>
      </c>
      <c r="M17" s="8">
        <f t="shared" si="10"/>
        <v>0.12016182272714471</v>
      </c>
      <c r="N17" s="8">
        <f t="shared" si="11"/>
        <v>0.10931922948159974</v>
      </c>
      <c r="O17" s="8">
        <f t="shared" si="12"/>
        <v>9.9380212806218254E-2</v>
      </c>
      <c r="P17" s="8">
        <f t="shared" si="13"/>
        <v>0.10687372553793711</v>
      </c>
    </row>
    <row r="18" spans="2:16" x14ac:dyDescent="0.3">
      <c r="B18" s="8" t="s">
        <v>5</v>
      </c>
      <c r="C18" s="10">
        <f t="shared" si="2"/>
        <v>-4.8134222657155362E-2</v>
      </c>
      <c r="D18" s="10">
        <f t="shared" si="3"/>
        <v>-7.1085816315143435E-3</v>
      </c>
      <c r="E18" s="10">
        <f t="shared" si="4"/>
        <v>-4.6983971039614034E-2</v>
      </c>
      <c r="F18" s="10">
        <f t="shared" si="5"/>
        <v>-6.8326530349463066E-2</v>
      </c>
      <c r="G18" s="10">
        <f t="shared" si="6"/>
        <v>-5.3485393225717243E-2</v>
      </c>
      <c r="H18" s="10">
        <f t="shared" si="7"/>
        <v>-7.2260096783029498E-2</v>
      </c>
      <c r="J18" s="8" t="s">
        <v>5</v>
      </c>
      <c r="K18" s="8">
        <f t="shared" si="8"/>
        <v>0.13395998042800858</v>
      </c>
      <c r="L18" s="8">
        <f t="shared" si="9"/>
        <v>0.11235353197187817</v>
      </c>
      <c r="M18" s="8">
        <f t="shared" si="10"/>
        <v>0.17063036397598319</v>
      </c>
      <c r="N18" s="8">
        <f t="shared" si="11"/>
        <v>0.16137316190672404</v>
      </c>
      <c r="O18" s="8">
        <f t="shared" si="12"/>
        <v>0.13922068092167511</v>
      </c>
      <c r="P18" s="8">
        <f t="shared" si="13"/>
        <v>0.15640122348358038</v>
      </c>
    </row>
    <row r="19" spans="2:16" x14ac:dyDescent="0.3">
      <c r="B19" s="8" t="s">
        <v>0</v>
      </c>
      <c r="C19" s="10">
        <f t="shared" si="2"/>
        <v>0.1541075429424944</v>
      </c>
      <c r="D19" s="10">
        <f t="shared" si="3"/>
        <v>0.21051779935275045</v>
      </c>
      <c r="E19" s="10">
        <f t="shared" si="4"/>
        <v>2.2978858542781921E-2</v>
      </c>
      <c r="F19" s="10">
        <f t="shared" si="5"/>
        <v>6.660754294249438E-2</v>
      </c>
      <c r="G19" s="10">
        <f t="shared" si="6"/>
        <v>0.13805403123680876</v>
      </c>
      <c r="H19" s="10">
        <f t="shared" si="7"/>
        <v>8.6275375110326569E-2</v>
      </c>
      <c r="J19" s="8" t="s">
        <v>0</v>
      </c>
      <c r="K19" s="8">
        <f t="shared" si="8"/>
        <v>0.49167289021657945</v>
      </c>
      <c r="L19" s="8">
        <f t="shared" si="9"/>
        <v>0.47346278317152091</v>
      </c>
      <c r="M19" s="8">
        <f t="shared" si="10"/>
        <v>0.53400326649124386</v>
      </c>
      <c r="N19" s="8">
        <f t="shared" si="11"/>
        <v>0.51991924943988044</v>
      </c>
      <c r="O19" s="8">
        <f t="shared" si="12"/>
        <v>0.49685521317011394</v>
      </c>
      <c r="P19" s="8">
        <f t="shared" si="13"/>
        <v>0.5135701676963812</v>
      </c>
    </row>
    <row r="20" spans="2:16" x14ac:dyDescent="0.3">
      <c r="J20" s="12" t="s">
        <v>77</v>
      </c>
      <c r="K20" s="12">
        <f>SUM(K12:K19)</f>
        <v>0.87690865545569263</v>
      </c>
      <c r="L20" s="12">
        <f t="shared" ref="L20:P20" si="14">SUM(L12:L19)</f>
        <v>0.76879700926235905</v>
      </c>
      <c r="M20" s="12">
        <f t="shared" si="14"/>
        <v>1.0423626994233577</v>
      </c>
      <c r="N20" s="12">
        <f t="shared" si="14"/>
        <v>0.94452088859416439</v>
      </c>
      <c r="O20" s="12">
        <f t="shared" si="14"/>
        <v>0.88169720964760334</v>
      </c>
      <c r="P20" s="12">
        <f t="shared" si="14"/>
        <v>0.94886401680007293</v>
      </c>
    </row>
    <row r="21" spans="2:16" x14ac:dyDescent="0.3">
      <c r="J21" s="13" t="s">
        <v>78</v>
      </c>
      <c r="K21" s="13">
        <f>1-K20</f>
        <v>0.12309134454430737</v>
      </c>
      <c r="L21" s="13">
        <f t="shared" ref="L21:P21" si="15">1-L20</f>
        <v>0.23120299073764095</v>
      </c>
      <c r="M21" s="13">
        <f t="shared" si="15"/>
        <v>-4.2362699423357686E-2</v>
      </c>
      <c r="N21" s="13">
        <f t="shared" si="15"/>
        <v>5.5479111405835613E-2</v>
      </c>
      <c r="O21" s="13">
        <f t="shared" si="15"/>
        <v>0.11830279035239666</v>
      </c>
      <c r="P21" s="13">
        <f t="shared" si="15"/>
        <v>5.1135983199927071E-2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0F75-8649-4DD4-9FC1-ED3D446C5AA9}">
  <dimension ref="A1:P33"/>
  <sheetViews>
    <sheetView zoomScale="103" workbookViewId="0">
      <selection activeCell="A14" sqref="A14"/>
    </sheetView>
  </sheetViews>
  <sheetFormatPr defaultRowHeight="14.4" x14ac:dyDescent="0.3"/>
  <sheetData>
    <row r="1" spans="1:16" ht="28.2" customHeight="1" x14ac:dyDescent="0.3">
      <c r="A1" s="1" t="s">
        <v>8</v>
      </c>
      <c r="B1" s="2" t="s">
        <v>9</v>
      </c>
      <c r="C1" s="3" t="s">
        <v>10</v>
      </c>
      <c r="D1" s="3" t="s">
        <v>11</v>
      </c>
      <c r="E1" s="3" t="s">
        <v>12</v>
      </c>
      <c r="F1" s="2" t="s">
        <v>13</v>
      </c>
      <c r="G1" s="3" t="s">
        <v>14</v>
      </c>
      <c r="H1" s="3" t="s">
        <v>15</v>
      </c>
      <c r="I1" s="4" t="s">
        <v>9</v>
      </c>
      <c r="J1" s="7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</row>
    <row r="2" spans="1:16" x14ac:dyDescent="0.3">
      <c r="A2" s="10" t="s">
        <v>17</v>
      </c>
      <c r="B2" s="9">
        <v>2.7553239744588794E-2</v>
      </c>
      <c r="C2" s="9">
        <v>5.3658536585365853E-2</v>
      </c>
      <c r="D2" s="9">
        <v>3.0769230769230771E-2</v>
      </c>
      <c r="E2" s="9">
        <v>5.1643192488262914E-2</v>
      </c>
      <c r="F2" s="9">
        <v>3.2258064516129031E-2</v>
      </c>
      <c r="G2" s="9">
        <v>2.8301886792452831E-2</v>
      </c>
      <c r="H2" s="9">
        <v>0.05</v>
      </c>
      <c r="I2" s="10">
        <v>2.7553239744588794E-2</v>
      </c>
      <c r="J2" s="9">
        <v>2.7553239744588794E-2</v>
      </c>
      <c r="K2" s="9">
        <v>5.3658536585365853E-2</v>
      </c>
      <c r="L2" s="9">
        <v>3.0769230769230771E-2</v>
      </c>
      <c r="M2" s="9">
        <v>5.1643192488262914E-2</v>
      </c>
      <c r="N2" s="9">
        <v>3.2258064516129031E-2</v>
      </c>
      <c r="O2" s="9">
        <v>2.8301886792452831E-2</v>
      </c>
      <c r="P2" s="9">
        <v>0.05</v>
      </c>
    </row>
    <row r="3" spans="1:16" x14ac:dyDescent="0.3">
      <c r="A3" s="10" t="s">
        <v>25</v>
      </c>
      <c r="B3" s="9">
        <v>2.975726630921504E-2</v>
      </c>
      <c r="C3" s="9">
        <v>2.4390243902439025E-2</v>
      </c>
      <c r="D3" s="9">
        <v>3.0769230769230771E-2</v>
      </c>
      <c r="E3" s="9">
        <v>1.8779342723004695E-2</v>
      </c>
      <c r="F3" s="9">
        <v>8.7096774193548387E-2</v>
      </c>
      <c r="G3" s="9">
        <v>5.0314465408805034E-2</v>
      </c>
      <c r="H3" s="9">
        <v>4.4999999999999998E-2</v>
      </c>
      <c r="I3" s="10">
        <v>5.7310506053803834E-2</v>
      </c>
      <c r="J3" s="10">
        <f t="shared" ref="J3:P15" si="0">J2+B3</f>
        <v>5.7310506053803834E-2</v>
      </c>
      <c r="K3" s="10">
        <f t="shared" si="0"/>
        <v>7.8048780487804878E-2</v>
      </c>
      <c r="L3" s="10">
        <f t="shared" si="0"/>
        <v>6.1538461538461542E-2</v>
      </c>
      <c r="M3" s="10">
        <f t="shared" si="0"/>
        <v>7.0422535211267609E-2</v>
      </c>
      <c r="N3" s="10">
        <f t="shared" si="0"/>
        <v>0.11935483870967742</v>
      </c>
      <c r="O3" s="10">
        <f t="shared" si="0"/>
        <v>7.8616352201257872E-2</v>
      </c>
      <c r="P3" s="10">
        <f t="shared" si="0"/>
        <v>9.5000000000000001E-2</v>
      </c>
    </row>
    <row r="4" spans="1:16" x14ac:dyDescent="0.3">
      <c r="A4" s="10" t="s">
        <v>24</v>
      </c>
      <c r="B4" s="9">
        <v>3.0216680817408904E-2</v>
      </c>
      <c r="C4" s="9">
        <v>3.4146341463414637E-2</v>
      </c>
      <c r="D4" s="9">
        <v>7.6923076923076927E-3</v>
      </c>
      <c r="E4" s="9">
        <v>1.4084507042253521E-2</v>
      </c>
      <c r="F4" s="9">
        <v>2.2580645161290321E-2</v>
      </c>
      <c r="G4" s="9">
        <v>3.7735849056603772E-2</v>
      </c>
      <c r="H4" s="9">
        <v>0.03</v>
      </c>
      <c r="I4" s="10">
        <v>8.7527186871212734E-2</v>
      </c>
      <c r="J4" s="10">
        <f t="shared" si="0"/>
        <v>8.7527186871212734E-2</v>
      </c>
      <c r="K4" s="10">
        <f t="shared" si="0"/>
        <v>0.11219512195121951</v>
      </c>
      <c r="L4" s="10">
        <f t="shared" si="0"/>
        <v>6.9230769230769235E-2</v>
      </c>
      <c r="M4" s="10">
        <f t="shared" si="0"/>
        <v>8.4507042253521125E-2</v>
      </c>
      <c r="N4" s="10">
        <f t="shared" si="0"/>
        <v>0.14193548387096774</v>
      </c>
      <c r="O4" s="10">
        <f t="shared" si="0"/>
        <v>0.11635220125786164</v>
      </c>
      <c r="P4" s="10">
        <f t="shared" si="0"/>
        <v>0.125</v>
      </c>
    </row>
    <row r="5" spans="1:16" x14ac:dyDescent="0.3">
      <c r="A5" s="10" t="s">
        <v>28</v>
      </c>
      <c r="B5" s="9">
        <v>3.0257388432058992E-2</v>
      </c>
      <c r="C5" s="9">
        <v>5.3658536585365853E-2</v>
      </c>
      <c r="D5" s="9">
        <v>8.461538461538462E-2</v>
      </c>
      <c r="E5" s="9">
        <v>4.2253521126760563E-2</v>
      </c>
      <c r="F5" s="9">
        <v>3.0645161290322579E-2</v>
      </c>
      <c r="G5" s="9">
        <v>7.8616352201257858E-2</v>
      </c>
      <c r="H5" s="9">
        <v>2.5000000000000001E-2</v>
      </c>
      <c r="I5" s="10">
        <v>0.11778457530327173</v>
      </c>
      <c r="J5" s="10">
        <f t="shared" si="0"/>
        <v>0.11778457530327173</v>
      </c>
      <c r="K5" s="10">
        <f t="shared" si="0"/>
        <v>0.16585365853658537</v>
      </c>
      <c r="L5" s="10">
        <f t="shared" si="0"/>
        <v>0.15384615384615385</v>
      </c>
      <c r="M5" s="10">
        <f t="shared" si="0"/>
        <v>0.12676056338028169</v>
      </c>
      <c r="N5" s="10">
        <f t="shared" si="0"/>
        <v>0.17258064516129032</v>
      </c>
      <c r="O5" s="10">
        <f t="shared" si="0"/>
        <v>0.19496855345911951</v>
      </c>
      <c r="P5" s="10">
        <f t="shared" si="0"/>
        <v>0.15</v>
      </c>
    </row>
    <row r="6" spans="1:16" x14ac:dyDescent="0.3">
      <c r="A6" s="10" t="s">
        <v>27</v>
      </c>
      <c r="B6" s="9">
        <v>4.0789029879389156E-2</v>
      </c>
      <c r="C6" s="9">
        <v>3.4146341463414637E-2</v>
      </c>
      <c r="D6" s="9">
        <v>3.8461538461538464E-2</v>
      </c>
      <c r="E6" s="9">
        <v>4.2253521126760563E-2</v>
      </c>
      <c r="F6" s="9">
        <v>3.870967741935484E-2</v>
      </c>
      <c r="G6" s="9">
        <v>2.20125786163522E-2</v>
      </c>
      <c r="H6" s="9">
        <v>0.04</v>
      </c>
      <c r="I6" s="10">
        <v>0.15857360518266089</v>
      </c>
      <c r="J6" s="10">
        <f t="shared" si="0"/>
        <v>0.15857360518266089</v>
      </c>
      <c r="K6" s="10">
        <f t="shared" si="0"/>
        <v>0.2</v>
      </c>
      <c r="L6" s="10">
        <f t="shared" si="0"/>
        <v>0.19230769230769232</v>
      </c>
      <c r="M6" s="10">
        <f t="shared" si="0"/>
        <v>0.16901408450704225</v>
      </c>
      <c r="N6" s="10">
        <f t="shared" si="0"/>
        <v>0.21129032258064517</v>
      </c>
      <c r="O6" s="10">
        <f t="shared" si="0"/>
        <v>0.21698113207547171</v>
      </c>
      <c r="P6" s="10">
        <f t="shared" si="0"/>
        <v>0.19</v>
      </c>
    </row>
    <row r="7" spans="1:16" x14ac:dyDescent="0.3">
      <c r="A7" s="10" t="s">
        <v>18</v>
      </c>
      <c r="B7" s="9">
        <v>4.3894439339838796E-2</v>
      </c>
      <c r="C7" s="9">
        <v>6.097560975609756E-2</v>
      </c>
      <c r="D7" s="9">
        <v>4.6153846153846156E-2</v>
      </c>
      <c r="E7" s="9">
        <v>3.2863849765258218E-2</v>
      </c>
      <c r="F7" s="9">
        <v>6.2903225806451607E-2</v>
      </c>
      <c r="G7" s="9">
        <v>5.3459119496855348E-2</v>
      </c>
      <c r="H7" s="9">
        <v>0.06</v>
      </c>
      <c r="I7" s="10">
        <v>0.2024680445224997</v>
      </c>
      <c r="J7" s="10">
        <f t="shared" si="0"/>
        <v>0.2024680445224997</v>
      </c>
      <c r="K7" s="10">
        <f t="shared" si="0"/>
        <v>0.26097560975609757</v>
      </c>
      <c r="L7" s="10">
        <f t="shared" si="0"/>
        <v>0.23846153846153847</v>
      </c>
      <c r="M7" s="10">
        <f t="shared" si="0"/>
        <v>0.20187793427230047</v>
      </c>
      <c r="N7" s="10">
        <f t="shared" si="0"/>
        <v>0.27419354838709675</v>
      </c>
      <c r="O7" s="10">
        <f t="shared" si="0"/>
        <v>0.27044025157232704</v>
      </c>
      <c r="P7" s="10">
        <f t="shared" si="0"/>
        <v>0.25</v>
      </c>
    </row>
    <row r="8" spans="1:16" x14ac:dyDescent="0.3">
      <c r="A8" s="10" t="s">
        <v>23</v>
      </c>
      <c r="B8" s="9">
        <v>5.0593749636539155E-2</v>
      </c>
      <c r="C8" s="9">
        <v>3.9024390243902439E-2</v>
      </c>
      <c r="D8" s="9">
        <v>2.3076923076923078E-2</v>
      </c>
      <c r="E8" s="9">
        <v>3.2863849765258218E-2</v>
      </c>
      <c r="F8" s="9">
        <v>4.8387096774193547E-2</v>
      </c>
      <c r="G8" s="9">
        <v>6.6037735849056603E-2</v>
      </c>
      <c r="H8" s="9">
        <v>8.5000000000000006E-2</v>
      </c>
      <c r="I8" s="10">
        <v>0.25306179415903884</v>
      </c>
      <c r="J8" s="10">
        <f t="shared" si="0"/>
        <v>0.25306179415903884</v>
      </c>
      <c r="K8" s="10">
        <f t="shared" si="0"/>
        <v>0.3</v>
      </c>
      <c r="L8" s="10">
        <f t="shared" si="0"/>
        <v>0.26153846153846155</v>
      </c>
      <c r="M8" s="10">
        <f t="shared" si="0"/>
        <v>0.23474178403755869</v>
      </c>
      <c r="N8" s="10">
        <f t="shared" si="0"/>
        <v>0.32258064516129031</v>
      </c>
      <c r="O8" s="10">
        <f t="shared" si="0"/>
        <v>0.33647798742138363</v>
      </c>
      <c r="P8" s="10">
        <f t="shared" si="0"/>
        <v>0.33500000000000002</v>
      </c>
    </row>
    <row r="9" spans="1:16" x14ac:dyDescent="0.3">
      <c r="A9" s="10" t="s">
        <v>26</v>
      </c>
      <c r="B9" s="9">
        <v>5.9718070691680523E-2</v>
      </c>
      <c r="C9" s="9">
        <v>4.6341463414634146E-2</v>
      </c>
      <c r="D9" s="9">
        <v>2.3076923076923078E-2</v>
      </c>
      <c r="E9" s="9">
        <v>5.1643192488262914E-2</v>
      </c>
      <c r="F9" s="9">
        <v>8.387096774193549E-2</v>
      </c>
      <c r="G9" s="9">
        <v>8.4905660377358486E-2</v>
      </c>
      <c r="H9" s="9">
        <v>0.02</v>
      </c>
      <c r="I9" s="10">
        <v>0.31277986485071935</v>
      </c>
      <c r="J9" s="10">
        <f t="shared" si="0"/>
        <v>0.31277986485071935</v>
      </c>
      <c r="K9" s="10">
        <f t="shared" si="0"/>
        <v>0.34634146341463412</v>
      </c>
      <c r="L9" s="10">
        <f t="shared" si="0"/>
        <v>0.2846153846153846</v>
      </c>
      <c r="M9" s="10">
        <f t="shared" si="0"/>
        <v>0.28638497652582162</v>
      </c>
      <c r="N9" s="10">
        <f t="shared" si="0"/>
        <v>0.40645161290322579</v>
      </c>
      <c r="O9" s="10">
        <f t="shared" si="0"/>
        <v>0.4213836477987421</v>
      </c>
      <c r="P9" s="10">
        <f t="shared" si="0"/>
        <v>0.35500000000000004</v>
      </c>
    </row>
    <row r="10" spans="1:16" x14ac:dyDescent="0.3">
      <c r="A10" s="10" t="s">
        <v>22</v>
      </c>
      <c r="B10" s="9">
        <v>6.3224740925109615E-2</v>
      </c>
      <c r="C10" s="9">
        <v>3.9024390243902439E-2</v>
      </c>
      <c r="D10" s="9">
        <v>2.3076923076923078E-2</v>
      </c>
      <c r="E10" s="9">
        <v>1.8779342723004695E-2</v>
      </c>
      <c r="F10" s="9">
        <v>4.0322580645161289E-2</v>
      </c>
      <c r="G10" s="9">
        <v>2.8301886792452831E-2</v>
      </c>
      <c r="H10" s="9">
        <v>7.0000000000000007E-2</v>
      </c>
      <c r="I10" s="10">
        <v>0.37600460577582895</v>
      </c>
      <c r="J10" s="10">
        <f t="shared" si="0"/>
        <v>0.37600460577582895</v>
      </c>
      <c r="K10" s="10">
        <f t="shared" si="0"/>
        <v>0.38536585365853654</v>
      </c>
      <c r="L10" s="10">
        <f t="shared" si="0"/>
        <v>0.30769230769230771</v>
      </c>
      <c r="M10" s="10">
        <f t="shared" si="0"/>
        <v>0.30516431924882631</v>
      </c>
      <c r="N10" s="10">
        <f t="shared" si="0"/>
        <v>0.4467741935483871</v>
      </c>
      <c r="O10" s="10">
        <f t="shared" si="0"/>
        <v>0.44968553459119492</v>
      </c>
      <c r="P10" s="10">
        <f t="shared" si="0"/>
        <v>0.42500000000000004</v>
      </c>
    </row>
    <row r="11" spans="1:16" x14ac:dyDescent="0.3">
      <c r="A11" s="10" t="s">
        <v>29</v>
      </c>
      <c r="B11" s="9">
        <v>6.728387164307563E-2</v>
      </c>
      <c r="C11" s="9">
        <v>9.7560975609756101E-2</v>
      </c>
      <c r="D11" s="9">
        <v>6.9230769230769235E-2</v>
      </c>
      <c r="E11" s="9">
        <v>7.0422535211267609E-2</v>
      </c>
      <c r="F11" s="9">
        <v>0.05</v>
      </c>
      <c r="G11" s="9">
        <v>7.8616352201257858E-2</v>
      </c>
      <c r="H11" s="9">
        <v>4.4999999999999998E-2</v>
      </c>
      <c r="I11" s="10">
        <v>0.44328847741890459</v>
      </c>
      <c r="J11" s="10">
        <f t="shared" si="0"/>
        <v>0.44328847741890459</v>
      </c>
      <c r="K11" s="10">
        <f t="shared" si="0"/>
        <v>0.48292682926829267</v>
      </c>
      <c r="L11" s="10">
        <f t="shared" si="0"/>
        <v>0.37692307692307692</v>
      </c>
      <c r="M11" s="10">
        <f t="shared" si="0"/>
        <v>0.37558685446009393</v>
      </c>
      <c r="N11" s="10">
        <f t="shared" si="0"/>
        <v>0.49677419354838709</v>
      </c>
      <c r="O11" s="10">
        <f t="shared" si="0"/>
        <v>0.52830188679245282</v>
      </c>
      <c r="P11" s="10">
        <f t="shared" si="0"/>
        <v>0.47000000000000003</v>
      </c>
    </row>
    <row r="12" spans="1:16" x14ac:dyDescent="0.3">
      <c r="A12" s="10" t="s">
        <v>19</v>
      </c>
      <c r="B12" s="9">
        <v>7.1645401784156598E-2</v>
      </c>
      <c r="C12" s="9">
        <v>8.7804878048780483E-2</v>
      </c>
      <c r="D12" s="9">
        <v>0.2</v>
      </c>
      <c r="E12" s="9">
        <v>0.11267605633802817</v>
      </c>
      <c r="F12" s="9">
        <v>6.7741935483870974E-2</v>
      </c>
      <c r="G12" s="9">
        <v>8.1761006289308172E-2</v>
      </c>
      <c r="H12" s="9">
        <v>0.115</v>
      </c>
      <c r="I12" s="10">
        <v>0.51493387920306122</v>
      </c>
      <c r="J12" s="10">
        <f t="shared" si="0"/>
        <v>0.51493387920306122</v>
      </c>
      <c r="K12" s="10">
        <f t="shared" si="0"/>
        <v>0.57073170731707312</v>
      </c>
      <c r="L12" s="10">
        <f t="shared" si="0"/>
        <v>0.57692307692307687</v>
      </c>
      <c r="M12" s="10">
        <f t="shared" si="0"/>
        <v>0.48826291079812212</v>
      </c>
      <c r="N12" s="10">
        <f t="shared" si="0"/>
        <v>0.56451612903225801</v>
      </c>
      <c r="O12" s="10">
        <f t="shared" si="0"/>
        <v>0.61006289308176098</v>
      </c>
      <c r="P12" s="10">
        <f t="shared" si="0"/>
        <v>0.58500000000000008</v>
      </c>
    </row>
    <row r="13" spans="1:16" x14ac:dyDescent="0.3">
      <c r="A13" s="10" t="s">
        <v>21</v>
      </c>
      <c r="B13" s="9">
        <v>8.9998720617825281E-2</v>
      </c>
      <c r="C13" s="9">
        <v>0.11219512195121951</v>
      </c>
      <c r="D13" s="9">
        <v>0.14615384615384616</v>
      </c>
      <c r="E13" s="9">
        <v>7.5117370892018781E-2</v>
      </c>
      <c r="F13" s="9">
        <v>5.9677419354838709E-2</v>
      </c>
      <c r="G13" s="9">
        <v>1.8867924528301886E-2</v>
      </c>
      <c r="H13" s="9">
        <v>0.12</v>
      </c>
      <c r="I13" s="10">
        <v>0.60493259982088654</v>
      </c>
      <c r="J13" s="10">
        <f t="shared" si="0"/>
        <v>0.60493259982088654</v>
      </c>
      <c r="K13" s="10">
        <f t="shared" si="0"/>
        <v>0.68292682926829262</v>
      </c>
      <c r="L13" s="10">
        <f t="shared" ref="L13" si="1">L12+D13</f>
        <v>0.72307692307692306</v>
      </c>
      <c r="M13" s="10">
        <f t="shared" ref="M13" si="2">M12+E13</f>
        <v>0.56338028169014087</v>
      </c>
      <c r="N13" s="10">
        <f t="shared" ref="N13" si="3">N12+F13</f>
        <v>0.62419354838709673</v>
      </c>
      <c r="O13" s="10">
        <f t="shared" ref="O13" si="4">O12+G13</f>
        <v>0.62893081761006286</v>
      </c>
      <c r="P13" s="10">
        <f t="shared" ref="P13" si="5">P12+H13</f>
        <v>0.70500000000000007</v>
      </c>
    </row>
    <row r="14" spans="1:16" x14ac:dyDescent="0.3">
      <c r="A14" s="10" t="s">
        <v>20</v>
      </c>
      <c r="B14" s="9">
        <v>0.14861187034043197</v>
      </c>
      <c r="C14" s="9">
        <v>6.097560975609756E-2</v>
      </c>
      <c r="D14" s="9">
        <v>4.6153846153846156E-2</v>
      </c>
      <c r="E14" s="9">
        <v>6.1032863849765258E-2</v>
      </c>
      <c r="F14" s="9">
        <v>0.15</v>
      </c>
      <c r="G14" s="9">
        <v>0.12893081761006289</v>
      </c>
      <c r="H14" s="9">
        <v>7.4999999999999997E-2</v>
      </c>
      <c r="I14" s="10">
        <v>0.75354447016131854</v>
      </c>
      <c r="J14" s="10">
        <f t="shared" si="0"/>
        <v>0.75354447016131854</v>
      </c>
      <c r="K14" s="10">
        <f t="shared" ref="K14:K15" si="6">K13+C14</f>
        <v>0.74390243902439024</v>
      </c>
      <c r="L14" s="10">
        <f t="shared" ref="L14:L15" si="7">L13+D14</f>
        <v>0.76923076923076916</v>
      </c>
      <c r="M14" s="10">
        <f t="shared" ref="M14:M15" si="8">M13+E14</f>
        <v>0.62441314553990612</v>
      </c>
      <c r="N14" s="10">
        <f t="shared" ref="N14:N15" si="9">N13+F14</f>
        <v>0.77419354838709675</v>
      </c>
      <c r="O14" s="10">
        <f t="shared" ref="O14:O15" si="10">O13+G14</f>
        <v>0.75786163522012573</v>
      </c>
      <c r="P14" s="10">
        <f t="shared" ref="P14:P15" si="11">P13+H14</f>
        <v>0.78</v>
      </c>
    </row>
    <row r="15" spans="1:16" x14ac:dyDescent="0.3">
      <c r="A15" s="10" t="s">
        <v>16</v>
      </c>
      <c r="B15" s="9">
        <v>0.24645552983868155</v>
      </c>
      <c r="C15" s="9">
        <v>0.25609756097560976</v>
      </c>
      <c r="D15" s="9">
        <v>0.23076923076923078</v>
      </c>
      <c r="E15" s="9">
        <v>0.37558685446009388</v>
      </c>
      <c r="F15" s="9">
        <v>0.22580645161290322</v>
      </c>
      <c r="G15" s="9">
        <v>0.24213836477987422</v>
      </c>
      <c r="H15" s="9">
        <v>0.22</v>
      </c>
      <c r="I15" s="10">
        <v>1</v>
      </c>
      <c r="J15" s="10">
        <f t="shared" si="0"/>
        <v>1</v>
      </c>
      <c r="K15" s="10">
        <f t="shared" si="6"/>
        <v>1</v>
      </c>
      <c r="L15" s="10">
        <f t="shared" si="7"/>
        <v>1</v>
      </c>
      <c r="M15" s="10">
        <f t="shared" si="8"/>
        <v>1</v>
      </c>
      <c r="N15" s="10">
        <f t="shared" si="9"/>
        <v>1</v>
      </c>
      <c r="O15" s="10">
        <f t="shared" si="10"/>
        <v>1</v>
      </c>
      <c r="P15" s="10">
        <f t="shared" si="11"/>
        <v>1</v>
      </c>
    </row>
    <row r="17" spans="2:16" ht="28.8" x14ac:dyDescent="0.3">
      <c r="B17" s="1" t="s">
        <v>8</v>
      </c>
      <c r="C17" s="3" t="s">
        <v>65</v>
      </c>
      <c r="D17" s="3" t="s">
        <v>66</v>
      </c>
      <c r="E17" s="3" t="s">
        <v>67</v>
      </c>
      <c r="F17" s="3" t="s">
        <v>68</v>
      </c>
      <c r="G17" s="3" t="s">
        <v>69</v>
      </c>
      <c r="H17" s="3" t="s">
        <v>70</v>
      </c>
      <c r="J17" s="8"/>
      <c r="K17" s="12" t="s">
        <v>71</v>
      </c>
      <c r="L17" s="12" t="s">
        <v>72</v>
      </c>
      <c r="M17" s="12" t="s">
        <v>73</v>
      </c>
      <c r="N17" s="12" t="s">
        <v>74</v>
      </c>
      <c r="O17" s="12" t="s">
        <v>75</v>
      </c>
      <c r="P17" s="12" t="s">
        <v>76</v>
      </c>
    </row>
    <row r="18" spans="2:16" x14ac:dyDescent="0.3">
      <c r="B18" s="10" t="s">
        <v>17</v>
      </c>
      <c r="C18" s="10">
        <f>C2-B2</f>
        <v>2.6105296840777059E-2</v>
      </c>
      <c r="D18" s="10">
        <f>D2-B2</f>
        <v>3.2159910246419773E-3</v>
      </c>
      <c r="E18" s="10">
        <f>E2-B2</f>
        <v>2.408995274367412E-2</v>
      </c>
      <c r="F18" s="10">
        <f>F2-B2</f>
        <v>4.7048247715402378E-3</v>
      </c>
      <c r="G18" s="10">
        <f>G2-B2</f>
        <v>7.4864704786403724E-4</v>
      </c>
      <c r="H18" s="10">
        <f>H2-B2</f>
        <v>2.2446760255411209E-2</v>
      </c>
      <c r="J18" s="10" t="s">
        <v>17</v>
      </c>
      <c r="K18" s="8">
        <f>(J2-0) * (K2+0)</f>
        <v>1.4784665228803743E-3</v>
      </c>
      <c r="L18" s="8">
        <f>(J2-0) * (L2+0)</f>
        <v>8.4779199214119372E-4</v>
      </c>
      <c r="M18" s="8">
        <f>(J2-0) * (M2+0)</f>
        <v>1.422937263805055E-3</v>
      </c>
      <c r="N18" s="8">
        <f>(J2-0) * (N2+0)</f>
        <v>8.8881418530931588E-4</v>
      </c>
      <c r="O18" s="8">
        <f>(J2-0) * (O2+0)</f>
        <v>7.7980867201666399E-4</v>
      </c>
      <c r="P18" s="8">
        <f>(J2-0) * (P2+0)</f>
        <v>1.3776619872294398E-3</v>
      </c>
    </row>
    <row r="19" spans="2:16" x14ac:dyDescent="0.3">
      <c r="B19" s="10" t="s">
        <v>25</v>
      </c>
      <c r="C19" s="10">
        <f t="shared" ref="C19:C31" si="12">C3-B3</f>
        <v>-5.3670224067760147E-3</v>
      </c>
      <c r="D19" s="10">
        <f t="shared" ref="D19:D25" si="13">D3-B3</f>
        <v>1.011964460015731E-3</v>
      </c>
      <c r="E19" s="10">
        <f t="shared" ref="E19:E25" si="14">E3-B3</f>
        <v>-1.0977923586210345E-2</v>
      </c>
      <c r="F19" s="10">
        <f t="shared" ref="F19:F25" si="15">F3-B3</f>
        <v>5.7339507884333347E-2</v>
      </c>
      <c r="G19" s="10">
        <f t="shared" ref="G19:G25" si="16">G3-B3</f>
        <v>2.0557199099589994E-2</v>
      </c>
      <c r="H19" s="10">
        <f t="shared" ref="H19:H25" si="17">H3-B3</f>
        <v>1.5242733690784958E-2</v>
      </c>
      <c r="J19" s="10" t="s">
        <v>25</v>
      </c>
      <c r="K19" s="8">
        <f>(J3-J2) * (K3+K2)</f>
        <v>3.9192497090185666E-3</v>
      </c>
      <c r="L19" s="8">
        <f>(J3-J2) * (L3+L2)</f>
        <v>2.7468245823890807E-3</v>
      </c>
      <c r="M19" s="8">
        <f>(J3-J2) * (M3+M2)</f>
        <v>3.6323423663830569E-3</v>
      </c>
      <c r="N19" s="8">
        <f>(J3-J2) * (N3+N2)</f>
        <v>4.5115855372035709E-3</v>
      </c>
      <c r="O19" s="8">
        <f>(J3-J2) * (O3+O2)</f>
        <v>3.1815945110481489E-3</v>
      </c>
      <c r="P19" s="8">
        <f>(J3-J2) * (P3+P2)</f>
        <v>4.314803614836181E-3</v>
      </c>
    </row>
    <row r="20" spans="2:16" x14ac:dyDescent="0.3">
      <c r="B20" s="10" t="s">
        <v>24</v>
      </c>
      <c r="C20" s="10">
        <f t="shared" si="12"/>
        <v>3.929660646005733E-3</v>
      </c>
      <c r="D20" s="10">
        <f t="shared" si="13"/>
        <v>-2.2524373125101211E-2</v>
      </c>
      <c r="E20" s="10">
        <f t="shared" si="14"/>
        <v>-1.6132173775155384E-2</v>
      </c>
      <c r="F20" s="10">
        <f t="shared" si="15"/>
        <v>-7.6360356561185824E-3</v>
      </c>
      <c r="G20" s="10">
        <f t="shared" si="16"/>
        <v>7.5191682391948685E-3</v>
      </c>
      <c r="H20" s="10">
        <f t="shared" si="17"/>
        <v>-2.166808174089048E-4</v>
      </c>
      <c r="J20" s="10" t="s">
        <v>24</v>
      </c>
      <c r="K20" s="8">
        <f t="shared" ref="K20:K31" si="18">(J4-J3) * (K4+K3)</f>
        <v>5.748539277458279E-3</v>
      </c>
      <c r="L20" s="8">
        <f t="shared" ref="L20:L31" si="19">(J4-J3) * (L4+L3)</f>
        <v>3.9514121068919333E-3</v>
      </c>
      <c r="M20" s="8">
        <f t="shared" ref="M20:M31" si="20">(J4-J3) * (M4+M3)</f>
        <v>4.6814575914295485E-3</v>
      </c>
      <c r="N20" s="8">
        <f t="shared" ref="N20:N31" si="21">(J4-J3) * (N4+N3)</f>
        <v>7.8953262780971645E-3</v>
      </c>
      <c r="O20" s="8">
        <f t="shared" ref="O20:O31" si="22">(J4-J3) * (O4+O3)</f>
        <v>5.8913025493061381E-3</v>
      </c>
      <c r="P20" s="8">
        <f t="shared" ref="P20:P31" si="23">(J4-J3) * (P4+P3)</f>
        <v>6.6476697798299577E-3</v>
      </c>
    </row>
    <row r="21" spans="2:16" x14ac:dyDescent="0.3">
      <c r="B21" s="10" t="s">
        <v>28</v>
      </c>
      <c r="C21" s="10">
        <f t="shared" si="12"/>
        <v>2.340114815330686E-2</v>
      </c>
      <c r="D21" s="10">
        <f t="shared" si="13"/>
        <v>5.4357996183325624E-2</v>
      </c>
      <c r="E21" s="10">
        <f t="shared" si="14"/>
        <v>1.199613269470157E-2</v>
      </c>
      <c r="F21" s="10">
        <f t="shared" si="15"/>
        <v>3.8777285826358671E-4</v>
      </c>
      <c r="G21" s="10">
        <f t="shared" si="16"/>
        <v>4.8358963769198862E-2</v>
      </c>
      <c r="H21" s="10">
        <f t="shared" si="17"/>
        <v>-5.257388432058991E-3</v>
      </c>
      <c r="J21" s="10" t="s">
        <v>28</v>
      </c>
      <c r="K21" s="8">
        <f t="shared" si="18"/>
        <v>8.413029954279819E-3</v>
      </c>
      <c r="L21" s="8">
        <f t="shared" si="19"/>
        <v>6.7497251117670069E-3</v>
      </c>
      <c r="M21" s="8">
        <f t="shared" si="20"/>
        <v>6.3924060067730272E-3</v>
      </c>
      <c r="N21" s="8">
        <f t="shared" si="21"/>
        <v>9.5164366842766194E-3</v>
      </c>
      <c r="O21" s="8">
        <f t="shared" si="22"/>
        <v>9.4197530024334626E-3</v>
      </c>
      <c r="P21" s="8">
        <f t="shared" si="23"/>
        <v>8.3207818188162242E-3</v>
      </c>
    </row>
    <row r="22" spans="2:16" x14ac:dyDescent="0.3">
      <c r="B22" s="10" t="s">
        <v>27</v>
      </c>
      <c r="C22" s="10">
        <f t="shared" si="12"/>
        <v>-6.6426884159745195E-3</v>
      </c>
      <c r="D22" s="10">
        <f t="shared" si="13"/>
        <v>-2.3274914178506925E-3</v>
      </c>
      <c r="E22" s="10">
        <f t="shared" si="14"/>
        <v>1.4644912473714064E-3</v>
      </c>
      <c r="F22" s="10">
        <f t="shared" si="15"/>
        <v>-2.0793524600343158E-3</v>
      </c>
      <c r="G22" s="10">
        <f t="shared" si="16"/>
        <v>-1.8776451263036956E-2</v>
      </c>
      <c r="H22" s="10">
        <f t="shared" si="17"/>
        <v>-7.8902987938915536E-4</v>
      </c>
      <c r="J22" s="10" t="s">
        <v>27</v>
      </c>
      <c r="K22" s="8">
        <f t="shared" si="18"/>
        <v>1.492281580953262E-2</v>
      </c>
      <c r="L22" s="8">
        <f t="shared" si="19"/>
        <v>1.4119279573634709E-2</v>
      </c>
      <c r="M22" s="8">
        <f t="shared" si="20"/>
        <v>1.2064360950241866E-2</v>
      </c>
      <c r="N22" s="8">
        <f t="shared" si="21"/>
        <v>1.5657724373055841E-2</v>
      </c>
      <c r="O22" s="8">
        <f t="shared" si="22"/>
        <v>1.6803028032075409E-2</v>
      </c>
      <c r="P22" s="8">
        <f t="shared" si="23"/>
        <v>1.3868270158992314E-2</v>
      </c>
    </row>
    <row r="23" spans="2:16" x14ac:dyDescent="0.3">
      <c r="B23" s="10" t="s">
        <v>18</v>
      </c>
      <c r="C23" s="10">
        <f t="shared" si="12"/>
        <v>1.7081170416258763E-2</v>
      </c>
      <c r="D23" s="10">
        <f t="shared" si="13"/>
        <v>2.25940681400736E-3</v>
      </c>
      <c r="E23" s="10">
        <f t="shared" si="14"/>
        <v>-1.1030589574580578E-2</v>
      </c>
      <c r="F23" s="10">
        <f t="shared" si="15"/>
        <v>1.9008786466612811E-2</v>
      </c>
      <c r="G23" s="10">
        <f t="shared" si="16"/>
        <v>9.5646801570165516E-3</v>
      </c>
      <c r="H23" s="10">
        <f t="shared" si="17"/>
        <v>1.6105560660161201E-2</v>
      </c>
      <c r="J23" s="10" t="s">
        <v>18</v>
      </c>
      <c r="K23" s="8">
        <f t="shared" si="18"/>
        <v>2.0234265939584231E-2</v>
      </c>
      <c r="L23" s="8">
        <f t="shared" si="19"/>
        <v>1.8908373869469024E-2</v>
      </c>
      <c r="M23" s="8">
        <f t="shared" si="20"/>
        <v>1.6280097219940216E-2</v>
      </c>
      <c r="N23" s="8">
        <f t="shared" si="21"/>
        <v>2.1310042324663676E-2</v>
      </c>
      <c r="O23" s="8">
        <f t="shared" si="22"/>
        <v>2.1395088357468599E-2</v>
      </c>
      <c r="P23" s="8">
        <f t="shared" si="23"/>
        <v>1.9313553309529073E-2</v>
      </c>
    </row>
    <row r="24" spans="2:16" x14ac:dyDescent="0.3">
      <c r="B24" s="10" t="s">
        <v>23</v>
      </c>
      <c r="C24" s="10">
        <f t="shared" si="12"/>
        <v>-1.1569359392636716E-2</v>
      </c>
      <c r="D24" s="10">
        <f t="shared" si="13"/>
        <v>-2.7516826559616077E-2</v>
      </c>
      <c r="E24" s="10">
        <f t="shared" si="14"/>
        <v>-1.7729899871280937E-2</v>
      </c>
      <c r="F24" s="10">
        <f t="shared" si="15"/>
        <v>-2.206652862345608E-3</v>
      </c>
      <c r="G24" s="10">
        <f t="shared" si="16"/>
        <v>1.5443986212517448E-2</v>
      </c>
      <c r="H24" s="10">
        <f t="shared" si="17"/>
        <v>3.4406250363460851E-2</v>
      </c>
      <c r="J24" s="10" t="s">
        <v>23</v>
      </c>
      <c r="K24" s="8">
        <f t="shared" si="18"/>
        <v>2.8381859552204892E-2</v>
      </c>
      <c r="L24" s="8">
        <f t="shared" si="19"/>
        <v>2.5296874818269574E-2</v>
      </c>
      <c r="M24" s="8">
        <f t="shared" si="20"/>
        <v>2.209022871454526E-2</v>
      </c>
      <c r="N24" s="8">
        <f t="shared" si="21"/>
        <v>3.0193044137934649E-2</v>
      </c>
      <c r="O24" s="8">
        <f t="shared" si="22"/>
        <v>3.0706269433497028E-2</v>
      </c>
      <c r="P24" s="8">
        <f t="shared" si="23"/>
        <v>2.9597343537375399E-2</v>
      </c>
    </row>
    <row r="25" spans="2:16" x14ac:dyDescent="0.3">
      <c r="B25" s="10" t="s">
        <v>26</v>
      </c>
      <c r="C25" s="10">
        <f t="shared" si="12"/>
        <v>-1.3376607277046378E-2</v>
      </c>
      <c r="D25" s="10">
        <f t="shared" si="13"/>
        <v>-3.6641147614757445E-2</v>
      </c>
      <c r="E25" s="10">
        <f t="shared" si="14"/>
        <v>-8.0748782034176098E-3</v>
      </c>
      <c r="F25" s="10">
        <f t="shared" si="15"/>
        <v>2.4152897050254966E-2</v>
      </c>
      <c r="G25" s="10">
        <f t="shared" si="16"/>
        <v>2.5187589685677962E-2</v>
      </c>
      <c r="H25" s="10">
        <f t="shared" si="17"/>
        <v>-3.9718070691680527E-2</v>
      </c>
      <c r="J25" s="10" t="s">
        <v>26</v>
      </c>
      <c r="K25" s="8">
        <f t="shared" si="18"/>
        <v>3.8598265203159343E-2</v>
      </c>
      <c r="L25" s="8">
        <f t="shared" si="19"/>
        <v>3.2615253993148588E-2</v>
      </c>
      <c r="M25" s="8">
        <f t="shared" si="20"/>
        <v>3.1120684726650402E-2</v>
      </c>
      <c r="N25" s="8">
        <f t="shared" si="21"/>
        <v>4.3536399923612239E-2</v>
      </c>
      <c r="O25" s="8">
        <f t="shared" si="22"/>
        <v>4.5258034706588048E-2</v>
      </c>
      <c r="P25" s="8">
        <f t="shared" si="23"/>
        <v>4.120546877725955E-2</v>
      </c>
    </row>
    <row r="26" spans="2:16" x14ac:dyDescent="0.3">
      <c r="B26" s="10" t="s">
        <v>22</v>
      </c>
      <c r="C26" s="10">
        <f t="shared" si="12"/>
        <v>-2.4200350681207176E-2</v>
      </c>
      <c r="D26" s="10">
        <f t="shared" ref="D26:D31" si="24">D10-B10</f>
        <v>-4.0147817848186537E-2</v>
      </c>
      <c r="E26" s="10">
        <f t="shared" ref="E26:E31" si="25">E10-B10</f>
        <v>-4.444539820210492E-2</v>
      </c>
      <c r="F26" s="10">
        <f t="shared" ref="F26:F31" si="26">F10-B10</f>
        <v>-2.2902160279948326E-2</v>
      </c>
      <c r="G26" s="10">
        <f t="shared" ref="G26:G31" si="27">G10-B10</f>
        <v>-3.4922854132656785E-2</v>
      </c>
      <c r="H26" s="10">
        <f t="shared" ref="H26:H31" si="28">H10-B10</f>
        <v>6.7752590748903913E-3</v>
      </c>
      <c r="J26" s="10" t="s">
        <v>22</v>
      </c>
      <c r="K26" s="8">
        <f t="shared" si="18"/>
        <v>4.6262005554958241E-2</v>
      </c>
      <c r="L26" s="8">
        <f t="shared" si="19"/>
        <v>3.7448500394103378E-2</v>
      </c>
      <c r="M26" s="8">
        <f t="shared" si="20"/>
        <v>3.7400550969783154E-2</v>
      </c>
      <c r="N26" s="8">
        <f t="shared" si="21"/>
        <v>5.3944980563520935E-2</v>
      </c>
      <c r="O26" s="8">
        <f t="shared" si="22"/>
        <v>5.5073123384450813E-2</v>
      </c>
      <c r="P26" s="8">
        <f t="shared" si="23"/>
        <v>4.9315297921585489E-2</v>
      </c>
    </row>
    <row r="27" spans="2:16" x14ac:dyDescent="0.3">
      <c r="B27" s="10" t="s">
        <v>29</v>
      </c>
      <c r="C27" s="10">
        <f t="shared" si="12"/>
        <v>3.0277103966680471E-2</v>
      </c>
      <c r="D27" s="10">
        <f t="shared" si="24"/>
        <v>1.9468975876936051E-3</v>
      </c>
      <c r="E27" s="10">
        <f t="shared" si="25"/>
        <v>3.1386635681919794E-3</v>
      </c>
      <c r="F27" s="10">
        <f t="shared" si="26"/>
        <v>-1.7283871643075627E-2</v>
      </c>
      <c r="G27" s="10">
        <f t="shared" si="27"/>
        <v>1.1332480558182229E-2</v>
      </c>
      <c r="H27" s="10">
        <f t="shared" si="28"/>
        <v>-2.2283871643075631E-2</v>
      </c>
      <c r="J27" s="10" t="s">
        <v>29</v>
      </c>
      <c r="K27" s="8">
        <f t="shared" si="18"/>
        <v>5.8422093426670547E-2</v>
      </c>
      <c r="L27" s="8">
        <f t="shared" si="19"/>
        <v>4.6063573663336403E-2</v>
      </c>
      <c r="M27" s="8">
        <f t="shared" si="20"/>
        <v>4.580357459270408E-2</v>
      </c>
      <c r="N27" s="8">
        <f t="shared" si="21"/>
        <v>6.348558856645041E-2</v>
      </c>
      <c r="O27" s="8">
        <f t="shared" si="22"/>
        <v>6.580278012891988E-2</v>
      </c>
      <c r="P27" s="8">
        <f t="shared" si="23"/>
        <v>6.0219065120552702E-2</v>
      </c>
    </row>
    <row r="28" spans="2:16" x14ac:dyDescent="0.3">
      <c r="B28" s="10" t="s">
        <v>19</v>
      </c>
      <c r="C28" s="10">
        <f t="shared" si="12"/>
        <v>1.6159476264623884E-2</v>
      </c>
      <c r="D28" s="10">
        <f t="shared" si="24"/>
        <v>0.12835459821584341</v>
      </c>
      <c r="E28" s="10">
        <f t="shared" si="25"/>
        <v>4.1030654553871573E-2</v>
      </c>
      <c r="F28" s="10">
        <f t="shared" si="26"/>
        <v>-3.903466300285624E-3</v>
      </c>
      <c r="G28" s="10">
        <f t="shared" si="27"/>
        <v>1.0115604505151574E-2</v>
      </c>
      <c r="H28" s="10">
        <f t="shared" si="28"/>
        <v>4.3354598215843407E-2</v>
      </c>
      <c r="J28" s="10" t="s">
        <v>19</v>
      </c>
      <c r="K28" s="8">
        <f t="shared" si="18"/>
        <v>7.5489789196965029E-2</v>
      </c>
      <c r="L28" s="8">
        <f t="shared" si="19"/>
        <v>6.8338690932580159E-2</v>
      </c>
      <c r="M28" s="8">
        <f t="shared" si="20"/>
        <v>6.1890863513074268E-2</v>
      </c>
      <c r="N28" s="8">
        <f t="shared" si="21"/>
        <v>7.6036571570927511E-2</v>
      </c>
      <c r="O28" s="8">
        <f t="shared" si="22"/>
        <v>8.1558602031021069E-2</v>
      </c>
      <c r="P28" s="8">
        <f t="shared" si="23"/>
        <v>7.5585898882285257E-2</v>
      </c>
    </row>
    <row r="29" spans="2:16" x14ac:dyDescent="0.3">
      <c r="B29" s="10" t="s">
        <v>21</v>
      </c>
      <c r="C29" s="10">
        <f t="shared" si="12"/>
        <v>2.2196401333394233E-2</v>
      </c>
      <c r="D29" s="10">
        <f t="shared" si="24"/>
        <v>5.6155125536020881E-2</v>
      </c>
      <c r="E29" s="10">
        <f t="shared" si="25"/>
        <v>-1.48813497258065E-2</v>
      </c>
      <c r="F29" s="10">
        <f t="shared" si="26"/>
        <v>-3.0321301262986572E-2</v>
      </c>
      <c r="G29" s="10">
        <f t="shared" si="27"/>
        <v>-7.1130796089523399E-2</v>
      </c>
      <c r="H29" s="10">
        <f t="shared" si="28"/>
        <v>3.0001279382174714E-2</v>
      </c>
      <c r="J29" s="10" t="s">
        <v>21</v>
      </c>
      <c r="K29" s="8">
        <f t="shared" si="18"/>
        <v>0.11282766438429807</v>
      </c>
      <c r="L29" s="8">
        <f t="shared" si="19"/>
        <v>0.1169983368031729</v>
      </c>
      <c r="M29" s="8">
        <f t="shared" si="20"/>
        <v>9.4646541870389081E-2</v>
      </c>
      <c r="N29" s="8">
        <f t="shared" si="21"/>
        <v>0.10698235015376976</v>
      </c>
      <c r="O29" s="8">
        <f t="shared" si="22"/>
        <v>0.11150784881579615</v>
      </c>
      <c r="P29" s="8">
        <f t="shared" si="23"/>
        <v>0.11609834959699467</v>
      </c>
    </row>
    <row r="30" spans="2:16" x14ac:dyDescent="0.3">
      <c r="B30" s="10" t="s">
        <v>20</v>
      </c>
      <c r="C30" s="10">
        <f t="shared" si="12"/>
        <v>-8.7636260584334408E-2</v>
      </c>
      <c r="D30" s="10">
        <f t="shared" si="24"/>
        <v>-0.10245802418658581</v>
      </c>
      <c r="E30" s="10">
        <f t="shared" si="25"/>
        <v>-8.7579006490666717E-2</v>
      </c>
      <c r="F30" s="10">
        <f t="shared" si="26"/>
        <v>1.388129659568027E-3</v>
      </c>
      <c r="G30" s="10">
        <f t="shared" si="27"/>
        <v>-1.9681052730369075E-2</v>
      </c>
      <c r="H30" s="10">
        <f t="shared" si="28"/>
        <v>-7.361187034043197E-2</v>
      </c>
      <c r="J30" s="10" t="s">
        <v>20</v>
      </c>
      <c r="K30" s="8">
        <f t="shared" si="18"/>
        <v>0.21204376621744564</v>
      </c>
      <c r="L30" s="8">
        <f t="shared" si="19"/>
        <v>0.22177463727726004</v>
      </c>
      <c r="M30" s="8">
        <f t="shared" si="20"/>
        <v>0.1765202027987291</v>
      </c>
      <c r="N30" s="8">
        <f t="shared" si="21"/>
        <v>0.20781692191153958</v>
      </c>
      <c r="O30" s="8">
        <f t="shared" si="22"/>
        <v>0.20609382018908964</v>
      </c>
      <c r="P30" s="8">
        <f t="shared" si="23"/>
        <v>0.22068862745554152</v>
      </c>
    </row>
    <row r="31" spans="2:16" x14ac:dyDescent="0.3">
      <c r="B31" s="10" t="s">
        <v>16</v>
      </c>
      <c r="C31" s="10">
        <f t="shared" si="12"/>
        <v>9.6420311369282141E-3</v>
      </c>
      <c r="D31" s="10">
        <f t="shared" si="24"/>
        <v>-1.5686299069450765E-2</v>
      </c>
      <c r="E31" s="10">
        <f t="shared" si="25"/>
        <v>0.12913132462141233</v>
      </c>
      <c r="F31" s="10">
        <f t="shared" si="26"/>
        <v>-2.0649078225778328E-2</v>
      </c>
      <c r="G31" s="10">
        <f t="shared" si="27"/>
        <v>-4.3171650588073318E-3</v>
      </c>
      <c r="H31" s="10">
        <f t="shared" si="28"/>
        <v>-2.6455529838681546E-2</v>
      </c>
      <c r="J31" s="10" t="s">
        <v>16</v>
      </c>
      <c r="K31" s="8">
        <f t="shared" si="18"/>
        <v>0.429794399596725</v>
      </c>
      <c r="L31" s="8">
        <f t="shared" si="19"/>
        <v>0.43603670663766719</v>
      </c>
      <c r="M31" s="8">
        <f t="shared" si="20"/>
        <v>0.40034560246095674</v>
      </c>
      <c r="N31" s="8">
        <f t="shared" si="21"/>
        <v>0.43725981100411226</v>
      </c>
      <c r="O31" s="8">
        <f t="shared" si="22"/>
        <v>0.43323472069126706</v>
      </c>
      <c r="P31" s="8">
        <f t="shared" si="23"/>
        <v>0.438690843112853</v>
      </c>
    </row>
    <row r="32" spans="2:16" x14ac:dyDescent="0.3">
      <c r="J32" s="12" t="s">
        <v>77</v>
      </c>
      <c r="K32" s="12">
        <f>SUM(K18:K31)</f>
        <v>1.0565362103451807</v>
      </c>
      <c r="L32" s="12">
        <f t="shared" ref="L32:P32" si="29">SUM(L18:L31)</f>
        <v>1.0318959817558311</v>
      </c>
      <c r="M32" s="12">
        <f t="shared" si="29"/>
        <v>0.91429185104540489</v>
      </c>
      <c r="N32" s="12">
        <f t="shared" si="29"/>
        <v>1.0790355972144736</v>
      </c>
      <c r="O32" s="12">
        <f t="shared" si="29"/>
        <v>1.086705774504978</v>
      </c>
      <c r="P32" s="12">
        <f t="shared" si="29"/>
        <v>1.0852436350736809</v>
      </c>
    </row>
    <row r="33" spans="10:16" x14ac:dyDescent="0.3">
      <c r="J33" s="13" t="s">
        <v>78</v>
      </c>
      <c r="K33" s="13">
        <f>1-K32</f>
        <v>-5.6536210345180749E-2</v>
      </c>
      <c r="L33" s="13">
        <f t="shared" ref="L33:P33" si="30">1-L32</f>
        <v>-3.1895981755831082E-2</v>
      </c>
      <c r="M33" s="13">
        <f t="shared" si="30"/>
        <v>8.5708148954595109E-2</v>
      </c>
      <c r="N33" s="13">
        <f t="shared" si="30"/>
        <v>-7.9035597214473619E-2</v>
      </c>
      <c r="O33" s="13">
        <f t="shared" si="30"/>
        <v>-8.6705774504977962E-2</v>
      </c>
      <c r="P33" s="13">
        <f t="shared" si="30"/>
        <v>-8.5243635073680935E-2</v>
      </c>
    </row>
  </sheetData>
  <sortState xmlns:xlrd2="http://schemas.microsoft.com/office/spreadsheetml/2017/richdata2" ref="A2:P16">
    <sortCondition ref="B1:B16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43D6-10CA-4F4E-B6AC-D0BCE921BA8C}">
  <dimension ref="A1:P17"/>
  <sheetViews>
    <sheetView workbookViewId="0">
      <selection activeCell="K20" sqref="K20"/>
    </sheetView>
  </sheetViews>
  <sheetFormatPr defaultRowHeight="14.4" x14ac:dyDescent="0.3"/>
  <sheetData>
    <row r="1" spans="1:16" ht="28.2" customHeight="1" x14ac:dyDescent="0.3">
      <c r="A1" s="1" t="s">
        <v>8</v>
      </c>
      <c r="B1" s="2" t="s">
        <v>9</v>
      </c>
      <c r="C1" s="3" t="s">
        <v>10</v>
      </c>
      <c r="D1" s="3" t="s">
        <v>11</v>
      </c>
      <c r="E1" s="3" t="s">
        <v>12</v>
      </c>
      <c r="F1" s="2" t="s">
        <v>13</v>
      </c>
      <c r="G1" s="3" t="s">
        <v>14</v>
      </c>
      <c r="H1" s="3" t="s">
        <v>15</v>
      </c>
      <c r="I1" s="4" t="s">
        <v>9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</row>
    <row r="2" spans="1:16" x14ac:dyDescent="0.3">
      <c r="A2" s="10" t="s">
        <v>33</v>
      </c>
      <c r="B2" s="9">
        <v>7.9794890248290756E-2</v>
      </c>
      <c r="C2" s="9">
        <v>0.17857142857142858</v>
      </c>
      <c r="D2" s="9">
        <v>0.16049382716049382</v>
      </c>
      <c r="E2" s="9">
        <v>0.23529411764705882</v>
      </c>
      <c r="F2" s="9">
        <v>0.19727891156462585</v>
      </c>
      <c r="G2" s="9">
        <v>7.6923076923076927E-2</v>
      </c>
      <c r="H2" s="9">
        <v>7.3529411764705885E-2</v>
      </c>
      <c r="I2" s="10">
        <v>7.9794890248290756E-2</v>
      </c>
      <c r="J2" s="9">
        <v>7.9794890248290756E-2</v>
      </c>
      <c r="K2" s="9">
        <v>0.17857142857142858</v>
      </c>
      <c r="L2" s="9">
        <v>0.16049382716049382</v>
      </c>
      <c r="M2" s="9">
        <v>0.23529411764705882</v>
      </c>
      <c r="N2" s="9">
        <v>0.19727891156462585</v>
      </c>
      <c r="O2" s="9">
        <v>7.6923076923076927E-2</v>
      </c>
      <c r="P2" s="9">
        <v>7.3529411764705885E-2</v>
      </c>
    </row>
    <row r="3" spans="1:16" x14ac:dyDescent="0.3">
      <c r="A3" s="10" t="s">
        <v>31</v>
      </c>
      <c r="B3" s="9">
        <v>8.4090500179920841E-2</v>
      </c>
      <c r="C3" s="9">
        <v>9.5238095238095233E-2</v>
      </c>
      <c r="D3" s="9">
        <v>6.1728395061728392E-2</v>
      </c>
      <c r="E3" s="9">
        <v>9.4117647058823528E-2</v>
      </c>
      <c r="F3" s="9">
        <v>0.12244897959183673</v>
      </c>
      <c r="G3" s="9">
        <v>0.14102564102564102</v>
      </c>
      <c r="H3" s="9">
        <v>8.8235294117647065E-2</v>
      </c>
      <c r="I3" s="10">
        <v>0.1638853904282116</v>
      </c>
      <c r="J3" s="10">
        <f t="shared" ref="J3:P7" si="0">J2+B3</f>
        <v>0.1638853904282116</v>
      </c>
      <c r="K3" s="10">
        <f t="shared" si="0"/>
        <v>0.27380952380952384</v>
      </c>
      <c r="L3" s="10">
        <f t="shared" si="0"/>
        <v>0.22222222222222221</v>
      </c>
      <c r="M3" s="10">
        <f t="shared" si="0"/>
        <v>0.32941176470588235</v>
      </c>
      <c r="N3" s="10">
        <f t="shared" si="0"/>
        <v>0.31972789115646261</v>
      </c>
      <c r="O3" s="10">
        <f t="shared" si="0"/>
        <v>0.21794871794871795</v>
      </c>
      <c r="P3" s="10">
        <f t="shared" si="0"/>
        <v>0.16176470588235295</v>
      </c>
    </row>
    <row r="4" spans="1:16" x14ac:dyDescent="0.3">
      <c r="A4" s="10" t="s">
        <v>35</v>
      </c>
      <c r="B4" s="9">
        <v>8.6609391867578267E-2</v>
      </c>
      <c r="C4" s="9">
        <v>6.5476190476190479E-2</v>
      </c>
      <c r="D4" s="9">
        <v>1.2345679012345678E-2</v>
      </c>
      <c r="E4" s="9">
        <v>7.0588235294117646E-2</v>
      </c>
      <c r="F4" s="9">
        <v>2.7210884353741496E-2</v>
      </c>
      <c r="G4" s="9">
        <v>4.4871794871794872E-2</v>
      </c>
      <c r="H4" s="9">
        <v>5.8823529411764705E-2</v>
      </c>
      <c r="I4" s="10">
        <v>0.25049478229578986</v>
      </c>
      <c r="J4" s="10">
        <f t="shared" si="0"/>
        <v>0.25049478229578986</v>
      </c>
      <c r="K4" s="10">
        <f t="shared" si="0"/>
        <v>0.3392857142857143</v>
      </c>
      <c r="L4" s="10">
        <f t="shared" si="0"/>
        <v>0.23456790123456789</v>
      </c>
      <c r="M4" s="10">
        <f t="shared" si="0"/>
        <v>0.4</v>
      </c>
      <c r="N4" s="10">
        <f t="shared" si="0"/>
        <v>0.34693877551020408</v>
      </c>
      <c r="O4" s="10">
        <f t="shared" si="0"/>
        <v>0.26282051282051283</v>
      </c>
      <c r="P4" s="10">
        <f t="shared" si="0"/>
        <v>0.22058823529411764</v>
      </c>
    </row>
    <row r="5" spans="1:16" x14ac:dyDescent="0.3">
      <c r="A5" s="10" t="s">
        <v>34</v>
      </c>
      <c r="B5" s="9">
        <v>9.5830334652752786E-2</v>
      </c>
      <c r="C5" s="9">
        <v>5.9523809523809521E-2</v>
      </c>
      <c r="D5" s="9">
        <v>0.13580246913580246</v>
      </c>
      <c r="E5" s="9">
        <v>7.0588235294117646E-2</v>
      </c>
      <c r="F5" s="9">
        <v>9.5238095238095233E-2</v>
      </c>
      <c r="G5" s="9">
        <v>0.10897435897435898</v>
      </c>
      <c r="H5" s="9">
        <v>5.8823529411764705E-2</v>
      </c>
      <c r="I5" s="10">
        <v>0.34632511694854262</v>
      </c>
      <c r="J5" s="10">
        <f t="shared" si="0"/>
        <v>0.34632511694854262</v>
      </c>
      <c r="K5" s="10">
        <f t="shared" si="0"/>
        <v>0.39880952380952384</v>
      </c>
      <c r="L5" s="10">
        <f t="shared" si="0"/>
        <v>0.37037037037037035</v>
      </c>
      <c r="M5" s="10">
        <f t="shared" si="0"/>
        <v>0.47058823529411764</v>
      </c>
      <c r="N5" s="10">
        <f t="shared" si="0"/>
        <v>0.44217687074829931</v>
      </c>
      <c r="O5" s="10">
        <f t="shared" si="0"/>
        <v>0.37179487179487181</v>
      </c>
      <c r="P5" s="10">
        <f t="shared" si="0"/>
        <v>0.27941176470588236</v>
      </c>
    </row>
    <row r="6" spans="1:16" x14ac:dyDescent="0.3">
      <c r="A6" s="10" t="s">
        <v>32</v>
      </c>
      <c r="B6" s="9">
        <v>0.13174703130622525</v>
      </c>
      <c r="C6" s="9">
        <v>0.17857142857142858</v>
      </c>
      <c r="D6" s="9">
        <v>0.12345679012345678</v>
      </c>
      <c r="E6" s="9">
        <v>0.18823529411764706</v>
      </c>
      <c r="F6" s="9">
        <v>0.14285714285714285</v>
      </c>
      <c r="G6" s="9">
        <v>0.14102564102564102</v>
      </c>
      <c r="H6" s="9">
        <v>0.20588235294117646</v>
      </c>
      <c r="I6" s="10">
        <v>0.47807214825476785</v>
      </c>
      <c r="J6" s="10">
        <f t="shared" si="0"/>
        <v>0.47807214825476785</v>
      </c>
      <c r="K6" s="10">
        <f t="shared" si="0"/>
        <v>0.57738095238095244</v>
      </c>
      <c r="L6" s="10">
        <f t="shared" si="0"/>
        <v>0.49382716049382713</v>
      </c>
      <c r="M6" s="10">
        <f t="shared" si="0"/>
        <v>0.6588235294117647</v>
      </c>
      <c r="N6" s="10">
        <f t="shared" si="0"/>
        <v>0.58503401360544216</v>
      </c>
      <c r="O6" s="10">
        <f t="shared" si="0"/>
        <v>0.51282051282051277</v>
      </c>
      <c r="P6" s="10">
        <f t="shared" si="0"/>
        <v>0.48529411764705882</v>
      </c>
    </row>
    <row r="7" spans="1:16" x14ac:dyDescent="0.3">
      <c r="A7" s="10" t="s">
        <v>30</v>
      </c>
      <c r="B7" s="9">
        <v>0.52192785174523215</v>
      </c>
      <c r="C7" s="9">
        <v>0.42261904761904762</v>
      </c>
      <c r="D7" s="9">
        <v>0.50617283950617287</v>
      </c>
      <c r="E7" s="9">
        <v>0.3411764705882353</v>
      </c>
      <c r="F7" s="9">
        <v>0.41496598639455784</v>
      </c>
      <c r="G7" s="9">
        <v>0.48717948717948717</v>
      </c>
      <c r="H7" s="9">
        <v>0.51470588235294112</v>
      </c>
      <c r="I7" s="10">
        <v>1</v>
      </c>
      <c r="J7" s="10">
        <f t="shared" si="0"/>
        <v>1</v>
      </c>
      <c r="K7" s="10">
        <f t="shared" si="0"/>
        <v>1</v>
      </c>
      <c r="L7" s="10">
        <f t="shared" si="0"/>
        <v>1</v>
      </c>
      <c r="M7" s="10">
        <f t="shared" si="0"/>
        <v>1</v>
      </c>
      <c r="N7" s="10">
        <f t="shared" si="0"/>
        <v>1</v>
      </c>
      <c r="O7" s="10">
        <f t="shared" si="0"/>
        <v>1</v>
      </c>
      <c r="P7" s="10">
        <f t="shared" si="0"/>
        <v>1</v>
      </c>
    </row>
    <row r="9" spans="1:16" ht="28.8" x14ac:dyDescent="0.3">
      <c r="B9" s="1" t="s">
        <v>8</v>
      </c>
      <c r="C9" s="3" t="s">
        <v>65</v>
      </c>
      <c r="D9" s="3" t="s">
        <v>66</v>
      </c>
      <c r="E9" s="3" t="s">
        <v>67</v>
      </c>
      <c r="F9" s="3" t="s">
        <v>68</v>
      </c>
      <c r="G9" s="3" t="s">
        <v>69</v>
      </c>
      <c r="H9" s="3" t="s">
        <v>70</v>
      </c>
      <c r="J9" s="1" t="s">
        <v>8</v>
      </c>
      <c r="K9" s="12" t="s">
        <v>71</v>
      </c>
      <c r="L9" s="12" t="s">
        <v>72</v>
      </c>
      <c r="M9" s="12" t="s">
        <v>73</v>
      </c>
      <c r="N9" s="12" t="s">
        <v>74</v>
      </c>
      <c r="O9" s="12" t="s">
        <v>75</v>
      </c>
      <c r="P9" s="12" t="s">
        <v>76</v>
      </c>
    </row>
    <row r="10" spans="1:16" x14ac:dyDescent="0.3">
      <c r="B10" s="10" t="s">
        <v>33</v>
      </c>
      <c r="C10" s="10">
        <f>C2-B2</f>
        <v>9.8776538323137819E-2</v>
      </c>
      <c r="D10" s="10">
        <f>D2-B2</f>
        <v>8.0698936912203062E-2</v>
      </c>
      <c r="E10" s="10">
        <f>E2-B2</f>
        <v>0.15549922739876806</v>
      </c>
      <c r="F10" s="10">
        <f>F2-B2</f>
        <v>0.11748402131633509</v>
      </c>
      <c r="G10" s="10">
        <f>G2-B2</f>
        <v>-2.8718133252138289E-3</v>
      </c>
      <c r="H10" s="10">
        <f>H2-B2</f>
        <v>-6.2654784835848715E-3</v>
      </c>
      <c r="J10" s="10" t="s">
        <v>33</v>
      </c>
      <c r="K10" s="8">
        <f>(J2-0) * ((K2+0))</f>
        <v>1.4249087544337635E-2</v>
      </c>
      <c r="L10" s="8">
        <f>(J2-0) * ((L2+0))</f>
        <v>1.280658732379975E-2</v>
      </c>
      <c r="M10" s="8">
        <f>(J2-0) * ((M2+0))</f>
        <v>1.8775268293715473E-2</v>
      </c>
      <c r="N10" s="8">
        <f>(J2-0) * ((N2+0))</f>
        <v>1.5741849096601576E-2</v>
      </c>
      <c r="O10" s="8">
        <f>(J2-0) * ((O2+0))</f>
        <v>6.1380684806377509E-3</v>
      </c>
      <c r="P10" s="8">
        <f>(J2-0) * ((P2+0))</f>
        <v>5.867271341786085E-3</v>
      </c>
    </row>
    <row r="11" spans="1:16" x14ac:dyDescent="0.3">
      <c r="B11" s="10" t="s">
        <v>31</v>
      </c>
      <c r="C11" s="10">
        <f t="shared" ref="C11:C15" si="1">C3-B3</f>
        <v>1.1147595058174392E-2</v>
      </c>
      <c r="D11" s="10">
        <f t="shared" ref="D11:D15" si="2">D3-B3</f>
        <v>-2.2362105118192449E-2</v>
      </c>
      <c r="E11" s="10">
        <f t="shared" ref="E11:E15" si="3">E3-B3</f>
        <v>1.0027146878902687E-2</v>
      </c>
      <c r="F11" s="10">
        <f t="shared" ref="F11:F15" si="4">F3-B3</f>
        <v>3.8358479411915891E-2</v>
      </c>
      <c r="G11" s="10">
        <f t="shared" ref="G11:G15" si="5">G3-B3</f>
        <v>5.6935140845720184E-2</v>
      </c>
      <c r="H11" s="10">
        <f t="shared" ref="H11:H15" si="6">H3-B3</f>
        <v>4.1447939377262238E-3</v>
      </c>
      <c r="J11" s="10" t="s">
        <v>31</v>
      </c>
      <c r="K11" s="8">
        <f>(J3-J2) * ((K3+K2))</f>
        <v>3.8040940557583246E-2</v>
      </c>
      <c r="L11" s="8">
        <f>(J3-J2) * ((L3+L2))</f>
        <v>3.2182784019475878E-2</v>
      </c>
      <c r="M11" s="8">
        <f>(J3-J2) * ((M3+M2))</f>
        <v>4.7486400101602357E-2</v>
      </c>
      <c r="N11" s="8">
        <f>(J3-J2) * ((N3+N2))</f>
        <v>4.3475360637237989E-2</v>
      </c>
      <c r="O11" s="8">
        <f>(J3-J2) * ((O3+O2))</f>
        <v>2.479591671972025E-2</v>
      </c>
      <c r="P11" s="8">
        <f>(J3-J2) * ((P3+P2))</f>
        <v>1.9786000042334315E-2</v>
      </c>
    </row>
    <row r="12" spans="1:16" x14ac:dyDescent="0.3">
      <c r="B12" s="10" t="s">
        <v>35</v>
      </c>
      <c r="C12" s="10">
        <f t="shared" si="1"/>
        <v>-2.1133201391387788E-2</v>
      </c>
      <c r="D12" s="10">
        <f t="shared" si="2"/>
        <v>-7.4263712855232589E-2</v>
      </c>
      <c r="E12" s="10">
        <f t="shared" si="3"/>
        <v>-1.6021156573460621E-2</v>
      </c>
      <c r="F12" s="10">
        <f t="shared" si="4"/>
        <v>-5.9398507513836768E-2</v>
      </c>
      <c r="G12" s="10">
        <f t="shared" si="5"/>
        <v>-4.1737596995783395E-2</v>
      </c>
      <c r="H12" s="10">
        <f t="shared" si="6"/>
        <v>-2.7785862455813562E-2</v>
      </c>
      <c r="J12" s="10" t="s">
        <v>35</v>
      </c>
      <c r="K12" s="8">
        <f t="shared" ref="K12:K15" si="7">(J4-J3) * ((K4+K3))</f>
        <v>5.3099805728336683E-2</v>
      </c>
      <c r="L12" s="8">
        <f t="shared" ref="L12:L15" si="8">(J4-J3) * ((L4+L3))</f>
        <v>3.9562314803708587E-2</v>
      </c>
      <c r="M12" s="8">
        <f t="shared" ref="M12:M15" si="9">(J4-J3) * ((M4+M3))</f>
        <v>6.3173909362233563E-2</v>
      </c>
      <c r="N12" s="8">
        <f t="shared" ref="N12:N15" si="10">(J4-J3) * ((N4+N3))</f>
        <v>5.7739594578385518E-2</v>
      </c>
      <c r="O12" s="8">
        <f t="shared" ref="O12:O15" si="11">(J4-J3) * ((O4+O3))</f>
        <v>4.1639130705566477E-2</v>
      </c>
      <c r="P12" s="8">
        <f t="shared" ref="P12:P15" si="12">(J4-J3) * ((P4+P3))</f>
        <v>3.3115355714074042E-2</v>
      </c>
    </row>
    <row r="13" spans="1:16" x14ac:dyDescent="0.3">
      <c r="B13" s="10" t="s">
        <v>34</v>
      </c>
      <c r="C13" s="10">
        <f t="shared" si="1"/>
        <v>-3.6306525128943265E-2</v>
      </c>
      <c r="D13" s="10">
        <f t="shared" si="2"/>
        <v>3.9972134483049676E-2</v>
      </c>
      <c r="E13" s="10">
        <f t="shared" si="3"/>
        <v>-2.5242099358635139E-2</v>
      </c>
      <c r="F13" s="10">
        <f t="shared" si="4"/>
        <v>-5.922394146575527E-4</v>
      </c>
      <c r="G13" s="10">
        <f t="shared" si="5"/>
        <v>1.314402432160619E-2</v>
      </c>
      <c r="H13" s="10">
        <f t="shared" si="6"/>
        <v>-3.700680524098808E-2</v>
      </c>
      <c r="J13" s="10" t="s">
        <v>34</v>
      </c>
      <c r="K13" s="8">
        <f t="shared" si="7"/>
        <v>7.07319136722699E-2</v>
      </c>
      <c r="L13" s="8">
        <f t="shared" si="8"/>
        <v>5.797143701215908E-2</v>
      </c>
      <c r="M13" s="8">
        <f t="shared" si="9"/>
        <v>8.3428761932984749E-2</v>
      </c>
      <c r="N13" s="8">
        <f t="shared" si="10"/>
        <v>7.5621216460675642E-2</v>
      </c>
      <c r="O13" s="8">
        <f t="shared" si="11"/>
        <v>6.0815404683477708E-2</v>
      </c>
      <c r="P13" s="8">
        <f t="shared" si="12"/>
        <v>4.7915167326376379E-2</v>
      </c>
    </row>
    <row r="14" spans="1:16" x14ac:dyDescent="0.3">
      <c r="B14" s="10" t="s">
        <v>32</v>
      </c>
      <c r="C14" s="10">
        <f t="shared" si="1"/>
        <v>4.6824397265203321E-2</v>
      </c>
      <c r="D14" s="10">
        <f t="shared" si="2"/>
        <v>-8.2902411827684708E-3</v>
      </c>
      <c r="E14" s="10">
        <f t="shared" si="3"/>
        <v>5.6488262811421802E-2</v>
      </c>
      <c r="F14" s="10">
        <f t="shared" si="4"/>
        <v>1.1110111550917595E-2</v>
      </c>
      <c r="G14" s="10">
        <f t="shared" si="5"/>
        <v>9.2786097194157702E-3</v>
      </c>
      <c r="H14" s="10">
        <f t="shared" si="6"/>
        <v>7.4135321634951207E-2</v>
      </c>
      <c r="J14" s="10" t="s">
        <v>32</v>
      </c>
      <c r="K14" s="8">
        <f t="shared" si="7"/>
        <v>0.12861019722750558</v>
      </c>
      <c r="L14" s="8">
        <f t="shared" si="8"/>
        <v>0.11385545915352796</v>
      </c>
      <c r="M14" s="8">
        <f t="shared" si="9"/>
        <v>0.14879664712232496</v>
      </c>
      <c r="N14" s="8">
        <f t="shared" si="10"/>
        <v>0.13533198453904768</v>
      </c>
      <c r="O14" s="8">
        <f t="shared" si="11"/>
        <v>0.11654545077089154</v>
      </c>
      <c r="P14" s="8">
        <f t="shared" si="12"/>
        <v>0.10074772982240753</v>
      </c>
    </row>
    <row r="15" spans="1:16" x14ac:dyDescent="0.3">
      <c r="B15" s="10" t="s">
        <v>30</v>
      </c>
      <c r="C15" s="10">
        <f t="shared" si="1"/>
        <v>-9.9308804126184536E-2</v>
      </c>
      <c r="D15" s="10">
        <f t="shared" si="2"/>
        <v>-1.5755012239059285E-2</v>
      </c>
      <c r="E15" s="10">
        <f t="shared" si="3"/>
        <v>-0.18075138115699685</v>
      </c>
      <c r="F15" s="10">
        <f t="shared" si="4"/>
        <v>-0.10696186535067431</v>
      </c>
      <c r="G15" s="10">
        <f t="shared" si="5"/>
        <v>-3.4748364565744982E-2</v>
      </c>
      <c r="H15" s="10">
        <f t="shared" si="6"/>
        <v>-7.2219693922910277E-3</v>
      </c>
      <c r="J15" s="10" t="s">
        <v>30</v>
      </c>
      <c r="K15" s="8">
        <f t="shared" si="7"/>
        <v>0.82327905186003891</v>
      </c>
      <c r="L15" s="8">
        <f t="shared" si="8"/>
        <v>0.7796700007552233</v>
      </c>
      <c r="M15" s="8">
        <f t="shared" si="9"/>
        <v>0.86578620113032623</v>
      </c>
      <c r="N15" s="8">
        <f t="shared" si="10"/>
        <v>0.82727339766421149</v>
      </c>
      <c r="O15" s="8">
        <f t="shared" si="11"/>
        <v>0.78958316033253062</v>
      </c>
      <c r="P15" s="8">
        <f t="shared" si="12"/>
        <v>0.77521636803335958</v>
      </c>
    </row>
    <row r="16" spans="1:16" x14ac:dyDescent="0.3">
      <c r="J16" s="14" t="s">
        <v>77</v>
      </c>
      <c r="K16" s="12">
        <f>SUM(K10:K15)</f>
        <v>1.128010996590072</v>
      </c>
      <c r="L16" s="12">
        <f t="shared" ref="L16:P16" si="13">SUM(L10:L15)</f>
        <v>1.0360485830678945</v>
      </c>
      <c r="M16" s="12">
        <f t="shared" si="13"/>
        <v>1.2274471879431874</v>
      </c>
      <c r="N16" s="12">
        <f t="shared" si="13"/>
        <v>1.1551834029761598</v>
      </c>
      <c r="O16" s="12">
        <f t="shared" si="13"/>
        <v>1.0395171316928244</v>
      </c>
      <c r="P16" s="12">
        <f t="shared" si="13"/>
        <v>0.98264789228033789</v>
      </c>
    </row>
    <row r="17" spans="10:16" x14ac:dyDescent="0.3">
      <c r="J17" s="15" t="s">
        <v>78</v>
      </c>
      <c r="K17" s="13">
        <f>1-K16</f>
        <v>-0.12801099659007198</v>
      </c>
      <c r="L17" s="13">
        <f t="shared" ref="L17:P17" si="14">1-L16</f>
        <v>-3.6048583067894491E-2</v>
      </c>
      <c r="M17" s="13">
        <f t="shared" si="14"/>
        <v>-0.22744718794318741</v>
      </c>
      <c r="N17" s="13">
        <f t="shared" si="14"/>
        <v>-0.15518340297615985</v>
      </c>
      <c r="O17" s="13">
        <f t="shared" si="14"/>
        <v>-3.9517131692824448E-2</v>
      </c>
      <c r="P17" s="13">
        <f t="shared" si="14"/>
        <v>1.7352107719662113E-2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2638-0F91-4756-9FB2-75C0AFBB6507}">
  <dimension ref="A1:P17"/>
  <sheetViews>
    <sheetView zoomScale="71" workbookViewId="0">
      <selection sqref="A1:P17"/>
    </sheetView>
  </sheetViews>
  <sheetFormatPr defaultRowHeight="14.4" x14ac:dyDescent="0.3"/>
  <sheetData>
    <row r="1" spans="1:16" ht="28.2" customHeight="1" x14ac:dyDescent="0.3">
      <c r="A1" s="1" t="s">
        <v>8</v>
      </c>
      <c r="B1" s="2" t="s">
        <v>9</v>
      </c>
      <c r="C1" s="3" t="s">
        <v>10</v>
      </c>
      <c r="D1" s="3" t="s">
        <v>11</v>
      </c>
      <c r="E1" s="3" t="s">
        <v>12</v>
      </c>
      <c r="F1" s="2" t="s">
        <v>13</v>
      </c>
      <c r="G1" s="3" t="s">
        <v>14</v>
      </c>
      <c r="H1" s="3" t="s">
        <v>15</v>
      </c>
      <c r="I1" s="4" t="s">
        <v>9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</row>
    <row r="2" spans="1:16" x14ac:dyDescent="0.3">
      <c r="A2" s="10" t="s">
        <v>40</v>
      </c>
      <c r="B2" s="9">
        <v>6.1316714049833021E-2</v>
      </c>
      <c r="C2" s="9">
        <v>0.112</v>
      </c>
      <c r="D2" s="9">
        <v>5.3333333333333337E-2</v>
      </c>
      <c r="E2" s="9">
        <v>4.0983606557377046E-2</v>
      </c>
      <c r="F2" s="9">
        <v>4.810126582278481E-2</v>
      </c>
      <c r="G2" s="9">
        <v>5.9523809523809521E-2</v>
      </c>
      <c r="H2" s="9">
        <v>9.1743119266055051E-2</v>
      </c>
      <c r="I2" s="10">
        <v>6.1316714049833021E-2</v>
      </c>
      <c r="J2" s="9">
        <v>6.1316714049833021E-2</v>
      </c>
      <c r="K2" s="9">
        <v>0.112</v>
      </c>
      <c r="L2" s="9">
        <v>5.3333333333333337E-2</v>
      </c>
      <c r="M2" s="9">
        <v>4.0983606557377046E-2</v>
      </c>
      <c r="N2" s="9">
        <v>4.810126582278481E-2</v>
      </c>
      <c r="O2" s="9">
        <v>5.9523809523809521E-2</v>
      </c>
      <c r="P2" s="9">
        <v>9.1743119266055051E-2</v>
      </c>
    </row>
    <row r="3" spans="1:16" x14ac:dyDescent="0.3">
      <c r="A3" s="10" t="s">
        <v>37</v>
      </c>
      <c r="B3" s="9">
        <v>8.2235657798358758E-2</v>
      </c>
      <c r="C3" s="9">
        <v>0.1</v>
      </c>
      <c r="D3" s="9">
        <v>9.3333333333333338E-2</v>
      </c>
      <c r="E3" s="9">
        <v>9.8360655737704916E-2</v>
      </c>
      <c r="F3" s="9">
        <v>0.1240506329113924</v>
      </c>
      <c r="G3" s="9">
        <v>5.9523809523809521E-2</v>
      </c>
      <c r="H3" s="9">
        <v>6.4220183486238536E-2</v>
      </c>
      <c r="I3" s="10">
        <v>0.14355237184819178</v>
      </c>
      <c r="J3" s="10">
        <f t="shared" ref="J3:P7" si="0">J2+B3</f>
        <v>0.14355237184819178</v>
      </c>
      <c r="K3" s="10">
        <f t="shared" si="0"/>
        <v>0.21200000000000002</v>
      </c>
      <c r="L3" s="10">
        <f t="shared" si="0"/>
        <v>0.14666666666666667</v>
      </c>
      <c r="M3" s="10">
        <f t="shared" si="0"/>
        <v>0.13934426229508196</v>
      </c>
      <c r="N3" s="10">
        <f t="shared" si="0"/>
        <v>0.17215189873417722</v>
      </c>
      <c r="O3" s="10">
        <f t="shared" si="0"/>
        <v>0.11904761904761904</v>
      </c>
      <c r="P3" s="10">
        <f t="shared" si="0"/>
        <v>0.15596330275229359</v>
      </c>
    </row>
    <row r="4" spans="1:16" x14ac:dyDescent="0.3">
      <c r="A4" s="10" t="s">
        <v>41</v>
      </c>
      <c r="B4" s="9">
        <v>0.15189511974077891</v>
      </c>
      <c r="C4" s="9">
        <v>0.17199999999999999</v>
      </c>
      <c r="D4" s="9">
        <v>0.14666666666666667</v>
      </c>
      <c r="E4" s="9">
        <v>0.14754098360655737</v>
      </c>
      <c r="F4" s="9">
        <v>0.14683544303797469</v>
      </c>
      <c r="G4" s="9">
        <v>0.12301587301587301</v>
      </c>
      <c r="H4" s="9">
        <v>0.13761467889908258</v>
      </c>
      <c r="I4" s="10">
        <v>0.29544749158897066</v>
      </c>
      <c r="J4" s="10">
        <f t="shared" si="0"/>
        <v>0.29544749158897066</v>
      </c>
      <c r="K4" s="10">
        <f t="shared" si="0"/>
        <v>0.38400000000000001</v>
      </c>
      <c r="L4" s="10">
        <f t="shared" si="0"/>
        <v>0.29333333333333333</v>
      </c>
      <c r="M4" s="10">
        <f t="shared" si="0"/>
        <v>0.28688524590163933</v>
      </c>
      <c r="N4" s="10">
        <f t="shared" si="0"/>
        <v>0.31898734177215193</v>
      </c>
      <c r="O4" s="10">
        <f t="shared" si="0"/>
        <v>0.24206349206349204</v>
      </c>
      <c r="P4" s="10">
        <f t="shared" si="0"/>
        <v>0.29357798165137616</v>
      </c>
    </row>
    <row r="5" spans="1:16" x14ac:dyDescent="0.3">
      <c r="A5" s="10" t="s">
        <v>38</v>
      </c>
      <c r="B5" s="9">
        <v>0.18688003575463383</v>
      </c>
      <c r="C5" s="9">
        <v>0.188</v>
      </c>
      <c r="D5" s="9">
        <v>6.6666666666666666E-2</v>
      </c>
      <c r="E5" s="9">
        <v>0.18852459016393441</v>
      </c>
      <c r="F5" s="9">
        <v>0.10886075949367088</v>
      </c>
      <c r="G5" s="9">
        <v>0.15873015873015872</v>
      </c>
      <c r="H5" s="9">
        <v>0.21100917431192662</v>
      </c>
      <c r="I5" s="10">
        <v>0.48232752734360451</v>
      </c>
      <c r="J5" s="10">
        <f t="shared" si="0"/>
        <v>0.48232752734360451</v>
      </c>
      <c r="K5" s="10">
        <f t="shared" si="0"/>
        <v>0.57200000000000006</v>
      </c>
      <c r="L5" s="10">
        <f t="shared" si="0"/>
        <v>0.36</v>
      </c>
      <c r="M5" s="10">
        <f t="shared" si="0"/>
        <v>0.47540983606557374</v>
      </c>
      <c r="N5" s="10">
        <f t="shared" si="0"/>
        <v>0.42784810126582284</v>
      </c>
      <c r="O5" s="10">
        <f t="shared" si="0"/>
        <v>0.40079365079365076</v>
      </c>
      <c r="P5" s="10">
        <f t="shared" si="0"/>
        <v>0.50458715596330284</v>
      </c>
    </row>
    <row r="6" spans="1:16" x14ac:dyDescent="0.3">
      <c r="A6" s="10" t="s">
        <v>39</v>
      </c>
      <c r="B6" s="9">
        <v>0.25699884542328272</v>
      </c>
      <c r="C6" s="9">
        <v>0.22</v>
      </c>
      <c r="D6" s="9">
        <v>0.4</v>
      </c>
      <c r="E6" s="9">
        <v>0.29508196721311475</v>
      </c>
      <c r="F6" s="9">
        <v>0.3721518987341772</v>
      </c>
      <c r="G6" s="9">
        <v>0.34523809523809523</v>
      </c>
      <c r="H6" s="9">
        <v>0.33944954128440369</v>
      </c>
      <c r="I6" s="10">
        <v>0.73932637276688729</v>
      </c>
      <c r="J6" s="10">
        <f t="shared" si="0"/>
        <v>0.73932637276688729</v>
      </c>
      <c r="K6" s="10">
        <f t="shared" si="0"/>
        <v>0.79200000000000004</v>
      </c>
      <c r="L6" s="10">
        <f t="shared" si="0"/>
        <v>0.76</v>
      </c>
      <c r="M6" s="10">
        <f t="shared" si="0"/>
        <v>0.77049180327868849</v>
      </c>
      <c r="N6" s="10">
        <f t="shared" si="0"/>
        <v>0.8</v>
      </c>
      <c r="O6" s="10">
        <f t="shared" si="0"/>
        <v>0.74603174603174605</v>
      </c>
      <c r="P6" s="10">
        <f t="shared" si="0"/>
        <v>0.84403669724770647</v>
      </c>
    </row>
    <row r="7" spans="1:16" x14ac:dyDescent="0.3">
      <c r="A7" s="10" t="s">
        <v>36</v>
      </c>
      <c r="B7" s="9">
        <v>0.26067362723311277</v>
      </c>
      <c r="C7" s="9">
        <v>0.20799999999999999</v>
      </c>
      <c r="D7" s="9">
        <v>0.24</v>
      </c>
      <c r="E7" s="9">
        <v>0.22950819672131148</v>
      </c>
      <c r="F7" s="9">
        <v>0.2</v>
      </c>
      <c r="G7" s="9">
        <v>0.25396825396825395</v>
      </c>
      <c r="H7" s="9">
        <v>0.15596330275229359</v>
      </c>
      <c r="I7" s="10">
        <v>1</v>
      </c>
      <c r="J7" s="10">
        <f t="shared" si="0"/>
        <v>1</v>
      </c>
      <c r="K7" s="10">
        <f t="shared" si="0"/>
        <v>1</v>
      </c>
      <c r="L7" s="10">
        <f t="shared" si="0"/>
        <v>1</v>
      </c>
      <c r="M7" s="10">
        <f t="shared" si="0"/>
        <v>1</v>
      </c>
      <c r="N7" s="10">
        <f t="shared" si="0"/>
        <v>1</v>
      </c>
      <c r="O7" s="10">
        <f t="shared" si="0"/>
        <v>1</v>
      </c>
      <c r="P7" s="10">
        <f t="shared" si="0"/>
        <v>1</v>
      </c>
    </row>
    <row r="9" spans="1:16" ht="28.8" x14ac:dyDescent="0.3">
      <c r="B9" s="1" t="s">
        <v>8</v>
      </c>
      <c r="C9" s="3" t="s">
        <v>65</v>
      </c>
      <c r="D9" s="3" t="s">
        <v>66</v>
      </c>
      <c r="E9" s="3" t="s">
        <v>67</v>
      </c>
      <c r="F9" s="3" t="s">
        <v>68</v>
      </c>
      <c r="G9" s="3" t="s">
        <v>69</v>
      </c>
      <c r="H9" s="3" t="s">
        <v>70</v>
      </c>
      <c r="J9" s="1" t="s">
        <v>8</v>
      </c>
      <c r="K9" s="12" t="s">
        <v>71</v>
      </c>
      <c r="L9" s="12" t="s">
        <v>72</v>
      </c>
      <c r="M9" s="12" t="s">
        <v>73</v>
      </c>
      <c r="N9" s="12" t="s">
        <v>74</v>
      </c>
      <c r="O9" s="12" t="s">
        <v>75</v>
      </c>
      <c r="P9" s="12" t="s">
        <v>76</v>
      </c>
    </row>
    <row r="10" spans="1:16" x14ac:dyDescent="0.3">
      <c r="B10" s="10" t="s">
        <v>40</v>
      </c>
      <c r="C10" s="10">
        <f>C2-B2</f>
        <v>5.0683285950166981E-2</v>
      </c>
      <c r="D10" s="10">
        <f>D2-B2</f>
        <v>-7.9833807164996842E-3</v>
      </c>
      <c r="E10" s="10">
        <f>E2-B2</f>
        <v>-2.0333107492455975E-2</v>
      </c>
      <c r="F10" s="10">
        <f>F2-B2</f>
        <v>-1.3215448227048211E-2</v>
      </c>
      <c r="G10" s="10">
        <f>G2-B2</f>
        <v>-1.7929045260235005E-3</v>
      </c>
      <c r="H10" s="10">
        <f>H2-B2</f>
        <v>3.042640521622203E-2</v>
      </c>
      <c r="J10" s="10" t="s">
        <v>40</v>
      </c>
      <c r="K10" s="8">
        <f>(J2-0) * ((K2+0))</f>
        <v>6.8674719735812989E-3</v>
      </c>
      <c r="L10" s="8">
        <f>(J2-0) * ((L2+0))</f>
        <v>3.270224749324428E-3</v>
      </c>
      <c r="M10" s="8">
        <f>(J2-0) * ((M2+0))</f>
        <v>2.5129800840095499E-3</v>
      </c>
      <c r="N10" s="8">
        <f>(J2-0) * ((N2+0))</f>
        <v>2.9494115618907022E-3</v>
      </c>
      <c r="O10" s="8">
        <f>(J2-0) * ((O2+0))</f>
        <v>3.6498044077281559E-3</v>
      </c>
      <c r="P10" s="8">
        <f>(J2-0) * ((P2+0))</f>
        <v>5.6253866100764239E-3</v>
      </c>
    </row>
    <row r="11" spans="1:16" x14ac:dyDescent="0.3">
      <c r="B11" s="10" t="s">
        <v>37</v>
      </c>
      <c r="C11" s="10">
        <f t="shared" ref="C11:C15" si="1">C3-B3</f>
        <v>1.7764342201641248E-2</v>
      </c>
      <c r="D11" s="10">
        <f t="shared" ref="D11:D15" si="2">D3-B3</f>
        <v>1.109767553497458E-2</v>
      </c>
      <c r="E11" s="10">
        <f t="shared" ref="E11:E15" si="3">E3-B3</f>
        <v>1.6124997939346158E-2</v>
      </c>
      <c r="F11" s="10">
        <f t="shared" ref="F11:F15" si="4">F3-B3</f>
        <v>4.1814975113033642E-2</v>
      </c>
      <c r="G11" s="10">
        <f t="shared" ref="G11:G15" si="5">G3-B3</f>
        <v>-2.2711848274549237E-2</v>
      </c>
      <c r="H11" s="10">
        <f t="shared" ref="H11:H15" si="6">H3-B3</f>
        <v>-1.8015474312120222E-2</v>
      </c>
      <c r="J11" s="10" t="s">
        <v>37</v>
      </c>
      <c r="K11" s="8">
        <f>(J3-J2) * ((K3+K2))</f>
        <v>2.6644353126668237E-2</v>
      </c>
      <c r="L11" s="8">
        <f>(J3-J2) * ((L3+L2))</f>
        <v>1.6447131559671754E-2</v>
      </c>
      <c r="M11" s="8">
        <f>(J3-J2) * ((M3+M2))</f>
        <v>1.4829380914458136E-2</v>
      </c>
      <c r="N11" s="8">
        <f>(J3-J2) * ((N3+N2))</f>
        <v>1.8112663869511929E-2</v>
      </c>
      <c r="O11" s="8">
        <f>(J3-J2) * ((O3+O2))</f>
        <v>1.4684938892564062E-2</v>
      </c>
      <c r="P11" s="8">
        <f>(J3-J2) * ((P3+P2))</f>
        <v>2.0370300555556758E-2</v>
      </c>
    </row>
    <row r="12" spans="1:16" x14ac:dyDescent="0.3">
      <c r="B12" s="10" t="s">
        <v>41</v>
      </c>
      <c r="C12" s="10">
        <f t="shared" si="1"/>
        <v>2.0104880259221081E-2</v>
      </c>
      <c r="D12" s="10">
        <f t="shared" si="2"/>
        <v>-5.2284530741122381E-3</v>
      </c>
      <c r="E12" s="10">
        <f t="shared" si="3"/>
        <v>-4.3541361342215312E-3</v>
      </c>
      <c r="F12" s="10">
        <f t="shared" si="4"/>
        <v>-5.0596767028042167E-3</v>
      </c>
      <c r="G12" s="10">
        <f t="shared" si="5"/>
        <v>-2.8879246724905897E-2</v>
      </c>
      <c r="H12" s="10">
        <f t="shared" si="6"/>
        <v>-1.4280440841696329E-2</v>
      </c>
      <c r="J12" s="10" t="s">
        <v>41</v>
      </c>
      <c r="K12" s="8">
        <f t="shared" ref="K12:K15" si="7">(J4-J3) * ((K4+K3))</f>
        <v>9.0529491365504228E-2</v>
      </c>
      <c r="L12" s="8">
        <f t="shared" ref="L12:L15" si="8">(J4-J3) * ((L4+L3))</f>
        <v>6.6833852685942705E-2</v>
      </c>
      <c r="M12" s="8">
        <f t="shared" ref="M12:M15" si="9">(J4-J3) * ((M4+M3))</f>
        <v>6.4742182184594266E-2</v>
      </c>
      <c r="N12" s="8">
        <f t="shared" ref="N12:N15" si="10">(J4-J3) * ((N4+N3))</f>
        <v>7.4601653746104071E-2</v>
      </c>
      <c r="O12" s="8">
        <f t="shared" ref="O12:O15" si="11">(J4-J3) * ((O4+O3))</f>
        <v>5.485101546194792E-2</v>
      </c>
      <c r="P12" s="8">
        <f t="shared" ref="P12:P15" si="12">(J4-J3) * ((P4+P3))</f>
        <v>6.8283127222918946E-2</v>
      </c>
    </row>
    <row r="13" spans="1:16" x14ac:dyDescent="0.3">
      <c r="B13" s="10" t="s">
        <v>38</v>
      </c>
      <c r="C13" s="10">
        <f t="shared" si="1"/>
        <v>1.1199642453661729E-3</v>
      </c>
      <c r="D13" s="10">
        <f t="shared" si="2"/>
        <v>-0.12021336908796716</v>
      </c>
      <c r="E13" s="10">
        <f t="shared" si="3"/>
        <v>1.6445544093005859E-3</v>
      </c>
      <c r="F13" s="10">
        <f t="shared" si="4"/>
        <v>-7.8019276260962944E-2</v>
      </c>
      <c r="G13" s="10">
        <f t="shared" si="5"/>
        <v>-2.8149877024475106E-2</v>
      </c>
      <c r="H13" s="10">
        <f t="shared" si="6"/>
        <v>2.412913855729279E-2</v>
      </c>
      <c r="J13" s="10" t="s">
        <v>38</v>
      </c>
      <c r="K13" s="8">
        <f t="shared" si="7"/>
        <v>0.17865731418142997</v>
      </c>
      <c r="L13" s="8">
        <f t="shared" si="8"/>
        <v>0.12209495669302745</v>
      </c>
      <c r="M13" s="8">
        <f t="shared" si="9"/>
        <v>0.14245773217361432</v>
      </c>
      <c r="N13" s="8">
        <f t="shared" si="10"/>
        <v>0.13956863429776453</v>
      </c>
      <c r="O13" s="8">
        <f t="shared" si="11"/>
        <v>0.12013716584226461</v>
      </c>
      <c r="P13" s="8">
        <f t="shared" si="12"/>
        <v>0.14916112945553348</v>
      </c>
    </row>
    <row r="14" spans="1:16" x14ac:dyDescent="0.3">
      <c r="B14" s="10" t="s">
        <v>39</v>
      </c>
      <c r="C14" s="10">
        <f t="shared" si="1"/>
        <v>-3.6998845423282717E-2</v>
      </c>
      <c r="D14" s="10">
        <f t="shared" si="2"/>
        <v>0.1430011545767173</v>
      </c>
      <c r="E14" s="10">
        <f t="shared" si="3"/>
        <v>3.8083121789832031E-2</v>
      </c>
      <c r="F14" s="10">
        <f t="shared" si="4"/>
        <v>0.11515305331089448</v>
      </c>
      <c r="G14" s="10">
        <f t="shared" si="5"/>
        <v>8.8239249814812515E-2</v>
      </c>
      <c r="H14" s="10">
        <f t="shared" si="6"/>
        <v>8.2450695861120971E-2</v>
      </c>
      <c r="J14" s="10" t="s">
        <v>39</v>
      </c>
      <c r="K14" s="8">
        <f t="shared" si="7"/>
        <v>0.35054642515735773</v>
      </c>
      <c r="L14" s="8">
        <f t="shared" si="8"/>
        <v>0.28783870687407676</v>
      </c>
      <c r="M14" s="8">
        <f t="shared" si="9"/>
        <v>0.32019528282245069</v>
      </c>
      <c r="N14" s="8">
        <f t="shared" si="10"/>
        <v>0.3155555443804865</v>
      </c>
      <c r="O14" s="8">
        <f t="shared" si="11"/>
        <v>0.29473280288622505</v>
      </c>
      <c r="P14" s="8">
        <f t="shared" si="12"/>
        <v>0.34659477318552817</v>
      </c>
    </row>
    <row r="15" spans="1:16" x14ac:dyDescent="0.3">
      <c r="B15" s="10" t="s">
        <v>36</v>
      </c>
      <c r="C15" s="10">
        <f t="shared" si="1"/>
        <v>-5.267362723311278E-2</v>
      </c>
      <c r="D15" s="10">
        <f t="shared" si="2"/>
        <v>-2.0673627233112779E-2</v>
      </c>
      <c r="E15" s="10">
        <f t="shared" si="3"/>
        <v>-3.116543051180129E-2</v>
      </c>
      <c r="F15" s="10">
        <f t="shared" si="4"/>
        <v>-6.0673627233112759E-2</v>
      </c>
      <c r="G15" s="10">
        <f t="shared" si="5"/>
        <v>-6.705373264858816E-3</v>
      </c>
      <c r="H15" s="10">
        <f t="shared" si="6"/>
        <v>-0.10471032448081918</v>
      </c>
      <c r="J15" s="10" t="s">
        <v>36</v>
      </c>
      <c r="K15" s="8">
        <f t="shared" si="7"/>
        <v>0.46712714000173799</v>
      </c>
      <c r="L15" s="8">
        <f t="shared" si="8"/>
        <v>0.45878558393027841</v>
      </c>
      <c r="M15" s="8">
        <f t="shared" si="9"/>
        <v>0.46152052034715035</v>
      </c>
      <c r="N15" s="8">
        <f t="shared" si="10"/>
        <v>0.46921252901960292</v>
      </c>
      <c r="O15" s="8">
        <f t="shared" si="11"/>
        <v>0.45514442850226028</v>
      </c>
      <c r="P15" s="8">
        <f t="shared" si="12"/>
        <v>0.48069173462252895</v>
      </c>
    </row>
    <row r="16" spans="1:16" x14ac:dyDescent="0.3">
      <c r="J16" s="14" t="s">
        <v>77</v>
      </c>
      <c r="K16" s="12">
        <f>SUM(K10:K15)</f>
        <v>1.1203721958062796</v>
      </c>
      <c r="L16" s="12">
        <f t="shared" ref="L16:P16" si="13">SUM(L10:L15)</f>
        <v>0.95527045649232156</v>
      </c>
      <c r="M16" s="12">
        <f t="shared" si="13"/>
        <v>1.0062580785262774</v>
      </c>
      <c r="N16" s="12">
        <f t="shared" si="13"/>
        <v>1.0200004368753606</v>
      </c>
      <c r="O16" s="12">
        <f t="shared" si="13"/>
        <v>0.94320015599299012</v>
      </c>
      <c r="P16" s="12">
        <f t="shared" si="13"/>
        <v>1.0707264516521426</v>
      </c>
    </row>
    <row r="17" spans="10:16" x14ac:dyDescent="0.3">
      <c r="J17" s="15" t="s">
        <v>78</v>
      </c>
      <c r="K17" s="13">
        <f>1-K16</f>
        <v>-0.12037219580627956</v>
      </c>
      <c r="L17" s="13">
        <f t="shared" ref="L17:P17" si="14">1-L16</f>
        <v>4.4729543507678438E-2</v>
      </c>
      <c r="M17" s="13">
        <f t="shared" si="14"/>
        <v>-6.2580785262773553E-3</v>
      </c>
      <c r="N17" s="13">
        <f t="shared" si="14"/>
        <v>-2.0000436875360572E-2</v>
      </c>
      <c r="O17" s="13">
        <f t="shared" si="14"/>
        <v>5.6799844007009881E-2</v>
      </c>
      <c r="P17" s="13">
        <f t="shared" si="14"/>
        <v>-7.0726451652142641E-2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3D966-AC5E-4C1E-A953-52DA4DF6E2E4}">
  <dimension ref="A1:P12"/>
  <sheetViews>
    <sheetView zoomScale="96" workbookViewId="0">
      <selection sqref="A1:P12"/>
    </sheetView>
  </sheetViews>
  <sheetFormatPr defaultRowHeight="14.4" x14ac:dyDescent="0.3"/>
  <cols>
    <col min="1" max="1" width="11.77734375" customWidth="1"/>
  </cols>
  <sheetData>
    <row r="1" spans="1:16" ht="28.2" customHeight="1" x14ac:dyDescent="0.3">
      <c r="A1" s="1" t="s">
        <v>8</v>
      </c>
      <c r="B1" s="2" t="s">
        <v>9</v>
      </c>
      <c r="C1" s="3" t="s">
        <v>10</v>
      </c>
      <c r="D1" s="3" t="s">
        <v>11</v>
      </c>
      <c r="E1" s="3" t="s">
        <v>12</v>
      </c>
      <c r="F1" s="2" t="s">
        <v>13</v>
      </c>
      <c r="G1" s="3" t="s">
        <v>14</v>
      </c>
      <c r="H1" s="3" t="s">
        <v>15</v>
      </c>
      <c r="I1" s="4" t="s">
        <v>9</v>
      </c>
      <c r="J1" s="7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</row>
    <row r="2" spans="1:16" x14ac:dyDescent="0.3">
      <c r="A2" s="10" t="s">
        <v>44</v>
      </c>
      <c r="B2" s="9">
        <v>0.12864177872139657</v>
      </c>
      <c r="C2" s="9">
        <v>0.20930232558139536</v>
      </c>
      <c r="D2" s="9">
        <v>0.12121212121212122</v>
      </c>
      <c r="E2" s="9">
        <v>7.3684210526315783E-2</v>
      </c>
      <c r="F2" s="9">
        <v>9.3103448275862075E-2</v>
      </c>
      <c r="G2" s="9">
        <v>5.0955414012738856E-2</v>
      </c>
      <c r="H2" s="9">
        <v>9.2436974789915971E-2</v>
      </c>
      <c r="I2" s="16">
        <v>0.12864177872139657</v>
      </c>
      <c r="J2" s="9">
        <v>0.12864177872139657</v>
      </c>
      <c r="K2" s="9">
        <v>0.20930232558139536</v>
      </c>
      <c r="L2" s="9">
        <v>0.12121212121212122</v>
      </c>
      <c r="M2" s="9">
        <v>7.3684210526315783E-2</v>
      </c>
      <c r="N2" s="9">
        <v>9.3103448275862075E-2</v>
      </c>
      <c r="O2" s="9">
        <v>5.0955414012738856E-2</v>
      </c>
      <c r="P2" s="9">
        <v>9.2436974789915971E-2</v>
      </c>
    </row>
    <row r="3" spans="1:16" x14ac:dyDescent="0.3">
      <c r="A3" s="10" t="s">
        <v>43</v>
      </c>
      <c r="B3" s="9">
        <v>0.27300070771408352</v>
      </c>
      <c r="C3" s="9">
        <v>0.38372093023255816</v>
      </c>
      <c r="D3" s="9">
        <v>0.30303030303030304</v>
      </c>
      <c r="E3" s="9">
        <v>0.22105263157894736</v>
      </c>
      <c r="F3" s="9">
        <v>0.16551724137931034</v>
      </c>
      <c r="G3" s="9">
        <v>0.24840764331210191</v>
      </c>
      <c r="H3" s="9">
        <v>0.26890756302521007</v>
      </c>
      <c r="I3" s="16">
        <v>0.40164248643548006</v>
      </c>
      <c r="J3" s="10">
        <f t="shared" ref="J3:P4" si="0">J2+B3</f>
        <v>0.40164248643548006</v>
      </c>
      <c r="K3" s="10">
        <f t="shared" si="0"/>
        <v>0.59302325581395354</v>
      </c>
      <c r="L3" s="10">
        <f t="shared" si="0"/>
        <v>0.42424242424242425</v>
      </c>
      <c r="M3" s="10">
        <f t="shared" si="0"/>
        <v>0.29473684210526313</v>
      </c>
      <c r="N3" s="10">
        <f t="shared" si="0"/>
        <v>0.25862068965517243</v>
      </c>
      <c r="O3" s="10">
        <f t="shared" si="0"/>
        <v>0.29936305732484075</v>
      </c>
      <c r="P3" s="10">
        <f t="shared" si="0"/>
        <v>0.36134453781512604</v>
      </c>
    </row>
    <row r="4" spans="1:16" x14ac:dyDescent="0.3">
      <c r="A4" s="10" t="s">
        <v>42</v>
      </c>
      <c r="B4" s="9">
        <v>0.59835751356451994</v>
      </c>
      <c r="C4" s="9">
        <v>0.40697674418604651</v>
      </c>
      <c r="D4" s="9">
        <v>0.5757575757575758</v>
      </c>
      <c r="E4" s="9">
        <v>0.70526315789473681</v>
      </c>
      <c r="F4" s="9">
        <v>0.74137931034482762</v>
      </c>
      <c r="G4" s="9">
        <v>0.70063694267515919</v>
      </c>
      <c r="H4" s="9">
        <v>0.6386554621848739</v>
      </c>
      <c r="I4" s="16">
        <v>1</v>
      </c>
      <c r="J4" s="10">
        <f t="shared" si="0"/>
        <v>1</v>
      </c>
      <c r="K4" s="10">
        <f t="shared" si="0"/>
        <v>1</v>
      </c>
      <c r="L4" s="10">
        <f t="shared" si="0"/>
        <v>1</v>
      </c>
      <c r="M4" s="10">
        <f t="shared" si="0"/>
        <v>1</v>
      </c>
      <c r="N4" s="10">
        <f t="shared" si="0"/>
        <v>1</v>
      </c>
      <c r="O4" s="10">
        <f t="shared" si="0"/>
        <v>1</v>
      </c>
      <c r="P4" s="10">
        <f t="shared" si="0"/>
        <v>1</v>
      </c>
    </row>
    <row r="7" spans="1:16" ht="28.8" x14ac:dyDescent="0.3">
      <c r="B7" s="1" t="s">
        <v>8</v>
      </c>
      <c r="C7" s="3" t="s">
        <v>65</v>
      </c>
      <c r="D7" s="3" t="s">
        <v>66</v>
      </c>
      <c r="E7" s="3" t="s">
        <v>67</v>
      </c>
      <c r="F7" s="3" t="s">
        <v>68</v>
      </c>
      <c r="G7" s="3" t="s">
        <v>69</v>
      </c>
      <c r="H7" s="3" t="s">
        <v>70</v>
      </c>
      <c r="J7" s="8"/>
      <c r="K7" s="12" t="s">
        <v>71</v>
      </c>
      <c r="L7" s="12" t="s">
        <v>72</v>
      </c>
      <c r="M7" s="12" t="s">
        <v>73</v>
      </c>
      <c r="N7" s="12" t="s">
        <v>74</v>
      </c>
      <c r="O7" s="12" t="s">
        <v>75</v>
      </c>
      <c r="P7" s="12" t="s">
        <v>76</v>
      </c>
    </row>
    <row r="8" spans="1:16" x14ac:dyDescent="0.3">
      <c r="B8" s="10" t="s">
        <v>44</v>
      </c>
      <c r="C8" s="10">
        <f>C2-B2</f>
        <v>8.0660546859998794E-2</v>
      </c>
      <c r="D8" s="10">
        <f>D2-B2</f>
        <v>-7.4296575092753503E-3</v>
      </c>
      <c r="E8" s="10">
        <f>E2-B2</f>
        <v>-5.4957568195080783E-2</v>
      </c>
      <c r="F8" s="10">
        <f>F2-B2</f>
        <v>-3.5538330445534491E-2</v>
      </c>
      <c r="G8" s="10">
        <f>G2-B2</f>
        <v>-7.768636470865771E-2</v>
      </c>
      <c r="H8" s="10">
        <f>H2-B2</f>
        <v>-3.6204803931480595E-2</v>
      </c>
      <c r="J8" s="10" t="s">
        <v>44</v>
      </c>
      <c r="K8" s="8">
        <f>($J2-0) * ((K2+0))</f>
        <v>2.6925023453315561E-2</v>
      </c>
      <c r="L8" s="8">
        <f t="shared" ref="L8:P8" si="1">($J2-0) * ((L2+0))</f>
        <v>1.5592942875320797E-2</v>
      </c>
      <c r="M8" s="8">
        <f t="shared" si="1"/>
        <v>9.4788679057871139E-3</v>
      </c>
      <c r="N8" s="8">
        <f t="shared" si="1"/>
        <v>1.1976993191302439E-2</v>
      </c>
      <c r="O8" s="8">
        <f t="shared" si="1"/>
        <v>6.5549950940839014E-3</v>
      </c>
      <c r="P8" s="8">
        <f t="shared" si="1"/>
        <v>1.1891256856599683E-2</v>
      </c>
    </row>
    <row r="9" spans="1:16" x14ac:dyDescent="0.3">
      <c r="B9" s="10" t="s">
        <v>43</v>
      </c>
      <c r="C9" s="10">
        <f t="shared" ref="C9:C10" si="2">C3-B3</f>
        <v>0.11072022251847463</v>
      </c>
      <c r="D9" s="10">
        <f t="shared" ref="D9:D10" si="3">D3-B3</f>
        <v>3.0029595316219515E-2</v>
      </c>
      <c r="E9" s="10">
        <f t="shared" ref="E9:E10" si="4">E3-B3</f>
        <v>-5.1948076135136162E-2</v>
      </c>
      <c r="F9" s="10">
        <f t="shared" ref="F9:F10" si="5">F3-B3</f>
        <v>-0.10748346633477318</v>
      </c>
      <c r="G9" s="10">
        <f t="shared" ref="G9:G10" si="6">G3-B3</f>
        <v>-2.4593064401981612E-2</v>
      </c>
      <c r="H9" s="10">
        <f t="shared" ref="H9:H10" si="7">H3-B3</f>
        <v>-4.0931446888734513E-3</v>
      </c>
      <c r="J9" s="10" t="s">
        <v>43</v>
      </c>
      <c r="K9" s="8">
        <f>($J3-$J2) * ((K3+K2))</f>
        <v>0.21903545153804374</v>
      </c>
      <c r="L9" s="8">
        <f t="shared" ref="L9:P10" si="8">($J3-$J2) * ((L3+L2))</f>
        <v>0.1489094769349546</v>
      </c>
      <c r="M9" s="8">
        <f t="shared" si="8"/>
        <v>0.10057920810518864</v>
      </c>
      <c r="N9" s="8">
        <f t="shared" si="8"/>
        <v>9.6020938575298337E-2</v>
      </c>
      <c r="O9" s="8">
        <f t="shared" si="8"/>
        <v>9.5637190600475097E-2</v>
      </c>
      <c r="P9" s="8">
        <f t="shared" si="8"/>
        <v>0.12388267408874376</v>
      </c>
    </row>
    <row r="10" spans="1:16" x14ac:dyDescent="0.3">
      <c r="B10" s="10" t="s">
        <v>42</v>
      </c>
      <c r="C10" s="10">
        <f t="shared" si="2"/>
        <v>-0.19138076937847343</v>
      </c>
      <c r="D10" s="10">
        <f t="shared" si="3"/>
        <v>-2.2599937806944137E-2</v>
      </c>
      <c r="E10" s="10">
        <f t="shared" si="4"/>
        <v>0.10690564433021688</v>
      </c>
      <c r="F10" s="10">
        <f t="shared" si="5"/>
        <v>0.14302179678030769</v>
      </c>
      <c r="G10" s="10">
        <f t="shared" si="6"/>
        <v>0.10227942911063925</v>
      </c>
      <c r="H10" s="10">
        <f t="shared" si="7"/>
        <v>4.0297948620353963E-2</v>
      </c>
      <c r="J10" s="10" t="s">
        <v>42</v>
      </c>
      <c r="K10" s="8">
        <f>($J4-$J3) * ((K4+K3))</f>
        <v>0.9531974343992935</v>
      </c>
      <c r="L10" s="8">
        <f t="shared" si="8"/>
        <v>0.85220615568280111</v>
      </c>
      <c r="M10" s="8">
        <f t="shared" si="8"/>
        <v>0.77471551756248369</v>
      </c>
      <c r="N10" s="8">
        <f t="shared" si="8"/>
        <v>0.75310514638293025</v>
      </c>
      <c r="O10" s="8">
        <f t="shared" si="8"/>
        <v>0.77748364819848448</v>
      </c>
      <c r="P10" s="8">
        <f t="shared" si="8"/>
        <v>0.81457073275169944</v>
      </c>
    </row>
    <row r="11" spans="1:16" x14ac:dyDescent="0.3">
      <c r="J11" s="14" t="s">
        <v>77</v>
      </c>
      <c r="K11" s="12">
        <f>SUM(K8:K10)</f>
        <v>1.1991579093906528</v>
      </c>
      <c r="L11" s="12">
        <f t="shared" ref="L11:P11" si="9">SUM(L8:L10)</f>
        <v>1.0167085754930765</v>
      </c>
      <c r="M11" s="12">
        <f t="shared" si="9"/>
        <v>0.88477359357345942</v>
      </c>
      <c r="N11" s="12">
        <f t="shared" si="9"/>
        <v>0.86110307814953102</v>
      </c>
      <c r="O11" s="12">
        <f t="shared" si="9"/>
        <v>0.87967583389304349</v>
      </c>
      <c r="P11" s="12">
        <f t="shared" si="9"/>
        <v>0.95034466369704296</v>
      </c>
    </row>
    <row r="12" spans="1:16" x14ac:dyDescent="0.3">
      <c r="J12" s="15" t="s">
        <v>78</v>
      </c>
      <c r="K12" s="13">
        <f>1-K11</f>
        <v>-0.19915790939065281</v>
      </c>
      <c r="L12" s="13">
        <f t="shared" ref="L12:P12" si="10">1-L11</f>
        <v>-1.6708575493076472E-2</v>
      </c>
      <c r="M12" s="13">
        <f t="shared" si="10"/>
        <v>0.11522640642654058</v>
      </c>
      <c r="N12" s="13">
        <f t="shared" si="10"/>
        <v>0.13889692185046898</v>
      </c>
      <c r="O12" s="13">
        <f t="shared" si="10"/>
        <v>0.12032416610695651</v>
      </c>
      <c r="P12" s="13">
        <f t="shared" si="10"/>
        <v>4.9655336302957043E-2</v>
      </c>
    </row>
  </sheetData>
  <sortState xmlns:xlrd2="http://schemas.microsoft.com/office/spreadsheetml/2017/richdata2" ref="A2:P5">
    <sortCondition ref="B1:B5"/>
  </sortState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BADD4-1AED-4148-B757-0594A39DC605}">
  <dimension ref="A1:P13"/>
  <sheetViews>
    <sheetView workbookViewId="0">
      <selection sqref="A1:P13"/>
    </sheetView>
  </sheetViews>
  <sheetFormatPr defaultRowHeight="14.4" x14ac:dyDescent="0.3"/>
  <sheetData>
    <row r="1" spans="1:16" ht="28.2" customHeight="1" x14ac:dyDescent="0.3">
      <c r="A1" s="1" t="s">
        <v>8</v>
      </c>
      <c r="B1" s="2" t="s">
        <v>9</v>
      </c>
      <c r="C1" s="3" t="s">
        <v>10</v>
      </c>
      <c r="D1" s="3" t="s">
        <v>11</v>
      </c>
      <c r="E1" s="3" t="s">
        <v>12</v>
      </c>
      <c r="F1" s="2" t="s">
        <v>13</v>
      </c>
      <c r="G1" s="3" t="s">
        <v>14</v>
      </c>
      <c r="H1" s="3" t="s">
        <v>15</v>
      </c>
      <c r="I1" s="4" t="s">
        <v>9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</row>
    <row r="2" spans="1:16" x14ac:dyDescent="0.3">
      <c r="A2" s="10" t="s">
        <v>47</v>
      </c>
      <c r="B2" s="9">
        <v>9.7988442226923933E-2</v>
      </c>
      <c r="C2" s="9">
        <v>6.4039408866995079E-2</v>
      </c>
      <c r="D2" s="9">
        <v>8.1632653061224483E-2</v>
      </c>
      <c r="E2" s="9">
        <v>0.10526315789473684</v>
      </c>
      <c r="F2" s="9">
        <v>6.1946902654867256E-2</v>
      </c>
      <c r="G2" s="9">
        <v>0.12295081967213115</v>
      </c>
      <c r="H2" s="9">
        <v>0.10126582278481013</v>
      </c>
      <c r="I2" s="10">
        <v>9.7988442226923933E-2</v>
      </c>
      <c r="J2" s="9">
        <v>9.7988442226923933E-2</v>
      </c>
      <c r="K2" s="9">
        <v>6.4039408866995079E-2</v>
      </c>
      <c r="L2" s="9">
        <v>8.1632653061224483E-2</v>
      </c>
      <c r="M2" s="9">
        <v>0.10526315789473684</v>
      </c>
      <c r="N2" s="9">
        <v>6.1946902654867256E-2</v>
      </c>
      <c r="O2" s="9">
        <v>0.12295081967213115</v>
      </c>
      <c r="P2" s="9">
        <v>0.10126582278481013</v>
      </c>
    </row>
    <row r="3" spans="1:16" x14ac:dyDescent="0.3">
      <c r="A3" s="10" t="s">
        <v>48</v>
      </c>
      <c r="B3" s="9">
        <v>0.20383995957937284</v>
      </c>
      <c r="C3" s="9">
        <v>0.27586206896551724</v>
      </c>
      <c r="D3" s="9">
        <v>0.24489795918367346</v>
      </c>
      <c r="E3" s="9">
        <v>0.31578947368421051</v>
      </c>
      <c r="F3" s="9">
        <v>0.20353982300884957</v>
      </c>
      <c r="G3" s="9">
        <v>0.13934426229508196</v>
      </c>
      <c r="H3" s="9">
        <v>0.27848101265822783</v>
      </c>
      <c r="I3" s="10">
        <v>0.30182840180629678</v>
      </c>
      <c r="J3" s="10">
        <f>J2+B3</f>
        <v>0.30182840180629678</v>
      </c>
      <c r="K3" s="10">
        <f t="shared" ref="K3:P5" si="0">K2+C3</f>
        <v>0.33990147783251234</v>
      </c>
      <c r="L3" s="10">
        <f t="shared" si="0"/>
        <v>0.32653061224489793</v>
      </c>
      <c r="M3" s="10">
        <f t="shared" si="0"/>
        <v>0.42105263157894735</v>
      </c>
      <c r="N3" s="10">
        <f t="shared" si="0"/>
        <v>0.26548672566371684</v>
      </c>
      <c r="O3" s="10">
        <f t="shared" si="0"/>
        <v>0.26229508196721307</v>
      </c>
      <c r="P3" s="10">
        <f t="shared" si="0"/>
        <v>0.37974683544303794</v>
      </c>
    </row>
    <row r="4" spans="1:16" x14ac:dyDescent="0.3">
      <c r="A4" s="10" t="s">
        <v>45</v>
      </c>
      <c r="B4" s="9">
        <v>0.32124925000789467</v>
      </c>
      <c r="C4" s="9">
        <v>0.31527093596059114</v>
      </c>
      <c r="D4" s="9">
        <v>0.40816326530612246</v>
      </c>
      <c r="E4" s="9">
        <v>0.52631578947368418</v>
      </c>
      <c r="F4" s="9">
        <v>0.44247787610619471</v>
      </c>
      <c r="G4" s="9">
        <v>0.36065573770491804</v>
      </c>
      <c r="H4" s="9">
        <v>0.189873417721519</v>
      </c>
      <c r="I4" s="10">
        <v>0.62307765181419139</v>
      </c>
      <c r="J4" s="10">
        <f t="shared" ref="J4:J5" si="1">J3+B4</f>
        <v>0.62307765181419139</v>
      </c>
      <c r="K4" s="10">
        <f t="shared" si="0"/>
        <v>0.65517241379310343</v>
      </c>
      <c r="L4" s="10">
        <f t="shared" si="0"/>
        <v>0.73469387755102034</v>
      </c>
      <c r="M4" s="10">
        <f t="shared" si="0"/>
        <v>0.94736842105263153</v>
      </c>
      <c r="N4" s="10">
        <f t="shared" si="0"/>
        <v>0.70796460176991149</v>
      </c>
      <c r="O4" s="10">
        <f t="shared" si="0"/>
        <v>0.62295081967213117</v>
      </c>
      <c r="P4" s="10">
        <f t="shared" si="0"/>
        <v>0.56962025316455689</v>
      </c>
    </row>
    <row r="5" spans="1:16" x14ac:dyDescent="0.3">
      <c r="A5" s="10" t="s">
        <v>46</v>
      </c>
      <c r="B5" s="9">
        <v>0.37692234818580855</v>
      </c>
      <c r="C5" s="9">
        <v>0.34482758620689657</v>
      </c>
      <c r="D5" s="9">
        <v>0.26530612244897961</v>
      </c>
      <c r="E5" s="9">
        <v>5.2631578947368418E-2</v>
      </c>
      <c r="F5" s="9">
        <v>0.29203539823008851</v>
      </c>
      <c r="G5" s="9">
        <v>0.37704918032786883</v>
      </c>
      <c r="H5" s="9">
        <v>0.43037974683544306</v>
      </c>
      <c r="I5" s="10">
        <v>1</v>
      </c>
      <c r="J5" s="10">
        <f t="shared" si="1"/>
        <v>1</v>
      </c>
      <c r="K5" s="10">
        <f t="shared" si="0"/>
        <v>1</v>
      </c>
      <c r="L5" s="10">
        <f t="shared" si="0"/>
        <v>1</v>
      </c>
      <c r="M5" s="10">
        <f t="shared" si="0"/>
        <v>1</v>
      </c>
      <c r="N5" s="10">
        <f t="shared" si="0"/>
        <v>1</v>
      </c>
      <c r="O5" s="10">
        <f t="shared" si="0"/>
        <v>1</v>
      </c>
      <c r="P5" s="10">
        <f t="shared" si="0"/>
        <v>1</v>
      </c>
    </row>
    <row r="7" spans="1:16" ht="28.8" x14ac:dyDescent="0.3">
      <c r="B7" s="1" t="s">
        <v>8</v>
      </c>
      <c r="C7" s="3" t="s">
        <v>65</v>
      </c>
      <c r="D7" s="3" t="s">
        <v>66</v>
      </c>
      <c r="E7" s="3" t="s">
        <v>67</v>
      </c>
      <c r="F7" s="3" t="s">
        <v>68</v>
      </c>
      <c r="G7" s="3" t="s">
        <v>69</v>
      </c>
      <c r="H7" s="3" t="s">
        <v>70</v>
      </c>
      <c r="J7" s="8"/>
      <c r="K7" s="12" t="s">
        <v>71</v>
      </c>
      <c r="L7" s="12" t="s">
        <v>72</v>
      </c>
      <c r="M7" s="12" t="s">
        <v>73</v>
      </c>
      <c r="N7" s="12" t="s">
        <v>74</v>
      </c>
      <c r="O7" s="12" t="s">
        <v>75</v>
      </c>
      <c r="P7" s="12" t="s">
        <v>76</v>
      </c>
    </row>
    <row r="8" spans="1:16" x14ac:dyDescent="0.3">
      <c r="B8" s="10" t="s">
        <v>47</v>
      </c>
      <c r="C8" s="10">
        <f>C2-B2</f>
        <v>-3.3949033359928854E-2</v>
      </c>
      <c r="D8" s="10">
        <f>D2-B2</f>
        <v>-1.635578916569945E-2</v>
      </c>
      <c r="E8" s="10">
        <f>E2-B2</f>
        <v>7.2747156678129032E-3</v>
      </c>
      <c r="F8" s="10">
        <f>F2-B2</f>
        <v>-3.6041539572056677E-2</v>
      </c>
      <c r="G8" s="10">
        <f>G2-B2</f>
        <v>2.4962377445207212E-2</v>
      </c>
      <c r="H8" s="10">
        <f>H2-B2</f>
        <v>3.277380557886192E-3</v>
      </c>
      <c r="J8" s="10" t="s">
        <v>47</v>
      </c>
      <c r="K8" s="8">
        <f>($J2-0) * ((K2+0))</f>
        <v>6.2751219160099075E-3</v>
      </c>
      <c r="L8" s="8">
        <f t="shared" ref="L8:P8" si="2">($J2-0) * ((L2+0))</f>
        <v>7.9990565083203208E-3</v>
      </c>
      <c r="M8" s="8">
        <f t="shared" si="2"/>
        <v>1.0314572865991993E-2</v>
      </c>
      <c r="N8" s="8">
        <f t="shared" si="2"/>
        <v>6.0700804919333407E-3</v>
      </c>
      <c r="O8" s="8">
        <f t="shared" si="2"/>
        <v>1.2047759290195565E-2</v>
      </c>
      <c r="P8" s="8">
        <f t="shared" si="2"/>
        <v>9.9228802255112835E-3</v>
      </c>
    </row>
    <row r="9" spans="1:16" x14ac:dyDescent="0.3">
      <c r="B9" s="10" t="s">
        <v>48</v>
      </c>
      <c r="C9" s="10">
        <f t="shared" ref="C9:C11" si="3">C3-B3</f>
        <v>7.2022109386144395E-2</v>
      </c>
      <c r="D9" s="10">
        <f t="shared" ref="D9:D11" si="4">D3-B3</f>
        <v>4.1057999604300621E-2</v>
      </c>
      <c r="E9" s="10">
        <f t="shared" ref="E9:E11" si="5">E3-B3</f>
        <v>0.11194951410483767</v>
      </c>
      <c r="F9" s="10">
        <f t="shared" ref="F9:F11" si="6">F3-B3</f>
        <v>-3.0013657052327392E-4</v>
      </c>
      <c r="G9" s="10">
        <f t="shared" ref="G9:G11" si="7">G3-B3</f>
        <v>-6.4495697284290887E-2</v>
      </c>
      <c r="H9" s="10">
        <f t="shared" ref="H9:H11" si="8">H3-B3</f>
        <v>7.4641053078854991E-2</v>
      </c>
      <c r="J9" s="10" t="s">
        <v>48</v>
      </c>
      <c r="K9" s="8">
        <f>($J3-$J2) * ((K3+K2))</f>
        <v>8.2339294017283626E-2</v>
      </c>
      <c r="L9" s="8">
        <f t="shared" ref="L9:P9" si="9">($J3-$J2) * ((L3+L2))</f>
        <v>8.3199983501784827E-2</v>
      </c>
      <c r="M9" s="8">
        <f t="shared" si="9"/>
        <v>0.10728418925230149</v>
      </c>
      <c r="N9" s="8">
        <f t="shared" si="9"/>
        <v>6.6744057561387571E-2</v>
      </c>
      <c r="O9" s="8">
        <f t="shared" si="9"/>
        <v>7.8528509018282983E-2</v>
      </c>
      <c r="P9" s="8">
        <f t="shared" si="9"/>
        <v>9.8049600810331233E-2</v>
      </c>
    </row>
    <row r="10" spans="1:16" x14ac:dyDescent="0.3">
      <c r="B10" s="10" t="s">
        <v>45</v>
      </c>
      <c r="C10" s="10">
        <f t="shared" si="3"/>
        <v>-5.9783140473035346E-3</v>
      </c>
      <c r="D10" s="10">
        <f t="shared" si="4"/>
        <v>8.6914015298227787E-2</v>
      </c>
      <c r="E10" s="10">
        <f t="shared" si="5"/>
        <v>0.20506653946578951</v>
      </c>
      <c r="F10" s="10">
        <f t="shared" si="6"/>
        <v>0.12122862609830004</v>
      </c>
      <c r="G10" s="10">
        <f t="shared" si="7"/>
        <v>3.9406487697023374E-2</v>
      </c>
      <c r="H10" s="10">
        <f t="shared" si="8"/>
        <v>-0.13137583228637567</v>
      </c>
      <c r="J10" s="10" t="s">
        <v>45</v>
      </c>
      <c r="K10" s="8">
        <f t="shared" ref="K10:P11" si="10">($J4-$J3) * ((K4+K3))</f>
        <v>0.31966674138716605</v>
      </c>
      <c r="L10" s="8">
        <f t="shared" si="10"/>
        <v>0.34091757143694934</v>
      </c>
      <c r="M10" s="8">
        <f t="shared" si="10"/>
        <v>0.43960423685290834</v>
      </c>
      <c r="N10" s="8">
        <f t="shared" si="10"/>
        <v>0.31272050885724251</v>
      </c>
      <c r="O10" s="8">
        <f t="shared" si="10"/>
        <v>0.2843845819742018</v>
      </c>
      <c r="P10" s="8">
        <f t="shared" si="10"/>
        <v>0.3049834651973683</v>
      </c>
    </row>
    <row r="11" spans="1:16" x14ac:dyDescent="0.3">
      <c r="B11" s="10" t="s">
        <v>46</v>
      </c>
      <c r="C11" s="10">
        <f t="shared" si="3"/>
        <v>-3.2094761978911979E-2</v>
      </c>
      <c r="D11" s="10">
        <f t="shared" si="4"/>
        <v>-0.11161622573682894</v>
      </c>
      <c r="E11" s="10">
        <f t="shared" si="5"/>
        <v>-0.32429076923844014</v>
      </c>
      <c r="F11" s="10">
        <f t="shared" si="6"/>
        <v>-8.4886949955720048E-2</v>
      </c>
      <c r="G11" s="10">
        <f t="shared" si="7"/>
        <v>1.268321420602736E-4</v>
      </c>
      <c r="H11" s="10">
        <f t="shared" si="8"/>
        <v>5.3457398649634502E-2</v>
      </c>
      <c r="J11" s="10" t="s">
        <v>46</v>
      </c>
      <c r="K11" s="8">
        <f t="shared" si="10"/>
        <v>0.62387147285926936</v>
      </c>
      <c r="L11" s="8">
        <f t="shared" si="10"/>
        <v>0.65384488971007615</v>
      </c>
      <c r="M11" s="8">
        <f t="shared" si="10"/>
        <v>0.73400667804604824</v>
      </c>
      <c r="N11" s="8">
        <f t="shared" si="10"/>
        <v>0.64377002831735453</v>
      </c>
      <c r="O11" s="8">
        <f t="shared" si="10"/>
        <v>0.61172643394090254</v>
      </c>
      <c r="P11" s="8">
        <f t="shared" si="10"/>
        <v>0.59162495158278816</v>
      </c>
    </row>
    <row r="12" spans="1:16" x14ac:dyDescent="0.3">
      <c r="J12" s="14" t="s">
        <v>77</v>
      </c>
      <c r="K12" s="12">
        <f>SUM(K8:K11)</f>
        <v>1.0321526301797288</v>
      </c>
      <c r="L12" s="12">
        <f t="shared" ref="L12:P12" si="11">SUM(L8:L11)</f>
        <v>1.0859615011571306</v>
      </c>
      <c r="M12" s="12">
        <f t="shared" si="11"/>
        <v>1.2912096770172501</v>
      </c>
      <c r="N12" s="12">
        <f t="shared" si="11"/>
        <v>1.029304675227918</v>
      </c>
      <c r="O12" s="12">
        <f t="shared" si="11"/>
        <v>0.98668728422358287</v>
      </c>
      <c r="P12" s="12">
        <f t="shared" si="11"/>
        <v>1.0045808978159989</v>
      </c>
    </row>
    <row r="13" spans="1:16" x14ac:dyDescent="0.3">
      <c r="J13" s="15" t="s">
        <v>78</v>
      </c>
      <c r="K13" s="13">
        <f>1-K12</f>
        <v>-3.2152630179728803E-2</v>
      </c>
      <c r="L13" s="13">
        <f t="shared" ref="L13:P13" si="12">1-L12</f>
        <v>-8.5961501157130638E-2</v>
      </c>
      <c r="M13" s="13">
        <f t="shared" si="12"/>
        <v>-0.29120967701725009</v>
      </c>
      <c r="N13" s="13">
        <f t="shared" si="12"/>
        <v>-2.930467522791802E-2</v>
      </c>
      <c r="O13" s="13">
        <f t="shared" si="12"/>
        <v>1.3312715776417128E-2</v>
      </c>
      <c r="P13" s="13">
        <f t="shared" si="12"/>
        <v>-4.5808978159989078E-3</v>
      </c>
    </row>
  </sheetData>
  <sortState xmlns:xlrd2="http://schemas.microsoft.com/office/spreadsheetml/2017/richdata2" ref="A2:P6">
    <sortCondition ref="B1:B6"/>
  </sortState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63BF9-3396-42DC-8C02-73E48AA99A41}">
  <dimension ref="A1:P15"/>
  <sheetViews>
    <sheetView zoomScale="84" workbookViewId="0">
      <selection sqref="A1:XFD1048576"/>
    </sheetView>
  </sheetViews>
  <sheetFormatPr defaultRowHeight="14.4" x14ac:dyDescent="0.3"/>
  <sheetData>
    <row r="1" spans="1:16" ht="28.2" customHeight="1" x14ac:dyDescent="0.3">
      <c r="A1" s="1" t="s">
        <v>8</v>
      </c>
      <c r="B1" s="2" t="s">
        <v>9</v>
      </c>
      <c r="C1" s="3" t="s">
        <v>10</v>
      </c>
      <c r="D1" s="3" t="s">
        <v>11</v>
      </c>
      <c r="E1" s="3" t="s">
        <v>12</v>
      </c>
      <c r="F1" s="2" t="s">
        <v>13</v>
      </c>
      <c r="G1" s="3" t="s">
        <v>14</v>
      </c>
      <c r="H1" s="3" t="s">
        <v>15</v>
      </c>
      <c r="I1" s="4" t="s">
        <v>9</v>
      </c>
      <c r="J1" s="7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</row>
    <row r="2" spans="1:16" x14ac:dyDescent="0.3">
      <c r="A2" s="10" t="s">
        <v>52</v>
      </c>
      <c r="B2" s="9">
        <v>0.10556070576435009</v>
      </c>
      <c r="C2" s="9">
        <v>0.15686274509803921</v>
      </c>
      <c r="D2" s="9">
        <v>0.15625</v>
      </c>
      <c r="E2" s="9">
        <v>7.6923076923076927E-2</v>
      </c>
      <c r="F2" s="9">
        <v>0.1032258064516129</v>
      </c>
      <c r="G2" s="9">
        <v>0.11353711790393013</v>
      </c>
      <c r="H2" s="9">
        <v>0.10344827586206896</v>
      </c>
      <c r="I2" s="10">
        <v>0.10556070576435009</v>
      </c>
      <c r="J2" s="9">
        <v>0.10556070576435009</v>
      </c>
      <c r="K2" s="9">
        <v>0.15686274509803921</v>
      </c>
      <c r="L2" s="9">
        <v>0.15625</v>
      </c>
      <c r="M2" s="9">
        <v>7.6923076923076927E-2</v>
      </c>
      <c r="N2" s="9">
        <v>0.1032258064516129</v>
      </c>
      <c r="O2" s="9">
        <v>0.11353711790393013</v>
      </c>
      <c r="P2" s="9">
        <v>0.10344827586206896</v>
      </c>
    </row>
    <row r="3" spans="1:16" x14ac:dyDescent="0.3">
      <c r="A3" s="10" t="s">
        <v>51</v>
      </c>
      <c r="B3" s="9">
        <v>0.14391878542879288</v>
      </c>
      <c r="C3" s="9">
        <v>0.21568627450980393</v>
      </c>
      <c r="D3" s="9">
        <v>0.125</v>
      </c>
      <c r="E3" s="9">
        <v>0.25</v>
      </c>
      <c r="F3" s="9">
        <v>0.15806451612903225</v>
      </c>
      <c r="G3" s="9">
        <v>0.27074235807860264</v>
      </c>
      <c r="H3" s="9">
        <v>0.19827586206896552</v>
      </c>
      <c r="I3" s="10">
        <v>0.24947949119314297</v>
      </c>
      <c r="J3" s="10">
        <f t="shared" ref="J3:P6" si="0">J2+B3</f>
        <v>0.24947949119314297</v>
      </c>
      <c r="K3" s="10">
        <f t="shared" si="0"/>
        <v>0.37254901960784315</v>
      </c>
      <c r="L3" s="10">
        <f t="shared" si="0"/>
        <v>0.28125</v>
      </c>
      <c r="M3" s="10">
        <f t="shared" si="0"/>
        <v>0.32692307692307693</v>
      </c>
      <c r="N3" s="10">
        <f t="shared" si="0"/>
        <v>0.26129032258064516</v>
      </c>
      <c r="O3" s="10">
        <f t="shared" si="0"/>
        <v>0.38427947598253276</v>
      </c>
      <c r="P3" s="10">
        <f t="shared" si="0"/>
        <v>0.30172413793103448</v>
      </c>
    </row>
    <row r="4" spans="1:16" x14ac:dyDescent="0.3">
      <c r="A4" s="10" t="s">
        <v>53</v>
      </c>
      <c r="B4" s="9">
        <v>0.17318885731219891</v>
      </c>
      <c r="C4" s="9">
        <v>0.15032679738562091</v>
      </c>
      <c r="D4" s="9">
        <v>6.25E-2</v>
      </c>
      <c r="E4" s="9">
        <v>9.6153846153846159E-2</v>
      </c>
      <c r="F4" s="9">
        <v>0.13225806451612904</v>
      </c>
      <c r="G4" s="9">
        <v>0.10043668122270742</v>
      </c>
      <c r="H4" s="9">
        <v>3.4482758620689655E-2</v>
      </c>
      <c r="I4" s="10">
        <v>0.42266834850534185</v>
      </c>
      <c r="J4" s="10">
        <f t="shared" si="0"/>
        <v>0.42266834850534185</v>
      </c>
      <c r="K4" s="10">
        <f t="shared" si="0"/>
        <v>0.52287581699346408</v>
      </c>
      <c r="L4" s="10">
        <f t="shared" si="0"/>
        <v>0.34375</v>
      </c>
      <c r="M4" s="10">
        <f t="shared" si="0"/>
        <v>0.42307692307692307</v>
      </c>
      <c r="N4" s="10">
        <f t="shared" si="0"/>
        <v>0.3935483870967742</v>
      </c>
      <c r="O4" s="10">
        <f t="shared" si="0"/>
        <v>0.48471615720524019</v>
      </c>
      <c r="P4" s="10">
        <f t="shared" si="0"/>
        <v>0.33620689655172414</v>
      </c>
    </row>
    <row r="5" spans="1:16" x14ac:dyDescent="0.3">
      <c r="A5" s="10" t="s">
        <v>50</v>
      </c>
      <c r="B5" s="9">
        <v>0.2075348398960502</v>
      </c>
      <c r="C5" s="9">
        <v>0.10457516339869281</v>
      </c>
      <c r="D5" s="9">
        <v>0.1875</v>
      </c>
      <c r="E5" s="9">
        <v>0.19230769230769232</v>
      </c>
      <c r="F5" s="9">
        <v>0.18064516129032257</v>
      </c>
      <c r="G5" s="9">
        <v>0.24017467248908297</v>
      </c>
      <c r="H5" s="9">
        <v>0.26724137931034481</v>
      </c>
      <c r="I5" s="10">
        <v>0.63020318840139211</v>
      </c>
      <c r="J5" s="10">
        <f t="shared" si="0"/>
        <v>0.63020318840139211</v>
      </c>
      <c r="K5" s="10">
        <f t="shared" si="0"/>
        <v>0.62745098039215685</v>
      </c>
      <c r="L5" s="10">
        <f t="shared" si="0"/>
        <v>0.53125</v>
      </c>
      <c r="M5" s="10">
        <f t="shared" si="0"/>
        <v>0.61538461538461542</v>
      </c>
      <c r="N5" s="10">
        <f t="shared" si="0"/>
        <v>0.5741935483870968</v>
      </c>
      <c r="O5" s="10">
        <f t="shared" si="0"/>
        <v>0.72489082969432317</v>
      </c>
      <c r="P5" s="10">
        <f t="shared" si="0"/>
        <v>0.60344827586206895</v>
      </c>
    </row>
    <row r="6" spans="1:16" x14ac:dyDescent="0.3">
      <c r="A6" s="10" t="s">
        <v>49</v>
      </c>
      <c r="B6" s="9">
        <v>0.36979681159860794</v>
      </c>
      <c r="C6" s="9">
        <v>0.37254901960784315</v>
      </c>
      <c r="D6" s="9">
        <v>0.46875</v>
      </c>
      <c r="E6" s="9">
        <v>0.38461538461538464</v>
      </c>
      <c r="F6" s="9">
        <v>0.4258064516129032</v>
      </c>
      <c r="G6" s="9">
        <v>0.27510917030567683</v>
      </c>
      <c r="H6" s="9">
        <v>0.39655172413793105</v>
      </c>
      <c r="I6" s="10">
        <v>1</v>
      </c>
      <c r="J6" s="10">
        <f t="shared" si="0"/>
        <v>1</v>
      </c>
      <c r="K6" s="10">
        <f t="shared" si="0"/>
        <v>1</v>
      </c>
      <c r="L6" s="10">
        <f t="shared" si="0"/>
        <v>1</v>
      </c>
      <c r="M6" s="10">
        <f t="shared" si="0"/>
        <v>1</v>
      </c>
      <c r="N6" s="10">
        <f t="shared" si="0"/>
        <v>1</v>
      </c>
      <c r="O6" s="10">
        <f t="shared" si="0"/>
        <v>1</v>
      </c>
      <c r="P6" s="10">
        <f t="shared" si="0"/>
        <v>1</v>
      </c>
    </row>
    <row r="8" spans="1:16" ht="28.8" x14ac:dyDescent="0.3">
      <c r="B8" s="1" t="s">
        <v>8</v>
      </c>
      <c r="C8" s="3" t="s">
        <v>65</v>
      </c>
      <c r="D8" s="3" t="s">
        <v>66</v>
      </c>
      <c r="E8" s="3" t="s">
        <v>67</v>
      </c>
      <c r="F8" s="3" t="s">
        <v>68</v>
      </c>
      <c r="G8" s="3" t="s">
        <v>69</v>
      </c>
      <c r="H8" s="3" t="s">
        <v>70</v>
      </c>
      <c r="J8" s="8"/>
      <c r="K8" s="12" t="s">
        <v>71</v>
      </c>
      <c r="L8" s="12" t="s">
        <v>72</v>
      </c>
      <c r="M8" s="12" t="s">
        <v>73</v>
      </c>
      <c r="N8" s="12" t="s">
        <v>74</v>
      </c>
      <c r="O8" s="12" t="s">
        <v>75</v>
      </c>
      <c r="P8" s="12" t="s">
        <v>76</v>
      </c>
    </row>
    <row r="9" spans="1:16" x14ac:dyDescent="0.3">
      <c r="B9" s="10" t="s">
        <v>52</v>
      </c>
      <c r="C9" s="10">
        <f>C2-B2</f>
        <v>5.1302039333689126E-2</v>
      </c>
      <c r="D9" s="10">
        <f>D2-B2</f>
        <v>5.0689294235649912E-2</v>
      </c>
      <c r="E9" s="10">
        <f>E2-B2</f>
        <v>-2.8637628841273161E-2</v>
      </c>
      <c r="F9" s="10">
        <f>F2-B2</f>
        <v>-2.3348993127371848E-3</v>
      </c>
      <c r="G9" s="10">
        <f>G2-B2</f>
        <v>7.9764121395800441E-3</v>
      </c>
      <c r="H9" s="10">
        <f>H2-B2</f>
        <v>-2.1124299022811238E-3</v>
      </c>
      <c r="J9" s="10" t="s">
        <v>52</v>
      </c>
      <c r="K9" s="8">
        <f>(J2-0) * ((K2+0))</f>
        <v>1.6558542080682366E-2</v>
      </c>
      <c r="L9" s="8">
        <f>(J2-0) * ((L2+0))</f>
        <v>1.64938602756797E-2</v>
      </c>
      <c r="M9" s="8">
        <f>(J2-0) * ((M2+0))</f>
        <v>8.1200542895653923E-3</v>
      </c>
      <c r="N9" s="8">
        <f>(J2-0) * ((N2+0))</f>
        <v>1.089658898212646E-2</v>
      </c>
      <c r="O9" s="8">
        <f>(J2-0) * ((O2+0))</f>
        <v>1.1985058296389094E-2</v>
      </c>
      <c r="P9" s="8">
        <f>(J2-0) * ((P2+0))</f>
        <v>1.0920073010105181E-2</v>
      </c>
    </row>
    <row r="10" spans="1:16" x14ac:dyDescent="0.3">
      <c r="B10" s="10" t="s">
        <v>51</v>
      </c>
      <c r="C10" s="10">
        <f t="shared" ref="C10:C13" si="1">C3-B3</f>
        <v>7.1767489081011049E-2</v>
      </c>
      <c r="D10" s="10">
        <f t="shared" ref="D10:D13" si="2">D3-B3</f>
        <v>-1.8918785428792884E-2</v>
      </c>
      <c r="E10" s="10">
        <f t="shared" ref="E10:E13" si="3">E3-B3</f>
        <v>0.10608121457120712</v>
      </c>
      <c r="F10" s="10">
        <f t="shared" ref="F10:F13" si="4">F3-B3</f>
        <v>1.4145730700239362E-2</v>
      </c>
      <c r="G10" s="10">
        <f t="shared" ref="G10:G13" si="5">G3-B3</f>
        <v>0.12682357264980976</v>
      </c>
      <c r="H10" s="10">
        <f t="shared" ref="H10:H13" si="6">H3-B3</f>
        <v>5.4357076640172641E-2</v>
      </c>
      <c r="J10" s="10" t="s">
        <v>51</v>
      </c>
      <c r="K10" s="8">
        <f>(J3-J2) * ((K3+K2))</f>
        <v>7.6192298168184472E-2</v>
      </c>
      <c r="L10" s="8">
        <f>(J3-J2) * ((L3+L2))</f>
        <v>6.2964468625096887E-2</v>
      </c>
      <c r="M10" s="8">
        <f>(J3-J2) * ((M3+M2))</f>
        <v>5.8121047961627897E-2</v>
      </c>
      <c r="N10" s="8">
        <f>(J3-J2) * ((N3+N2))</f>
        <v>5.2460718559527726E-2</v>
      </c>
      <c r="O10" s="8">
        <f>(J3-J2) * ((O3+O2))</f>
        <v>7.1645159558438379E-2</v>
      </c>
      <c r="P10" s="8">
        <f>(J3-J2) * ((P3+P2))</f>
        <v>5.8311921682355737E-2</v>
      </c>
    </row>
    <row r="11" spans="1:16" x14ac:dyDescent="0.3">
      <c r="B11" s="10" t="s">
        <v>53</v>
      </c>
      <c r="C11" s="10">
        <f t="shared" si="1"/>
        <v>-2.2862059926577999E-2</v>
      </c>
      <c r="D11" s="10">
        <f t="shared" si="2"/>
        <v>-0.11068885731219891</v>
      </c>
      <c r="E11" s="10">
        <f t="shared" si="3"/>
        <v>-7.7035011158352748E-2</v>
      </c>
      <c r="F11" s="10">
        <f t="shared" si="4"/>
        <v>-4.093079279606987E-2</v>
      </c>
      <c r="G11" s="10">
        <f t="shared" si="5"/>
        <v>-7.2752176089491485E-2</v>
      </c>
      <c r="H11" s="10">
        <f t="shared" si="6"/>
        <v>-0.13870609869150924</v>
      </c>
      <c r="J11" s="10" t="s">
        <v>53</v>
      </c>
      <c r="K11" s="8">
        <f t="shared" ref="K11:K13" si="7">(J4-J3) * ((K4+K3))</f>
        <v>0.1550776042599428</v>
      </c>
      <c r="L11" s="8">
        <f t="shared" ref="L11:L13" si="8">(J4-J3) * ((L4+L3))</f>
        <v>0.1082430358201243</v>
      </c>
      <c r="M11" s="8">
        <f t="shared" ref="M11:M13" si="9">(J4-J3) * ((M4+M3))</f>
        <v>0.12989164298414915</v>
      </c>
      <c r="N11" s="8">
        <f t="shared" ref="N11:N13" si="10">(J4-J3) * ((N4+N3))</f>
        <v>0.113410767852827</v>
      </c>
      <c r="O11" s="8">
        <f t="shared" ref="O11:O13" si="11">(J4-J3) * ((O4+O3))</f>
        <v>0.15050036072108114</v>
      </c>
      <c r="P11" s="8">
        <f t="shared" ref="P11:P13" si="12">(J4-J3) * ((P4+P3))</f>
        <v>0.11048254690605791</v>
      </c>
    </row>
    <row r="12" spans="1:16" x14ac:dyDescent="0.3">
      <c r="B12" s="10" t="s">
        <v>50</v>
      </c>
      <c r="C12" s="10">
        <f t="shared" si="1"/>
        <v>-0.10295967649735739</v>
      </c>
      <c r="D12" s="10">
        <f t="shared" si="2"/>
        <v>-2.0034839896050205E-2</v>
      </c>
      <c r="E12" s="10">
        <f t="shared" si="3"/>
        <v>-1.5227147588357887E-2</v>
      </c>
      <c r="F12" s="10">
        <f t="shared" si="4"/>
        <v>-2.6889678605727635E-2</v>
      </c>
      <c r="G12" s="10">
        <f t="shared" si="5"/>
        <v>3.2639832593032769E-2</v>
      </c>
      <c r="H12" s="10">
        <f t="shared" si="6"/>
        <v>5.9706539414294602E-2</v>
      </c>
      <c r="J12" s="10" t="s">
        <v>50</v>
      </c>
      <c r="K12" s="8">
        <f t="shared" si="7"/>
        <v>0.23873288772356108</v>
      </c>
      <c r="L12" s="8">
        <f t="shared" si="8"/>
        <v>0.18159298490904396</v>
      </c>
      <c r="M12" s="8">
        <f t="shared" si="9"/>
        <v>0.21551694912282143</v>
      </c>
      <c r="N12" s="8">
        <f t="shared" si="10"/>
        <v>0.20084016764133897</v>
      </c>
      <c r="O12" s="8">
        <f t="shared" si="11"/>
        <v>0.25103559236334466</v>
      </c>
      <c r="P12" s="8">
        <f t="shared" si="12"/>
        <v>0.19501118576439205</v>
      </c>
    </row>
    <row r="13" spans="1:16" x14ac:dyDescent="0.3">
      <c r="B13" s="10" t="s">
        <v>49</v>
      </c>
      <c r="C13" s="10">
        <f t="shared" si="1"/>
        <v>2.7522080092352019E-3</v>
      </c>
      <c r="D13" s="10">
        <f t="shared" si="2"/>
        <v>9.8953188401392056E-2</v>
      </c>
      <c r="E13" s="10">
        <f t="shared" si="3"/>
        <v>1.4818573016776693E-2</v>
      </c>
      <c r="F13" s="10">
        <f t="shared" si="4"/>
        <v>5.6009640014295259E-2</v>
      </c>
      <c r="G13" s="10">
        <f t="shared" si="5"/>
        <v>-9.4687641292931113E-2</v>
      </c>
      <c r="H13" s="10">
        <f t="shared" si="6"/>
        <v>2.6754912539323106E-2</v>
      </c>
      <c r="J13" s="10" t="s">
        <v>49</v>
      </c>
      <c r="K13" s="8">
        <f t="shared" si="7"/>
        <v>0.60182618358204809</v>
      </c>
      <c r="L13" s="8">
        <f t="shared" si="8"/>
        <v>0.56625136776036833</v>
      </c>
      <c r="M13" s="8">
        <f t="shared" si="9"/>
        <v>0.59736408027467425</v>
      </c>
      <c r="N13" s="8">
        <f t="shared" si="10"/>
        <v>0.58213175503264725</v>
      </c>
      <c r="O13" s="8">
        <f t="shared" si="11"/>
        <v>0.63785912917663812</v>
      </c>
      <c r="P13" s="8">
        <f t="shared" si="12"/>
        <v>0.59295005997707817</v>
      </c>
    </row>
    <row r="14" spans="1:16" x14ac:dyDescent="0.3">
      <c r="J14" s="12" t="s">
        <v>77</v>
      </c>
      <c r="K14" s="12">
        <f>SUM(K9:K13)</f>
        <v>1.0883875158144187</v>
      </c>
      <c r="L14" s="12">
        <f t="shared" ref="L14:P14" si="13">SUM(L9:L13)</f>
        <v>0.93554571739031323</v>
      </c>
      <c r="M14" s="12">
        <f t="shared" si="13"/>
        <v>1.0090137746328383</v>
      </c>
      <c r="N14" s="12">
        <f t="shared" si="13"/>
        <v>0.95973999806846744</v>
      </c>
      <c r="O14" s="12">
        <f t="shared" si="13"/>
        <v>1.1230253001158914</v>
      </c>
      <c r="P14" s="12">
        <f t="shared" si="13"/>
        <v>0.96767578733998905</v>
      </c>
    </row>
    <row r="15" spans="1:16" x14ac:dyDescent="0.3">
      <c r="J15" s="13" t="s">
        <v>78</v>
      </c>
      <c r="K15" s="13">
        <f>1-K14</f>
        <v>-8.8387515814418727E-2</v>
      </c>
      <c r="L15" s="13">
        <f t="shared" ref="L15:P15" si="14">1-L14</f>
        <v>6.4454282609686775E-2</v>
      </c>
      <c r="M15" s="13">
        <f t="shared" si="14"/>
        <v>-9.0137746328382562E-3</v>
      </c>
      <c r="N15" s="13">
        <f t="shared" si="14"/>
        <v>4.0260001931532563E-2</v>
      </c>
      <c r="O15" s="13">
        <f t="shared" si="14"/>
        <v>-0.12302530011589141</v>
      </c>
      <c r="P15" s="13">
        <f t="shared" si="14"/>
        <v>3.2324212660010954E-2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DBB80-B1D1-4F80-B1F8-B2939744E0CB}">
  <dimension ref="A1:P28"/>
  <sheetViews>
    <sheetView tabSelected="1" topLeftCell="A4" workbookViewId="0">
      <selection sqref="A1:P28"/>
    </sheetView>
  </sheetViews>
  <sheetFormatPr defaultRowHeight="14.4" x14ac:dyDescent="0.3"/>
  <sheetData>
    <row r="1" spans="1:16" ht="28.2" customHeight="1" x14ac:dyDescent="0.3">
      <c r="A1" s="1" t="s">
        <v>8</v>
      </c>
      <c r="B1" s="2" t="s">
        <v>9</v>
      </c>
      <c r="C1" s="3" t="s">
        <v>10</v>
      </c>
      <c r="D1" s="3" t="s">
        <v>11</v>
      </c>
      <c r="E1" s="3" t="s">
        <v>12</v>
      </c>
      <c r="F1" s="2" t="s">
        <v>13</v>
      </c>
      <c r="G1" s="3" t="s">
        <v>14</v>
      </c>
      <c r="H1" s="3" t="s">
        <v>15</v>
      </c>
      <c r="I1" s="4" t="s">
        <v>9</v>
      </c>
      <c r="J1" s="7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</row>
    <row r="2" spans="1:16" x14ac:dyDescent="0.3">
      <c r="A2" s="10" t="s">
        <v>56</v>
      </c>
      <c r="B2" s="9">
        <v>1.8769792243570626E-2</v>
      </c>
      <c r="C2" s="9">
        <v>3.1486146095717885E-2</v>
      </c>
      <c r="D2" s="9">
        <v>1.1695906432748537E-2</v>
      </c>
      <c r="E2" s="9">
        <v>3.3816425120772944E-2</v>
      </c>
      <c r="F2" s="9">
        <v>3.4313725490196081E-2</v>
      </c>
      <c r="G2" s="9">
        <v>1.1456628477905073E-2</v>
      </c>
      <c r="H2" s="9">
        <v>3.0395136778115502E-2</v>
      </c>
      <c r="I2" s="10">
        <v>1.8769792243570626E-2</v>
      </c>
      <c r="J2" s="9">
        <v>1.8769792243570626E-2</v>
      </c>
      <c r="K2" s="9">
        <v>3.1486146095717885E-2</v>
      </c>
      <c r="L2" s="9">
        <v>1.1695906432748537E-2</v>
      </c>
      <c r="M2" s="9">
        <v>3.3816425120772944E-2</v>
      </c>
      <c r="N2" s="9">
        <v>3.4313725490196081E-2</v>
      </c>
      <c r="O2" s="9">
        <v>1.1456628477905073E-2</v>
      </c>
      <c r="P2" s="9">
        <v>3.0395136778115502E-2</v>
      </c>
    </row>
    <row r="3" spans="1:16" x14ac:dyDescent="0.3">
      <c r="A3" s="10" t="s">
        <v>61</v>
      </c>
      <c r="B3" s="9">
        <v>2.0928300600690154E-2</v>
      </c>
      <c r="C3" s="9">
        <v>2.6448362720403022E-2</v>
      </c>
      <c r="D3" s="9">
        <v>2.9239766081871343E-2</v>
      </c>
      <c r="E3" s="9">
        <v>9.6618357487922701E-3</v>
      </c>
      <c r="F3" s="9">
        <v>3.0637254901960783E-2</v>
      </c>
      <c r="G3" s="9">
        <v>1.8003273322422259E-2</v>
      </c>
      <c r="H3" s="9">
        <v>6.0790273556231005E-2</v>
      </c>
      <c r="I3" s="10">
        <v>3.9698092844260777E-2</v>
      </c>
      <c r="J3" s="10">
        <f>J2+B3</f>
        <v>3.9698092844260777E-2</v>
      </c>
      <c r="K3" s="10">
        <f>K2+C3</f>
        <v>5.7934508816120903E-2</v>
      </c>
      <c r="L3" s="10">
        <f t="shared" ref="L3:P12" si="0">L2+D3</f>
        <v>4.0935672514619881E-2</v>
      </c>
      <c r="M3" s="10">
        <f t="shared" si="0"/>
        <v>4.3478260869565216E-2</v>
      </c>
      <c r="N3" s="10">
        <f t="shared" si="0"/>
        <v>6.4950980392156868E-2</v>
      </c>
      <c r="O3" s="10">
        <f t="shared" si="0"/>
        <v>2.9459901800327332E-2</v>
      </c>
      <c r="P3" s="10">
        <f t="shared" si="0"/>
        <v>9.1185410334346503E-2</v>
      </c>
    </row>
    <row r="4" spans="1:16" x14ac:dyDescent="0.3">
      <c r="A4" s="10" t="s">
        <v>54</v>
      </c>
      <c r="B4" s="9">
        <v>3.0510231613627006E-2</v>
      </c>
      <c r="C4" s="9">
        <v>8.8161209068010078E-3</v>
      </c>
      <c r="D4" s="9">
        <v>5.8479532163742687E-3</v>
      </c>
      <c r="E4" s="9">
        <v>9.6618357487922701E-3</v>
      </c>
      <c r="F4" s="9">
        <v>3.1862745098039214E-2</v>
      </c>
      <c r="G4" s="9">
        <v>3.6006546644844518E-2</v>
      </c>
      <c r="H4" s="9">
        <v>5.1671732522796353E-2</v>
      </c>
      <c r="I4" s="10">
        <v>7.0208324457887786E-2</v>
      </c>
      <c r="J4" s="10">
        <f t="shared" ref="J4:K12" si="1">J3+B4</f>
        <v>7.0208324457887786E-2</v>
      </c>
      <c r="K4" s="10">
        <f t="shared" si="1"/>
        <v>6.6750629722921909E-2</v>
      </c>
      <c r="L4" s="10">
        <f t="shared" si="0"/>
        <v>4.6783625730994149E-2</v>
      </c>
      <c r="M4" s="10">
        <f t="shared" si="0"/>
        <v>5.3140096618357488E-2</v>
      </c>
      <c r="N4" s="10">
        <f t="shared" si="0"/>
        <v>9.6813725490196081E-2</v>
      </c>
      <c r="O4" s="10">
        <f t="shared" si="0"/>
        <v>6.5466448445171854E-2</v>
      </c>
      <c r="P4" s="10">
        <f t="shared" si="0"/>
        <v>0.14285714285714285</v>
      </c>
    </row>
    <row r="5" spans="1:16" x14ac:dyDescent="0.3">
      <c r="A5" s="10" t="s">
        <v>60</v>
      </c>
      <c r="B5" s="9">
        <v>3.8341924764623184E-2</v>
      </c>
      <c r="C5" s="9">
        <v>2.3929471032745592E-2</v>
      </c>
      <c r="D5" s="9">
        <v>2.3391812865497075E-2</v>
      </c>
      <c r="E5" s="9">
        <v>7.246376811594203E-3</v>
      </c>
      <c r="F5" s="9">
        <v>1.8382352941176471E-2</v>
      </c>
      <c r="G5" s="9">
        <v>1.8003273322422259E-2</v>
      </c>
      <c r="H5" s="9">
        <v>5.4711246200607903E-2</v>
      </c>
      <c r="I5" s="10">
        <v>0.10855024922251097</v>
      </c>
      <c r="J5" s="10">
        <f t="shared" si="1"/>
        <v>0.10855024922251097</v>
      </c>
      <c r="K5" s="10">
        <f t="shared" si="1"/>
        <v>9.06801007556675E-2</v>
      </c>
      <c r="L5" s="10">
        <f t="shared" si="0"/>
        <v>7.0175438596491224E-2</v>
      </c>
      <c r="M5" s="10">
        <f t="shared" si="0"/>
        <v>6.0386473429951688E-2</v>
      </c>
      <c r="N5" s="10">
        <f t="shared" si="0"/>
        <v>0.11519607843137256</v>
      </c>
      <c r="O5" s="10">
        <f t="shared" si="0"/>
        <v>8.346972176759411E-2</v>
      </c>
      <c r="P5" s="10">
        <f t="shared" si="0"/>
        <v>0.19756838905775076</v>
      </c>
    </row>
    <row r="6" spans="1:16" x14ac:dyDescent="0.3">
      <c r="A6" s="10" t="s">
        <v>63</v>
      </c>
      <c r="B6" s="9">
        <v>4.4352376489299766E-2</v>
      </c>
      <c r="C6" s="9">
        <v>1.3853904282115869E-2</v>
      </c>
      <c r="D6" s="9">
        <v>1.4619883040935672E-2</v>
      </c>
      <c r="E6" s="9">
        <v>4.1062801932367152E-2</v>
      </c>
      <c r="F6" s="9">
        <v>5.0245098039215688E-2</v>
      </c>
      <c r="G6" s="9">
        <v>4.0916530278232409E-2</v>
      </c>
      <c r="H6" s="9">
        <v>4.8632218844984802E-2</v>
      </c>
      <c r="I6" s="10">
        <v>0.15290262571181074</v>
      </c>
      <c r="J6" s="10">
        <f t="shared" si="1"/>
        <v>0.15290262571181074</v>
      </c>
      <c r="K6" s="10">
        <f t="shared" si="1"/>
        <v>0.10453400503778337</v>
      </c>
      <c r="L6" s="10">
        <f t="shared" si="0"/>
        <v>8.4795321637426896E-2</v>
      </c>
      <c r="M6" s="10">
        <f t="shared" si="0"/>
        <v>0.10144927536231885</v>
      </c>
      <c r="N6" s="10">
        <f t="shared" si="0"/>
        <v>0.16544117647058826</v>
      </c>
      <c r="O6" s="10">
        <f t="shared" si="0"/>
        <v>0.12438625204582651</v>
      </c>
      <c r="P6" s="10">
        <f t="shared" si="0"/>
        <v>0.24620060790273557</v>
      </c>
    </row>
    <row r="7" spans="1:16" x14ac:dyDescent="0.3">
      <c r="A7" s="10" t="s">
        <v>55</v>
      </c>
      <c r="B7" s="9">
        <v>4.43630270239566E-2</v>
      </c>
      <c r="C7" s="9">
        <v>4.1561712846347604E-2</v>
      </c>
      <c r="D7" s="9">
        <v>3.2163742690058478E-2</v>
      </c>
      <c r="E7" s="9">
        <v>3.140096618357488E-2</v>
      </c>
      <c r="F7" s="9">
        <v>2.5735294117647058E-2</v>
      </c>
      <c r="G7" s="9">
        <v>4.2553191489361701E-2</v>
      </c>
      <c r="H7" s="9">
        <v>2.1276595744680851E-2</v>
      </c>
      <c r="I7" s="10">
        <v>0.19726565273576735</v>
      </c>
      <c r="J7" s="10">
        <f t="shared" si="1"/>
        <v>0.19726565273576735</v>
      </c>
      <c r="K7" s="10">
        <f t="shared" si="1"/>
        <v>0.14609571788413098</v>
      </c>
      <c r="L7" s="10">
        <f t="shared" si="0"/>
        <v>0.11695906432748537</v>
      </c>
      <c r="M7" s="10">
        <f t="shared" si="0"/>
        <v>0.13285024154589373</v>
      </c>
      <c r="N7" s="10">
        <f t="shared" si="0"/>
        <v>0.19117647058823531</v>
      </c>
      <c r="O7" s="10">
        <f t="shared" si="0"/>
        <v>0.16693944353518822</v>
      </c>
      <c r="P7" s="10">
        <f t="shared" si="0"/>
        <v>0.26747720364741639</v>
      </c>
    </row>
    <row r="8" spans="1:16" x14ac:dyDescent="0.3">
      <c r="A8" s="10" t="s">
        <v>62</v>
      </c>
      <c r="B8" s="9">
        <v>5.9199221800934405E-2</v>
      </c>
      <c r="C8" s="9">
        <v>5.2896725440806043E-2</v>
      </c>
      <c r="D8" s="9">
        <v>3.2163742690058478E-2</v>
      </c>
      <c r="E8" s="9">
        <v>3.3816425120772944E-2</v>
      </c>
      <c r="F8" s="9">
        <v>4.5343137254901959E-2</v>
      </c>
      <c r="G8" s="9">
        <v>2.6186579378068741E-2</v>
      </c>
      <c r="H8" s="9">
        <v>3.3434650455927049E-2</v>
      </c>
      <c r="I8" s="10">
        <v>0.25646487453670175</v>
      </c>
      <c r="J8" s="10">
        <f t="shared" si="1"/>
        <v>0.25646487453670175</v>
      </c>
      <c r="K8" s="10">
        <f t="shared" si="1"/>
        <v>0.19899244332493701</v>
      </c>
      <c r="L8" s="10">
        <f t="shared" si="0"/>
        <v>0.14912280701754385</v>
      </c>
      <c r="M8" s="10">
        <f t="shared" si="0"/>
        <v>0.16666666666666669</v>
      </c>
      <c r="N8" s="10">
        <f t="shared" si="0"/>
        <v>0.23651960784313728</v>
      </c>
      <c r="O8" s="10">
        <f t="shared" si="0"/>
        <v>0.19312602291325695</v>
      </c>
      <c r="P8" s="10">
        <f t="shared" si="0"/>
        <v>0.30091185410334342</v>
      </c>
    </row>
    <row r="9" spans="1:16" x14ac:dyDescent="0.3">
      <c r="A9" s="10" t="s">
        <v>57</v>
      </c>
      <c r="B9" s="9">
        <v>6.4868856416592111E-2</v>
      </c>
      <c r="C9" s="9">
        <v>3.6523929471032744E-2</v>
      </c>
      <c r="D9" s="9">
        <v>0.13742690058479531</v>
      </c>
      <c r="E9" s="9">
        <v>7.2463768115942032E-2</v>
      </c>
      <c r="F9" s="9">
        <v>5.3921568627450983E-2</v>
      </c>
      <c r="G9" s="9">
        <v>7.3649754500818329E-2</v>
      </c>
      <c r="H9" s="9">
        <v>5.7750759878419454E-2</v>
      </c>
      <c r="I9" s="10">
        <v>0.32133373095329387</v>
      </c>
      <c r="J9" s="10">
        <f t="shared" si="1"/>
        <v>0.32133373095329387</v>
      </c>
      <c r="K9" s="10">
        <f t="shared" si="1"/>
        <v>0.23551637279596976</v>
      </c>
      <c r="L9" s="10">
        <f t="shared" si="0"/>
        <v>0.28654970760233917</v>
      </c>
      <c r="M9" s="10">
        <f t="shared" si="0"/>
        <v>0.2391304347826087</v>
      </c>
      <c r="N9" s="10">
        <f t="shared" si="0"/>
        <v>0.29044117647058826</v>
      </c>
      <c r="O9" s="10">
        <f t="shared" si="0"/>
        <v>0.26677577741407527</v>
      </c>
      <c r="P9" s="10">
        <f t="shared" si="0"/>
        <v>0.35866261398176286</v>
      </c>
    </row>
    <row r="10" spans="1:16" x14ac:dyDescent="0.3">
      <c r="A10" s="10" t="s">
        <v>58</v>
      </c>
      <c r="B10" s="9">
        <v>6.5877107030772944E-2</v>
      </c>
      <c r="C10" s="9">
        <v>8.6901763224181361E-2</v>
      </c>
      <c r="D10" s="9">
        <v>6.4327485380116955E-2</v>
      </c>
      <c r="E10" s="9">
        <v>0.14975845410628019</v>
      </c>
      <c r="F10" s="9">
        <v>0.11274509803921569</v>
      </c>
      <c r="G10" s="9">
        <v>9.9836333878887074E-2</v>
      </c>
      <c r="H10" s="9">
        <v>7.598784194528875E-2</v>
      </c>
      <c r="I10" s="10">
        <v>0.3872108379840668</v>
      </c>
      <c r="J10" s="10">
        <f t="shared" si="1"/>
        <v>0.3872108379840668</v>
      </c>
      <c r="K10" s="10">
        <f t="shared" si="1"/>
        <v>0.32241813602015112</v>
      </c>
      <c r="L10" s="10">
        <f t="shared" si="0"/>
        <v>0.35087719298245612</v>
      </c>
      <c r="M10" s="10">
        <f t="shared" si="0"/>
        <v>0.3888888888888889</v>
      </c>
      <c r="N10" s="10">
        <f t="shared" si="0"/>
        <v>0.40318627450980393</v>
      </c>
      <c r="O10" s="10">
        <f t="shared" si="0"/>
        <v>0.36661211129296234</v>
      </c>
      <c r="P10" s="10">
        <f t="shared" si="0"/>
        <v>0.43465045592705159</v>
      </c>
    </row>
    <row r="11" spans="1:16" x14ac:dyDescent="0.3">
      <c r="A11" s="10" t="s">
        <v>59</v>
      </c>
      <c r="B11" s="9">
        <v>0.11125903520356722</v>
      </c>
      <c r="C11" s="9">
        <v>0.10579345088161209</v>
      </c>
      <c r="D11" s="9">
        <v>9.3567251461988299E-2</v>
      </c>
      <c r="E11" s="9">
        <v>4.1062801932367152E-2</v>
      </c>
      <c r="F11" s="9">
        <v>4.6568627450980393E-2</v>
      </c>
      <c r="G11" s="9">
        <v>0.11947626841243862</v>
      </c>
      <c r="H11" s="9">
        <v>0.11246200607902736</v>
      </c>
      <c r="I11" s="10">
        <v>0.49846987318763403</v>
      </c>
      <c r="J11" s="10">
        <f t="shared" si="1"/>
        <v>0.49846987318763403</v>
      </c>
      <c r="K11" s="10">
        <f t="shared" si="1"/>
        <v>0.4282115869017632</v>
      </c>
      <c r="L11" s="10">
        <f t="shared" si="0"/>
        <v>0.44444444444444442</v>
      </c>
      <c r="M11" s="10">
        <f t="shared" si="0"/>
        <v>0.42995169082125606</v>
      </c>
      <c r="N11" s="10">
        <f t="shared" si="0"/>
        <v>0.44975490196078433</v>
      </c>
      <c r="O11" s="10">
        <f t="shared" si="0"/>
        <v>0.48608837970540097</v>
      </c>
      <c r="P11" s="10">
        <f t="shared" si="0"/>
        <v>0.54711246200607899</v>
      </c>
    </row>
    <row r="12" spans="1:16" x14ac:dyDescent="0.3">
      <c r="A12" s="10" t="s">
        <v>64</v>
      </c>
      <c r="B12" s="9">
        <v>0.50153012681236597</v>
      </c>
      <c r="C12" s="9">
        <v>0.5717884130982368</v>
      </c>
      <c r="D12" s="9">
        <v>0.55555555555555558</v>
      </c>
      <c r="E12" s="9">
        <v>0.57004830917874394</v>
      </c>
      <c r="F12" s="9">
        <v>0.55024509803921573</v>
      </c>
      <c r="G12" s="9">
        <v>0.51391162029459903</v>
      </c>
      <c r="H12" s="9">
        <v>0.45288753799392095</v>
      </c>
      <c r="I12" s="10">
        <v>1</v>
      </c>
      <c r="J12" s="10">
        <f t="shared" si="1"/>
        <v>1</v>
      </c>
      <c r="K12" s="10">
        <f t="shared" si="1"/>
        <v>1</v>
      </c>
      <c r="L12" s="10">
        <f t="shared" si="0"/>
        <v>1</v>
      </c>
      <c r="M12" s="10">
        <f t="shared" si="0"/>
        <v>1</v>
      </c>
      <c r="N12" s="10">
        <f t="shared" si="0"/>
        <v>1</v>
      </c>
      <c r="O12" s="10">
        <f t="shared" si="0"/>
        <v>1</v>
      </c>
      <c r="P12" s="10">
        <f t="shared" si="0"/>
        <v>1</v>
      </c>
    </row>
    <row r="15" spans="1:16" ht="28.8" x14ac:dyDescent="0.3">
      <c r="B15" s="1" t="s">
        <v>8</v>
      </c>
      <c r="C15" s="3" t="s">
        <v>65</v>
      </c>
      <c r="D15" s="3" t="s">
        <v>66</v>
      </c>
      <c r="E15" s="3" t="s">
        <v>67</v>
      </c>
      <c r="F15" s="3" t="s">
        <v>68</v>
      </c>
      <c r="G15" s="3" t="s">
        <v>69</v>
      </c>
      <c r="H15" s="3" t="s">
        <v>70</v>
      </c>
      <c r="J15" s="8"/>
      <c r="K15" s="12" t="s">
        <v>71</v>
      </c>
      <c r="L15" s="12" t="s">
        <v>72</v>
      </c>
      <c r="M15" s="12" t="s">
        <v>73</v>
      </c>
      <c r="N15" s="12" t="s">
        <v>74</v>
      </c>
      <c r="O15" s="12" t="s">
        <v>75</v>
      </c>
      <c r="P15" s="12" t="s">
        <v>76</v>
      </c>
    </row>
    <row r="16" spans="1:16" x14ac:dyDescent="0.3">
      <c r="B16" s="10" t="s">
        <v>56</v>
      </c>
      <c r="C16" s="10">
        <f>C2-B2</f>
        <v>1.2716353852147259E-2</v>
      </c>
      <c r="D16" s="10">
        <f>D2-B2</f>
        <v>-7.0738858108220885E-3</v>
      </c>
      <c r="E16" s="10">
        <f>E2-B2</f>
        <v>1.5046632877202318E-2</v>
      </c>
      <c r="F16" s="10">
        <f>F2-B2</f>
        <v>1.5543933246625456E-2</v>
      </c>
      <c r="G16" s="10">
        <f>G2-B2</f>
        <v>-7.3131637656655528E-3</v>
      </c>
      <c r="H16" s="10">
        <f>H2-B2</f>
        <v>1.1625344534544876E-2</v>
      </c>
      <c r="J16" s="10" t="s">
        <v>56</v>
      </c>
      <c r="K16" s="8">
        <f>(J2-0) * ((K2+0))</f>
        <v>5.9098842076733707E-4</v>
      </c>
      <c r="L16" s="8">
        <f>(J2-0) * ((L2+0))</f>
        <v>2.1952973384293129E-4</v>
      </c>
      <c r="M16" s="8">
        <f>(J2-0) * ((M2+0))</f>
        <v>6.3472727393717088E-4</v>
      </c>
      <c r="N16" s="8">
        <f>(J2-0) * ((N2+0))</f>
        <v>6.4406149855389405E-4</v>
      </c>
      <c r="O16" s="8">
        <f>(J2-0) * ((O2+0))</f>
        <v>2.1503853634205299E-4</v>
      </c>
      <c r="P16" s="8">
        <f>(J2-0) * ((P2+0))</f>
        <v>5.7051040254014064E-4</v>
      </c>
    </row>
    <row r="17" spans="2:16" x14ac:dyDescent="0.3">
      <c r="B17" s="10" t="s">
        <v>61</v>
      </c>
      <c r="C17" s="10">
        <f t="shared" ref="C17:C26" si="2">C3-B3</f>
        <v>5.5200621197128673E-3</v>
      </c>
      <c r="D17" s="10">
        <f t="shared" ref="D17:D26" si="3">D3-B3</f>
        <v>8.3114654811811892E-3</v>
      </c>
      <c r="E17" s="10">
        <f t="shared" ref="E17:E26" si="4">E3-B3</f>
        <v>-1.1266464851897884E-2</v>
      </c>
      <c r="F17" s="10">
        <f t="shared" ref="F17:F26" si="5">F3-B3</f>
        <v>9.7089543012706288E-3</v>
      </c>
      <c r="G17" s="10">
        <f t="shared" ref="G17:G26" si="6">G3-B3</f>
        <v>-2.925027278267895E-3</v>
      </c>
      <c r="H17" s="10">
        <f t="shared" ref="H17:H26" si="7">H3-B3</f>
        <v>3.986197295554085E-2</v>
      </c>
      <c r="J17" s="10" t="s">
        <v>61</v>
      </c>
      <c r="K17" s="8">
        <f>(J3-J2) * ((K3+K2))</f>
        <v>1.8714223459055425E-3</v>
      </c>
      <c r="L17" s="8">
        <f>(J3-J2) * ((L3+L2))</f>
        <v>1.1014895052994815E-3</v>
      </c>
      <c r="M17" s="8">
        <f>(J3-J2) * ((M3+M2))</f>
        <v>1.6176464232417506E-3</v>
      </c>
      <c r="N17" s="8">
        <f>(J3-J2) * ((N3+N2))</f>
        <v>2.0774416037449782E-3</v>
      </c>
      <c r="O17" s="8">
        <f>(J3-J2) * ((O3+O2))</f>
        <v>8.5631344520008788E-4</v>
      </c>
      <c r="P17" s="8">
        <f>(J3-J2) * ((P3+P2))</f>
        <v>2.5444742371659758E-3</v>
      </c>
    </row>
    <row r="18" spans="2:16" x14ac:dyDescent="0.3">
      <c r="B18" s="10" t="s">
        <v>54</v>
      </c>
      <c r="C18" s="10">
        <f t="shared" si="2"/>
        <v>-2.1694110706825996E-2</v>
      </c>
      <c r="D18" s="10">
        <f t="shared" si="3"/>
        <v>-2.4662278397252737E-2</v>
      </c>
      <c r="E18" s="10">
        <f t="shared" si="4"/>
        <v>-2.0848395864834737E-2</v>
      </c>
      <c r="F18" s="10">
        <f t="shared" si="5"/>
        <v>1.3525134844122079E-3</v>
      </c>
      <c r="G18" s="10">
        <f t="shared" si="6"/>
        <v>5.4963150312175128E-3</v>
      </c>
      <c r="H18" s="10">
        <f t="shared" si="7"/>
        <v>2.1161500909169347E-2</v>
      </c>
      <c r="J18" s="10" t="s">
        <v>54</v>
      </c>
      <c r="K18" s="8">
        <f t="shared" ref="K18:K26" si="8">(J4-J3) * ((K4+K3))</f>
        <v>3.8041724556033673E-3</v>
      </c>
      <c r="L18" s="8">
        <f t="shared" ref="L18:L26" si="9">(J4-J3) * ((L4+L3))</f>
        <v>2.6763361064585096E-3</v>
      </c>
      <c r="M18" s="8">
        <f t="shared" ref="M18:M26" si="10">(J4-J3) * ((M4+M3))</f>
        <v>2.9478484650847354E-3</v>
      </c>
      <c r="N18" s="8">
        <f t="shared" ref="N18:N26" si="11">(J4-J3) * ((N4+N3))</f>
        <v>4.93547864338084E-3</v>
      </c>
      <c r="O18" s="8">
        <f t="shared" ref="O18:O26" si="12">(J4-J3) * ((O4+O3))</f>
        <v>2.896224932226459E-3</v>
      </c>
      <c r="P18" s="8">
        <f t="shared" ref="P18:P26" si="13">(J4-J3) * ((P4+P3))</f>
        <v>7.1406925053169598E-3</v>
      </c>
    </row>
    <row r="19" spans="2:16" x14ac:dyDescent="0.3">
      <c r="B19" s="10" t="s">
        <v>60</v>
      </c>
      <c r="C19" s="10">
        <f t="shared" si="2"/>
        <v>-1.4412453731877592E-2</v>
      </c>
      <c r="D19" s="10">
        <f t="shared" si="3"/>
        <v>-1.4950111899126109E-2</v>
      </c>
      <c r="E19" s="10">
        <f t="shared" si="4"/>
        <v>-3.109554795302898E-2</v>
      </c>
      <c r="F19" s="10">
        <f t="shared" si="5"/>
        <v>-1.9959571823446712E-2</v>
      </c>
      <c r="G19" s="10">
        <f t="shared" si="6"/>
        <v>-2.0338651442200924E-2</v>
      </c>
      <c r="H19" s="10">
        <f t="shared" si="7"/>
        <v>1.636932143598472E-2</v>
      </c>
      <c r="J19" s="10" t="s">
        <v>60</v>
      </c>
      <c r="K19" s="8">
        <f t="shared" si="8"/>
        <v>6.0361972236497455E-3</v>
      </c>
      <c r="L19" s="8">
        <f t="shared" si="9"/>
        <v>4.4844356449851679E-3</v>
      </c>
      <c r="M19" s="8">
        <f t="shared" si="10"/>
        <v>4.3528272075779948E-3</v>
      </c>
      <c r="N19" s="8">
        <f t="shared" si="11"/>
        <v>8.128863951323298E-3</v>
      </c>
      <c r="O19" s="8">
        <f t="shared" si="12"/>
        <v>5.7104994330289842E-3</v>
      </c>
      <c r="P19" s="8">
        <f t="shared" si="13"/>
        <v>1.305257013263768E-2</v>
      </c>
    </row>
    <row r="20" spans="2:16" x14ac:dyDescent="0.3">
      <c r="B20" s="10" t="s">
        <v>63</v>
      </c>
      <c r="C20" s="10">
        <f t="shared" si="2"/>
        <v>-3.0498472207183897E-2</v>
      </c>
      <c r="D20" s="10">
        <f t="shared" si="3"/>
        <v>-2.9732493448364095E-2</v>
      </c>
      <c r="E20" s="10">
        <f t="shared" si="4"/>
        <v>-3.2895745569326146E-3</v>
      </c>
      <c r="F20" s="10">
        <f t="shared" si="5"/>
        <v>5.8927215499159219E-3</v>
      </c>
      <c r="G20" s="10">
        <f t="shared" si="6"/>
        <v>-3.4358462110673574E-3</v>
      </c>
      <c r="H20" s="10">
        <f t="shared" si="7"/>
        <v>4.279842355685036E-3</v>
      </c>
      <c r="J20" s="10" t="s">
        <v>63</v>
      </c>
      <c r="K20" s="8">
        <f t="shared" si="8"/>
        <v>8.6582095161731286E-3</v>
      </c>
      <c r="L20" s="8">
        <f t="shared" si="9"/>
        <v>6.8733215027277413E-3</v>
      </c>
      <c r="M20" s="8">
        <f t="shared" si="10"/>
        <v>7.1778000598625227E-3</v>
      </c>
      <c r="N20" s="8">
        <f t="shared" si="11"/>
        <v>1.2446929186335351E-2</v>
      </c>
      <c r="O20" s="8">
        <f t="shared" si="12"/>
        <v>9.2189064061228652E-3</v>
      </c>
      <c r="P20" s="8">
        <f t="shared" si="13"/>
        <v>1.9682209627470412E-2</v>
      </c>
    </row>
    <row r="21" spans="2:16" x14ac:dyDescent="0.3">
      <c r="B21" s="10" t="s">
        <v>55</v>
      </c>
      <c r="C21" s="10">
        <f t="shared" si="2"/>
        <v>-2.8013141776089961E-3</v>
      </c>
      <c r="D21" s="10">
        <f t="shared" si="3"/>
        <v>-1.2199284333898122E-2</v>
      </c>
      <c r="E21" s="10">
        <f t="shared" si="4"/>
        <v>-1.296206084038172E-2</v>
      </c>
      <c r="F21" s="10">
        <f t="shared" si="5"/>
        <v>-1.8627732906309542E-2</v>
      </c>
      <c r="G21" s="10">
        <f t="shared" si="6"/>
        <v>-1.8098355345948988E-3</v>
      </c>
      <c r="H21" s="10">
        <f t="shared" si="7"/>
        <v>-2.3086431279275749E-2</v>
      </c>
      <c r="J21" s="10" t="s">
        <v>55</v>
      </c>
      <c r="K21" s="8">
        <f t="shared" si="8"/>
        <v>1.1118693170991643E-2</v>
      </c>
      <c r="L21" s="8">
        <f t="shared" si="9"/>
        <v>8.9504352767631763E-3</v>
      </c>
      <c r="M21" s="8">
        <f t="shared" si="10"/>
        <v>1.0394235800299014E-2</v>
      </c>
      <c r="N21" s="8">
        <f t="shared" si="11"/>
        <v>1.5820638313690412E-2</v>
      </c>
      <c r="O21" s="8">
        <f t="shared" si="12"/>
        <v>1.2924089705833515E-2</v>
      </c>
      <c r="P21" s="8">
        <f t="shared" si="13"/>
        <v>2.2788302635406283E-2</v>
      </c>
    </row>
    <row r="22" spans="2:16" x14ac:dyDescent="0.3">
      <c r="B22" s="10" t="s">
        <v>62</v>
      </c>
      <c r="C22" s="10">
        <f t="shared" si="2"/>
        <v>-6.3024963601283623E-3</v>
      </c>
      <c r="D22" s="10">
        <f t="shared" si="3"/>
        <v>-2.7035479110875928E-2</v>
      </c>
      <c r="E22" s="10">
        <f t="shared" si="4"/>
        <v>-2.5382796680161461E-2</v>
      </c>
      <c r="F22" s="10">
        <f t="shared" si="5"/>
        <v>-1.3856084546032446E-2</v>
      </c>
      <c r="G22" s="10">
        <f t="shared" si="6"/>
        <v>-3.3012642422865668E-2</v>
      </c>
      <c r="H22" s="10">
        <f t="shared" si="7"/>
        <v>-2.5764571345007356E-2</v>
      </c>
      <c r="J22" s="10" t="s">
        <v>62</v>
      </c>
      <c r="K22" s="8">
        <f t="shared" si="8"/>
        <v>2.0428950596292222E-2</v>
      </c>
      <c r="L22" s="8">
        <f t="shared" si="9"/>
        <v>1.5751839718962077E-2</v>
      </c>
      <c r="M22" s="8">
        <f t="shared" si="10"/>
        <v>1.7731167882405471E-2</v>
      </c>
      <c r="N22" s="8">
        <f t="shared" si="11"/>
        <v>2.5319275010448661E-2</v>
      </c>
      <c r="O22" s="8">
        <f t="shared" si="12"/>
        <v>2.1315595411138408E-2</v>
      </c>
      <c r="P22" s="8">
        <f t="shared" si="13"/>
        <v>3.364818989901134E-2</v>
      </c>
    </row>
    <row r="23" spans="2:16" x14ac:dyDescent="0.3">
      <c r="B23" s="10" t="s">
        <v>57</v>
      </c>
      <c r="C23" s="10">
        <f t="shared" si="2"/>
        <v>-2.8344926945559366E-2</v>
      </c>
      <c r="D23" s="10">
        <f t="shared" si="3"/>
        <v>7.2558044168203203E-2</v>
      </c>
      <c r="E23" s="10">
        <f t="shared" si="4"/>
        <v>7.5949116993499211E-3</v>
      </c>
      <c r="F23" s="10">
        <f t="shared" si="5"/>
        <v>-1.0947287789141127E-2</v>
      </c>
      <c r="G23" s="10">
        <f t="shared" si="6"/>
        <v>8.7808980842262185E-3</v>
      </c>
      <c r="H23" s="10">
        <f t="shared" si="7"/>
        <v>-7.1180965381726566E-3</v>
      </c>
      <c r="J23" s="10" t="s">
        <v>57</v>
      </c>
      <c r="K23" s="8">
        <f t="shared" si="8"/>
        <v>2.818609000469053E-2</v>
      </c>
      <c r="L23" s="8">
        <f t="shared" si="9"/>
        <v>2.8261577795532823E-2</v>
      </c>
      <c r="M23" s="8">
        <f t="shared" si="10"/>
        <v>2.6323593908182313E-2</v>
      </c>
      <c r="N23" s="8">
        <f t="shared" si="11"/>
        <v>3.4183343454821831E-2</v>
      </c>
      <c r="O23" s="8">
        <f t="shared" si="12"/>
        <v>2.9833303851165931E-2</v>
      </c>
      <c r="P23" s="8">
        <f t="shared" si="13"/>
        <v>4.2785841466262887E-2</v>
      </c>
    </row>
    <row r="24" spans="2:16" x14ac:dyDescent="0.3">
      <c r="B24" s="10" t="s">
        <v>58</v>
      </c>
      <c r="C24" s="10">
        <f t="shared" si="2"/>
        <v>2.1024656193408417E-2</v>
      </c>
      <c r="D24" s="10">
        <f t="shared" si="3"/>
        <v>-1.5496216506559884E-3</v>
      </c>
      <c r="E24" s="10">
        <f t="shared" si="4"/>
        <v>8.3881347075507248E-2</v>
      </c>
      <c r="F24" s="10">
        <f t="shared" si="5"/>
        <v>4.6867991008442744E-2</v>
      </c>
      <c r="G24" s="10">
        <f t="shared" si="6"/>
        <v>3.395922684811413E-2</v>
      </c>
      <c r="H24" s="10">
        <f t="shared" si="7"/>
        <v>1.0110734914515807E-2</v>
      </c>
      <c r="J24" s="10" t="s">
        <v>58</v>
      </c>
      <c r="K24" s="8">
        <f t="shared" si="8"/>
        <v>3.6755111353441325E-2</v>
      </c>
      <c r="L24" s="8">
        <f t="shared" si="9"/>
        <v>4.1991840154118408E-2</v>
      </c>
      <c r="M24" s="8">
        <f t="shared" si="10"/>
        <v>4.1372096202900874E-2</v>
      </c>
      <c r="N24" s="8">
        <f t="shared" si="11"/>
        <v>4.5694169827717498E-2</v>
      </c>
      <c r="O24" s="8">
        <f t="shared" si="12"/>
        <v>4.1725761736348815E-2</v>
      </c>
      <c r="P24" s="8">
        <f t="shared" si="13"/>
        <v>5.2261170015294019E-2</v>
      </c>
    </row>
    <row r="25" spans="2:16" x14ac:dyDescent="0.3">
      <c r="B25" s="10" t="s">
        <v>59</v>
      </c>
      <c r="C25" s="10">
        <f t="shared" si="2"/>
        <v>-5.4655843219551387E-3</v>
      </c>
      <c r="D25" s="10">
        <f t="shared" si="3"/>
        <v>-1.7691783741578926E-2</v>
      </c>
      <c r="E25" s="10">
        <f t="shared" si="4"/>
        <v>-7.0196233271200073E-2</v>
      </c>
      <c r="F25" s="10">
        <f t="shared" si="5"/>
        <v>-6.4690407752586832E-2</v>
      </c>
      <c r="G25" s="10">
        <f t="shared" si="6"/>
        <v>8.2172332088713967E-3</v>
      </c>
      <c r="H25" s="10">
        <f t="shared" si="7"/>
        <v>1.2029708754601326E-3</v>
      </c>
      <c r="J25" s="10" t="s">
        <v>59</v>
      </c>
      <c r="K25" s="8">
        <f t="shared" si="8"/>
        <v>8.3514338767413182E-2</v>
      </c>
      <c r="L25" s="8">
        <f t="shared" si="9"/>
        <v>8.8486718056638256E-2</v>
      </c>
      <c r="M25" s="8">
        <f t="shared" si="10"/>
        <v>9.1103412884080415E-2</v>
      </c>
      <c r="N25" s="8">
        <f t="shared" si="11"/>
        <v>9.4897412379513227E-2</v>
      </c>
      <c r="O25" s="8">
        <f t="shared" si="12"/>
        <v>9.4870633946085955E-2</v>
      </c>
      <c r="P25" s="8">
        <f t="shared" si="13"/>
        <v>0.10922999504787906</v>
      </c>
    </row>
    <row r="26" spans="2:16" x14ac:dyDescent="0.3">
      <c r="B26" s="10" t="s">
        <v>64</v>
      </c>
      <c r="C26" s="10">
        <f t="shared" si="2"/>
        <v>7.025828628587083E-2</v>
      </c>
      <c r="D26" s="10">
        <f t="shared" si="3"/>
        <v>5.4025428743189607E-2</v>
      </c>
      <c r="E26" s="10">
        <f t="shared" si="4"/>
        <v>6.8518182366377967E-2</v>
      </c>
      <c r="F26" s="10">
        <f t="shared" si="5"/>
        <v>4.8714971226849757E-2</v>
      </c>
      <c r="G26" s="10">
        <f t="shared" si="6"/>
        <v>1.2381493482233052E-2</v>
      </c>
      <c r="H26" s="10">
        <f t="shared" si="7"/>
        <v>-4.8642588818445021E-2</v>
      </c>
      <c r="J26" s="10" t="s">
        <v>64</v>
      </c>
      <c r="K26" s="8">
        <f t="shared" si="8"/>
        <v>0.71629113829373181</v>
      </c>
      <c r="L26" s="8">
        <f t="shared" si="9"/>
        <v>0.72443240539563969</v>
      </c>
      <c r="M26" s="8">
        <f t="shared" si="10"/>
        <v>0.71716385283314177</v>
      </c>
      <c r="N26" s="8">
        <f t="shared" si="11"/>
        <v>0.72709575982724128</v>
      </c>
      <c r="O26" s="8">
        <f t="shared" si="12"/>
        <v>0.74531809352803324</v>
      </c>
      <c r="P26" s="8">
        <f t="shared" si="13"/>
        <v>0.77592350926290055</v>
      </c>
    </row>
    <row r="27" spans="2:16" x14ac:dyDescent="0.3">
      <c r="J27" s="14" t="s">
        <v>77</v>
      </c>
      <c r="K27" s="12">
        <f>SUM(K16:K26)</f>
        <v>0.91725531214865985</v>
      </c>
      <c r="L27" s="12">
        <f t="shared" ref="L27:P27" si="14">SUM(L16:L26)</f>
        <v>0.92322992889096822</v>
      </c>
      <c r="M27" s="12">
        <f t="shared" si="14"/>
        <v>0.92081920894071401</v>
      </c>
      <c r="N27" s="12">
        <f t="shared" si="14"/>
        <v>0.97124337369677127</v>
      </c>
      <c r="O27" s="12">
        <f t="shared" si="14"/>
        <v>0.96488446093152636</v>
      </c>
      <c r="P27" s="12">
        <f t="shared" si="14"/>
        <v>1.0796274652318854</v>
      </c>
    </row>
    <row r="28" spans="2:16" x14ac:dyDescent="0.3">
      <c r="J28" s="15" t="s">
        <v>78</v>
      </c>
      <c r="K28" s="13">
        <f>1-K27</f>
        <v>8.2744687851340148E-2</v>
      </c>
      <c r="L28" s="13">
        <f t="shared" ref="L28:P28" si="15">1-L27</f>
        <v>7.6770071109031779E-2</v>
      </c>
      <c r="M28" s="13">
        <f t="shared" si="15"/>
        <v>7.9180791059285993E-2</v>
      </c>
      <c r="N28" s="13">
        <f t="shared" si="15"/>
        <v>2.8756626303228727E-2</v>
      </c>
      <c r="O28" s="13">
        <f t="shared" si="15"/>
        <v>3.5115539068473645E-2</v>
      </c>
      <c r="P28" s="13">
        <f t="shared" si="15"/>
        <v>-7.9627465231885353E-2</v>
      </c>
    </row>
  </sheetData>
  <sortState xmlns:xlrd2="http://schemas.microsoft.com/office/spreadsheetml/2017/richdata2" ref="A2:P13">
    <sortCondition ref="B1:B13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ÁGUAS FORMOSAS</vt:lpstr>
      <vt:lpstr>ALMENARA-JACINTO</vt:lpstr>
      <vt:lpstr>ITAMBACURI</vt:lpstr>
      <vt:lpstr>ITAOBIM</vt:lpstr>
      <vt:lpstr>NANUQUE</vt:lpstr>
      <vt:lpstr>PADRE PARAÍSO</vt:lpstr>
      <vt:lpstr>PEDRA AZUL</vt:lpstr>
      <vt:lpstr>TEÓFILO OTONI - MALACACHETA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2025-04-20T19:51:48Z</dcterms:created>
  <dcterms:modified xsi:type="dcterms:W3CDTF">2025-08-24T17:52:21Z</dcterms:modified>
</cp:coreProperties>
</file>