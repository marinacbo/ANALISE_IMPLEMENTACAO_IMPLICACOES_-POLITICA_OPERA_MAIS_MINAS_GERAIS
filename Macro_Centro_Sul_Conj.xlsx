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79" documentId="8_{E4721543-0931-49E5-847C-9077E766C29E}" xr6:coauthVersionLast="47" xr6:coauthVersionMax="47" xr10:uidLastSave="{F99F8A0B-A24E-4CFD-9CDE-FC93A59D8D56}"/>
  <bookViews>
    <workbookView xWindow="-108" yWindow="-108" windowWidth="23256" windowHeight="12456" activeTab="3" xr2:uid="{4851E0E9-D75A-416B-A583-813930B32A3E}"/>
  </bookViews>
  <sheets>
    <sheet name="BARBACENA" sheetId="1" r:id="rId1"/>
    <sheet name="CONGONHAS" sheetId="2" r:id="rId2"/>
    <sheet name="C. LAFAIETE" sheetId="6" r:id="rId3"/>
    <sheet name="SÃO JOÃO DEL REI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7" l="1"/>
  <c r="O22" i="7"/>
  <c r="N22" i="7"/>
  <c r="M22" i="7"/>
  <c r="L22" i="7"/>
  <c r="K22" i="7"/>
  <c r="P16" i="6"/>
  <c r="O16" i="6"/>
  <c r="N16" i="6"/>
  <c r="M16" i="6"/>
  <c r="L16" i="6"/>
  <c r="K16" i="6"/>
  <c r="P10" i="2"/>
  <c r="O10" i="2"/>
  <c r="N10" i="2"/>
  <c r="M10" i="2"/>
  <c r="L10" i="2"/>
  <c r="K10" i="2"/>
  <c r="P19" i="1"/>
  <c r="O19" i="1"/>
  <c r="N19" i="1"/>
  <c r="M19" i="1"/>
  <c r="L19" i="1"/>
  <c r="K19" i="1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H22" i="7"/>
  <c r="G22" i="7"/>
  <c r="F22" i="7"/>
  <c r="E22" i="7"/>
  <c r="D22" i="7"/>
  <c r="C22" i="7"/>
  <c r="P3" i="7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O3" i="7"/>
  <c r="O4" i="7" s="1"/>
  <c r="O5" i="7" s="1"/>
  <c r="O6" i="7" s="1"/>
  <c r="O7" i="7" s="1"/>
  <c r="O8" i="7" s="1"/>
  <c r="O9" i="7" s="1"/>
  <c r="N3" i="7"/>
  <c r="N4" i="7" s="1"/>
  <c r="N5" i="7" s="1"/>
  <c r="N6" i="7" s="1"/>
  <c r="N7" i="7" s="1"/>
  <c r="N8" i="7" s="1"/>
  <c r="N9" i="7" s="1"/>
  <c r="N10" i="7" s="1"/>
  <c r="N11" i="7" s="1"/>
  <c r="N12" i="7" s="1"/>
  <c r="N13" i="7" s="1"/>
  <c r="N14" i="7" s="1"/>
  <c r="N15" i="7" s="1"/>
  <c r="N16" i="7" s="1"/>
  <c r="N17" i="7" s="1"/>
  <c r="N18" i="7" s="1"/>
  <c r="N19" i="7" s="1"/>
  <c r="M3" i="7"/>
  <c r="M4" i="7" s="1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K3" i="7"/>
  <c r="K4" i="7" s="1"/>
  <c r="K5" i="7" s="1"/>
  <c r="K6" i="7" s="1"/>
  <c r="K7" i="7" s="1"/>
  <c r="K8" i="7" s="1"/>
  <c r="K9" i="7" s="1"/>
  <c r="K10" i="7" s="1"/>
  <c r="K11" i="7" s="1"/>
  <c r="K12" i="7" s="1"/>
  <c r="K13" i="7" s="1"/>
  <c r="K14" i="7" s="1"/>
  <c r="K15" i="7" s="1"/>
  <c r="K16" i="7" s="1"/>
  <c r="K17" i="7" s="1"/>
  <c r="K18" i="7" s="1"/>
  <c r="K19" i="7" s="1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L33" i="7" s="1"/>
  <c r="H17" i="6"/>
  <c r="H18" i="6"/>
  <c r="H19" i="6"/>
  <c r="H20" i="6"/>
  <c r="H21" i="6"/>
  <c r="H22" i="6"/>
  <c r="H23" i="6"/>
  <c r="H24" i="6"/>
  <c r="H25" i="6"/>
  <c r="H26" i="6"/>
  <c r="H27" i="6"/>
  <c r="H16" i="6"/>
  <c r="G17" i="6"/>
  <c r="G18" i="6"/>
  <c r="G19" i="6"/>
  <c r="G20" i="6"/>
  <c r="G21" i="6"/>
  <c r="G22" i="6"/>
  <c r="G23" i="6"/>
  <c r="G24" i="6"/>
  <c r="G25" i="6"/>
  <c r="G26" i="6"/>
  <c r="G27" i="6"/>
  <c r="G16" i="6"/>
  <c r="F17" i="6"/>
  <c r="F18" i="6"/>
  <c r="F19" i="6"/>
  <c r="F20" i="6"/>
  <c r="F21" i="6"/>
  <c r="F22" i="6"/>
  <c r="F23" i="6"/>
  <c r="F24" i="6"/>
  <c r="F25" i="6"/>
  <c r="F26" i="6"/>
  <c r="F27" i="6"/>
  <c r="F16" i="6"/>
  <c r="E17" i="6"/>
  <c r="E18" i="6"/>
  <c r="E19" i="6"/>
  <c r="E20" i="6"/>
  <c r="E21" i="6"/>
  <c r="E22" i="6"/>
  <c r="E23" i="6"/>
  <c r="E24" i="6"/>
  <c r="E25" i="6"/>
  <c r="E26" i="6"/>
  <c r="E27" i="6"/>
  <c r="E16" i="6"/>
  <c r="D17" i="6"/>
  <c r="D18" i="6"/>
  <c r="D19" i="6"/>
  <c r="D20" i="6"/>
  <c r="D21" i="6"/>
  <c r="D22" i="6"/>
  <c r="D23" i="6"/>
  <c r="D24" i="6"/>
  <c r="D25" i="6"/>
  <c r="D26" i="6"/>
  <c r="D27" i="6"/>
  <c r="D16" i="6"/>
  <c r="C17" i="6"/>
  <c r="C18" i="6"/>
  <c r="C19" i="6"/>
  <c r="C20" i="6"/>
  <c r="C21" i="6"/>
  <c r="C22" i="6"/>
  <c r="C23" i="6"/>
  <c r="C24" i="6"/>
  <c r="C25" i="6"/>
  <c r="C26" i="6"/>
  <c r="C27" i="6"/>
  <c r="C16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O13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N13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M13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L13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K13" i="6" s="1"/>
  <c r="J3" i="6"/>
  <c r="J4" i="6" s="1"/>
  <c r="J5" i="6" s="1"/>
  <c r="J6" i="6" s="1"/>
  <c r="J7" i="6" s="1"/>
  <c r="J8" i="6" s="1"/>
  <c r="J9" i="6" s="1"/>
  <c r="J10" i="6" s="1"/>
  <c r="J11" i="6" s="1"/>
  <c r="J12" i="6" s="1"/>
  <c r="J13" i="6" s="1"/>
  <c r="O26" i="7" l="1"/>
  <c r="P26" i="7"/>
  <c r="M29" i="7"/>
  <c r="N29" i="7"/>
  <c r="O29" i="7"/>
  <c r="P29" i="7"/>
  <c r="M25" i="7"/>
  <c r="N25" i="7"/>
  <c r="O25" i="7"/>
  <c r="P30" i="7"/>
  <c r="P25" i="7"/>
  <c r="M33" i="7"/>
  <c r="N33" i="7"/>
  <c r="P33" i="7"/>
  <c r="K28" i="7"/>
  <c r="K32" i="7"/>
  <c r="M24" i="7"/>
  <c r="K27" i="7"/>
  <c r="K31" i="7"/>
  <c r="N24" i="7"/>
  <c r="K26" i="7"/>
  <c r="O28" i="7"/>
  <c r="N23" i="7"/>
  <c r="P24" i="7"/>
  <c r="L26" i="7"/>
  <c r="N27" i="7"/>
  <c r="P28" i="7"/>
  <c r="L30" i="7"/>
  <c r="N31" i="7"/>
  <c r="P32" i="7"/>
  <c r="K24" i="7"/>
  <c r="L24" i="7"/>
  <c r="L32" i="7"/>
  <c r="M28" i="7"/>
  <c r="M32" i="7"/>
  <c r="L23" i="7"/>
  <c r="L27" i="7"/>
  <c r="N32" i="7"/>
  <c r="M23" i="7"/>
  <c r="K30" i="7"/>
  <c r="O23" i="7"/>
  <c r="K25" i="7"/>
  <c r="M26" i="7"/>
  <c r="O27" i="7"/>
  <c r="K29" i="7"/>
  <c r="M30" i="7"/>
  <c r="K33" i="7"/>
  <c r="L28" i="7"/>
  <c r="K23" i="7"/>
  <c r="N28" i="7"/>
  <c r="L31" i="7"/>
  <c r="O24" i="7"/>
  <c r="M27" i="7"/>
  <c r="M31" i="7"/>
  <c r="P23" i="7"/>
  <c r="L25" i="7"/>
  <c r="N26" i="7"/>
  <c r="P27" i="7"/>
  <c r="L29" i="7"/>
  <c r="N30" i="7"/>
  <c r="P31" i="7"/>
  <c r="M21" i="6"/>
  <c r="P27" i="6"/>
  <c r="O21" i="6"/>
  <c r="O22" i="6"/>
  <c r="O26" i="6"/>
  <c r="M17" i="6"/>
  <c r="O17" i="6"/>
  <c r="O18" i="6"/>
  <c r="N17" i="6"/>
  <c r="P18" i="6"/>
  <c r="L20" i="6"/>
  <c r="N21" i="6"/>
  <c r="P22" i="6"/>
  <c r="L24" i="6"/>
  <c r="N25" i="6"/>
  <c r="P26" i="6"/>
  <c r="P17" i="6"/>
  <c r="L19" i="6"/>
  <c r="N20" i="6"/>
  <c r="P21" i="6"/>
  <c r="L23" i="6"/>
  <c r="N24" i="6"/>
  <c r="P25" i="6"/>
  <c r="L27" i="6"/>
  <c r="K20" i="6"/>
  <c r="K23" i="6"/>
  <c r="K18" i="6"/>
  <c r="M19" i="6"/>
  <c r="O20" i="6"/>
  <c r="K22" i="6"/>
  <c r="M23" i="6"/>
  <c r="O24" i="6"/>
  <c r="K26" i="6"/>
  <c r="M27" i="6"/>
  <c r="K24" i="6"/>
  <c r="K19" i="6"/>
  <c r="L18" i="6"/>
  <c r="N19" i="6"/>
  <c r="P20" i="6"/>
  <c r="L22" i="6"/>
  <c r="N23" i="6"/>
  <c r="P24" i="6"/>
  <c r="L26" i="6"/>
  <c r="N27" i="6"/>
  <c r="M25" i="6"/>
  <c r="M24" i="6"/>
  <c r="O25" i="6"/>
  <c r="K27" i="6"/>
  <c r="K17" i="6"/>
  <c r="M18" i="6"/>
  <c r="O19" i="6"/>
  <c r="K21" i="6"/>
  <c r="M22" i="6"/>
  <c r="O23" i="6"/>
  <c r="K25" i="6"/>
  <c r="M26" i="6"/>
  <c r="O27" i="6"/>
  <c r="M20" i="6"/>
  <c r="L17" i="6"/>
  <c r="N18" i="6"/>
  <c r="P19" i="6"/>
  <c r="L21" i="6"/>
  <c r="N22" i="6"/>
  <c r="P23" i="6"/>
  <c r="L25" i="6"/>
  <c r="N26" i="6"/>
  <c r="O10" i="7"/>
  <c r="J14" i="7"/>
  <c r="N34" i="7" l="1"/>
  <c r="K34" i="7"/>
  <c r="M34" i="7"/>
  <c r="P34" i="7"/>
  <c r="L34" i="7"/>
  <c r="O11" i="7"/>
  <c r="O30" i="7"/>
  <c r="P28" i="6"/>
  <c r="P29" i="6" s="1"/>
  <c r="M28" i="6"/>
  <c r="M29" i="6" s="1"/>
  <c r="J15" i="7"/>
  <c r="N28" i="6"/>
  <c r="N29" i="6" s="1"/>
  <c r="O28" i="6"/>
  <c r="O29" i="6" s="1"/>
  <c r="L28" i="6"/>
  <c r="L29" i="6" s="1"/>
  <c r="K28" i="6"/>
  <c r="K29" i="6" s="1"/>
  <c r="H11" i="2"/>
  <c r="H12" i="2"/>
  <c r="H13" i="2"/>
  <c r="H14" i="2"/>
  <c r="H15" i="2"/>
  <c r="H10" i="2"/>
  <c r="G11" i="2"/>
  <c r="G12" i="2"/>
  <c r="G13" i="2"/>
  <c r="G14" i="2"/>
  <c r="G15" i="2"/>
  <c r="G10" i="2"/>
  <c r="F11" i="2"/>
  <c r="F12" i="2"/>
  <c r="F13" i="2"/>
  <c r="F14" i="2"/>
  <c r="F15" i="2"/>
  <c r="F10" i="2"/>
  <c r="E11" i="2"/>
  <c r="E12" i="2"/>
  <c r="E13" i="2"/>
  <c r="E14" i="2"/>
  <c r="E15" i="2"/>
  <c r="E10" i="2"/>
  <c r="D11" i="2"/>
  <c r="D12" i="2"/>
  <c r="D13" i="2"/>
  <c r="D14" i="2"/>
  <c r="D15" i="2"/>
  <c r="D10" i="2"/>
  <c r="C11" i="2"/>
  <c r="C12" i="2"/>
  <c r="C13" i="2"/>
  <c r="C14" i="2"/>
  <c r="C15" i="2"/>
  <c r="C10" i="2"/>
  <c r="P3" i="2"/>
  <c r="P4" i="2" s="1"/>
  <c r="P5" i="2" s="1"/>
  <c r="P6" i="2" s="1"/>
  <c r="P7" i="2" s="1"/>
  <c r="O3" i="2"/>
  <c r="O4" i="2" s="1"/>
  <c r="O5" i="2" s="1"/>
  <c r="O6" i="2" s="1"/>
  <c r="O7" i="2" s="1"/>
  <c r="N3" i="2"/>
  <c r="N4" i="2" s="1"/>
  <c r="N5" i="2" s="1"/>
  <c r="N6" i="2" s="1"/>
  <c r="N7" i="2" s="1"/>
  <c r="M3" i="2"/>
  <c r="M4" i="2" s="1"/>
  <c r="M5" i="2" s="1"/>
  <c r="M6" i="2" s="1"/>
  <c r="M7" i="2" s="1"/>
  <c r="L3" i="2"/>
  <c r="L4" i="2" s="1"/>
  <c r="L5" i="2" s="1"/>
  <c r="L6" i="2" s="1"/>
  <c r="L7" i="2" s="1"/>
  <c r="K3" i="2"/>
  <c r="K4" i="2" s="1"/>
  <c r="K5" i="2" s="1"/>
  <c r="K6" i="2" s="1"/>
  <c r="K7" i="2" s="1"/>
  <c r="J3" i="2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H19" i="1"/>
  <c r="G19" i="1"/>
  <c r="F19" i="1"/>
  <c r="E19" i="1"/>
  <c r="D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J3" i="1"/>
  <c r="O12" i="7" l="1"/>
  <c r="O31" i="7"/>
  <c r="P35" i="7"/>
  <c r="L35" i="7"/>
  <c r="N35" i="7"/>
  <c r="M35" i="7"/>
  <c r="K35" i="7"/>
  <c r="J4" i="2"/>
  <c r="P11" i="2"/>
  <c r="N11" i="2"/>
  <c r="O11" i="2"/>
  <c r="M11" i="2"/>
  <c r="K11" i="2"/>
  <c r="L11" i="2"/>
  <c r="J4" i="1"/>
  <c r="N20" i="1"/>
  <c r="M20" i="1"/>
  <c r="P20" i="1"/>
  <c r="L20" i="1"/>
  <c r="K20" i="1"/>
  <c r="O20" i="1"/>
  <c r="J16" i="7"/>
  <c r="L36" i="7" l="1"/>
  <c r="P36" i="7"/>
  <c r="N36" i="7"/>
  <c r="M36" i="7"/>
  <c r="K36" i="7"/>
  <c r="O13" i="7"/>
  <c r="O32" i="7"/>
  <c r="J5" i="2"/>
  <c r="P12" i="2"/>
  <c r="O12" i="2"/>
  <c r="N12" i="2"/>
  <c r="M12" i="2"/>
  <c r="L12" i="2"/>
  <c r="K12" i="2"/>
  <c r="J5" i="1"/>
  <c r="P21" i="1"/>
  <c r="O21" i="1"/>
  <c r="M21" i="1"/>
  <c r="L21" i="1"/>
  <c r="N21" i="1"/>
  <c r="K21" i="1"/>
  <c r="J17" i="7"/>
  <c r="L37" i="7" l="1"/>
  <c r="N37" i="7"/>
  <c r="K37" i="7"/>
  <c r="P37" i="7"/>
  <c r="M37" i="7"/>
  <c r="O14" i="7"/>
  <c r="O33" i="7"/>
  <c r="J6" i="2"/>
  <c r="L13" i="2"/>
  <c r="K13" i="2"/>
  <c r="P13" i="2"/>
  <c r="O13" i="2"/>
  <c r="N13" i="2"/>
  <c r="M13" i="2"/>
  <c r="J6" i="1"/>
  <c r="M22" i="1"/>
  <c r="P22" i="1"/>
  <c r="L22" i="1"/>
  <c r="K22" i="1"/>
  <c r="O22" i="1"/>
  <c r="N22" i="1"/>
  <c r="J18" i="7"/>
  <c r="N38" i="7" l="1"/>
  <c r="M38" i="7"/>
  <c r="K38" i="7"/>
  <c r="P38" i="7"/>
  <c r="L38" i="7"/>
  <c r="O15" i="7"/>
  <c r="O34" i="7"/>
  <c r="J7" i="2"/>
  <c r="N14" i="2"/>
  <c r="L14" i="2"/>
  <c r="M14" i="2"/>
  <c r="K14" i="2"/>
  <c r="P14" i="2"/>
  <c r="O14" i="2"/>
  <c r="J7" i="1"/>
  <c r="L23" i="1"/>
  <c r="K23" i="1"/>
  <c r="P23" i="1"/>
  <c r="O23" i="1"/>
  <c r="N23" i="1"/>
  <c r="M23" i="1"/>
  <c r="J19" i="7"/>
  <c r="P39" i="7" l="1"/>
  <c r="M39" i="7"/>
  <c r="N39" i="7"/>
  <c r="N40" i="7" s="1"/>
  <c r="N41" i="7" s="1"/>
  <c r="L39" i="7"/>
  <c r="L40" i="7" s="1"/>
  <c r="L41" i="7" s="1"/>
  <c r="K39" i="7"/>
  <c r="O16" i="7"/>
  <c r="O35" i="7"/>
  <c r="P15" i="2"/>
  <c r="P16" i="2" s="1"/>
  <c r="P17" i="2" s="1"/>
  <c r="O15" i="2"/>
  <c r="O16" i="2" s="1"/>
  <c r="O17" i="2" s="1"/>
  <c r="N15" i="2"/>
  <c r="N16" i="2" s="1"/>
  <c r="N17" i="2" s="1"/>
  <c r="M15" i="2"/>
  <c r="M16" i="2" s="1"/>
  <c r="M17" i="2" s="1"/>
  <c r="K15" i="2"/>
  <c r="K16" i="2" s="1"/>
  <c r="K17" i="2" s="1"/>
  <c r="L15" i="2"/>
  <c r="L16" i="2" s="1"/>
  <c r="L17" i="2" s="1"/>
  <c r="J8" i="1"/>
  <c r="N24" i="1"/>
  <c r="K24" i="1"/>
  <c r="M24" i="1"/>
  <c r="L24" i="1"/>
  <c r="P24" i="1"/>
  <c r="O24" i="1"/>
  <c r="P40" i="7"/>
  <c r="P41" i="7" s="1"/>
  <c r="K40" i="7"/>
  <c r="K41" i="7" s="1"/>
  <c r="M40" i="7"/>
  <c r="M41" i="7" s="1"/>
  <c r="O17" i="7" l="1"/>
  <c r="O36" i="7"/>
  <c r="J9" i="1"/>
  <c r="P25" i="1"/>
  <c r="O25" i="1"/>
  <c r="K25" i="1"/>
  <c r="N25" i="1"/>
  <c r="M25" i="1"/>
  <c r="L25" i="1"/>
  <c r="O18" i="7" l="1"/>
  <c r="O37" i="7"/>
  <c r="J10" i="1"/>
  <c r="M26" i="1"/>
  <c r="N26" i="1"/>
  <c r="L26" i="1"/>
  <c r="P26" i="1"/>
  <c r="K26" i="1"/>
  <c r="O26" i="1"/>
  <c r="O19" i="7" l="1"/>
  <c r="O39" i="7" s="1"/>
  <c r="O38" i="7"/>
  <c r="O40" i="7" s="1"/>
  <c r="O41" i="7" s="1"/>
  <c r="J11" i="1"/>
  <c r="L27" i="1"/>
  <c r="K27" i="1"/>
  <c r="P27" i="1"/>
  <c r="O27" i="1"/>
  <c r="N27" i="1"/>
  <c r="M27" i="1"/>
  <c r="J12" i="1" l="1"/>
  <c r="N28" i="1"/>
  <c r="P28" i="1"/>
  <c r="M28" i="1"/>
  <c r="L28" i="1"/>
  <c r="O28" i="1"/>
  <c r="K28" i="1"/>
  <c r="J13" i="1" l="1"/>
  <c r="P29" i="1"/>
  <c r="M29" i="1"/>
  <c r="O29" i="1"/>
  <c r="L29" i="1"/>
  <c r="K29" i="1"/>
  <c r="N29" i="1"/>
  <c r="J14" i="1" l="1"/>
  <c r="O30" i="1"/>
  <c r="M30" i="1"/>
  <c r="L30" i="1"/>
  <c r="P30" i="1"/>
  <c r="K30" i="1"/>
  <c r="N30" i="1"/>
  <c r="J15" i="1" l="1"/>
  <c r="L31" i="1"/>
  <c r="K31" i="1"/>
  <c r="P31" i="1"/>
  <c r="O31" i="1"/>
  <c r="N31" i="1"/>
  <c r="M31" i="1"/>
  <c r="J16" i="1" l="1"/>
  <c r="N32" i="1"/>
  <c r="M32" i="1"/>
  <c r="L32" i="1"/>
  <c r="K32" i="1"/>
  <c r="P32" i="1"/>
  <c r="O32" i="1"/>
  <c r="P33" i="1" l="1"/>
  <c r="P34" i="1" s="1"/>
  <c r="P35" i="1" s="1"/>
  <c r="O33" i="1"/>
  <c r="O34" i="1" s="1"/>
  <c r="O35" i="1" s="1"/>
  <c r="K33" i="1"/>
  <c r="K34" i="1" s="1"/>
  <c r="K35" i="1" s="1"/>
  <c r="N33" i="1"/>
  <c r="N34" i="1" s="1"/>
  <c r="N35" i="1" s="1"/>
  <c r="M33" i="1"/>
  <c r="M34" i="1" s="1"/>
  <c r="M35" i="1" s="1"/>
  <c r="L33" i="1"/>
  <c r="L34" i="1" s="1"/>
  <c r="L35" i="1" s="1"/>
</calcChain>
</file>

<file path=xl/sharedStrings.xml><?xml version="1.0" encoding="utf-8"?>
<sst xmlns="http://schemas.openxmlformats.org/spreadsheetml/2006/main" count="278" uniqueCount="73">
  <si>
    <t>BARBACENA</t>
  </si>
  <si>
    <t>ALFREDO VASCONCELOS</t>
  </si>
  <si>
    <t>ALTO RIO DOCE</t>
  </si>
  <si>
    <t>ANTÔNIO CARLOS</t>
  </si>
  <si>
    <t>CAPELA NOVA</t>
  </si>
  <si>
    <t>CARANDAÍ</t>
  </si>
  <si>
    <t>CIPOTÂNEA</t>
  </si>
  <si>
    <t>DESTERRO DO MELO</t>
  </si>
  <si>
    <t>IBERTIOGA</t>
  </si>
  <si>
    <t>PAIVA</t>
  </si>
  <si>
    <t>RESSAQUINHA</t>
  </si>
  <si>
    <t>SANTA BÁRBARA DO TUGÚRIO</t>
  </si>
  <si>
    <t>SANTA RITA DE IBITIPOCA</t>
  </si>
  <si>
    <t>SANTANA DO GARAMBÉU</t>
  </si>
  <si>
    <t>SENHORA DOS REMÉDIOS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</si>
  <si>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</si>
  <si>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</si>
  <si>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</si>
  <si>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</si>
  <si>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</si>
  <si>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</si>
  <si>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</si>
  <si>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</si>
  <si>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</si>
  <si>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</si>
  <si>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</si>
  <si>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</si>
  <si>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</si>
  <si>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</si>
  <si>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</si>
  <si>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</si>
  <si>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</si>
  <si>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</si>
  <si>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</si>
  <si>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</si>
  <si>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</si>
  <si>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</si>
  <si>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CONGONHAS</t>
  </si>
  <si>
    <t>DESTERRO DE ENTRE RIOS</t>
  </si>
  <si>
    <t>ENTRE RIOS DE MINAS</t>
  </si>
  <si>
    <t>JECEABA</t>
  </si>
  <si>
    <t>OURO BRANCO</t>
  </si>
  <si>
    <t>SÃO BRÁS DO SUAÇUÍ</t>
  </si>
  <si>
    <t>CONSELHEIRO LAFAIETE</t>
  </si>
  <si>
    <t>CARANAÍBA</t>
  </si>
  <si>
    <t>CASA GRANDE</t>
  </si>
  <si>
    <t>CATAS ALTAS DA NORUEGA</t>
  </si>
  <si>
    <t>CRISTIANO OTONI</t>
  </si>
  <si>
    <t>ITAVERAVA</t>
  </si>
  <si>
    <t>LAMIM</t>
  </si>
  <si>
    <t>PIRANGA</t>
  </si>
  <si>
    <t>QUELUZITO</t>
  </si>
  <si>
    <t>RIO ESPERA</t>
  </si>
  <si>
    <t>SANTANA DOS MONTES</t>
  </si>
  <si>
    <t>SENHORA DE OLIVEIRA</t>
  </si>
  <si>
    <t>SÃO JOÃO DEL REI</t>
  </si>
  <si>
    <t>BARROSO</t>
  </si>
  <si>
    <t>BOM SUCESSO</t>
  </si>
  <si>
    <t>CONCEIÇÃO DA BARRA DE MINAS</t>
  </si>
  <si>
    <t>CORONEL XAVIER CHAVES</t>
  </si>
  <si>
    <t>DORES DE CAMPOS</t>
  </si>
  <si>
    <t>IBITURUNA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</si>
  <si>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</si>
  <si>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</si>
  <si>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</si>
  <si>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</si>
  <si>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</si>
  <si>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</si>
  <si>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</si>
  <si>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</si>
  <si>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TIAGO</t>
  </si>
  <si>
    <t>SÃO VICENTE DE MINAS</t>
  </si>
  <si>
    <t>TIRADENTES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</si>
</sst>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indent="2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left" indent="2"/>
    </xf>
    <xf numFmtId="0" fontId="1" fillId="2" borderId="1" xfId="0" applyFont="1" applyFill="1" applyBorder="1" applyAlignment="1">
      <alignment horizontal="left" indent="2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BARBACENA!$J$1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BARBACENA!$J$2:$J$16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3D-4F6C-A8BD-6F52E8032A91}"/>
            </c:ext>
          </c:extLst>
        </c:ser>
        <c:ser>
          <c:idx val="1"/>
          <c:order val="1"/>
          <c:tx>
            <c:strRef>
              <c:f>BARBACENA!$K$1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BARBACENA!$K$2:$K$16</c:f>
              <c:numCache>
                <c:formatCode>0.00</c:formatCode>
                <c:ptCount val="15"/>
                <c:pt idx="0">
                  <c:v>9.3457943925233638E-3</c:v>
                </c:pt>
                <c:pt idx="1">
                  <c:v>1.2461059190031152E-2</c:v>
                </c:pt>
                <c:pt idx="2">
                  <c:v>3.1152647975077878E-2</c:v>
                </c:pt>
                <c:pt idx="3">
                  <c:v>4.3613707165109032E-2</c:v>
                </c:pt>
                <c:pt idx="4">
                  <c:v>5.2959501557632398E-2</c:v>
                </c:pt>
                <c:pt idx="5">
                  <c:v>6.5420560747663545E-2</c:v>
                </c:pt>
                <c:pt idx="6">
                  <c:v>7.7881619937694699E-2</c:v>
                </c:pt>
                <c:pt idx="7">
                  <c:v>8.7227414330218064E-2</c:v>
                </c:pt>
                <c:pt idx="8">
                  <c:v>0.1277258566978193</c:v>
                </c:pt>
                <c:pt idx="9">
                  <c:v>0.18380062305295949</c:v>
                </c:pt>
                <c:pt idx="10">
                  <c:v>0.22429906542056074</c:v>
                </c:pt>
                <c:pt idx="11">
                  <c:v>0.29283489096573206</c:v>
                </c:pt>
                <c:pt idx="12">
                  <c:v>0.33333333333333331</c:v>
                </c:pt>
                <c:pt idx="13">
                  <c:v>0.4174454828660436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3D-4F6C-A8BD-6F52E8032A91}"/>
            </c:ext>
          </c:extLst>
        </c:ser>
        <c:ser>
          <c:idx val="2"/>
          <c:order val="2"/>
          <c:tx>
            <c:strRef>
              <c:f>BARBACENA!$L$1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BARBACENA!$L$2:$L$16</c:f>
              <c:numCache>
                <c:formatCode>0.00</c:formatCode>
                <c:ptCount val="15"/>
                <c:pt idx="0">
                  <c:v>1.2903225806451613E-2</c:v>
                </c:pt>
                <c:pt idx="1">
                  <c:v>1.2903225806451613E-2</c:v>
                </c:pt>
                <c:pt idx="2">
                  <c:v>3.2258064516129031E-2</c:v>
                </c:pt>
                <c:pt idx="3">
                  <c:v>4.5161290322580643E-2</c:v>
                </c:pt>
                <c:pt idx="4">
                  <c:v>5.1612903225806452E-2</c:v>
                </c:pt>
                <c:pt idx="5">
                  <c:v>7.0967741935483872E-2</c:v>
                </c:pt>
                <c:pt idx="6">
                  <c:v>0.1032258064516129</c:v>
                </c:pt>
                <c:pt idx="7">
                  <c:v>0.12903225806451613</c:v>
                </c:pt>
                <c:pt idx="8">
                  <c:v>0.14838709677419354</c:v>
                </c:pt>
                <c:pt idx="9">
                  <c:v>0.19999999999999998</c:v>
                </c:pt>
                <c:pt idx="10">
                  <c:v>0.2193548387096774</c:v>
                </c:pt>
                <c:pt idx="11">
                  <c:v>0.26451612903225802</c:v>
                </c:pt>
                <c:pt idx="12">
                  <c:v>0.32903225806451608</c:v>
                </c:pt>
                <c:pt idx="13">
                  <c:v>0.45161290322580638</c:v>
                </c:pt>
                <c:pt idx="14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3D-4F6C-A8BD-6F52E8032A91}"/>
            </c:ext>
          </c:extLst>
        </c:ser>
        <c:ser>
          <c:idx val="3"/>
          <c:order val="3"/>
          <c:tx>
            <c:strRef>
              <c:f>BARBACENA!$M$1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BARBACENA!$M$2:$M$16</c:f>
              <c:numCache>
                <c:formatCode>0.00</c:formatCode>
                <c:ptCount val="15"/>
                <c:pt idx="0">
                  <c:v>1.0416666666666666E-2</c:v>
                </c:pt>
                <c:pt idx="1">
                  <c:v>1.5625E-2</c:v>
                </c:pt>
                <c:pt idx="2">
                  <c:v>3.125E-2</c:v>
                </c:pt>
                <c:pt idx="3">
                  <c:v>5.2083333333333329E-2</c:v>
                </c:pt>
                <c:pt idx="4">
                  <c:v>5.7291666666666664E-2</c:v>
                </c:pt>
                <c:pt idx="5">
                  <c:v>7.2916666666666657E-2</c:v>
                </c:pt>
                <c:pt idx="6">
                  <c:v>9.8958333333333329E-2</c:v>
                </c:pt>
                <c:pt idx="7">
                  <c:v>0.10416666666666666</c:v>
                </c:pt>
                <c:pt idx="8">
                  <c:v>0.11458333333333333</c:v>
                </c:pt>
                <c:pt idx="9">
                  <c:v>0.13541666666666666</c:v>
                </c:pt>
                <c:pt idx="10">
                  <c:v>0.14583333333333331</c:v>
                </c:pt>
                <c:pt idx="11">
                  <c:v>0.19270833333333331</c:v>
                </c:pt>
                <c:pt idx="12">
                  <c:v>0.24999999999999997</c:v>
                </c:pt>
                <c:pt idx="13">
                  <c:v>0.33333333333333331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3D-4F6C-A8BD-6F52E803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332560"/>
        <c:axId val="893358960"/>
      </c:scatterChart>
      <c:valAx>
        <c:axId val="8933325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58960"/>
        <c:crosses val="autoZero"/>
        <c:crossBetween val="midCat"/>
      </c:valAx>
      <c:valAx>
        <c:axId val="8933589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33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BARBACENA!$J$1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BARBACENA!$J$2:$J$16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E4-474F-8D5C-A1CA5AA71D13}"/>
            </c:ext>
          </c:extLst>
        </c:ser>
        <c:ser>
          <c:idx val="1"/>
          <c:order val="1"/>
          <c:tx>
            <c:strRef>
              <c:f>BARBACENA!$N$1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BARBACENA!$N$2:$N$16</c:f>
              <c:numCache>
                <c:formatCode>0.00</c:formatCode>
                <c:ptCount val="15"/>
                <c:pt idx="0">
                  <c:v>2.0895522388059702E-2</c:v>
                </c:pt>
                <c:pt idx="1">
                  <c:v>2.8358208955223882E-2</c:v>
                </c:pt>
                <c:pt idx="2">
                  <c:v>3.880597014925373E-2</c:v>
                </c:pt>
                <c:pt idx="3">
                  <c:v>4.4776119402985072E-2</c:v>
                </c:pt>
                <c:pt idx="4">
                  <c:v>5.9701492537313432E-2</c:v>
                </c:pt>
                <c:pt idx="5">
                  <c:v>7.9104477611940296E-2</c:v>
                </c:pt>
                <c:pt idx="6">
                  <c:v>9.7014925373134331E-2</c:v>
                </c:pt>
                <c:pt idx="7">
                  <c:v>0.10597014925373134</c:v>
                </c:pt>
                <c:pt idx="8">
                  <c:v>0.14328358208955222</c:v>
                </c:pt>
                <c:pt idx="9">
                  <c:v>0.16567164179104477</c:v>
                </c:pt>
                <c:pt idx="10">
                  <c:v>0.23134328358208955</c:v>
                </c:pt>
                <c:pt idx="11">
                  <c:v>0.27164179104477615</c:v>
                </c:pt>
                <c:pt idx="12">
                  <c:v>0.29701492537313434</c:v>
                </c:pt>
                <c:pt idx="13">
                  <c:v>0.33880597014925373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E4-474F-8D5C-A1CA5AA71D13}"/>
            </c:ext>
          </c:extLst>
        </c:ser>
        <c:ser>
          <c:idx val="2"/>
          <c:order val="2"/>
          <c:tx>
            <c:strRef>
              <c:f>BARBACENA!$O$1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BARBACENA!$O$2:$O$16</c:f>
              <c:numCache>
                <c:formatCode>0.00</c:formatCode>
                <c:ptCount val="15"/>
                <c:pt idx="0">
                  <c:v>1.3729977116704805E-2</c:v>
                </c:pt>
                <c:pt idx="1">
                  <c:v>3.2036613272311214E-2</c:v>
                </c:pt>
                <c:pt idx="2">
                  <c:v>3.6613272311212815E-2</c:v>
                </c:pt>
                <c:pt idx="3">
                  <c:v>5.0343249427917618E-2</c:v>
                </c:pt>
                <c:pt idx="4">
                  <c:v>6.4073226544622428E-2</c:v>
                </c:pt>
                <c:pt idx="5">
                  <c:v>6.8649885583524028E-2</c:v>
                </c:pt>
                <c:pt idx="6">
                  <c:v>0.10297482837528604</c:v>
                </c:pt>
                <c:pt idx="7">
                  <c:v>0.11212814645308924</c:v>
                </c:pt>
                <c:pt idx="8">
                  <c:v>0.15102974828375287</c:v>
                </c:pt>
                <c:pt idx="9">
                  <c:v>0.1807780320366133</c:v>
                </c:pt>
                <c:pt idx="10">
                  <c:v>0.28832951945080093</c:v>
                </c:pt>
                <c:pt idx="11">
                  <c:v>0.32265446224256294</c:v>
                </c:pt>
                <c:pt idx="12">
                  <c:v>0.35011441647597258</c:v>
                </c:pt>
                <c:pt idx="13">
                  <c:v>0.42791762013729984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E4-474F-8D5C-A1CA5AA71D13}"/>
            </c:ext>
          </c:extLst>
        </c:ser>
        <c:ser>
          <c:idx val="3"/>
          <c:order val="3"/>
          <c:tx>
            <c:strRef>
              <c:f>BARBACENA!$P$1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BARBACENA!$I$2:$I$16</c:f>
              <c:numCache>
                <c:formatCode>0.00</c:formatCode>
                <c:ptCount val="15"/>
                <c:pt idx="0">
                  <c:v>6.3075087211598834E-3</c:v>
                </c:pt>
                <c:pt idx="1">
                  <c:v>1.6677269268669935E-2</c:v>
                </c:pt>
                <c:pt idx="2">
                  <c:v>2.8597920226854104E-2</c:v>
                </c:pt>
                <c:pt idx="3">
                  <c:v>4.2651565235107505E-2</c:v>
                </c:pt>
                <c:pt idx="4">
                  <c:v>6.0883882797590091E-2</c:v>
                </c:pt>
                <c:pt idx="5">
                  <c:v>8.0076671365074611E-2</c:v>
                </c:pt>
                <c:pt idx="6">
                  <c:v>0.1001426153916518</c:v>
                </c:pt>
                <c:pt idx="7">
                  <c:v>0.1209278732011958</c:v>
                </c:pt>
                <c:pt idx="8">
                  <c:v>0.14924721525776796</c:v>
                </c:pt>
                <c:pt idx="9">
                  <c:v>0.17856860715072742</c:v>
                </c:pt>
                <c:pt idx="10">
                  <c:v>0.22211827514375881</c:v>
                </c:pt>
                <c:pt idx="11">
                  <c:v>0.26670325603828582</c:v>
                </c:pt>
                <c:pt idx="12">
                  <c:v>0.31439833352043811</c:v>
                </c:pt>
                <c:pt idx="13">
                  <c:v>0.42180061287197468</c:v>
                </c:pt>
                <c:pt idx="14">
                  <c:v>1</c:v>
                </c:pt>
              </c:numCache>
            </c:numRef>
          </c:xVal>
          <c:yVal>
            <c:numRef>
              <c:f>BARBACENA!$P$2:$P$16</c:f>
              <c:numCache>
                <c:formatCode>0.00</c:formatCode>
                <c:ptCount val="15"/>
                <c:pt idx="0">
                  <c:v>1.2500000000000001E-2</c:v>
                </c:pt>
                <c:pt idx="1">
                  <c:v>2.5000000000000001E-2</c:v>
                </c:pt>
                <c:pt idx="2">
                  <c:v>3.7500000000000006E-2</c:v>
                </c:pt>
                <c:pt idx="3">
                  <c:v>0.05</c:v>
                </c:pt>
                <c:pt idx="4">
                  <c:v>6.25E-2</c:v>
                </c:pt>
                <c:pt idx="5">
                  <c:v>7.4999999999999997E-2</c:v>
                </c:pt>
                <c:pt idx="6">
                  <c:v>8.7499999999999994E-2</c:v>
                </c:pt>
                <c:pt idx="7">
                  <c:v>8.7499999999999994E-2</c:v>
                </c:pt>
                <c:pt idx="8">
                  <c:v>0.15625</c:v>
                </c:pt>
                <c:pt idx="9">
                  <c:v>0.17499999999999999</c:v>
                </c:pt>
                <c:pt idx="10">
                  <c:v>0.23749999999999999</c:v>
                </c:pt>
                <c:pt idx="11">
                  <c:v>0.33750000000000002</c:v>
                </c:pt>
                <c:pt idx="12">
                  <c:v>0.36250000000000004</c:v>
                </c:pt>
                <c:pt idx="13">
                  <c:v>0.51250000000000007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E4-474F-8D5C-A1CA5AA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06256"/>
        <c:axId val="415006736"/>
      </c:scatterChart>
      <c:valAx>
        <c:axId val="415006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6736"/>
        <c:crosses val="autoZero"/>
        <c:crossBetween val="midCat"/>
      </c:valAx>
      <c:valAx>
        <c:axId val="41500673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0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CONGONHAS!$J$1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CONGONHAS!$J$2:$J$7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56-4E17-9D13-4D83C5D2DD0B}"/>
            </c:ext>
          </c:extLst>
        </c:ser>
        <c:ser>
          <c:idx val="1"/>
          <c:order val="1"/>
          <c:tx>
            <c:strRef>
              <c:f>CONGONHAS!$K$1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CONGONHAS!$K$2:$K$7</c:f>
              <c:numCache>
                <c:formatCode>0.00</c:formatCode>
                <c:ptCount val="6"/>
                <c:pt idx="0">
                  <c:v>1.5625E-2</c:v>
                </c:pt>
                <c:pt idx="1">
                  <c:v>3.90625E-2</c:v>
                </c:pt>
                <c:pt idx="2">
                  <c:v>7.03125E-2</c:v>
                </c:pt>
                <c:pt idx="3">
                  <c:v>0.125</c:v>
                </c:pt>
                <c:pt idx="4">
                  <c:v>0.3125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56-4E17-9D13-4D83C5D2DD0B}"/>
            </c:ext>
          </c:extLst>
        </c:ser>
        <c:ser>
          <c:idx val="2"/>
          <c:order val="2"/>
          <c:tx>
            <c:strRef>
              <c:f>CONGONHAS!$L$1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CONGONHAS!$L$2:$L$7</c:f>
              <c:numCache>
                <c:formatCode>0.00</c:formatCode>
                <c:ptCount val="6"/>
                <c:pt idx="0">
                  <c:v>1.1111111111111112E-2</c:v>
                </c:pt>
                <c:pt idx="1">
                  <c:v>4.4444444444444446E-2</c:v>
                </c:pt>
                <c:pt idx="2">
                  <c:v>0.12222222222222223</c:v>
                </c:pt>
                <c:pt idx="3">
                  <c:v>0.15555555555555556</c:v>
                </c:pt>
                <c:pt idx="4">
                  <c:v>0.51111111111111107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56-4E17-9D13-4D83C5D2DD0B}"/>
            </c:ext>
          </c:extLst>
        </c:ser>
        <c:ser>
          <c:idx val="3"/>
          <c:order val="3"/>
          <c:tx>
            <c:strRef>
              <c:f>CONGONHAS!$M$1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CONGONHAS!$M$2:$M$7</c:f>
              <c:numCache>
                <c:formatCode>0.00</c:formatCode>
                <c:ptCount val="6"/>
                <c:pt idx="0">
                  <c:v>3.5714285714285712E-2</c:v>
                </c:pt>
                <c:pt idx="1">
                  <c:v>7.1428571428571425E-2</c:v>
                </c:pt>
                <c:pt idx="2">
                  <c:v>0.14285714285714285</c:v>
                </c:pt>
                <c:pt idx="3">
                  <c:v>0.22619047619047616</c:v>
                </c:pt>
                <c:pt idx="4">
                  <c:v>0.8214285714285714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56-4E17-9D13-4D83C5D2D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13488"/>
        <c:axId val="144621648"/>
      </c:scatterChart>
      <c:valAx>
        <c:axId val="144613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21648"/>
        <c:crosses val="autoZero"/>
        <c:crossBetween val="midCat"/>
      </c:valAx>
      <c:valAx>
        <c:axId val="14462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1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CONGONHAS!$J$1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CONGONHAS!$J$2:$J$7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0-44F0-BA65-26372300051C}"/>
            </c:ext>
          </c:extLst>
        </c:ser>
        <c:ser>
          <c:idx val="1"/>
          <c:order val="1"/>
          <c:tx>
            <c:strRef>
              <c:f>CONGONHAS!$N$1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CONGONHAS!$N$2:$N$7</c:f>
              <c:numCache>
                <c:formatCode>0.00</c:formatCode>
                <c:ptCount val="6"/>
                <c:pt idx="0">
                  <c:v>3.8043478260869568E-2</c:v>
                </c:pt>
                <c:pt idx="1">
                  <c:v>0.10869565217391304</c:v>
                </c:pt>
                <c:pt idx="2">
                  <c:v>0.1358695652173913</c:v>
                </c:pt>
                <c:pt idx="3">
                  <c:v>0.2608695652173913</c:v>
                </c:pt>
                <c:pt idx="4">
                  <c:v>0.44021739130434778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00-44F0-BA65-26372300051C}"/>
            </c:ext>
          </c:extLst>
        </c:ser>
        <c:ser>
          <c:idx val="2"/>
          <c:order val="2"/>
          <c:tx>
            <c:strRef>
              <c:f>CONGONHAS!$O$1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CONGONHAS!$O$2:$O$7</c:f>
              <c:numCache>
                <c:formatCode>0.00</c:formatCode>
                <c:ptCount val="6"/>
                <c:pt idx="0">
                  <c:v>2.7972027972027972E-2</c:v>
                </c:pt>
                <c:pt idx="1">
                  <c:v>0.13986013986013987</c:v>
                </c:pt>
                <c:pt idx="2">
                  <c:v>0.19580419580419581</c:v>
                </c:pt>
                <c:pt idx="3">
                  <c:v>0.32867132867132864</c:v>
                </c:pt>
                <c:pt idx="4">
                  <c:v>0.50349650349650343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00-44F0-BA65-26372300051C}"/>
            </c:ext>
          </c:extLst>
        </c:ser>
        <c:ser>
          <c:idx val="3"/>
          <c:order val="3"/>
          <c:tx>
            <c:strRef>
              <c:f>CONGONHAS!$P$1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CONGONHAS!$I$2:$I$7</c:f>
              <c:numCache>
                <c:formatCode>0.00</c:formatCode>
                <c:ptCount val="6"/>
                <c:pt idx="0">
                  <c:v>2.9604617377988928E-2</c:v>
                </c:pt>
                <c:pt idx="1">
                  <c:v>6.7258235501982802E-2</c:v>
                </c:pt>
                <c:pt idx="2">
                  <c:v>0.12431583493658957</c:v>
                </c:pt>
                <c:pt idx="3">
                  <c:v>0.24570261886999881</c:v>
                </c:pt>
                <c:pt idx="4">
                  <c:v>0.56153755545957829</c:v>
                </c:pt>
                <c:pt idx="5">
                  <c:v>1</c:v>
                </c:pt>
              </c:numCache>
            </c:numRef>
          </c:xVal>
          <c:yVal>
            <c:numRef>
              <c:f>CONGONHAS!$P$2:$P$7</c:f>
              <c:numCache>
                <c:formatCode>0.00</c:formatCode>
                <c:ptCount val="6"/>
                <c:pt idx="0">
                  <c:v>4.2253521126760563E-2</c:v>
                </c:pt>
                <c:pt idx="1">
                  <c:v>0.15492957746478875</c:v>
                </c:pt>
                <c:pt idx="2">
                  <c:v>0.22535211267605637</c:v>
                </c:pt>
                <c:pt idx="3">
                  <c:v>0.38028169014084512</c:v>
                </c:pt>
                <c:pt idx="4">
                  <c:v>0.56338028169014087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00-44F0-BA65-26372300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132096"/>
        <c:axId val="512125856"/>
      </c:scatterChart>
      <c:valAx>
        <c:axId val="5121320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2125856"/>
        <c:crosses val="autoZero"/>
        <c:crossBetween val="midCat"/>
      </c:valAx>
      <c:valAx>
        <c:axId val="512125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213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'C. LAFAIETE'!$J$1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LAFAIETE'!$J$2:$J$13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0B-4E63-B13D-4D24014C3AE0}"/>
            </c:ext>
          </c:extLst>
        </c:ser>
        <c:ser>
          <c:idx val="1"/>
          <c:order val="1"/>
          <c:tx>
            <c:strRef>
              <c:f>'C. LAFAIETE'!$K$1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LAFAIETE'!$K$2:$K$13</c:f>
              <c:numCache>
                <c:formatCode>0.00</c:formatCode>
                <c:ptCount val="12"/>
                <c:pt idx="0">
                  <c:v>0</c:v>
                </c:pt>
                <c:pt idx="1">
                  <c:v>4.5977011494252873E-2</c:v>
                </c:pt>
                <c:pt idx="2">
                  <c:v>4.5977011494252873E-2</c:v>
                </c:pt>
                <c:pt idx="3">
                  <c:v>6.8965517241379309E-2</c:v>
                </c:pt>
                <c:pt idx="4">
                  <c:v>0.10344827586206896</c:v>
                </c:pt>
                <c:pt idx="5">
                  <c:v>0.12643678160919541</c:v>
                </c:pt>
                <c:pt idx="6">
                  <c:v>0.18390804597701149</c:v>
                </c:pt>
                <c:pt idx="7">
                  <c:v>0.18390804597701149</c:v>
                </c:pt>
                <c:pt idx="8">
                  <c:v>0.24137931034482757</c:v>
                </c:pt>
                <c:pt idx="9">
                  <c:v>0.28735632183908044</c:v>
                </c:pt>
                <c:pt idx="10">
                  <c:v>0.50574712643678166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0B-4E63-B13D-4D24014C3AE0}"/>
            </c:ext>
          </c:extLst>
        </c:ser>
        <c:ser>
          <c:idx val="2"/>
          <c:order val="2"/>
          <c:tx>
            <c:strRef>
              <c:f>'C. LAFAIETE'!$L$1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LAFAIETE'!$L$2:$L$13</c:f>
              <c:numCache>
                <c:formatCode>0.00</c:formatCode>
                <c:ptCount val="12"/>
                <c:pt idx="0">
                  <c:v>0</c:v>
                </c:pt>
                <c:pt idx="1">
                  <c:v>7.1428571428571425E-2</c:v>
                </c:pt>
                <c:pt idx="2">
                  <c:v>0.11904761904761904</c:v>
                </c:pt>
                <c:pt idx="3">
                  <c:v>0.26190476190476186</c:v>
                </c:pt>
                <c:pt idx="4">
                  <c:v>0.26190476190476186</c:v>
                </c:pt>
                <c:pt idx="5">
                  <c:v>0.26190476190476186</c:v>
                </c:pt>
                <c:pt idx="6">
                  <c:v>0.30952380952380948</c:v>
                </c:pt>
                <c:pt idx="7">
                  <c:v>0.33333333333333326</c:v>
                </c:pt>
                <c:pt idx="8">
                  <c:v>0.33333333333333326</c:v>
                </c:pt>
                <c:pt idx="9">
                  <c:v>0.3571428571428571</c:v>
                </c:pt>
                <c:pt idx="10">
                  <c:v>0.49999999999999994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0B-4E63-B13D-4D24014C3AE0}"/>
            </c:ext>
          </c:extLst>
        </c:ser>
        <c:ser>
          <c:idx val="3"/>
          <c:order val="3"/>
          <c:tx>
            <c:strRef>
              <c:f>'C. LAFAIETE'!$M$1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LAFAIETE'!$M$2:$M$13</c:f>
              <c:numCache>
                <c:formatCode>0.00</c:formatCode>
                <c:ptCount val="12"/>
                <c:pt idx="0">
                  <c:v>0</c:v>
                </c:pt>
                <c:pt idx="1">
                  <c:v>1.5151515151515152E-2</c:v>
                </c:pt>
                <c:pt idx="2">
                  <c:v>4.5454545454545456E-2</c:v>
                </c:pt>
                <c:pt idx="3">
                  <c:v>0.10606060606060606</c:v>
                </c:pt>
                <c:pt idx="4">
                  <c:v>0.12121212121212122</c:v>
                </c:pt>
                <c:pt idx="5">
                  <c:v>0.19696969696969696</c:v>
                </c:pt>
                <c:pt idx="6">
                  <c:v>0.19696969696969696</c:v>
                </c:pt>
                <c:pt idx="7">
                  <c:v>0.2121212121212121</c:v>
                </c:pt>
                <c:pt idx="8">
                  <c:v>0.25757575757575757</c:v>
                </c:pt>
                <c:pt idx="9">
                  <c:v>0.34848484848484851</c:v>
                </c:pt>
                <c:pt idx="10">
                  <c:v>0.43939393939393945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0B-4E63-B13D-4D24014C3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38928"/>
        <c:axId val="144639408"/>
      </c:scatterChart>
      <c:valAx>
        <c:axId val="144638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39408"/>
        <c:crosses val="autoZero"/>
        <c:crossBetween val="midCat"/>
      </c:valAx>
      <c:valAx>
        <c:axId val="1446394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3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'C. LAFAIETE'!$J$1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LAFAIETE'!$J$2:$J$13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A-4500-8A4E-A8179F7A2773}"/>
            </c:ext>
          </c:extLst>
        </c:ser>
        <c:ser>
          <c:idx val="1"/>
          <c:order val="1"/>
          <c:tx>
            <c:strRef>
              <c:f>'C. LAFAIETE'!$N$1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LAFAIETE'!$N$2:$N$13</c:f>
              <c:numCache>
                <c:formatCode>0.00</c:formatCode>
                <c:ptCount val="12"/>
                <c:pt idx="0">
                  <c:v>1.1235955056179775E-2</c:v>
                </c:pt>
                <c:pt idx="1">
                  <c:v>1.6853932584269662E-2</c:v>
                </c:pt>
                <c:pt idx="2">
                  <c:v>2.247191011235955E-2</c:v>
                </c:pt>
                <c:pt idx="3">
                  <c:v>5.0561797752808987E-2</c:v>
                </c:pt>
                <c:pt idx="4">
                  <c:v>6.1797752808988762E-2</c:v>
                </c:pt>
                <c:pt idx="5">
                  <c:v>8.4269662921348312E-2</c:v>
                </c:pt>
                <c:pt idx="6">
                  <c:v>0.14606741573033707</c:v>
                </c:pt>
                <c:pt idx="7">
                  <c:v>0.16292134831460675</c:v>
                </c:pt>
                <c:pt idx="8">
                  <c:v>0.2359550561797753</c:v>
                </c:pt>
                <c:pt idx="9">
                  <c:v>0.34269662921348315</c:v>
                </c:pt>
                <c:pt idx="10">
                  <c:v>0.4887640449438202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DA-4500-8A4E-A8179F7A2773}"/>
            </c:ext>
          </c:extLst>
        </c:ser>
        <c:ser>
          <c:idx val="2"/>
          <c:order val="2"/>
          <c:tx>
            <c:strRef>
              <c:f>'C. LAFAIETE'!$O$1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LAFAIETE'!$O$2:$O$13</c:f>
              <c:numCache>
                <c:formatCode>0.00</c:formatCode>
                <c:ptCount val="12"/>
                <c:pt idx="0">
                  <c:v>4.8192771084337352E-2</c:v>
                </c:pt>
                <c:pt idx="1">
                  <c:v>5.4216867469879519E-2</c:v>
                </c:pt>
                <c:pt idx="2">
                  <c:v>8.4337349397590355E-2</c:v>
                </c:pt>
                <c:pt idx="3">
                  <c:v>9.638554216867469E-2</c:v>
                </c:pt>
                <c:pt idx="4">
                  <c:v>0.12048192771084337</c:v>
                </c:pt>
                <c:pt idx="5">
                  <c:v>0.15662650602409639</c:v>
                </c:pt>
                <c:pt idx="6">
                  <c:v>0.1746987951807229</c:v>
                </c:pt>
                <c:pt idx="7">
                  <c:v>0.19277108433734941</c:v>
                </c:pt>
                <c:pt idx="8">
                  <c:v>0.23493975903614459</c:v>
                </c:pt>
                <c:pt idx="9">
                  <c:v>0.31927710843373491</c:v>
                </c:pt>
                <c:pt idx="10">
                  <c:v>0.49397590361445781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A-4500-8A4E-A8179F7A2773}"/>
            </c:ext>
          </c:extLst>
        </c:ser>
        <c:ser>
          <c:idx val="3"/>
          <c:order val="3"/>
          <c:tx>
            <c:strRef>
              <c:f>'C. LAFAIETE'!$P$1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'C. LAFAIETE'!$I$2:$I$13</c:f>
              <c:numCache>
                <c:formatCode>0.00</c:formatCode>
                <c:ptCount val="12"/>
                <c:pt idx="0">
                  <c:v>1.0364017493269774E-2</c:v>
                </c:pt>
                <c:pt idx="1">
                  <c:v>2.2340097255769908E-2</c:v>
                </c:pt>
                <c:pt idx="2">
                  <c:v>3.9099160450738996E-2</c:v>
                </c:pt>
                <c:pt idx="3">
                  <c:v>5.7007416550505965E-2</c:v>
                </c:pt>
                <c:pt idx="4">
                  <c:v>7.6506453569414448E-2</c:v>
                </c:pt>
                <c:pt idx="5">
                  <c:v>9.6473680290277614E-2</c:v>
                </c:pt>
                <c:pt idx="6">
                  <c:v>0.12393194224241585</c:v>
                </c:pt>
                <c:pt idx="7">
                  <c:v>0.15224145819810808</c:v>
                </c:pt>
                <c:pt idx="8">
                  <c:v>0.18060949786654465</c:v>
                </c:pt>
                <c:pt idx="9">
                  <c:v>0.21139297077006564</c:v>
                </c:pt>
                <c:pt idx="10">
                  <c:v>0.30524904499941474</c:v>
                </c:pt>
                <c:pt idx="11">
                  <c:v>1</c:v>
                </c:pt>
              </c:numCache>
            </c:numRef>
          </c:xVal>
          <c:yVal>
            <c:numRef>
              <c:f>'C. LAFAIETE'!$P$2:$P$13</c:f>
              <c:numCache>
                <c:formatCode>0.00</c:formatCode>
                <c:ptCount val="12"/>
                <c:pt idx="0">
                  <c:v>1.9047619047619049E-2</c:v>
                </c:pt>
                <c:pt idx="1">
                  <c:v>1.9047619047619049E-2</c:v>
                </c:pt>
                <c:pt idx="2">
                  <c:v>2.8571428571428574E-2</c:v>
                </c:pt>
                <c:pt idx="3">
                  <c:v>4.7619047619047623E-2</c:v>
                </c:pt>
                <c:pt idx="4">
                  <c:v>5.7142857142857148E-2</c:v>
                </c:pt>
                <c:pt idx="5">
                  <c:v>8.5714285714285715E-2</c:v>
                </c:pt>
                <c:pt idx="6">
                  <c:v>0.10476190476190476</c:v>
                </c:pt>
                <c:pt idx="7">
                  <c:v>0.1142857142857143</c:v>
                </c:pt>
                <c:pt idx="8">
                  <c:v>0.14285714285714288</c:v>
                </c:pt>
                <c:pt idx="9">
                  <c:v>0.20952380952380956</c:v>
                </c:pt>
                <c:pt idx="10">
                  <c:v>0.37142857142857144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DA-4500-8A4E-A8179F7A2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49392"/>
        <c:axId val="764542192"/>
      </c:scatterChart>
      <c:valAx>
        <c:axId val="7645493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42192"/>
        <c:crosses val="autoZero"/>
        <c:crossBetween val="midCat"/>
      </c:valAx>
      <c:valAx>
        <c:axId val="764542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4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DEL REI'!$J$1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REI'!$J$2:$J$19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4-4898-A789-1EE31A07E269}"/>
            </c:ext>
          </c:extLst>
        </c:ser>
        <c:ser>
          <c:idx val="1"/>
          <c:order val="1"/>
          <c:tx>
            <c:strRef>
              <c:f>'SÃO JOÃO DEL REI'!$K$1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REI'!$K$2:$K$19</c:f>
              <c:numCache>
                <c:formatCode>0.00</c:formatCode>
                <c:ptCount val="18"/>
                <c:pt idx="0">
                  <c:v>1.4285714285714285E-2</c:v>
                </c:pt>
                <c:pt idx="1">
                  <c:v>2.1428571428571429E-2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0.1357142857142857</c:v>
                </c:pt>
                <c:pt idx="6">
                  <c:v>0.22142857142857142</c:v>
                </c:pt>
                <c:pt idx="7">
                  <c:v>0.25714285714285712</c:v>
                </c:pt>
                <c:pt idx="8">
                  <c:v>0.3214285714285714</c:v>
                </c:pt>
                <c:pt idx="9">
                  <c:v>0.32857142857142851</c:v>
                </c:pt>
                <c:pt idx="10">
                  <c:v>0.37142857142857139</c:v>
                </c:pt>
                <c:pt idx="11">
                  <c:v>0.41428571428571426</c:v>
                </c:pt>
                <c:pt idx="12">
                  <c:v>0.43571428571428567</c:v>
                </c:pt>
                <c:pt idx="13">
                  <c:v>0.45714285714285707</c:v>
                </c:pt>
                <c:pt idx="14">
                  <c:v>0.49285714285714277</c:v>
                </c:pt>
                <c:pt idx="15">
                  <c:v>0.57857142857142851</c:v>
                </c:pt>
                <c:pt idx="16">
                  <c:v>0.68571428571428561</c:v>
                </c:pt>
                <c:pt idx="1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84-4898-A789-1EE31A07E269}"/>
            </c:ext>
          </c:extLst>
        </c:ser>
        <c:ser>
          <c:idx val="2"/>
          <c:order val="2"/>
          <c:tx>
            <c:strRef>
              <c:f>'SÃO JOÃO DEL REI'!$L$1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REI'!$L$2:$L$19</c:f>
              <c:numCache>
                <c:formatCode>0.00</c:formatCode>
                <c:ptCount val="18"/>
                <c:pt idx="0">
                  <c:v>1.7543859649122806E-2</c:v>
                </c:pt>
                <c:pt idx="1">
                  <c:v>2.6315789473684209E-2</c:v>
                </c:pt>
                <c:pt idx="2">
                  <c:v>5.2631578947368418E-2</c:v>
                </c:pt>
                <c:pt idx="3">
                  <c:v>8.771929824561403E-2</c:v>
                </c:pt>
                <c:pt idx="4">
                  <c:v>0.11403508771929824</c:v>
                </c:pt>
                <c:pt idx="5">
                  <c:v>0.16666666666666666</c:v>
                </c:pt>
                <c:pt idx="6">
                  <c:v>0.21929824561403508</c:v>
                </c:pt>
                <c:pt idx="7">
                  <c:v>0.24561403508771928</c:v>
                </c:pt>
                <c:pt idx="8">
                  <c:v>0.28947368421052633</c:v>
                </c:pt>
                <c:pt idx="9">
                  <c:v>0.31578947368421051</c:v>
                </c:pt>
                <c:pt idx="10">
                  <c:v>0.35087719298245612</c:v>
                </c:pt>
                <c:pt idx="11">
                  <c:v>0.42105263157894735</c:v>
                </c:pt>
                <c:pt idx="12">
                  <c:v>0.44736842105263153</c:v>
                </c:pt>
                <c:pt idx="13">
                  <c:v>0.50877192982456132</c:v>
                </c:pt>
                <c:pt idx="14">
                  <c:v>0.54385964912280693</c:v>
                </c:pt>
                <c:pt idx="15">
                  <c:v>0.60526315789473673</c:v>
                </c:pt>
                <c:pt idx="16">
                  <c:v>0.67543859649122795</c:v>
                </c:pt>
                <c:pt idx="17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84-4898-A789-1EE31A07E269}"/>
            </c:ext>
          </c:extLst>
        </c:ser>
        <c:ser>
          <c:idx val="3"/>
          <c:order val="3"/>
          <c:tx>
            <c:strRef>
              <c:f>'SÃO JOÃO DEL REI'!$M$1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REI'!$M$2:$M$19</c:f>
              <c:numCache>
                <c:formatCode>0.00</c:formatCode>
                <c:ptCount val="18"/>
                <c:pt idx="0">
                  <c:v>0</c:v>
                </c:pt>
                <c:pt idx="1">
                  <c:v>8.9285714285714281E-3</c:v>
                </c:pt>
                <c:pt idx="2">
                  <c:v>1.7857142857142856E-2</c:v>
                </c:pt>
                <c:pt idx="3">
                  <c:v>2.6785714285714284E-2</c:v>
                </c:pt>
                <c:pt idx="4">
                  <c:v>4.4642857142857137E-2</c:v>
                </c:pt>
                <c:pt idx="5">
                  <c:v>8.0357142857142849E-2</c:v>
                </c:pt>
                <c:pt idx="6">
                  <c:v>0.13392857142857142</c:v>
                </c:pt>
                <c:pt idx="7">
                  <c:v>0.1607142857142857</c:v>
                </c:pt>
                <c:pt idx="8">
                  <c:v>0.21428571428571427</c:v>
                </c:pt>
                <c:pt idx="9">
                  <c:v>0.2232142857142857</c:v>
                </c:pt>
                <c:pt idx="10">
                  <c:v>0.2946428571428571</c:v>
                </c:pt>
                <c:pt idx="11">
                  <c:v>0.33928571428571425</c:v>
                </c:pt>
                <c:pt idx="12">
                  <c:v>0.37499999999999994</c:v>
                </c:pt>
                <c:pt idx="13">
                  <c:v>0.4196428571428571</c:v>
                </c:pt>
                <c:pt idx="14">
                  <c:v>0.46428571428571425</c:v>
                </c:pt>
                <c:pt idx="15">
                  <c:v>0.55357142857142849</c:v>
                </c:pt>
                <c:pt idx="16">
                  <c:v>0.67857142857142849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84-4898-A789-1EE31A07E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49520"/>
        <c:axId val="893253840"/>
      </c:scatterChart>
      <c:valAx>
        <c:axId val="893249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53840"/>
        <c:crosses val="autoZero"/>
        <c:crossBetween val="midCat"/>
      </c:valAx>
      <c:valAx>
        <c:axId val="8932538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49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DEL REI'!$J$1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REI'!$J$2:$J$19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8-4E4C-B167-B9830279D0A5}"/>
            </c:ext>
          </c:extLst>
        </c:ser>
        <c:ser>
          <c:idx val="1"/>
          <c:order val="1"/>
          <c:tx>
            <c:strRef>
              <c:f>'SÃO JOÃO DEL REI'!$N$1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REI'!$N$2:$N$19</c:f>
              <c:numCache>
                <c:formatCode>0.00</c:formatCode>
                <c:ptCount val="18"/>
                <c:pt idx="0">
                  <c:v>2.9556650246305417E-2</c:v>
                </c:pt>
                <c:pt idx="1">
                  <c:v>3.4482758620689655E-2</c:v>
                </c:pt>
                <c:pt idx="2">
                  <c:v>8.3743842364532028E-2</c:v>
                </c:pt>
                <c:pt idx="3">
                  <c:v>0.11822660098522168</c:v>
                </c:pt>
                <c:pt idx="4">
                  <c:v>0.11822660098522168</c:v>
                </c:pt>
                <c:pt idx="5">
                  <c:v>0.13300492610837439</c:v>
                </c:pt>
                <c:pt idx="6">
                  <c:v>0.14778325123152711</c:v>
                </c:pt>
                <c:pt idx="7">
                  <c:v>0.15270935960591134</c:v>
                </c:pt>
                <c:pt idx="8">
                  <c:v>0.17241379310344829</c:v>
                </c:pt>
                <c:pt idx="9">
                  <c:v>0.21674876847290642</c:v>
                </c:pt>
                <c:pt idx="10">
                  <c:v>0.27586206896551724</c:v>
                </c:pt>
                <c:pt idx="11">
                  <c:v>0.34482758620689657</c:v>
                </c:pt>
                <c:pt idx="12">
                  <c:v>0.39408866995073893</c:v>
                </c:pt>
                <c:pt idx="13">
                  <c:v>0.45320197044334976</c:v>
                </c:pt>
                <c:pt idx="14">
                  <c:v>0.48768472906403942</c:v>
                </c:pt>
                <c:pt idx="15">
                  <c:v>0.55665024630541871</c:v>
                </c:pt>
                <c:pt idx="16">
                  <c:v>0.64532019704433496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98-4E4C-B167-B9830279D0A5}"/>
            </c:ext>
          </c:extLst>
        </c:ser>
        <c:ser>
          <c:idx val="2"/>
          <c:order val="2"/>
          <c:tx>
            <c:strRef>
              <c:f>'SÃO JOÃO DEL REI'!$O$1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REI'!$O$2:$O$19</c:f>
              <c:numCache>
                <c:formatCode>0.00</c:formatCode>
                <c:ptCount val="18"/>
                <c:pt idx="0">
                  <c:v>2.4390243902439025E-2</c:v>
                </c:pt>
                <c:pt idx="1">
                  <c:v>4.065040650406504E-2</c:v>
                </c:pt>
                <c:pt idx="2">
                  <c:v>4.4715447154471545E-2</c:v>
                </c:pt>
                <c:pt idx="3">
                  <c:v>7.3170731707317069E-2</c:v>
                </c:pt>
                <c:pt idx="4">
                  <c:v>8.943089430894309E-2</c:v>
                </c:pt>
                <c:pt idx="5">
                  <c:v>0.10975609756097561</c:v>
                </c:pt>
                <c:pt idx="6">
                  <c:v>0.13008130081300812</c:v>
                </c:pt>
                <c:pt idx="7">
                  <c:v>0.14227642276422764</c:v>
                </c:pt>
                <c:pt idx="8">
                  <c:v>0.15040650406504064</c:v>
                </c:pt>
                <c:pt idx="9">
                  <c:v>0.15447154471544713</c:v>
                </c:pt>
                <c:pt idx="10">
                  <c:v>0.19105691056910568</c:v>
                </c:pt>
                <c:pt idx="11">
                  <c:v>0.21951219512195119</c:v>
                </c:pt>
                <c:pt idx="12">
                  <c:v>0.25609756097560971</c:v>
                </c:pt>
                <c:pt idx="13">
                  <c:v>0.36991869918699183</c:v>
                </c:pt>
                <c:pt idx="14">
                  <c:v>0.39837398373983735</c:v>
                </c:pt>
                <c:pt idx="15">
                  <c:v>0.48373983739837395</c:v>
                </c:pt>
                <c:pt idx="16">
                  <c:v>0.56910569105691056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98-4E4C-B167-B9830279D0A5}"/>
            </c:ext>
          </c:extLst>
        </c:ser>
        <c:ser>
          <c:idx val="3"/>
          <c:order val="3"/>
          <c:tx>
            <c:strRef>
              <c:f>'SÃO JOÃO DEL REI'!$P$1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DEL REI'!$I$2:$I$19</c:f>
              <c:numCache>
                <c:formatCode>0.00</c:formatCode>
                <c:ptCount val="18"/>
                <c:pt idx="0">
                  <c:v>1.2382688152534266E-2</c:v>
                </c:pt>
                <c:pt idx="1">
                  <c:v>2.66003067838823E-2</c:v>
                </c:pt>
                <c:pt idx="2">
                  <c:v>4.2842534100842829E-2</c:v>
                </c:pt>
                <c:pt idx="3">
                  <c:v>6.1134110739085257E-2</c:v>
                </c:pt>
                <c:pt idx="4">
                  <c:v>7.9776179715977502E-2</c:v>
                </c:pt>
                <c:pt idx="5">
                  <c:v>0.10088406538125319</c:v>
                </c:pt>
                <c:pt idx="6">
                  <c:v>0.1333602731366178</c:v>
                </c:pt>
                <c:pt idx="7">
                  <c:v>0.16700753764700063</c:v>
                </c:pt>
                <c:pt idx="8">
                  <c:v>0.20292269376041172</c:v>
                </c:pt>
                <c:pt idx="9">
                  <c:v>0.23889145458443983</c:v>
                </c:pt>
                <c:pt idx="10">
                  <c:v>0.27653020831615238</c:v>
                </c:pt>
                <c:pt idx="11">
                  <c:v>0.31896452192845015</c:v>
                </c:pt>
                <c:pt idx="12">
                  <c:v>0.36423576176417233</c:v>
                </c:pt>
                <c:pt idx="13">
                  <c:v>0.41197694172755617</c:v>
                </c:pt>
                <c:pt idx="14">
                  <c:v>0.46605584786158444</c:v>
                </c:pt>
                <c:pt idx="15">
                  <c:v>0.53867786042982735</c:v>
                </c:pt>
                <c:pt idx="16">
                  <c:v>0.62519173992643784</c:v>
                </c:pt>
                <c:pt idx="17">
                  <c:v>1</c:v>
                </c:pt>
              </c:numCache>
            </c:numRef>
          </c:xVal>
          <c:yVal>
            <c:numRef>
              <c:f>'SÃO JOÃO DEL REI'!$P$2:$P$19</c:f>
              <c:numCache>
                <c:formatCode>0.00</c:formatCode>
                <c:ptCount val="18"/>
                <c:pt idx="0">
                  <c:v>9.433962264150943E-3</c:v>
                </c:pt>
                <c:pt idx="1">
                  <c:v>1.8867924528301886E-2</c:v>
                </c:pt>
                <c:pt idx="2">
                  <c:v>4.716981132075472E-2</c:v>
                </c:pt>
                <c:pt idx="3">
                  <c:v>4.716981132075472E-2</c:v>
                </c:pt>
                <c:pt idx="4">
                  <c:v>6.6037735849056603E-2</c:v>
                </c:pt>
                <c:pt idx="5">
                  <c:v>6.6037735849056603E-2</c:v>
                </c:pt>
                <c:pt idx="6">
                  <c:v>8.4905660377358486E-2</c:v>
                </c:pt>
                <c:pt idx="7">
                  <c:v>9.4339622641509427E-2</c:v>
                </c:pt>
                <c:pt idx="8">
                  <c:v>0.10377358490566037</c:v>
                </c:pt>
                <c:pt idx="9">
                  <c:v>0.12264150943396225</c:v>
                </c:pt>
                <c:pt idx="10">
                  <c:v>0.18867924528301885</c:v>
                </c:pt>
                <c:pt idx="11">
                  <c:v>0.22641509433962262</c:v>
                </c:pt>
                <c:pt idx="12">
                  <c:v>0.23584905660377356</c:v>
                </c:pt>
                <c:pt idx="13">
                  <c:v>0.32075471698113206</c:v>
                </c:pt>
                <c:pt idx="14">
                  <c:v>0.35849056603773582</c:v>
                </c:pt>
                <c:pt idx="15">
                  <c:v>0.51886792452830188</c:v>
                </c:pt>
                <c:pt idx="16">
                  <c:v>0.60377358490566035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98-4E4C-B167-B9830279D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425952"/>
        <c:axId val="618426912"/>
      </c:scatterChart>
      <c:valAx>
        <c:axId val="6184259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26912"/>
        <c:crosses val="autoZero"/>
        <c:crossBetween val="midCat"/>
      </c:valAx>
      <c:valAx>
        <c:axId val="6184269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42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72390</xdr:rowOff>
    </xdr:from>
    <xdr:to>
      <xdr:col>23</xdr:col>
      <xdr:colOff>396240</xdr:colOff>
      <xdr:row>14</xdr:row>
      <xdr:rowOff>110490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CEFCE75-7FF7-C3E6-9424-DD4CC136E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14</xdr:row>
      <xdr:rowOff>140970</xdr:rowOff>
    </xdr:from>
    <xdr:to>
      <xdr:col>23</xdr:col>
      <xdr:colOff>396240</xdr:colOff>
      <xdr:row>29</xdr:row>
      <xdr:rowOff>140970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7079750-0BCA-4140-93AF-C023B11D2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0</xdr:row>
      <xdr:rowOff>26670</xdr:rowOff>
    </xdr:from>
    <xdr:to>
      <xdr:col>23</xdr:col>
      <xdr:colOff>342900</xdr:colOff>
      <xdr:row>14</xdr:row>
      <xdr:rowOff>64770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BEAC3CE-987C-8B9E-A93F-31EE18CA4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</xdr:colOff>
      <xdr:row>14</xdr:row>
      <xdr:rowOff>118110</xdr:rowOff>
    </xdr:from>
    <xdr:to>
      <xdr:col>23</xdr:col>
      <xdr:colOff>350520</xdr:colOff>
      <xdr:row>29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CCE321A-1570-A6C0-79EC-7A3CBF3ED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95250</xdr:rowOff>
    </xdr:from>
    <xdr:to>
      <xdr:col>23</xdr:col>
      <xdr:colOff>396240</xdr:colOff>
      <xdr:row>13</xdr:row>
      <xdr:rowOff>179070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193A613-BCB2-B1A7-CC7F-2F17E269A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34290</xdr:rowOff>
    </xdr:from>
    <xdr:to>
      <xdr:col>23</xdr:col>
      <xdr:colOff>403860</xdr:colOff>
      <xdr:row>28</xdr:row>
      <xdr:rowOff>34290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FD9D668-4055-3348-6278-AD38CD47C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0</xdr:row>
      <xdr:rowOff>49530</xdr:rowOff>
    </xdr:from>
    <xdr:to>
      <xdr:col>23</xdr:col>
      <xdr:colOff>373380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E355D4C-1EAC-6765-B533-EEE2A22C5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171450</xdr:rowOff>
    </xdr:from>
    <xdr:to>
      <xdr:col>23</xdr:col>
      <xdr:colOff>396240</xdr:colOff>
      <xdr:row>27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253E586-256A-DF5B-11D0-062670CE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D3A1-19CF-4738-8583-70DD9B489537}">
  <dimension ref="A1:P35"/>
  <sheetViews>
    <sheetView workbookViewId="0">
      <selection activeCell="J2" sqref="J2:P2"/>
    </sheetView>
  </sheetViews>
  <sheetFormatPr defaultRowHeight="14.4" x14ac:dyDescent="0.3"/>
  <cols>
    <col min="3" max="3" width="13.33203125" customWidth="1"/>
    <col min="4" max="4" width="14.44140625" customWidth="1"/>
    <col min="5" max="8" width="14" customWidth="1"/>
    <col min="11" max="13" width="9.6640625" customWidth="1"/>
  </cols>
  <sheetData>
    <row r="1" spans="1:16" ht="25.95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9</v>
      </c>
      <c r="B2" s="9">
        <v>6.3075087211598834E-3</v>
      </c>
      <c r="C2" s="9">
        <v>9.3457943925233638E-3</v>
      </c>
      <c r="D2" s="9">
        <v>1.2903225806451613E-2</v>
      </c>
      <c r="E2" s="9">
        <v>1.0416666666666666E-2</v>
      </c>
      <c r="F2" s="9">
        <v>2.0895522388059702E-2</v>
      </c>
      <c r="G2" s="9">
        <v>1.3729977116704805E-2</v>
      </c>
      <c r="H2" s="9">
        <v>1.2500000000000001E-2</v>
      </c>
      <c r="I2" s="9">
        <v>6.3075087211598834E-3</v>
      </c>
      <c r="J2" s="9">
        <v>6.3075087211598834E-3</v>
      </c>
      <c r="K2" s="9">
        <v>9.3457943925233638E-3</v>
      </c>
      <c r="L2" s="9">
        <v>1.2903225806451613E-2</v>
      </c>
      <c r="M2" s="9">
        <v>1.0416666666666666E-2</v>
      </c>
      <c r="N2" s="9">
        <v>2.0895522388059702E-2</v>
      </c>
      <c r="O2" s="9">
        <v>1.3729977116704805E-2</v>
      </c>
      <c r="P2" s="9">
        <v>1.2500000000000001E-2</v>
      </c>
    </row>
    <row r="3" spans="1:16" x14ac:dyDescent="0.3">
      <c r="A3" s="8" t="s">
        <v>13</v>
      </c>
      <c r="B3" s="9">
        <v>1.0369760547510052E-2</v>
      </c>
      <c r="C3" s="9">
        <v>3.1152647975077881E-3</v>
      </c>
      <c r="D3" s="9">
        <v>0</v>
      </c>
      <c r="E3" s="9">
        <v>5.208333333333333E-3</v>
      </c>
      <c r="F3" s="9">
        <v>7.462686567164179E-3</v>
      </c>
      <c r="G3" s="9">
        <v>1.8306636155606407E-2</v>
      </c>
      <c r="H3" s="9">
        <v>1.2500000000000001E-2</v>
      </c>
      <c r="I3" s="9">
        <v>1.6677269268669935E-2</v>
      </c>
      <c r="J3" s="9">
        <f>J2+B3</f>
        <v>1.6677269268669935E-2</v>
      </c>
      <c r="K3" s="9">
        <f t="shared" ref="K3:P16" si="0">K2+C3</f>
        <v>1.2461059190031152E-2</v>
      </c>
      <c r="L3" s="9">
        <f t="shared" si="0"/>
        <v>1.2903225806451613E-2</v>
      </c>
      <c r="M3" s="9">
        <f t="shared" si="0"/>
        <v>1.5625E-2</v>
      </c>
      <c r="N3" s="9">
        <f t="shared" si="0"/>
        <v>2.8358208955223882E-2</v>
      </c>
      <c r="O3" s="9">
        <f t="shared" si="0"/>
        <v>3.2036613272311214E-2</v>
      </c>
      <c r="P3" s="9">
        <f t="shared" si="0"/>
        <v>2.5000000000000001E-2</v>
      </c>
    </row>
    <row r="4" spans="1:16" x14ac:dyDescent="0.3">
      <c r="A4" s="8" t="s">
        <v>7</v>
      </c>
      <c r="B4" s="9">
        <v>1.1920650958184169E-2</v>
      </c>
      <c r="C4" s="9">
        <v>1.8691588785046728E-2</v>
      </c>
      <c r="D4" s="9">
        <v>1.935483870967742E-2</v>
      </c>
      <c r="E4" s="9">
        <v>1.5625E-2</v>
      </c>
      <c r="F4" s="9">
        <v>1.0447761194029851E-2</v>
      </c>
      <c r="G4" s="9">
        <v>4.5766590389016018E-3</v>
      </c>
      <c r="H4" s="9">
        <v>1.2500000000000001E-2</v>
      </c>
      <c r="I4" s="9">
        <v>2.8597920226854104E-2</v>
      </c>
      <c r="J4" s="9">
        <f t="shared" ref="J4:J16" si="1">J3+B4</f>
        <v>2.8597920226854104E-2</v>
      </c>
      <c r="K4" s="9">
        <f t="shared" si="0"/>
        <v>3.1152647975077878E-2</v>
      </c>
      <c r="L4" s="9">
        <f t="shared" si="0"/>
        <v>3.2258064516129031E-2</v>
      </c>
      <c r="M4" s="9">
        <f t="shared" si="0"/>
        <v>3.125E-2</v>
      </c>
      <c r="N4" s="9">
        <f t="shared" si="0"/>
        <v>3.880597014925373E-2</v>
      </c>
      <c r="O4" s="9">
        <f t="shared" si="0"/>
        <v>3.6613272311212815E-2</v>
      </c>
      <c r="P4" s="9">
        <f t="shared" si="0"/>
        <v>3.7500000000000006E-2</v>
      </c>
    </row>
    <row r="5" spans="1:16" x14ac:dyDescent="0.3">
      <c r="A5" s="8" t="s">
        <v>12</v>
      </c>
      <c r="B5" s="9">
        <v>1.4053645008253398E-2</v>
      </c>
      <c r="C5" s="9">
        <v>1.2461059190031152E-2</v>
      </c>
      <c r="D5" s="9">
        <v>1.2903225806451613E-2</v>
      </c>
      <c r="E5" s="9">
        <v>2.0833333333333332E-2</v>
      </c>
      <c r="F5" s="9">
        <v>5.9701492537313433E-3</v>
      </c>
      <c r="G5" s="9">
        <v>1.3729977116704805E-2</v>
      </c>
      <c r="H5" s="9">
        <v>1.2500000000000001E-2</v>
      </c>
      <c r="I5" s="9">
        <v>4.2651565235107505E-2</v>
      </c>
      <c r="J5" s="9">
        <f t="shared" si="1"/>
        <v>4.2651565235107505E-2</v>
      </c>
      <c r="K5" s="9">
        <f t="shared" si="0"/>
        <v>4.3613707165109032E-2</v>
      </c>
      <c r="L5" s="9">
        <f t="shared" si="0"/>
        <v>4.5161290322580643E-2</v>
      </c>
      <c r="M5" s="9">
        <f t="shared" si="0"/>
        <v>5.2083333333333329E-2</v>
      </c>
      <c r="N5" s="9">
        <f t="shared" si="0"/>
        <v>4.4776119402985072E-2</v>
      </c>
      <c r="O5" s="9">
        <f t="shared" si="0"/>
        <v>5.0343249427917618E-2</v>
      </c>
      <c r="P5" s="9">
        <f t="shared" si="0"/>
        <v>0.05</v>
      </c>
    </row>
    <row r="6" spans="1:16" x14ac:dyDescent="0.3">
      <c r="A6" s="8" t="s">
        <v>11</v>
      </c>
      <c r="B6" s="9">
        <v>1.823231756248259E-2</v>
      </c>
      <c r="C6" s="9">
        <v>9.3457943925233638E-3</v>
      </c>
      <c r="D6" s="9">
        <v>6.4516129032258064E-3</v>
      </c>
      <c r="E6" s="9">
        <v>5.208333333333333E-3</v>
      </c>
      <c r="F6" s="9">
        <v>1.4925373134328358E-2</v>
      </c>
      <c r="G6" s="9">
        <v>1.3729977116704805E-2</v>
      </c>
      <c r="H6" s="9">
        <v>1.2500000000000001E-2</v>
      </c>
      <c r="I6" s="9">
        <v>6.0883882797590091E-2</v>
      </c>
      <c r="J6" s="9">
        <f t="shared" si="1"/>
        <v>6.0883882797590091E-2</v>
      </c>
      <c r="K6" s="9">
        <f t="shared" si="0"/>
        <v>5.2959501557632398E-2</v>
      </c>
      <c r="L6" s="9">
        <f t="shared" si="0"/>
        <v>5.1612903225806452E-2</v>
      </c>
      <c r="M6" s="9">
        <f t="shared" si="0"/>
        <v>5.7291666666666664E-2</v>
      </c>
      <c r="N6" s="9">
        <f t="shared" si="0"/>
        <v>5.9701492537313432E-2</v>
      </c>
      <c r="O6" s="9">
        <f t="shared" si="0"/>
        <v>6.4073226544622428E-2</v>
      </c>
      <c r="P6" s="9">
        <f t="shared" si="0"/>
        <v>6.25E-2</v>
      </c>
    </row>
    <row r="7" spans="1:16" x14ac:dyDescent="0.3">
      <c r="A7" s="8" t="s">
        <v>4</v>
      </c>
      <c r="B7" s="9">
        <v>1.9192788567484523E-2</v>
      </c>
      <c r="C7" s="9">
        <v>1.2461059190031152E-2</v>
      </c>
      <c r="D7" s="9">
        <v>1.935483870967742E-2</v>
      </c>
      <c r="E7" s="9">
        <v>1.5625E-2</v>
      </c>
      <c r="F7" s="9">
        <v>1.9402985074626865E-2</v>
      </c>
      <c r="G7" s="9">
        <v>4.5766590389016018E-3</v>
      </c>
      <c r="H7" s="9">
        <v>1.2500000000000001E-2</v>
      </c>
      <c r="I7" s="9">
        <v>8.0076671365074611E-2</v>
      </c>
      <c r="J7" s="9">
        <f t="shared" si="1"/>
        <v>8.0076671365074611E-2</v>
      </c>
      <c r="K7" s="9">
        <f t="shared" si="0"/>
        <v>6.5420560747663545E-2</v>
      </c>
      <c r="L7" s="9">
        <f t="shared" si="0"/>
        <v>7.0967741935483872E-2</v>
      </c>
      <c r="M7" s="9">
        <f t="shared" si="0"/>
        <v>7.2916666666666657E-2</v>
      </c>
      <c r="N7" s="9">
        <f t="shared" si="0"/>
        <v>7.9104477611940296E-2</v>
      </c>
      <c r="O7" s="9">
        <f t="shared" si="0"/>
        <v>6.8649885583524028E-2</v>
      </c>
      <c r="P7" s="9">
        <f t="shared" si="0"/>
        <v>7.4999999999999997E-2</v>
      </c>
    </row>
    <row r="8" spans="1:16" x14ac:dyDescent="0.3">
      <c r="A8" s="8" t="s">
        <v>10</v>
      </c>
      <c r="B8" s="9">
        <v>2.0065944026577191E-2</v>
      </c>
      <c r="C8" s="9">
        <v>1.2461059190031152E-2</v>
      </c>
      <c r="D8" s="9">
        <v>3.2258064516129031E-2</v>
      </c>
      <c r="E8" s="9">
        <v>2.6041666666666668E-2</v>
      </c>
      <c r="F8" s="9">
        <v>1.7910447761194031E-2</v>
      </c>
      <c r="G8" s="9">
        <v>3.4324942791762014E-2</v>
      </c>
      <c r="H8" s="9">
        <v>1.2500000000000001E-2</v>
      </c>
      <c r="I8" s="9">
        <v>0.1001426153916518</v>
      </c>
      <c r="J8" s="9">
        <f t="shared" si="1"/>
        <v>0.1001426153916518</v>
      </c>
      <c r="K8" s="9">
        <f t="shared" si="0"/>
        <v>7.7881619937694699E-2</v>
      </c>
      <c r="L8" s="9">
        <f t="shared" si="0"/>
        <v>0.1032258064516129</v>
      </c>
      <c r="M8" s="9">
        <f t="shared" si="0"/>
        <v>9.8958333333333329E-2</v>
      </c>
      <c r="N8" s="9">
        <f t="shared" si="0"/>
        <v>9.7014925373134331E-2</v>
      </c>
      <c r="O8" s="9">
        <f t="shared" si="0"/>
        <v>0.10297482837528604</v>
      </c>
      <c r="P8" s="9">
        <f t="shared" si="0"/>
        <v>8.7499999999999994E-2</v>
      </c>
    </row>
    <row r="9" spans="1:16" x14ac:dyDescent="0.3">
      <c r="A9" s="8" t="s">
        <v>8</v>
      </c>
      <c r="B9" s="9">
        <v>2.0785257809544006E-2</v>
      </c>
      <c r="C9" s="9">
        <v>9.3457943925233638E-3</v>
      </c>
      <c r="D9" s="9">
        <v>2.5806451612903226E-2</v>
      </c>
      <c r="E9" s="9">
        <v>5.208333333333333E-3</v>
      </c>
      <c r="F9" s="9">
        <v>8.9552238805970154E-3</v>
      </c>
      <c r="G9" s="9">
        <v>9.1533180778032037E-3</v>
      </c>
      <c r="H9" s="9">
        <v>0</v>
      </c>
      <c r="I9" s="9">
        <v>0.1209278732011958</v>
      </c>
      <c r="J9" s="9">
        <f t="shared" si="1"/>
        <v>0.1209278732011958</v>
      </c>
      <c r="K9" s="9">
        <f t="shared" si="0"/>
        <v>8.7227414330218064E-2</v>
      </c>
      <c r="L9" s="9">
        <f t="shared" si="0"/>
        <v>0.12903225806451613</v>
      </c>
      <c r="M9" s="9">
        <f t="shared" si="0"/>
        <v>0.10416666666666666</v>
      </c>
      <c r="N9" s="9">
        <f t="shared" si="0"/>
        <v>0.10597014925373134</v>
      </c>
      <c r="O9" s="9">
        <f t="shared" si="0"/>
        <v>0.11212814645308924</v>
      </c>
      <c r="P9" s="9">
        <f t="shared" si="0"/>
        <v>8.7499999999999994E-2</v>
      </c>
    </row>
    <row r="10" spans="1:16" x14ac:dyDescent="0.3">
      <c r="A10" s="8" t="s">
        <v>6</v>
      </c>
      <c r="B10" s="9">
        <v>2.8319342056572158E-2</v>
      </c>
      <c r="C10" s="9">
        <v>4.0498442367601244E-2</v>
      </c>
      <c r="D10" s="9">
        <v>1.935483870967742E-2</v>
      </c>
      <c r="E10" s="9">
        <v>1.0416666666666666E-2</v>
      </c>
      <c r="F10" s="9">
        <v>3.7313432835820892E-2</v>
      </c>
      <c r="G10" s="9">
        <v>3.8901601830663615E-2</v>
      </c>
      <c r="H10" s="9">
        <v>6.8750000000000006E-2</v>
      </c>
      <c r="I10" s="9">
        <v>0.14924721525776796</v>
      </c>
      <c r="J10" s="9">
        <f t="shared" si="1"/>
        <v>0.14924721525776796</v>
      </c>
      <c r="K10" s="9">
        <f t="shared" si="0"/>
        <v>0.1277258566978193</v>
      </c>
      <c r="L10" s="9">
        <f t="shared" si="0"/>
        <v>0.14838709677419354</v>
      </c>
      <c r="M10" s="9">
        <f t="shared" si="0"/>
        <v>0.11458333333333333</v>
      </c>
      <c r="N10" s="9">
        <f t="shared" si="0"/>
        <v>0.14328358208955222</v>
      </c>
      <c r="O10" s="9">
        <f t="shared" si="0"/>
        <v>0.15102974828375287</v>
      </c>
      <c r="P10" s="9">
        <f t="shared" si="0"/>
        <v>0.15625</v>
      </c>
    </row>
    <row r="11" spans="1:16" x14ac:dyDescent="0.3">
      <c r="A11" s="8" t="s">
        <v>1</v>
      </c>
      <c r="B11" s="9">
        <v>2.9321391892959455E-2</v>
      </c>
      <c r="C11" s="9">
        <v>5.6074766355140186E-2</v>
      </c>
      <c r="D11" s="9">
        <v>5.1612903225806452E-2</v>
      </c>
      <c r="E11" s="9">
        <v>2.0833333333333332E-2</v>
      </c>
      <c r="F11" s="9">
        <v>2.2388059701492536E-2</v>
      </c>
      <c r="G11" s="9">
        <v>2.9748283752860413E-2</v>
      </c>
      <c r="H11" s="9">
        <v>1.8749999999999999E-2</v>
      </c>
      <c r="I11" s="9">
        <v>0.17856860715072742</v>
      </c>
      <c r="J11" s="9">
        <f t="shared" si="1"/>
        <v>0.17856860715072742</v>
      </c>
      <c r="K11" s="9">
        <f t="shared" si="0"/>
        <v>0.18380062305295949</v>
      </c>
      <c r="L11" s="9">
        <f t="shared" si="0"/>
        <v>0.19999999999999998</v>
      </c>
      <c r="M11" s="9">
        <f t="shared" si="0"/>
        <v>0.13541666666666666</v>
      </c>
      <c r="N11" s="9">
        <f t="shared" si="0"/>
        <v>0.16567164179104477</v>
      </c>
      <c r="O11" s="9">
        <f t="shared" si="0"/>
        <v>0.1807780320366133</v>
      </c>
      <c r="P11" s="9">
        <f t="shared" si="0"/>
        <v>0.17499999999999999</v>
      </c>
    </row>
    <row r="12" spans="1:16" x14ac:dyDescent="0.3">
      <c r="A12" s="8" t="s">
        <v>14</v>
      </c>
      <c r="B12" s="9">
        <v>4.3549667993031387E-2</v>
      </c>
      <c r="C12" s="9">
        <v>4.0498442367601244E-2</v>
      </c>
      <c r="D12" s="9">
        <v>1.935483870967742E-2</v>
      </c>
      <c r="E12" s="9">
        <v>1.0416666666666666E-2</v>
      </c>
      <c r="F12" s="9">
        <v>6.5671641791044774E-2</v>
      </c>
      <c r="G12" s="9">
        <v>0.10755148741418764</v>
      </c>
      <c r="H12" s="9">
        <v>6.25E-2</v>
      </c>
      <c r="I12" s="9">
        <v>0.22211827514375881</v>
      </c>
      <c r="J12" s="9">
        <f t="shared" si="1"/>
        <v>0.22211827514375881</v>
      </c>
      <c r="K12" s="9">
        <f t="shared" si="0"/>
        <v>0.22429906542056074</v>
      </c>
      <c r="L12" s="9">
        <f t="shared" si="0"/>
        <v>0.2193548387096774</v>
      </c>
      <c r="M12" s="9">
        <f t="shared" si="0"/>
        <v>0.14583333333333331</v>
      </c>
      <c r="N12" s="9">
        <f t="shared" si="0"/>
        <v>0.23134328358208955</v>
      </c>
      <c r="O12" s="9">
        <f t="shared" si="0"/>
        <v>0.28832951945080093</v>
      </c>
      <c r="P12" s="9">
        <f t="shared" si="0"/>
        <v>0.23749999999999999</v>
      </c>
    </row>
    <row r="13" spans="1:16" x14ac:dyDescent="0.3">
      <c r="A13" s="8" t="s">
        <v>2</v>
      </c>
      <c r="B13" s="9">
        <v>4.4584980894526977E-2</v>
      </c>
      <c r="C13" s="9">
        <v>6.8535825545171333E-2</v>
      </c>
      <c r="D13" s="9">
        <v>4.5161290322580643E-2</v>
      </c>
      <c r="E13" s="9">
        <v>4.6875E-2</v>
      </c>
      <c r="F13" s="9">
        <v>4.0298507462686567E-2</v>
      </c>
      <c r="G13" s="9">
        <v>3.4324942791762014E-2</v>
      </c>
      <c r="H13" s="9">
        <v>0.1</v>
      </c>
      <c r="I13" s="9">
        <v>0.26670325603828582</v>
      </c>
      <c r="J13" s="9">
        <f t="shared" si="1"/>
        <v>0.26670325603828582</v>
      </c>
      <c r="K13" s="9">
        <f t="shared" si="0"/>
        <v>0.29283489096573206</v>
      </c>
      <c r="L13" s="9">
        <f t="shared" si="0"/>
        <v>0.26451612903225802</v>
      </c>
      <c r="M13" s="9">
        <f t="shared" si="0"/>
        <v>0.19270833333333331</v>
      </c>
      <c r="N13" s="9">
        <f t="shared" si="0"/>
        <v>0.27164179104477615</v>
      </c>
      <c r="O13" s="9">
        <f t="shared" si="0"/>
        <v>0.32265446224256294</v>
      </c>
      <c r="P13" s="9">
        <f t="shared" si="0"/>
        <v>0.33750000000000002</v>
      </c>
    </row>
    <row r="14" spans="1:16" x14ac:dyDescent="0.3">
      <c r="A14" s="8" t="s">
        <v>3</v>
      </c>
      <c r="B14" s="9">
        <v>4.7695077482152286E-2</v>
      </c>
      <c r="C14" s="9">
        <v>4.0498442367601244E-2</v>
      </c>
      <c r="D14" s="9">
        <v>6.4516129032258063E-2</v>
      </c>
      <c r="E14" s="9">
        <v>5.7291666666666664E-2</v>
      </c>
      <c r="F14" s="9">
        <v>2.5373134328358207E-2</v>
      </c>
      <c r="G14" s="9">
        <v>2.7459954233409609E-2</v>
      </c>
      <c r="H14" s="9">
        <v>2.5000000000000001E-2</v>
      </c>
      <c r="I14" s="9">
        <v>0.31439833352043811</v>
      </c>
      <c r="J14" s="9">
        <f t="shared" si="1"/>
        <v>0.31439833352043811</v>
      </c>
      <c r="K14" s="9">
        <f t="shared" si="0"/>
        <v>0.33333333333333331</v>
      </c>
      <c r="L14" s="9">
        <f t="shared" si="0"/>
        <v>0.32903225806451608</v>
      </c>
      <c r="M14" s="9">
        <f t="shared" si="0"/>
        <v>0.24999999999999997</v>
      </c>
      <c r="N14" s="9">
        <f t="shared" si="0"/>
        <v>0.29701492537313434</v>
      </c>
      <c r="O14" s="9">
        <f t="shared" si="0"/>
        <v>0.35011441647597258</v>
      </c>
      <c r="P14" s="9">
        <f t="shared" si="0"/>
        <v>0.36250000000000004</v>
      </c>
    </row>
    <row r="15" spans="1:16" x14ac:dyDescent="0.3">
      <c r="A15" s="8" t="s">
        <v>5</v>
      </c>
      <c r="B15" s="9">
        <v>0.10740227935153654</v>
      </c>
      <c r="C15" s="9">
        <v>8.4112149532710276E-2</v>
      </c>
      <c r="D15" s="9">
        <v>0.12258064516129032</v>
      </c>
      <c r="E15" s="9">
        <v>8.3333333333333329E-2</v>
      </c>
      <c r="F15" s="9">
        <v>4.1791044776119404E-2</v>
      </c>
      <c r="G15" s="9">
        <v>7.780320366132723E-2</v>
      </c>
      <c r="H15" s="9">
        <v>0.15</v>
      </c>
      <c r="I15" s="9">
        <v>0.42180061287197468</v>
      </c>
      <c r="J15" s="9">
        <f t="shared" si="1"/>
        <v>0.42180061287197468</v>
      </c>
      <c r="K15" s="9">
        <f t="shared" si="0"/>
        <v>0.4174454828660436</v>
      </c>
      <c r="L15" s="9">
        <f t="shared" si="0"/>
        <v>0.45161290322580638</v>
      </c>
      <c r="M15" s="9">
        <f t="shared" si="0"/>
        <v>0.33333333333333331</v>
      </c>
      <c r="N15" s="9">
        <f t="shared" si="0"/>
        <v>0.33880597014925373</v>
      </c>
      <c r="O15" s="9">
        <f t="shared" si="0"/>
        <v>0.42791762013729984</v>
      </c>
      <c r="P15" s="9">
        <f t="shared" si="0"/>
        <v>0.51250000000000007</v>
      </c>
    </row>
    <row r="16" spans="1:16" x14ac:dyDescent="0.3">
      <c r="A16" s="8" t="s">
        <v>0</v>
      </c>
      <c r="B16" s="9">
        <v>0.57819938712802543</v>
      </c>
      <c r="C16" s="9">
        <v>0.58255451713395634</v>
      </c>
      <c r="D16" s="9">
        <v>0.54838709677419351</v>
      </c>
      <c r="E16" s="9">
        <v>0.66666666666666663</v>
      </c>
      <c r="F16" s="9">
        <v>0.66119402985074627</v>
      </c>
      <c r="G16" s="9">
        <v>0.57208237986270027</v>
      </c>
      <c r="H16" s="9">
        <v>0.48749999999999999</v>
      </c>
      <c r="I16" s="9">
        <v>1</v>
      </c>
      <c r="J16" s="9">
        <f t="shared" si="1"/>
        <v>1</v>
      </c>
      <c r="K16" s="9">
        <f t="shared" si="0"/>
        <v>1</v>
      </c>
      <c r="L16" s="9">
        <f t="shared" si="0"/>
        <v>0.99999999999999989</v>
      </c>
      <c r="M16" s="9">
        <f t="shared" si="0"/>
        <v>1</v>
      </c>
      <c r="N16" s="9">
        <f t="shared" si="0"/>
        <v>1</v>
      </c>
      <c r="O16" s="9">
        <f t="shared" si="0"/>
        <v>1</v>
      </c>
      <c r="P16" s="9">
        <f t="shared" si="0"/>
        <v>1</v>
      </c>
    </row>
    <row r="18" spans="2:16" x14ac:dyDescent="0.3">
      <c r="B18" s="2" t="s">
        <v>15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J18" s="8"/>
      <c r="K18" s="10" t="s">
        <v>29</v>
      </c>
      <c r="L18" s="10" t="s">
        <v>30</v>
      </c>
      <c r="M18" s="10" t="s">
        <v>31</v>
      </c>
      <c r="N18" s="10" t="s">
        <v>32</v>
      </c>
      <c r="O18" s="10" t="s">
        <v>33</v>
      </c>
      <c r="P18" s="10" t="s">
        <v>34</v>
      </c>
    </row>
    <row r="19" spans="2:16" x14ac:dyDescent="0.3">
      <c r="B19" s="14" t="s">
        <v>9</v>
      </c>
      <c r="C19" s="9">
        <f>C2-B2</f>
        <v>3.0382856713634804E-3</v>
      </c>
      <c r="D19" s="9">
        <f>D2-B2</f>
        <v>6.5957170852917295E-3</v>
      </c>
      <c r="E19" s="9">
        <f>E2-B2</f>
        <v>4.1091579455067827E-3</v>
      </c>
      <c r="F19" s="9">
        <f>F2-B2</f>
        <v>1.4588013666899819E-2</v>
      </c>
      <c r="G19" s="9">
        <f>G2-B2</f>
        <v>7.4224683955449212E-3</v>
      </c>
      <c r="H19" s="9">
        <f>H2-B2</f>
        <v>6.1924912788401173E-3</v>
      </c>
      <c r="J19" s="14" t="s">
        <v>9</v>
      </c>
      <c r="K19" s="8">
        <f>(J2-0) * ((K2+0))</f>
        <v>5.8948679637008251E-5</v>
      </c>
      <c r="L19" s="8">
        <f>(J2-0) * ((L2+0))</f>
        <v>8.1387209305288825E-5</v>
      </c>
      <c r="M19" s="8">
        <f>(J2-0) * ((M2+0))</f>
        <v>6.5703215845415452E-5</v>
      </c>
      <c r="N19" s="8">
        <f>(J2-0) * ((N2+0))</f>
        <v>1.3179868969587815E-4</v>
      </c>
      <c r="O19" s="8">
        <f>(J2-0) * ((O2+0))</f>
        <v>8.6601950404941182E-5</v>
      </c>
      <c r="P19" s="8">
        <f>(J2-0) * ((P2+0))</f>
        <v>7.8843859014498548E-5</v>
      </c>
    </row>
    <row r="20" spans="2:16" x14ac:dyDescent="0.3">
      <c r="B20" s="14" t="s">
        <v>13</v>
      </c>
      <c r="C20" s="9">
        <f t="shared" ref="C20:C33" si="2">C3-B3</f>
        <v>-7.2544957500022631E-3</v>
      </c>
      <c r="D20" s="9">
        <f t="shared" ref="D20:D33" si="3">D3-B3</f>
        <v>-1.0369760547510052E-2</v>
      </c>
      <c r="E20" s="9">
        <f t="shared" ref="E20:E32" si="4">E3-B3</f>
        <v>-5.1614272141767186E-3</v>
      </c>
      <c r="F20" s="9">
        <f t="shared" ref="F20:F33" si="5">F3-B3</f>
        <v>-2.9070739803458727E-3</v>
      </c>
      <c r="G20" s="9">
        <f t="shared" ref="G20:G33" si="6">G3-B3</f>
        <v>7.9368756080963557E-3</v>
      </c>
      <c r="H20" s="9">
        <f t="shared" ref="H20:H33" si="7">H3-B3</f>
        <v>2.1302394524899491E-3</v>
      </c>
      <c r="J20" s="14" t="s">
        <v>13</v>
      </c>
      <c r="K20" s="8">
        <f>(J3-J2) * ((K3+K2))</f>
        <v>2.2613184994570206E-4</v>
      </c>
      <c r="L20" s="8">
        <f>(J3-J2) * ((L3+L2))</f>
        <v>2.67606723806711E-4</v>
      </c>
      <c r="M20" s="8">
        <f>(J3-J2) * ((M3+M2))</f>
        <v>2.7004584759140755E-4</v>
      </c>
      <c r="N20" s="8">
        <f>(J3-J2) * ((N3+N2))</f>
        <v>5.1074940010124132E-4</v>
      </c>
      <c r="O20" s="8">
        <f>(J3-J2) * ((O3+O2))</f>
        <v>4.7458858341007098E-4</v>
      </c>
      <c r="P20" s="8">
        <f>(J3-J2) * ((P3+P2))</f>
        <v>3.8886602053162699E-4</v>
      </c>
    </row>
    <row r="21" spans="2:16" x14ac:dyDescent="0.3">
      <c r="B21" s="14" t="s">
        <v>7</v>
      </c>
      <c r="C21" s="9">
        <f t="shared" si="2"/>
        <v>6.7709378268625588E-3</v>
      </c>
      <c r="D21" s="9">
        <f t="shared" si="3"/>
        <v>7.4341877514932514E-3</v>
      </c>
      <c r="E21" s="9">
        <f t="shared" si="4"/>
        <v>3.7043490418158312E-3</v>
      </c>
      <c r="F21" s="9">
        <f t="shared" si="5"/>
        <v>-1.4728897641543177E-3</v>
      </c>
      <c r="G21" s="9">
        <f t="shared" si="6"/>
        <v>-7.343991919282567E-3</v>
      </c>
      <c r="H21" s="9">
        <f t="shared" si="7"/>
        <v>5.7934904181583188E-4</v>
      </c>
      <c r="J21" s="14" t="s">
        <v>7</v>
      </c>
      <c r="K21" s="8">
        <f t="shared" ref="K21:K33" si="8">(J4-J3) * ((K4+K3))</f>
        <v>5.1990378010772077E-4</v>
      </c>
      <c r="L21" s="8">
        <f t="shared" ref="L21:L33" si="9">(J4-J3) * ((L4+L3))</f>
        <v>5.3835197875670433E-4</v>
      </c>
      <c r="M21" s="8">
        <f t="shared" ref="M21:M33" si="10">(J4-J3) * ((M4+M3))</f>
        <v>5.5878051366488291E-4</v>
      </c>
      <c r="N21" s="8">
        <f t="shared" ref="N21:N33" si="11">(J4-J3) * ((N4+N3))</f>
        <v>8.0064073599744412E-4</v>
      </c>
      <c r="O21" s="8">
        <f t="shared" ref="O21:O33" si="12">(J4-J3) * ((O4+O3))</f>
        <v>8.183513243604693E-4</v>
      </c>
      <c r="P21" s="8">
        <f t="shared" ref="P21:P33" si="13">(J4-J3) * ((P4+P3))</f>
        <v>7.4504068488651055E-4</v>
      </c>
    </row>
    <row r="22" spans="2:16" x14ac:dyDescent="0.3">
      <c r="B22" s="14" t="s">
        <v>12</v>
      </c>
      <c r="C22" s="9">
        <f t="shared" si="2"/>
        <v>-1.5925858182222457E-3</v>
      </c>
      <c r="D22" s="9">
        <f t="shared" si="3"/>
        <v>-1.1504192018017851E-3</v>
      </c>
      <c r="E22" s="9">
        <f t="shared" si="4"/>
        <v>6.7796883250799342E-3</v>
      </c>
      <c r="F22" s="9">
        <f t="shared" si="5"/>
        <v>-8.0834957545220555E-3</v>
      </c>
      <c r="G22" s="9">
        <f t="shared" si="6"/>
        <v>-3.2366789154859334E-4</v>
      </c>
      <c r="H22" s="9">
        <f t="shared" si="7"/>
        <v>-1.5536450082533973E-3</v>
      </c>
      <c r="J22" s="14" t="s">
        <v>12</v>
      </c>
      <c r="K22" s="8">
        <f t="shared" si="8"/>
        <v>1.0507398137011889E-3</v>
      </c>
      <c r="L22" s="8">
        <f t="shared" si="9"/>
        <v>1.0880241296712312E-3</v>
      </c>
      <c r="M22" s="8">
        <f t="shared" si="10"/>
        <v>1.1711370840211167E-3</v>
      </c>
      <c r="N22" s="8">
        <f t="shared" si="11"/>
        <v>1.1746330156152097E-3</v>
      </c>
      <c r="O22" s="8">
        <f t="shared" si="12"/>
        <v>1.2220560876742088E-3</v>
      </c>
      <c r="P22" s="8">
        <f t="shared" si="13"/>
        <v>1.2296939382221727E-3</v>
      </c>
    </row>
    <row r="23" spans="2:16" x14ac:dyDescent="0.3">
      <c r="B23" s="14" t="s">
        <v>11</v>
      </c>
      <c r="C23" s="9">
        <f t="shared" si="2"/>
        <v>-8.8865231699592259E-3</v>
      </c>
      <c r="D23" s="9">
        <f t="shared" si="3"/>
        <v>-1.1780704659256784E-2</v>
      </c>
      <c r="E23" s="9">
        <f t="shared" si="4"/>
        <v>-1.3023984229149257E-2</v>
      </c>
      <c r="F23" s="9">
        <f t="shared" si="5"/>
        <v>-3.3069444281542317E-3</v>
      </c>
      <c r="G23" s="9">
        <f t="shared" si="6"/>
        <v>-4.502340445777785E-3</v>
      </c>
      <c r="H23" s="9">
        <f t="shared" si="7"/>
        <v>-5.7323175624825889E-3</v>
      </c>
      <c r="J23" s="14" t="s">
        <v>11</v>
      </c>
      <c r="K23" s="8">
        <f t="shared" si="8"/>
        <v>1.7607534094609351E-3</v>
      </c>
      <c r="L23" s="8">
        <f t="shared" si="9"/>
        <v>1.764417828627347E-3</v>
      </c>
      <c r="M23" s="8">
        <f t="shared" si="10"/>
        <v>1.9941597333965329E-3</v>
      </c>
      <c r="N23" s="8">
        <f t="shared" si="11"/>
        <v>1.9048689990653447E-3</v>
      </c>
      <c r="O23" s="8">
        <f t="shared" si="12"/>
        <v>2.0860775243115087E-3</v>
      </c>
      <c r="P23" s="8">
        <f t="shared" si="13"/>
        <v>2.0511357257792912E-3</v>
      </c>
    </row>
    <row r="24" spans="2:16" x14ac:dyDescent="0.3">
      <c r="B24" s="14" t="s">
        <v>4</v>
      </c>
      <c r="C24" s="9">
        <f t="shared" si="2"/>
        <v>-6.7317293774533712E-3</v>
      </c>
      <c r="D24" s="9">
        <f t="shared" si="3"/>
        <v>1.6205014219289673E-4</v>
      </c>
      <c r="E24" s="9">
        <f t="shared" si="4"/>
        <v>-3.5677885674845235E-3</v>
      </c>
      <c r="F24" s="9">
        <f t="shared" si="5"/>
        <v>2.1019650714234131E-4</v>
      </c>
      <c r="G24" s="9">
        <f t="shared" si="6"/>
        <v>-1.4616129528582922E-2</v>
      </c>
      <c r="H24" s="9">
        <f t="shared" si="7"/>
        <v>-6.6927885674845228E-3</v>
      </c>
      <c r="J24" s="14" t="s">
        <v>4</v>
      </c>
      <c r="K24" s="8">
        <f t="shared" si="8"/>
        <v>2.2720435064311892E-3</v>
      </c>
      <c r="L24" s="8">
        <f t="shared" si="9"/>
        <v>2.3526644050464898E-3</v>
      </c>
      <c r="M24" s="8">
        <f t="shared" si="10"/>
        <v>2.4990610113912134E-3</v>
      </c>
      <c r="N24" s="8">
        <f t="shared" si="11"/>
        <v>2.6640736369791945E-3</v>
      </c>
      <c r="O24" s="8">
        <f t="shared" si="12"/>
        <v>2.5473266290940554E-3</v>
      </c>
      <c r="P24" s="8">
        <f t="shared" si="13"/>
        <v>2.6390084280291217E-3</v>
      </c>
    </row>
    <row r="25" spans="2:16" x14ac:dyDescent="0.3">
      <c r="B25" s="14" t="s">
        <v>10</v>
      </c>
      <c r="C25" s="9">
        <f t="shared" si="2"/>
        <v>-7.6048848365460383E-3</v>
      </c>
      <c r="D25" s="9">
        <f t="shared" si="3"/>
        <v>1.2192120489551841E-2</v>
      </c>
      <c r="E25" s="9">
        <f t="shared" si="4"/>
        <v>5.9757226400894772E-3</v>
      </c>
      <c r="F25" s="9">
        <f t="shared" si="5"/>
        <v>-2.1554962653831597E-3</v>
      </c>
      <c r="G25" s="9">
        <f t="shared" si="6"/>
        <v>1.4258998765184824E-2</v>
      </c>
      <c r="H25" s="9">
        <f t="shared" si="7"/>
        <v>-7.5659440265771899E-3</v>
      </c>
      <c r="J25" s="14" t="s">
        <v>10</v>
      </c>
      <c r="K25" s="8">
        <f t="shared" si="8"/>
        <v>2.8754935365188491E-3</v>
      </c>
      <c r="L25" s="8">
        <f t="shared" si="9"/>
        <v>3.4953579917263488E-3</v>
      </c>
      <c r="M25" s="8">
        <f t="shared" si="10"/>
        <v>3.448834129567954E-3</v>
      </c>
      <c r="N25" s="8">
        <f t="shared" si="11"/>
        <v>3.5340020822926983E-3</v>
      </c>
      <c r="O25" s="8">
        <f t="shared" si="12"/>
        <v>3.4438119038748033E-3</v>
      </c>
      <c r="P25" s="8">
        <f t="shared" si="13"/>
        <v>3.2607159043187926E-3</v>
      </c>
    </row>
    <row r="26" spans="2:16" x14ac:dyDescent="0.3">
      <c r="B26" s="14" t="s">
        <v>8</v>
      </c>
      <c r="C26" s="9">
        <f t="shared" si="2"/>
        <v>-1.1439463417020642E-2</v>
      </c>
      <c r="D26" s="9">
        <f t="shared" si="3"/>
        <v>5.0211938033592196E-3</v>
      </c>
      <c r="E26" s="9">
        <f t="shared" si="4"/>
        <v>-1.5576924476210674E-2</v>
      </c>
      <c r="F26" s="9">
        <f t="shared" si="5"/>
        <v>-1.1830033928946991E-2</v>
      </c>
      <c r="G26" s="9">
        <f t="shared" si="6"/>
        <v>-1.1631939731740802E-2</v>
      </c>
      <c r="H26" s="9">
        <f t="shared" si="7"/>
        <v>-2.0785257809544006E-2</v>
      </c>
      <c r="J26" s="14" t="s">
        <v>8</v>
      </c>
      <c r="K26" s="8">
        <f t="shared" si="8"/>
        <v>3.4318338439434022E-3</v>
      </c>
      <c r="L26" s="8">
        <f t="shared" si="9"/>
        <v>4.8275437493134456E-3</v>
      </c>
      <c r="M26" s="8">
        <f t="shared" si="10"/>
        <v>4.2220054925636253E-3</v>
      </c>
      <c r="N26" s="8">
        <f t="shared" si="11"/>
        <v>4.219097107608932E-3</v>
      </c>
      <c r="O26" s="8">
        <f t="shared" si="12"/>
        <v>4.4709707874076342E-3</v>
      </c>
      <c r="P26" s="8">
        <f t="shared" si="13"/>
        <v>3.6374201166702001E-3</v>
      </c>
    </row>
    <row r="27" spans="2:16" x14ac:dyDescent="0.3">
      <c r="B27" s="14" t="s">
        <v>6</v>
      </c>
      <c r="C27" s="9">
        <f t="shared" si="2"/>
        <v>1.2179100311029086E-2</v>
      </c>
      <c r="D27" s="9">
        <f t="shared" si="3"/>
        <v>-8.9645033468947373E-3</v>
      </c>
      <c r="E27" s="9">
        <f t="shared" si="4"/>
        <v>-1.790267538990549E-2</v>
      </c>
      <c r="F27" s="9">
        <f t="shared" si="5"/>
        <v>8.9940907792487347E-3</v>
      </c>
      <c r="G27" s="9">
        <f t="shared" si="6"/>
        <v>1.0582259774091458E-2</v>
      </c>
      <c r="H27" s="9">
        <f t="shared" si="7"/>
        <v>4.0430657943427845E-2</v>
      </c>
      <c r="J27" s="14" t="s">
        <v>6</v>
      </c>
      <c r="K27" s="8">
        <f t="shared" si="8"/>
        <v>6.0873352084220523E-3</v>
      </c>
      <c r="L27" s="8">
        <f t="shared" si="9"/>
        <v>7.8563336027909856E-3</v>
      </c>
      <c r="M27" s="8">
        <f t="shared" si="10"/>
        <v>6.1948560748751602E-3</v>
      </c>
      <c r="N27" s="8">
        <f t="shared" si="11"/>
        <v>7.058701676787388E-3</v>
      </c>
      <c r="O27" s="8">
        <f t="shared" si="12"/>
        <v>7.4524584359400431E-3</v>
      </c>
      <c r="P27" s="8">
        <f t="shared" si="13"/>
        <v>6.9028396262894639E-3</v>
      </c>
    </row>
    <row r="28" spans="2:16" x14ac:dyDescent="0.3">
      <c r="B28" s="14" t="s">
        <v>1</v>
      </c>
      <c r="C28" s="9">
        <f t="shared" si="2"/>
        <v>2.6753374462180731E-2</v>
      </c>
      <c r="D28" s="9">
        <f t="shared" si="3"/>
        <v>2.2291511332846996E-2</v>
      </c>
      <c r="E28" s="9">
        <f t="shared" si="4"/>
        <v>-8.4880585596261229E-3</v>
      </c>
      <c r="F28" s="9">
        <f t="shared" si="5"/>
        <v>-6.9333321914669191E-3</v>
      </c>
      <c r="G28" s="9">
        <f t="shared" si="6"/>
        <v>4.2689185990095815E-4</v>
      </c>
      <c r="H28" s="9">
        <f t="shared" si="7"/>
        <v>-1.0571391892959456E-2</v>
      </c>
      <c r="J28" s="14" t="s">
        <v>1</v>
      </c>
      <c r="K28" s="8">
        <f t="shared" si="8"/>
        <v>9.1343899978066842E-3</v>
      </c>
      <c r="L28" s="8">
        <f t="shared" si="9"/>
        <v>1.0215194594966521E-2</v>
      </c>
      <c r="M28" s="8">
        <f t="shared" si="10"/>
        <v>7.3303479732398646E-3</v>
      </c>
      <c r="N28" s="8">
        <f t="shared" si="11"/>
        <v>9.0589971967800116E-3</v>
      </c>
      <c r="O28" s="8">
        <f t="shared" si="12"/>
        <v>9.7290659599064584E-3</v>
      </c>
      <c r="P28" s="8">
        <f t="shared" si="13"/>
        <v>9.7127110645428196E-3</v>
      </c>
    </row>
    <row r="29" spans="2:16" x14ac:dyDescent="0.3">
      <c r="B29" s="14" t="s">
        <v>14</v>
      </c>
      <c r="C29" s="9">
        <f t="shared" si="2"/>
        <v>-3.0512256254301429E-3</v>
      </c>
      <c r="D29" s="9">
        <f t="shared" si="3"/>
        <v>-2.4194829283353966E-2</v>
      </c>
      <c r="E29" s="9">
        <f t="shared" si="4"/>
        <v>-3.3133001326364722E-2</v>
      </c>
      <c r="F29" s="9">
        <f t="shared" si="5"/>
        <v>2.2121973798013388E-2</v>
      </c>
      <c r="G29" s="9">
        <f t="shared" si="6"/>
        <v>6.4001819421156264E-2</v>
      </c>
      <c r="H29" s="9">
        <f t="shared" si="7"/>
        <v>1.8950332006968613E-2</v>
      </c>
      <c r="J29" s="14" t="s">
        <v>14</v>
      </c>
      <c r="K29" s="8">
        <f t="shared" si="8"/>
        <v>1.7772605941081349E-2</v>
      </c>
      <c r="L29" s="8">
        <f t="shared" si="9"/>
        <v>1.8262763997077679E-2</v>
      </c>
      <c r="M29" s="8">
        <f t="shared" si="10"/>
        <v>1.2248344123040079E-2</v>
      </c>
      <c r="N29" s="8">
        <f t="shared" si="11"/>
        <v>1.7289868188278136E-2</v>
      </c>
      <c r="O29" s="8">
        <f t="shared" si="12"/>
        <v>2.042947812030077E-2</v>
      </c>
      <c r="P29" s="8">
        <f t="shared" si="13"/>
        <v>1.796423804712545E-2</v>
      </c>
    </row>
    <row r="30" spans="2:16" x14ac:dyDescent="0.3">
      <c r="B30" s="14" t="s">
        <v>2</v>
      </c>
      <c r="C30" s="9">
        <f t="shared" si="2"/>
        <v>2.3950844650644357E-2</v>
      </c>
      <c r="D30" s="9">
        <f t="shared" si="3"/>
        <v>5.7630942805366597E-4</v>
      </c>
      <c r="E30" s="9">
        <f t="shared" si="4"/>
        <v>2.2900191054730235E-3</v>
      </c>
      <c r="F30" s="9">
        <f t="shared" si="5"/>
        <v>-4.2864734318404096E-3</v>
      </c>
      <c r="G30" s="9">
        <f t="shared" si="6"/>
        <v>-1.0260038102764962E-2</v>
      </c>
      <c r="H30" s="9">
        <f t="shared" si="7"/>
        <v>5.5415019105473029E-2</v>
      </c>
      <c r="J30" s="14" t="s">
        <v>2</v>
      </c>
      <c r="K30" s="8">
        <f t="shared" si="8"/>
        <v>2.3056407565394024E-2</v>
      </c>
      <c r="L30" s="8">
        <f t="shared" si="9"/>
        <v>2.1573377852190483E-2</v>
      </c>
      <c r="M30" s="8">
        <f t="shared" si="10"/>
        <v>1.5093873740334661E-2</v>
      </c>
      <c r="N30" s="8">
        <f t="shared" si="11"/>
        <v>2.2425579942471047E-2</v>
      </c>
      <c r="O30" s="8">
        <f t="shared" si="12"/>
        <v>2.7240709150660666E-2</v>
      </c>
      <c r="P30" s="8">
        <f t="shared" si="13"/>
        <v>2.5636364014353024E-2</v>
      </c>
    </row>
    <row r="31" spans="2:16" x14ac:dyDescent="0.3">
      <c r="B31" s="14" t="s">
        <v>3</v>
      </c>
      <c r="C31" s="9">
        <f t="shared" si="2"/>
        <v>-7.1966351145510421E-3</v>
      </c>
      <c r="D31" s="9">
        <f t="shared" si="3"/>
        <v>1.6821051550105777E-2</v>
      </c>
      <c r="E31" s="9">
        <f t="shared" si="4"/>
        <v>9.5965891845143786E-3</v>
      </c>
      <c r="F31" s="9">
        <f t="shared" si="5"/>
        <v>-2.2321943153794079E-2</v>
      </c>
      <c r="G31" s="9">
        <f t="shared" si="6"/>
        <v>-2.0235123248742676E-2</v>
      </c>
      <c r="H31" s="9">
        <f t="shared" si="7"/>
        <v>-2.2695077482152284E-2</v>
      </c>
      <c r="J31" s="14" t="s">
        <v>3</v>
      </c>
      <c r="K31" s="8">
        <f t="shared" si="8"/>
        <v>2.986514197480564E-2</v>
      </c>
      <c r="L31" s="8">
        <f t="shared" si="9"/>
        <v>2.8309336311987166E-2</v>
      </c>
      <c r="M31" s="8">
        <f t="shared" si="10"/>
        <v>2.1115008260327833E-2</v>
      </c>
      <c r="N31" s="8">
        <f t="shared" si="11"/>
        <v>2.7122126150298544E-2</v>
      </c>
      <c r="O31" s="8">
        <f t="shared" si="12"/>
        <v>3.2087763798061268E-2</v>
      </c>
      <c r="P31" s="8">
        <f t="shared" si="13"/>
        <v>3.338655423750661E-2</v>
      </c>
    </row>
    <row r="32" spans="2:16" x14ac:dyDescent="0.3">
      <c r="B32" s="14" t="s">
        <v>5</v>
      </c>
      <c r="C32" s="9">
        <f t="shared" si="2"/>
        <v>-2.3290129818826263E-2</v>
      </c>
      <c r="D32" s="9">
        <f t="shared" si="3"/>
        <v>1.5178365809753777E-2</v>
      </c>
      <c r="E32" s="9">
        <f t="shared" si="4"/>
        <v>-2.4068946018203211E-2</v>
      </c>
      <c r="F32" s="9">
        <f t="shared" si="5"/>
        <v>-6.5611234575417135E-2</v>
      </c>
      <c r="G32" s="9">
        <f t="shared" si="6"/>
        <v>-2.9599075690209309E-2</v>
      </c>
      <c r="H32" s="9">
        <f t="shared" si="7"/>
        <v>4.2597720648463455E-2</v>
      </c>
      <c r="J32" s="14" t="s">
        <v>5</v>
      </c>
      <c r="K32" s="8">
        <f t="shared" si="8"/>
        <v>8.0635356148661408E-2</v>
      </c>
      <c r="L32" s="8">
        <f t="shared" si="9"/>
        <v>8.3843069687328534E-2</v>
      </c>
      <c r="M32" s="8">
        <f t="shared" si="10"/>
        <v>6.2651329621729659E-2</v>
      </c>
      <c r="N32" s="8">
        <f t="shared" si="11"/>
        <v>6.8288613438439671E-2</v>
      </c>
      <c r="O32" s="8">
        <f t="shared" si="12"/>
        <v>8.3562414140783622E-2</v>
      </c>
      <c r="P32" s="8">
        <f t="shared" si="13"/>
        <v>9.397699443259451E-2</v>
      </c>
    </row>
    <row r="33" spans="2:16" x14ac:dyDescent="0.3">
      <c r="B33" s="14" t="s">
        <v>0</v>
      </c>
      <c r="C33" s="9">
        <f t="shared" si="2"/>
        <v>4.3551300059309073E-3</v>
      </c>
      <c r="D33" s="9">
        <f t="shared" si="3"/>
        <v>-2.9812290353831927E-2</v>
      </c>
      <c r="E33" s="9">
        <f t="shared" ref="E33" si="14">E16-B16</f>
        <v>8.8467279538641197E-2</v>
      </c>
      <c r="F33" s="9">
        <f t="shared" si="5"/>
        <v>8.2994642722720835E-2</v>
      </c>
      <c r="G33" s="9">
        <f t="shared" si="6"/>
        <v>-6.1170072653251584E-3</v>
      </c>
      <c r="H33" s="9">
        <f t="shared" si="7"/>
        <v>-9.0699387128025444E-2</v>
      </c>
      <c r="J33" s="14" t="s">
        <v>0</v>
      </c>
      <c r="K33" s="8">
        <f t="shared" si="8"/>
        <v>0.81956610948053432</v>
      </c>
      <c r="L33" s="8">
        <f t="shared" si="9"/>
        <v>0.8393216909922947</v>
      </c>
      <c r="M33" s="8">
        <f t="shared" si="10"/>
        <v>0.77093251617070035</v>
      </c>
      <c r="N33" s="8">
        <f t="shared" si="11"/>
        <v>0.77409679142363985</v>
      </c>
      <c r="O33" s="8">
        <f t="shared" si="12"/>
        <v>0.82562109283269525</v>
      </c>
      <c r="P33" s="8">
        <f t="shared" si="13"/>
        <v>0.87452657303113845</v>
      </c>
    </row>
    <row r="34" spans="2:16" x14ac:dyDescent="0.3">
      <c r="J34" s="11" t="s">
        <v>35</v>
      </c>
      <c r="K34" s="10">
        <f>SUM(K19:K33)</f>
        <v>0.99831319473645141</v>
      </c>
      <c r="L34" s="10">
        <f t="shared" ref="L34:P34" si="15">SUM(L19:L33)</f>
        <v>1.0237971210548897</v>
      </c>
      <c r="M34" s="10">
        <f t="shared" si="15"/>
        <v>0.9097960029922898</v>
      </c>
      <c r="N34" s="10">
        <f t="shared" si="15"/>
        <v>0.94028054168405062</v>
      </c>
      <c r="O34" s="10">
        <f t="shared" si="15"/>
        <v>1.0212727672288857</v>
      </c>
      <c r="P34" s="10">
        <f t="shared" si="15"/>
        <v>1.0761369991310026</v>
      </c>
    </row>
    <row r="35" spans="2:16" x14ac:dyDescent="0.3">
      <c r="J35" s="12" t="s">
        <v>36</v>
      </c>
      <c r="K35" s="13">
        <f>1-K34</f>
        <v>1.6868052635485853E-3</v>
      </c>
      <c r="L35" s="13">
        <f t="shared" ref="L35:P35" si="16">1-L34</f>
        <v>-2.3797121054889736E-2</v>
      </c>
      <c r="M35" s="13">
        <f t="shared" si="16"/>
        <v>9.0203997007710202E-2</v>
      </c>
      <c r="N35" s="13">
        <f t="shared" si="16"/>
        <v>5.9719458315949381E-2</v>
      </c>
      <c r="O35" s="13">
        <f t="shared" si="16"/>
        <v>-2.1272767228885714E-2</v>
      </c>
      <c r="P35" s="13">
        <f t="shared" si="16"/>
        <v>-7.6136999131002581E-2</v>
      </c>
    </row>
  </sheetData>
  <sortState xmlns:xlrd2="http://schemas.microsoft.com/office/spreadsheetml/2017/richdata2" ref="A2:P18">
    <sortCondition ref="B1:B18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30C5-3635-4656-B7D1-8A43D0DBA5A6}">
  <dimension ref="A1:P17"/>
  <sheetViews>
    <sheetView workbookViewId="0">
      <selection activeCell="J2" sqref="J2:P2"/>
    </sheetView>
  </sheetViews>
  <sheetFormatPr defaultRowHeight="14.4" x14ac:dyDescent="0.3"/>
  <cols>
    <col min="1" max="8" width="11.5546875" customWidth="1"/>
  </cols>
  <sheetData>
    <row r="1" spans="1:16" ht="25.95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42</v>
      </c>
      <c r="B2" s="9">
        <v>2.9604617377988928E-2</v>
      </c>
      <c r="C2" s="9">
        <v>1.5625E-2</v>
      </c>
      <c r="D2" s="9">
        <v>1.1111111111111112E-2</v>
      </c>
      <c r="E2" s="9">
        <v>3.5714285714285712E-2</v>
      </c>
      <c r="F2" s="9">
        <v>3.8043478260869568E-2</v>
      </c>
      <c r="G2" s="9">
        <v>2.7972027972027972E-2</v>
      </c>
      <c r="H2" s="9">
        <v>4.2253521126760563E-2</v>
      </c>
      <c r="I2" s="9">
        <v>2.9604617377988928E-2</v>
      </c>
      <c r="J2" s="9">
        <v>2.9604617377988928E-2</v>
      </c>
      <c r="K2" s="9">
        <v>1.5625E-2</v>
      </c>
      <c r="L2" s="9">
        <v>1.1111111111111112E-2</v>
      </c>
      <c r="M2" s="9">
        <v>3.5714285714285712E-2</v>
      </c>
      <c r="N2" s="9">
        <v>3.8043478260869568E-2</v>
      </c>
      <c r="O2" s="9">
        <v>2.7972027972027972E-2</v>
      </c>
      <c r="P2" s="9">
        <v>4.2253521126760563E-2</v>
      </c>
    </row>
    <row r="3" spans="1:16" x14ac:dyDescent="0.3">
      <c r="A3" s="8" t="s">
        <v>40</v>
      </c>
      <c r="B3" s="9">
        <v>3.7653618123993877E-2</v>
      </c>
      <c r="C3" s="9">
        <v>2.34375E-2</v>
      </c>
      <c r="D3" s="9">
        <v>3.3333333333333333E-2</v>
      </c>
      <c r="E3" s="9">
        <v>3.5714285714285712E-2</v>
      </c>
      <c r="F3" s="9">
        <v>7.0652173913043473E-2</v>
      </c>
      <c r="G3" s="9">
        <v>0.11188811188811189</v>
      </c>
      <c r="H3" s="9">
        <v>0.11267605633802817</v>
      </c>
      <c r="I3" s="9">
        <v>6.7258235501982802E-2</v>
      </c>
      <c r="J3" s="9">
        <f>J2+B3</f>
        <v>6.7258235501982802E-2</v>
      </c>
      <c r="K3" s="9">
        <f t="shared" ref="K3:P7" si="0">K2+C3</f>
        <v>3.90625E-2</v>
      </c>
      <c r="L3" s="9">
        <f t="shared" si="0"/>
        <v>4.4444444444444446E-2</v>
      </c>
      <c r="M3" s="9">
        <f t="shared" si="0"/>
        <v>7.1428571428571425E-2</v>
      </c>
      <c r="N3" s="9">
        <f t="shared" si="0"/>
        <v>0.10869565217391304</v>
      </c>
      <c r="O3" s="9">
        <f t="shared" si="0"/>
        <v>0.13986013986013987</v>
      </c>
      <c r="P3" s="9">
        <f t="shared" si="0"/>
        <v>0.15492957746478875</v>
      </c>
    </row>
    <row r="4" spans="1:16" x14ac:dyDescent="0.3">
      <c r="A4" s="8" t="s">
        <v>38</v>
      </c>
      <c r="B4" s="9">
        <v>5.7057599434606775E-2</v>
      </c>
      <c r="C4" s="9">
        <v>3.125E-2</v>
      </c>
      <c r="D4" s="9">
        <v>7.7777777777777779E-2</v>
      </c>
      <c r="E4" s="9">
        <v>7.1428571428571425E-2</v>
      </c>
      <c r="F4" s="9">
        <v>2.717391304347826E-2</v>
      </c>
      <c r="G4" s="9">
        <v>5.5944055944055944E-2</v>
      </c>
      <c r="H4" s="9">
        <v>7.0422535211267609E-2</v>
      </c>
      <c r="I4" s="9">
        <v>0.12431583493658957</v>
      </c>
      <c r="J4" s="9">
        <f t="shared" ref="J4:J7" si="1">J3+B4</f>
        <v>0.12431583493658957</v>
      </c>
      <c r="K4" s="9">
        <f t="shared" si="0"/>
        <v>7.03125E-2</v>
      </c>
      <c r="L4" s="9">
        <f t="shared" si="0"/>
        <v>0.12222222222222223</v>
      </c>
      <c r="M4" s="9">
        <f t="shared" si="0"/>
        <v>0.14285714285714285</v>
      </c>
      <c r="N4" s="9">
        <f t="shared" si="0"/>
        <v>0.1358695652173913</v>
      </c>
      <c r="O4" s="9">
        <f t="shared" si="0"/>
        <v>0.19580419580419581</v>
      </c>
      <c r="P4" s="9">
        <f t="shared" si="0"/>
        <v>0.22535211267605637</v>
      </c>
    </row>
    <row r="5" spans="1:16" x14ac:dyDescent="0.3">
      <c r="A5" s="8" t="s">
        <v>39</v>
      </c>
      <c r="B5" s="9">
        <v>0.12138678393340924</v>
      </c>
      <c r="C5" s="9">
        <v>5.46875E-2</v>
      </c>
      <c r="D5" s="9">
        <v>3.3333333333333333E-2</v>
      </c>
      <c r="E5" s="9">
        <v>8.3333333333333329E-2</v>
      </c>
      <c r="F5" s="9">
        <v>0.125</v>
      </c>
      <c r="G5" s="9">
        <v>0.13286713286713286</v>
      </c>
      <c r="H5" s="9">
        <v>0.15492957746478872</v>
      </c>
      <c r="I5" s="9">
        <v>0.24570261886999881</v>
      </c>
      <c r="J5" s="9">
        <f t="shared" si="1"/>
        <v>0.24570261886999881</v>
      </c>
      <c r="K5" s="9">
        <f t="shared" si="0"/>
        <v>0.125</v>
      </c>
      <c r="L5" s="9">
        <f t="shared" si="0"/>
        <v>0.15555555555555556</v>
      </c>
      <c r="M5" s="9">
        <f t="shared" si="0"/>
        <v>0.22619047619047616</v>
      </c>
      <c r="N5" s="9">
        <f t="shared" si="0"/>
        <v>0.2608695652173913</v>
      </c>
      <c r="O5" s="9">
        <f t="shared" si="0"/>
        <v>0.32867132867132864</v>
      </c>
      <c r="P5" s="9">
        <f t="shared" si="0"/>
        <v>0.38028169014084512</v>
      </c>
    </row>
    <row r="6" spans="1:16" x14ac:dyDescent="0.3">
      <c r="A6" s="8" t="s">
        <v>41</v>
      </c>
      <c r="B6" s="9">
        <v>0.31583493658957951</v>
      </c>
      <c r="C6" s="9">
        <v>0.1875</v>
      </c>
      <c r="D6" s="9">
        <v>0.35555555555555557</v>
      </c>
      <c r="E6" s="9">
        <v>0.59523809523809523</v>
      </c>
      <c r="F6" s="9">
        <v>0.17934782608695651</v>
      </c>
      <c r="G6" s="9">
        <v>0.17482517482517482</v>
      </c>
      <c r="H6" s="9">
        <v>0.18309859154929578</v>
      </c>
      <c r="I6" s="9">
        <v>0.56153755545957829</v>
      </c>
      <c r="J6" s="9">
        <f t="shared" si="1"/>
        <v>0.56153755545957829</v>
      </c>
      <c r="K6" s="9">
        <f t="shared" si="0"/>
        <v>0.3125</v>
      </c>
      <c r="L6" s="9">
        <f t="shared" si="0"/>
        <v>0.51111111111111107</v>
      </c>
      <c r="M6" s="9">
        <f t="shared" si="0"/>
        <v>0.8214285714285714</v>
      </c>
      <c r="N6" s="9">
        <f t="shared" si="0"/>
        <v>0.44021739130434778</v>
      </c>
      <c r="O6" s="9">
        <f t="shared" si="0"/>
        <v>0.50349650349650343</v>
      </c>
      <c r="P6" s="9">
        <f t="shared" si="0"/>
        <v>0.56338028169014087</v>
      </c>
    </row>
    <row r="7" spans="1:16" x14ac:dyDescent="0.3">
      <c r="A7" s="8" t="s">
        <v>37</v>
      </c>
      <c r="B7" s="9">
        <v>0.43846244454042171</v>
      </c>
      <c r="C7" s="9">
        <v>0.6875</v>
      </c>
      <c r="D7" s="9">
        <v>0.48888888888888887</v>
      </c>
      <c r="E7" s="9">
        <v>0.17857142857142858</v>
      </c>
      <c r="F7" s="9">
        <v>0.55978260869565222</v>
      </c>
      <c r="G7" s="9">
        <v>0.49650349650349651</v>
      </c>
      <c r="H7" s="9">
        <v>0.43661971830985913</v>
      </c>
      <c r="I7" s="9">
        <v>1</v>
      </c>
      <c r="J7" s="9">
        <f t="shared" si="1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</row>
    <row r="9" spans="1:16" x14ac:dyDescent="0.3">
      <c r="B9" s="2" t="s">
        <v>15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J9" s="8"/>
      <c r="K9" s="10" t="s">
        <v>29</v>
      </c>
      <c r="L9" s="10" t="s">
        <v>30</v>
      </c>
      <c r="M9" s="10" t="s">
        <v>31</v>
      </c>
      <c r="N9" s="10" t="s">
        <v>32</v>
      </c>
      <c r="O9" s="10" t="s">
        <v>33</v>
      </c>
      <c r="P9" s="10" t="s">
        <v>34</v>
      </c>
    </row>
    <row r="10" spans="1:16" x14ac:dyDescent="0.3">
      <c r="B10" s="14" t="s">
        <v>42</v>
      </c>
      <c r="C10" s="9">
        <f>C2-B2</f>
        <v>-1.3979617377988928E-2</v>
      </c>
      <c r="D10" s="9">
        <f>D2-B2</f>
        <v>-1.8493506266877818E-2</v>
      </c>
      <c r="E10" s="9">
        <f>E2-B2</f>
        <v>6.1096683362967842E-3</v>
      </c>
      <c r="F10" s="9">
        <f>F2-B2</f>
        <v>8.4388608828806395E-3</v>
      </c>
      <c r="G10" s="9">
        <f>G2-B2</f>
        <v>-1.6325894059609561E-3</v>
      </c>
      <c r="H10" s="9">
        <f>H2-B2</f>
        <v>1.2648903748771635E-2</v>
      </c>
      <c r="J10" s="14" t="s">
        <v>42</v>
      </c>
      <c r="K10" s="8">
        <f>(J2-0) * ((K2+0))</f>
        <v>4.62572146531077E-4</v>
      </c>
      <c r="L10" s="8">
        <f>(J2-0) * ((L2+0))</f>
        <v>3.289401930887659E-4</v>
      </c>
      <c r="M10" s="8">
        <f>(J2-0) * ((M2+0))</f>
        <v>1.0573077634996044E-3</v>
      </c>
      <c r="N10" s="8">
        <f>(J2-0) * ((N2+0))</f>
        <v>1.1262626176408832E-3</v>
      </c>
      <c r="O10" s="8">
        <f>(J2-0) * ((O2+0))</f>
        <v>8.2810118539829169E-4</v>
      </c>
      <c r="P10" s="8">
        <f>(J2-0) * ((P2+0))</f>
        <v>1.2508993258305181E-3</v>
      </c>
    </row>
    <row r="11" spans="1:16" x14ac:dyDescent="0.3">
      <c r="B11" s="14" t="s">
        <v>40</v>
      </c>
      <c r="C11" s="9">
        <f t="shared" ref="C11:C15" si="2">C3-B3</f>
        <v>-1.4216118123993877E-2</v>
      </c>
      <c r="D11" s="9">
        <f t="shared" ref="D11:D15" si="3">D3-B3</f>
        <v>-4.3202847906605446E-3</v>
      </c>
      <c r="E11" s="9">
        <f t="shared" ref="E11:E15" si="4">E3-B3</f>
        <v>-1.9393324097081652E-3</v>
      </c>
      <c r="F11" s="9">
        <f t="shared" ref="F11:F15" si="5">F3-B3</f>
        <v>3.2998555789049595E-2</v>
      </c>
      <c r="G11" s="9">
        <f t="shared" ref="G11:G15" si="6">G3-B3</f>
        <v>7.4234493764118004E-2</v>
      </c>
      <c r="H11" s="9">
        <f t="shared" ref="H11:H15" si="7">H3-B3</f>
        <v>7.5022438214034287E-2</v>
      </c>
      <c r="J11" s="14" t="s">
        <v>40</v>
      </c>
      <c r="K11" s="8">
        <f>(J3-J2) * ((K3+K2))</f>
        <v>2.0591822411559148E-3</v>
      </c>
      <c r="L11" s="8">
        <f>(J3-J2) * ((L3+L2))</f>
        <v>2.0918676735552154E-3</v>
      </c>
      <c r="M11" s="8">
        <f>(J3-J2) * ((M3+M2))</f>
        <v>4.0343162275707717E-3</v>
      </c>
      <c r="N11" s="8">
        <f>(J3-J2) * ((N3+N2))</f>
        <v>5.5252591812382304E-3</v>
      </c>
      <c r="O11" s="8">
        <f>(J3-J2) * ((O3+O2))</f>
        <v>6.3194883564744956E-3</v>
      </c>
      <c r="P11" s="8">
        <f>(J3-J2) * ((P3+P2))</f>
        <v>7.4246570948720315E-3</v>
      </c>
    </row>
    <row r="12" spans="1:16" x14ac:dyDescent="0.3">
      <c r="B12" s="14" t="s">
        <v>38</v>
      </c>
      <c r="C12" s="9">
        <f t="shared" si="2"/>
        <v>-2.5807599434606775E-2</v>
      </c>
      <c r="D12" s="9">
        <f t="shared" si="3"/>
        <v>2.0720178343171004E-2</v>
      </c>
      <c r="E12" s="9">
        <f t="shared" si="4"/>
        <v>1.437097199396465E-2</v>
      </c>
      <c r="F12" s="9">
        <f t="shared" si="5"/>
        <v>-2.9883686391128515E-2</v>
      </c>
      <c r="G12" s="9">
        <f t="shared" si="6"/>
        <v>-1.1135434905508307E-3</v>
      </c>
      <c r="H12" s="9">
        <f t="shared" si="7"/>
        <v>1.3364935776660834E-2</v>
      </c>
      <c r="J12" s="14" t="s">
        <v>38</v>
      </c>
      <c r="K12" s="8">
        <f t="shared" ref="K12:K15" si="8">(J4-J3) * ((K4+K3))</f>
        <v>6.2406749381601154E-3</v>
      </c>
      <c r="L12" s="8">
        <f t="shared" ref="L12:L15" si="9">(J4-J3) * ((L4+L3))</f>
        <v>9.5095999057677964E-3</v>
      </c>
      <c r="M12" s="8">
        <f t="shared" ref="M12:M15" si="10">(J4-J3) * ((M4+M3))</f>
        <v>1.2226628450272878E-2</v>
      </c>
      <c r="N12" s="8">
        <f t="shared" ref="N12:N15" si="11">(J4-J3) * ((N4+N3))</f>
        <v>1.3954304209550567E-2</v>
      </c>
      <c r="O12" s="8">
        <f t="shared" ref="O12:O15" si="12">(J4-J3) * ((O4+O3))</f>
        <v>1.9152201208819056E-2</v>
      </c>
      <c r="P12" s="8">
        <f t="shared" ref="P12:P15" si="13">(J4-J3) * ((P4+P3))</f>
        <v>2.1697960348371591E-2</v>
      </c>
    </row>
    <row r="13" spans="1:16" x14ac:dyDescent="0.3">
      <c r="B13" s="14" t="s">
        <v>39</v>
      </c>
      <c r="C13" s="9">
        <f t="shared" si="2"/>
        <v>-6.6699283933409237E-2</v>
      </c>
      <c r="D13" s="9">
        <f t="shared" si="3"/>
        <v>-8.8053450600075911E-2</v>
      </c>
      <c r="E13" s="9">
        <f t="shared" si="4"/>
        <v>-3.8053450600075908E-2</v>
      </c>
      <c r="F13" s="9">
        <f t="shared" si="5"/>
        <v>3.6132160665907631E-3</v>
      </c>
      <c r="G13" s="9">
        <f t="shared" si="6"/>
        <v>1.1480348933723628E-2</v>
      </c>
      <c r="H13" s="9">
        <f t="shared" si="7"/>
        <v>3.3542793531379483E-2</v>
      </c>
      <c r="J13" s="14" t="s">
        <v>39</v>
      </c>
      <c r="K13" s="8">
        <f t="shared" si="8"/>
        <v>2.370835623699399E-2</v>
      </c>
      <c r="L13" s="8">
        <f t="shared" si="9"/>
        <v>3.371855109261368E-2</v>
      </c>
      <c r="M13" s="8">
        <f t="shared" si="10"/>
        <v>4.4797503594472453E-2</v>
      </c>
      <c r="N13" s="8">
        <f t="shared" si="11"/>
        <v>4.815888710401562E-2</v>
      </c>
      <c r="O13" s="8">
        <f t="shared" si="12"/>
        <v>6.3664397167871978E-2</v>
      </c>
      <c r="P13" s="8">
        <f t="shared" si="13"/>
        <v>7.3515939565304195E-2</v>
      </c>
    </row>
    <row r="14" spans="1:16" x14ac:dyDescent="0.3">
      <c r="B14" s="14" t="s">
        <v>41</v>
      </c>
      <c r="C14" s="9">
        <f t="shared" si="2"/>
        <v>-0.12833493658957951</v>
      </c>
      <c r="D14" s="9">
        <f t="shared" si="3"/>
        <v>3.9720618965976062E-2</v>
      </c>
      <c r="E14" s="9">
        <f t="shared" si="4"/>
        <v>0.27940315864851573</v>
      </c>
      <c r="F14" s="9">
        <f t="shared" si="5"/>
        <v>-0.13648711050262299</v>
      </c>
      <c r="G14" s="9">
        <f t="shared" si="6"/>
        <v>-0.14100976176440469</v>
      </c>
      <c r="H14" s="9">
        <f t="shared" si="7"/>
        <v>-0.13273634504028373</v>
      </c>
      <c r="J14" s="14" t="s">
        <v>41</v>
      </c>
      <c r="K14" s="8">
        <f t="shared" si="8"/>
        <v>0.13817778475794104</v>
      </c>
      <c r="L14" s="8">
        <f t="shared" si="9"/>
        <v>0.210556624393053</v>
      </c>
      <c r="M14" s="8">
        <f t="shared" si="10"/>
        <v>0.33087469547479753</v>
      </c>
      <c r="N14" s="8">
        <f t="shared" si="11"/>
        <v>0.22142775445682472</v>
      </c>
      <c r="O14" s="8">
        <f t="shared" si="12"/>
        <v>0.26282767450461508</v>
      </c>
      <c r="P14" s="8">
        <f t="shared" si="13"/>
        <v>0.29804141903523701</v>
      </c>
    </row>
    <row r="15" spans="1:16" x14ac:dyDescent="0.3">
      <c r="B15" s="14" t="s">
        <v>37</v>
      </c>
      <c r="C15" s="9">
        <f t="shared" si="2"/>
        <v>0.24903755545957829</v>
      </c>
      <c r="D15" s="9">
        <f t="shared" si="3"/>
        <v>5.0426444348467159E-2</v>
      </c>
      <c r="E15" s="9">
        <f t="shared" si="4"/>
        <v>-0.25989101596899311</v>
      </c>
      <c r="F15" s="9">
        <f t="shared" si="5"/>
        <v>0.1213201641552305</v>
      </c>
      <c r="G15" s="9">
        <f t="shared" si="6"/>
        <v>5.8041051963074797E-2</v>
      </c>
      <c r="H15" s="9">
        <f t="shared" si="7"/>
        <v>-1.8427262305625858E-3</v>
      </c>
      <c r="J15" s="14" t="s">
        <v>37</v>
      </c>
      <c r="K15" s="8">
        <f t="shared" si="8"/>
        <v>0.5754819584593035</v>
      </c>
      <c r="L15" s="8">
        <f t="shared" si="9"/>
        <v>0.6625654717499706</v>
      </c>
      <c r="M15" s="8">
        <f t="shared" si="10"/>
        <v>0.79862802398433952</v>
      </c>
      <c r="N15" s="8">
        <f t="shared" si="11"/>
        <v>0.63148123806093337</v>
      </c>
      <c r="O15" s="8">
        <f t="shared" si="12"/>
        <v>0.65922675228105354</v>
      </c>
      <c r="P15" s="8">
        <f t="shared" si="13"/>
        <v>0.68548354005615231</v>
      </c>
    </row>
    <row r="16" spans="1:16" x14ac:dyDescent="0.3">
      <c r="J16" s="11" t="s">
        <v>35</v>
      </c>
      <c r="K16" s="10">
        <f t="shared" ref="K16:P16" si="14">SUM(K10:K15)</f>
        <v>0.74613052878008568</v>
      </c>
      <c r="L16" s="10">
        <f t="shared" si="14"/>
        <v>0.91877105500804901</v>
      </c>
      <c r="M16" s="10">
        <f t="shared" si="14"/>
        <v>1.1916184754949528</v>
      </c>
      <c r="N16" s="10">
        <f t="shared" si="14"/>
        <v>0.92167370563020334</v>
      </c>
      <c r="O16" s="10">
        <f t="shared" si="14"/>
        <v>1.0120186147042325</v>
      </c>
      <c r="P16" s="10">
        <f t="shared" si="14"/>
        <v>1.0874144154257677</v>
      </c>
    </row>
    <row r="17" spans="10:16" x14ac:dyDescent="0.3">
      <c r="J17" s="12" t="s">
        <v>36</v>
      </c>
      <c r="K17" s="13">
        <f>1-K16</f>
        <v>0.25386947121991432</v>
      </c>
      <c r="L17" s="13">
        <f t="shared" ref="L17:P17" si="15">1-L16</f>
        <v>8.1228944991950991E-2</v>
      </c>
      <c r="M17" s="13">
        <f t="shared" si="15"/>
        <v>-0.19161847549495281</v>
      </c>
      <c r="N17" s="13">
        <f t="shared" si="15"/>
        <v>7.8326294369796656E-2</v>
      </c>
      <c r="O17" s="13">
        <f t="shared" si="15"/>
        <v>-1.2018614704232489E-2</v>
      </c>
      <c r="P17" s="13">
        <f t="shared" si="15"/>
        <v>-8.7414415425767666E-2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361E-A7B7-4945-BFC4-ACAD445B2ABE}">
  <dimension ref="A1:P29"/>
  <sheetViews>
    <sheetView workbookViewId="0">
      <selection activeCell="J2" sqref="J2:P2"/>
    </sheetView>
  </sheetViews>
  <sheetFormatPr defaultRowHeight="14.4" x14ac:dyDescent="0.3"/>
  <cols>
    <col min="1" max="1" width="14.109375" customWidth="1"/>
    <col min="2" max="16" width="10.33203125" customWidth="1"/>
  </cols>
  <sheetData>
    <row r="1" spans="1:16" ht="36.6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51</v>
      </c>
      <c r="B2" s="9">
        <v>1.0364017493269774E-2</v>
      </c>
      <c r="C2" s="9">
        <v>0</v>
      </c>
      <c r="D2" s="9">
        <v>0</v>
      </c>
      <c r="E2" s="9">
        <v>0</v>
      </c>
      <c r="F2" s="9">
        <v>1.1235955056179775E-2</v>
      </c>
      <c r="G2" s="9">
        <v>4.8192771084337352E-2</v>
      </c>
      <c r="H2" s="9">
        <v>1.9047619047619049E-2</v>
      </c>
      <c r="I2" s="9">
        <v>1.0364017493269774E-2</v>
      </c>
      <c r="J2" s="9">
        <v>1.0364017493269774E-2</v>
      </c>
      <c r="K2" s="9">
        <v>0</v>
      </c>
      <c r="L2" s="9">
        <v>0</v>
      </c>
      <c r="M2" s="9">
        <v>0</v>
      </c>
      <c r="N2" s="9">
        <v>1.1235955056179775E-2</v>
      </c>
      <c r="O2" s="9">
        <v>4.8192771084337352E-2</v>
      </c>
      <c r="P2" s="9">
        <v>1.9047619047619049E-2</v>
      </c>
    </row>
    <row r="3" spans="1:16" x14ac:dyDescent="0.3">
      <c r="A3" s="8" t="s">
        <v>45</v>
      </c>
      <c r="B3" s="9">
        <v>1.1976079762500133E-2</v>
      </c>
      <c r="C3" s="9">
        <v>4.5977011494252873E-2</v>
      </c>
      <c r="D3" s="9">
        <v>7.1428571428571425E-2</v>
      </c>
      <c r="E3" s="9">
        <v>1.5151515151515152E-2</v>
      </c>
      <c r="F3" s="9">
        <v>5.6179775280898875E-3</v>
      </c>
      <c r="G3" s="9">
        <v>6.024096385542169E-3</v>
      </c>
      <c r="H3" s="9">
        <v>0</v>
      </c>
      <c r="I3" s="9">
        <v>2.2340097255769908E-2</v>
      </c>
      <c r="J3" s="9">
        <f t="shared" ref="J3:P13" si="0">J2+B3</f>
        <v>2.2340097255769908E-2</v>
      </c>
      <c r="K3" s="9">
        <f t="shared" si="0"/>
        <v>4.5977011494252873E-2</v>
      </c>
      <c r="L3" s="9">
        <f t="shared" si="0"/>
        <v>7.1428571428571425E-2</v>
      </c>
      <c r="M3" s="9">
        <f t="shared" si="0"/>
        <v>1.5151515151515152E-2</v>
      </c>
      <c r="N3" s="9">
        <f t="shared" si="0"/>
        <v>1.6853932584269662E-2</v>
      </c>
      <c r="O3" s="9">
        <f t="shared" si="0"/>
        <v>5.4216867469879519E-2</v>
      </c>
      <c r="P3" s="9">
        <f t="shared" si="0"/>
        <v>1.9047619047619049E-2</v>
      </c>
    </row>
    <row r="4" spans="1:16" x14ac:dyDescent="0.3">
      <c r="A4" s="8" t="s">
        <v>44</v>
      </c>
      <c r="B4" s="9">
        <v>1.6759063194969087E-2</v>
      </c>
      <c r="C4" s="9">
        <v>0</v>
      </c>
      <c r="D4" s="9">
        <v>4.7619047619047616E-2</v>
      </c>
      <c r="E4" s="9">
        <v>3.0303030303030304E-2</v>
      </c>
      <c r="F4" s="9">
        <v>5.6179775280898875E-3</v>
      </c>
      <c r="G4" s="9">
        <v>3.0120481927710843E-2</v>
      </c>
      <c r="H4" s="9">
        <v>9.5238095238095247E-3</v>
      </c>
      <c r="I4" s="9">
        <v>3.9099160450738996E-2</v>
      </c>
      <c r="J4" s="9">
        <f t="shared" si="0"/>
        <v>3.9099160450738996E-2</v>
      </c>
      <c r="K4" s="9">
        <f t="shared" si="0"/>
        <v>4.5977011494252873E-2</v>
      </c>
      <c r="L4" s="9">
        <f t="shared" si="0"/>
        <v>0.11904761904761904</v>
      </c>
      <c r="M4" s="9">
        <f t="shared" si="0"/>
        <v>4.5454545454545456E-2</v>
      </c>
      <c r="N4" s="9">
        <f t="shared" si="0"/>
        <v>2.247191011235955E-2</v>
      </c>
      <c r="O4" s="9">
        <f t="shared" si="0"/>
        <v>8.4337349397590355E-2</v>
      </c>
      <c r="P4" s="9">
        <f t="shared" si="0"/>
        <v>2.8571428571428574E-2</v>
      </c>
    </row>
    <row r="5" spans="1:16" x14ac:dyDescent="0.3">
      <c r="A5" s="8" t="s">
        <v>49</v>
      </c>
      <c r="B5" s="9">
        <v>1.790825609976697E-2</v>
      </c>
      <c r="C5" s="9">
        <v>2.2988505747126436E-2</v>
      </c>
      <c r="D5" s="9">
        <v>0.14285714285714285</v>
      </c>
      <c r="E5" s="9">
        <v>6.0606060606060608E-2</v>
      </c>
      <c r="F5" s="9">
        <v>2.8089887640449437E-2</v>
      </c>
      <c r="G5" s="9">
        <v>1.2048192771084338E-2</v>
      </c>
      <c r="H5" s="9">
        <v>1.9047619047619049E-2</v>
      </c>
      <c r="I5" s="9">
        <v>5.7007416550505965E-2</v>
      </c>
      <c r="J5" s="9">
        <f t="shared" si="0"/>
        <v>5.7007416550505965E-2</v>
      </c>
      <c r="K5" s="9">
        <f t="shared" si="0"/>
        <v>6.8965517241379309E-2</v>
      </c>
      <c r="L5" s="9">
        <f t="shared" si="0"/>
        <v>0.26190476190476186</v>
      </c>
      <c r="M5" s="9">
        <f t="shared" si="0"/>
        <v>0.10606060606060606</v>
      </c>
      <c r="N5" s="9">
        <f t="shared" si="0"/>
        <v>5.0561797752808987E-2</v>
      </c>
      <c r="O5" s="9">
        <f t="shared" si="0"/>
        <v>9.638554216867469E-2</v>
      </c>
      <c r="P5" s="9">
        <f t="shared" si="0"/>
        <v>4.7619047619047623E-2</v>
      </c>
    </row>
    <row r="6" spans="1:16" x14ac:dyDescent="0.3">
      <c r="A6" s="8" t="s">
        <v>46</v>
      </c>
      <c r="B6" s="9">
        <v>1.9499037018908479E-2</v>
      </c>
      <c r="C6" s="9">
        <v>3.4482758620689655E-2</v>
      </c>
      <c r="D6" s="9">
        <v>0</v>
      </c>
      <c r="E6" s="9">
        <v>1.5151515151515152E-2</v>
      </c>
      <c r="F6" s="9">
        <v>1.1235955056179775E-2</v>
      </c>
      <c r="G6" s="9">
        <v>2.4096385542168676E-2</v>
      </c>
      <c r="H6" s="9">
        <v>9.5238095238095247E-3</v>
      </c>
      <c r="I6" s="9">
        <v>7.6506453569414448E-2</v>
      </c>
      <c r="J6" s="9">
        <f t="shared" si="0"/>
        <v>7.6506453569414448E-2</v>
      </c>
      <c r="K6" s="9">
        <f t="shared" si="0"/>
        <v>0.10344827586206896</v>
      </c>
      <c r="L6" s="9">
        <f t="shared" si="0"/>
        <v>0.26190476190476186</v>
      </c>
      <c r="M6" s="9">
        <f t="shared" si="0"/>
        <v>0.12121212121212122</v>
      </c>
      <c r="N6" s="9">
        <f t="shared" si="0"/>
        <v>6.1797752808988762E-2</v>
      </c>
      <c r="O6" s="9">
        <f t="shared" si="0"/>
        <v>0.12048192771084337</v>
      </c>
      <c r="P6" s="9">
        <f t="shared" si="0"/>
        <v>5.7142857142857148E-2</v>
      </c>
    </row>
    <row r="7" spans="1:16" x14ac:dyDescent="0.3">
      <c r="A7" s="8" t="s">
        <v>53</v>
      </c>
      <c r="B7" s="9">
        <v>1.9967226720863172E-2</v>
      </c>
      <c r="C7" s="9">
        <v>2.2988505747126436E-2</v>
      </c>
      <c r="D7" s="9">
        <v>0</v>
      </c>
      <c r="E7" s="9">
        <v>7.575757575757576E-2</v>
      </c>
      <c r="F7" s="9">
        <v>2.247191011235955E-2</v>
      </c>
      <c r="G7" s="9">
        <v>3.614457831325301E-2</v>
      </c>
      <c r="H7" s="9">
        <v>2.8571428571428571E-2</v>
      </c>
      <c r="I7" s="9">
        <v>9.6473680290277614E-2</v>
      </c>
      <c r="J7" s="9">
        <f t="shared" si="0"/>
        <v>9.6473680290277614E-2</v>
      </c>
      <c r="K7" s="9">
        <f t="shared" si="0"/>
        <v>0.12643678160919541</v>
      </c>
      <c r="L7" s="9">
        <f t="shared" si="0"/>
        <v>0.26190476190476186</v>
      </c>
      <c r="M7" s="9">
        <f t="shared" si="0"/>
        <v>0.19696969696969696</v>
      </c>
      <c r="N7" s="9">
        <f t="shared" si="0"/>
        <v>8.4269662921348312E-2</v>
      </c>
      <c r="O7" s="9">
        <f t="shared" si="0"/>
        <v>0.15662650602409639</v>
      </c>
      <c r="P7" s="9">
        <f t="shared" si="0"/>
        <v>8.5714285714285715E-2</v>
      </c>
    </row>
    <row r="8" spans="1:16" x14ac:dyDescent="0.3">
      <c r="A8" s="8" t="s">
        <v>47</v>
      </c>
      <c r="B8" s="9">
        <v>2.7458261952138244E-2</v>
      </c>
      <c r="C8" s="9">
        <v>5.7471264367816091E-2</v>
      </c>
      <c r="D8" s="9">
        <v>4.7619047619047616E-2</v>
      </c>
      <c r="E8" s="9">
        <v>0</v>
      </c>
      <c r="F8" s="9">
        <v>6.1797752808988762E-2</v>
      </c>
      <c r="G8" s="9">
        <v>1.8072289156626505E-2</v>
      </c>
      <c r="H8" s="9">
        <v>1.9047619047619049E-2</v>
      </c>
      <c r="I8" s="9">
        <v>0.12393194224241585</v>
      </c>
      <c r="J8" s="9">
        <f t="shared" si="0"/>
        <v>0.12393194224241585</v>
      </c>
      <c r="K8" s="9">
        <f t="shared" si="0"/>
        <v>0.18390804597701149</v>
      </c>
      <c r="L8" s="9">
        <f t="shared" si="0"/>
        <v>0.30952380952380948</v>
      </c>
      <c r="M8" s="9">
        <f t="shared" si="0"/>
        <v>0.19696969696969696</v>
      </c>
      <c r="N8" s="9">
        <f t="shared" si="0"/>
        <v>0.14606741573033707</v>
      </c>
      <c r="O8" s="9">
        <f t="shared" si="0"/>
        <v>0.1746987951807229</v>
      </c>
      <c r="P8" s="9">
        <f t="shared" si="0"/>
        <v>0.10476190476190476</v>
      </c>
    </row>
    <row r="9" spans="1:16" x14ac:dyDescent="0.3">
      <c r="A9" s="8" t="s">
        <v>48</v>
      </c>
      <c r="B9" s="9">
        <v>2.8309515955692231E-2</v>
      </c>
      <c r="C9" s="9">
        <v>0</v>
      </c>
      <c r="D9" s="9">
        <v>2.3809523809523808E-2</v>
      </c>
      <c r="E9" s="9">
        <v>1.5151515151515152E-2</v>
      </c>
      <c r="F9" s="9">
        <v>1.6853932584269662E-2</v>
      </c>
      <c r="G9" s="9">
        <v>1.8072289156626505E-2</v>
      </c>
      <c r="H9" s="9">
        <v>9.5238095238095247E-3</v>
      </c>
      <c r="I9" s="9">
        <v>0.15224145819810808</v>
      </c>
      <c r="J9" s="9">
        <f t="shared" si="0"/>
        <v>0.15224145819810808</v>
      </c>
      <c r="K9" s="9">
        <f t="shared" si="0"/>
        <v>0.18390804597701149</v>
      </c>
      <c r="L9" s="9">
        <f t="shared" si="0"/>
        <v>0.33333333333333326</v>
      </c>
      <c r="M9" s="9">
        <f t="shared" si="0"/>
        <v>0.2121212121212121</v>
      </c>
      <c r="N9" s="9">
        <f t="shared" si="0"/>
        <v>0.16292134831460675</v>
      </c>
      <c r="O9" s="9">
        <f t="shared" si="0"/>
        <v>0.19277108433734941</v>
      </c>
      <c r="P9" s="9">
        <f t="shared" si="0"/>
        <v>0.1142857142857143</v>
      </c>
    </row>
    <row r="10" spans="1:16" x14ac:dyDescent="0.3">
      <c r="A10" s="8" t="s">
        <v>52</v>
      </c>
      <c r="B10" s="9">
        <v>2.8368039668436564E-2</v>
      </c>
      <c r="C10" s="9">
        <v>5.7471264367816091E-2</v>
      </c>
      <c r="D10" s="9">
        <v>0</v>
      </c>
      <c r="E10" s="9">
        <v>4.5454545454545456E-2</v>
      </c>
      <c r="F10" s="9">
        <v>7.3033707865168537E-2</v>
      </c>
      <c r="G10" s="9">
        <v>4.2168674698795178E-2</v>
      </c>
      <c r="H10" s="9">
        <v>2.8571428571428571E-2</v>
      </c>
      <c r="I10" s="9">
        <v>0.18060949786654465</v>
      </c>
      <c r="J10" s="9">
        <f t="shared" si="0"/>
        <v>0.18060949786654465</v>
      </c>
      <c r="K10" s="9">
        <f t="shared" si="0"/>
        <v>0.24137931034482757</v>
      </c>
      <c r="L10" s="9">
        <f t="shared" si="0"/>
        <v>0.33333333333333326</v>
      </c>
      <c r="M10" s="9">
        <f t="shared" si="0"/>
        <v>0.25757575757575757</v>
      </c>
      <c r="N10" s="9">
        <f t="shared" si="0"/>
        <v>0.2359550561797753</v>
      </c>
      <c r="O10" s="9">
        <f t="shared" si="0"/>
        <v>0.23493975903614459</v>
      </c>
      <c r="P10" s="9">
        <f t="shared" si="0"/>
        <v>0.14285714285714288</v>
      </c>
    </row>
    <row r="11" spans="1:16" x14ac:dyDescent="0.3">
      <c r="A11" s="8" t="s">
        <v>54</v>
      </c>
      <c r="B11" s="9">
        <v>3.0783472903521E-2</v>
      </c>
      <c r="C11" s="9">
        <v>4.5977011494252873E-2</v>
      </c>
      <c r="D11" s="9">
        <v>2.3809523809523808E-2</v>
      </c>
      <c r="E11" s="9">
        <v>9.0909090909090912E-2</v>
      </c>
      <c r="F11" s="9">
        <v>0.10674157303370786</v>
      </c>
      <c r="G11" s="9">
        <v>8.4337349397590355E-2</v>
      </c>
      <c r="H11" s="9">
        <v>6.6666666666666666E-2</v>
      </c>
      <c r="I11" s="9">
        <v>0.21139297077006564</v>
      </c>
      <c r="J11" s="9">
        <f t="shared" si="0"/>
        <v>0.21139297077006564</v>
      </c>
      <c r="K11" s="9">
        <f t="shared" si="0"/>
        <v>0.28735632183908044</v>
      </c>
      <c r="L11" s="9">
        <f t="shared" si="0"/>
        <v>0.3571428571428571</v>
      </c>
      <c r="M11" s="9">
        <f t="shared" si="0"/>
        <v>0.34848484848484851</v>
      </c>
      <c r="N11" s="9">
        <f t="shared" si="0"/>
        <v>0.34269662921348315</v>
      </c>
      <c r="O11" s="9">
        <f t="shared" si="0"/>
        <v>0.31927710843373491</v>
      </c>
      <c r="P11" s="9">
        <f t="shared" si="0"/>
        <v>0.20952380952380956</v>
      </c>
    </row>
    <row r="12" spans="1:16" x14ac:dyDescent="0.3">
      <c r="A12" s="8" t="s">
        <v>50</v>
      </c>
      <c r="B12" s="9">
        <v>9.3856074229349107E-2</v>
      </c>
      <c r="C12" s="9">
        <v>0.21839080459770116</v>
      </c>
      <c r="D12" s="9">
        <v>0.14285714285714285</v>
      </c>
      <c r="E12" s="9">
        <v>9.0909090909090912E-2</v>
      </c>
      <c r="F12" s="9">
        <v>0.14606741573033707</v>
      </c>
      <c r="G12" s="9">
        <v>0.1746987951807229</v>
      </c>
      <c r="H12" s="9">
        <v>0.16190476190476191</v>
      </c>
      <c r="I12" s="9">
        <v>0.30524904499941474</v>
      </c>
      <c r="J12" s="9">
        <f t="shared" si="0"/>
        <v>0.30524904499941474</v>
      </c>
      <c r="K12" s="9">
        <f t="shared" si="0"/>
        <v>0.50574712643678166</v>
      </c>
      <c r="L12" s="9">
        <f t="shared" si="0"/>
        <v>0.49999999999999994</v>
      </c>
      <c r="M12" s="9">
        <f t="shared" si="0"/>
        <v>0.43939393939393945</v>
      </c>
      <c r="N12" s="9">
        <f t="shared" si="0"/>
        <v>0.4887640449438202</v>
      </c>
      <c r="O12" s="9">
        <f t="shared" si="0"/>
        <v>0.49397590361445781</v>
      </c>
      <c r="P12" s="9">
        <f t="shared" si="0"/>
        <v>0.37142857142857144</v>
      </c>
    </row>
    <row r="13" spans="1:16" x14ac:dyDescent="0.3">
      <c r="A13" s="8" t="s">
        <v>43</v>
      </c>
      <c r="B13" s="9">
        <v>0.69475095500058526</v>
      </c>
      <c r="C13" s="9">
        <v>0.4942528735632184</v>
      </c>
      <c r="D13" s="9">
        <v>0.5</v>
      </c>
      <c r="E13" s="9">
        <v>0.56060606060606055</v>
      </c>
      <c r="F13" s="9">
        <v>0.5112359550561798</v>
      </c>
      <c r="G13" s="9">
        <v>0.50602409638554213</v>
      </c>
      <c r="H13" s="9">
        <v>0.62857142857142856</v>
      </c>
      <c r="I13" s="9">
        <v>1</v>
      </c>
      <c r="J13" s="9">
        <f t="shared" si="0"/>
        <v>1</v>
      </c>
      <c r="K13" s="9">
        <f t="shared" si="0"/>
        <v>1</v>
      </c>
      <c r="L13" s="9">
        <f t="shared" si="0"/>
        <v>1</v>
      </c>
      <c r="M13" s="9">
        <f t="shared" si="0"/>
        <v>1</v>
      </c>
      <c r="N13" s="9">
        <f t="shared" si="0"/>
        <v>1</v>
      </c>
      <c r="O13" s="9">
        <f t="shared" si="0"/>
        <v>1</v>
      </c>
      <c r="P13" s="9">
        <f t="shared" si="0"/>
        <v>1</v>
      </c>
    </row>
    <row r="15" spans="1:16" ht="28.8" x14ac:dyDescent="0.3">
      <c r="B15" s="2" t="s">
        <v>15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  <c r="H15" s="4" t="s">
        <v>28</v>
      </c>
      <c r="J15" s="8"/>
      <c r="K15" s="10" t="s">
        <v>29</v>
      </c>
      <c r="L15" s="10" t="s">
        <v>30</v>
      </c>
      <c r="M15" s="10" t="s">
        <v>31</v>
      </c>
      <c r="N15" s="10" t="s">
        <v>32</v>
      </c>
      <c r="O15" s="10" t="s">
        <v>33</v>
      </c>
      <c r="P15" s="10" t="s">
        <v>34</v>
      </c>
    </row>
    <row r="16" spans="1:16" x14ac:dyDescent="0.3">
      <c r="B16" s="14" t="s">
        <v>51</v>
      </c>
      <c r="C16" s="9">
        <f>C2-B2</f>
        <v>-1.0364017493269774E-2</v>
      </c>
      <c r="D16" s="9">
        <f>D2-B2</f>
        <v>-1.0364017493269774E-2</v>
      </c>
      <c r="E16" s="9">
        <f>E2-B2</f>
        <v>-1.0364017493269774E-2</v>
      </c>
      <c r="F16" s="9">
        <f>F2-B2</f>
        <v>8.7193756291000131E-4</v>
      </c>
      <c r="G16" s="9">
        <f>G2-B2</f>
        <v>3.7828753591067577E-2</v>
      </c>
      <c r="H16" s="9">
        <f>H2-B2</f>
        <v>8.6836015543492757E-3</v>
      </c>
      <c r="J16" s="14" t="s">
        <v>51</v>
      </c>
      <c r="K16" s="8">
        <f>($J2-0) * ((K2+0))</f>
        <v>0</v>
      </c>
      <c r="L16" s="8">
        <f t="shared" ref="L16:P16" si="1">($J2-0) * ((L2+0))</f>
        <v>0</v>
      </c>
      <c r="M16" s="8">
        <f t="shared" si="1"/>
        <v>0</v>
      </c>
      <c r="N16" s="8">
        <f t="shared" si="1"/>
        <v>1.1644963475584014E-4</v>
      </c>
      <c r="O16" s="8">
        <f t="shared" si="1"/>
        <v>4.9947072256721799E-4</v>
      </c>
      <c r="P16" s="8">
        <f t="shared" si="1"/>
        <v>1.9740985701466237E-4</v>
      </c>
    </row>
    <row r="17" spans="2:16" x14ac:dyDescent="0.3">
      <c r="B17" s="14" t="s">
        <v>45</v>
      </c>
      <c r="C17" s="9">
        <f t="shared" ref="C17:C27" si="2">C3-B3</f>
        <v>3.400093173175274E-2</v>
      </c>
      <c r="D17" s="9">
        <f t="shared" ref="D17:D27" si="3">D3-B3</f>
        <v>5.9452491666071292E-2</v>
      </c>
      <c r="E17" s="9">
        <f t="shared" ref="E17:E27" si="4">E3-B3</f>
        <v>3.1754353890150189E-3</v>
      </c>
      <c r="F17" s="9">
        <f t="shared" ref="F17:F27" si="5">F3-B3</f>
        <v>-6.3581022344102456E-3</v>
      </c>
      <c r="G17" s="9">
        <f t="shared" ref="G17:G27" si="6">G3-B3</f>
        <v>-5.9519833769579641E-3</v>
      </c>
      <c r="H17" s="9">
        <f t="shared" ref="H17:H27" si="7">H3-B3</f>
        <v>-1.1976079762500133E-2</v>
      </c>
      <c r="J17" s="14" t="s">
        <v>45</v>
      </c>
      <c r="K17" s="8">
        <f>($J3-$J2) * ((K3+K2))</f>
        <v>5.5062435689655787E-4</v>
      </c>
      <c r="L17" s="8">
        <f t="shared" ref="L17:P17" si="8">($J3-$J2) * ((L3+L2))</f>
        <v>8.5543426875000963E-4</v>
      </c>
      <c r="M17" s="8">
        <f t="shared" si="8"/>
        <v>1.8145575397727478E-4</v>
      </c>
      <c r="N17" s="8">
        <f t="shared" si="8"/>
        <v>3.3640673490168918E-4</v>
      </c>
      <c r="O17" s="8">
        <f t="shared" si="8"/>
        <v>1.2264659997741102E-3</v>
      </c>
      <c r="P17" s="8">
        <f t="shared" si="8"/>
        <v>4.5623161000000518E-4</v>
      </c>
    </row>
    <row r="18" spans="2:16" x14ac:dyDescent="0.3">
      <c r="B18" s="14" t="s">
        <v>44</v>
      </c>
      <c r="C18" s="9">
        <f t="shared" si="2"/>
        <v>-1.6759063194969087E-2</v>
      </c>
      <c r="D18" s="9">
        <f t="shared" si="3"/>
        <v>3.0859984424078529E-2</v>
      </c>
      <c r="E18" s="9">
        <f t="shared" si="4"/>
        <v>1.3543967108061217E-2</v>
      </c>
      <c r="F18" s="9">
        <f t="shared" si="5"/>
        <v>-1.11410856668792E-2</v>
      </c>
      <c r="G18" s="9">
        <f t="shared" si="6"/>
        <v>1.3361418732741756E-2</v>
      </c>
      <c r="H18" s="9">
        <f t="shared" si="7"/>
        <v>-7.2352536711595625E-3</v>
      </c>
      <c r="J18" s="14" t="s">
        <v>44</v>
      </c>
      <c r="K18" s="8">
        <f t="shared" ref="K18:P27" si="9">($J4-$J3) * ((K4+K3))</f>
        <v>1.541063282296008E-3</v>
      </c>
      <c r="L18" s="8">
        <f t="shared" si="9"/>
        <v>3.1922025133274451E-3</v>
      </c>
      <c r="M18" s="8">
        <f t="shared" si="9"/>
        <v>1.0157007996950962E-3</v>
      </c>
      <c r="N18" s="8">
        <f t="shared" si="9"/>
        <v>6.5906428294822247E-4</v>
      </c>
      <c r="O18" s="8">
        <f t="shared" si="9"/>
        <v>2.3220388764113795E-3</v>
      </c>
      <c r="P18" s="8">
        <f t="shared" si="9"/>
        <v>7.9805062833186139E-4</v>
      </c>
    </row>
    <row r="19" spans="2:16" x14ac:dyDescent="0.3">
      <c r="B19" s="14" t="s">
        <v>49</v>
      </c>
      <c r="C19" s="9">
        <f t="shared" si="2"/>
        <v>5.0802496473594666E-3</v>
      </c>
      <c r="D19" s="9">
        <f t="shared" si="3"/>
        <v>0.12494888675737588</v>
      </c>
      <c r="E19" s="9">
        <f t="shared" si="4"/>
        <v>4.2697804506293638E-2</v>
      </c>
      <c r="F19" s="9">
        <f t="shared" si="5"/>
        <v>1.0181631540682468E-2</v>
      </c>
      <c r="G19" s="9">
        <f t="shared" si="6"/>
        <v>-5.8600633286826319E-3</v>
      </c>
      <c r="H19" s="9">
        <f t="shared" si="7"/>
        <v>1.1393629478520795E-3</v>
      </c>
      <c r="J19" s="14" t="s">
        <v>49</v>
      </c>
      <c r="K19" s="8">
        <f t="shared" si="9"/>
        <v>2.0584202413525252E-3</v>
      </c>
      <c r="L19" s="8">
        <f t="shared" si="9"/>
        <v>6.8221927999112262E-3</v>
      </c>
      <c r="M19" s="8">
        <f t="shared" si="9"/>
        <v>2.7133721363283288E-3</v>
      </c>
      <c r="N19" s="8">
        <f t="shared" si="9"/>
        <v>1.3079063443650035E-3</v>
      </c>
      <c r="O19" s="8">
        <f t="shared" si="9"/>
        <v>3.2364318252590903E-3</v>
      </c>
      <c r="P19" s="8">
        <f t="shared" si="9"/>
        <v>1.3644385599822454E-3</v>
      </c>
    </row>
    <row r="20" spans="2:16" x14ac:dyDescent="0.3">
      <c r="B20" s="14" t="s">
        <v>46</v>
      </c>
      <c r="C20" s="9">
        <f t="shared" si="2"/>
        <v>1.4983721601781175E-2</v>
      </c>
      <c r="D20" s="9">
        <f t="shared" si="3"/>
        <v>-1.9499037018908479E-2</v>
      </c>
      <c r="E20" s="9">
        <f t="shared" si="4"/>
        <v>-4.3475218673933273E-3</v>
      </c>
      <c r="F20" s="9">
        <f t="shared" si="5"/>
        <v>-8.2630819627287043E-3</v>
      </c>
      <c r="G20" s="9">
        <f t="shared" si="6"/>
        <v>4.5973485232601967E-3</v>
      </c>
      <c r="H20" s="9">
        <f t="shared" si="7"/>
        <v>-9.9752274950989546E-3</v>
      </c>
      <c r="J20" s="14" t="s">
        <v>46</v>
      </c>
      <c r="K20" s="8">
        <f t="shared" si="9"/>
        <v>3.3619029342945661E-3</v>
      </c>
      <c r="L20" s="8">
        <f t="shared" si="9"/>
        <v>1.0213781295618727E-2</v>
      </c>
      <c r="M20" s="8">
        <f t="shared" si="9"/>
        <v>4.4315993224792009E-3</v>
      </c>
      <c r="N20" s="8">
        <f t="shared" si="9"/>
        <v>2.1909030358324135E-3</v>
      </c>
      <c r="O20" s="8">
        <f t="shared" si="9"/>
        <v>4.2287068233777432E-3</v>
      </c>
      <c r="P20" s="8">
        <f t="shared" si="9"/>
        <v>2.0427562591237461E-3</v>
      </c>
    </row>
    <row r="21" spans="2:16" x14ac:dyDescent="0.3">
      <c r="B21" s="14" t="s">
        <v>53</v>
      </c>
      <c r="C21" s="9">
        <f t="shared" si="2"/>
        <v>3.0212790262632641E-3</v>
      </c>
      <c r="D21" s="9">
        <f t="shared" si="3"/>
        <v>-1.9967226720863172E-2</v>
      </c>
      <c r="E21" s="9">
        <f t="shared" si="4"/>
        <v>5.5790349036712587E-2</v>
      </c>
      <c r="F21" s="9">
        <f t="shared" si="5"/>
        <v>2.5046833914963776E-3</v>
      </c>
      <c r="G21" s="9">
        <f t="shared" si="6"/>
        <v>1.6177351592389838E-2</v>
      </c>
      <c r="H21" s="9">
        <f t="shared" si="7"/>
        <v>8.6042018505653982E-3</v>
      </c>
      <c r="J21" s="14" t="s">
        <v>53</v>
      </c>
      <c r="K21" s="8">
        <f t="shared" si="9"/>
        <v>4.5901670622673944E-3</v>
      </c>
      <c r="L21" s="8">
        <f t="shared" si="9"/>
        <v>1.0459023520452132E-2</v>
      </c>
      <c r="M21" s="8">
        <f t="shared" si="9"/>
        <v>6.3532085020928256E-3</v>
      </c>
      <c r="N21" s="8">
        <f t="shared" si="9"/>
        <v>2.9165612064182152E-3</v>
      </c>
      <c r="O21" s="8">
        <f t="shared" si="9"/>
        <v>5.5330869226488293E-3</v>
      </c>
      <c r="P21" s="8">
        <f t="shared" si="9"/>
        <v>2.8524609601233092E-3</v>
      </c>
    </row>
    <row r="22" spans="2:16" x14ac:dyDescent="0.3">
      <c r="B22" s="14" t="s">
        <v>47</v>
      </c>
      <c r="C22" s="9">
        <f t="shared" si="2"/>
        <v>3.0013002415677847E-2</v>
      </c>
      <c r="D22" s="9">
        <f t="shared" si="3"/>
        <v>2.0160785666909372E-2</v>
      </c>
      <c r="E22" s="9">
        <f t="shared" si="4"/>
        <v>-2.7458261952138244E-2</v>
      </c>
      <c r="F22" s="9">
        <f t="shared" si="5"/>
        <v>3.4339490856850521E-2</v>
      </c>
      <c r="G22" s="9">
        <f t="shared" si="6"/>
        <v>-9.3859727955117392E-3</v>
      </c>
      <c r="H22" s="9">
        <f t="shared" si="7"/>
        <v>-8.4106429045191951E-3</v>
      </c>
      <c r="J22" s="14" t="s">
        <v>47</v>
      </c>
      <c r="K22" s="8">
        <f t="shared" si="9"/>
        <v>8.5215295713532476E-3</v>
      </c>
      <c r="L22" s="8">
        <f t="shared" si="9"/>
        <v>1.569043540122185E-2</v>
      </c>
      <c r="M22" s="8">
        <f t="shared" si="9"/>
        <v>1.0816891072054458E-2</v>
      </c>
      <c r="N22" s="8">
        <f t="shared" si="9"/>
        <v>6.3246558429082469E-3</v>
      </c>
      <c r="O22" s="8">
        <f t="shared" si="9"/>
        <v>9.0976169118530317E-3</v>
      </c>
      <c r="P22" s="8">
        <f t="shared" si="9"/>
        <v>5.230145133740617E-3</v>
      </c>
    </row>
    <row r="23" spans="2:16" x14ac:dyDescent="0.3">
      <c r="B23" s="14" t="s">
        <v>48</v>
      </c>
      <c r="C23" s="9">
        <f t="shared" si="2"/>
        <v>-2.8309515955692231E-2</v>
      </c>
      <c r="D23" s="9">
        <f t="shared" si="3"/>
        <v>-4.4999921461684224E-3</v>
      </c>
      <c r="E23" s="9">
        <f t="shared" si="4"/>
        <v>-1.3158000804177079E-2</v>
      </c>
      <c r="F23" s="9">
        <f t="shared" si="5"/>
        <v>-1.1455583371422568E-2</v>
      </c>
      <c r="G23" s="9">
        <f t="shared" si="6"/>
        <v>-1.0237226799065725E-2</v>
      </c>
      <c r="H23" s="9">
        <f t="shared" si="7"/>
        <v>-1.8785706431882706E-2</v>
      </c>
      <c r="J23" s="14" t="s">
        <v>48</v>
      </c>
      <c r="K23" s="8">
        <f t="shared" si="9"/>
        <v>1.0412695523932773E-2</v>
      </c>
      <c r="L23" s="8">
        <f t="shared" si="9"/>
        <v>1.8198974542945001E-2</v>
      </c>
      <c r="M23" s="8">
        <f t="shared" si="9"/>
        <v>1.1581165618237729E-2</v>
      </c>
      <c r="N23" s="8">
        <f t="shared" si="9"/>
        <v>8.7473223458599571E-3</v>
      </c>
      <c r="O23" s="8">
        <f t="shared" si="9"/>
        <v>1.0402894417453169E-2</v>
      </c>
      <c r="P23" s="8">
        <f t="shared" si="9"/>
        <v>6.2011320664849641E-3</v>
      </c>
    </row>
    <row r="24" spans="2:16" x14ac:dyDescent="0.3">
      <c r="B24" s="14" t="s">
        <v>52</v>
      </c>
      <c r="C24" s="9">
        <f t="shared" si="2"/>
        <v>2.9103224699379527E-2</v>
      </c>
      <c r="D24" s="9">
        <f t="shared" si="3"/>
        <v>-2.8368039668436564E-2</v>
      </c>
      <c r="E24" s="9">
        <f t="shared" si="4"/>
        <v>1.7086505786108892E-2</v>
      </c>
      <c r="F24" s="9">
        <f t="shared" si="5"/>
        <v>4.466566819673197E-2</v>
      </c>
      <c r="G24" s="9">
        <f t="shared" si="6"/>
        <v>1.3800635030358614E-2</v>
      </c>
      <c r="H24" s="9">
        <f t="shared" si="7"/>
        <v>2.0338890299200635E-4</v>
      </c>
      <c r="J24" s="14" t="s">
        <v>52</v>
      </c>
      <c r="K24" s="8">
        <f t="shared" si="9"/>
        <v>1.2064568594622448E-2</v>
      </c>
      <c r="L24" s="8">
        <f t="shared" si="9"/>
        <v>1.8912026445624373E-2</v>
      </c>
      <c r="M24" s="8">
        <f t="shared" si="9"/>
        <v>1.3324382268508085E-2</v>
      </c>
      <c r="N24" s="8">
        <f t="shared" si="9"/>
        <v>1.1315341665499979E-2</v>
      </c>
      <c r="O24" s="8">
        <f t="shared" si="9"/>
        <v>1.2133318171439736E-2</v>
      </c>
      <c r="P24" s="8">
        <f t="shared" si="9"/>
        <v>7.2946387718836898E-3</v>
      </c>
    </row>
    <row r="25" spans="2:16" x14ac:dyDescent="0.3">
      <c r="B25" s="14" t="s">
        <v>54</v>
      </c>
      <c r="C25" s="9">
        <f t="shared" si="2"/>
        <v>1.5193538590731873E-2</v>
      </c>
      <c r="D25" s="9">
        <f t="shared" si="3"/>
        <v>-6.9739490939971921E-3</v>
      </c>
      <c r="E25" s="9">
        <f t="shared" si="4"/>
        <v>6.0125618005569911E-2</v>
      </c>
      <c r="F25" s="9">
        <f t="shared" si="5"/>
        <v>7.5958100130186862E-2</v>
      </c>
      <c r="G25" s="9">
        <f t="shared" si="6"/>
        <v>5.3553876494069355E-2</v>
      </c>
      <c r="H25" s="9">
        <f t="shared" si="7"/>
        <v>3.5883193763145665E-2</v>
      </c>
      <c r="J25" s="14" t="s">
        <v>54</v>
      </c>
      <c r="K25" s="8">
        <f t="shared" si="9"/>
        <v>1.6276319006459372E-2</v>
      </c>
      <c r="L25" s="8">
        <f t="shared" si="9"/>
        <v>2.1255255100050201E-2</v>
      </c>
      <c r="M25" s="8">
        <f t="shared" si="9"/>
        <v>1.8656650244558173E-2</v>
      </c>
      <c r="N25" s="8">
        <f t="shared" si="9"/>
        <v>1.781290847788012E-2</v>
      </c>
      <c r="O25" s="8">
        <f t="shared" si="9"/>
        <v>1.7060719922433319E-2</v>
      </c>
      <c r="P25" s="8">
        <f t="shared" si="9"/>
        <v>1.0847509499335968E-2</v>
      </c>
    </row>
    <row r="26" spans="2:16" x14ac:dyDescent="0.3">
      <c r="B26" s="14" t="s">
        <v>50</v>
      </c>
      <c r="C26" s="9">
        <f t="shared" si="2"/>
        <v>0.12453473036835205</v>
      </c>
      <c r="D26" s="9">
        <f t="shared" si="3"/>
        <v>4.9001068627793742E-2</v>
      </c>
      <c r="E26" s="9">
        <f t="shared" si="4"/>
        <v>-2.9469833202581952E-3</v>
      </c>
      <c r="F26" s="9">
        <f t="shared" si="5"/>
        <v>5.2211341500987968E-2</v>
      </c>
      <c r="G26" s="9">
        <f t="shared" si="6"/>
        <v>8.0842720951373792E-2</v>
      </c>
      <c r="H26" s="9">
        <f t="shared" si="7"/>
        <v>6.8048687675412806E-2</v>
      </c>
      <c r="J26" s="14" t="s">
        <v>50</v>
      </c>
      <c r="K26" s="8">
        <f t="shared" si="9"/>
        <v>7.4437576112932058E-2</v>
      </c>
      <c r="L26" s="8">
        <f t="shared" si="9"/>
        <v>8.0448063625156357E-2</v>
      </c>
      <c r="M26" s="8">
        <f t="shared" si="9"/>
        <v>7.3947209998881117E-2</v>
      </c>
      <c r="N26" s="8">
        <f t="shared" si="9"/>
        <v>7.8037634752492521E-2</v>
      </c>
      <c r="O26" s="8">
        <f t="shared" si="9"/>
        <v>7.6328735066036921E-2</v>
      </c>
      <c r="P26" s="8">
        <f t="shared" si="9"/>
        <v>5.452590979038377E-2</v>
      </c>
    </row>
    <row r="27" spans="2:16" x14ac:dyDescent="0.3">
      <c r="B27" s="14" t="s">
        <v>43</v>
      </c>
      <c r="C27" s="9">
        <f t="shared" si="2"/>
        <v>-0.20049808143736686</v>
      </c>
      <c r="D27" s="9">
        <f t="shared" si="3"/>
        <v>-0.19475095500058526</v>
      </c>
      <c r="E27" s="9">
        <f t="shared" si="4"/>
        <v>-0.13414489439452471</v>
      </c>
      <c r="F27" s="9">
        <f t="shared" si="5"/>
        <v>-0.18351499994440545</v>
      </c>
      <c r="G27" s="9">
        <f t="shared" si="6"/>
        <v>-0.18872685861504312</v>
      </c>
      <c r="H27" s="9">
        <f t="shared" si="7"/>
        <v>-6.6179526429156699E-2</v>
      </c>
      <c r="J27" s="14" t="s">
        <v>43</v>
      </c>
      <c r="K27" s="8">
        <f t="shared" si="9"/>
        <v>1.0461192540813411</v>
      </c>
      <c r="L27" s="8">
        <f t="shared" si="9"/>
        <v>1.0421264325008779</v>
      </c>
      <c r="M27" s="8">
        <f t="shared" si="9"/>
        <v>1.000020314015994</v>
      </c>
      <c r="N27" s="8">
        <f t="shared" si="9"/>
        <v>1.0343202419952533</v>
      </c>
      <c r="O27" s="8">
        <f t="shared" si="9"/>
        <v>1.0379411857840068</v>
      </c>
      <c r="P27" s="8">
        <f t="shared" si="9"/>
        <v>0.95280130971508836</v>
      </c>
    </row>
    <row r="28" spans="2:16" x14ac:dyDescent="0.3">
      <c r="J28" s="15" t="s">
        <v>35</v>
      </c>
      <c r="K28" s="10">
        <f t="shared" ref="K28:P28" si="10">SUM(K16:K27)</f>
        <v>1.1799341207677481</v>
      </c>
      <c r="L28" s="10">
        <f t="shared" si="10"/>
        <v>1.2281738220139351</v>
      </c>
      <c r="M28" s="10">
        <f t="shared" si="10"/>
        <v>1.1430419497328064</v>
      </c>
      <c r="N28" s="10">
        <f t="shared" si="10"/>
        <v>1.1640853963191156</v>
      </c>
      <c r="O28" s="10">
        <f t="shared" si="10"/>
        <v>1.1800106714432614</v>
      </c>
      <c r="P28" s="10">
        <f t="shared" si="10"/>
        <v>1.0446119928514932</v>
      </c>
    </row>
    <row r="29" spans="2:16" x14ac:dyDescent="0.3">
      <c r="J29" s="16" t="s">
        <v>36</v>
      </c>
      <c r="K29" s="13">
        <f>1-K28</f>
        <v>-0.17993412076774806</v>
      </c>
      <c r="L29" s="13">
        <f t="shared" ref="L29:P29" si="11">1-L28</f>
        <v>-0.2281738220139351</v>
      </c>
      <c r="M29" s="13">
        <f t="shared" si="11"/>
        <v>-0.14304194973280637</v>
      </c>
      <c r="N29" s="13">
        <f t="shared" si="11"/>
        <v>-0.16408539631911556</v>
      </c>
      <c r="O29" s="13">
        <f t="shared" si="11"/>
        <v>-0.18001067144326144</v>
      </c>
      <c r="P29" s="13">
        <f t="shared" si="11"/>
        <v>-4.4611992851493198E-2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B8BB-C236-4BE3-9031-C3CC783A76BC}">
  <dimension ref="A1:P41"/>
  <sheetViews>
    <sheetView tabSelected="1" workbookViewId="0">
      <selection activeCell="J2" sqref="J2:P2"/>
    </sheetView>
  </sheetViews>
  <sheetFormatPr defaultRowHeight="14.4" x14ac:dyDescent="0.3"/>
  <cols>
    <col min="2" max="2" width="12" customWidth="1"/>
    <col min="10" max="10" width="13.6640625" customWidth="1"/>
    <col min="11" max="11" width="12" bestFit="1" customWidth="1"/>
    <col min="13" max="13" width="12" bestFit="1" customWidth="1"/>
    <col min="15" max="16" width="12" bestFit="1" customWidth="1"/>
  </cols>
  <sheetData>
    <row r="1" spans="1:16" ht="36.6" customHeight="1" x14ac:dyDescent="0.3">
      <c r="A1" s="2" t="s">
        <v>15</v>
      </c>
      <c r="B1" s="3" t="s">
        <v>16</v>
      </c>
      <c r="C1" s="4" t="s">
        <v>17</v>
      </c>
      <c r="D1" s="4" t="s">
        <v>18</v>
      </c>
      <c r="E1" s="4" t="s">
        <v>19</v>
      </c>
      <c r="F1" s="3" t="s">
        <v>20</v>
      </c>
      <c r="G1" s="4" t="s">
        <v>21</v>
      </c>
      <c r="H1" s="4" t="s">
        <v>22</v>
      </c>
      <c r="I1" s="5" t="s">
        <v>16</v>
      </c>
      <c r="J1" s="6" t="s">
        <v>16</v>
      </c>
      <c r="K1" s="7" t="s">
        <v>17</v>
      </c>
      <c r="L1" s="7" t="s">
        <v>18</v>
      </c>
      <c r="M1" s="7" t="s">
        <v>19</v>
      </c>
      <c r="N1" s="6" t="s">
        <v>20</v>
      </c>
      <c r="O1" s="7" t="s">
        <v>21</v>
      </c>
      <c r="P1" s="7" t="s">
        <v>22</v>
      </c>
    </row>
    <row r="2" spans="1:16" x14ac:dyDescent="0.3">
      <c r="A2" s="8" t="s">
        <v>61</v>
      </c>
      <c r="B2" s="9">
        <v>1.2382688152534266E-2</v>
      </c>
      <c r="C2" s="9">
        <v>1.4285714285714285E-2</v>
      </c>
      <c r="D2" s="9">
        <v>1.7543859649122806E-2</v>
      </c>
      <c r="E2" s="9">
        <v>0</v>
      </c>
      <c r="F2" s="9">
        <v>2.9556650246305417E-2</v>
      </c>
      <c r="G2" s="9">
        <v>2.4390243902439025E-2</v>
      </c>
      <c r="H2" s="9">
        <v>9.433962264150943E-3</v>
      </c>
      <c r="I2" s="9">
        <v>1.2382688152534266E-2</v>
      </c>
      <c r="J2" s="9">
        <v>1.2382688152534266E-2</v>
      </c>
      <c r="K2" s="9">
        <v>1.4285714285714285E-2</v>
      </c>
      <c r="L2" s="9">
        <v>1.7543859649122806E-2</v>
      </c>
      <c r="M2" s="9">
        <v>0</v>
      </c>
      <c r="N2" s="9">
        <v>2.9556650246305417E-2</v>
      </c>
      <c r="O2" s="9">
        <v>2.4390243902439025E-2</v>
      </c>
      <c r="P2" s="9">
        <v>9.433962264150943E-3</v>
      </c>
    </row>
    <row r="3" spans="1:16" x14ac:dyDescent="0.3">
      <c r="A3" s="8" t="s">
        <v>59</v>
      </c>
      <c r="B3" s="9">
        <v>1.4217618631348034E-2</v>
      </c>
      <c r="C3" s="9">
        <v>7.1428571428571426E-3</v>
      </c>
      <c r="D3" s="9">
        <v>8.771929824561403E-3</v>
      </c>
      <c r="E3" s="9">
        <v>8.9285714285714281E-3</v>
      </c>
      <c r="F3" s="9">
        <v>4.9261083743842365E-3</v>
      </c>
      <c r="G3" s="9">
        <v>1.6260162601626018E-2</v>
      </c>
      <c r="H3" s="9">
        <v>9.433962264150943E-3</v>
      </c>
      <c r="I3" s="9">
        <v>2.66003067838823E-2</v>
      </c>
      <c r="J3" s="9">
        <f t="shared" ref="J3:P18" si="0">J2+B3</f>
        <v>2.66003067838823E-2</v>
      </c>
      <c r="K3" s="9">
        <f t="shared" si="0"/>
        <v>2.1428571428571429E-2</v>
      </c>
      <c r="L3" s="9">
        <f t="shared" si="0"/>
        <v>2.6315789473684209E-2</v>
      </c>
      <c r="M3" s="9">
        <f t="shared" si="0"/>
        <v>8.9285714285714281E-3</v>
      </c>
      <c r="N3" s="9">
        <f t="shared" si="0"/>
        <v>3.4482758620689655E-2</v>
      </c>
      <c r="O3" s="9">
        <f t="shared" si="0"/>
        <v>4.065040650406504E-2</v>
      </c>
      <c r="P3" s="9">
        <f t="shared" si="0"/>
        <v>1.8867924528301886E-2</v>
      </c>
    </row>
    <row r="4" spans="1:16" x14ac:dyDescent="0.3">
      <c r="A4" s="8" t="s">
        <v>58</v>
      </c>
      <c r="B4" s="9">
        <v>1.6242227316960529E-2</v>
      </c>
      <c r="C4" s="9">
        <v>3.5714285714285712E-2</v>
      </c>
      <c r="D4" s="9">
        <v>2.6315789473684209E-2</v>
      </c>
      <c r="E4" s="9">
        <v>8.9285714285714281E-3</v>
      </c>
      <c r="F4" s="9">
        <v>4.9261083743842367E-2</v>
      </c>
      <c r="G4" s="9">
        <v>4.0650406504065045E-3</v>
      </c>
      <c r="H4" s="9">
        <v>2.8301886792452831E-2</v>
      </c>
      <c r="I4" s="9">
        <v>4.2842534100842829E-2</v>
      </c>
      <c r="J4" s="9">
        <f t="shared" si="0"/>
        <v>4.2842534100842829E-2</v>
      </c>
      <c r="K4" s="9">
        <f t="shared" si="0"/>
        <v>5.7142857142857141E-2</v>
      </c>
      <c r="L4" s="9">
        <f t="shared" si="0"/>
        <v>5.2631578947368418E-2</v>
      </c>
      <c r="M4" s="9">
        <f t="shared" si="0"/>
        <v>1.7857142857142856E-2</v>
      </c>
      <c r="N4" s="9">
        <f t="shared" si="0"/>
        <v>8.3743842364532028E-2</v>
      </c>
      <c r="O4" s="9">
        <f t="shared" si="0"/>
        <v>4.4715447154471545E-2</v>
      </c>
      <c r="P4" s="9">
        <f t="shared" si="0"/>
        <v>4.716981132075472E-2</v>
      </c>
    </row>
    <row r="5" spans="1:16" x14ac:dyDescent="0.3">
      <c r="A5" s="8" t="s">
        <v>65</v>
      </c>
      <c r="B5" s="9">
        <v>1.8291576638242425E-2</v>
      </c>
      <c r="C5" s="9">
        <v>2.8571428571428571E-2</v>
      </c>
      <c r="D5" s="9">
        <v>3.5087719298245612E-2</v>
      </c>
      <c r="E5" s="9">
        <v>8.9285714285714281E-3</v>
      </c>
      <c r="F5" s="9">
        <v>3.4482758620689655E-2</v>
      </c>
      <c r="G5" s="9">
        <v>2.8455284552845527E-2</v>
      </c>
      <c r="H5" s="9">
        <v>0</v>
      </c>
      <c r="I5" s="9">
        <v>6.1134110739085257E-2</v>
      </c>
      <c r="J5" s="9">
        <f t="shared" si="0"/>
        <v>6.1134110739085257E-2</v>
      </c>
      <c r="K5" s="9">
        <f t="shared" si="0"/>
        <v>8.5714285714285715E-2</v>
      </c>
      <c r="L5" s="9">
        <f t="shared" si="0"/>
        <v>8.771929824561403E-2</v>
      </c>
      <c r="M5" s="9">
        <f t="shared" si="0"/>
        <v>2.6785714285714284E-2</v>
      </c>
      <c r="N5" s="9">
        <f t="shared" si="0"/>
        <v>0.11822660098522168</v>
      </c>
      <c r="O5" s="9">
        <f t="shared" si="0"/>
        <v>7.3170731707317069E-2</v>
      </c>
      <c r="P5" s="9">
        <f t="shared" si="0"/>
        <v>4.716981132075472E-2</v>
      </c>
    </row>
    <row r="6" spans="1:16" x14ac:dyDescent="0.3">
      <c r="A6" s="8" t="s">
        <v>68</v>
      </c>
      <c r="B6" s="9">
        <v>1.8642068976892245E-2</v>
      </c>
      <c r="C6" s="9">
        <v>2.8571428571428571E-2</v>
      </c>
      <c r="D6" s="9">
        <v>2.6315789473684209E-2</v>
      </c>
      <c r="E6" s="9">
        <v>1.7857142857142856E-2</v>
      </c>
      <c r="F6" s="9">
        <v>0</v>
      </c>
      <c r="G6" s="9">
        <v>1.6260162601626018E-2</v>
      </c>
      <c r="H6" s="9">
        <v>1.8867924528301886E-2</v>
      </c>
      <c r="I6" s="9">
        <v>7.9776179715977502E-2</v>
      </c>
      <c r="J6" s="9">
        <f t="shared" si="0"/>
        <v>7.9776179715977502E-2</v>
      </c>
      <c r="K6" s="9">
        <f t="shared" si="0"/>
        <v>0.11428571428571428</v>
      </c>
      <c r="L6" s="9">
        <f t="shared" si="0"/>
        <v>0.11403508771929824</v>
      </c>
      <c r="M6" s="9">
        <f t="shared" si="0"/>
        <v>4.4642857142857137E-2</v>
      </c>
      <c r="N6" s="9">
        <f t="shared" si="0"/>
        <v>0.11822660098522168</v>
      </c>
      <c r="O6" s="9">
        <f t="shared" si="0"/>
        <v>8.943089430894309E-2</v>
      </c>
      <c r="P6" s="9">
        <f t="shared" si="0"/>
        <v>6.6037735849056603E-2</v>
      </c>
    </row>
    <row r="7" spans="1:16" x14ac:dyDescent="0.3">
      <c r="A7" s="8" t="s">
        <v>63</v>
      </c>
      <c r="B7" s="9">
        <v>2.1107885665275692E-2</v>
      </c>
      <c r="C7" s="9">
        <v>2.1428571428571429E-2</v>
      </c>
      <c r="D7" s="9">
        <v>5.2631578947368418E-2</v>
      </c>
      <c r="E7" s="9">
        <v>3.5714285714285712E-2</v>
      </c>
      <c r="F7" s="9">
        <v>1.4778325123152709E-2</v>
      </c>
      <c r="G7" s="9">
        <v>2.032520325203252E-2</v>
      </c>
      <c r="H7" s="9">
        <v>0</v>
      </c>
      <c r="I7" s="9">
        <v>0.10088406538125319</v>
      </c>
      <c r="J7" s="9">
        <f t="shared" si="0"/>
        <v>0.10088406538125319</v>
      </c>
      <c r="K7" s="9">
        <f t="shared" si="0"/>
        <v>0.1357142857142857</v>
      </c>
      <c r="L7" s="9">
        <f t="shared" si="0"/>
        <v>0.16666666666666666</v>
      </c>
      <c r="M7" s="9">
        <f t="shared" si="0"/>
        <v>8.0357142857142849E-2</v>
      </c>
      <c r="N7" s="9">
        <f t="shared" si="0"/>
        <v>0.13300492610837439</v>
      </c>
      <c r="O7" s="9">
        <f t="shared" si="0"/>
        <v>0.10975609756097561</v>
      </c>
      <c r="P7" s="9">
        <f t="shared" si="0"/>
        <v>6.6037735849056603E-2</v>
      </c>
    </row>
    <row r="8" spans="1:16" x14ac:dyDescent="0.3">
      <c r="A8" s="8" t="s">
        <v>71</v>
      </c>
      <c r="B8" s="9">
        <v>3.2476207755364597E-2</v>
      </c>
      <c r="C8" s="9">
        <v>8.5714285714285715E-2</v>
      </c>
      <c r="D8" s="9">
        <v>5.2631578947368418E-2</v>
      </c>
      <c r="E8" s="9">
        <v>5.3571428571428568E-2</v>
      </c>
      <c r="F8" s="9">
        <v>1.4778325123152709E-2</v>
      </c>
      <c r="G8" s="9">
        <v>2.032520325203252E-2</v>
      </c>
      <c r="H8" s="9">
        <v>1.8867924528301886E-2</v>
      </c>
      <c r="I8" s="9">
        <v>0.1333602731366178</v>
      </c>
      <c r="J8" s="9">
        <f t="shared" si="0"/>
        <v>0.1333602731366178</v>
      </c>
      <c r="K8" s="9">
        <f t="shared" si="0"/>
        <v>0.22142857142857142</v>
      </c>
      <c r="L8" s="9">
        <f t="shared" si="0"/>
        <v>0.21929824561403508</v>
      </c>
      <c r="M8" s="9">
        <f t="shared" si="0"/>
        <v>0.13392857142857142</v>
      </c>
      <c r="N8" s="9">
        <f t="shared" si="0"/>
        <v>0.14778325123152711</v>
      </c>
      <c r="O8" s="9">
        <f t="shared" si="0"/>
        <v>0.13008130081300812</v>
      </c>
      <c r="P8" s="9">
        <f t="shared" si="0"/>
        <v>8.4905660377358486E-2</v>
      </c>
    </row>
    <row r="9" spans="1:16" x14ac:dyDescent="0.3">
      <c r="A9" s="8" t="s">
        <v>72</v>
      </c>
      <c r="B9" s="9">
        <v>3.3647264510382822E-2</v>
      </c>
      <c r="C9" s="9">
        <v>3.5714285714285712E-2</v>
      </c>
      <c r="D9" s="9">
        <v>2.6315789473684209E-2</v>
      </c>
      <c r="E9" s="9">
        <v>2.6785714285714284E-2</v>
      </c>
      <c r="F9" s="9">
        <v>4.9261083743842365E-3</v>
      </c>
      <c r="G9" s="9">
        <v>1.2195121951219513E-2</v>
      </c>
      <c r="H9" s="9">
        <v>9.433962264150943E-3</v>
      </c>
      <c r="I9" s="9">
        <v>0.16700753764700063</v>
      </c>
      <c r="J9" s="9">
        <f t="shared" si="0"/>
        <v>0.16700753764700063</v>
      </c>
      <c r="K9" s="9">
        <f t="shared" si="0"/>
        <v>0.25714285714285712</v>
      </c>
      <c r="L9" s="9">
        <f t="shared" si="0"/>
        <v>0.24561403508771928</v>
      </c>
      <c r="M9" s="9">
        <f t="shared" si="0"/>
        <v>0.1607142857142857</v>
      </c>
      <c r="N9" s="9">
        <f t="shared" si="0"/>
        <v>0.15270935960591134</v>
      </c>
      <c r="O9" s="9">
        <f t="shared" si="0"/>
        <v>0.14227642276422764</v>
      </c>
      <c r="P9" s="9">
        <f t="shared" si="0"/>
        <v>9.4339622641509427E-2</v>
      </c>
    </row>
    <row r="10" spans="1:16" x14ac:dyDescent="0.3">
      <c r="A10" s="8" t="s">
        <v>64</v>
      </c>
      <c r="B10" s="9">
        <v>3.5915156113411076E-2</v>
      </c>
      <c r="C10" s="9">
        <v>6.4285714285714279E-2</v>
      </c>
      <c r="D10" s="9">
        <v>4.3859649122807015E-2</v>
      </c>
      <c r="E10" s="9">
        <v>5.3571428571428568E-2</v>
      </c>
      <c r="F10" s="9">
        <v>1.9704433497536946E-2</v>
      </c>
      <c r="G10" s="9">
        <v>8.130081300813009E-3</v>
      </c>
      <c r="H10" s="9">
        <v>9.433962264150943E-3</v>
      </c>
      <c r="I10" s="9">
        <v>0.20292269376041172</v>
      </c>
      <c r="J10" s="9">
        <f t="shared" si="0"/>
        <v>0.20292269376041172</v>
      </c>
      <c r="K10" s="9">
        <f t="shared" si="0"/>
        <v>0.3214285714285714</v>
      </c>
      <c r="L10" s="9">
        <f t="shared" si="0"/>
        <v>0.28947368421052633</v>
      </c>
      <c r="M10" s="9">
        <f t="shared" si="0"/>
        <v>0.21428571428571427</v>
      </c>
      <c r="N10" s="9">
        <f t="shared" si="0"/>
        <v>0.17241379310344829</v>
      </c>
      <c r="O10" s="9">
        <f t="shared" si="0"/>
        <v>0.15040650406504064</v>
      </c>
      <c r="P10" s="9">
        <f t="shared" si="0"/>
        <v>0.10377358490566037</v>
      </c>
    </row>
    <row r="11" spans="1:16" x14ac:dyDescent="0.3">
      <c r="A11" s="8" t="s">
        <v>69</v>
      </c>
      <c r="B11" s="9">
        <v>3.5968760824028105E-2</v>
      </c>
      <c r="C11" s="9">
        <v>7.1428571428571426E-3</v>
      </c>
      <c r="D11" s="9">
        <v>2.6315789473684209E-2</v>
      </c>
      <c r="E11" s="9">
        <v>8.9285714285714281E-3</v>
      </c>
      <c r="F11" s="9">
        <v>4.4334975369458129E-2</v>
      </c>
      <c r="G11" s="9">
        <v>4.0650406504065045E-3</v>
      </c>
      <c r="H11" s="9">
        <v>1.8867924528301886E-2</v>
      </c>
      <c r="I11" s="9">
        <v>0.23889145458443983</v>
      </c>
      <c r="J11" s="9">
        <f t="shared" si="0"/>
        <v>0.23889145458443983</v>
      </c>
      <c r="K11" s="9">
        <f t="shared" si="0"/>
        <v>0.32857142857142851</v>
      </c>
      <c r="L11" s="9">
        <f t="shared" si="0"/>
        <v>0.31578947368421051</v>
      </c>
      <c r="M11" s="9">
        <f t="shared" si="0"/>
        <v>0.2232142857142857</v>
      </c>
      <c r="N11" s="9">
        <f t="shared" si="0"/>
        <v>0.21674876847290642</v>
      </c>
      <c r="O11" s="9">
        <f t="shared" si="0"/>
        <v>0.15447154471544713</v>
      </c>
      <c r="P11" s="9">
        <f t="shared" si="0"/>
        <v>0.12264150943396225</v>
      </c>
    </row>
    <row r="12" spans="1:16" x14ac:dyDescent="0.3">
      <c r="A12" s="8" t="s">
        <v>66</v>
      </c>
      <c r="B12" s="9">
        <v>3.7638753731712549E-2</v>
      </c>
      <c r="C12" s="9">
        <v>4.2857142857142858E-2</v>
      </c>
      <c r="D12" s="9">
        <v>3.5087719298245612E-2</v>
      </c>
      <c r="E12" s="9">
        <v>7.1428571428571425E-2</v>
      </c>
      <c r="F12" s="9">
        <v>5.9113300492610835E-2</v>
      </c>
      <c r="G12" s="9">
        <v>3.6585365853658534E-2</v>
      </c>
      <c r="H12" s="9">
        <v>6.6037735849056603E-2</v>
      </c>
      <c r="I12" s="9">
        <v>0.27653020831615238</v>
      </c>
      <c r="J12" s="9">
        <f t="shared" si="0"/>
        <v>0.27653020831615238</v>
      </c>
      <c r="K12" s="9">
        <f t="shared" si="0"/>
        <v>0.37142857142857139</v>
      </c>
      <c r="L12" s="9">
        <f t="shared" si="0"/>
        <v>0.35087719298245612</v>
      </c>
      <c r="M12" s="9">
        <f t="shared" si="0"/>
        <v>0.2946428571428571</v>
      </c>
      <c r="N12" s="9">
        <f t="shared" si="0"/>
        <v>0.27586206896551724</v>
      </c>
      <c r="O12" s="9">
        <f t="shared" si="0"/>
        <v>0.19105691056910568</v>
      </c>
      <c r="P12" s="9">
        <f t="shared" si="0"/>
        <v>0.18867924528301885</v>
      </c>
    </row>
    <row r="13" spans="1:16" x14ac:dyDescent="0.3">
      <c r="A13" s="8" t="s">
        <v>60</v>
      </c>
      <c r="B13" s="9">
        <v>4.2434313612297749E-2</v>
      </c>
      <c r="C13" s="9">
        <v>4.2857142857142858E-2</v>
      </c>
      <c r="D13" s="9">
        <v>7.0175438596491224E-2</v>
      </c>
      <c r="E13" s="9">
        <v>4.4642857142857144E-2</v>
      </c>
      <c r="F13" s="9">
        <v>6.8965517241379309E-2</v>
      </c>
      <c r="G13" s="9">
        <v>2.8455284552845527E-2</v>
      </c>
      <c r="H13" s="9">
        <v>3.7735849056603772E-2</v>
      </c>
      <c r="I13" s="9">
        <v>0.31896452192845015</v>
      </c>
      <c r="J13" s="9">
        <f t="shared" si="0"/>
        <v>0.31896452192845015</v>
      </c>
      <c r="K13" s="9">
        <f t="shared" si="0"/>
        <v>0.41428571428571426</v>
      </c>
      <c r="L13" s="9">
        <f t="shared" si="0"/>
        <v>0.42105263157894735</v>
      </c>
      <c r="M13" s="9">
        <f t="shared" si="0"/>
        <v>0.33928571428571425</v>
      </c>
      <c r="N13" s="9">
        <f t="shared" si="0"/>
        <v>0.34482758620689657</v>
      </c>
      <c r="O13" s="9">
        <f t="shared" si="0"/>
        <v>0.21951219512195119</v>
      </c>
      <c r="P13" s="9">
        <f t="shared" si="0"/>
        <v>0.22641509433962262</v>
      </c>
    </row>
    <row r="14" spans="1:16" x14ac:dyDescent="0.3">
      <c r="A14" s="8" t="s">
        <v>70</v>
      </c>
      <c r="B14" s="9">
        <v>4.5271239835722177E-2</v>
      </c>
      <c r="C14" s="9">
        <v>2.1428571428571429E-2</v>
      </c>
      <c r="D14" s="9">
        <v>2.6315789473684209E-2</v>
      </c>
      <c r="E14" s="9">
        <v>3.5714285714285712E-2</v>
      </c>
      <c r="F14" s="9">
        <v>4.9261083743842367E-2</v>
      </c>
      <c r="G14" s="9">
        <v>3.6585365853658534E-2</v>
      </c>
      <c r="H14" s="9">
        <v>9.433962264150943E-3</v>
      </c>
      <c r="I14" s="9">
        <v>0.36423576176417233</v>
      </c>
      <c r="J14" s="9">
        <f t="shared" si="0"/>
        <v>0.36423576176417233</v>
      </c>
      <c r="K14" s="9">
        <f t="shared" si="0"/>
        <v>0.43571428571428567</v>
      </c>
      <c r="L14" s="9">
        <f t="shared" si="0"/>
        <v>0.44736842105263153</v>
      </c>
      <c r="M14" s="9">
        <f t="shared" si="0"/>
        <v>0.37499999999999994</v>
      </c>
      <c r="N14" s="9">
        <f t="shared" si="0"/>
        <v>0.39408866995073893</v>
      </c>
      <c r="O14" s="9">
        <f t="shared" si="0"/>
        <v>0.25609756097560971</v>
      </c>
      <c r="P14" s="9">
        <f t="shared" si="0"/>
        <v>0.23584905660377356</v>
      </c>
    </row>
    <row r="15" spans="1:16" x14ac:dyDescent="0.3">
      <c r="A15" s="8" t="s">
        <v>67</v>
      </c>
      <c r="B15" s="9">
        <v>4.774117996338386E-2</v>
      </c>
      <c r="C15" s="9">
        <v>2.1428571428571429E-2</v>
      </c>
      <c r="D15" s="9">
        <v>6.1403508771929821E-2</v>
      </c>
      <c r="E15" s="9">
        <v>4.4642857142857144E-2</v>
      </c>
      <c r="F15" s="9">
        <v>5.9113300492610835E-2</v>
      </c>
      <c r="G15" s="9">
        <v>0.11382113821138211</v>
      </c>
      <c r="H15" s="9">
        <v>8.4905660377358486E-2</v>
      </c>
      <c r="I15" s="9">
        <v>0.41197694172755617</v>
      </c>
      <c r="J15" s="9">
        <f t="shared" si="0"/>
        <v>0.41197694172755617</v>
      </c>
      <c r="K15" s="9">
        <f t="shared" si="0"/>
        <v>0.45714285714285707</v>
      </c>
      <c r="L15" s="9">
        <f t="shared" si="0"/>
        <v>0.50877192982456132</v>
      </c>
      <c r="M15" s="9">
        <f t="shared" si="0"/>
        <v>0.4196428571428571</v>
      </c>
      <c r="N15" s="9">
        <f t="shared" si="0"/>
        <v>0.45320197044334976</v>
      </c>
      <c r="O15" s="9">
        <f t="shared" si="0"/>
        <v>0.36991869918699183</v>
      </c>
      <c r="P15" s="9">
        <f t="shared" si="0"/>
        <v>0.32075471698113206</v>
      </c>
    </row>
    <row r="16" spans="1:16" x14ac:dyDescent="0.3">
      <c r="A16" s="8" t="s">
        <v>62</v>
      </c>
      <c r="B16" s="9">
        <v>5.4078906134028271E-2</v>
      </c>
      <c r="C16" s="9">
        <v>3.5714285714285712E-2</v>
      </c>
      <c r="D16" s="9">
        <v>3.5087719298245612E-2</v>
      </c>
      <c r="E16" s="9">
        <v>4.4642857142857144E-2</v>
      </c>
      <c r="F16" s="9">
        <v>3.4482758620689655E-2</v>
      </c>
      <c r="G16" s="9">
        <v>2.8455284552845527E-2</v>
      </c>
      <c r="H16" s="9">
        <v>3.7735849056603772E-2</v>
      </c>
      <c r="I16" s="9">
        <v>0.46605584786158444</v>
      </c>
      <c r="J16" s="9">
        <f t="shared" si="0"/>
        <v>0.46605584786158444</v>
      </c>
      <c r="K16" s="9">
        <f t="shared" si="0"/>
        <v>0.49285714285714277</v>
      </c>
      <c r="L16" s="9">
        <f t="shared" si="0"/>
        <v>0.54385964912280693</v>
      </c>
      <c r="M16" s="9">
        <f t="shared" si="0"/>
        <v>0.46428571428571425</v>
      </c>
      <c r="N16" s="9">
        <f t="shared" si="0"/>
        <v>0.48768472906403942</v>
      </c>
      <c r="O16" s="9">
        <f t="shared" si="0"/>
        <v>0.39837398373983735</v>
      </c>
      <c r="P16" s="9">
        <f t="shared" si="0"/>
        <v>0.35849056603773582</v>
      </c>
    </row>
    <row r="17" spans="1:16" x14ac:dyDescent="0.3">
      <c r="A17" s="8" t="s">
        <v>57</v>
      </c>
      <c r="B17" s="9">
        <v>7.2622012568242925E-2</v>
      </c>
      <c r="C17" s="9">
        <v>8.5714285714285715E-2</v>
      </c>
      <c r="D17" s="9">
        <v>6.1403508771929821E-2</v>
      </c>
      <c r="E17" s="9">
        <v>8.9285714285714288E-2</v>
      </c>
      <c r="F17" s="9">
        <v>6.8965517241379309E-2</v>
      </c>
      <c r="G17" s="9">
        <v>8.5365853658536592E-2</v>
      </c>
      <c r="H17" s="9">
        <v>0.16037735849056603</v>
      </c>
      <c r="I17" s="9">
        <v>0.53867786042982735</v>
      </c>
      <c r="J17" s="9">
        <f t="shared" si="0"/>
        <v>0.53867786042982735</v>
      </c>
      <c r="K17" s="9">
        <f t="shared" si="0"/>
        <v>0.57857142857142851</v>
      </c>
      <c r="L17" s="9">
        <f t="shared" si="0"/>
        <v>0.60526315789473673</v>
      </c>
      <c r="M17" s="9">
        <f t="shared" si="0"/>
        <v>0.55357142857142849</v>
      </c>
      <c r="N17" s="9">
        <f t="shared" si="0"/>
        <v>0.55665024630541871</v>
      </c>
      <c r="O17" s="9">
        <f t="shared" si="0"/>
        <v>0.48373983739837395</v>
      </c>
      <c r="P17" s="9">
        <f t="shared" si="0"/>
        <v>0.51886792452830188</v>
      </c>
    </row>
    <row r="18" spans="1:16" x14ac:dyDescent="0.3">
      <c r="A18" s="8" t="s">
        <v>56</v>
      </c>
      <c r="B18" s="9">
        <v>8.6513879496610532E-2</v>
      </c>
      <c r="C18" s="9">
        <v>0.10714285714285714</v>
      </c>
      <c r="D18" s="9">
        <v>7.0175438596491224E-2</v>
      </c>
      <c r="E18" s="9">
        <v>0.125</v>
      </c>
      <c r="F18" s="9">
        <v>8.8669950738916259E-2</v>
      </c>
      <c r="G18" s="9">
        <v>8.5365853658536592E-2</v>
      </c>
      <c r="H18" s="9">
        <v>8.4905660377358486E-2</v>
      </c>
      <c r="I18" s="9">
        <v>0.62519173992643784</v>
      </c>
      <c r="J18" s="9">
        <f t="shared" si="0"/>
        <v>0.62519173992643784</v>
      </c>
      <c r="K18" s="9">
        <f t="shared" si="0"/>
        <v>0.68571428571428561</v>
      </c>
      <c r="L18" s="9">
        <f t="shared" si="0"/>
        <v>0.67543859649122795</v>
      </c>
      <c r="M18" s="9">
        <f t="shared" si="0"/>
        <v>0.67857142857142849</v>
      </c>
      <c r="N18" s="9">
        <f t="shared" si="0"/>
        <v>0.64532019704433496</v>
      </c>
      <c r="O18" s="9">
        <f t="shared" si="0"/>
        <v>0.56910569105691056</v>
      </c>
      <c r="P18" s="9">
        <f t="shared" si="0"/>
        <v>0.60377358490566035</v>
      </c>
    </row>
    <row r="19" spans="1:16" x14ac:dyDescent="0.3">
      <c r="A19" s="8" t="s">
        <v>55</v>
      </c>
      <c r="B19" s="9">
        <v>0.37480826007356216</v>
      </c>
      <c r="C19" s="9">
        <v>0.31428571428571428</v>
      </c>
      <c r="D19" s="9">
        <v>0.32456140350877194</v>
      </c>
      <c r="E19" s="9">
        <v>0.32142857142857145</v>
      </c>
      <c r="F19" s="9">
        <v>0.35467980295566504</v>
      </c>
      <c r="G19" s="9">
        <v>0.43089430894308944</v>
      </c>
      <c r="H19" s="9">
        <v>0.39622641509433965</v>
      </c>
      <c r="I19" s="9">
        <v>1</v>
      </c>
      <c r="J19" s="9">
        <f t="shared" ref="J19:P19" si="1">J18+B19</f>
        <v>1</v>
      </c>
      <c r="K19" s="9">
        <f t="shared" si="1"/>
        <v>0.99999999999999989</v>
      </c>
      <c r="L19" s="9">
        <f t="shared" si="1"/>
        <v>0.99999999999999989</v>
      </c>
      <c r="M19" s="9">
        <f t="shared" si="1"/>
        <v>1</v>
      </c>
      <c r="N19" s="9">
        <f t="shared" si="1"/>
        <v>1</v>
      </c>
      <c r="O19" s="9">
        <f t="shared" si="1"/>
        <v>1</v>
      </c>
      <c r="P19" s="9">
        <f t="shared" si="1"/>
        <v>1</v>
      </c>
    </row>
    <row r="21" spans="1:16" ht="28.8" x14ac:dyDescent="0.3">
      <c r="B21" s="2" t="s">
        <v>15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28</v>
      </c>
      <c r="J21" s="2" t="s">
        <v>15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33</v>
      </c>
      <c r="P21" s="10" t="s">
        <v>34</v>
      </c>
    </row>
    <row r="22" spans="1:16" x14ac:dyDescent="0.3">
      <c r="B22" s="1" t="s">
        <v>61</v>
      </c>
      <c r="C22" s="9">
        <f>C2-B2</f>
        <v>1.9030261331800195E-3</v>
      </c>
      <c r="D22" s="9">
        <f>D2-B2</f>
        <v>5.1611714965885402E-3</v>
      </c>
      <c r="E22" s="9">
        <f>E2-B2</f>
        <v>-1.2382688152534266E-2</v>
      </c>
      <c r="F22" s="9">
        <f>F2-B2</f>
        <v>1.7173962093771152E-2</v>
      </c>
      <c r="G22" s="9">
        <f>G2-B2</f>
        <v>1.2007555749904759E-2</v>
      </c>
      <c r="H22" s="9">
        <f>H2-B2</f>
        <v>-2.9487258883833228E-3</v>
      </c>
      <c r="J22" s="1" t="s">
        <v>61</v>
      </c>
      <c r="K22" s="8">
        <f>(J2-0) * ((K2+0))</f>
        <v>1.768955450362038E-4</v>
      </c>
      <c r="L22" s="8">
        <f>(J2-0) * ((L2+0))</f>
        <v>2.1724014302691694E-4</v>
      </c>
      <c r="M22" s="8">
        <f>(J2-0) * ((M2+0))</f>
        <v>0</v>
      </c>
      <c r="N22" s="8">
        <f>(J2-0) * ((N2+0))</f>
        <v>3.6599078283352507E-4</v>
      </c>
      <c r="O22" s="8">
        <f>(J2-0) * ((O2+0))</f>
        <v>3.0201678420815285E-4</v>
      </c>
      <c r="P22" s="8">
        <f>(J2-0) * ((P2+0))</f>
        <v>1.1681781275975722E-4</v>
      </c>
    </row>
    <row r="23" spans="1:16" x14ac:dyDescent="0.3">
      <c r="B23" s="1" t="s">
        <v>59</v>
      </c>
      <c r="C23" s="9">
        <f t="shared" ref="C23:C39" si="2">C3-B3</f>
        <v>-7.0747614884908916E-3</v>
      </c>
      <c r="D23" s="9">
        <f t="shared" ref="D23:D39" si="3">D3-B3</f>
        <v>-5.4456888067866312E-3</v>
      </c>
      <c r="E23" s="9">
        <f t="shared" ref="E23:E39" si="4">E3-B3</f>
        <v>-5.2890472027766061E-3</v>
      </c>
      <c r="F23" s="9">
        <f t="shared" ref="F23:F39" si="5">F3-B3</f>
        <v>-9.2915102569637968E-3</v>
      </c>
      <c r="G23" s="9">
        <f t="shared" ref="G23:G39" si="6">G3-B3</f>
        <v>2.0425439702779838E-3</v>
      </c>
      <c r="H23" s="9">
        <f t="shared" ref="H23:H39" si="7">H3-B3</f>
        <v>-4.7836563671970912E-3</v>
      </c>
      <c r="J23" s="1" t="s">
        <v>59</v>
      </c>
      <c r="K23" s="8">
        <f>(J3-J2) * ((K3+K2))</f>
        <v>5.0777209397671549E-4</v>
      </c>
      <c r="L23" s="8">
        <f>(J3-J2) * ((L3+L2))</f>
        <v>6.2357976453280845E-4</v>
      </c>
      <c r="M23" s="8">
        <f>(J3-J2) * ((M3+M2))</f>
        <v>1.2694302349417887E-4</v>
      </c>
      <c r="N23" s="8">
        <f>(J3-J2) * ((N3+N2))</f>
        <v>9.104878926479037E-4</v>
      </c>
      <c r="O23" s="8">
        <f>(J3-J2) * ((O3+O2))</f>
        <v>9.2472316301450621E-4</v>
      </c>
      <c r="P23" s="8">
        <f>(J3-J2) * ((P3+P2))</f>
        <v>4.023854329626802E-4</v>
      </c>
    </row>
    <row r="24" spans="1:16" x14ac:dyDescent="0.3">
      <c r="B24" s="1" t="s">
        <v>58</v>
      </c>
      <c r="C24" s="9">
        <f t="shared" si="2"/>
        <v>1.9472058397325184E-2</v>
      </c>
      <c r="D24" s="9">
        <f t="shared" si="3"/>
        <v>1.007356215672368E-2</v>
      </c>
      <c r="E24" s="9">
        <f t="shared" si="4"/>
        <v>-7.3136558883891006E-3</v>
      </c>
      <c r="F24" s="9">
        <f t="shared" si="5"/>
        <v>3.3018856426881835E-2</v>
      </c>
      <c r="G24" s="9">
        <f t="shared" si="6"/>
        <v>-1.2177186666554023E-2</v>
      </c>
      <c r="H24" s="9">
        <f t="shared" si="7"/>
        <v>1.2059659475492302E-2</v>
      </c>
      <c r="J24" s="1" t="s">
        <v>58</v>
      </c>
      <c r="K24" s="8">
        <f t="shared" ref="K24:K39" si="8">(J4-J3) * ((K4+K3))</f>
        <v>1.2761750034754702E-3</v>
      </c>
      <c r="L24" s="8">
        <f t="shared" ref="L24:L39" si="9">(J4-J3) * ((L4+L3))</f>
        <v>1.282281103970568E-3</v>
      </c>
      <c r="M24" s="8">
        <f t="shared" ref="M24:M39" si="10">(J4-J3) * ((M4+M3))</f>
        <v>4.3505966027572842E-4</v>
      </c>
      <c r="N24" s="8">
        <f t="shared" ref="N24:N39" si="11">(J4-J3) * ((N4+N3))</f>
        <v>1.9202633281135602E-3</v>
      </c>
      <c r="O24" s="8">
        <f t="shared" ref="O24:O39" si="12">(J4-J3) * ((O4+O3))</f>
        <v>1.3865316002283376E-3</v>
      </c>
      <c r="P24" s="8">
        <f t="shared" ref="P24:P39" si="13">(J4-J3) * ((P4+P3))</f>
        <v>1.0725999171577708E-3</v>
      </c>
    </row>
    <row r="25" spans="1:16" x14ac:dyDescent="0.3">
      <c r="B25" s="1" t="s">
        <v>65</v>
      </c>
      <c r="C25" s="9">
        <f t="shared" si="2"/>
        <v>1.0279851933186146E-2</v>
      </c>
      <c r="D25" s="9">
        <f t="shared" si="3"/>
        <v>1.6796142660003188E-2</v>
      </c>
      <c r="E25" s="9">
        <f t="shared" si="4"/>
        <v>-9.3630052096709965E-3</v>
      </c>
      <c r="F25" s="9">
        <f t="shared" si="5"/>
        <v>1.619118198244723E-2</v>
      </c>
      <c r="G25" s="9">
        <f t="shared" si="6"/>
        <v>1.0163707914603103E-2</v>
      </c>
      <c r="H25" s="9">
        <f t="shared" si="7"/>
        <v>-1.8291576638242425E-2</v>
      </c>
      <c r="J25" s="1" t="s">
        <v>65</v>
      </c>
      <c r="K25" s="8">
        <f t="shared" si="8"/>
        <v>2.6130823768917752E-3</v>
      </c>
      <c r="L25" s="8">
        <f t="shared" si="9"/>
        <v>2.5672388264199896E-3</v>
      </c>
      <c r="M25" s="8">
        <f t="shared" si="10"/>
        <v>8.1658824277867968E-4</v>
      </c>
      <c r="N25" s="8">
        <f t="shared" si="11"/>
        <v>3.6943578431918212E-3</v>
      </c>
      <c r="O25" s="8">
        <f t="shared" si="12"/>
        <v>2.1563240752399612E-3</v>
      </c>
      <c r="P25" s="8">
        <f t="shared" si="13"/>
        <v>1.7256204375700405E-3</v>
      </c>
    </row>
    <row r="26" spans="1:16" x14ac:dyDescent="0.3">
      <c r="B26" s="1" t="s">
        <v>68</v>
      </c>
      <c r="C26" s="9">
        <f t="shared" si="2"/>
        <v>9.9293595945363251E-3</v>
      </c>
      <c r="D26" s="9">
        <f t="shared" si="3"/>
        <v>7.6737204967919637E-3</v>
      </c>
      <c r="E26" s="9">
        <f t="shared" si="4"/>
        <v>-7.8492611974938925E-4</v>
      </c>
      <c r="F26" s="9">
        <f t="shared" si="5"/>
        <v>-1.8642068976892245E-2</v>
      </c>
      <c r="G26" s="9">
        <f t="shared" si="6"/>
        <v>-2.3819063752662274E-3</v>
      </c>
      <c r="H26" s="9">
        <f t="shared" si="7"/>
        <v>2.2585555140964067E-4</v>
      </c>
      <c r="J26" s="1" t="s">
        <v>68</v>
      </c>
      <c r="K26" s="8">
        <f t="shared" si="8"/>
        <v>3.7284137953784492E-3</v>
      </c>
      <c r="L26" s="8">
        <f t="shared" si="9"/>
        <v>3.7611191795484354E-3</v>
      </c>
      <c r="M26" s="8">
        <f t="shared" si="10"/>
        <v>1.3315763554923032E-3</v>
      </c>
      <c r="N26" s="8">
        <f t="shared" si="11"/>
        <v>4.4079769009400388E-3</v>
      </c>
      <c r="O26" s="8">
        <f t="shared" si="12"/>
        <v>3.0312307279499583E-3</v>
      </c>
      <c r="P26" s="8">
        <f t="shared" si="13"/>
        <v>2.1104229030444051E-3</v>
      </c>
    </row>
    <row r="27" spans="1:16" x14ac:dyDescent="0.3">
      <c r="B27" s="1" t="s">
        <v>63</v>
      </c>
      <c r="C27" s="9">
        <f t="shared" si="2"/>
        <v>3.2068576329573675E-4</v>
      </c>
      <c r="D27" s="9">
        <f t="shared" si="3"/>
        <v>3.152369328209273E-2</v>
      </c>
      <c r="E27" s="9">
        <f t="shared" si="4"/>
        <v>1.460640004901002E-2</v>
      </c>
      <c r="F27" s="9">
        <f t="shared" si="5"/>
        <v>-6.3295605421229834E-3</v>
      </c>
      <c r="G27" s="9">
        <f t="shared" si="6"/>
        <v>-7.8268241324317214E-4</v>
      </c>
      <c r="H27" s="9">
        <f t="shared" si="7"/>
        <v>-2.1107885665275692E-2</v>
      </c>
      <c r="J27" s="1" t="s">
        <v>63</v>
      </c>
      <c r="K27" s="8">
        <f t="shared" si="8"/>
        <v>5.2769714163189221E-3</v>
      </c>
      <c r="L27" s="8">
        <f t="shared" si="9"/>
        <v>5.9250205376212457E-3</v>
      </c>
      <c r="M27" s="8">
        <f t="shared" si="10"/>
        <v>2.6384857081594606E-3</v>
      </c>
      <c r="N27" s="8">
        <f t="shared" si="11"/>
        <v>5.3029663494042374E-3</v>
      </c>
      <c r="O27" s="8">
        <f t="shared" si="12"/>
        <v>4.2044162504004425E-3</v>
      </c>
      <c r="P27" s="8">
        <f t="shared" si="13"/>
        <v>2.7878339557911285E-3</v>
      </c>
    </row>
    <row r="28" spans="1:16" x14ac:dyDescent="0.3">
      <c r="B28" s="1" t="s">
        <v>71</v>
      </c>
      <c r="C28" s="9">
        <f t="shared" si="2"/>
        <v>5.3238077958921118E-2</v>
      </c>
      <c r="D28" s="9">
        <f t="shared" si="3"/>
        <v>2.0155371192003821E-2</v>
      </c>
      <c r="E28" s="9">
        <f t="shared" si="4"/>
        <v>2.1095220816063971E-2</v>
      </c>
      <c r="F28" s="9">
        <f t="shared" si="5"/>
        <v>-1.7697882632211889E-2</v>
      </c>
      <c r="G28" s="9">
        <f t="shared" si="6"/>
        <v>-1.2151004503332077E-2</v>
      </c>
      <c r="H28" s="9">
        <f t="shared" si="7"/>
        <v>-1.3608283227062711E-2</v>
      </c>
      <c r="J28" s="1" t="s">
        <v>71</v>
      </c>
      <c r="K28" s="8">
        <f t="shared" si="8"/>
        <v>1.1598645626915932E-2</v>
      </c>
      <c r="L28" s="8">
        <f t="shared" si="9"/>
        <v>1.2534676677509148E-2</v>
      </c>
      <c r="M28" s="8">
        <f t="shared" si="10"/>
        <v>6.9591873761495589E-3</v>
      </c>
      <c r="N28" s="8">
        <f t="shared" si="11"/>
        <v>9.1189351825408018E-3</v>
      </c>
      <c r="O28" s="8">
        <f t="shared" si="12"/>
        <v>7.7890091770996418E-3</v>
      </c>
      <c r="P28" s="8">
        <f t="shared" si="13"/>
        <v>4.9020690951493747E-3</v>
      </c>
    </row>
    <row r="29" spans="1:16" x14ac:dyDescent="0.3">
      <c r="B29" s="1" t="s">
        <v>72</v>
      </c>
      <c r="C29" s="9">
        <f t="shared" si="2"/>
        <v>2.0670212039028898E-3</v>
      </c>
      <c r="D29" s="9">
        <f t="shared" si="3"/>
        <v>-7.3314750366986134E-3</v>
      </c>
      <c r="E29" s="9">
        <f t="shared" si="4"/>
        <v>-6.8615502246685382E-3</v>
      </c>
      <c r="F29" s="9">
        <f t="shared" si="5"/>
        <v>-2.8721156135998585E-2</v>
      </c>
      <c r="G29" s="9">
        <f t="shared" si="6"/>
        <v>-2.145214255916331E-2</v>
      </c>
      <c r="H29" s="9">
        <f t="shared" si="7"/>
        <v>-2.4213302246231881E-2</v>
      </c>
      <c r="J29" s="1" t="s">
        <v>72</v>
      </c>
      <c r="K29" s="8">
        <f t="shared" si="8"/>
        <v>1.6102619444254639E-2</v>
      </c>
      <c r="L29" s="8">
        <f t="shared" si="9"/>
        <v>1.5643026482897282E-2</v>
      </c>
      <c r="M29" s="8">
        <f t="shared" si="10"/>
        <v>9.9139261503806541E-3</v>
      </c>
      <c r="N29" s="8">
        <f t="shared" si="11"/>
        <v>1.0110754360262821E-2</v>
      </c>
      <c r="O29" s="8">
        <f t="shared" si="12"/>
        <v>9.1640923666489807E-3</v>
      </c>
      <c r="P29" s="8">
        <f t="shared" si="13"/>
        <v>6.0311134499742803E-3</v>
      </c>
    </row>
    <row r="30" spans="1:16" x14ac:dyDescent="0.3">
      <c r="B30" s="1" t="s">
        <v>64</v>
      </c>
      <c r="C30" s="9">
        <f t="shared" si="2"/>
        <v>2.8370558172303204E-2</v>
      </c>
      <c r="D30" s="9">
        <f t="shared" si="3"/>
        <v>7.9444930093959393E-3</v>
      </c>
      <c r="E30" s="9">
        <f t="shared" si="4"/>
        <v>1.7656272458017493E-2</v>
      </c>
      <c r="F30" s="9">
        <f t="shared" si="5"/>
        <v>-1.621072261587413E-2</v>
      </c>
      <c r="G30" s="9">
        <f t="shared" si="6"/>
        <v>-2.7785074812598065E-2</v>
      </c>
      <c r="H30" s="9">
        <f t="shared" si="7"/>
        <v>-2.6481193849260135E-2</v>
      </c>
      <c r="J30" s="1" t="s">
        <v>64</v>
      </c>
      <c r="K30" s="8">
        <f t="shared" si="8"/>
        <v>2.0779483179902129E-2</v>
      </c>
      <c r="L30" s="8">
        <f t="shared" si="9"/>
        <v>1.9217758972965585E-2</v>
      </c>
      <c r="M30" s="8">
        <f t="shared" si="10"/>
        <v>1.3468183542529159E-2</v>
      </c>
      <c r="N30" s="8">
        <f t="shared" si="11"/>
        <v>1.1676848785641045E-2</v>
      </c>
      <c r="O30" s="8">
        <f t="shared" si="12"/>
        <v>1.0511753008803245E-2</v>
      </c>
      <c r="P30" s="8">
        <f t="shared" si="13"/>
        <v>7.1152667771852149E-3</v>
      </c>
    </row>
    <row r="31" spans="1:16" x14ac:dyDescent="0.3">
      <c r="B31" s="1" t="s">
        <v>69</v>
      </c>
      <c r="C31" s="9">
        <f t="shared" si="2"/>
        <v>-2.8825903681170963E-2</v>
      </c>
      <c r="D31" s="9">
        <f t="shared" si="3"/>
        <v>-9.652971350343896E-3</v>
      </c>
      <c r="E31" s="9">
        <f t="shared" si="4"/>
        <v>-2.7040189395456677E-2</v>
      </c>
      <c r="F31" s="9">
        <f t="shared" si="5"/>
        <v>8.3662145454300244E-3</v>
      </c>
      <c r="G31" s="9">
        <f t="shared" si="6"/>
        <v>-3.19037201736216E-2</v>
      </c>
      <c r="H31" s="9">
        <f t="shared" si="7"/>
        <v>-1.7100836295726219E-2</v>
      </c>
      <c r="J31" s="1" t="s">
        <v>69</v>
      </c>
      <c r="K31" s="8">
        <f t="shared" si="8"/>
        <v>2.3379694535618268E-2</v>
      </c>
      <c r="L31" s="8">
        <f t="shared" si="9"/>
        <v>2.1770565761911751E-2</v>
      </c>
      <c r="M31" s="8">
        <f t="shared" si="10"/>
        <v>1.5736332860512299E-2</v>
      </c>
      <c r="N31" s="8">
        <f t="shared" si="11"/>
        <v>1.3997695099006014E-2</v>
      </c>
      <c r="O31" s="8">
        <f t="shared" si="12"/>
        <v>1.0966085617081739E-2</v>
      </c>
      <c r="P31" s="8">
        <f t="shared" si="13"/>
        <v>8.1438703752516467E-3</v>
      </c>
    </row>
    <row r="32" spans="1:16" x14ac:dyDescent="0.3">
      <c r="B32" s="1" t="s">
        <v>66</v>
      </c>
      <c r="C32" s="9">
        <f t="shared" si="2"/>
        <v>5.2183891254303089E-3</v>
      </c>
      <c r="D32" s="9">
        <f t="shared" si="3"/>
        <v>-2.5510344334669366E-3</v>
      </c>
      <c r="E32" s="9">
        <f t="shared" si="4"/>
        <v>3.3789817696858876E-2</v>
      </c>
      <c r="F32" s="9">
        <f t="shared" si="5"/>
        <v>2.1474546760898286E-2</v>
      </c>
      <c r="G32" s="9">
        <f t="shared" si="6"/>
        <v>-1.0533878780540143E-3</v>
      </c>
      <c r="H32" s="9">
        <f t="shared" si="7"/>
        <v>2.8398982117344054E-2</v>
      </c>
      <c r="J32" s="1" t="s">
        <v>66</v>
      </c>
      <c r="K32" s="8">
        <f t="shared" si="8"/>
        <v>2.6347127612198783E-2</v>
      </c>
      <c r="L32" s="8">
        <f t="shared" si="9"/>
        <v>2.5092502487808366E-2</v>
      </c>
      <c r="M32" s="8">
        <f t="shared" si="10"/>
        <v>1.9491497468208281E-2</v>
      </c>
      <c r="N32" s="8">
        <f t="shared" si="11"/>
        <v>1.8541257995917514E-2</v>
      </c>
      <c r="O32" s="8">
        <f t="shared" si="12"/>
        <v>1.3005260435754333E-2</v>
      </c>
      <c r="P32" s="8">
        <f t="shared" si="13"/>
        <v>1.171772521836334E-2</v>
      </c>
    </row>
    <row r="33" spans="2:16" x14ac:dyDescent="0.3">
      <c r="B33" s="1" t="s">
        <v>60</v>
      </c>
      <c r="C33" s="9">
        <f t="shared" si="2"/>
        <v>4.2282924484510903E-4</v>
      </c>
      <c r="D33" s="9">
        <f t="shared" si="3"/>
        <v>2.7741124984193476E-2</v>
      </c>
      <c r="E33" s="9">
        <f t="shared" si="4"/>
        <v>2.2085435305593953E-3</v>
      </c>
      <c r="F33" s="9">
        <f t="shared" si="5"/>
        <v>2.6531203629081561E-2</v>
      </c>
      <c r="G33" s="9">
        <f t="shared" si="6"/>
        <v>-1.3979029059452221E-2</v>
      </c>
      <c r="H33" s="9">
        <f t="shared" si="7"/>
        <v>-4.6984645556939764E-3</v>
      </c>
      <c r="J33" s="1" t="s">
        <v>60</v>
      </c>
      <c r="K33" s="8">
        <f t="shared" si="8"/>
        <v>3.3341246409662531E-2</v>
      </c>
      <c r="L33" s="8">
        <f t="shared" si="9"/>
        <v>3.2756312262124589E-2</v>
      </c>
      <c r="M33" s="8">
        <f t="shared" si="10"/>
        <v>2.6900323807795907E-2</v>
      </c>
      <c r="N33" s="8">
        <f t="shared" si="11"/>
        <v>2.6338539483495169E-2</v>
      </c>
      <c r="O33" s="8">
        <f t="shared" si="12"/>
        <v>1.7422218190414937E-2</v>
      </c>
      <c r="P33" s="8">
        <f t="shared" si="13"/>
        <v>1.7614243386236808E-2</v>
      </c>
    </row>
    <row r="34" spans="2:16" x14ac:dyDescent="0.3">
      <c r="B34" s="1" t="s">
        <v>70</v>
      </c>
      <c r="C34" s="9">
        <f t="shared" si="2"/>
        <v>-2.3842668407150748E-2</v>
      </c>
      <c r="D34" s="9">
        <f t="shared" si="3"/>
        <v>-1.8955450362037968E-2</v>
      </c>
      <c r="E34" s="9">
        <f t="shared" si="4"/>
        <v>-9.5569541214364645E-3</v>
      </c>
      <c r="F34" s="9">
        <f t="shared" si="5"/>
        <v>3.98984390812019E-3</v>
      </c>
      <c r="G34" s="9">
        <f t="shared" si="6"/>
        <v>-8.6858739820636424E-3</v>
      </c>
      <c r="H34" s="9">
        <f t="shared" si="7"/>
        <v>-3.5837277571571236E-2</v>
      </c>
      <c r="J34" s="1" t="s">
        <v>70</v>
      </c>
      <c r="K34" s="8">
        <f t="shared" si="8"/>
        <v>3.8480553860363843E-2</v>
      </c>
      <c r="L34" s="8">
        <f t="shared" si="9"/>
        <v>3.9314497752074518E-2</v>
      </c>
      <c r="M34" s="8">
        <f t="shared" si="10"/>
        <v>3.2336599882658697E-2</v>
      </c>
      <c r="N34" s="8">
        <f t="shared" si="11"/>
        <v>3.3451655051026236E-2</v>
      </c>
      <c r="O34" s="8">
        <f t="shared" si="12"/>
        <v>2.1531443336502008E-2</v>
      </c>
      <c r="P34" s="8">
        <f t="shared" si="13"/>
        <v>2.0927271244814968E-2</v>
      </c>
    </row>
    <row r="35" spans="2:16" x14ac:dyDescent="0.3">
      <c r="B35" s="1" t="s">
        <v>67</v>
      </c>
      <c r="C35" s="9">
        <f t="shared" si="2"/>
        <v>-2.6312608534812432E-2</v>
      </c>
      <c r="D35" s="9">
        <f t="shared" si="3"/>
        <v>1.3662328808545961E-2</v>
      </c>
      <c r="E35" s="9">
        <f t="shared" si="4"/>
        <v>-3.0983228205267166E-3</v>
      </c>
      <c r="F35" s="9">
        <f t="shared" si="5"/>
        <v>1.1372120529226974E-2</v>
      </c>
      <c r="G35" s="9">
        <f t="shared" si="6"/>
        <v>6.6079958247998255E-2</v>
      </c>
      <c r="H35" s="9">
        <f t="shared" si="7"/>
        <v>3.7164480413974625E-2</v>
      </c>
      <c r="J35" s="1" t="s">
        <v>67</v>
      </c>
      <c r="K35" s="8">
        <f t="shared" si="8"/>
        <v>4.2626053538735567E-2</v>
      </c>
      <c r="L35" s="8">
        <f t="shared" si="9"/>
        <v>4.5647268561481033E-2</v>
      </c>
      <c r="M35" s="8">
        <f t="shared" si="10"/>
        <v>3.7937187649474652E-2</v>
      </c>
      <c r="N35" s="8">
        <f t="shared" si="11"/>
        <v>4.0450654944344931E-2</v>
      </c>
      <c r="O35" s="8">
        <f t="shared" si="12"/>
        <v>2.9886754936427281E-2</v>
      </c>
      <c r="P35" s="8">
        <f t="shared" si="13"/>
        <v>2.6572920923015532E-2</v>
      </c>
    </row>
    <row r="36" spans="2:16" x14ac:dyDescent="0.3">
      <c r="B36" s="1" t="s">
        <v>62</v>
      </c>
      <c r="C36" s="9">
        <f t="shared" si="2"/>
        <v>-1.8364620419742558E-2</v>
      </c>
      <c r="D36" s="9">
        <f t="shared" si="3"/>
        <v>-1.8991186835782659E-2</v>
      </c>
      <c r="E36" s="9">
        <f t="shared" si="4"/>
        <v>-9.4360489911711268E-3</v>
      </c>
      <c r="F36" s="9">
        <f t="shared" si="5"/>
        <v>-1.9596147513338616E-2</v>
      </c>
      <c r="G36" s="9">
        <f t="shared" si="6"/>
        <v>-2.5623621581182743E-2</v>
      </c>
      <c r="H36" s="9">
        <f t="shared" si="7"/>
        <v>-1.6343057077424498E-2</v>
      </c>
      <c r="J36" s="1" t="s">
        <v>62</v>
      </c>
      <c r="K36" s="8">
        <f t="shared" si="8"/>
        <v>5.137496082732685E-2</v>
      </c>
      <c r="L36" s="8">
        <f t="shared" si="9"/>
        <v>5.6925164351608694E-2</v>
      </c>
      <c r="M36" s="8">
        <f t="shared" si="10"/>
        <v>4.7801890243471416E-2</v>
      </c>
      <c r="N36" s="8">
        <f t="shared" si="11"/>
        <v>5.0882123505415766E-2</v>
      </c>
      <c r="O36" s="8">
        <f t="shared" si="12"/>
        <v>4.1548427883460741E-2</v>
      </c>
      <c r="P36" s="8">
        <f t="shared" si="13"/>
        <v>3.6732841902358822E-2</v>
      </c>
    </row>
    <row r="37" spans="2:16" x14ac:dyDescent="0.3">
      <c r="B37" s="1" t="s">
        <v>57</v>
      </c>
      <c r="C37" s="9">
        <f t="shared" si="2"/>
        <v>1.309227314604279E-2</v>
      </c>
      <c r="D37" s="9">
        <f t="shared" si="3"/>
        <v>-1.1218503796313103E-2</v>
      </c>
      <c r="E37" s="9">
        <f t="shared" si="4"/>
        <v>1.6663701717471363E-2</v>
      </c>
      <c r="F37" s="9">
        <f t="shared" si="5"/>
        <v>-3.6564953268636152E-3</v>
      </c>
      <c r="G37" s="9">
        <f t="shared" si="6"/>
        <v>1.2743841090293667E-2</v>
      </c>
      <c r="H37" s="9">
        <f t="shared" si="7"/>
        <v>8.7755345922323105E-2</v>
      </c>
      <c r="J37" s="1" t="s">
        <v>57</v>
      </c>
      <c r="K37" s="8">
        <f t="shared" si="8"/>
        <v>7.780929918026025E-2</v>
      </c>
      <c r="L37" s="8">
        <f t="shared" si="9"/>
        <v>8.3451610933682627E-2</v>
      </c>
      <c r="M37" s="8">
        <f t="shared" si="10"/>
        <v>7.3918834221247245E-2</v>
      </c>
      <c r="N37" s="8">
        <f t="shared" si="11"/>
        <v>7.5841707706736441E-2</v>
      </c>
      <c r="O37" s="8">
        <f t="shared" si="12"/>
        <v>6.4060881005319967E-2</v>
      </c>
      <c r="P37" s="8">
        <f t="shared" si="13"/>
        <v>6.3715539328741411E-2</v>
      </c>
    </row>
    <row r="38" spans="2:16" x14ac:dyDescent="0.3">
      <c r="B38" s="1" t="s">
        <v>56</v>
      </c>
      <c r="C38" s="9">
        <f t="shared" si="2"/>
        <v>2.0628977646246605E-2</v>
      </c>
      <c r="D38" s="9">
        <f t="shared" si="3"/>
        <v>-1.6338440900119308E-2</v>
      </c>
      <c r="E38" s="9">
        <f t="shared" si="4"/>
        <v>3.8486120503389468E-2</v>
      </c>
      <c r="F38" s="9">
        <f t="shared" si="5"/>
        <v>2.1560712423057266E-3</v>
      </c>
      <c r="G38" s="9">
        <f t="shared" si="6"/>
        <v>-1.1480258380739405E-3</v>
      </c>
      <c r="H38" s="9">
        <f t="shared" si="7"/>
        <v>-1.6082191192520467E-3</v>
      </c>
      <c r="J38" s="1" t="s">
        <v>56</v>
      </c>
      <c r="K38" s="8">
        <f t="shared" si="8"/>
        <v>0.1093782619350004</v>
      </c>
      <c r="L38" s="8">
        <f t="shared" si="9"/>
        <v>0.11079847725004499</v>
      </c>
      <c r="M38" s="8">
        <f t="shared" si="10"/>
        <v>0.10659745866546648</v>
      </c>
      <c r="N38" s="8">
        <f t="shared" si="11"/>
        <v>0.10398712609444806</v>
      </c>
      <c r="O38" s="8">
        <f t="shared" si="12"/>
        <v>9.1085751177325674E-2</v>
      </c>
      <c r="P38" s="8">
        <f t="shared" si="13"/>
        <v>9.7124072265062728E-2</v>
      </c>
    </row>
    <row r="39" spans="2:16" x14ac:dyDescent="0.3">
      <c r="B39" s="1" t="s">
        <v>55</v>
      </c>
      <c r="C39" s="9">
        <f t="shared" si="2"/>
        <v>-6.0522545787847881E-2</v>
      </c>
      <c r="D39" s="9">
        <f t="shared" si="3"/>
        <v>-5.0246856564790221E-2</v>
      </c>
      <c r="E39" s="9">
        <f t="shared" si="4"/>
        <v>-5.3379688644990708E-2</v>
      </c>
      <c r="F39" s="9">
        <f t="shared" si="5"/>
        <v>-2.0128457117897125E-2</v>
      </c>
      <c r="G39" s="9">
        <f t="shared" si="6"/>
        <v>5.6086048869527283E-2</v>
      </c>
      <c r="H39" s="9">
        <f t="shared" si="7"/>
        <v>2.1418155020777485E-2</v>
      </c>
      <c r="J39" s="1" t="s">
        <v>55</v>
      </c>
      <c r="K39" s="8">
        <f t="shared" si="8"/>
        <v>0.631819638409719</v>
      </c>
      <c r="L39" s="8">
        <f t="shared" si="9"/>
        <v>0.62796822521096807</v>
      </c>
      <c r="M39" s="8">
        <f t="shared" si="10"/>
        <v>0.62914243655205071</v>
      </c>
      <c r="N39" s="8">
        <f t="shared" si="11"/>
        <v>0.61667960031807767</v>
      </c>
      <c r="O39" s="8">
        <f t="shared" si="12"/>
        <v>0.58811377393656505</v>
      </c>
      <c r="P39" s="8">
        <f t="shared" si="13"/>
        <v>0.60110758691042987</v>
      </c>
    </row>
    <row r="40" spans="2:16" x14ac:dyDescent="0.3">
      <c r="J40" s="11" t="s">
        <v>35</v>
      </c>
      <c r="K40" s="10">
        <f>SUM(K22:K39)</f>
        <v>1.0966168947910357</v>
      </c>
      <c r="L40" s="10">
        <f t="shared" ref="L40:P40" si="14">SUM(L22:L39)</f>
        <v>1.1054965662601965</v>
      </c>
      <c r="M40" s="10">
        <f t="shared" si="14"/>
        <v>1.0255525114101454</v>
      </c>
      <c r="N40" s="10">
        <f t="shared" si="14"/>
        <v>1.0276789416240435</v>
      </c>
      <c r="O40" s="10">
        <f t="shared" si="14"/>
        <v>0.917090693672445</v>
      </c>
      <c r="P40" s="10">
        <f t="shared" si="14"/>
        <v>0.90992020133586982</v>
      </c>
    </row>
    <row r="41" spans="2:16" x14ac:dyDescent="0.3">
      <c r="J41" s="12" t="s">
        <v>36</v>
      </c>
      <c r="K41" s="13">
        <f>1-K40</f>
        <v>-9.6616894791035746E-2</v>
      </c>
      <c r="L41" s="13">
        <f t="shared" ref="L41:P41" si="15">1-L40</f>
        <v>-0.10549656626019654</v>
      </c>
      <c r="M41" s="13">
        <f t="shared" si="15"/>
        <v>-2.5552511410145362E-2</v>
      </c>
      <c r="N41" s="13">
        <f t="shared" si="15"/>
        <v>-2.7678941624043496E-2</v>
      </c>
      <c r="O41" s="13">
        <f t="shared" si="15"/>
        <v>8.2909306327554999E-2</v>
      </c>
      <c r="P41" s="13">
        <f t="shared" si="15"/>
        <v>9.0079798664130184E-2</v>
      </c>
    </row>
  </sheetData>
  <sortState xmlns:xlrd2="http://schemas.microsoft.com/office/spreadsheetml/2017/richdata2" ref="A2:P20">
    <sortCondition ref="B1:B2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BARBACENA</vt:lpstr>
      <vt:lpstr>CONGONHAS</vt:lpstr>
      <vt:lpstr>C. LAFAIETE</vt:lpstr>
      <vt:lpstr>SÃO JOÃO DEL REI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2025-04-19T23:33:37Z</dcterms:created>
  <dcterms:modified xsi:type="dcterms:W3CDTF">2025-08-24T00:34:07Z</dcterms:modified>
</cp:coreProperties>
</file>