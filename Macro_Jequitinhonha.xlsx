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irurgia_geral/"/>
    </mc:Choice>
  </mc:AlternateContent>
  <xr:revisionPtr revIDLastSave="2" documentId="8_{7893E6BB-230F-4147-9053-26457D7BC7F3}" xr6:coauthVersionLast="47" xr6:coauthVersionMax="47" xr10:uidLastSave="{C50FC88B-ABDE-4F80-9005-41FEDC48AE04}"/>
  <bookViews>
    <workbookView xWindow="11424" yWindow="0" windowWidth="11712" windowHeight="12336" firstSheet="3" activeTab="3" xr2:uid="{1E5F6FC4-0BEA-4BCA-9BB4-1A6107782226}"/>
  </bookViews>
  <sheets>
    <sheet name="ARAÇUAÍ" sheetId="1" r:id="rId1"/>
    <sheet name="DIAMANTINA" sheetId="2" r:id="rId2"/>
    <sheet name="SERRO" sheetId="3" r:id="rId3"/>
    <sheet name="TURMALINA-MINAS NOVA-CAPELINH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2" l="1"/>
  <c r="P12" i="4"/>
  <c r="O12" i="4"/>
  <c r="N12" i="4"/>
  <c r="M12" i="4"/>
  <c r="L12" i="4"/>
  <c r="K12" i="4"/>
  <c r="K11" i="3"/>
  <c r="L11" i="3"/>
  <c r="M11" i="3"/>
  <c r="N11" i="3"/>
  <c r="O11" i="3"/>
  <c r="P11" i="3"/>
  <c r="K12" i="3"/>
  <c r="L12" i="3"/>
  <c r="M12" i="3"/>
  <c r="N12" i="3"/>
  <c r="O12" i="3"/>
  <c r="P12" i="3"/>
  <c r="K13" i="3"/>
  <c r="L13" i="3"/>
  <c r="M13" i="3"/>
  <c r="N13" i="3"/>
  <c r="O13" i="3"/>
  <c r="P13" i="3"/>
  <c r="P10" i="3"/>
  <c r="O10" i="3"/>
  <c r="N10" i="3"/>
  <c r="M10" i="3"/>
  <c r="L10" i="3"/>
  <c r="K10" i="3"/>
  <c r="P9" i="3"/>
  <c r="O9" i="3"/>
  <c r="N9" i="3"/>
  <c r="M9" i="3"/>
  <c r="L9" i="3"/>
  <c r="K9" i="3"/>
  <c r="P16" i="2"/>
  <c r="O16" i="2"/>
  <c r="N16" i="2"/>
  <c r="M16" i="2"/>
  <c r="L16" i="2"/>
  <c r="K16" i="2"/>
  <c r="P10" i="1" l="1"/>
  <c r="O10" i="1"/>
  <c r="N10" i="1"/>
  <c r="M10" i="1"/>
  <c r="L10" i="1"/>
  <c r="K10" i="1"/>
  <c r="E13" i="4" l="1"/>
  <c r="F13" i="4"/>
  <c r="G13" i="4"/>
  <c r="H13" i="4"/>
  <c r="E14" i="4"/>
  <c r="F14" i="4"/>
  <c r="G14" i="4"/>
  <c r="H14" i="4"/>
  <c r="E15" i="4"/>
  <c r="F15" i="4"/>
  <c r="G15" i="4"/>
  <c r="H15" i="4"/>
  <c r="E16" i="4"/>
  <c r="F16" i="4"/>
  <c r="G16" i="4"/>
  <c r="H16" i="4"/>
  <c r="E17" i="4"/>
  <c r="F17" i="4"/>
  <c r="G17" i="4"/>
  <c r="H17" i="4"/>
  <c r="E18" i="4"/>
  <c r="F18" i="4"/>
  <c r="G18" i="4"/>
  <c r="H18" i="4"/>
  <c r="E19" i="4"/>
  <c r="F19" i="4"/>
  <c r="G19" i="4"/>
  <c r="H19" i="4"/>
  <c r="H12" i="4"/>
  <c r="G12" i="4"/>
  <c r="F12" i="4"/>
  <c r="E12" i="4"/>
  <c r="D13" i="4"/>
  <c r="D14" i="4"/>
  <c r="D15" i="4"/>
  <c r="D16" i="4"/>
  <c r="D17" i="4"/>
  <c r="D18" i="4"/>
  <c r="D19" i="4"/>
  <c r="D12" i="4"/>
  <c r="C13" i="4"/>
  <c r="C14" i="4"/>
  <c r="C15" i="4"/>
  <c r="C16" i="4"/>
  <c r="C17" i="4"/>
  <c r="C18" i="4"/>
  <c r="C19" i="4"/>
  <c r="C12" i="4"/>
  <c r="P3" i="4"/>
  <c r="P4" i="4" s="1"/>
  <c r="P5" i="4" s="1"/>
  <c r="P6" i="4" s="1"/>
  <c r="P7" i="4" s="1"/>
  <c r="P8" i="4" s="1"/>
  <c r="P9" i="4" s="1"/>
  <c r="O3" i="4"/>
  <c r="O4" i="4" s="1"/>
  <c r="O5" i="4" s="1"/>
  <c r="O6" i="4" s="1"/>
  <c r="O7" i="4" s="1"/>
  <c r="O8" i="4" s="1"/>
  <c r="O9" i="4" s="1"/>
  <c r="N3" i="4"/>
  <c r="N4" i="4" s="1"/>
  <c r="N5" i="4" s="1"/>
  <c r="N6" i="4" s="1"/>
  <c r="N7" i="4" s="1"/>
  <c r="N8" i="4" s="1"/>
  <c r="N9" i="4" s="1"/>
  <c r="M3" i="4"/>
  <c r="M4" i="4" s="1"/>
  <c r="M5" i="4" s="1"/>
  <c r="M6" i="4" s="1"/>
  <c r="M7" i="4" s="1"/>
  <c r="M8" i="4" s="1"/>
  <c r="M9" i="4" s="1"/>
  <c r="L3" i="4"/>
  <c r="L4" i="4" s="1"/>
  <c r="L5" i="4" s="1"/>
  <c r="L6" i="4" s="1"/>
  <c r="L7" i="4" s="1"/>
  <c r="L8" i="4" s="1"/>
  <c r="L9" i="4" s="1"/>
  <c r="K3" i="4"/>
  <c r="K4" i="4" s="1"/>
  <c r="K5" i="4" s="1"/>
  <c r="K6" i="4" s="1"/>
  <c r="K7" i="4" s="1"/>
  <c r="K8" i="4" s="1"/>
  <c r="K9" i="4" s="1"/>
  <c r="J3" i="4"/>
  <c r="C10" i="3"/>
  <c r="D10" i="3"/>
  <c r="E10" i="3"/>
  <c r="F10" i="3"/>
  <c r="G10" i="3"/>
  <c r="H10" i="3"/>
  <c r="C11" i="3"/>
  <c r="D11" i="3"/>
  <c r="E11" i="3"/>
  <c r="F11" i="3"/>
  <c r="G11" i="3"/>
  <c r="H11" i="3"/>
  <c r="C12" i="3"/>
  <c r="D12" i="3"/>
  <c r="E12" i="3"/>
  <c r="F12" i="3"/>
  <c r="G12" i="3"/>
  <c r="H12" i="3"/>
  <c r="C13" i="3"/>
  <c r="D13" i="3"/>
  <c r="E13" i="3"/>
  <c r="F13" i="3"/>
  <c r="G13" i="3"/>
  <c r="H13" i="3"/>
  <c r="H9" i="3"/>
  <c r="G9" i="3"/>
  <c r="F9" i="3"/>
  <c r="E9" i="3"/>
  <c r="D9" i="3"/>
  <c r="C9" i="3"/>
  <c r="P3" i="3"/>
  <c r="P4" i="3" s="1"/>
  <c r="P5" i="3" s="1"/>
  <c r="P6" i="3" s="1"/>
  <c r="O3" i="3"/>
  <c r="O4" i="3" s="1"/>
  <c r="O5" i="3" s="1"/>
  <c r="O6" i="3" s="1"/>
  <c r="N3" i="3"/>
  <c r="N4" i="3" s="1"/>
  <c r="N5" i="3" s="1"/>
  <c r="N6" i="3" s="1"/>
  <c r="M3" i="3"/>
  <c r="M4" i="3" s="1"/>
  <c r="M5" i="3" s="1"/>
  <c r="M6" i="3" s="1"/>
  <c r="L3" i="3"/>
  <c r="L4" i="3" s="1"/>
  <c r="L5" i="3" s="1"/>
  <c r="L6" i="3" s="1"/>
  <c r="K3" i="3"/>
  <c r="K4" i="3" s="1"/>
  <c r="K5" i="3" s="1"/>
  <c r="K6" i="3" s="1"/>
  <c r="J3" i="3"/>
  <c r="J4" i="3" s="1"/>
  <c r="J5" i="3" s="1"/>
  <c r="J6" i="3" s="1"/>
  <c r="H27" i="2"/>
  <c r="G27" i="2"/>
  <c r="F27" i="2"/>
  <c r="E27" i="2"/>
  <c r="D27" i="2"/>
  <c r="C27" i="2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J3" i="2"/>
  <c r="H11" i="1"/>
  <c r="H12" i="1"/>
  <c r="H13" i="1"/>
  <c r="H14" i="1"/>
  <c r="H15" i="1"/>
  <c r="G11" i="1"/>
  <c r="G12" i="1"/>
  <c r="G13" i="1"/>
  <c r="G14" i="1"/>
  <c r="G15" i="1"/>
  <c r="F11" i="1"/>
  <c r="F12" i="1"/>
  <c r="F13" i="1"/>
  <c r="F14" i="1"/>
  <c r="F15" i="1"/>
  <c r="E11" i="1"/>
  <c r="E12" i="1"/>
  <c r="E13" i="1"/>
  <c r="E14" i="1"/>
  <c r="E15" i="1"/>
  <c r="D11" i="1"/>
  <c r="D12" i="1"/>
  <c r="D13" i="1"/>
  <c r="D14" i="1"/>
  <c r="D15" i="1"/>
  <c r="C11" i="1"/>
  <c r="C12" i="1"/>
  <c r="C13" i="1"/>
  <c r="C14" i="1"/>
  <c r="C15" i="1"/>
  <c r="H10" i="1"/>
  <c r="G10" i="1"/>
  <c r="F10" i="1"/>
  <c r="E10" i="1"/>
  <c r="D10" i="1"/>
  <c r="C10" i="1"/>
  <c r="L4" i="1"/>
  <c r="L5" i="1" s="1"/>
  <c r="L6" i="1" s="1"/>
  <c r="L7" i="1" s="1"/>
  <c r="P3" i="1"/>
  <c r="P4" i="1" s="1"/>
  <c r="P5" i="1" s="1"/>
  <c r="P6" i="1" s="1"/>
  <c r="P7" i="1" s="1"/>
  <c r="O3" i="1"/>
  <c r="O4" i="1" s="1"/>
  <c r="O5" i="1" s="1"/>
  <c r="O6" i="1" s="1"/>
  <c r="O7" i="1" s="1"/>
  <c r="N3" i="1"/>
  <c r="N4" i="1" s="1"/>
  <c r="N5" i="1" s="1"/>
  <c r="N6" i="1" s="1"/>
  <c r="N7" i="1" s="1"/>
  <c r="M3" i="1"/>
  <c r="M4" i="1" s="1"/>
  <c r="M5" i="1" s="1"/>
  <c r="M6" i="1" s="1"/>
  <c r="M7" i="1" s="1"/>
  <c r="L3" i="1"/>
  <c r="K3" i="1"/>
  <c r="K4" i="1" s="1"/>
  <c r="K5" i="1" s="1"/>
  <c r="K6" i="1" s="1"/>
  <c r="K7" i="1" s="1"/>
  <c r="J3" i="1"/>
  <c r="J4" i="4" l="1"/>
  <c r="L13" i="4"/>
  <c r="K13" i="4"/>
  <c r="P13" i="4"/>
  <c r="N13" i="4"/>
  <c r="O13" i="4"/>
  <c r="M13" i="4"/>
  <c r="L14" i="3"/>
  <c r="L15" i="3" s="1"/>
  <c r="K14" i="3"/>
  <c r="K15" i="3" s="1"/>
  <c r="P14" i="3"/>
  <c r="P15" i="3" s="1"/>
  <c r="N14" i="3"/>
  <c r="N15" i="3" s="1"/>
  <c r="M14" i="3"/>
  <c r="M15" i="3" s="1"/>
  <c r="J4" i="2"/>
  <c r="L17" i="2"/>
  <c r="K17" i="2"/>
  <c r="P17" i="2"/>
  <c r="N17" i="2"/>
  <c r="M17" i="2"/>
  <c r="O17" i="2"/>
  <c r="J4" i="1"/>
  <c r="N11" i="1"/>
  <c r="L11" i="1"/>
  <c r="K11" i="1"/>
  <c r="P11" i="1"/>
  <c r="O11" i="1"/>
  <c r="M11" i="1"/>
  <c r="J5" i="4" l="1"/>
  <c r="K14" i="4"/>
  <c r="O14" i="4"/>
  <c r="P14" i="4"/>
  <c r="L14" i="4"/>
  <c r="M14" i="4"/>
  <c r="N14" i="4"/>
  <c r="O14" i="3"/>
  <c r="O15" i="3" s="1"/>
  <c r="J5" i="2"/>
  <c r="N18" i="2"/>
  <c r="M18" i="2"/>
  <c r="L18" i="2"/>
  <c r="K18" i="2"/>
  <c r="P18" i="2"/>
  <c r="O18" i="2"/>
  <c r="J5" i="1"/>
  <c r="P12" i="1"/>
  <c r="L12" i="1"/>
  <c r="O12" i="1"/>
  <c r="N12" i="1"/>
  <c r="M12" i="1"/>
  <c r="K12" i="1"/>
  <c r="J6" i="4" l="1"/>
  <c r="M15" i="4"/>
  <c r="L15" i="4"/>
  <c r="N15" i="4"/>
  <c r="O15" i="4"/>
  <c r="P15" i="4"/>
  <c r="K15" i="4"/>
  <c r="J6" i="2"/>
  <c r="P19" i="2"/>
  <c r="O19" i="2"/>
  <c r="N19" i="2"/>
  <c r="K19" i="2"/>
  <c r="M19" i="2"/>
  <c r="L19" i="2"/>
  <c r="J6" i="1"/>
  <c r="P13" i="1"/>
  <c r="O13" i="1"/>
  <c r="M13" i="1"/>
  <c r="N13" i="1"/>
  <c r="L13" i="1"/>
  <c r="K13" i="1"/>
  <c r="J7" i="4" l="1"/>
  <c r="O16" i="4"/>
  <c r="P16" i="4"/>
  <c r="K16" i="4"/>
  <c r="L16" i="4"/>
  <c r="M16" i="4"/>
  <c r="N16" i="4"/>
  <c r="J7" i="2"/>
  <c r="P20" i="2"/>
  <c r="O20" i="2"/>
  <c r="N20" i="2"/>
  <c r="L20" i="2"/>
  <c r="K20" i="2"/>
  <c r="M20" i="2"/>
  <c r="J7" i="1"/>
  <c r="L14" i="1"/>
  <c r="P14" i="1"/>
  <c r="O14" i="1"/>
  <c r="N14" i="1"/>
  <c r="M14" i="1"/>
  <c r="K14" i="1"/>
  <c r="J8" i="4" l="1"/>
  <c r="P17" i="4"/>
  <c r="K17" i="4"/>
  <c r="O17" i="4"/>
  <c r="L17" i="4"/>
  <c r="M17" i="4"/>
  <c r="N17" i="4"/>
  <c r="J8" i="2"/>
  <c r="L21" i="2"/>
  <c r="K21" i="2"/>
  <c r="P21" i="2"/>
  <c r="O21" i="2"/>
  <c r="N21" i="2"/>
  <c r="M21" i="2"/>
  <c r="N15" i="1"/>
  <c r="N16" i="1" s="1"/>
  <c r="N17" i="1" s="1"/>
  <c r="L15" i="1"/>
  <c r="L16" i="1" s="1"/>
  <c r="L17" i="1" s="1"/>
  <c r="O15" i="1"/>
  <c r="O16" i="1" s="1"/>
  <c r="O17" i="1" s="1"/>
  <c r="M15" i="1"/>
  <c r="M16" i="1" s="1"/>
  <c r="M17" i="1" s="1"/>
  <c r="K15" i="1"/>
  <c r="K16" i="1" s="1"/>
  <c r="K17" i="1" s="1"/>
  <c r="P15" i="1"/>
  <c r="P16" i="1" s="1"/>
  <c r="P17" i="1" s="1"/>
  <c r="J9" i="4" l="1"/>
  <c r="K18" i="4"/>
  <c r="O18" i="4"/>
  <c r="P18" i="4"/>
  <c r="L18" i="4"/>
  <c r="M18" i="4"/>
  <c r="N18" i="4"/>
  <c r="J9" i="2"/>
  <c r="N22" i="2"/>
  <c r="M22" i="2"/>
  <c r="L22" i="2"/>
  <c r="P22" i="2"/>
  <c r="O22" i="2"/>
  <c r="K22" i="2"/>
  <c r="M19" i="4" l="1"/>
  <c r="M20" i="4" s="1"/>
  <c r="M21" i="4" s="1"/>
  <c r="L19" i="4"/>
  <c r="L20" i="4" s="1"/>
  <c r="L21" i="4" s="1"/>
  <c r="N19" i="4"/>
  <c r="N20" i="4" s="1"/>
  <c r="N21" i="4" s="1"/>
  <c r="O19" i="4"/>
  <c r="O20" i="4" s="1"/>
  <c r="O21" i="4" s="1"/>
  <c r="P19" i="4"/>
  <c r="P20" i="4" s="1"/>
  <c r="P21" i="4" s="1"/>
  <c r="K19" i="4"/>
  <c r="K20" i="4" s="1"/>
  <c r="K21" i="4" s="1"/>
  <c r="J10" i="2"/>
  <c r="P23" i="2"/>
  <c r="O23" i="2"/>
  <c r="N23" i="2"/>
  <c r="M23" i="2"/>
  <c r="L23" i="2"/>
  <c r="K23" i="2"/>
  <c r="J11" i="2" l="1"/>
  <c r="P24" i="2"/>
  <c r="O24" i="2"/>
  <c r="N24" i="2"/>
  <c r="M24" i="2"/>
  <c r="L24" i="2"/>
  <c r="K24" i="2"/>
  <c r="J12" i="2" l="1"/>
  <c r="L25" i="2"/>
  <c r="K25" i="2"/>
  <c r="P25" i="2"/>
  <c r="N25" i="2"/>
  <c r="O25" i="2"/>
  <c r="M25" i="2"/>
  <c r="J13" i="2" l="1"/>
  <c r="N26" i="2"/>
  <c r="M26" i="2"/>
  <c r="L26" i="2"/>
  <c r="K26" i="2"/>
  <c r="O26" i="2"/>
  <c r="P26" i="2"/>
  <c r="P27" i="2" l="1"/>
  <c r="P28" i="2" s="1"/>
  <c r="P29" i="2" s="1"/>
  <c r="N27" i="2"/>
  <c r="N28" i="2" s="1"/>
  <c r="N29" i="2" s="1"/>
  <c r="L27" i="2"/>
  <c r="L28" i="2" s="1"/>
  <c r="L29" i="2" s="1"/>
  <c r="K27" i="2"/>
  <c r="K28" i="2" s="1"/>
  <c r="O27" i="2"/>
  <c r="O28" i="2" s="1"/>
  <c r="O29" i="2" s="1"/>
  <c r="M27" i="2"/>
  <c r="M28" i="2" s="1"/>
  <c r="M29" i="2" s="1"/>
</calcChain>
</file>

<file path=xl/sharedStrings.xml><?xml version="1.0" encoding="utf-8"?>
<sst xmlns="http://schemas.openxmlformats.org/spreadsheetml/2006/main" count="218" uniqueCount="66">
  <si>
    <t>ARAÇUAÍ</t>
  </si>
  <si>
    <t>BERILO</t>
  </si>
  <si>
    <t>CORONEL MURTA</t>
  </si>
  <si>
    <t>FRANCISCO BADARÓ</t>
  </si>
  <si>
    <t>JENIPAPO DE MINAS</t>
  </si>
  <si>
    <t>VIRGEM DA LAPA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</si>
  <si>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</si>
  <si>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</si>
  <si>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</si>
  <si>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</si>
  <si>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</si>
  <si>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</si>
  <si>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</si>
  <si>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</si>
  <si>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</si>
  <si>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</si>
  <si>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</si>
  <si>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</si>
  <si>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</si>
  <si>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</si>
  <si>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</si>
  <si>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</si>
  <si>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</si>
  <si>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</si>
  <si>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</si>
  <si>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</si>
  <si>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</si>
  <si>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</si>
  <si>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DIAMANTINA</t>
  </si>
  <si>
    <t>CARBONITA</t>
  </si>
  <si>
    <t>COLUNA</t>
  </si>
  <si>
    <t>CONGONHAS DO NORTE</t>
  </si>
  <si>
    <t>COUTO DE MAGALHÃES DE MINAS</t>
  </si>
  <si>
    <t>DATAS</t>
  </si>
  <si>
    <t>FELÍCIO DOS SANTOS</t>
  </si>
  <si>
    <t>GOUVEIA</t>
  </si>
  <si>
    <t>ITAMARANDIBA</t>
  </si>
  <si>
    <t>PRESIDENTE KUBITSCHEK</t>
  </si>
  <si>
    <t>SÃO GONÇALO DO RIO PRETO</t>
  </si>
  <si>
    <t>SENADOR MODESTINO GONÇALVES</t>
  </si>
  <si>
    <t>QUELUZITO</t>
  </si>
  <si>
    <t>CASA GRANDE</t>
  </si>
  <si>
    <t>CARANAÍBA</t>
  </si>
  <si>
    <t>LAMIM</t>
  </si>
  <si>
    <t>CATAS ALTAS DA NORUEGA</t>
  </si>
  <si>
    <t>SANTANA DOS MONTES</t>
  </si>
  <si>
    <t>CRISTIANO OTONI</t>
  </si>
  <si>
    <t>ITAVERAVA</t>
  </si>
  <si>
    <t>RIO ESPERA</t>
  </si>
  <si>
    <t>SENHORA DE OLIVEIRA</t>
  </si>
  <si>
    <t>PIRANGA</t>
  </si>
  <si>
    <t>CONSELHEIRO LAFAIETE</t>
  </si>
  <si>
    <t>SERRO</t>
  </si>
  <si>
    <t>ALVORADA DE MINAS</t>
  </si>
  <si>
    <t>CONCEIÇÃO DO MATO DENTRO</t>
  </si>
  <si>
    <t>SANTO ANTÔNIO DO ITAMBÉ</t>
  </si>
  <si>
    <t>SERRA AZUL DE MINAS</t>
  </si>
  <si>
    <t/>
  </si>
  <si>
    <t>ARICANDUVA</t>
  </si>
  <si>
    <t>CAPELINHA</t>
  </si>
  <si>
    <t>CHAPADA DO NORTE</t>
  </si>
  <si>
    <t>JOSÉ GONÇALVES DE MINAS</t>
  </si>
  <si>
    <t>LEME DO PRADO</t>
  </si>
  <si>
    <t>MINAS NOVAS</t>
  </si>
  <si>
    <t>TURMALINA</t>
  </si>
  <si>
    <t>VEREDINHA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</si>
</sst>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2" fontId="0" fillId="0" borderId="1" xfId="0" applyNumberFormat="1" applyBorder="1"/>
    <xf numFmtId="2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8" borderId="1" xfId="0" applyFill="1" applyBorder="1"/>
    <xf numFmtId="0" fontId="1" fillId="6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0" fontId="1" fillId="7" borderId="2" xfId="0" applyFont="1" applyFill="1" applyBorder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2" fontId="0" fillId="0" borderId="2" xfId="0" applyNumberFormat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ARAÇUAÍ!$J$1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ARAÇUAÍ!$J$2:$J$7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CE-4172-857A-BB1B2E4FA6E2}"/>
            </c:ext>
          </c:extLst>
        </c:ser>
        <c:ser>
          <c:idx val="1"/>
          <c:order val="1"/>
          <c:tx>
            <c:strRef>
              <c:f>ARAÇUAÍ!$K$1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ARAÇUAÍ!$K$2:$K$7</c:f>
              <c:numCache>
                <c:formatCode>0.00</c:formatCode>
                <c:ptCount val="6"/>
                <c:pt idx="0">
                  <c:v>8.4821428571428575E-2</c:v>
                </c:pt>
                <c:pt idx="1">
                  <c:v>0.20089285714285715</c:v>
                </c:pt>
                <c:pt idx="2">
                  <c:v>0.2857142857142857</c:v>
                </c:pt>
                <c:pt idx="3">
                  <c:v>0.39732142857142855</c:v>
                </c:pt>
                <c:pt idx="4">
                  <c:v>0.5446428571428571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CE-4172-857A-BB1B2E4FA6E2}"/>
            </c:ext>
          </c:extLst>
        </c:ser>
        <c:ser>
          <c:idx val="2"/>
          <c:order val="2"/>
          <c:tx>
            <c:strRef>
              <c:f>ARAÇUAÍ!$L$1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ARAÇUAÍ!$L$2:$L$7</c:f>
              <c:numCache>
                <c:formatCode>0.00</c:formatCode>
                <c:ptCount val="6"/>
                <c:pt idx="0">
                  <c:v>8.2191780821917804E-2</c:v>
                </c:pt>
                <c:pt idx="1">
                  <c:v>0.24657534246575341</c:v>
                </c:pt>
                <c:pt idx="2">
                  <c:v>0.32191780821917804</c:v>
                </c:pt>
                <c:pt idx="3">
                  <c:v>0.43150684931506844</c:v>
                </c:pt>
                <c:pt idx="4">
                  <c:v>0.5547945205479452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CE-4172-857A-BB1B2E4FA6E2}"/>
            </c:ext>
          </c:extLst>
        </c:ser>
        <c:ser>
          <c:idx val="3"/>
          <c:order val="3"/>
          <c:tx>
            <c:strRef>
              <c:f>ARAÇUAÍ!$M$1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ARAÇUAÍ!$M$2:$M$7</c:f>
              <c:numCache>
                <c:formatCode>0.00</c:formatCode>
                <c:ptCount val="6"/>
                <c:pt idx="0">
                  <c:v>6.0344827586206899E-2</c:v>
                </c:pt>
                <c:pt idx="1">
                  <c:v>0.17241379310344829</c:v>
                </c:pt>
                <c:pt idx="2">
                  <c:v>0.2931034482758621</c:v>
                </c:pt>
                <c:pt idx="3">
                  <c:v>0.41379310344827591</c:v>
                </c:pt>
                <c:pt idx="4">
                  <c:v>0.56034482758620696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CE-4172-857A-BB1B2E4FA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893280"/>
        <c:axId val="1738891360"/>
      </c:scatterChart>
      <c:valAx>
        <c:axId val="17388932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8891360"/>
        <c:crosses val="autoZero"/>
        <c:crossBetween val="midCat"/>
      </c:valAx>
      <c:valAx>
        <c:axId val="1738891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889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ARAÇUAÍ!$J$1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ARAÇUAÍ!$J$2:$J$7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C4-4365-9906-823D2805ECFD}"/>
            </c:ext>
          </c:extLst>
        </c:ser>
        <c:ser>
          <c:idx val="1"/>
          <c:order val="1"/>
          <c:tx>
            <c:strRef>
              <c:f>ARAÇUAÍ!$N$1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ARAÇUAÍ!$N$2:$N$7</c:f>
              <c:numCache>
                <c:formatCode>0.00</c:formatCode>
                <c:ptCount val="6"/>
                <c:pt idx="0">
                  <c:v>3.857566765578635E-2</c:v>
                </c:pt>
                <c:pt idx="1">
                  <c:v>0.13649851632047477</c:v>
                </c:pt>
                <c:pt idx="2">
                  <c:v>0.24629080118694363</c:v>
                </c:pt>
                <c:pt idx="3">
                  <c:v>0.35608308605341249</c:v>
                </c:pt>
                <c:pt idx="4">
                  <c:v>0.43323442136498519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C4-4365-9906-823D2805ECFD}"/>
            </c:ext>
          </c:extLst>
        </c:ser>
        <c:ser>
          <c:idx val="2"/>
          <c:order val="2"/>
          <c:tx>
            <c:strRef>
              <c:f>ARAÇUAÍ!$O$1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ARAÇUAÍ!$O$2:$O$7</c:f>
              <c:numCache>
                <c:formatCode>0.00</c:formatCode>
                <c:ptCount val="6"/>
                <c:pt idx="0">
                  <c:v>5.5813953488372092E-2</c:v>
                </c:pt>
                <c:pt idx="1">
                  <c:v>0.19534883720930232</c:v>
                </c:pt>
                <c:pt idx="2">
                  <c:v>0.31627906976744186</c:v>
                </c:pt>
                <c:pt idx="3">
                  <c:v>0.4511627906976744</c:v>
                </c:pt>
                <c:pt idx="4">
                  <c:v>0.55813953488372092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C4-4365-9906-823D2805ECFD}"/>
            </c:ext>
          </c:extLst>
        </c:ser>
        <c:ser>
          <c:idx val="3"/>
          <c:order val="3"/>
          <c:tx>
            <c:strRef>
              <c:f>ARAÇUAÍ!$P$1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ARAÇUAÍ!$I$2:$I$7</c:f>
              <c:numCache>
                <c:formatCode>0.00</c:formatCode>
                <c:ptCount val="6"/>
                <c:pt idx="0">
                  <c:v>8.6882243908975185E-2</c:v>
                </c:pt>
                <c:pt idx="1">
                  <c:v>0.18970946202460975</c:v>
                </c:pt>
                <c:pt idx="2">
                  <c:v>0.3048415551932826</c:v>
                </c:pt>
                <c:pt idx="3">
                  <c:v>0.4367449027445901</c:v>
                </c:pt>
                <c:pt idx="4">
                  <c:v>0.59004220728466472</c:v>
                </c:pt>
                <c:pt idx="5">
                  <c:v>1</c:v>
                </c:pt>
              </c:numCache>
            </c:numRef>
          </c:xVal>
          <c:yVal>
            <c:numRef>
              <c:f>ARAÇUAÍ!$P$2:$P$7</c:f>
              <c:numCache>
                <c:formatCode>0.00</c:formatCode>
                <c:ptCount val="6"/>
                <c:pt idx="0">
                  <c:v>8.2352941176470587E-2</c:v>
                </c:pt>
                <c:pt idx="1">
                  <c:v>0.23529411764705882</c:v>
                </c:pt>
                <c:pt idx="2">
                  <c:v>0.3529411764705882</c:v>
                </c:pt>
                <c:pt idx="3">
                  <c:v>0.55294117647058827</c:v>
                </c:pt>
                <c:pt idx="4">
                  <c:v>0.60000000000000009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C4-4365-9906-823D2805E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2944"/>
        <c:axId val="12472464"/>
      </c:scatterChart>
      <c:valAx>
        <c:axId val="124729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72464"/>
        <c:crosses val="autoZero"/>
        <c:crossBetween val="midCat"/>
      </c:valAx>
      <c:valAx>
        <c:axId val="124724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7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DIAMANTINA!$J$1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DIAMANTINA!$J$2:$J$13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F9-4E56-AB78-1C0248D04859}"/>
            </c:ext>
          </c:extLst>
        </c:ser>
        <c:ser>
          <c:idx val="1"/>
          <c:order val="1"/>
          <c:tx>
            <c:strRef>
              <c:f>DIAMANTINA!$K$1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DIAMANTINA!$K$2:$K$13</c:f>
              <c:numCache>
                <c:formatCode>0.00</c:formatCode>
                <c:ptCount val="12"/>
                <c:pt idx="0">
                  <c:v>2.0134228187919462E-2</c:v>
                </c:pt>
                <c:pt idx="1">
                  <c:v>3.3557046979865772E-2</c:v>
                </c:pt>
                <c:pt idx="2">
                  <c:v>6.3758389261744972E-2</c:v>
                </c:pt>
                <c:pt idx="3">
                  <c:v>0.12416107382550337</c:v>
                </c:pt>
                <c:pt idx="4">
                  <c:v>0.17114093959731547</c:v>
                </c:pt>
                <c:pt idx="5">
                  <c:v>0.17114093959731547</c:v>
                </c:pt>
                <c:pt idx="6">
                  <c:v>0.24832214765100674</c:v>
                </c:pt>
                <c:pt idx="7">
                  <c:v>0.32885906040268459</c:v>
                </c:pt>
                <c:pt idx="8">
                  <c:v>0.35234899328859065</c:v>
                </c:pt>
                <c:pt idx="9">
                  <c:v>0.40939597315436249</c:v>
                </c:pt>
                <c:pt idx="10">
                  <c:v>0.69798657718120816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F9-4E56-AB78-1C0248D04859}"/>
            </c:ext>
          </c:extLst>
        </c:ser>
        <c:ser>
          <c:idx val="2"/>
          <c:order val="2"/>
          <c:tx>
            <c:strRef>
              <c:f>DIAMANTINA!$L$1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DIAMANTINA!$L$2:$L$13</c:f>
              <c:numCache>
                <c:formatCode>0.00</c:formatCode>
                <c:ptCount val="12"/>
                <c:pt idx="0">
                  <c:v>2.564102564102564E-2</c:v>
                </c:pt>
                <c:pt idx="1">
                  <c:v>3.2051282051282048E-2</c:v>
                </c:pt>
                <c:pt idx="2">
                  <c:v>5.7692307692307689E-2</c:v>
                </c:pt>
                <c:pt idx="3">
                  <c:v>7.0512820512820512E-2</c:v>
                </c:pt>
                <c:pt idx="4">
                  <c:v>0.16025641025641024</c:v>
                </c:pt>
                <c:pt idx="5">
                  <c:v>0.16666666666666666</c:v>
                </c:pt>
                <c:pt idx="6">
                  <c:v>0.25641025641025639</c:v>
                </c:pt>
                <c:pt idx="7">
                  <c:v>0.28205128205128205</c:v>
                </c:pt>
                <c:pt idx="8">
                  <c:v>0.34615384615384615</c:v>
                </c:pt>
                <c:pt idx="9">
                  <c:v>0.42948717948717946</c:v>
                </c:pt>
                <c:pt idx="10">
                  <c:v>0.73717948717948723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F9-4E56-AB78-1C0248D04859}"/>
            </c:ext>
          </c:extLst>
        </c:ser>
        <c:ser>
          <c:idx val="3"/>
          <c:order val="3"/>
          <c:tx>
            <c:strRef>
              <c:f>DIAMANTINA!$M$1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DIAMANTINA!$M$2:$M$13</c:f>
              <c:numCache>
                <c:formatCode>0.00</c:formatCode>
                <c:ptCount val="12"/>
                <c:pt idx="0">
                  <c:v>7.2992700729927005E-3</c:v>
                </c:pt>
                <c:pt idx="1">
                  <c:v>7.2992700729927005E-3</c:v>
                </c:pt>
                <c:pt idx="2">
                  <c:v>3.6496350364963501E-2</c:v>
                </c:pt>
                <c:pt idx="3">
                  <c:v>4.3795620437956199E-2</c:v>
                </c:pt>
                <c:pt idx="4">
                  <c:v>9.4890510948905105E-2</c:v>
                </c:pt>
                <c:pt idx="5">
                  <c:v>0.10218978102189781</c:v>
                </c:pt>
                <c:pt idx="6">
                  <c:v>0.13138686131386862</c:v>
                </c:pt>
                <c:pt idx="7">
                  <c:v>0.15328467153284672</c:v>
                </c:pt>
                <c:pt idx="8">
                  <c:v>0.18248175182481752</c:v>
                </c:pt>
                <c:pt idx="9">
                  <c:v>0.2992700729927007</c:v>
                </c:pt>
                <c:pt idx="10">
                  <c:v>0.63503649635036497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F9-4E56-AB78-1C0248D04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699104"/>
        <c:axId val="941016704"/>
      </c:scatterChart>
      <c:valAx>
        <c:axId val="13256991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1016704"/>
        <c:crosses val="autoZero"/>
        <c:crossBetween val="midCat"/>
      </c:valAx>
      <c:valAx>
        <c:axId val="9410167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5699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DIAMANTINA!$J$1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DIAMANTINA!$J$2:$J$13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3B-422F-9B5E-AA1274060339}"/>
            </c:ext>
          </c:extLst>
        </c:ser>
        <c:ser>
          <c:idx val="1"/>
          <c:order val="1"/>
          <c:tx>
            <c:strRef>
              <c:f>DIAMANTINA!$N$1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DIAMANTINA!$N$2:$N$13</c:f>
              <c:numCache>
                <c:formatCode>0.00</c:formatCode>
                <c:ptCount val="12"/>
                <c:pt idx="0">
                  <c:v>1.3274336283185841E-2</c:v>
                </c:pt>
                <c:pt idx="1">
                  <c:v>1.7699115044247787E-2</c:v>
                </c:pt>
                <c:pt idx="2">
                  <c:v>3.9823008849557522E-2</c:v>
                </c:pt>
                <c:pt idx="3">
                  <c:v>7.9646017699115043E-2</c:v>
                </c:pt>
                <c:pt idx="4">
                  <c:v>0.14823008849557523</c:v>
                </c:pt>
                <c:pt idx="5">
                  <c:v>0.1836283185840708</c:v>
                </c:pt>
                <c:pt idx="6">
                  <c:v>0.27433628318584069</c:v>
                </c:pt>
                <c:pt idx="7">
                  <c:v>0.31858407079646017</c:v>
                </c:pt>
                <c:pt idx="8">
                  <c:v>0.34513274336283184</c:v>
                </c:pt>
                <c:pt idx="9">
                  <c:v>0.54867256637168138</c:v>
                </c:pt>
                <c:pt idx="10">
                  <c:v>0.73008849557522115</c:v>
                </c:pt>
                <c:pt idx="11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3B-422F-9B5E-AA1274060339}"/>
            </c:ext>
          </c:extLst>
        </c:ser>
        <c:ser>
          <c:idx val="2"/>
          <c:order val="2"/>
          <c:tx>
            <c:strRef>
              <c:f>DIAMANTINA!$O$1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DIAMANTINA!$O$2:$O$13</c:f>
              <c:numCache>
                <c:formatCode>0.00</c:formatCode>
                <c:ptCount val="12"/>
                <c:pt idx="0">
                  <c:v>1.8292682926829267E-2</c:v>
                </c:pt>
                <c:pt idx="1">
                  <c:v>3.3536585365853661E-2</c:v>
                </c:pt>
                <c:pt idx="2">
                  <c:v>4.878048780487805E-2</c:v>
                </c:pt>
                <c:pt idx="3">
                  <c:v>0.10975609756097561</c:v>
                </c:pt>
                <c:pt idx="4">
                  <c:v>0.15548780487804878</c:v>
                </c:pt>
                <c:pt idx="5">
                  <c:v>0.1798780487804878</c:v>
                </c:pt>
                <c:pt idx="6">
                  <c:v>0.25</c:v>
                </c:pt>
                <c:pt idx="7">
                  <c:v>0.30792682926829268</c:v>
                </c:pt>
                <c:pt idx="8">
                  <c:v>0.32926829268292684</c:v>
                </c:pt>
                <c:pt idx="9">
                  <c:v>0.56097560975609762</c:v>
                </c:pt>
                <c:pt idx="10">
                  <c:v>0.76829268292682928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3B-422F-9B5E-AA1274060339}"/>
            </c:ext>
          </c:extLst>
        </c:ser>
        <c:ser>
          <c:idx val="3"/>
          <c:order val="3"/>
          <c:tx>
            <c:strRef>
              <c:f>DIAMANTINA!$P$1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DIAMANTINA!$I$2:$I$13</c:f>
              <c:numCache>
                <c:formatCode>0.00</c:formatCode>
                <c:ptCount val="12"/>
                <c:pt idx="0">
                  <c:v>2.0993408069866062E-2</c:v>
                </c:pt>
                <c:pt idx="1">
                  <c:v>4.3232425018544178E-2</c:v>
                </c:pt>
                <c:pt idx="2">
                  <c:v>7.16155127290031E-2</c:v>
                </c:pt>
                <c:pt idx="3">
                  <c:v>0.10265776546164505</c:v>
                </c:pt>
                <c:pt idx="4">
                  <c:v>0.1352395347860772</c:v>
                </c:pt>
                <c:pt idx="5">
                  <c:v>0.17055744496228187</c:v>
                </c:pt>
                <c:pt idx="6">
                  <c:v>0.20856251137142939</c:v>
                </c:pt>
                <c:pt idx="7">
                  <c:v>0.27021315306993604</c:v>
                </c:pt>
                <c:pt idx="8">
                  <c:v>0.33615344781738532</c:v>
                </c:pt>
                <c:pt idx="9">
                  <c:v>0.41880449538844799</c:v>
                </c:pt>
                <c:pt idx="10">
                  <c:v>0.6646373038865796</c:v>
                </c:pt>
                <c:pt idx="11">
                  <c:v>1</c:v>
                </c:pt>
              </c:numCache>
            </c:numRef>
          </c:xVal>
          <c:yVal>
            <c:numRef>
              <c:f>DIAMANTINA!$P$2:$P$13</c:f>
              <c:numCache>
                <c:formatCode>0.00</c:formatCode>
                <c:ptCount val="12"/>
                <c:pt idx="0">
                  <c:v>1.2903225806451613E-2</c:v>
                </c:pt>
                <c:pt idx="1">
                  <c:v>2.5806451612903226E-2</c:v>
                </c:pt>
                <c:pt idx="2">
                  <c:v>5.8064516129032254E-2</c:v>
                </c:pt>
                <c:pt idx="3">
                  <c:v>7.7419354838709681E-2</c:v>
                </c:pt>
                <c:pt idx="4">
                  <c:v>0.14838709677419354</c:v>
                </c:pt>
                <c:pt idx="5">
                  <c:v>0.19999999999999998</c:v>
                </c:pt>
                <c:pt idx="6">
                  <c:v>0.27096774193548384</c:v>
                </c:pt>
                <c:pt idx="7">
                  <c:v>0.38064516129032255</c:v>
                </c:pt>
                <c:pt idx="8">
                  <c:v>0.4258064516129032</c:v>
                </c:pt>
                <c:pt idx="9">
                  <c:v>0.65161290322580645</c:v>
                </c:pt>
                <c:pt idx="10">
                  <c:v>0.89677419354838706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3B-422F-9B5E-AA1274060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192640"/>
        <c:axId val="2088181600"/>
      </c:scatterChart>
      <c:valAx>
        <c:axId val="20881926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181600"/>
        <c:crosses val="autoZero"/>
        <c:crossBetween val="midCat"/>
      </c:valAx>
      <c:valAx>
        <c:axId val="2088181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192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SERRO!$J$1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SERRO!$J$2:$J$6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87-487B-B79E-0479F1A58805}"/>
            </c:ext>
          </c:extLst>
        </c:ser>
        <c:ser>
          <c:idx val="1"/>
          <c:order val="1"/>
          <c:tx>
            <c:strRef>
              <c:f>SERRO!$K$1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SERRO!$K$2:$K$6</c:f>
              <c:numCache>
                <c:formatCode>0.00</c:formatCode>
                <c:ptCount val="5"/>
                <c:pt idx="0">
                  <c:v>0.18292682926829268</c:v>
                </c:pt>
                <c:pt idx="1">
                  <c:v>0.28658536585365851</c:v>
                </c:pt>
                <c:pt idx="2">
                  <c:v>0.29878048780487804</c:v>
                </c:pt>
                <c:pt idx="3">
                  <c:v>0.45121951219512191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87-487B-B79E-0479F1A58805}"/>
            </c:ext>
          </c:extLst>
        </c:ser>
        <c:ser>
          <c:idx val="2"/>
          <c:order val="2"/>
          <c:tx>
            <c:strRef>
              <c:f>SERRO!$L$1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SERRO!$L$2:$L$6</c:f>
              <c:numCache>
                <c:formatCode>0.00</c:formatCode>
                <c:ptCount val="5"/>
                <c:pt idx="0">
                  <c:v>5.7692307692307696E-2</c:v>
                </c:pt>
                <c:pt idx="1">
                  <c:v>0.15384615384615385</c:v>
                </c:pt>
                <c:pt idx="2">
                  <c:v>0.20192307692307693</c:v>
                </c:pt>
                <c:pt idx="3">
                  <c:v>0.33653846153846156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87-487B-B79E-0479F1A58805}"/>
            </c:ext>
          </c:extLst>
        </c:ser>
        <c:ser>
          <c:idx val="3"/>
          <c:order val="3"/>
          <c:tx>
            <c:strRef>
              <c:f>SERRO!$M$1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SERRO!$M$2:$M$6</c:f>
              <c:numCache>
                <c:formatCode>0.00</c:formatCode>
                <c:ptCount val="5"/>
                <c:pt idx="0">
                  <c:v>7.2072072072072071E-2</c:v>
                </c:pt>
                <c:pt idx="1">
                  <c:v>0.18018018018018017</c:v>
                </c:pt>
                <c:pt idx="2">
                  <c:v>0.2162162162162162</c:v>
                </c:pt>
                <c:pt idx="3">
                  <c:v>0.3783783783783784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87-487B-B79E-0479F1A5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700064"/>
        <c:axId val="1898462496"/>
      </c:scatterChart>
      <c:valAx>
        <c:axId val="13257000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8462496"/>
        <c:crosses val="autoZero"/>
        <c:crossBetween val="midCat"/>
      </c:valAx>
      <c:valAx>
        <c:axId val="18984624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5700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SERRO!$J$1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SERRO!$J$2:$J$6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92-49BC-8CB4-AEB7DE79F876}"/>
            </c:ext>
          </c:extLst>
        </c:ser>
        <c:ser>
          <c:idx val="1"/>
          <c:order val="1"/>
          <c:tx>
            <c:strRef>
              <c:f>SERRO!$N$1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SERRO!$N$2:$N$6</c:f>
              <c:numCache>
                <c:formatCode>0.00</c:formatCode>
                <c:ptCount val="5"/>
                <c:pt idx="0">
                  <c:v>0.11654135338345864</c:v>
                </c:pt>
                <c:pt idx="1">
                  <c:v>0.20676691729323307</c:v>
                </c:pt>
                <c:pt idx="2">
                  <c:v>0.26691729323308266</c:v>
                </c:pt>
                <c:pt idx="3">
                  <c:v>0.59022556390977443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92-49BC-8CB4-AEB7DE79F876}"/>
            </c:ext>
          </c:extLst>
        </c:ser>
        <c:ser>
          <c:idx val="2"/>
          <c:order val="2"/>
          <c:tx>
            <c:strRef>
              <c:f>SERRO!$O$1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SERRO!$O$2:$O$6</c:f>
              <c:numCache>
                <c:formatCode>0.00</c:formatCode>
                <c:ptCount val="5"/>
                <c:pt idx="0">
                  <c:v>0.10471204188481675</c:v>
                </c:pt>
                <c:pt idx="1">
                  <c:v>0.18848167539267016</c:v>
                </c:pt>
                <c:pt idx="2">
                  <c:v>0.27225130890052357</c:v>
                </c:pt>
                <c:pt idx="3">
                  <c:v>0.60209424083769636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92-49BC-8CB4-AEB7DE79F876}"/>
            </c:ext>
          </c:extLst>
        </c:ser>
        <c:ser>
          <c:idx val="3"/>
          <c:order val="3"/>
          <c:tx>
            <c:strRef>
              <c:f>SERRO!$P$1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SERRO!$I$2:$I$6</c:f>
              <c:numCache>
                <c:formatCode>0.00</c:formatCode>
                <c:ptCount val="5"/>
                <c:pt idx="0">
                  <c:v>7.2081258872693094E-2</c:v>
                </c:pt>
                <c:pt idx="1">
                  <c:v>0.14732169635894665</c:v>
                </c:pt>
                <c:pt idx="2">
                  <c:v>0.23313938376022231</c:v>
                </c:pt>
                <c:pt idx="3">
                  <c:v>0.58180872973027009</c:v>
                </c:pt>
                <c:pt idx="4">
                  <c:v>1</c:v>
                </c:pt>
              </c:numCache>
            </c:numRef>
          </c:xVal>
          <c:yVal>
            <c:numRef>
              <c:f>SERRO!$P$2:$P$6</c:f>
              <c:numCache>
                <c:formatCode>0.00</c:formatCode>
                <c:ptCount val="5"/>
                <c:pt idx="0">
                  <c:v>0.21428571428571427</c:v>
                </c:pt>
                <c:pt idx="1">
                  <c:v>0.21428571428571427</c:v>
                </c:pt>
                <c:pt idx="2">
                  <c:v>0.3</c:v>
                </c:pt>
                <c:pt idx="3">
                  <c:v>0.5714285714285714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92-49BC-8CB4-AEB7DE79F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7008"/>
        <c:axId val="18854608"/>
      </c:scatterChart>
      <c:valAx>
        <c:axId val="188570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4608"/>
        <c:crosses val="autoZero"/>
        <c:crossBetween val="midCat"/>
      </c:valAx>
      <c:valAx>
        <c:axId val="1885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7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'TURMALINA-MINAS NOVA-CAPELINHA'!$J$1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NOVA-CAPELINHA'!$J$2:$J$9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13-4A9A-90DE-4B49A20891FF}"/>
            </c:ext>
          </c:extLst>
        </c:ser>
        <c:ser>
          <c:idx val="1"/>
          <c:order val="1"/>
          <c:tx>
            <c:strRef>
              <c:f>'TURMALINA-MINAS NOVA-CAPELINHA'!$K$1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NOVA-CAPELINHA'!$K$2:$K$9</c:f>
              <c:numCache>
                <c:formatCode>0.00</c:formatCode>
                <c:ptCount val="8"/>
                <c:pt idx="0">
                  <c:v>2.0576131687242798E-2</c:v>
                </c:pt>
                <c:pt idx="1">
                  <c:v>8.6419753086419762E-2</c:v>
                </c:pt>
                <c:pt idx="2">
                  <c:v>0.10699588477366256</c:v>
                </c:pt>
                <c:pt idx="3">
                  <c:v>0.13580246913580249</c:v>
                </c:pt>
                <c:pt idx="4">
                  <c:v>0.22222222222222224</c:v>
                </c:pt>
                <c:pt idx="5">
                  <c:v>0.37860082304526754</c:v>
                </c:pt>
                <c:pt idx="6">
                  <c:v>0.70370370370370372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13-4A9A-90DE-4B49A20891FF}"/>
            </c:ext>
          </c:extLst>
        </c:ser>
        <c:ser>
          <c:idx val="2"/>
          <c:order val="2"/>
          <c:tx>
            <c:strRef>
              <c:f>'TURMALINA-MINAS NOVA-CAPELINHA'!$L$1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NOVA-CAPELINHA'!$L$2:$L$9</c:f>
              <c:numCache>
                <c:formatCode>0.00</c:formatCode>
                <c:ptCount val="8"/>
                <c:pt idx="0">
                  <c:v>1.0050251256281407E-2</c:v>
                </c:pt>
                <c:pt idx="1">
                  <c:v>3.5175879396984924E-2</c:v>
                </c:pt>
                <c:pt idx="2">
                  <c:v>6.5326633165829151E-2</c:v>
                </c:pt>
                <c:pt idx="3">
                  <c:v>0.10552763819095479</c:v>
                </c:pt>
                <c:pt idx="4">
                  <c:v>0.23115577889447236</c:v>
                </c:pt>
                <c:pt idx="5">
                  <c:v>0.35175879396984921</c:v>
                </c:pt>
                <c:pt idx="6">
                  <c:v>0.6733668341708543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13-4A9A-90DE-4B49A20891FF}"/>
            </c:ext>
          </c:extLst>
        </c:ser>
        <c:ser>
          <c:idx val="3"/>
          <c:order val="3"/>
          <c:tx>
            <c:strRef>
              <c:f>'TURMALINA-MINAS NOVA-CAPELINHA'!$M$1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NOVA-CAPELINHA'!$M$2:$M$9</c:f>
              <c:numCache>
                <c:formatCode>0.00</c:formatCode>
                <c:ptCount val="8"/>
                <c:pt idx="0">
                  <c:v>3.5398230088495575E-2</c:v>
                </c:pt>
                <c:pt idx="1">
                  <c:v>9.7345132743362831E-2</c:v>
                </c:pt>
                <c:pt idx="2">
                  <c:v>0.11946902654867256</c:v>
                </c:pt>
                <c:pt idx="3">
                  <c:v>0.1415929203539823</c:v>
                </c:pt>
                <c:pt idx="4">
                  <c:v>0.20796460176991149</c:v>
                </c:pt>
                <c:pt idx="5">
                  <c:v>0.43805309734513276</c:v>
                </c:pt>
                <c:pt idx="6">
                  <c:v>0.76548672566371678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13-4A9A-90DE-4B49A2089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796304"/>
        <c:axId val="1857795344"/>
      </c:scatterChart>
      <c:valAx>
        <c:axId val="18577963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7795344"/>
        <c:crosses val="autoZero"/>
        <c:crossBetween val="midCat"/>
      </c:valAx>
      <c:valAx>
        <c:axId val="18577953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7796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'TURMALINA-MINAS NOVA-CAPELINHA'!$J$1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NOVA-CAPELINHA'!$J$2:$J$9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BE-4E48-A724-A9B685714743}"/>
            </c:ext>
          </c:extLst>
        </c:ser>
        <c:ser>
          <c:idx val="1"/>
          <c:order val="1"/>
          <c:tx>
            <c:strRef>
              <c:f>'TURMALINA-MINAS NOVA-CAPELINHA'!$N$1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NOVA-CAPELINHA'!$N$2:$N$9</c:f>
              <c:numCache>
                <c:formatCode>0.00</c:formatCode>
                <c:ptCount val="8"/>
                <c:pt idx="0">
                  <c:v>4.2792792792792793E-2</c:v>
                </c:pt>
                <c:pt idx="1">
                  <c:v>8.5585585585585586E-2</c:v>
                </c:pt>
                <c:pt idx="2">
                  <c:v>0.15315315315315314</c:v>
                </c:pt>
                <c:pt idx="3">
                  <c:v>0.2072072072072072</c:v>
                </c:pt>
                <c:pt idx="4">
                  <c:v>0.268018018018018</c:v>
                </c:pt>
                <c:pt idx="5">
                  <c:v>0.42792792792792789</c:v>
                </c:pt>
                <c:pt idx="6">
                  <c:v>0.7004504504504504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BE-4E48-A724-A9B685714743}"/>
            </c:ext>
          </c:extLst>
        </c:ser>
        <c:ser>
          <c:idx val="2"/>
          <c:order val="2"/>
          <c:tx>
            <c:strRef>
              <c:f>'TURMALINA-MINAS NOVA-CAPELINHA'!$O$1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NOVA-CAPELINHA'!$O$2:$O$9</c:f>
              <c:numCache>
                <c:formatCode>0.00</c:formatCode>
                <c:ptCount val="8"/>
                <c:pt idx="0">
                  <c:v>3.0201342281879196E-2</c:v>
                </c:pt>
                <c:pt idx="1">
                  <c:v>7.3825503355704702E-2</c:v>
                </c:pt>
                <c:pt idx="2">
                  <c:v>0.1174496644295302</c:v>
                </c:pt>
                <c:pt idx="3">
                  <c:v>0.17114093959731544</c:v>
                </c:pt>
                <c:pt idx="4">
                  <c:v>0.22483221476510068</c:v>
                </c:pt>
                <c:pt idx="5">
                  <c:v>0.4261744966442953</c:v>
                </c:pt>
                <c:pt idx="6">
                  <c:v>0.70134228187919456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BE-4E48-A724-A9B685714743}"/>
            </c:ext>
          </c:extLst>
        </c:ser>
        <c:ser>
          <c:idx val="3"/>
          <c:order val="3"/>
          <c:tx>
            <c:strRef>
              <c:f>'TURMALINA-MINAS NOVA-CAPELINHA'!$P$1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'TURMALINA-MINAS NOVA-CAPELINHA'!$I$2:$I$9</c:f>
              <c:numCache>
                <c:formatCode>0.00</c:formatCode>
                <c:ptCount val="8"/>
                <c:pt idx="0">
                  <c:v>3.5542068176582273E-2</c:v>
                </c:pt>
                <c:pt idx="1">
                  <c:v>7.4651053789750482E-2</c:v>
                </c:pt>
                <c:pt idx="2">
                  <c:v>0.11679469967190716</c:v>
                </c:pt>
                <c:pt idx="3">
                  <c:v>0.16233843611722371</c:v>
                </c:pt>
                <c:pt idx="4">
                  <c:v>0.2841538302655725</c:v>
                </c:pt>
                <c:pt idx="5">
                  <c:v>0.4452609251741752</c:v>
                </c:pt>
                <c:pt idx="6">
                  <c:v>0.69557273254474539</c:v>
                </c:pt>
                <c:pt idx="7">
                  <c:v>1</c:v>
                </c:pt>
              </c:numCache>
            </c:numRef>
          </c:xVal>
          <c:yVal>
            <c:numRef>
              <c:f>'TURMALINA-MINAS NOVA-CAPELINHA'!$P$2:$P$9</c:f>
              <c:numCache>
                <c:formatCode>0.00</c:formatCode>
                <c:ptCount val="8"/>
                <c:pt idx="0">
                  <c:v>5.4545454545454543E-2</c:v>
                </c:pt>
                <c:pt idx="1">
                  <c:v>0.10909090909090909</c:v>
                </c:pt>
                <c:pt idx="2">
                  <c:v>0.1393939393939394</c:v>
                </c:pt>
                <c:pt idx="3">
                  <c:v>0.2</c:v>
                </c:pt>
                <c:pt idx="4">
                  <c:v>0.23636363636363639</c:v>
                </c:pt>
                <c:pt idx="5">
                  <c:v>0.48484848484848486</c:v>
                </c:pt>
                <c:pt idx="6">
                  <c:v>0.67878787878787883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BE-4E48-A724-A9B685714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045488"/>
        <c:axId val="1956046448"/>
      </c:scatterChart>
      <c:valAx>
        <c:axId val="1956045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6046448"/>
        <c:crosses val="autoZero"/>
        <c:crossBetween val="midCat"/>
      </c:valAx>
      <c:valAx>
        <c:axId val="19560464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6045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68580</xdr:colOff>
      <xdr:row>0</xdr:row>
      <xdr:rowOff>19050</xdr:rowOff>
    </xdr:from>
    <xdr:to>
      <xdr:col>23</xdr:col>
      <xdr:colOff>373380</xdr:colOff>
      <xdr:row>12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C2005C8-A13C-D6CA-1FA5-4E8229C91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13</xdr:row>
      <xdr:rowOff>34290</xdr:rowOff>
    </xdr:from>
    <xdr:to>
      <xdr:col>23</xdr:col>
      <xdr:colOff>396240</xdr:colOff>
      <xdr:row>28</xdr:row>
      <xdr:rowOff>34290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CDDA87F-CB29-35C1-FE6B-C9A291278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220980</xdr:colOff>
      <xdr:row>0</xdr:row>
      <xdr:rowOff>110490</xdr:rowOff>
    </xdr:from>
    <xdr:to>
      <xdr:col>23</xdr:col>
      <xdr:colOff>525780</xdr:colOff>
      <xdr:row>14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9ED384-1365-C713-0E92-A0B710F74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259080</xdr:colOff>
      <xdr:row>14</xdr:row>
      <xdr:rowOff>80010</xdr:rowOff>
    </xdr:from>
    <xdr:to>
      <xdr:col>23</xdr:col>
      <xdr:colOff>563880</xdr:colOff>
      <xdr:row>28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57B2BF-2637-A5CB-9956-42CF20B0D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80010</xdr:rowOff>
    </xdr:from>
    <xdr:to>
      <xdr:col>23</xdr:col>
      <xdr:colOff>426720</xdr:colOff>
      <xdr:row>12</xdr:row>
      <xdr:rowOff>163830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8723FF6-79ED-D6C6-0CC1-67F9B8EDC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160020</xdr:colOff>
      <xdr:row>13</xdr:row>
      <xdr:rowOff>34290</xdr:rowOff>
    </xdr:from>
    <xdr:to>
      <xdr:col>23</xdr:col>
      <xdr:colOff>464820</xdr:colOff>
      <xdr:row>28</xdr:row>
      <xdr:rowOff>34290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927DE89-61CB-17F0-3059-6C34D77E4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220980</xdr:colOff>
      <xdr:row>0</xdr:row>
      <xdr:rowOff>194310</xdr:rowOff>
    </xdr:from>
    <xdr:to>
      <xdr:col>23</xdr:col>
      <xdr:colOff>525780</xdr:colOff>
      <xdr:row>14</xdr:row>
      <xdr:rowOff>3810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EB7033-DECE-8591-BD58-1881E548E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236220</xdr:colOff>
      <xdr:row>14</xdr:row>
      <xdr:rowOff>72390</xdr:rowOff>
    </xdr:from>
    <xdr:to>
      <xdr:col>23</xdr:col>
      <xdr:colOff>541020</xdr:colOff>
      <xdr:row>29</xdr:row>
      <xdr:rowOff>72390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8E32065-77D6-2528-47A9-F0060631F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F1EE-A6E7-4C6A-A8A3-4715DC5C8958}">
  <dimension ref="A1:P17"/>
  <sheetViews>
    <sheetView topLeftCell="J1" workbookViewId="0">
      <selection activeCell="K17" sqref="K17:P17"/>
    </sheetView>
  </sheetViews>
  <sheetFormatPr defaultRowHeight="14.4" x14ac:dyDescent="0.3"/>
  <cols>
    <col min="2" max="2" width="10.88671875" customWidth="1"/>
  </cols>
  <sheetData>
    <row r="1" spans="1:16" ht="36.6" customHeight="1" x14ac:dyDescent="0.3">
      <c r="A1" s="1" t="s">
        <v>6</v>
      </c>
      <c r="B1" s="2" t="s">
        <v>7</v>
      </c>
      <c r="C1" s="3" t="s">
        <v>8</v>
      </c>
      <c r="D1" s="3" t="s">
        <v>9</v>
      </c>
      <c r="E1" s="3" t="s">
        <v>10</v>
      </c>
      <c r="F1" s="2" t="s">
        <v>11</v>
      </c>
      <c r="G1" s="3" t="s">
        <v>12</v>
      </c>
      <c r="H1" s="3" t="s">
        <v>13</v>
      </c>
      <c r="I1" s="4" t="s">
        <v>7</v>
      </c>
      <c r="J1" s="11" t="s">
        <v>7</v>
      </c>
      <c r="K1" s="6" t="s">
        <v>8</v>
      </c>
      <c r="L1" s="6" t="s">
        <v>9</v>
      </c>
      <c r="M1" s="6" t="s">
        <v>10</v>
      </c>
      <c r="N1" s="5" t="s">
        <v>11</v>
      </c>
      <c r="O1" s="6" t="s">
        <v>12</v>
      </c>
      <c r="P1" s="6" t="s">
        <v>13</v>
      </c>
    </row>
    <row r="2" spans="1:16" x14ac:dyDescent="0.3">
      <c r="A2" s="9" t="s">
        <v>4</v>
      </c>
      <c r="B2" s="8">
        <v>8.6882243908975185E-2</v>
      </c>
      <c r="C2" s="8">
        <v>8.4821428571428575E-2</v>
      </c>
      <c r="D2" s="8">
        <v>8.2191780821917804E-2</v>
      </c>
      <c r="E2" s="8">
        <v>6.0344827586206899E-2</v>
      </c>
      <c r="F2" s="8">
        <v>3.857566765578635E-2</v>
      </c>
      <c r="G2" s="8">
        <v>5.5813953488372092E-2</v>
      </c>
      <c r="H2" s="8">
        <v>8.2352941176470587E-2</v>
      </c>
      <c r="I2" s="7">
        <v>8.6882243908975185E-2</v>
      </c>
      <c r="J2" s="8">
        <v>8.6882243908975185E-2</v>
      </c>
      <c r="K2" s="8">
        <v>8.4821428571428575E-2</v>
      </c>
      <c r="L2" s="8">
        <v>8.2191780821917804E-2</v>
      </c>
      <c r="M2" s="8">
        <v>6.0344827586206899E-2</v>
      </c>
      <c r="N2" s="8">
        <v>3.857566765578635E-2</v>
      </c>
      <c r="O2" s="8">
        <v>5.5813953488372092E-2</v>
      </c>
      <c r="P2" s="8">
        <v>8.2352941176470587E-2</v>
      </c>
    </row>
    <row r="3" spans="1:16" x14ac:dyDescent="0.3">
      <c r="A3" s="9" t="s">
        <v>2</v>
      </c>
      <c r="B3" s="8">
        <v>0.10282721811563456</v>
      </c>
      <c r="C3" s="8">
        <v>0.11607142857142858</v>
      </c>
      <c r="D3" s="8">
        <v>0.16438356164383561</v>
      </c>
      <c r="E3" s="8">
        <v>0.11206896551724138</v>
      </c>
      <c r="F3" s="8">
        <v>9.7922848664688422E-2</v>
      </c>
      <c r="G3" s="8">
        <v>0.13953488372093023</v>
      </c>
      <c r="H3" s="8">
        <v>0.15294117647058825</v>
      </c>
      <c r="I3" s="7">
        <v>0.18970946202460975</v>
      </c>
      <c r="J3" s="7">
        <f t="shared" ref="J3:P7" si="0">J2+B3</f>
        <v>0.18970946202460975</v>
      </c>
      <c r="K3" s="7">
        <f t="shared" si="0"/>
        <v>0.20089285714285715</v>
      </c>
      <c r="L3" s="7">
        <f t="shared" si="0"/>
        <v>0.24657534246575341</v>
      </c>
      <c r="M3" s="7">
        <f t="shared" si="0"/>
        <v>0.17241379310344829</v>
      </c>
      <c r="N3" s="7">
        <f t="shared" si="0"/>
        <v>0.13649851632047477</v>
      </c>
      <c r="O3" s="7">
        <f t="shared" si="0"/>
        <v>0.19534883720930232</v>
      </c>
      <c r="P3" s="7">
        <f t="shared" si="0"/>
        <v>0.23529411764705882</v>
      </c>
    </row>
    <row r="4" spans="1:16" x14ac:dyDescent="0.3">
      <c r="A4" s="9" t="s">
        <v>3</v>
      </c>
      <c r="B4" s="8">
        <v>0.11513209316867282</v>
      </c>
      <c r="C4" s="8">
        <v>8.4821428571428575E-2</v>
      </c>
      <c r="D4" s="8">
        <v>7.5342465753424653E-2</v>
      </c>
      <c r="E4" s="8">
        <v>0.1206896551724138</v>
      </c>
      <c r="F4" s="8">
        <v>0.10979228486646884</v>
      </c>
      <c r="G4" s="8">
        <v>0.12093023255813953</v>
      </c>
      <c r="H4" s="8">
        <v>0.11764705882352941</v>
      </c>
      <c r="I4" s="7">
        <v>0.3048415551932826</v>
      </c>
      <c r="J4" s="7">
        <f t="shared" si="0"/>
        <v>0.3048415551932826</v>
      </c>
      <c r="K4" s="7">
        <f t="shared" si="0"/>
        <v>0.2857142857142857</v>
      </c>
      <c r="L4" s="7">
        <f t="shared" si="0"/>
        <v>0.32191780821917804</v>
      </c>
      <c r="M4" s="7">
        <f t="shared" si="0"/>
        <v>0.2931034482758621</v>
      </c>
      <c r="N4" s="7">
        <f t="shared" si="0"/>
        <v>0.24629080118694363</v>
      </c>
      <c r="O4" s="7">
        <f t="shared" si="0"/>
        <v>0.31627906976744186</v>
      </c>
      <c r="P4" s="7">
        <f t="shared" si="0"/>
        <v>0.3529411764705882</v>
      </c>
    </row>
    <row r="5" spans="1:16" x14ac:dyDescent="0.3">
      <c r="A5" s="9" t="s">
        <v>1</v>
      </c>
      <c r="B5" s="8">
        <v>0.13190334755130753</v>
      </c>
      <c r="C5" s="8">
        <v>0.11160714285714286</v>
      </c>
      <c r="D5" s="8">
        <v>0.1095890410958904</v>
      </c>
      <c r="E5" s="8">
        <v>0.1206896551724138</v>
      </c>
      <c r="F5" s="8">
        <v>0.10979228486646884</v>
      </c>
      <c r="G5" s="8">
        <v>0.13488372093023257</v>
      </c>
      <c r="H5" s="8">
        <v>0.2</v>
      </c>
      <c r="I5" s="7">
        <v>0.4367449027445901</v>
      </c>
      <c r="J5" s="7">
        <f t="shared" si="0"/>
        <v>0.4367449027445901</v>
      </c>
      <c r="K5" s="7">
        <f t="shared" si="0"/>
        <v>0.39732142857142855</v>
      </c>
      <c r="L5" s="7">
        <f t="shared" si="0"/>
        <v>0.43150684931506844</v>
      </c>
      <c r="M5" s="7">
        <f t="shared" si="0"/>
        <v>0.41379310344827591</v>
      </c>
      <c r="N5" s="7">
        <f t="shared" si="0"/>
        <v>0.35608308605341249</v>
      </c>
      <c r="O5" s="7">
        <f t="shared" si="0"/>
        <v>0.4511627906976744</v>
      </c>
      <c r="P5" s="7">
        <f t="shared" si="0"/>
        <v>0.55294117647058827</v>
      </c>
    </row>
    <row r="6" spans="1:16" x14ac:dyDescent="0.3">
      <c r="A6" s="9" t="s">
        <v>5</v>
      </c>
      <c r="B6" s="8">
        <v>0.15329730454007459</v>
      </c>
      <c r="C6" s="8">
        <v>0.14732142857142858</v>
      </c>
      <c r="D6" s="8">
        <v>0.12328767123287671</v>
      </c>
      <c r="E6" s="8">
        <v>0.14655172413793102</v>
      </c>
      <c r="F6" s="8">
        <v>7.71513353115727E-2</v>
      </c>
      <c r="G6" s="8">
        <v>0.10697674418604651</v>
      </c>
      <c r="H6" s="8">
        <v>4.7058823529411764E-2</v>
      </c>
      <c r="I6" s="7">
        <v>0.59004220728466472</v>
      </c>
      <c r="J6" s="7">
        <f t="shared" si="0"/>
        <v>0.59004220728466472</v>
      </c>
      <c r="K6" s="7">
        <f t="shared" si="0"/>
        <v>0.5446428571428571</v>
      </c>
      <c r="L6" s="7">
        <f t="shared" si="0"/>
        <v>0.5547945205479452</v>
      </c>
      <c r="M6" s="7">
        <f t="shared" si="0"/>
        <v>0.56034482758620696</v>
      </c>
      <c r="N6" s="7">
        <f t="shared" si="0"/>
        <v>0.43323442136498519</v>
      </c>
      <c r="O6" s="7">
        <f t="shared" si="0"/>
        <v>0.55813953488372092</v>
      </c>
      <c r="P6" s="7">
        <f t="shared" si="0"/>
        <v>0.60000000000000009</v>
      </c>
    </row>
    <row r="7" spans="1:16" x14ac:dyDescent="0.3">
      <c r="A7" s="9" t="s">
        <v>0</v>
      </c>
      <c r="B7" s="8">
        <v>0.40995779271533533</v>
      </c>
      <c r="C7" s="8">
        <v>0.45535714285714285</v>
      </c>
      <c r="D7" s="8">
        <v>0.4452054794520548</v>
      </c>
      <c r="E7" s="8">
        <v>0.43965517241379309</v>
      </c>
      <c r="F7" s="8">
        <v>0.56676557863501487</v>
      </c>
      <c r="G7" s="8">
        <v>0.44186046511627908</v>
      </c>
      <c r="H7" s="8">
        <v>0.4</v>
      </c>
      <c r="I7" s="7">
        <v>1</v>
      </c>
      <c r="J7" s="7">
        <f t="shared" si="0"/>
        <v>1</v>
      </c>
      <c r="K7" s="7">
        <f t="shared" si="0"/>
        <v>1</v>
      </c>
      <c r="L7" s="7">
        <f t="shared" si="0"/>
        <v>1</v>
      </c>
      <c r="M7" s="7">
        <f t="shared" si="0"/>
        <v>1</v>
      </c>
      <c r="N7" s="7">
        <f t="shared" si="0"/>
        <v>1</v>
      </c>
      <c r="O7" s="7">
        <f t="shared" si="0"/>
        <v>1</v>
      </c>
      <c r="P7" s="7">
        <f t="shared" si="0"/>
        <v>1</v>
      </c>
    </row>
    <row r="9" spans="1:16" ht="28.8" x14ac:dyDescent="0.3">
      <c r="B9" s="1" t="s">
        <v>6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J9" s="9"/>
      <c r="K9" s="10" t="s">
        <v>20</v>
      </c>
      <c r="L9" s="10" t="s">
        <v>21</v>
      </c>
      <c r="M9" s="10" t="s">
        <v>22</v>
      </c>
      <c r="N9" s="10" t="s">
        <v>23</v>
      </c>
      <c r="O9" s="10" t="s">
        <v>24</v>
      </c>
      <c r="P9" s="10" t="s">
        <v>25</v>
      </c>
    </row>
    <row r="10" spans="1:16" x14ac:dyDescent="0.3">
      <c r="B10" s="9" t="s">
        <v>4</v>
      </c>
      <c r="C10" s="7">
        <f>C2-B2</f>
        <v>-2.0608153375466093E-3</v>
      </c>
      <c r="D10" s="7">
        <f>D2-B2</f>
        <v>-4.690463087057381E-3</v>
      </c>
      <c r="E10" s="7">
        <f>E2-B2</f>
        <v>-2.6537416322768285E-2</v>
      </c>
      <c r="F10" s="7">
        <f>F2-B2</f>
        <v>-4.8306576253188835E-2</v>
      </c>
      <c r="G10" s="7">
        <f>G2-B2</f>
        <v>-3.1068290420603092E-2</v>
      </c>
      <c r="H10" s="7">
        <f>H2-B2</f>
        <v>-4.5293027325045976E-3</v>
      </c>
      <c r="J10" s="9" t="s">
        <v>4</v>
      </c>
      <c r="K10" s="9">
        <f>(J2-0) * ((K2+0))</f>
        <v>7.369476045850574E-3</v>
      </c>
      <c r="L10" s="9">
        <f>(J2-0) * ((L2+0))</f>
        <v>7.1410063486828917E-3</v>
      </c>
      <c r="M10" s="9">
        <f>(J2-0) * ((M2+0))</f>
        <v>5.2428940289898822E-3</v>
      </c>
      <c r="N10" s="9">
        <f>(J2-0) * ((N2+0))</f>
        <v>3.3515405662215944E-3</v>
      </c>
      <c r="O10" s="9">
        <f>(J2-0) * ((O2+0))</f>
        <v>4.8492415205009408E-3</v>
      </c>
      <c r="P10" s="9">
        <f>(J2-0) * ((P2+0))</f>
        <v>7.1550083219156036E-3</v>
      </c>
    </row>
    <row r="11" spans="1:16" x14ac:dyDescent="0.3">
      <c r="B11" s="9" t="s">
        <v>2</v>
      </c>
      <c r="C11" s="7">
        <f t="shared" ref="C11:C15" si="1">C3-B3</f>
        <v>1.324421045579402E-2</v>
      </c>
      <c r="D11" s="7">
        <f t="shared" ref="D11:D15" si="2">D3-B3</f>
        <v>6.1556343528201052E-2</v>
      </c>
      <c r="E11" s="7">
        <f t="shared" ref="E11:E15" si="3">E3-B3</f>
        <v>9.2417474016068257E-3</v>
      </c>
      <c r="F11" s="7">
        <f t="shared" ref="F11:F15" si="4">F3-B3</f>
        <v>-4.9043694509461333E-3</v>
      </c>
      <c r="G11" s="7">
        <f t="shared" ref="G11:G15" si="5">G3-B3</f>
        <v>3.6707665605295675E-2</v>
      </c>
      <c r="H11" s="7">
        <f t="shared" ref="H11:H15" si="6">H3-B3</f>
        <v>5.0113958354953692E-2</v>
      </c>
      <c r="J11" s="9" t="s">
        <v>2</v>
      </c>
      <c r="K11" s="9">
        <f>(J3-J2) * ((K3+K2))</f>
        <v>2.9379205175895588E-2</v>
      </c>
      <c r="L11" s="9">
        <f>(J3-J2) * ((L3+L2))</f>
        <v>3.3806208695551086E-2</v>
      </c>
      <c r="M11" s="9">
        <f>(J3-J2) * ((M3+M2))</f>
        <v>2.3933921457949429E-2</v>
      </c>
      <c r="N11" s="9">
        <f>(J3-J2) * ((N3+N2))</f>
        <v>1.8002391302143737E-2</v>
      </c>
      <c r="O11" s="9">
        <f>(J3-J2) * ((O3+O2))</f>
        <v>2.5826371061601242E-2</v>
      </c>
      <c r="P11" s="9">
        <f>(J3-J2) * ((P3+P2))</f>
        <v>3.266276340143686E-2</v>
      </c>
    </row>
    <row r="12" spans="1:16" x14ac:dyDescent="0.3">
      <c r="B12" s="9" t="s">
        <v>3</v>
      </c>
      <c r="C12" s="7">
        <f t="shared" si="1"/>
        <v>-3.0310664597244241E-2</v>
      </c>
      <c r="D12" s="7">
        <f t="shared" si="2"/>
        <v>-3.9789627415248163E-2</v>
      </c>
      <c r="E12" s="7">
        <f t="shared" si="3"/>
        <v>5.5575620037409817E-3</v>
      </c>
      <c r="F12" s="7">
        <f t="shared" si="4"/>
        <v>-5.3398083022039716E-3</v>
      </c>
      <c r="G12" s="7">
        <f t="shared" si="5"/>
        <v>5.7981393894667166E-3</v>
      </c>
      <c r="H12" s="7">
        <f t="shared" si="6"/>
        <v>2.5149656548565935E-3</v>
      </c>
      <c r="J12" s="9" t="s">
        <v>3</v>
      </c>
      <c r="K12" s="9">
        <f t="shared" ref="K12:K15" si="7">(J4-J3) * ((K4+K3))</f>
        <v>5.602409890797027E-2</v>
      </c>
      <c r="L12" s="9">
        <f t="shared" ref="L12:L15" si="8">(J4-J3) * ((L4+L3))</f>
        <v>6.54518063904099E-2</v>
      </c>
      <c r="M12" s="9">
        <f t="shared" ref="M12:M15" si="9">(J4-J3) * ((M4+M3))</f>
        <v>5.3595974406106327E-2</v>
      </c>
      <c r="N12" s="9">
        <f t="shared" ref="N12:N15" si="10">(J4-J3) * ((N4+N3))</f>
        <v>4.4071335367236786E-2</v>
      </c>
      <c r="O12" s="9">
        <f t="shared" ref="O12:O15" si="11">(J4-J3) * ((O4+O3))</f>
        <v>5.8904791853739598E-2</v>
      </c>
      <c r="P12" s="9">
        <f t="shared" ref="P12:P15" si="12">(J4-J3) * ((P4+P3))</f>
        <v>6.7724760687454602E-2</v>
      </c>
    </row>
    <row r="13" spans="1:16" x14ac:dyDescent="0.3">
      <c r="B13" s="9" t="s">
        <v>1</v>
      </c>
      <c r="C13" s="7">
        <f t="shared" si="1"/>
        <v>-2.0296204694164668E-2</v>
      </c>
      <c r="D13" s="7">
        <f t="shared" si="2"/>
        <v>-2.2314306455417127E-2</v>
      </c>
      <c r="E13" s="7">
        <f t="shared" si="3"/>
        <v>-1.1213692378893733E-2</v>
      </c>
      <c r="F13" s="7">
        <f t="shared" si="4"/>
        <v>-2.2111062684838687E-2</v>
      </c>
      <c r="G13" s="7">
        <f t="shared" si="5"/>
        <v>2.9803733789250386E-3</v>
      </c>
      <c r="H13" s="7">
        <f t="shared" si="6"/>
        <v>6.809665244869248E-2</v>
      </c>
      <c r="J13" s="9" t="s">
        <v>1</v>
      </c>
      <c r="K13" s="9">
        <f t="shared" si="7"/>
        <v>9.0094697211384134E-2</v>
      </c>
      <c r="L13" s="9">
        <f t="shared" si="8"/>
        <v>9.9379234456464544E-2</v>
      </c>
      <c r="M13" s="9">
        <f t="shared" si="9"/>
        <v>9.3242021544889794E-2</v>
      </c>
      <c r="N13" s="9">
        <f t="shared" si="10"/>
        <v>7.9455132204496806E-2</v>
      </c>
      <c r="O13" s="9">
        <f t="shared" si="11"/>
        <v>0.10122815044635228</v>
      </c>
      <c r="P13" s="9">
        <f t="shared" si="12"/>
        <v>0.11948891484059621</v>
      </c>
    </row>
    <row r="14" spans="1:16" x14ac:dyDescent="0.3">
      <c r="B14" s="9" t="s">
        <v>5</v>
      </c>
      <c r="C14" s="7">
        <f t="shared" si="1"/>
        <v>-5.9758759686460161E-3</v>
      </c>
      <c r="D14" s="7">
        <f t="shared" si="2"/>
        <v>-3.0009633307197886E-2</v>
      </c>
      <c r="E14" s="7">
        <f t="shared" si="3"/>
        <v>-6.7455804021435695E-3</v>
      </c>
      <c r="F14" s="7">
        <f t="shared" si="4"/>
        <v>-7.6145969228501892E-2</v>
      </c>
      <c r="G14" s="7">
        <f t="shared" si="5"/>
        <v>-4.6320560354028081E-2</v>
      </c>
      <c r="H14" s="7">
        <f t="shared" si="6"/>
        <v>-0.10623848101066283</v>
      </c>
      <c r="J14" s="9" t="s">
        <v>5</v>
      </c>
      <c r="K14" s="9">
        <f t="shared" si="7"/>
        <v>0.14440058597301669</v>
      </c>
      <c r="L14" s="9">
        <f t="shared" si="8"/>
        <v>0.15119734146418318</v>
      </c>
      <c r="M14" s="9">
        <f t="shared" si="9"/>
        <v>0.14933271907783133</v>
      </c>
      <c r="N14" s="9">
        <f t="shared" si="10"/>
        <v>0.12100024631353072</v>
      </c>
      <c r="O14" s="9">
        <f t="shared" si="11"/>
        <v>0.1547233259776567</v>
      </c>
      <c r="P14" s="9">
        <f t="shared" si="12"/>
        <v>0.17674277464620369</v>
      </c>
    </row>
    <row r="15" spans="1:16" x14ac:dyDescent="0.3">
      <c r="B15" s="9" t="s">
        <v>0</v>
      </c>
      <c r="C15" s="7">
        <f t="shared" si="1"/>
        <v>4.5399350141807515E-2</v>
      </c>
      <c r="D15" s="7">
        <f t="shared" si="2"/>
        <v>3.5247686736719464E-2</v>
      </c>
      <c r="E15" s="7">
        <f t="shared" si="3"/>
        <v>2.969737969845776E-2</v>
      </c>
      <c r="F15" s="7">
        <f t="shared" si="4"/>
        <v>0.15680778591967953</v>
      </c>
      <c r="G15" s="7">
        <f t="shared" si="5"/>
        <v>3.1902672400943743E-2</v>
      </c>
      <c r="H15" s="7">
        <f t="shared" si="6"/>
        <v>-9.9577927153353119E-3</v>
      </c>
      <c r="J15" s="9" t="s">
        <v>0</v>
      </c>
      <c r="K15" s="9">
        <f t="shared" si="7"/>
        <v>0.63323837624779467</v>
      </c>
      <c r="L15" s="9">
        <f t="shared" si="8"/>
        <v>0.63740012976973359</v>
      </c>
      <c r="M15" s="9">
        <f t="shared" si="9"/>
        <v>0.63967552139203177</v>
      </c>
      <c r="N15" s="9">
        <f t="shared" si="10"/>
        <v>0.58756561982643007</v>
      </c>
      <c r="O15" s="9">
        <f t="shared" si="11"/>
        <v>0.63877144446342948</v>
      </c>
      <c r="P15" s="9">
        <f t="shared" si="12"/>
        <v>0.65593246834453645</v>
      </c>
    </row>
    <row r="16" spans="1:16" x14ac:dyDescent="0.3">
      <c r="J16" s="12" t="s">
        <v>26</v>
      </c>
      <c r="K16" s="10">
        <f>SUM(K10:K15)</f>
        <v>0.96050643956191195</v>
      </c>
      <c r="L16" s="10">
        <f t="shared" ref="L16:P16" si="13">SUM(L10:L15)</f>
        <v>0.9943757271250252</v>
      </c>
      <c r="M16" s="10">
        <f t="shared" si="13"/>
        <v>0.96502305190779847</v>
      </c>
      <c r="N16" s="10">
        <f t="shared" si="13"/>
        <v>0.85344626558005965</v>
      </c>
      <c r="O16" s="10">
        <f t="shared" si="13"/>
        <v>0.98430332532328024</v>
      </c>
      <c r="P16" s="10">
        <f t="shared" si="13"/>
        <v>1.0597066902421435</v>
      </c>
    </row>
    <row r="17" spans="10:16" x14ac:dyDescent="0.3">
      <c r="J17" s="13" t="s">
        <v>27</v>
      </c>
      <c r="K17" s="14">
        <f>1-K16</f>
        <v>3.9493560438088049E-2</v>
      </c>
      <c r="L17" s="14">
        <f t="shared" ref="L17:P17" si="14">1-L16</f>
        <v>5.6242728749748006E-3</v>
      </c>
      <c r="M17" s="14">
        <f t="shared" si="14"/>
        <v>3.4976948092201532E-2</v>
      </c>
      <c r="N17" s="14">
        <f t="shared" si="14"/>
        <v>0.14655373441994035</v>
      </c>
      <c r="O17" s="14">
        <f t="shared" si="14"/>
        <v>1.5696674676719757E-2</v>
      </c>
      <c r="P17" s="14">
        <f t="shared" si="14"/>
        <v>-5.9706690242143479E-2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F471-295F-4D4A-A152-857BFE70D681}">
  <dimension ref="A1:P29"/>
  <sheetViews>
    <sheetView topLeftCell="G6" workbookViewId="0">
      <selection activeCell="K29" sqref="K29:P29"/>
    </sheetView>
  </sheetViews>
  <sheetFormatPr defaultRowHeight="14.4" x14ac:dyDescent="0.3"/>
  <cols>
    <col min="1" max="1" width="12.5546875" customWidth="1"/>
  </cols>
  <sheetData>
    <row r="1" spans="1:16" ht="36.6" customHeight="1" x14ac:dyDescent="0.3">
      <c r="A1" s="1" t="s">
        <v>6</v>
      </c>
      <c r="B1" s="2" t="s">
        <v>7</v>
      </c>
      <c r="C1" s="3" t="s">
        <v>8</v>
      </c>
      <c r="D1" s="3" t="s">
        <v>9</v>
      </c>
      <c r="E1" s="3" t="s">
        <v>10</v>
      </c>
      <c r="F1" s="2" t="s">
        <v>11</v>
      </c>
      <c r="G1" s="3" t="s">
        <v>12</v>
      </c>
      <c r="H1" s="3" t="s">
        <v>13</v>
      </c>
      <c r="I1" s="4" t="s">
        <v>7</v>
      </c>
      <c r="J1" s="11" t="s">
        <v>7</v>
      </c>
      <c r="K1" s="6" t="s">
        <v>8</v>
      </c>
      <c r="L1" s="15" t="s">
        <v>9</v>
      </c>
      <c r="M1" s="6" t="s">
        <v>10</v>
      </c>
      <c r="N1" s="5" t="s">
        <v>11</v>
      </c>
      <c r="O1" s="6" t="s">
        <v>12</v>
      </c>
      <c r="P1" s="6" t="s">
        <v>13</v>
      </c>
    </row>
    <row r="2" spans="1:16" x14ac:dyDescent="0.3">
      <c r="A2" s="9" t="s">
        <v>37</v>
      </c>
      <c r="B2" s="8">
        <v>2.0993408069866062E-2</v>
      </c>
      <c r="C2" s="8">
        <v>2.0134228187919462E-2</v>
      </c>
      <c r="D2" s="8">
        <v>2.564102564102564E-2</v>
      </c>
      <c r="E2" s="8">
        <v>7.2992700729927005E-3</v>
      </c>
      <c r="F2" s="8">
        <v>1.3274336283185841E-2</v>
      </c>
      <c r="G2" s="8">
        <v>1.8292682926829267E-2</v>
      </c>
      <c r="H2" s="8">
        <v>1.2903225806451613E-2</v>
      </c>
      <c r="I2" s="7">
        <v>2.0993408069866062E-2</v>
      </c>
      <c r="J2" s="8">
        <v>2.0993408069866062E-2</v>
      </c>
      <c r="K2" s="8">
        <v>2.0134228187919462E-2</v>
      </c>
      <c r="L2" s="16">
        <v>2.564102564102564E-2</v>
      </c>
      <c r="M2" s="8">
        <v>7.2992700729927005E-3</v>
      </c>
      <c r="N2" s="8">
        <v>1.3274336283185841E-2</v>
      </c>
      <c r="O2" s="8">
        <v>1.8292682926829267E-2</v>
      </c>
      <c r="P2" s="8">
        <v>1.2903225806451613E-2</v>
      </c>
    </row>
    <row r="3" spans="1:16" x14ac:dyDescent="0.3">
      <c r="A3" s="9" t="s">
        <v>38</v>
      </c>
      <c r="B3" s="8">
        <v>2.2239016948678116E-2</v>
      </c>
      <c r="C3" s="8">
        <v>1.3422818791946308E-2</v>
      </c>
      <c r="D3" s="8">
        <v>6.41025641025641E-3</v>
      </c>
      <c r="E3" s="8">
        <v>0</v>
      </c>
      <c r="F3" s="8">
        <v>4.4247787610619468E-3</v>
      </c>
      <c r="G3" s="8">
        <v>1.524390243902439E-2</v>
      </c>
      <c r="H3" s="8">
        <v>1.2903225806451613E-2</v>
      </c>
      <c r="I3" s="7">
        <v>4.3232425018544178E-2</v>
      </c>
      <c r="J3" s="7">
        <f t="shared" ref="J3:P13" si="0">J2+B3</f>
        <v>4.3232425018544178E-2</v>
      </c>
      <c r="K3" s="7">
        <f t="shared" si="0"/>
        <v>3.3557046979865772E-2</v>
      </c>
      <c r="L3" s="17">
        <f t="shared" si="0"/>
        <v>3.2051282051282048E-2</v>
      </c>
      <c r="M3" s="7">
        <f t="shared" si="0"/>
        <v>7.2992700729927005E-3</v>
      </c>
      <c r="N3" s="7">
        <f t="shared" si="0"/>
        <v>1.7699115044247787E-2</v>
      </c>
      <c r="O3" s="7">
        <f t="shared" si="0"/>
        <v>3.3536585365853661E-2</v>
      </c>
      <c r="P3" s="7">
        <f t="shared" si="0"/>
        <v>2.5806451612903226E-2</v>
      </c>
    </row>
    <row r="4" spans="1:16" x14ac:dyDescent="0.3">
      <c r="A4" s="9" t="s">
        <v>39</v>
      </c>
      <c r="B4" s="8">
        <v>2.8383087710458915E-2</v>
      </c>
      <c r="C4" s="8">
        <v>3.0201342281879196E-2</v>
      </c>
      <c r="D4" s="8">
        <v>2.564102564102564E-2</v>
      </c>
      <c r="E4" s="8">
        <v>2.9197080291970802E-2</v>
      </c>
      <c r="F4" s="8">
        <v>2.2123893805309734E-2</v>
      </c>
      <c r="G4" s="8">
        <v>1.524390243902439E-2</v>
      </c>
      <c r="H4" s="8">
        <v>3.2258064516129031E-2</v>
      </c>
      <c r="I4" s="7">
        <v>7.16155127290031E-2</v>
      </c>
      <c r="J4" s="7">
        <f t="shared" si="0"/>
        <v>7.16155127290031E-2</v>
      </c>
      <c r="K4" s="7">
        <f t="shared" si="0"/>
        <v>6.3758389261744972E-2</v>
      </c>
      <c r="L4" s="17">
        <f t="shared" si="0"/>
        <v>5.7692307692307689E-2</v>
      </c>
      <c r="M4" s="7">
        <f t="shared" si="0"/>
        <v>3.6496350364963501E-2</v>
      </c>
      <c r="N4" s="7">
        <f t="shared" si="0"/>
        <v>3.9823008849557522E-2</v>
      </c>
      <c r="O4" s="7">
        <f t="shared" si="0"/>
        <v>4.878048780487805E-2</v>
      </c>
      <c r="P4" s="7">
        <f t="shared" si="0"/>
        <v>5.8064516129032254E-2</v>
      </c>
    </row>
    <row r="5" spans="1:16" x14ac:dyDescent="0.3">
      <c r="A5" s="9" t="s">
        <v>32</v>
      </c>
      <c r="B5" s="8">
        <v>3.104225273264195E-2</v>
      </c>
      <c r="C5" s="8">
        <v>6.0402684563758392E-2</v>
      </c>
      <c r="D5" s="8">
        <v>1.282051282051282E-2</v>
      </c>
      <c r="E5" s="8">
        <v>7.2992700729927005E-3</v>
      </c>
      <c r="F5" s="8">
        <v>3.9823008849557522E-2</v>
      </c>
      <c r="G5" s="8">
        <v>6.097560975609756E-2</v>
      </c>
      <c r="H5" s="8">
        <v>1.935483870967742E-2</v>
      </c>
      <c r="I5" s="7">
        <v>0.10265776546164505</v>
      </c>
      <c r="J5" s="7">
        <f t="shared" si="0"/>
        <v>0.10265776546164505</v>
      </c>
      <c r="K5" s="7">
        <f t="shared" si="0"/>
        <v>0.12416107382550337</v>
      </c>
      <c r="L5" s="17">
        <f t="shared" si="0"/>
        <v>7.0512820512820512E-2</v>
      </c>
      <c r="M5" s="7">
        <f t="shared" si="0"/>
        <v>4.3795620437956199E-2</v>
      </c>
      <c r="N5" s="7">
        <f t="shared" si="0"/>
        <v>7.9646017699115043E-2</v>
      </c>
      <c r="O5" s="7">
        <f t="shared" si="0"/>
        <v>0.10975609756097561</v>
      </c>
      <c r="P5" s="7">
        <f t="shared" si="0"/>
        <v>7.7419354838709681E-2</v>
      </c>
    </row>
    <row r="6" spans="1:16" x14ac:dyDescent="0.3">
      <c r="A6" s="9" t="s">
        <v>34</v>
      </c>
      <c r="B6" s="8">
        <v>3.258176932443213E-2</v>
      </c>
      <c r="C6" s="8">
        <v>4.6979865771812082E-2</v>
      </c>
      <c r="D6" s="8">
        <v>8.9743589743589744E-2</v>
      </c>
      <c r="E6" s="8">
        <v>5.1094890510948905E-2</v>
      </c>
      <c r="F6" s="8">
        <v>6.8584070796460173E-2</v>
      </c>
      <c r="G6" s="8">
        <v>4.573170731707317E-2</v>
      </c>
      <c r="H6" s="8">
        <v>7.0967741935483872E-2</v>
      </c>
      <c r="I6" s="7">
        <v>0.1352395347860772</v>
      </c>
      <c r="J6" s="7">
        <f t="shared" si="0"/>
        <v>0.1352395347860772</v>
      </c>
      <c r="K6" s="7">
        <f t="shared" si="0"/>
        <v>0.17114093959731547</v>
      </c>
      <c r="L6" s="17">
        <f t="shared" si="0"/>
        <v>0.16025641025641024</v>
      </c>
      <c r="M6" s="7">
        <f t="shared" si="0"/>
        <v>9.4890510948905105E-2</v>
      </c>
      <c r="N6" s="7">
        <f t="shared" si="0"/>
        <v>0.14823008849557523</v>
      </c>
      <c r="O6" s="7">
        <f t="shared" si="0"/>
        <v>0.15548780487804878</v>
      </c>
      <c r="P6" s="7">
        <f t="shared" si="0"/>
        <v>0.14838709677419354</v>
      </c>
    </row>
    <row r="7" spans="1:16" x14ac:dyDescent="0.3">
      <c r="A7" s="9" t="s">
        <v>31</v>
      </c>
      <c r="B7" s="8">
        <v>3.531791017620467E-2</v>
      </c>
      <c r="C7" s="8">
        <v>0</v>
      </c>
      <c r="D7" s="8">
        <v>6.41025641025641E-3</v>
      </c>
      <c r="E7" s="8">
        <v>7.2992700729927005E-3</v>
      </c>
      <c r="F7" s="8">
        <v>3.5398230088495575E-2</v>
      </c>
      <c r="G7" s="8">
        <v>2.4390243902439025E-2</v>
      </c>
      <c r="H7" s="8">
        <v>5.1612903225806452E-2</v>
      </c>
      <c r="I7" s="7">
        <v>0.17055744496228187</v>
      </c>
      <c r="J7" s="7">
        <f t="shared" si="0"/>
        <v>0.17055744496228187</v>
      </c>
      <c r="K7" s="7">
        <f t="shared" si="0"/>
        <v>0.17114093959731547</v>
      </c>
      <c r="L7" s="17">
        <f t="shared" si="0"/>
        <v>0.16666666666666666</v>
      </c>
      <c r="M7" s="7">
        <f t="shared" si="0"/>
        <v>0.10218978102189781</v>
      </c>
      <c r="N7" s="7">
        <f t="shared" si="0"/>
        <v>0.1836283185840708</v>
      </c>
      <c r="O7" s="7">
        <f t="shared" si="0"/>
        <v>0.1798780487804878</v>
      </c>
      <c r="P7" s="7">
        <f t="shared" si="0"/>
        <v>0.19999999999999998</v>
      </c>
    </row>
    <row r="8" spans="1:16" x14ac:dyDescent="0.3">
      <c r="A8" s="9" t="s">
        <v>33</v>
      </c>
      <c r="B8" s="8">
        <v>3.8005066409147525E-2</v>
      </c>
      <c r="C8" s="8">
        <v>7.7181208053691275E-2</v>
      </c>
      <c r="D8" s="8">
        <v>8.9743589743589744E-2</v>
      </c>
      <c r="E8" s="8">
        <v>2.9197080291970802E-2</v>
      </c>
      <c r="F8" s="8">
        <v>9.0707964601769914E-2</v>
      </c>
      <c r="G8" s="8">
        <v>7.0121951219512202E-2</v>
      </c>
      <c r="H8" s="8">
        <v>7.0967741935483872E-2</v>
      </c>
      <c r="I8" s="7">
        <v>0.20856251137142939</v>
      </c>
      <c r="J8" s="7">
        <f t="shared" si="0"/>
        <v>0.20856251137142939</v>
      </c>
      <c r="K8" s="7">
        <f t="shared" si="0"/>
        <v>0.24832214765100674</v>
      </c>
      <c r="L8" s="17">
        <f t="shared" si="0"/>
        <v>0.25641025641025639</v>
      </c>
      <c r="M8" s="7">
        <f t="shared" si="0"/>
        <v>0.13138686131386862</v>
      </c>
      <c r="N8" s="7">
        <f t="shared" si="0"/>
        <v>0.27433628318584069</v>
      </c>
      <c r="O8" s="7">
        <f t="shared" si="0"/>
        <v>0.25</v>
      </c>
      <c r="P8" s="7">
        <f t="shared" si="0"/>
        <v>0.27096774193548384</v>
      </c>
    </row>
    <row r="9" spans="1:16" x14ac:dyDescent="0.3">
      <c r="A9" s="9" t="s">
        <v>30</v>
      </c>
      <c r="B9" s="8">
        <v>6.1650641698506668E-2</v>
      </c>
      <c r="C9" s="8">
        <v>8.0536912751677847E-2</v>
      </c>
      <c r="D9" s="8">
        <v>2.564102564102564E-2</v>
      </c>
      <c r="E9" s="8">
        <v>2.1897810218978103E-2</v>
      </c>
      <c r="F9" s="8">
        <v>4.4247787610619468E-2</v>
      </c>
      <c r="G9" s="8">
        <v>5.7926829268292686E-2</v>
      </c>
      <c r="H9" s="8">
        <v>0.10967741935483871</v>
      </c>
      <c r="I9" s="7">
        <v>0.27021315306993604</v>
      </c>
      <c r="J9" s="7">
        <f t="shared" si="0"/>
        <v>0.27021315306993604</v>
      </c>
      <c r="K9" s="7">
        <f t="shared" si="0"/>
        <v>0.32885906040268459</v>
      </c>
      <c r="L9" s="17">
        <f t="shared" si="0"/>
        <v>0.28205128205128205</v>
      </c>
      <c r="M9" s="7">
        <f t="shared" si="0"/>
        <v>0.15328467153284672</v>
      </c>
      <c r="N9" s="7">
        <f t="shared" si="0"/>
        <v>0.31858407079646017</v>
      </c>
      <c r="O9" s="7">
        <f t="shared" si="0"/>
        <v>0.30792682926829268</v>
      </c>
      <c r="P9" s="7">
        <f t="shared" si="0"/>
        <v>0.38064516129032255</v>
      </c>
    </row>
    <row r="10" spans="1:16" x14ac:dyDescent="0.3">
      <c r="A10" s="9" t="s">
        <v>29</v>
      </c>
      <c r="B10" s="8">
        <v>6.5940294747449307E-2</v>
      </c>
      <c r="C10" s="8">
        <v>2.3489932885906041E-2</v>
      </c>
      <c r="D10" s="8">
        <v>6.4102564102564097E-2</v>
      </c>
      <c r="E10" s="8">
        <v>2.9197080291970802E-2</v>
      </c>
      <c r="F10" s="8">
        <v>2.6548672566371681E-2</v>
      </c>
      <c r="G10" s="8">
        <v>2.1341463414634148E-2</v>
      </c>
      <c r="H10" s="8">
        <v>4.5161290322580643E-2</v>
      </c>
      <c r="I10" s="7">
        <v>0.33615344781738532</v>
      </c>
      <c r="J10" s="7">
        <f t="shared" si="0"/>
        <v>0.33615344781738532</v>
      </c>
      <c r="K10" s="7">
        <f t="shared" si="0"/>
        <v>0.35234899328859065</v>
      </c>
      <c r="L10" s="17">
        <f t="shared" si="0"/>
        <v>0.34615384615384615</v>
      </c>
      <c r="M10" s="7">
        <f t="shared" si="0"/>
        <v>0.18248175182481752</v>
      </c>
      <c r="N10" s="7">
        <f t="shared" si="0"/>
        <v>0.34513274336283184</v>
      </c>
      <c r="O10" s="7">
        <f t="shared" si="0"/>
        <v>0.32926829268292684</v>
      </c>
      <c r="P10" s="7">
        <f t="shared" si="0"/>
        <v>0.4258064516129032</v>
      </c>
    </row>
    <row r="11" spans="1:16" x14ac:dyDescent="0.3">
      <c r="A11" s="9" t="s">
        <v>35</v>
      </c>
      <c r="B11" s="8">
        <v>8.2651047571062689E-2</v>
      </c>
      <c r="C11" s="8">
        <v>5.7046979865771813E-2</v>
      </c>
      <c r="D11" s="8">
        <v>8.3333333333333329E-2</v>
      </c>
      <c r="E11" s="8">
        <v>0.11678832116788321</v>
      </c>
      <c r="F11" s="8">
        <v>0.20353982300884957</v>
      </c>
      <c r="G11" s="8">
        <v>0.23170731707317074</v>
      </c>
      <c r="H11" s="8">
        <v>0.22580645161290322</v>
      </c>
      <c r="I11" s="7">
        <v>0.41880449538844799</v>
      </c>
      <c r="J11" s="7">
        <f t="shared" si="0"/>
        <v>0.41880449538844799</v>
      </c>
      <c r="K11" s="7">
        <f t="shared" si="0"/>
        <v>0.40939597315436249</v>
      </c>
      <c r="L11" s="17">
        <f t="shared" si="0"/>
        <v>0.42948717948717946</v>
      </c>
      <c r="M11" s="7">
        <f t="shared" si="0"/>
        <v>0.2992700729927007</v>
      </c>
      <c r="N11" s="7">
        <f t="shared" si="0"/>
        <v>0.54867256637168138</v>
      </c>
      <c r="O11" s="7">
        <f t="shared" si="0"/>
        <v>0.56097560975609762</v>
      </c>
      <c r="P11" s="7">
        <f t="shared" si="0"/>
        <v>0.65161290322580645</v>
      </c>
    </row>
    <row r="12" spans="1:16" x14ac:dyDescent="0.3">
      <c r="A12" s="9" t="s">
        <v>36</v>
      </c>
      <c r="B12" s="8">
        <v>0.24583280849813158</v>
      </c>
      <c r="C12" s="8">
        <v>0.28859060402684567</v>
      </c>
      <c r="D12" s="8">
        <v>0.30769230769230771</v>
      </c>
      <c r="E12" s="8">
        <v>0.33576642335766421</v>
      </c>
      <c r="F12" s="8">
        <v>0.18141592920353983</v>
      </c>
      <c r="G12" s="8">
        <v>0.2073170731707317</v>
      </c>
      <c r="H12" s="8">
        <v>0.24516129032258063</v>
      </c>
      <c r="I12" s="7">
        <v>0.6646373038865796</v>
      </c>
      <c r="J12" s="7">
        <f t="shared" si="0"/>
        <v>0.6646373038865796</v>
      </c>
      <c r="K12" s="7">
        <f t="shared" si="0"/>
        <v>0.69798657718120816</v>
      </c>
      <c r="L12" s="17">
        <f t="shared" si="0"/>
        <v>0.73717948717948723</v>
      </c>
      <c r="M12" s="7">
        <f t="shared" si="0"/>
        <v>0.63503649635036497</v>
      </c>
      <c r="N12" s="7">
        <f t="shared" si="0"/>
        <v>0.73008849557522115</v>
      </c>
      <c r="O12" s="7">
        <f t="shared" si="0"/>
        <v>0.76829268292682928</v>
      </c>
      <c r="P12" s="7">
        <f t="shared" si="0"/>
        <v>0.89677419354838706</v>
      </c>
    </row>
    <row r="13" spans="1:16" x14ac:dyDescent="0.3">
      <c r="A13" s="9" t="s">
        <v>28</v>
      </c>
      <c r="B13" s="8">
        <v>0.3353626961134204</v>
      </c>
      <c r="C13" s="8">
        <v>0.30201342281879195</v>
      </c>
      <c r="D13" s="8">
        <v>0.26282051282051283</v>
      </c>
      <c r="E13" s="8">
        <v>0.36496350364963503</v>
      </c>
      <c r="F13" s="8">
        <v>0.26991150442477874</v>
      </c>
      <c r="G13" s="8">
        <v>0.23170731707317074</v>
      </c>
      <c r="H13" s="8">
        <v>0.1032258064516129</v>
      </c>
      <c r="I13" s="7">
        <v>1</v>
      </c>
      <c r="J13" s="7">
        <f t="shared" si="0"/>
        <v>1</v>
      </c>
      <c r="K13" s="7">
        <f t="shared" si="0"/>
        <v>1</v>
      </c>
      <c r="L13" s="17">
        <f t="shared" si="0"/>
        <v>1</v>
      </c>
      <c r="M13" s="7">
        <f t="shared" si="0"/>
        <v>1</v>
      </c>
      <c r="N13" s="7">
        <f t="shared" si="0"/>
        <v>0.99999999999999989</v>
      </c>
      <c r="O13" s="7">
        <f t="shared" si="0"/>
        <v>1</v>
      </c>
      <c r="P13" s="7">
        <f t="shared" si="0"/>
        <v>1</v>
      </c>
    </row>
    <row r="15" spans="1:16" ht="28.8" x14ac:dyDescent="0.3">
      <c r="B15" s="1" t="s">
        <v>6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18</v>
      </c>
      <c r="H15" s="3" t="s">
        <v>19</v>
      </c>
      <c r="J15" s="9"/>
      <c r="K15" s="10" t="s">
        <v>20</v>
      </c>
      <c r="L15" s="10" t="s">
        <v>21</v>
      </c>
      <c r="M15" s="10" t="s">
        <v>22</v>
      </c>
      <c r="N15" s="10" t="s">
        <v>23</v>
      </c>
      <c r="O15" s="10" t="s">
        <v>24</v>
      </c>
      <c r="P15" s="10" t="s">
        <v>25</v>
      </c>
    </row>
    <row r="16" spans="1:16" x14ac:dyDescent="0.3">
      <c r="B16" s="9" t="s">
        <v>37</v>
      </c>
      <c r="C16" s="7">
        <f>C2-B2</f>
        <v>-8.5917988194660067E-4</v>
      </c>
      <c r="D16" s="7">
        <f>D2-B2</f>
        <v>4.6476175711595777E-3</v>
      </c>
      <c r="E16" s="7">
        <f>E2-B2</f>
        <v>-1.3694137996873362E-2</v>
      </c>
      <c r="F16" s="7">
        <f>F2-B2</f>
        <v>-7.7190717866802219E-3</v>
      </c>
      <c r="G16" s="7">
        <f>G2-B2</f>
        <v>-2.7007251430367953E-3</v>
      </c>
      <c r="H16" s="7">
        <f>H2-B2</f>
        <v>-8.0901822634144496E-3</v>
      </c>
      <c r="J16" s="9" t="s">
        <v>40</v>
      </c>
      <c r="K16" s="9">
        <f>($J2-0) * ((K2+0))</f>
        <v>4.2268606852079318E-4</v>
      </c>
      <c r="L16" s="9">
        <f t="shared" ref="L16:P16" si="1">($J2-0) * ((L2+0))</f>
        <v>5.3829251461195028E-4</v>
      </c>
      <c r="M16" s="9">
        <f t="shared" si="1"/>
        <v>1.5323655525449679E-4</v>
      </c>
      <c r="N16" s="9">
        <f t="shared" si="1"/>
        <v>2.7867355844954952E-4</v>
      </c>
      <c r="O16" s="9">
        <f t="shared" si="1"/>
        <v>3.8402575737559868E-4</v>
      </c>
      <c r="P16" s="9">
        <f t="shared" si="1"/>
        <v>2.7088268477246531E-4</v>
      </c>
    </row>
    <row r="17" spans="2:16" x14ac:dyDescent="0.3">
      <c r="B17" s="9" t="s">
        <v>38</v>
      </c>
      <c r="C17" s="7">
        <f t="shared" ref="C17:C27" si="2">C3-B3</f>
        <v>-8.8161981567318071E-3</v>
      </c>
      <c r="D17" s="7">
        <f t="shared" ref="D17:D27" si="3">D3-B3</f>
        <v>-1.5828760538421707E-2</v>
      </c>
      <c r="E17" s="7">
        <f t="shared" ref="E17:E27" si="4">E3-B3</f>
        <v>-2.2239016948678116E-2</v>
      </c>
      <c r="F17" s="7">
        <f t="shared" ref="F17:F27" si="5">F3-B3</f>
        <v>-1.7814238187616169E-2</v>
      </c>
      <c r="G17" s="7">
        <f t="shared" ref="G17:G27" si="6">G3-B3</f>
        <v>-6.9951145096537257E-3</v>
      </c>
      <c r="H17" s="7">
        <f t="shared" ref="H17:H27" si="7">H3-B3</f>
        <v>-9.3357911422265027E-3</v>
      </c>
      <c r="J17" s="9" t="s">
        <v>41</v>
      </c>
      <c r="K17" s="9">
        <f>($J3-$J2) * ((K3+K2))</f>
        <v>1.1940411784525163E-3</v>
      </c>
      <c r="L17" s="9">
        <f t="shared" ref="L17:P17" si="8">($J3-$J2) * ((L3+L2))</f>
        <v>1.2830202085775835E-3</v>
      </c>
      <c r="M17" s="9">
        <f t="shared" si="8"/>
        <v>3.246571817325272E-4</v>
      </c>
      <c r="N17" s="9">
        <f t="shared" si="8"/>
        <v>6.8881910902985309E-4</v>
      </c>
      <c r="O17" s="9">
        <f t="shared" si="8"/>
        <v>1.1526319759985609E-3</v>
      </c>
      <c r="P17" s="9">
        <f t="shared" si="8"/>
        <v>8.6086517220689484E-4</v>
      </c>
    </row>
    <row r="18" spans="2:16" x14ac:dyDescent="0.3">
      <c r="B18" s="9" t="s">
        <v>39</v>
      </c>
      <c r="C18" s="7">
        <f t="shared" si="2"/>
        <v>1.8182545714202809E-3</v>
      </c>
      <c r="D18" s="7">
        <f t="shared" si="3"/>
        <v>-2.7420620694332751E-3</v>
      </c>
      <c r="E18" s="7">
        <f t="shared" si="4"/>
        <v>8.1399258151188675E-4</v>
      </c>
      <c r="F18" s="7">
        <f t="shared" si="5"/>
        <v>-6.259193905149181E-3</v>
      </c>
      <c r="G18" s="7">
        <f t="shared" si="6"/>
        <v>-1.3139185271434525E-2</v>
      </c>
      <c r="H18" s="7">
        <f t="shared" si="7"/>
        <v>3.8749768056701162E-3</v>
      </c>
      <c r="J18" s="9" t="s">
        <v>42</v>
      </c>
      <c r="K18" s="9">
        <f t="shared" ref="K18:P27" si="9">($J4-$J3) * ((K4+K3))</f>
        <v>2.7621125624272104E-3</v>
      </c>
      <c r="L18" s="9">
        <f t="shared" si="9"/>
        <v>2.5472001791437492E-3</v>
      </c>
      <c r="M18" s="9">
        <f t="shared" si="9"/>
        <v>1.2430549362244781E-3</v>
      </c>
      <c r="N18" s="9">
        <f t="shared" si="9"/>
        <v>1.632655487769761E-3</v>
      </c>
      <c r="O18" s="9">
        <f t="shared" si="9"/>
        <v>2.3364127078731433E-3</v>
      </c>
      <c r="P18" s="9">
        <f t="shared" si="9"/>
        <v>2.3805170337804255E-3</v>
      </c>
    </row>
    <row r="19" spans="2:16" x14ac:dyDescent="0.3">
      <c r="B19" s="9" t="s">
        <v>32</v>
      </c>
      <c r="C19" s="7">
        <f t="shared" si="2"/>
        <v>2.9360431831116442E-2</v>
      </c>
      <c r="D19" s="7">
        <f t="shared" si="3"/>
        <v>-1.822173991212913E-2</v>
      </c>
      <c r="E19" s="7">
        <f t="shared" si="4"/>
        <v>-2.3742982659649248E-2</v>
      </c>
      <c r="F19" s="7">
        <f t="shared" si="5"/>
        <v>8.7807561169155716E-3</v>
      </c>
      <c r="G19" s="7">
        <f t="shared" si="6"/>
        <v>2.993335702345561E-2</v>
      </c>
      <c r="H19" s="7">
        <f t="shared" si="7"/>
        <v>-1.168741402296453E-2</v>
      </c>
      <c r="J19" s="9" t="s">
        <v>43</v>
      </c>
      <c r="K19" s="9">
        <f t="shared" si="9"/>
        <v>5.8334434665367431E-3</v>
      </c>
      <c r="L19" s="9">
        <f t="shared" si="9"/>
        <v>3.9797759913643522E-3</v>
      </c>
      <c r="M19" s="9">
        <f t="shared" si="9"/>
        <v>2.492443650066142E-3</v>
      </c>
      <c r="N19" s="9">
        <f t="shared" si="9"/>
        <v>3.7085877158466048E-3</v>
      </c>
      <c r="O19" s="9">
        <f t="shared" si="9"/>
        <v>4.9213327502968954E-3</v>
      </c>
      <c r="P19" s="9">
        <f t="shared" si="9"/>
        <v>4.2057245637772975E-3</v>
      </c>
    </row>
    <row r="20" spans="2:16" x14ac:dyDescent="0.3">
      <c r="B20" s="9" t="s">
        <v>34</v>
      </c>
      <c r="C20" s="7">
        <f t="shared" si="2"/>
        <v>1.4398096447379952E-2</v>
      </c>
      <c r="D20" s="7">
        <f t="shared" si="3"/>
        <v>5.7161820419157613E-2</v>
      </c>
      <c r="E20" s="7">
        <f t="shared" si="4"/>
        <v>1.8513121186516775E-2</v>
      </c>
      <c r="F20" s="7">
        <f t="shared" si="5"/>
        <v>3.6002301472028042E-2</v>
      </c>
      <c r="G20" s="7">
        <f t="shared" si="6"/>
        <v>1.3149937992641039E-2</v>
      </c>
      <c r="H20" s="7">
        <f t="shared" si="7"/>
        <v>3.8385972611051741E-2</v>
      </c>
      <c r="J20" s="9" t="s">
        <v>44</v>
      </c>
      <c r="K20" s="9">
        <f t="shared" si="9"/>
        <v>9.6214620823826466E-3</v>
      </c>
      <c r="L20" s="9">
        <f t="shared" si="9"/>
        <v>7.5188698440997251E-3</v>
      </c>
      <c r="M20" s="9">
        <f t="shared" si="9"/>
        <v>4.5186395413446042E-3</v>
      </c>
      <c r="N20" s="9">
        <f t="shared" si="9"/>
        <v>7.424606726585202E-3</v>
      </c>
      <c r="O20" s="9">
        <f t="shared" si="9"/>
        <v>8.6421156439804771E-3</v>
      </c>
      <c r="P20" s="9">
        <f t="shared" si="9"/>
        <v>7.3571737184201617E-3</v>
      </c>
    </row>
    <row r="21" spans="2:16" x14ac:dyDescent="0.3">
      <c r="B21" s="9" t="s">
        <v>31</v>
      </c>
      <c r="C21" s="7">
        <f t="shared" si="2"/>
        <v>-3.531791017620467E-2</v>
      </c>
      <c r="D21" s="7">
        <f t="shared" si="3"/>
        <v>-2.8907653765948262E-2</v>
      </c>
      <c r="E21" s="7">
        <f t="shared" si="4"/>
        <v>-2.8018640103211971E-2</v>
      </c>
      <c r="F21" s="7">
        <f t="shared" si="5"/>
        <v>8.0319912290904849E-5</v>
      </c>
      <c r="G21" s="7">
        <f t="shared" si="6"/>
        <v>-1.0927666273765645E-2</v>
      </c>
      <c r="H21" s="7">
        <f t="shared" si="7"/>
        <v>1.6294993049601782E-2</v>
      </c>
      <c r="J21" s="9" t="s">
        <v>45</v>
      </c>
      <c r="K21" s="9">
        <f t="shared" si="9"/>
        <v>1.2088680664338514E-2</v>
      </c>
      <c r="L21" s="9">
        <f t="shared" si="9"/>
        <v>1.1546239865297679E-2</v>
      </c>
      <c r="M21" s="9">
        <f t="shared" si="9"/>
        <v>6.9604640493250072E-3</v>
      </c>
      <c r="N21" s="9">
        <f t="shared" si="9"/>
        <v>1.1720545412457303E-2</v>
      </c>
      <c r="O21" s="9">
        <f t="shared" si="9"/>
        <v>1.1844421095678395E-2</v>
      </c>
      <c r="P21" s="9">
        <f t="shared" si="9"/>
        <v>1.2304304190419691E-2</v>
      </c>
    </row>
    <row r="22" spans="2:16" x14ac:dyDescent="0.3">
      <c r="B22" s="9" t="s">
        <v>33</v>
      </c>
      <c r="C22" s="7">
        <f t="shared" si="2"/>
        <v>3.9176141644543749E-2</v>
      </c>
      <c r="D22" s="7">
        <f t="shared" si="3"/>
        <v>5.1738523334442219E-2</v>
      </c>
      <c r="E22" s="7">
        <f t="shared" si="4"/>
        <v>-8.8079861171767235E-3</v>
      </c>
      <c r="F22" s="7">
        <f t="shared" si="5"/>
        <v>5.2702898192622388E-2</v>
      </c>
      <c r="G22" s="7">
        <f t="shared" si="6"/>
        <v>3.2116884810364676E-2</v>
      </c>
      <c r="H22" s="7">
        <f t="shared" si="7"/>
        <v>3.2962675526336346E-2</v>
      </c>
      <c r="J22" s="9" t="s">
        <v>46</v>
      </c>
      <c r="K22" s="9">
        <f t="shared" si="9"/>
        <v>1.5941722487058527E-2</v>
      </c>
      <c r="L22" s="9">
        <f t="shared" si="9"/>
        <v>1.6079066557716258E-2</v>
      </c>
      <c r="M22" s="9">
        <f t="shared" si="9"/>
        <v>8.8770958035965016E-3</v>
      </c>
      <c r="N22" s="9">
        <f t="shared" si="9"/>
        <v>1.7404975103304288E-2</v>
      </c>
      <c r="O22" s="9">
        <f t="shared" si="9"/>
        <v>1.63375437917372E-2</v>
      </c>
      <c r="P22" s="9">
        <f t="shared" si="9"/>
        <v>1.7899160308824318E-2</v>
      </c>
    </row>
    <row r="23" spans="2:16" x14ac:dyDescent="0.3">
      <c r="B23" s="9" t="s">
        <v>30</v>
      </c>
      <c r="C23" s="7">
        <f t="shared" si="2"/>
        <v>1.8886271053171179E-2</v>
      </c>
      <c r="D23" s="7">
        <f t="shared" si="3"/>
        <v>-3.6009616057481028E-2</v>
      </c>
      <c r="E23" s="7">
        <f t="shared" si="4"/>
        <v>-3.9752831479528565E-2</v>
      </c>
      <c r="F23" s="7">
        <f t="shared" si="5"/>
        <v>-1.74028540878872E-2</v>
      </c>
      <c r="G23" s="7">
        <f t="shared" si="6"/>
        <v>-3.7238124302139824E-3</v>
      </c>
      <c r="H23" s="7">
        <f t="shared" si="7"/>
        <v>4.8026777656332044E-2</v>
      </c>
      <c r="J23" s="9" t="s">
        <v>47</v>
      </c>
      <c r="K23" s="9">
        <f t="shared" si="9"/>
        <v>3.5583591852829347E-2</v>
      </c>
      <c r="L23" s="9">
        <f t="shared" si="9"/>
        <v>3.319649937611896E-2</v>
      </c>
      <c r="M23" s="9">
        <f t="shared" si="9"/>
        <v>1.7550182673297512E-2</v>
      </c>
      <c r="N23" s="9">
        <f t="shared" si="9"/>
        <v>3.6553920299114563E-2</v>
      </c>
      <c r="O23" s="9">
        <f t="shared" si="9"/>
        <v>3.4396547045203403E-2</v>
      </c>
      <c r="P23" s="9">
        <f t="shared" si="9"/>
        <v>4.017235362289788E-2</v>
      </c>
    </row>
    <row r="24" spans="2:16" x14ac:dyDescent="0.3">
      <c r="B24" s="9" t="s">
        <v>29</v>
      </c>
      <c r="C24" s="7">
        <f t="shared" si="2"/>
        <v>-4.2450361861543266E-2</v>
      </c>
      <c r="D24" s="7">
        <f t="shared" si="3"/>
        <v>-1.8377306448852104E-3</v>
      </c>
      <c r="E24" s="7">
        <f t="shared" si="4"/>
        <v>-3.6743214455478505E-2</v>
      </c>
      <c r="F24" s="7">
        <f t="shared" si="5"/>
        <v>-3.9391622181077626E-2</v>
      </c>
      <c r="G24" s="7">
        <f t="shared" si="6"/>
        <v>-4.4598831332815156E-2</v>
      </c>
      <c r="H24" s="7">
        <f t="shared" si="7"/>
        <v>-2.0779004424868665E-2</v>
      </c>
      <c r="J24" s="9" t="s">
        <v>48</v>
      </c>
      <c r="K24" s="9">
        <f t="shared" si="9"/>
        <v>4.4919059844738943E-2</v>
      </c>
      <c r="L24" s="9">
        <f t="shared" si="9"/>
        <v>4.1424031315705316E-2</v>
      </c>
      <c r="M24" s="9">
        <f t="shared" si="9"/>
        <v>2.214053692250122E-2</v>
      </c>
      <c r="N24" s="9">
        <f t="shared" si="9"/>
        <v>4.3765682354501727E-2</v>
      </c>
      <c r="O24" s="9">
        <f t="shared" si="9"/>
        <v>4.2016834153100306E-2</v>
      </c>
      <c r="P24" s="9">
        <f t="shared" si="9"/>
        <v>5.3177657054394575E-2</v>
      </c>
    </row>
    <row r="25" spans="2:16" x14ac:dyDescent="0.3">
      <c r="B25" s="9" t="s">
        <v>35</v>
      </c>
      <c r="C25" s="7">
        <f t="shared" si="2"/>
        <v>-2.5604067705290876E-2</v>
      </c>
      <c r="D25" s="7">
        <f t="shared" si="3"/>
        <v>6.8228576227064019E-4</v>
      </c>
      <c r="E25" s="7">
        <f t="shared" si="4"/>
        <v>3.4137273596820519E-2</v>
      </c>
      <c r="F25" s="7">
        <f t="shared" si="5"/>
        <v>0.12088877543778688</v>
      </c>
      <c r="G25" s="7">
        <f t="shared" si="6"/>
        <v>0.14905626950210804</v>
      </c>
      <c r="H25" s="7">
        <f t="shared" si="7"/>
        <v>0.14315540404184052</v>
      </c>
      <c r="J25" s="9" t="s">
        <v>49</v>
      </c>
      <c r="K25" s="9">
        <f t="shared" si="9"/>
        <v>6.2959019458494067E-2</v>
      </c>
      <c r="L25" s="9">
        <f t="shared" si="9"/>
        <v>6.4107543308324244E-2</v>
      </c>
      <c r="M25" s="9">
        <f t="shared" si="9"/>
        <v>3.981729299043895E-2</v>
      </c>
      <c r="N25" s="9">
        <f t="shared" si="9"/>
        <v>7.3873945174135661E-2</v>
      </c>
      <c r="O25" s="9">
        <f t="shared" si="9"/>
        <v>7.3579591130336297E-2</v>
      </c>
      <c r="P25" s="9">
        <f t="shared" si="9"/>
        <v>8.9049838350757846E-2</v>
      </c>
    </row>
    <row r="26" spans="2:16" x14ac:dyDescent="0.3">
      <c r="B26" s="9" t="s">
        <v>36</v>
      </c>
      <c r="C26" s="7">
        <f t="shared" si="2"/>
        <v>4.2757795528714088E-2</v>
      </c>
      <c r="D26" s="7">
        <f t="shared" si="3"/>
        <v>6.1859499194176132E-2</v>
      </c>
      <c r="E26" s="7">
        <f t="shared" si="4"/>
        <v>8.9933614859532635E-2</v>
      </c>
      <c r="F26" s="7">
        <f t="shared" si="5"/>
        <v>-6.441687929459175E-2</v>
      </c>
      <c r="G26" s="7">
        <f t="shared" si="6"/>
        <v>-3.851573532739988E-2</v>
      </c>
      <c r="H26" s="7">
        <f t="shared" si="7"/>
        <v>-6.7151817555094473E-4</v>
      </c>
      <c r="J26" s="9" t="s">
        <v>50</v>
      </c>
      <c r="K26" s="9">
        <f t="shared" si="9"/>
        <v>0.27223096243081696</v>
      </c>
      <c r="L26" s="9">
        <f t="shared" si="9"/>
        <v>0.28680494324782024</v>
      </c>
      <c r="M26" s="9">
        <f t="shared" si="9"/>
        <v>0.22968320793986019</v>
      </c>
      <c r="N26" s="9">
        <f t="shared" si="9"/>
        <v>0.31436142325646027</v>
      </c>
      <c r="O26" s="9">
        <f t="shared" si="9"/>
        <v>0.32677775763776035</v>
      </c>
      <c r="P26" s="9">
        <f t="shared" si="9"/>
        <v>0.38064434864226826</v>
      </c>
    </row>
    <row r="27" spans="2:16" x14ac:dyDescent="0.3">
      <c r="B27" s="9" t="s">
        <v>28</v>
      </c>
      <c r="C27" s="7">
        <f t="shared" si="2"/>
        <v>-3.3349273294628445E-2</v>
      </c>
      <c r="D27" s="7">
        <f t="shared" si="3"/>
        <v>-7.2542183292907569E-2</v>
      </c>
      <c r="E27" s="7">
        <f t="shared" si="4"/>
        <v>2.9600807536214635E-2</v>
      </c>
      <c r="F27" s="7">
        <f t="shared" si="5"/>
        <v>-6.5451191688641663E-2</v>
      </c>
      <c r="G27" s="7">
        <f t="shared" si="6"/>
        <v>-0.10365537904024966</v>
      </c>
      <c r="H27" s="7">
        <f t="shared" si="7"/>
        <v>-0.23213688966180751</v>
      </c>
      <c r="J27" s="9" t="s">
        <v>51</v>
      </c>
      <c r="K27" s="9">
        <f t="shared" si="9"/>
        <v>0.56944135648788841</v>
      </c>
      <c r="L27" s="9">
        <f t="shared" si="9"/>
        <v>0.58258519645344187</v>
      </c>
      <c r="M27" s="9">
        <f t="shared" si="9"/>
        <v>0.54833024765989902</v>
      </c>
      <c r="N27" s="9">
        <f t="shared" si="9"/>
        <v>0.58020714239091753</v>
      </c>
      <c r="O27" s="9">
        <f t="shared" si="9"/>
        <v>0.59301940166397515</v>
      </c>
      <c r="P27" s="9">
        <f t="shared" si="9"/>
        <v>0.63610730746674582</v>
      </c>
    </row>
    <row r="28" spans="2:16" x14ac:dyDescent="0.3">
      <c r="J28" s="10" t="s">
        <v>26</v>
      </c>
      <c r="K28" s="10">
        <f t="shared" ref="K28:P28" si="10">SUM(K16:K27)</f>
        <v>1.0329981385844846</v>
      </c>
      <c r="L28" s="10">
        <f t="shared" si="10"/>
        <v>1.0516106788622219</v>
      </c>
      <c r="M28" s="10">
        <f t="shared" si="10"/>
        <v>0.88209105990354064</v>
      </c>
      <c r="N28" s="10">
        <f t="shared" si="10"/>
        <v>1.0916209765885725</v>
      </c>
      <c r="O28" s="10">
        <f t="shared" si="10"/>
        <v>1.1154086153533158</v>
      </c>
      <c r="P28" s="10">
        <f t="shared" si="10"/>
        <v>1.2444301328092657</v>
      </c>
    </row>
    <row r="29" spans="2:16" x14ac:dyDescent="0.3">
      <c r="J29" s="14" t="s">
        <v>27</v>
      </c>
      <c r="K29" s="14">
        <f>1-K28</f>
        <v>-3.2998138584484638E-2</v>
      </c>
      <c r="L29" s="14">
        <f t="shared" ref="L29:P29" si="11">1-L28</f>
        <v>-5.1610678862221926E-2</v>
      </c>
      <c r="M29" s="14">
        <f t="shared" si="11"/>
        <v>0.11790894009645936</v>
      </c>
      <c r="N29" s="14">
        <f t="shared" si="11"/>
        <v>-9.1620976588572489E-2</v>
      </c>
      <c r="O29" s="14">
        <f t="shared" si="11"/>
        <v>-0.11540861535331581</v>
      </c>
      <c r="P29" s="14">
        <f t="shared" si="11"/>
        <v>-0.24443013280926573</v>
      </c>
    </row>
  </sheetData>
  <sortState xmlns:xlrd2="http://schemas.microsoft.com/office/spreadsheetml/2017/richdata2" ref="A2:P14">
    <sortCondition ref="B1:B14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1F6C-E29D-4D1F-AC70-4FECB14858F7}">
  <dimension ref="A1:P16"/>
  <sheetViews>
    <sheetView topLeftCell="J1" workbookViewId="0">
      <selection activeCell="K15" sqref="K15:P15"/>
    </sheetView>
  </sheetViews>
  <sheetFormatPr defaultRowHeight="14.4" x14ac:dyDescent="0.3"/>
  <cols>
    <col min="1" max="1" width="12.21875" customWidth="1"/>
  </cols>
  <sheetData>
    <row r="1" spans="1:16" ht="36.6" customHeight="1" x14ac:dyDescent="0.3">
      <c r="A1" s="1" t="s">
        <v>6</v>
      </c>
      <c r="B1" s="2" t="s">
        <v>7</v>
      </c>
      <c r="C1" s="3" t="s">
        <v>8</v>
      </c>
      <c r="D1" s="3" t="s">
        <v>9</v>
      </c>
      <c r="E1" s="3" t="s">
        <v>10</v>
      </c>
      <c r="F1" s="2" t="s">
        <v>11</v>
      </c>
      <c r="G1" s="3" t="s">
        <v>12</v>
      </c>
      <c r="H1" s="3" t="s">
        <v>13</v>
      </c>
      <c r="I1" s="4" t="s">
        <v>7</v>
      </c>
      <c r="J1" s="5" t="s">
        <v>7</v>
      </c>
      <c r="K1" s="6" t="s">
        <v>8</v>
      </c>
      <c r="L1" s="6" t="s">
        <v>9</v>
      </c>
      <c r="M1" s="6" t="s">
        <v>10</v>
      </c>
      <c r="N1" s="5" t="s">
        <v>11</v>
      </c>
      <c r="O1" s="6" t="s">
        <v>12</v>
      </c>
      <c r="P1" s="6" t="s">
        <v>13</v>
      </c>
    </row>
    <row r="2" spans="1:16" x14ac:dyDescent="0.3">
      <c r="A2" s="9" t="s">
        <v>53</v>
      </c>
      <c r="B2" s="8">
        <v>7.2081258872693094E-2</v>
      </c>
      <c r="C2" s="8">
        <v>0.18292682926829268</v>
      </c>
      <c r="D2" s="8">
        <v>5.7692307692307696E-2</v>
      </c>
      <c r="E2" s="8">
        <v>7.2072072072072071E-2</v>
      </c>
      <c r="F2" s="8">
        <v>0.11654135338345864</v>
      </c>
      <c r="G2" s="8">
        <v>0.10471204188481675</v>
      </c>
      <c r="H2" s="8">
        <v>0.21428571428571427</v>
      </c>
      <c r="I2" s="7">
        <v>7.2081258872693094E-2</v>
      </c>
      <c r="J2" s="8">
        <v>7.2081258872693094E-2</v>
      </c>
      <c r="K2" s="8">
        <v>0.18292682926829268</v>
      </c>
      <c r="L2" s="8">
        <v>5.7692307692307696E-2</v>
      </c>
      <c r="M2" s="8">
        <v>7.2072072072072071E-2</v>
      </c>
      <c r="N2" s="8">
        <v>0.11654135338345864</v>
      </c>
      <c r="O2" s="8">
        <v>0.10471204188481675</v>
      </c>
      <c r="P2" s="8">
        <v>0.21428571428571427</v>
      </c>
    </row>
    <row r="3" spans="1:16" x14ac:dyDescent="0.3">
      <c r="A3" s="9" t="s">
        <v>55</v>
      </c>
      <c r="B3" s="8">
        <v>7.5240437486253572E-2</v>
      </c>
      <c r="C3" s="8">
        <v>0.10365853658536585</v>
      </c>
      <c r="D3" s="8">
        <v>9.6153846153846159E-2</v>
      </c>
      <c r="E3" s="8">
        <v>0.10810810810810811</v>
      </c>
      <c r="F3" s="8">
        <v>9.0225563909774431E-2</v>
      </c>
      <c r="G3" s="8">
        <v>8.3769633507853408E-2</v>
      </c>
      <c r="H3" s="8">
        <v>0</v>
      </c>
      <c r="I3" s="7">
        <v>0.14732169635894665</v>
      </c>
      <c r="J3" s="7">
        <f t="shared" ref="J3:P6" si="0">J2+B3</f>
        <v>0.14732169635894665</v>
      </c>
      <c r="K3" s="7">
        <f t="shared" si="0"/>
        <v>0.28658536585365851</v>
      </c>
      <c r="L3" s="7">
        <f t="shared" si="0"/>
        <v>0.15384615384615385</v>
      </c>
      <c r="M3" s="7">
        <f t="shared" si="0"/>
        <v>0.18018018018018017</v>
      </c>
      <c r="N3" s="7">
        <f t="shared" si="0"/>
        <v>0.20676691729323307</v>
      </c>
      <c r="O3" s="7">
        <f t="shared" si="0"/>
        <v>0.18848167539267016</v>
      </c>
      <c r="P3" s="7">
        <f t="shared" si="0"/>
        <v>0.21428571428571427</v>
      </c>
    </row>
    <row r="4" spans="1:16" x14ac:dyDescent="0.3">
      <c r="A4" s="9" t="s">
        <v>56</v>
      </c>
      <c r="B4" s="8">
        <v>8.5817687401275669E-2</v>
      </c>
      <c r="C4" s="8">
        <v>1.2195121951219513E-2</v>
      </c>
      <c r="D4" s="8">
        <v>4.807692307692308E-2</v>
      </c>
      <c r="E4" s="8">
        <v>3.6036036036036036E-2</v>
      </c>
      <c r="F4" s="8">
        <v>6.0150375939849621E-2</v>
      </c>
      <c r="G4" s="8">
        <v>8.3769633507853408E-2</v>
      </c>
      <c r="H4" s="8">
        <v>8.5714285714285715E-2</v>
      </c>
      <c r="I4" s="7">
        <v>0.23313938376022231</v>
      </c>
      <c r="J4" s="7">
        <f t="shared" si="0"/>
        <v>0.23313938376022231</v>
      </c>
      <c r="K4" s="7">
        <f t="shared" si="0"/>
        <v>0.29878048780487804</v>
      </c>
      <c r="L4" s="7">
        <f t="shared" si="0"/>
        <v>0.20192307692307693</v>
      </c>
      <c r="M4" s="7">
        <f t="shared" si="0"/>
        <v>0.2162162162162162</v>
      </c>
      <c r="N4" s="7">
        <f t="shared" si="0"/>
        <v>0.26691729323308266</v>
      </c>
      <c r="O4" s="7">
        <f t="shared" si="0"/>
        <v>0.27225130890052357</v>
      </c>
      <c r="P4" s="7">
        <f t="shared" si="0"/>
        <v>0.3</v>
      </c>
    </row>
    <row r="5" spans="1:16" x14ac:dyDescent="0.3">
      <c r="A5" s="9" t="s">
        <v>54</v>
      </c>
      <c r="B5" s="8">
        <v>0.34866934597004778</v>
      </c>
      <c r="C5" s="8">
        <v>0.1524390243902439</v>
      </c>
      <c r="D5" s="8">
        <v>0.13461538461538461</v>
      </c>
      <c r="E5" s="8">
        <v>0.16216216216216217</v>
      </c>
      <c r="F5" s="8">
        <v>0.32330827067669171</v>
      </c>
      <c r="G5" s="8">
        <v>0.32984293193717279</v>
      </c>
      <c r="H5" s="8">
        <v>0.27142857142857141</v>
      </c>
      <c r="I5" s="7">
        <v>0.58180872973027009</v>
      </c>
      <c r="J5" s="7">
        <f t="shared" si="0"/>
        <v>0.58180872973027009</v>
      </c>
      <c r="K5" s="7">
        <f t="shared" si="0"/>
        <v>0.45121951219512191</v>
      </c>
      <c r="L5" s="7">
        <f t="shared" si="0"/>
        <v>0.33653846153846156</v>
      </c>
      <c r="M5" s="7">
        <f t="shared" si="0"/>
        <v>0.3783783783783784</v>
      </c>
      <c r="N5" s="7">
        <f t="shared" si="0"/>
        <v>0.59022556390977443</v>
      </c>
      <c r="O5" s="7">
        <f t="shared" si="0"/>
        <v>0.60209424083769636</v>
      </c>
      <c r="P5" s="7">
        <f t="shared" si="0"/>
        <v>0.5714285714285714</v>
      </c>
    </row>
    <row r="6" spans="1:16" x14ac:dyDescent="0.3">
      <c r="A6" s="9" t="s">
        <v>52</v>
      </c>
      <c r="B6" s="8">
        <v>0.41819127026972985</v>
      </c>
      <c r="C6" s="8">
        <v>0.54878048780487809</v>
      </c>
      <c r="D6" s="8">
        <v>0.66346153846153844</v>
      </c>
      <c r="E6" s="8">
        <v>0.6216216216216216</v>
      </c>
      <c r="F6" s="8">
        <v>0.40977443609022557</v>
      </c>
      <c r="G6" s="8">
        <v>0.39790575916230364</v>
      </c>
      <c r="H6" s="8">
        <v>0.42857142857142855</v>
      </c>
      <c r="I6" s="7">
        <v>1</v>
      </c>
      <c r="J6" s="7">
        <f t="shared" si="0"/>
        <v>1</v>
      </c>
      <c r="K6" s="7">
        <f t="shared" si="0"/>
        <v>1</v>
      </c>
      <c r="L6" s="7">
        <f t="shared" si="0"/>
        <v>1</v>
      </c>
      <c r="M6" s="7">
        <f t="shared" si="0"/>
        <v>1</v>
      </c>
      <c r="N6" s="7">
        <f t="shared" si="0"/>
        <v>1</v>
      </c>
      <c r="O6" s="7">
        <f t="shared" si="0"/>
        <v>1</v>
      </c>
      <c r="P6" s="7">
        <f t="shared" si="0"/>
        <v>1</v>
      </c>
    </row>
    <row r="8" spans="1:16" ht="28.8" x14ac:dyDescent="0.3">
      <c r="B8" s="1" t="s">
        <v>6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J8" s="9"/>
      <c r="K8" s="10" t="s">
        <v>20</v>
      </c>
      <c r="L8" s="10" t="s">
        <v>21</v>
      </c>
      <c r="M8" s="10" t="s">
        <v>22</v>
      </c>
      <c r="N8" s="10" t="s">
        <v>23</v>
      </c>
      <c r="O8" s="10" t="s">
        <v>24</v>
      </c>
      <c r="P8" s="10" t="s">
        <v>25</v>
      </c>
    </row>
    <row r="9" spans="1:16" x14ac:dyDescent="0.3">
      <c r="B9" s="9" t="s">
        <v>53</v>
      </c>
      <c r="C9" s="7">
        <f>C2-B2</f>
        <v>0.11084557039559959</v>
      </c>
      <c r="D9" s="7">
        <f>D2-B2</f>
        <v>-1.4388951180385398E-2</v>
      </c>
      <c r="E9" s="7">
        <f>E2-B2</f>
        <v>-9.1868006210221731E-6</v>
      </c>
      <c r="F9" s="7">
        <f>F2-B2</f>
        <v>4.4460094510765547E-2</v>
      </c>
      <c r="G9" s="7">
        <f>G2-B2</f>
        <v>3.263078301212366E-2</v>
      </c>
      <c r="H9" s="7">
        <f>H2-B2</f>
        <v>0.14220445541302118</v>
      </c>
      <c r="J9" s="9" t="s">
        <v>53</v>
      </c>
      <c r="K9" s="9">
        <f>(J2-0) * ((K2+0))</f>
        <v>1.3185596135248737E-2</v>
      </c>
      <c r="L9" s="9">
        <f>(J2-0) * ((L2+0))</f>
        <v>4.1585341657322944E-3</v>
      </c>
      <c r="M9" s="9">
        <f>(J2-0) * ((M2+0))</f>
        <v>5.1950456845184208E-3</v>
      </c>
      <c r="N9" s="9">
        <f>(J2-0) * ((N2+0))</f>
        <v>8.4004474626070899E-3</v>
      </c>
      <c r="O9" s="9">
        <f>(J2-0) * ((O2+0))</f>
        <v>7.5477757981877586E-3</v>
      </c>
      <c r="P9" s="9">
        <f>(J2-0) * ((P2+0))</f>
        <v>1.5445984044148519E-2</v>
      </c>
    </row>
    <row r="10" spans="1:16" x14ac:dyDescent="0.3">
      <c r="B10" s="9" t="s">
        <v>55</v>
      </c>
      <c r="C10" s="7">
        <f t="shared" ref="C10:C13" si="1">C3-B3</f>
        <v>2.8418099099112276E-2</v>
      </c>
      <c r="D10" s="7">
        <f t="shared" ref="D10:D13" si="2">D3-B3</f>
        <v>2.0913408667592587E-2</v>
      </c>
      <c r="E10" s="7">
        <f t="shared" ref="E10:E13" si="3">E3-B3</f>
        <v>3.2867670621854542E-2</v>
      </c>
      <c r="F10" s="7">
        <f t="shared" ref="F10:F13" si="4">F3-B3</f>
        <v>1.4985126423520859E-2</v>
      </c>
      <c r="G10" s="7">
        <f t="shared" ref="G10:G13" si="5">G3-B3</f>
        <v>8.5291960215998358E-3</v>
      </c>
      <c r="H10" s="7">
        <f t="shared" ref="H10:H13" si="6">H3-B3</f>
        <v>-7.5240437486253572E-2</v>
      </c>
      <c r="J10" s="9" t="s">
        <v>55</v>
      </c>
      <c r="K10" s="9">
        <f>(J3-J2) * ((K3+K2))</f>
        <v>3.5326302966106851E-2</v>
      </c>
      <c r="L10" s="9">
        <f>(J3-J2) * ((L3+L2))</f>
        <v>1.5916246391322868E-2</v>
      </c>
      <c r="M10" s="9">
        <f>(J3-J2) * ((M3+M2))</f>
        <v>1.8979569816352248E-2</v>
      </c>
      <c r="N10" s="9">
        <f>(J3-J2) * ((N3+N2))</f>
        <v>2.4325855728638369E-2</v>
      </c>
      <c r="O10" s="9">
        <f>(J3-J2) * ((O3+O2))</f>
        <v>2.2060023556179052E-2</v>
      </c>
      <c r="P10" s="9">
        <f>(J3-J2) * ((P3+P2))</f>
        <v>3.224590177982295E-2</v>
      </c>
    </row>
    <row r="11" spans="1:16" x14ac:dyDescent="0.3">
      <c r="B11" s="9" t="s">
        <v>56</v>
      </c>
      <c r="C11" s="7">
        <f t="shared" si="1"/>
        <v>-7.362256545005616E-2</v>
      </c>
      <c r="D11" s="7">
        <f t="shared" si="2"/>
        <v>-3.7740764324352589E-2</v>
      </c>
      <c r="E11" s="7">
        <f t="shared" si="3"/>
        <v>-4.9781651365239633E-2</v>
      </c>
      <c r="F11" s="7">
        <f t="shared" si="4"/>
        <v>-2.5667311461426048E-2</v>
      </c>
      <c r="G11" s="7">
        <f t="shared" si="5"/>
        <v>-2.0480538934222609E-3</v>
      </c>
      <c r="H11" s="7">
        <f t="shared" si="6"/>
        <v>-1.03401686989954E-4</v>
      </c>
      <c r="J11" s="9" t="s">
        <v>56</v>
      </c>
      <c r="K11" s="9">
        <f t="shared" ref="K11:K13" si="7">(J4-J3) * ((K4+K3))</f>
        <v>5.0234743844649161E-2</v>
      </c>
      <c r="L11" s="9">
        <f t="shared" ref="L11:L13" si="8">(J4-J3) * ((L4+L3))</f>
        <v>3.0531292633146148E-2</v>
      </c>
      <c r="M11" s="9">
        <f t="shared" ref="M11:M13" si="9">(J4-J3) * ((M4+M3))</f>
        <v>3.4017822032938093E-2</v>
      </c>
      <c r="N11" s="9">
        <f t="shared" ref="N11:N13" si="10">(J4-J3) * ((N4+N3))</f>
        <v>4.0650483505867412E-2</v>
      </c>
      <c r="O11" s="9">
        <f t="shared" ref="O11:O13" si="11">(J4-J3) * ((O4+O3))</f>
        <v>3.9539039221530146E-2</v>
      </c>
      <c r="P11" s="9">
        <f t="shared" ref="P11:P13" si="12">(J4-J3) * ((P4+P3))</f>
        <v>4.4134810663513192E-2</v>
      </c>
    </row>
    <row r="12" spans="1:16" x14ac:dyDescent="0.3">
      <c r="B12" s="9" t="s">
        <v>54</v>
      </c>
      <c r="C12" s="7">
        <f t="shared" si="1"/>
        <v>-0.19623032157980388</v>
      </c>
      <c r="D12" s="7">
        <f t="shared" si="2"/>
        <v>-0.21405396135466317</v>
      </c>
      <c r="E12" s="7">
        <f t="shared" si="3"/>
        <v>-0.18650718380788561</v>
      </c>
      <c r="F12" s="7">
        <f t="shared" si="4"/>
        <v>-2.5361075293356072E-2</v>
      </c>
      <c r="G12" s="7">
        <f t="shared" si="5"/>
        <v>-1.8826414032874994E-2</v>
      </c>
      <c r="H12" s="7">
        <f t="shared" si="6"/>
        <v>-7.7240774541476376E-2</v>
      </c>
      <c r="J12" s="9" t="s">
        <v>54</v>
      </c>
      <c r="K12" s="9">
        <f t="shared" si="7"/>
        <v>0.26150200947753582</v>
      </c>
      <c r="L12" s="9">
        <f t="shared" si="8"/>
        <v>0.18774503244541038</v>
      </c>
      <c r="M12" s="9">
        <f t="shared" si="9"/>
        <v>0.20731690841462302</v>
      </c>
      <c r="N12" s="9">
        <f t="shared" si="10"/>
        <v>0.29885943940289811</v>
      </c>
      <c r="O12" s="9">
        <f t="shared" si="11"/>
        <v>0.30485749097904702</v>
      </c>
      <c r="P12" s="9">
        <f t="shared" si="12"/>
        <v>0.30384043005961309</v>
      </c>
    </row>
    <row r="13" spans="1:16" x14ac:dyDescent="0.3">
      <c r="B13" s="9" t="s">
        <v>52</v>
      </c>
      <c r="C13" s="7">
        <f t="shared" si="1"/>
        <v>0.13058921753514824</v>
      </c>
      <c r="D13" s="7">
        <f t="shared" si="2"/>
        <v>0.24527026819180858</v>
      </c>
      <c r="E13" s="7">
        <f t="shared" si="3"/>
        <v>0.20343035135189175</v>
      </c>
      <c r="F13" s="7">
        <f t="shared" si="4"/>
        <v>-8.4168341795042845E-3</v>
      </c>
      <c r="G13" s="7">
        <f t="shared" si="5"/>
        <v>-2.0285511107426213E-2</v>
      </c>
      <c r="H13" s="7">
        <f t="shared" si="6"/>
        <v>1.0380158301698694E-2</v>
      </c>
      <c r="J13" s="9" t="s">
        <v>52</v>
      </c>
      <c r="K13" s="9">
        <f t="shared" si="7"/>
        <v>0.60688733124509586</v>
      </c>
      <c r="L13" s="9">
        <f t="shared" si="8"/>
        <v>0.55892871699511981</v>
      </c>
      <c r="M13" s="9">
        <f t="shared" si="9"/>
        <v>0.57642580496638451</v>
      </c>
      <c r="N13" s="9">
        <f t="shared" si="10"/>
        <v>0.66501844858682613</v>
      </c>
      <c r="O13" s="9">
        <f t="shared" si="11"/>
        <v>0.66998182566773479</v>
      </c>
      <c r="P13" s="9">
        <f t="shared" si="12"/>
        <v>0.65715771042386129</v>
      </c>
    </row>
    <row r="14" spans="1:16" x14ac:dyDescent="0.3">
      <c r="J14" s="10" t="s">
        <v>26</v>
      </c>
      <c r="K14" s="10">
        <f>SUM(K9:K13)</f>
        <v>0.9671359836686364</v>
      </c>
      <c r="L14" s="10">
        <f t="shared" ref="L14:P14" si="13">SUM(L9:L13)</f>
        <v>0.79727982263073149</v>
      </c>
      <c r="M14" s="10">
        <f t="shared" si="13"/>
        <v>0.8419351509148163</v>
      </c>
      <c r="N14" s="10">
        <f t="shared" si="13"/>
        <v>1.037254674686837</v>
      </c>
      <c r="O14" s="10">
        <f t="shared" si="13"/>
        <v>1.0439861552226788</v>
      </c>
      <c r="P14" s="10">
        <f t="shared" si="13"/>
        <v>1.052824836970959</v>
      </c>
    </row>
    <row r="15" spans="1:16" x14ac:dyDescent="0.3">
      <c r="J15" s="14" t="s">
        <v>27</v>
      </c>
      <c r="K15" s="14">
        <f>1-K14</f>
        <v>3.2864016331363599E-2</v>
      </c>
      <c r="L15" s="14">
        <f t="shared" ref="L15:P15" si="14">1-L14</f>
        <v>0.20272017736926851</v>
      </c>
      <c r="M15" s="14">
        <f t="shared" si="14"/>
        <v>0.1580648490851837</v>
      </c>
      <c r="N15" s="14">
        <f t="shared" si="14"/>
        <v>-3.7254674686836964E-2</v>
      </c>
      <c r="O15" s="14">
        <f t="shared" si="14"/>
        <v>-4.3986155222678791E-2</v>
      </c>
      <c r="P15" s="14">
        <f t="shared" si="14"/>
        <v>-5.2824836970958966E-2</v>
      </c>
    </row>
    <row r="16" spans="1:16" x14ac:dyDescent="0.3">
      <c r="E16" s="18" t="s">
        <v>57</v>
      </c>
    </row>
  </sheetData>
  <sortState xmlns:xlrd2="http://schemas.microsoft.com/office/spreadsheetml/2017/richdata2" ref="A2:P17">
    <sortCondition ref="B1:B17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8A02-0730-455F-82FB-08FE47270C6F}">
  <dimension ref="A1:P21"/>
  <sheetViews>
    <sheetView tabSelected="1" topLeftCell="H1" workbookViewId="0">
      <selection activeCell="K21" sqref="K21:P21"/>
    </sheetView>
  </sheetViews>
  <sheetFormatPr defaultRowHeight="14.4" x14ac:dyDescent="0.3"/>
  <cols>
    <col min="1" max="1" width="20.33203125" customWidth="1"/>
  </cols>
  <sheetData>
    <row r="1" spans="1:16" ht="29.4" customHeight="1" x14ac:dyDescent="0.3">
      <c r="A1" s="1" t="s">
        <v>6</v>
      </c>
      <c r="B1" s="2" t="s">
        <v>7</v>
      </c>
      <c r="C1" s="3" t="s">
        <v>8</v>
      </c>
      <c r="D1" s="3" t="s">
        <v>9</v>
      </c>
      <c r="E1" s="3" t="s">
        <v>10</v>
      </c>
      <c r="F1" s="2" t="s">
        <v>11</v>
      </c>
      <c r="G1" s="3" t="s">
        <v>12</v>
      </c>
      <c r="H1" s="3" t="s">
        <v>13</v>
      </c>
      <c r="I1" s="4" t="s">
        <v>7</v>
      </c>
      <c r="J1" s="5" t="s">
        <v>7</v>
      </c>
      <c r="K1" s="6" t="s">
        <v>8</v>
      </c>
      <c r="L1" s="6" t="s">
        <v>9</v>
      </c>
      <c r="M1" s="6" t="s">
        <v>10</v>
      </c>
      <c r="N1" s="5" t="s">
        <v>11</v>
      </c>
      <c r="O1" s="6" t="s">
        <v>12</v>
      </c>
      <c r="P1" s="6" t="s">
        <v>13</v>
      </c>
    </row>
    <row r="2" spans="1:16" x14ac:dyDescent="0.3">
      <c r="A2" s="9" t="s">
        <v>61</v>
      </c>
      <c r="B2" s="8">
        <v>3.5542068176582273E-2</v>
      </c>
      <c r="C2" s="8">
        <v>2.0576131687242798E-2</v>
      </c>
      <c r="D2" s="8">
        <v>1.0050251256281407E-2</v>
      </c>
      <c r="E2" s="8">
        <v>3.5398230088495575E-2</v>
      </c>
      <c r="F2" s="8">
        <v>4.2792792792792793E-2</v>
      </c>
      <c r="G2" s="8">
        <v>3.0201342281879196E-2</v>
      </c>
      <c r="H2" s="8">
        <v>5.4545454545454543E-2</v>
      </c>
      <c r="I2" s="7">
        <v>3.5542068176582273E-2</v>
      </c>
      <c r="J2" s="8">
        <v>3.5542068176582273E-2</v>
      </c>
      <c r="K2" s="8">
        <v>2.0576131687242798E-2</v>
      </c>
      <c r="L2" s="8">
        <v>1.0050251256281407E-2</v>
      </c>
      <c r="M2" s="8">
        <v>3.5398230088495575E-2</v>
      </c>
      <c r="N2" s="8">
        <v>4.2792792792792793E-2</v>
      </c>
      <c r="O2" s="8">
        <v>3.0201342281879196E-2</v>
      </c>
      <c r="P2" s="8">
        <v>5.4545454545454543E-2</v>
      </c>
    </row>
    <row r="3" spans="1:16" x14ac:dyDescent="0.3">
      <c r="A3" s="9" t="s">
        <v>62</v>
      </c>
      <c r="B3" s="8">
        <v>3.9108985613168203E-2</v>
      </c>
      <c r="C3" s="8">
        <v>6.584362139917696E-2</v>
      </c>
      <c r="D3" s="8">
        <v>2.5125628140703519E-2</v>
      </c>
      <c r="E3" s="8">
        <v>6.1946902654867256E-2</v>
      </c>
      <c r="F3" s="8">
        <v>4.2792792792792793E-2</v>
      </c>
      <c r="G3" s="8">
        <v>4.3624161073825503E-2</v>
      </c>
      <c r="H3" s="8">
        <v>5.4545454545454543E-2</v>
      </c>
      <c r="I3" s="7">
        <v>7.4651053789750482E-2</v>
      </c>
      <c r="J3" s="7">
        <f t="shared" ref="J3:P9" si="0">J2+B3</f>
        <v>7.4651053789750482E-2</v>
      </c>
      <c r="K3" s="7">
        <f t="shared" si="0"/>
        <v>8.6419753086419762E-2</v>
      </c>
      <c r="L3" s="17">
        <f t="shared" si="0"/>
        <v>3.5175879396984924E-2</v>
      </c>
      <c r="M3" s="7">
        <f t="shared" si="0"/>
        <v>9.7345132743362831E-2</v>
      </c>
      <c r="N3" s="7">
        <f t="shared" si="0"/>
        <v>8.5585585585585586E-2</v>
      </c>
      <c r="O3" s="7">
        <f t="shared" si="0"/>
        <v>7.3825503355704702E-2</v>
      </c>
      <c r="P3" s="7">
        <f t="shared" si="0"/>
        <v>0.10909090909090909</v>
      </c>
    </row>
    <row r="4" spans="1:16" x14ac:dyDescent="0.3">
      <c r="A4" s="9" t="s">
        <v>58</v>
      </c>
      <c r="B4" s="8">
        <v>4.2143645882156675E-2</v>
      </c>
      <c r="C4" s="8">
        <v>2.0576131687242798E-2</v>
      </c>
      <c r="D4" s="8">
        <v>3.015075376884422E-2</v>
      </c>
      <c r="E4" s="8">
        <v>2.2123893805309734E-2</v>
      </c>
      <c r="F4" s="8">
        <v>6.7567567567567571E-2</v>
      </c>
      <c r="G4" s="8">
        <v>4.3624161073825503E-2</v>
      </c>
      <c r="H4" s="8">
        <v>3.0303030303030304E-2</v>
      </c>
      <c r="I4" s="7">
        <v>0.11679469967190716</v>
      </c>
      <c r="J4" s="7">
        <f t="shared" si="0"/>
        <v>0.11679469967190716</v>
      </c>
      <c r="K4" s="7">
        <f t="shared" si="0"/>
        <v>0.10699588477366256</v>
      </c>
      <c r="L4" s="17">
        <f t="shared" si="0"/>
        <v>6.5326633165829151E-2</v>
      </c>
      <c r="M4" s="7">
        <f t="shared" si="0"/>
        <v>0.11946902654867256</v>
      </c>
      <c r="N4" s="7">
        <f t="shared" si="0"/>
        <v>0.15315315315315314</v>
      </c>
      <c r="O4" s="7">
        <f t="shared" si="0"/>
        <v>0.1174496644295302</v>
      </c>
      <c r="P4" s="7">
        <f t="shared" si="0"/>
        <v>0.1393939393939394</v>
      </c>
    </row>
    <row r="5" spans="1:16" x14ac:dyDescent="0.3">
      <c r="A5" s="9" t="s">
        <v>65</v>
      </c>
      <c r="B5" s="8">
        <v>4.5543736445316535E-2</v>
      </c>
      <c r="C5" s="8">
        <v>2.8806584362139918E-2</v>
      </c>
      <c r="D5" s="8">
        <v>4.0201005025125629E-2</v>
      </c>
      <c r="E5" s="8">
        <v>2.2123893805309734E-2</v>
      </c>
      <c r="F5" s="8">
        <v>5.4054054054054057E-2</v>
      </c>
      <c r="G5" s="8">
        <v>5.3691275167785234E-2</v>
      </c>
      <c r="H5" s="8">
        <v>6.0606060606060608E-2</v>
      </c>
      <c r="I5" s="7">
        <v>0.16233843611722371</v>
      </c>
      <c r="J5" s="7">
        <f t="shared" si="0"/>
        <v>0.16233843611722371</v>
      </c>
      <c r="K5" s="7">
        <f t="shared" si="0"/>
        <v>0.13580246913580249</v>
      </c>
      <c r="L5" s="17">
        <f t="shared" si="0"/>
        <v>0.10552763819095479</v>
      </c>
      <c r="M5" s="7">
        <f t="shared" si="0"/>
        <v>0.1415929203539823</v>
      </c>
      <c r="N5" s="7">
        <f t="shared" si="0"/>
        <v>0.2072072072072072</v>
      </c>
      <c r="O5" s="7">
        <f t="shared" si="0"/>
        <v>0.17114093959731544</v>
      </c>
      <c r="P5" s="7">
        <f t="shared" si="0"/>
        <v>0.2</v>
      </c>
    </row>
    <row r="6" spans="1:16" x14ac:dyDescent="0.3">
      <c r="A6" s="9" t="s">
        <v>60</v>
      </c>
      <c r="B6" s="8">
        <v>0.12181539414834881</v>
      </c>
      <c r="C6" s="8">
        <v>8.6419753086419748E-2</v>
      </c>
      <c r="D6" s="8">
        <v>0.12562814070351758</v>
      </c>
      <c r="E6" s="8">
        <v>6.637168141592921E-2</v>
      </c>
      <c r="F6" s="8">
        <v>6.0810810810810814E-2</v>
      </c>
      <c r="G6" s="8">
        <v>5.3691275167785234E-2</v>
      </c>
      <c r="H6" s="8">
        <v>3.6363636363636362E-2</v>
      </c>
      <c r="I6" s="7">
        <v>0.2841538302655725</v>
      </c>
      <c r="J6" s="7">
        <f t="shared" si="0"/>
        <v>0.2841538302655725</v>
      </c>
      <c r="K6" s="7">
        <f t="shared" si="0"/>
        <v>0.22222222222222224</v>
      </c>
      <c r="L6" s="17">
        <f t="shared" si="0"/>
        <v>0.23115577889447236</v>
      </c>
      <c r="M6" s="7">
        <f t="shared" si="0"/>
        <v>0.20796460176991149</v>
      </c>
      <c r="N6" s="7">
        <f t="shared" si="0"/>
        <v>0.268018018018018</v>
      </c>
      <c r="O6" s="7">
        <f t="shared" si="0"/>
        <v>0.22483221476510068</v>
      </c>
      <c r="P6" s="7">
        <f t="shared" si="0"/>
        <v>0.23636363636363639</v>
      </c>
    </row>
    <row r="7" spans="1:16" x14ac:dyDescent="0.3">
      <c r="A7" s="9" t="s">
        <v>64</v>
      </c>
      <c r="B7" s="8">
        <v>0.1611070949086027</v>
      </c>
      <c r="C7" s="8">
        <v>0.15637860082304528</v>
      </c>
      <c r="D7" s="8">
        <v>0.12060301507537688</v>
      </c>
      <c r="E7" s="8">
        <v>0.23008849557522124</v>
      </c>
      <c r="F7" s="8">
        <v>0.15990990990990991</v>
      </c>
      <c r="G7" s="8">
        <v>0.20134228187919462</v>
      </c>
      <c r="H7" s="8">
        <v>0.24848484848484848</v>
      </c>
      <c r="I7" s="7">
        <v>0.4452609251741752</v>
      </c>
      <c r="J7" s="7">
        <f t="shared" si="0"/>
        <v>0.4452609251741752</v>
      </c>
      <c r="K7" s="7">
        <f t="shared" si="0"/>
        <v>0.37860082304526754</v>
      </c>
      <c r="L7" s="17">
        <f t="shared" si="0"/>
        <v>0.35175879396984921</v>
      </c>
      <c r="M7" s="7">
        <f t="shared" si="0"/>
        <v>0.43805309734513276</v>
      </c>
      <c r="N7" s="7">
        <f t="shared" si="0"/>
        <v>0.42792792792792789</v>
      </c>
      <c r="O7" s="7">
        <f t="shared" si="0"/>
        <v>0.4261744966442953</v>
      </c>
      <c r="P7" s="7">
        <f t="shared" si="0"/>
        <v>0.48484848484848486</v>
      </c>
    </row>
    <row r="8" spans="1:16" x14ac:dyDescent="0.3">
      <c r="A8" s="9" t="s">
        <v>63</v>
      </c>
      <c r="B8" s="8">
        <v>0.25031180737057013</v>
      </c>
      <c r="C8" s="8">
        <v>0.32510288065843623</v>
      </c>
      <c r="D8" s="8">
        <v>0.32160804020100503</v>
      </c>
      <c r="E8" s="8">
        <v>0.32743362831858408</v>
      </c>
      <c r="F8" s="8">
        <v>0.27252252252252251</v>
      </c>
      <c r="G8" s="8">
        <v>0.27516778523489932</v>
      </c>
      <c r="H8" s="8">
        <v>0.19393939393939394</v>
      </c>
      <c r="I8" s="7">
        <v>0.69557273254474539</v>
      </c>
      <c r="J8" s="7">
        <f t="shared" si="0"/>
        <v>0.69557273254474539</v>
      </c>
      <c r="K8" s="7">
        <f t="shared" si="0"/>
        <v>0.70370370370370372</v>
      </c>
      <c r="L8" s="17">
        <f t="shared" si="0"/>
        <v>0.6733668341708543</v>
      </c>
      <c r="M8" s="7">
        <f t="shared" si="0"/>
        <v>0.76548672566371678</v>
      </c>
      <c r="N8" s="7">
        <f t="shared" si="0"/>
        <v>0.7004504504504504</v>
      </c>
      <c r="O8" s="7">
        <f t="shared" si="0"/>
        <v>0.70134228187919456</v>
      </c>
      <c r="P8" s="7">
        <f t="shared" si="0"/>
        <v>0.67878787878787883</v>
      </c>
    </row>
    <row r="9" spans="1:16" x14ac:dyDescent="0.3">
      <c r="A9" s="9" t="s">
        <v>59</v>
      </c>
      <c r="B9" s="8">
        <v>0.30442726745525467</v>
      </c>
      <c r="C9" s="8">
        <v>0.29629629629629628</v>
      </c>
      <c r="D9" s="8">
        <v>0.32663316582914576</v>
      </c>
      <c r="E9" s="8">
        <v>0.23451327433628319</v>
      </c>
      <c r="F9" s="8">
        <v>0.29954954954954954</v>
      </c>
      <c r="G9" s="8">
        <v>0.29865771812080538</v>
      </c>
      <c r="H9" s="8">
        <v>0.32121212121212123</v>
      </c>
      <c r="I9" s="7">
        <v>1</v>
      </c>
      <c r="J9" s="7">
        <f t="shared" si="0"/>
        <v>1</v>
      </c>
      <c r="K9" s="7">
        <f t="shared" si="0"/>
        <v>1</v>
      </c>
      <c r="L9" s="17">
        <f t="shared" si="0"/>
        <v>1</v>
      </c>
      <c r="M9" s="7">
        <f t="shared" si="0"/>
        <v>1</v>
      </c>
      <c r="N9" s="7">
        <f t="shared" si="0"/>
        <v>1</v>
      </c>
      <c r="O9" s="7">
        <f t="shared" si="0"/>
        <v>1</v>
      </c>
      <c r="P9" s="7">
        <f t="shared" si="0"/>
        <v>1</v>
      </c>
    </row>
    <row r="11" spans="1:16" ht="28.8" x14ac:dyDescent="0.3">
      <c r="B11" s="1" t="s">
        <v>6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18</v>
      </c>
      <c r="H11" s="3" t="s">
        <v>19</v>
      </c>
      <c r="J11" s="9"/>
      <c r="K11" s="10" t="s">
        <v>20</v>
      </c>
      <c r="L11" s="10" t="s">
        <v>21</v>
      </c>
      <c r="M11" s="10" t="s">
        <v>22</v>
      </c>
      <c r="N11" s="10" t="s">
        <v>23</v>
      </c>
      <c r="O11" s="10" t="s">
        <v>24</v>
      </c>
      <c r="P11" s="10" t="s">
        <v>25</v>
      </c>
    </row>
    <row r="12" spans="1:16" x14ac:dyDescent="0.3">
      <c r="B12" s="9" t="s">
        <v>61</v>
      </c>
      <c r="C12" s="7">
        <f>C2-B2</f>
        <v>-1.4965936489339474E-2</v>
      </c>
      <c r="D12" s="7">
        <f>D2-B2</f>
        <v>-2.5491816920300864E-2</v>
      </c>
      <c r="E12" s="7">
        <f>E2-B2</f>
        <v>-1.4383808808669796E-4</v>
      </c>
      <c r="F12" s="7">
        <f>F2-B2</f>
        <v>7.2507246162105202E-3</v>
      </c>
      <c r="G12" s="7">
        <f>G2-B2</f>
        <v>-5.3407258947030765E-3</v>
      </c>
      <c r="H12" s="7">
        <f>H2-B2</f>
        <v>1.900338636887227E-2</v>
      </c>
      <c r="J12" s="9" t="s">
        <v>61</v>
      </c>
      <c r="K12" s="9">
        <f>(J2-0) * ((K2+0))</f>
        <v>7.3131827523831836E-4</v>
      </c>
      <c r="L12" s="9">
        <f>(J2-0) * ((L2+0))</f>
        <v>3.5720671534253542E-4</v>
      </c>
      <c r="M12" s="9">
        <f>(J2-0) * ((M2+0))</f>
        <v>1.2581263071356557E-3</v>
      </c>
      <c r="N12" s="9">
        <f>(J2-0) * ((N2+0))</f>
        <v>1.5209443589077999E-3</v>
      </c>
      <c r="O12" s="9">
        <f>(J2-0) * ((O2+0))</f>
        <v>1.0734181664068473E-3</v>
      </c>
      <c r="P12" s="9">
        <f>(J2-0) * ((P2+0))</f>
        <v>1.9386582641772148E-3</v>
      </c>
    </row>
    <row r="13" spans="1:16" x14ac:dyDescent="0.3">
      <c r="B13" s="9" t="s">
        <v>62</v>
      </c>
      <c r="C13" s="7">
        <f t="shared" ref="C13:C19" si="1">C3-B3</f>
        <v>2.6734635786008758E-2</v>
      </c>
      <c r="D13" s="7">
        <f t="shared" ref="D13:D19" si="2">D3-B3</f>
        <v>-1.3983357472464684E-2</v>
      </c>
      <c r="E13" s="7">
        <f t="shared" ref="E13:E19" si="3">E3-B3</f>
        <v>2.2837917041699053E-2</v>
      </c>
      <c r="F13" s="7">
        <f t="shared" ref="F13:F19" si="4">F3-B3</f>
        <v>3.6838071796245903E-3</v>
      </c>
      <c r="G13" s="7">
        <f t="shared" ref="G13:G19" si="5">G3-B3</f>
        <v>4.5151754606573002E-3</v>
      </c>
      <c r="H13" s="7">
        <f t="shared" ref="H13:H19" si="6">H3-B3</f>
        <v>1.543646893228634E-2</v>
      </c>
      <c r="J13" s="9" t="s">
        <v>62</v>
      </c>
      <c r="K13" s="9">
        <f>(J3-J2) * ((K3+K2))</f>
        <v>4.1845005182813725E-3</v>
      </c>
      <c r="L13" s="9">
        <f>(J3-J2) * ((L3+L2))</f>
        <v>1.7687480930578588E-3</v>
      </c>
      <c r="M13" s="9">
        <f>(J3-J2) * ((M3+M2))</f>
        <v>5.1914582672347174E-3</v>
      </c>
      <c r="N13" s="9">
        <f>(J3-J2) * ((N3+N2))</f>
        <v>5.0207481530418641E-3</v>
      </c>
      <c r="O13" s="9">
        <f>(J3-J2) * ((O3+O2))</f>
        <v>4.0683844094235389E-3</v>
      </c>
      <c r="P13" s="9">
        <f>(J3-J2) * ((P3+P2))</f>
        <v>6.3996521912457072E-3</v>
      </c>
    </row>
    <row r="14" spans="1:16" x14ac:dyDescent="0.3">
      <c r="B14" s="9" t="s">
        <v>58</v>
      </c>
      <c r="C14" s="7">
        <f t="shared" si="1"/>
        <v>-2.1567514194913876E-2</v>
      </c>
      <c r="D14" s="7">
        <f t="shared" si="2"/>
        <v>-1.1992892113312455E-2</v>
      </c>
      <c r="E14" s="7">
        <f t="shared" si="3"/>
        <v>-2.001975207684694E-2</v>
      </c>
      <c r="F14" s="7">
        <f t="shared" si="4"/>
        <v>2.5423921685410897E-2</v>
      </c>
      <c r="G14" s="7">
        <f t="shared" si="5"/>
        <v>1.4805151916688283E-3</v>
      </c>
      <c r="H14" s="7">
        <f t="shared" si="6"/>
        <v>-1.1840615579126371E-2</v>
      </c>
      <c r="J14" s="9" t="s">
        <v>58</v>
      </c>
      <c r="K14" s="9">
        <f t="shared" ref="K14:K19" si="7">(J4-J3) * ((K4+K3))</f>
        <v>8.1512401500467638E-3</v>
      </c>
      <c r="L14" s="9">
        <f t="shared" ref="L14:L19" si="8">(J4-J3) * ((L4+L3))</f>
        <v>4.2355422997142388E-3</v>
      </c>
      <c r="M14" s="9">
        <f t="shared" ref="M14:M19" si="9">(J4-J3) * ((M4+M3))</f>
        <v>9.1373391514410485E-3</v>
      </c>
      <c r="N14" s="9">
        <f t="shared" ref="N14:N19" si="10">(J4-J3) * ((N4+N3))</f>
        <v>1.0061320863758124E-2</v>
      </c>
      <c r="O14" s="9">
        <f t="shared" ref="O14:O19" si="11">(J4-J3) * ((O4+O3))</f>
        <v>8.061032937191041E-3</v>
      </c>
      <c r="P14" s="9">
        <f t="shared" ref="P14:P19" si="12">(J4-J3) * ((P4+P3))</f>
        <v>1.047205746162681E-2</v>
      </c>
    </row>
    <row r="15" spans="1:16" x14ac:dyDescent="0.3">
      <c r="B15" s="9" t="s">
        <v>65</v>
      </c>
      <c r="C15" s="7">
        <f t="shared" si="1"/>
        <v>-1.6737152083176617E-2</v>
      </c>
      <c r="D15" s="7">
        <f t="shared" si="2"/>
        <v>-5.3427314201909062E-3</v>
      </c>
      <c r="E15" s="7">
        <f t="shared" si="3"/>
        <v>-2.3419842640006801E-2</v>
      </c>
      <c r="F15" s="7">
        <f t="shared" si="4"/>
        <v>8.5103176087375221E-3</v>
      </c>
      <c r="G15" s="7">
        <f t="shared" si="5"/>
        <v>8.1475387224686988E-3</v>
      </c>
      <c r="H15" s="7">
        <f t="shared" si="6"/>
        <v>1.5062324160744073E-2</v>
      </c>
      <c r="J15" s="9" t="s">
        <v>65</v>
      </c>
      <c r="K15" s="9">
        <f t="shared" si="7"/>
        <v>1.1057944239809369E-2</v>
      </c>
      <c r="L15" s="9">
        <f t="shared" si="8"/>
        <v>7.7813419052299637E-3</v>
      </c>
      <c r="M15" s="9">
        <f t="shared" si="9"/>
        <v>1.1889736505635734E-2</v>
      </c>
      <c r="N15" s="9">
        <f t="shared" si="10"/>
        <v>1.6412157277591547E-2</v>
      </c>
      <c r="O15" s="9">
        <f t="shared" si="11"/>
        <v>1.3143494410393367E-2</v>
      </c>
      <c r="P15" s="9">
        <f t="shared" si="12"/>
        <v>1.5457268126895315E-2</v>
      </c>
    </row>
    <row r="16" spans="1:16" x14ac:dyDescent="0.3">
      <c r="B16" s="9" t="s">
        <v>60</v>
      </c>
      <c r="C16" s="7">
        <f t="shared" si="1"/>
        <v>-3.5395641061929065E-2</v>
      </c>
      <c r="D16" s="7">
        <f t="shared" si="2"/>
        <v>3.8127465551687639E-3</v>
      </c>
      <c r="E16" s="7">
        <f t="shared" si="3"/>
        <v>-5.5443712732419603E-2</v>
      </c>
      <c r="F16" s="7">
        <f t="shared" si="4"/>
        <v>-6.1004583337537999E-2</v>
      </c>
      <c r="G16" s="7">
        <f t="shared" si="5"/>
        <v>-6.8124118980563586E-2</v>
      </c>
      <c r="H16" s="7">
        <f t="shared" si="6"/>
        <v>-8.5451757784712451E-2</v>
      </c>
      <c r="J16" s="9" t="s">
        <v>60</v>
      </c>
      <c r="K16" s="9">
        <f t="shared" si="7"/>
        <v>4.3612918892618709E-2</v>
      </c>
      <c r="L16" s="9">
        <f t="shared" si="8"/>
        <v>4.1013223155474218E-2</v>
      </c>
      <c r="M16" s="9">
        <f t="shared" si="9"/>
        <v>4.258148733504228E-2</v>
      </c>
      <c r="N16" s="9">
        <f t="shared" si="10"/>
        <v>5.7889748120048636E-2</v>
      </c>
      <c r="O16" s="9">
        <f t="shared" si="11"/>
        <v>4.8235625870822675E-2</v>
      </c>
      <c r="P16" s="9">
        <f t="shared" si="12"/>
        <v>5.3155808355643118E-2</v>
      </c>
    </row>
    <row r="17" spans="2:16" x14ac:dyDescent="0.3">
      <c r="B17" s="9" t="s">
        <v>64</v>
      </c>
      <c r="C17" s="7">
        <f t="shared" si="1"/>
        <v>-4.728494085557422E-3</v>
      </c>
      <c r="D17" s="7">
        <f t="shared" si="2"/>
        <v>-4.050407983322582E-2</v>
      </c>
      <c r="E17" s="7">
        <f t="shared" si="3"/>
        <v>6.8981400666618536E-2</v>
      </c>
      <c r="F17" s="7">
        <f t="shared" si="4"/>
        <v>-1.1971849986927852E-3</v>
      </c>
      <c r="G17" s="7">
        <f t="shared" si="5"/>
        <v>4.0235186970591919E-2</v>
      </c>
      <c r="H17" s="7">
        <f t="shared" si="6"/>
        <v>8.7377753576245776E-2</v>
      </c>
      <c r="J17" s="9" t="s">
        <v>64</v>
      </c>
      <c r="K17" s="9">
        <f t="shared" si="7"/>
        <v>9.6796855377185173E-2</v>
      </c>
      <c r="L17" s="9">
        <f t="shared" si="8"/>
        <v>9.3911673414059857E-2</v>
      </c>
      <c r="M17" s="9">
        <f t="shared" si="9"/>
        <v>0.10407803476396457</v>
      </c>
      <c r="N17" s="9">
        <f t="shared" si="10"/>
        <v>0.11212182956477078</v>
      </c>
      <c r="O17" s="9">
        <f t="shared" si="11"/>
        <v>0.1048818000411709</v>
      </c>
      <c r="P17" s="9">
        <f t="shared" si="12"/>
        <v>0.11619238966135588</v>
      </c>
    </row>
    <row r="18" spans="2:16" x14ac:dyDescent="0.3">
      <c r="B18" s="9" t="s">
        <v>63</v>
      </c>
      <c r="C18" s="7">
        <f t="shared" si="1"/>
        <v>7.4791073287866106E-2</v>
      </c>
      <c r="D18" s="7">
        <f t="shared" si="2"/>
        <v>7.1296232830434902E-2</v>
      </c>
      <c r="E18" s="7">
        <f t="shared" si="3"/>
        <v>7.7121820948013953E-2</v>
      </c>
      <c r="F18" s="7">
        <f t="shared" si="4"/>
        <v>2.2210715151952387E-2</v>
      </c>
      <c r="G18" s="7">
        <f t="shared" si="5"/>
        <v>2.4855977864329193E-2</v>
      </c>
      <c r="H18" s="7">
        <f t="shared" si="6"/>
        <v>-5.6372413431176188E-2</v>
      </c>
      <c r="J18" s="9" t="s">
        <v>63</v>
      </c>
      <c r="K18" s="9">
        <f t="shared" si="7"/>
        <v>0.27091360221588462</v>
      </c>
      <c r="L18" s="9">
        <f t="shared" si="8"/>
        <v>0.25660104876179052</v>
      </c>
      <c r="M18" s="9">
        <f t="shared" si="9"/>
        <v>0.30126022833980132</v>
      </c>
      <c r="N18" s="9">
        <f t="shared" si="10"/>
        <v>0.28244643128976499</v>
      </c>
      <c r="O18" s="9">
        <f t="shared" si="11"/>
        <v>0.28223076267285763</v>
      </c>
      <c r="P18" s="9">
        <f t="shared" si="12"/>
        <v>0.2912719213039362</v>
      </c>
    </row>
    <row r="19" spans="2:16" x14ac:dyDescent="0.3">
      <c r="B19" s="9" t="s">
        <v>59</v>
      </c>
      <c r="C19" s="7">
        <f t="shared" si="1"/>
        <v>-8.1309711589583888E-3</v>
      </c>
      <c r="D19" s="7">
        <f t="shared" si="2"/>
        <v>2.2205898373891086E-2</v>
      </c>
      <c r="E19" s="7">
        <f t="shared" si="3"/>
        <v>-6.9913993118971479E-2</v>
      </c>
      <c r="F19" s="7">
        <f t="shared" si="4"/>
        <v>-4.8777179057051256E-3</v>
      </c>
      <c r="G19" s="7">
        <f t="shared" si="5"/>
        <v>-5.7695493344492865E-3</v>
      </c>
      <c r="H19" s="7">
        <f t="shared" si="6"/>
        <v>1.6784853756866558E-2</v>
      </c>
      <c r="J19" s="9" t="s">
        <v>59</v>
      </c>
      <c r="K19" s="9">
        <f t="shared" si="7"/>
        <v>0.5186538630719153</v>
      </c>
      <c r="L19" s="9">
        <f t="shared" si="8"/>
        <v>0.50941849277688334</v>
      </c>
      <c r="M19" s="9">
        <f t="shared" si="9"/>
        <v>0.53746229962233005</v>
      </c>
      <c r="N19" s="9">
        <f t="shared" si="10"/>
        <v>0.51766348407368745</v>
      </c>
      <c r="O19" s="9">
        <f t="shared" si="11"/>
        <v>0.51793498187857079</v>
      </c>
      <c r="P19" s="9">
        <f t="shared" si="12"/>
        <v>0.51106880657639708</v>
      </c>
    </row>
    <row r="20" spans="2:16" x14ac:dyDescent="0.3">
      <c r="J20" s="10" t="s">
        <v>26</v>
      </c>
      <c r="K20" s="10">
        <f>SUM(K12:K19)</f>
        <v>0.95410224274097954</v>
      </c>
      <c r="L20" s="10">
        <f t="shared" ref="L20:P20" si="13">SUM(L12:L19)</f>
        <v>0.91508727712155258</v>
      </c>
      <c r="M20" s="10">
        <f t="shared" si="13"/>
        <v>1.0128587102925852</v>
      </c>
      <c r="N20" s="10">
        <f t="shared" si="13"/>
        <v>1.0031366637015711</v>
      </c>
      <c r="O20" s="10">
        <f t="shared" si="13"/>
        <v>0.97962950038683672</v>
      </c>
      <c r="P20" s="10">
        <f t="shared" si="13"/>
        <v>1.0059565619412774</v>
      </c>
    </row>
    <row r="21" spans="2:16" x14ac:dyDescent="0.3">
      <c r="J21" s="14" t="s">
        <v>27</v>
      </c>
      <c r="K21" s="14">
        <f>1-K20</f>
        <v>4.5897757259020455E-2</v>
      </c>
      <c r="L21" s="14">
        <f t="shared" ref="L21:P21" si="14">1-L20</f>
        <v>8.4912722878447422E-2</v>
      </c>
      <c r="M21" s="14">
        <f t="shared" si="14"/>
        <v>-1.2858710292585229E-2</v>
      </c>
      <c r="N21" s="14">
        <f t="shared" si="14"/>
        <v>-3.136663701571063E-3</v>
      </c>
      <c r="O21" s="14">
        <f t="shared" si="14"/>
        <v>2.0370499613163284E-2</v>
      </c>
      <c r="P21" s="14">
        <f t="shared" si="14"/>
        <v>-5.9565619412773607E-3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ARAÇUAÍ</vt:lpstr>
      <vt:lpstr>DIAMANTINA</vt:lpstr>
      <vt:lpstr>SERRO</vt:lpstr>
      <vt:lpstr>TURMALINA-MINAS NOVA-CAPELINHA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2025-04-20T01:54:14Z</dcterms:created>
  <dcterms:modified xsi:type="dcterms:W3CDTF">2025-07-08T23:04:40Z</dcterms:modified>
</cp:coreProperties>
</file>