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21" documentId="8_{F72B690D-8FE3-49E2-9478-76F565AD5A45}" xr6:coauthVersionLast="47" xr6:coauthVersionMax="47" xr10:uidLastSave="{DC7508D5-0775-48EB-B26A-9AE7711DB85F}"/>
  <bookViews>
    <workbookView xWindow="-108" yWindow="-108" windowWidth="23256" windowHeight="12456" activeTab="2" xr2:uid="{8FDFCEA1-93D2-42CC-9056-FA0A66A25CAD}"/>
  </bookViews>
  <sheets>
    <sheet name="CARATINGA" sheetId="1" r:id="rId1"/>
    <sheet name="CORONEL FABRICIANO - TIMÓTEO" sheetId="2" r:id="rId2"/>
    <sheet name="IPATIN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3" l="1"/>
  <c r="O18" i="3"/>
  <c r="N18" i="3"/>
  <c r="M18" i="3"/>
  <c r="L18" i="3"/>
  <c r="K18" i="3"/>
  <c r="P12" i="2"/>
  <c r="O12" i="2"/>
  <c r="N12" i="2"/>
  <c r="M12" i="2"/>
  <c r="L12" i="2"/>
  <c r="K12" i="2"/>
  <c r="P17" i="1"/>
  <c r="O17" i="1"/>
  <c r="N17" i="1"/>
  <c r="M17" i="1"/>
  <c r="L17" i="1"/>
  <c r="K17" i="1"/>
  <c r="C19" i="3" l="1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D30" i="3"/>
  <c r="E30" i="3"/>
  <c r="F30" i="3"/>
  <c r="G30" i="3"/>
  <c r="H30" i="3"/>
  <c r="C31" i="3"/>
  <c r="D31" i="3"/>
  <c r="E31" i="3"/>
  <c r="F31" i="3"/>
  <c r="G31" i="3"/>
  <c r="H31" i="3"/>
  <c r="H18" i="3"/>
  <c r="G18" i="3"/>
  <c r="F18" i="3"/>
  <c r="E18" i="3"/>
  <c r="D18" i="3"/>
  <c r="C18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J3" i="3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3" i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l="1"/>
  <c r="O13" i="2"/>
  <c r="P13" i="2"/>
  <c r="N13" i="2"/>
  <c r="M13" i="2"/>
  <c r="L13" i="2"/>
  <c r="K13" i="2"/>
  <c r="J4" i="1"/>
  <c r="N18" i="1"/>
  <c r="M18" i="1"/>
  <c r="O18" i="1"/>
  <c r="L18" i="1"/>
  <c r="K18" i="1"/>
  <c r="P18" i="1"/>
  <c r="J4" i="3"/>
  <c r="P19" i="3"/>
  <c r="O19" i="3"/>
  <c r="N19" i="3"/>
  <c r="M19" i="3"/>
  <c r="L19" i="3"/>
  <c r="K19" i="3"/>
  <c r="J5" i="2" l="1"/>
  <c r="L14" i="2"/>
  <c r="K14" i="2"/>
  <c r="P14" i="2"/>
  <c r="O14" i="2"/>
  <c r="N14" i="2"/>
  <c r="M14" i="2"/>
  <c r="J5" i="1"/>
  <c r="P19" i="1"/>
  <c r="O19" i="1"/>
  <c r="N19" i="1"/>
  <c r="M19" i="1"/>
  <c r="L19" i="1"/>
  <c r="K19" i="1"/>
  <c r="J5" i="3"/>
  <c r="K20" i="3"/>
  <c r="P20" i="3"/>
  <c r="O20" i="3"/>
  <c r="N20" i="3"/>
  <c r="M20" i="3"/>
  <c r="L20" i="3"/>
  <c r="J6" i="2" l="1"/>
  <c r="N15" i="2"/>
  <c r="M15" i="2"/>
  <c r="L15" i="2"/>
  <c r="K15" i="2"/>
  <c r="P15" i="2"/>
  <c r="O15" i="2"/>
  <c r="J6" i="1"/>
  <c r="K20" i="1"/>
  <c r="P20" i="1"/>
  <c r="O20" i="1"/>
  <c r="N20" i="1"/>
  <c r="M20" i="1"/>
  <c r="L20" i="1"/>
  <c r="J6" i="3"/>
  <c r="L21" i="3"/>
  <c r="N21" i="3"/>
  <c r="M21" i="3"/>
  <c r="K21" i="3"/>
  <c r="P21" i="3"/>
  <c r="O21" i="3"/>
  <c r="J7" i="2" l="1"/>
  <c r="P16" i="2"/>
  <c r="O16" i="2"/>
  <c r="M16" i="2"/>
  <c r="N16" i="2"/>
  <c r="L16" i="2"/>
  <c r="K16" i="2"/>
  <c r="J7" i="1"/>
  <c r="L21" i="1"/>
  <c r="K21" i="1"/>
  <c r="P21" i="1"/>
  <c r="O21" i="1"/>
  <c r="N21" i="1"/>
  <c r="M21" i="1"/>
  <c r="J7" i="3"/>
  <c r="N22" i="3"/>
  <c r="M22" i="3"/>
  <c r="L22" i="3"/>
  <c r="P22" i="3"/>
  <c r="K22" i="3"/>
  <c r="O22" i="3"/>
  <c r="J8" i="2" l="1"/>
  <c r="N17" i="2"/>
  <c r="M17" i="2"/>
  <c r="L17" i="2"/>
  <c r="K17" i="2"/>
  <c r="P17" i="2"/>
  <c r="O17" i="2"/>
  <c r="J8" i="1"/>
  <c r="N22" i="1"/>
  <c r="M22" i="1"/>
  <c r="L22" i="1"/>
  <c r="K22" i="1"/>
  <c r="P22" i="1"/>
  <c r="O22" i="1"/>
  <c r="J8" i="3"/>
  <c r="P23" i="3"/>
  <c r="O23" i="3"/>
  <c r="N23" i="3"/>
  <c r="M23" i="3"/>
  <c r="L23" i="3"/>
  <c r="K23" i="3"/>
  <c r="J9" i="2" l="1"/>
  <c r="L18" i="2"/>
  <c r="K18" i="2"/>
  <c r="P18" i="2"/>
  <c r="O18" i="2"/>
  <c r="N18" i="2"/>
  <c r="M18" i="2"/>
  <c r="J9" i="1"/>
  <c r="P23" i="1"/>
  <c r="O23" i="1"/>
  <c r="N23" i="1"/>
  <c r="M23" i="1"/>
  <c r="L23" i="1"/>
  <c r="K23" i="1"/>
  <c r="J9" i="3"/>
  <c r="L24" i="3"/>
  <c r="P24" i="3"/>
  <c r="O24" i="3"/>
  <c r="N24" i="3"/>
  <c r="K24" i="3"/>
  <c r="M24" i="3"/>
  <c r="N19" i="2" l="1"/>
  <c r="N20" i="2" s="1"/>
  <c r="N21" i="2" s="1"/>
  <c r="M19" i="2"/>
  <c r="M20" i="2" s="1"/>
  <c r="M21" i="2" s="1"/>
  <c r="P19" i="2"/>
  <c r="O19" i="2"/>
  <c r="O20" i="2" s="1"/>
  <c r="O21" i="2" s="1"/>
  <c r="L19" i="2"/>
  <c r="L20" i="2" s="1"/>
  <c r="L21" i="2" s="1"/>
  <c r="K19" i="2"/>
  <c r="K20" i="2" s="1"/>
  <c r="K21" i="2" s="1"/>
  <c r="P20" i="2"/>
  <c r="P21" i="2" s="1"/>
  <c r="J10" i="1"/>
  <c r="P24" i="1"/>
  <c r="O24" i="1"/>
  <c r="N24" i="1"/>
  <c r="M24" i="1"/>
  <c r="L24" i="1"/>
  <c r="K24" i="1"/>
  <c r="J10" i="3"/>
  <c r="L25" i="3"/>
  <c r="N25" i="3"/>
  <c r="K25" i="3"/>
  <c r="M25" i="3"/>
  <c r="P25" i="3"/>
  <c r="O25" i="3"/>
  <c r="J11" i="1" l="1"/>
  <c r="L25" i="1"/>
  <c r="K25" i="1"/>
  <c r="P25" i="1"/>
  <c r="O25" i="1"/>
  <c r="N25" i="1"/>
  <c r="M25" i="1"/>
  <c r="J11" i="3"/>
  <c r="N26" i="3"/>
  <c r="M26" i="3"/>
  <c r="L26" i="3"/>
  <c r="K26" i="3"/>
  <c r="O26" i="3"/>
  <c r="P26" i="3"/>
  <c r="J12" i="1" l="1"/>
  <c r="N26" i="1"/>
  <c r="M26" i="1"/>
  <c r="L26" i="1"/>
  <c r="K26" i="1"/>
  <c r="P26" i="1"/>
  <c r="O26" i="1"/>
  <c r="J12" i="3"/>
  <c r="P27" i="3"/>
  <c r="O27" i="3"/>
  <c r="N27" i="3"/>
  <c r="M27" i="3"/>
  <c r="L27" i="3"/>
  <c r="K27" i="3"/>
  <c r="J13" i="1" l="1"/>
  <c r="P27" i="1"/>
  <c r="O27" i="1"/>
  <c r="N27" i="1"/>
  <c r="M27" i="1"/>
  <c r="L27" i="1"/>
  <c r="K27" i="1"/>
  <c r="J13" i="3"/>
  <c r="P28" i="3"/>
  <c r="O28" i="3"/>
  <c r="L28" i="3"/>
  <c r="N28" i="3"/>
  <c r="M28" i="3"/>
  <c r="K28" i="3"/>
  <c r="J14" i="1" l="1"/>
  <c r="P28" i="1"/>
  <c r="O28" i="1"/>
  <c r="N28" i="1"/>
  <c r="M28" i="1"/>
  <c r="L28" i="1"/>
  <c r="K28" i="1"/>
  <c r="J14" i="3"/>
  <c r="L29" i="3"/>
  <c r="K29" i="3"/>
  <c r="M29" i="3"/>
  <c r="P29" i="3"/>
  <c r="O29" i="3"/>
  <c r="N29" i="3"/>
  <c r="L29" i="1" l="1"/>
  <c r="L30" i="1" s="1"/>
  <c r="L31" i="1" s="1"/>
  <c r="K29" i="1"/>
  <c r="K30" i="1" s="1"/>
  <c r="K31" i="1" s="1"/>
  <c r="P29" i="1"/>
  <c r="P30" i="1" s="1"/>
  <c r="P31" i="1" s="1"/>
  <c r="O29" i="1"/>
  <c r="O30" i="1" s="1"/>
  <c r="O31" i="1" s="1"/>
  <c r="N29" i="1"/>
  <c r="N30" i="1" s="1"/>
  <c r="N31" i="1" s="1"/>
  <c r="M29" i="1"/>
  <c r="M30" i="1" s="1"/>
  <c r="M31" i="1" s="1"/>
  <c r="N30" i="3"/>
  <c r="O30" i="3"/>
  <c r="M30" i="3"/>
  <c r="L30" i="3"/>
  <c r="K30" i="3"/>
  <c r="P30" i="3"/>
  <c r="J15" i="3"/>
  <c r="P31" i="3" l="1"/>
  <c r="P32" i="3" s="1"/>
  <c r="P33" i="3" s="1"/>
  <c r="O31" i="3"/>
  <c r="O32" i="3" s="1"/>
  <c r="O33" i="3" s="1"/>
  <c r="N31" i="3"/>
  <c r="N32" i="3" s="1"/>
  <c r="N33" i="3" s="1"/>
  <c r="M31" i="3"/>
  <c r="M32" i="3" s="1"/>
  <c r="M33" i="3" s="1"/>
  <c r="L31" i="3"/>
  <c r="L32" i="3" s="1"/>
  <c r="L33" i="3" s="1"/>
  <c r="K31" i="3"/>
  <c r="K32" i="3" s="1"/>
  <c r="K33" i="3" s="1"/>
</calcChain>
</file>

<file path=xl/sharedStrings.xml><?xml version="1.0" encoding="utf-8"?>
<sst xmlns="http://schemas.openxmlformats.org/spreadsheetml/2006/main" count="198" uniqueCount="57">
  <si>
    <t>CARATINGA</t>
  </si>
  <si>
    <t>BOM JESUS DO GALHO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</si>
  <si>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</si>
  <si>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</si>
  <si>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</si>
  <si>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</si>
  <si>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</si>
  <si>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</si>
  <si>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</si>
  <si>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</si>
  <si>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</si>
  <si>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</si>
  <si>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</si>
  <si>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ANTÔNIO DIAS</t>
  </si>
  <si>
    <t>CORONEL FABRICIANO</t>
  </si>
  <si>
    <t>CÓRREGO NOVO</t>
  </si>
  <si>
    <t>DIONÍSIO</t>
  </si>
  <si>
    <t>JAGUARAÇU</t>
  </si>
  <si>
    <t>MARLIÉRIA</t>
  </si>
  <si>
    <t>PINGO-D'ÁGUA</t>
  </si>
  <si>
    <t>TIMÓTEO</t>
  </si>
  <si>
    <t>IPATINGA</t>
  </si>
  <si>
    <t>AÇUCENA</t>
  </si>
  <si>
    <t>BELO ORIENTE</t>
  </si>
  <si>
    <t>BRAÚNAS</t>
  </si>
  <si>
    <t>BUGRE</t>
  </si>
  <si>
    <t>DOM CAVATI</t>
  </si>
  <si>
    <t>IAPU</t>
  </si>
  <si>
    <t>IPABA</t>
  </si>
  <si>
    <t>JOANÉSIA</t>
  </si>
  <si>
    <t>MESQUITA</t>
  </si>
  <si>
    <t>NAQUE</t>
  </si>
  <si>
    <t>PERIQUITO</t>
  </si>
  <si>
    <t>SANTANA DO PARAÍSO</t>
  </si>
  <si>
    <t>SÃO JOÃO DO ORIENTE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</si>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</sst>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8" borderId="1" xfId="0" applyFill="1" applyBorder="1"/>
    <xf numFmtId="0" fontId="1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1C-4238-BEA2-91963C219DC0}"/>
            </c:ext>
          </c:extLst>
        </c:ser>
        <c:ser>
          <c:idx val="1"/>
          <c:order val="1"/>
          <c:tx>
            <c:strRef>
              <c:f>CARATINGA!$K$1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CARATINGA!$K$2:$K$14</c:f>
              <c:numCache>
                <c:formatCode>0.00</c:formatCode>
                <c:ptCount val="13"/>
                <c:pt idx="0">
                  <c:v>2.8985507246376812E-2</c:v>
                </c:pt>
                <c:pt idx="1">
                  <c:v>0.13043478260869565</c:v>
                </c:pt>
                <c:pt idx="2">
                  <c:v>0.21014492753623187</c:v>
                </c:pt>
                <c:pt idx="3">
                  <c:v>0.24637681159420288</c:v>
                </c:pt>
                <c:pt idx="4">
                  <c:v>0.25362318840579706</c:v>
                </c:pt>
                <c:pt idx="5">
                  <c:v>0.28985507246376807</c:v>
                </c:pt>
                <c:pt idx="6">
                  <c:v>0.29710144927536225</c:v>
                </c:pt>
                <c:pt idx="7">
                  <c:v>0.32608695652173908</c:v>
                </c:pt>
                <c:pt idx="8">
                  <c:v>0.3985507246376811</c:v>
                </c:pt>
                <c:pt idx="9">
                  <c:v>0.4565217391304347</c:v>
                </c:pt>
                <c:pt idx="10">
                  <c:v>0.50724637681159412</c:v>
                </c:pt>
                <c:pt idx="11">
                  <c:v>0.60869565217391297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1C-4238-BEA2-91963C219DC0}"/>
            </c:ext>
          </c:extLst>
        </c:ser>
        <c:ser>
          <c:idx val="2"/>
          <c:order val="2"/>
          <c:tx>
            <c:strRef>
              <c:f>CARATINGA!$L$1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CARATINGA!$L$2:$L$14</c:f>
              <c:numCache>
                <c:formatCode>0.00</c:formatCode>
                <c:ptCount val="13"/>
                <c:pt idx="0">
                  <c:v>8.1967213114754103E-3</c:v>
                </c:pt>
                <c:pt idx="1">
                  <c:v>2.4590163934426229E-2</c:v>
                </c:pt>
                <c:pt idx="2">
                  <c:v>2.4590163934426229E-2</c:v>
                </c:pt>
                <c:pt idx="3">
                  <c:v>7.3770491803278687E-2</c:v>
                </c:pt>
                <c:pt idx="4">
                  <c:v>7.3770491803278687E-2</c:v>
                </c:pt>
                <c:pt idx="5">
                  <c:v>0.10655737704918034</c:v>
                </c:pt>
                <c:pt idx="6">
                  <c:v>0.11475409836065574</c:v>
                </c:pt>
                <c:pt idx="7">
                  <c:v>0.16393442622950821</c:v>
                </c:pt>
                <c:pt idx="8">
                  <c:v>0.18032786885245902</c:v>
                </c:pt>
                <c:pt idx="9">
                  <c:v>0.18852459016393444</c:v>
                </c:pt>
                <c:pt idx="10">
                  <c:v>0.22131147540983609</c:v>
                </c:pt>
                <c:pt idx="11">
                  <c:v>0.27868852459016397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1C-4238-BEA2-91963C219DC0}"/>
            </c:ext>
          </c:extLst>
        </c:ser>
        <c:ser>
          <c:idx val="3"/>
          <c:order val="3"/>
          <c:tx>
            <c:strRef>
              <c:f>CARATINGA!$M$1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CARATINGA!$M$2:$M$14</c:f>
              <c:numCache>
                <c:formatCode>0.00</c:formatCode>
                <c:ptCount val="13"/>
                <c:pt idx="0">
                  <c:v>6.3291139240506333E-2</c:v>
                </c:pt>
                <c:pt idx="1">
                  <c:v>0.11392405063291139</c:v>
                </c:pt>
                <c:pt idx="2">
                  <c:v>0.16455696202531644</c:v>
                </c:pt>
                <c:pt idx="3">
                  <c:v>0.22151898734177214</c:v>
                </c:pt>
                <c:pt idx="4">
                  <c:v>0.22468354430379744</c:v>
                </c:pt>
                <c:pt idx="5">
                  <c:v>0.25632911392405061</c:v>
                </c:pt>
                <c:pt idx="6">
                  <c:v>0.28481012658227844</c:v>
                </c:pt>
                <c:pt idx="7">
                  <c:v>0.34810126582278478</c:v>
                </c:pt>
                <c:pt idx="8">
                  <c:v>0.39556962025316456</c:v>
                </c:pt>
                <c:pt idx="9">
                  <c:v>0.55379746835443044</c:v>
                </c:pt>
                <c:pt idx="10">
                  <c:v>0.55696202531645578</c:v>
                </c:pt>
                <c:pt idx="11">
                  <c:v>0.62341772151898744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C-4238-BEA2-91963C21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3152"/>
        <c:axId val="1856252592"/>
      </c:scatterChart>
      <c:valAx>
        <c:axId val="1856263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52592"/>
        <c:crosses val="autoZero"/>
        <c:crossBetween val="midCat"/>
      </c:valAx>
      <c:valAx>
        <c:axId val="1856252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E8-44FA-9748-EBFF3115C2EB}"/>
            </c:ext>
          </c:extLst>
        </c:ser>
        <c:ser>
          <c:idx val="1"/>
          <c:order val="1"/>
          <c:tx>
            <c:strRef>
              <c:f>CARATINGA!$N$1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CARATINGA!$N$2:$N$14</c:f>
              <c:numCache>
                <c:formatCode>0.00</c:formatCode>
                <c:ptCount val="13"/>
                <c:pt idx="0">
                  <c:v>0.05</c:v>
                </c:pt>
                <c:pt idx="1">
                  <c:v>8.0769230769230774E-2</c:v>
                </c:pt>
                <c:pt idx="2">
                  <c:v>0.11538461538461539</c:v>
                </c:pt>
                <c:pt idx="3">
                  <c:v>0.16538461538461541</c:v>
                </c:pt>
                <c:pt idx="4">
                  <c:v>0.18269230769230771</c:v>
                </c:pt>
                <c:pt idx="5">
                  <c:v>0.23846153846153847</c:v>
                </c:pt>
                <c:pt idx="6">
                  <c:v>0.26923076923076927</c:v>
                </c:pt>
                <c:pt idx="7">
                  <c:v>0.30961538461538468</c:v>
                </c:pt>
                <c:pt idx="8">
                  <c:v>0.36923076923076931</c:v>
                </c:pt>
                <c:pt idx="9">
                  <c:v>0.46346153846153854</c:v>
                </c:pt>
                <c:pt idx="10">
                  <c:v>0.48269230769230775</c:v>
                </c:pt>
                <c:pt idx="11">
                  <c:v>0.56153846153846154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E8-44FA-9748-EBFF3115C2EB}"/>
            </c:ext>
          </c:extLst>
        </c:ser>
        <c:ser>
          <c:idx val="2"/>
          <c:order val="2"/>
          <c:tx>
            <c:strRef>
              <c:f>CARATINGA!$O$1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CARATINGA!$O$2:$O$14</c:f>
              <c:numCache>
                <c:formatCode>0.00</c:formatCode>
                <c:ptCount val="13"/>
                <c:pt idx="0">
                  <c:v>3.9267015706806283E-2</c:v>
                </c:pt>
                <c:pt idx="1">
                  <c:v>7.3298429319371722E-2</c:v>
                </c:pt>
                <c:pt idx="2">
                  <c:v>0.10732984293193717</c:v>
                </c:pt>
                <c:pt idx="3">
                  <c:v>0.13612565445026178</c:v>
                </c:pt>
                <c:pt idx="4">
                  <c:v>0.15968586387434555</c:v>
                </c:pt>
                <c:pt idx="5">
                  <c:v>0.19109947643979058</c:v>
                </c:pt>
                <c:pt idx="6">
                  <c:v>0.24607329842931938</c:v>
                </c:pt>
                <c:pt idx="7">
                  <c:v>0.29057591623036649</c:v>
                </c:pt>
                <c:pt idx="8">
                  <c:v>0.33769633507853403</c:v>
                </c:pt>
                <c:pt idx="9">
                  <c:v>0.40052356020942409</c:v>
                </c:pt>
                <c:pt idx="10">
                  <c:v>0.47905759162303663</c:v>
                </c:pt>
                <c:pt idx="11">
                  <c:v>0.52879581151832455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E8-44FA-9748-EBFF3115C2EB}"/>
            </c:ext>
          </c:extLst>
        </c:ser>
        <c:ser>
          <c:idx val="3"/>
          <c:order val="3"/>
          <c:tx>
            <c:strRef>
              <c:f>CARATINGA!$P$1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CARATINGA!$P$2:$P$14</c:f>
              <c:numCache>
                <c:formatCode>0.00</c:formatCode>
                <c:ptCount val="13"/>
                <c:pt idx="0">
                  <c:v>2.6923076923076925E-2</c:v>
                </c:pt>
                <c:pt idx="1">
                  <c:v>7.6923076923076927E-2</c:v>
                </c:pt>
                <c:pt idx="2">
                  <c:v>0.1</c:v>
                </c:pt>
                <c:pt idx="3">
                  <c:v>0.10384615384615385</c:v>
                </c:pt>
                <c:pt idx="4">
                  <c:v>0.13461538461538464</c:v>
                </c:pt>
                <c:pt idx="5">
                  <c:v>0.14230769230769233</c:v>
                </c:pt>
                <c:pt idx="6">
                  <c:v>0.16153846153846158</c:v>
                </c:pt>
                <c:pt idx="7">
                  <c:v>0.2038461538461539</c:v>
                </c:pt>
                <c:pt idx="8">
                  <c:v>0.28846153846153855</c:v>
                </c:pt>
                <c:pt idx="9">
                  <c:v>0.35769230769230775</c:v>
                </c:pt>
                <c:pt idx="10">
                  <c:v>0.42307692307692313</c:v>
                </c:pt>
                <c:pt idx="11">
                  <c:v>0.58076923076923082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E8-44FA-9748-EBFF3115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6032"/>
        <c:axId val="1856266512"/>
      </c:scatterChart>
      <c:valAx>
        <c:axId val="1856266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512"/>
        <c:crosses val="autoZero"/>
        <c:crossBetween val="midCat"/>
      </c:valAx>
      <c:valAx>
        <c:axId val="1856266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9-4896-AEF9-99A3FDF59F7E}"/>
            </c:ext>
          </c:extLst>
        </c:ser>
        <c:ser>
          <c:idx val="1"/>
          <c:order val="1"/>
          <c:tx>
            <c:strRef>
              <c:f>'CORONEL FABRICIANO - TIMÓTEO'!$K$1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TIMÓTEO'!$K$2:$K$9</c:f>
              <c:numCache>
                <c:formatCode>0.00</c:formatCode>
                <c:ptCount val="8"/>
                <c:pt idx="0">
                  <c:v>1.1494252873563218E-2</c:v>
                </c:pt>
                <c:pt idx="1">
                  <c:v>2.8735632183908046E-2</c:v>
                </c:pt>
                <c:pt idx="2">
                  <c:v>6.3218390804597707E-2</c:v>
                </c:pt>
                <c:pt idx="3">
                  <c:v>9.7701149425287362E-2</c:v>
                </c:pt>
                <c:pt idx="4">
                  <c:v>0.14367816091954022</c:v>
                </c:pt>
                <c:pt idx="5">
                  <c:v>0.20689655172413793</c:v>
                </c:pt>
                <c:pt idx="6">
                  <c:v>0.65517241379310343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39-4896-AEF9-99A3FDF59F7E}"/>
            </c:ext>
          </c:extLst>
        </c:ser>
        <c:ser>
          <c:idx val="2"/>
          <c:order val="2"/>
          <c:tx>
            <c:strRef>
              <c:f>'CORONEL FABRICIANO - TIMÓTEO'!$L$1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TIMÓTEO'!$L$2:$L$9</c:f>
              <c:numCache>
                <c:formatCode>0.00</c:formatCode>
                <c:ptCount val="8"/>
                <c:pt idx="0">
                  <c:v>1.7857142857142856E-2</c:v>
                </c:pt>
                <c:pt idx="1">
                  <c:v>7.1428571428571425E-2</c:v>
                </c:pt>
                <c:pt idx="2">
                  <c:v>0.10714285714285714</c:v>
                </c:pt>
                <c:pt idx="3">
                  <c:v>0.14285714285714285</c:v>
                </c:pt>
                <c:pt idx="4">
                  <c:v>0.17857142857142855</c:v>
                </c:pt>
                <c:pt idx="5">
                  <c:v>0.17857142857142855</c:v>
                </c:pt>
                <c:pt idx="6">
                  <c:v>0.5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39-4896-AEF9-99A3FDF59F7E}"/>
            </c:ext>
          </c:extLst>
        </c:ser>
        <c:ser>
          <c:idx val="3"/>
          <c:order val="3"/>
          <c:tx>
            <c:strRef>
              <c:f>'CORONEL FABRICIANO - TIMÓTEO'!$M$1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TIMÓTEO'!$M$2:$M$9</c:f>
              <c:numCache>
                <c:formatCode>0.00</c:formatCode>
                <c:ptCount val="8"/>
                <c:pt idx="0">
                  <c:v>2.4096385542168676E-2</c:v>
                </c:pt>
                <c:pt idx="1">
                  <c:v>2.4096385542168676E-2</c:v>
                </c:pt>
                <c:pt idx="2">
                  <c:v>8.4337349397590355E-2</c:v>
                </c:pt>
                <c:pt idx="3">
                  <c:v>0.10843373493975902</c:v>
                </c:pt>
                <c:pt idx="4">
                  <c:v>0.10843373493975902</c:v>
                </c:pt>
                <c:pt idx="5">
                  <c:v>0.14457831325301204</c:v>
                </c:pt>
                <c:pt idx="6">
                  <c:v>0.5662650602409639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39-4896-AEF9-99A3FDF5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0000"/>
        <c:axId val="525155312"/>
      </c:scatterChart>
      <c:valAx>
        <c:axId val="1285520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5312"/>
        <c:crosses val="autoZero"/>
        <c:crossBetween val="midCat"/>
      </c:valAx>
      <c:valAx>
        <c:axId val="525155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52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F-4BF7-9607-EE2CA18AA390}"/>
            </c:ext>
          </c:extLst>
        </c:ser>
        <c:ser>
          <c:idx val="1"/>
          <c:order val="1"/>
          <c:tx>
            <c:strRef>
              <c:f>'CORONEL FABRICIANO - TIMÓTEO'!$N$1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TIMÓTEO'!$N$2:$N$9</c:f>
              <c:numCache>
                <c:formatCode>0.00</c:formatCode>
                <c:ptCount val="8"/>
                <c:pt idx="0">
                  <c:v>1.1111111111111112E-2</c:v>
                </c:pt>
                <c:pt idx="1">
                  <c:v>0.15555555555555553</c:v>
                </c:pt>
                <c:pt idx="2">
                  <c:v>0.31666666666666665</c:v>
                </c:pt>
                <c:pt idx="3">
                  <c:v>0.32222222222222219</c:v>
                </c:pt>
                <c:pt idx="4">
                  <c:v>0.34444444444444439</c:v>
                </c:pt>
                <c:pt idx="5">
                  <c:v>0.39999999999999991</c:v>
                </c:pt>
                <c:pt idx="6">
                  <c:v>0.7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DF-4BF7-9607-EE2CA18AA390}"/>
            </c:ext>
          </c:extLst>
        </c:ser>
        <c:ser>
          <c:idx val="2"/>
          <c:order val="2"/>
          <c:tx>
            <c:strRef>
              <c:f>'CORONEL FABRICIANO - TIMÓTEO'!$O$1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TIMÓTEO'!$O$2:$O$9</c:f>
              <c:numCache>
                <c:formatCode>0.00</c:formatCode>
                <c:ptCount val="8"/>
                <c:pt idx="0">
                  <c:v>4.0229885057471264E-2</c:v>
                </c:pt>
                <c:pt idx="1">
                  <c:v>6.3218390804597707E-2</c:v>
                </c:pt>
                <c:pt idx="2">
                  <c:v>0.16091954022988508</c:v>
                </c:pt>
                <c:pt idx="3">
                  <c:v>0.17816091954022992</c:v>
                </c:pt>
                <c:pt idx="4">
                  <c:v>0.20689655172413796</c:v>
                </c:pt>
                <c:pt idx="5">
                  <c:v>0.33908045977011497</c:v>
                </c:pt>
                <c:pt idx="6">
                  <c:v>0.5977011494252874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DF-4BF7-9607-EE2CA18AA390}"/>
            </c:ext>
          </c:extLst>
        </c:ser>
        <c:ser>
          <c:idx val="3"/>
          <c:order val="3"/>
          <c:tx>
            <c:strRef>
              <c:f>'CORONEL FABRICIANO - TIMÓTEO'!$P$1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TIMÓTEO'!$P$2:$P$9</c:f>
              <c:numCache>
                <c:formatCode>0.00</c:formatCode>
                <c:ptCount val="8"/>
                <c:pt idx="0">
                  <c:v>8.59375E-2</c:v>
                </c:pt>
                <c:pt idx="1">
                  <c:v>0.109375</c:v>
                </c:pt>
                <c:pt idx="2">
                  <c:v>0.1328125</c:v>
                </c:pt>
                <c:pt idx="3">
                  <c:v>0.15625</c:v>
                </c:pt>
                <c:pt idx="4">
                  <c:v>0.2109375</c:v>
                </c:pt>
                <c:pt idx="5">
                  <c:v>0.3046875</c:v>
                </c:pt>
                <c:pt idx="6">
                  <c:v>0.609375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DF-4BF7-9607-EE2CA18AA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28784"/>
        <c:axId val="2094329264"/>
      </c:scatterChart>
      <c:valAx>
        <c:axId val="20943287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9264"/>
        <c:crosses val="autoZero"/>
        <c:crossBetween val="midCat"/>
      </c:valAx>
      <c:valAx>
        <c:axId val="2094329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5-4DB1-8A2B-10012E3271AE}"/>
            </c:ext>
          </c:extLst>
        </c:ser>
        <c:ser>
          <c:idx val="1"/>
          <c:order val="1"/>
          <c:tx>
            <c:strRef>
              <c:f>IPATINGA!$K$1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IPATINGA!$K$2:$K$15</c:f>
              <c:numCache>
                <c:formatCode>0.00</c:formatCode>
                <c:ptCount val="14"/>
                <c:pt idx="0">
                  <c:v>2.0689655172413793E-2</c:v>
                </c:pt>
                <c:pt idx="1">
                  <c:v>7.2413793103448282E-2</c:v>
                </c:pt>
                <c:pt idx="2">
                  <c:v>8.6206896551724144E-2</c:v>
                </c:pt>
                <c:pt idx="3">
                  <c:v>9.3103448275862075E-2</c:v>
                </c:pt>
                <c:pt idx="4">
                  <c:v>0.10689655172413794</c:v>
                </c:pt>
                <c:pt idx="5">
                  <c:v>0.1103448275862069</c:v>
                </c:pt>
                <c:pt idx="6">
                  <c:v>0.13103448275862067</c:v>
                </c:pt>
                <c:pt idx="7">
                  <c:v>0.14137931034482756</c:v>
                </c:pt>
                <c:pt idx="8">
                  <c:v>0.1586206896551724</c:v>
                </c:pt>
                <c:pt idx="9">
                  <c:v>0.17586206896551723</c:v>
                </c:pt>
                <c:pt idx="10">
                  <c:v>0.25517241379310346</c:v>
                </c:pt>
                <c:pt idx="11">
                  <c:v>0.30344827586206896</c:v>
                </c:pt>
                <c:pt idx="12">
                  <c:v>0.35172413793103446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5-4DB1-8A2B-10012E3271AE}"/>
            </c:ext>
          </c:extLst>
        </c:ser>
        <c:ser>
          <c:idx val="2"/>
          <c:order val="2"/>
          <c:tx>
            <c:strRef>
              <c:f>IPATINGA!$L$1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IPATINGA!$L$2:$L$15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7.5187969924812026E-3</c:v>
                </c:pt>
                <c:pt idx="3">
                  <c:v>1.5037593984962405E-2</c:v>
                </c:pt>
                <c:pt idx="4">
                  <c:v>6.0150375939849621E-2</c:v>
                </c:pt>
                <c:pt idx="5">
                  <c:v>6.7669172932330823E-2</c:v>
                </c:pt>
                <c:pt idx="6">
                  <c:v>9.0225563909774431E-2</c:v>
                </c:pt>
                <c:pt idx="7">
                  <c:v>9.7744360902255634E-2</c:v>
                </c:pt>
                <c:pt idx="8">
                  <c:v>0.14285714285714285</c:v>
                </c:pt>
                <c:pt idx="9">
                  <c:v>0.16541353383458646</c:v>
                </c:pt>
                <c:pt idx="10">
                  <c:v>0.21052631578947367</c:v>
                </c:pt>
                <c:pt idx="11">
                  <c:v>0.23308270676691728</c:v>
                </c:pt>
                <c:pt idx="12">
                  <c:v>0.36842105263157893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5-4DB1-8A2B-10012E3271AE}"/>
            </c:ext>
          </c:extLst>
        </c:ser>
        <c:ser>
          <c:idx val="3"/>
          <c:order val="3"/>
          <c:tx>
            <c:strRef>
              <c:f>IPATINGA!$M$1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IPATINGA!$M$2:$M$15</c:f>
              <c:numCache>
                <c:formatCode>0.00</c:formatCode>
                <c:ptCount val="14"/>
                <c:pt idx="0">
                  <c:v>3.1007751937984496E-2</c:v>
                </c:pt>
                <c:pt idx="1">
                  <c:v>3.875968992248062E-2</c:v>
                </c:pt>
                <c:pt idx="2">
                  <c:v>5.4263565891472867E-2</c:v>
                </c:pt>
                <c:pt idx="3">
                  <c:v>5.4263565891472867E-2</c:v>
                </c:pt>
                <c:pt idx="4">
                  <c:v>0.10852713178294573</c:v>
                </c:pt>
                <c:pt idx="5">
                  <c:v>0.12403100775193798</c:v>
                </c:pt>
                <c:pt idx="6">
                  <c:v>0.14728682170542634</c:v>
                </c:pt>
                <c:pt idx="7">
                  <c:v>0.1705426356589147</c:v>
                </c:pt>
                <c:pt idx="8">
                  <c:v>0.20155038759689919</c:v>
                </c:pt>
                <c:pt idx="9">
                  <c:v>0.20930232558139533</c:v>
                </c:pt>
                <c:pt idx="10">
                  <c:v>0.26356589147286819</c:v>
                </c:pt>
                <c:pt idx="11">
                  <c:v>0.34883720930232553</c:v>
                </c:pt>
                <c:pt idx="12">
                  <c:v>0.47286821705426352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5-4DB1-8A2B-10012E32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9296"/>
        <c:axId val="304324096"/>
      </c:scatterChart>
      <c:valAx>
        <c:axId val="304319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24096"/>
        <c:crosses val="autoZero"/>
        <c:crossBetween val="midCat"/>
      </c:valAx>
      <c:valAx>
        <c:axId val="30432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1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4-4B46-BC3A-B19EA68C1B98}"/>
            </c:ext>
          </c:extLst>
        </c:ser>
        <c:ser>
          <c:idx val="1"/>
          <c:order val="1"/>
          <c:tx>
            <c:strRef>
              <c:f>IPATINGA!$N$1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IPATINGA!$N$2:$N$15</c:f>
              <c:numCache>
                <c:formatCode>0.00</c:formatCode>
                <c:ptCount val="14"/>
                <c:pt idx="0">
                  <c:v>1.0869565217391304E-2</c:v>
                </c:pt>
                <c:pt idx="1">
                  <c:v>1.8115942028985508E-2</c:v>
                </c:pt>
                <c:pt idx="2">
                  <c:v>3.9855072463768113E-2</c:v>
                </c:pt>
                <c:pt idx="3">
                  <c:v>4.7101449275362313E-2</c:v>
                </c:pt>
                <c:pt idx="4">
                  <c:v>7.9710144927536225E-2</c:v>
                </c:pt>
                <c:pt idx="5">
                  <c:v>9.7826086956521729E-2</c:v>
                </c:pt>
                <c:pt idx="6">
                  <c:v>0.11594202898550723</c:v>
                </c:pt>
                <c:pt idx="7">
                  <c:v>0.16304347826086957</c:v>
                </c:pt>
                <c:pt idx="8">
                  <c:v>0.19927536231884058</c:v>
                </c:pt>
                <c:pt idx="9">
                  <c:v>0.21014492753623187</c:v>
                </c:pt>
                <c:pt idx="10">
                  <c:v>0.3079710144927536</c:v>
                </c:pt>
                <c:pt idx="11">
                  <c:v>0.34057971014492749</c:v>
                </c:pt>
                <c:pt idx="12">
                  <c:v>0.42753623188405793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84-4B46-BC3A-B19EA68C1B98}"/>
            </c:ext>
          </c:extLst>
        </c:ser>
        <c:ser>
          <c:idx val="2"/>
          <c:order val="2"/>
          <c:tx>
            <c:strRef>
              <c:f>IPATINGA!$O$1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IPATINGA!$O$2:$O$15</c:f>
              <c:numCache>
                <c:formatCode>0.00</c:formatCode>
                <c:ptCount val="14"/>
                <c:pt idx="0">
                  <c:v>1.1627906976744186E-2</c:v>
                </c:pt>
                <c:pt idx="1">
                  <c:v>2.9069767441860465E-2</c:v>
                </c:pt>
                <c:pt idx="2">
                  <c:v>5.8139534883720929E-2</c:v>
                </c:pt>
                <c:pt idx="3">
                  <c:v>6.9767441860465115E-2</c:v>
                </c:pt>
                <c:pt idx="4">
                  <c:v>7.5581395348837205E-2</c:v>
                </c:pt>
                <c:pt idx="5">
                  <c:v>8.4302325581395346E-2</c:v>
                </c:pt>
                <c:pt idx="6">
                  <c:v>0.14825581395348836</c:v>
                </c:pt>
                <c:pt idx="7">
                  <c:v>0.18023255813953487</c:v>
                </c:pt>
                <c:pt idx="8">
                  <c:v>0.21802325581395349</c:v>
                </c:pt>
                <c:pt idx="9">
                  <c:v>0.22674418604651161</c:v>
                </c:pt>
                <c:pt idx="10">
                  <c:v>0.29069767441860461</c:v>
                </c:pt>
                <c:pt idx="11">
                  <c:v>0.44186046511627902</c:v>
                </c:pt>
                <c:pt idx="12">
                  <c:v>0.58139534883720922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84-4B46-BC3A-B19EA68C1B98}"/>
            </c:ext>
          </c:extLst>
        </c:ser>
        <c:ser>
          <c:idx val="3"/>
          <c:order val="3"/>
          <c:tx>
            <c:strRef>
              <c:f>IPATINGA!$P$1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IPATINGA!$P$2:$P$15</c:f>
              <c:numCache>
                <c:formatCode>0.00</c:formatCode>
                <c:ptCount val="14"/>
                <c:pt idx="0">
                  <c:v>4.2372881355932203E-3</c:v>
                </c:pt>
                <c:pt idx="1">
                  <c:v>2.1186440677966101E-2</c:v>
                </c:pt>
                <c:pt idx="2">
                  <c:v>7.2033898305084748E-2</c:v>
                </c:pt>
                <c:pt idx="3">
                  <c:v>7.6271186440677971E-2</c:v>
                </c:pt>
                <c:pt idx="4">
                  <c:v>8.4745762711864417E-2</c:v>
                </c:pt>
                <c:pt idx="5">
                  <c:v>9.7457627118644086E-2</c:v>
                </c:pt>
                <c:pt idx="6">
                  <c:v>0.10593220338983053</c:v>
                </c:pt>
                <c:pt idx="7">
                  <c:v>0.11016949152542375</c:v>
                </c:pt>
                <c:pt idx="8">
                  <c:v>0.13559322033898308</c:v>
                </c:pt>
                <c:pt idx="9">
                  <c:v>0.15677966101694918</c:v>
                </c:pt>
                <c:pt idx="10">
                  <c:v>0.26271186440677968</c:v>
                </c:pt>
                <c:pt idx="11">
                  <c:v>0.44491525423728817</c:v>
                </c:pt>
                <c:pt idx="12">
                  <c:v>0.63983050847457634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84-4B46-BC3A-B19EA68C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44256"/>
        <c:axId val="304332256"/>
      </c:scatterChart>
      <c:valAx>
        <c:axId val="304344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32256"/>
        <c:crosses val="autoZero"/>
        <c:crossBetween val="midCat"/>
      </c:valAx>
      <c:valAx>
        <c:axId val="30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4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62204</xdr:colOff>
      <xdr:row>0</xdr:row>
      <xdr:rowOff>24104</xdr:rowOff>
    </xdr:from>
    <xdr:to>
      <xdr:col>23</xdr:col>
      <xdr:colOff>388776</xdr:colOff>
      <xdr:row>13</xdr:row>
      <xdr:rowOff>61426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137C068-E14C-3F6C-55DF-8D7A55114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69978</xdr:colOff>
      <xdr:row>13</xdr:row>
      <xdr:rowOff>125185</xdr:rowOff>
    </xdr:from>
    <xdr:to>
      <xdr:col>23</xdr:col>
      <xdr:colOff>396550</xdr:colOff>
      <xdr:row>27</xdr:row>
      <xdr:rowOff>76977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5C70344-A59E-5B42-E7C1-62EC09F52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57150</xdr:rowOff>
    </xdr:from>
    <xdr:to>
      <xdr:col>23</xdr:col>
      <xdr:colOff>396240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05791BD-0D5B-03C5-00F9-1B072D4F3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3810</xdr:rowOff>
    </xdr:from>
    <xdr:to>
      <xdr:col>23</xdr:col>
      <xdr:colOff>411480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AA0D87B-A788-8C9B-A927-32A74FE5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80010</xdr:rowOff>
    </xdr:from>
    <xdr:to>
      <xdr:col>23</xdr:col>
      <xdr:colOff>381000</xdr:colOff>
      <xdr:row>13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E04CF4-2D28-8D64-6CFB-2A7BB3F25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34290</xdr:rowOff>
    </xdr:from>
    <xdr:to>
      <xdr:col>23</xdr:col>
      <xdr:colOff>403860</xdr:colOff>
      <xdr:row>28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64B7D-525D-FF6B-DA92-563BEADF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8305-624C-4F6B-83AB-8F375FA5A787}">
  <dimension ref="A1:P31"/>
  <sheetViews>
    <sheetView zoomScale="98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12</v>
      </c>
      <c r="B2" s="9">
        <v>2.3684929901979929E-2</v>
      </c>
      <c r="C2" s="9">
        <v>2.8985507246376812E-2</v>
      </c>
      <c r="D2" s="9">
        <v>8.1967213114754103E-3</v>
      </c>
      <c r="E2" s="9">
        <v>6.3291139240506333E-2</v>
      </c>
      <c r="F2" s="9">
        <v>0.05</v>
      </c>
      <c r="G2" s="9">
        <v>3.9267015706806283E-2</v>
      </c>
      <c r="H2" s="9">
        <v>2.6923076923076925E-2</v>
      </c>
      <c r="I2" s="9">
        <v>2.3684929901979929E-2</v>
      </c>
      <c r="J2" s="9">
        <v>2.3684929901979929E-2</v>
      </c>
      <c r="K2" s="9">
        <v>2.8985507246376812E-2</v>
      </c>
      <c r="L2" s="9">
        <v>8.1967213114754103E-3</v>
      </c>
      <c r="M2" s="9">
        <v>6.3291139240506333E-2</v>
      </c>
      <c r="N2" s="9">
        <v>0.05</v>
      </c>
      <c r="O2" s="9">
        <v>3.9267015706806283E-2</v>
      </c>
      <c r="P2" s="9">
        <v>2.6923076923076925E-2</v>
      </c>
    </row>
    <row r="3" spans="1:16" x14ac:dyDescent="0.3">
      <c r="A3" s="9" t="s">
        <v>2</v>
      </c>
      <c r="B3" s="9">
        <v>2.6276994571796775E-2</v>
      </c>
      <c r="C3" s="9">
        <v>0.10144927536231885</v>
      </c>
      <c r="D3" s="9">
        <v>1.6393442622950821E-2</v>
      </c>
      <c r="E3" s="9">
        <v>5.0632911392405063E-2</v>
      </c>
      <c r="F3" s="9">
        <v>3.0769230769230771E-2</v>
      </c>
      <c r="G3" s="9">
        <v>3.4031413612565446E-2</v>
      </c>
      <c r="H3" s="9">
        <v>0.05</v>
      </c>
      <c r="I3" s="9">
        <v>4.9961924473776703E-2</v>
      </c>
      <c r="J3" s="9">
        <f>J2+B3</f>
        <v>4.9961924473776703E-2</v>
      </c>
      <c r="K3" s="9">
        <f t="shared" ref="K3:P14" si="0">K2+C3</f>
        <v>0.13043478260869565</v>
      </c>
      <c r="L3" s="9">
        <f t="shared" si="0"/>
        <v>2.4590163934426229E-2</v>
      </c>
      <c r="M3" s="9">
        <f t="shared" si="0"/>
        <v>0.11392405063291139</v>
      </c>
      <c r="N3" s="9">
        <f t="shared" si="0"/>
        <v>8.0769230769230774E-2</v>
      </c>
      <c r="O3" s="9">
        <f t="shared" si="0"/>
        <v>7.3298429319371722E-2</v>
      </c>
      <c r="P3" s="9">
        <f t="shared" si="0"/>
        <v>7.6923076923076927E-2</v>
      </c>
    </row>
    <row r="4" spans="1:16" x14ac:dyDescent="0.3">
      <c r="A4" s="9" t="s">
        <v>8</v>
      </c>
      <c r="B4" s="9">
        <v>2.7687741633147186E-2</v>
      </c>
      <c r="C4" s="9">
        <v>7.9710144927536225E-2</v>
      </c>
      <c r="D4" s="9">
        <v>0</v>
      </c>
      <c r="E4" s="9">
        <v>5.0632911392405063E-2</v>
      </c>
      <c r="F4" s="9">
        <v>3.4615384615384617E-2</v>
      </c>
      <c r="G4" s="9">
        <v>3.4031413612565446E-2</v>
      </c>
      <c r="H4" s="9">
        <v>2.3076923076923078E-2</v>
      </c>
      <c r="I4" s="9">
        <v>7.7649666106923892E-2</v>
      </c>
      <c r="J4" s="9">
        <f t="shared" ref="J4:J14" si="1">J3+B4</f>
        <v>7.7649666106923892E-2</v>
      </c>
      <c r="K4" s="9">
        <f t="shared" si="0"/>
        <v>0.21014492753623187</v>
      </c>
      <c r="L4" s="9">
        <f t="shared" si="0"/>
        <v>2.4590163934426229E-2</v>
      </c>
      <c r="M4" s="9">
        <f t="shared" si="0"/>
        <v>0.16455696202531644</v>
      </c>
      <c r="N4" s="9">
        <f t="shared" si="0"/>
        <v>0.11538461538461539</v>
      </c>
      <c r="O4" s="9">
        <f t="shared" si="0"/>
        <v>0.10732984293193717</v>
      </c>
      <c r="P4" s="9">
        <f t="shared" si="0"/>
        <v>0.1</v>
      </c>
    </row>
    <row r="5" spans="1:16" x14ac:dyDescent="0.3">
      <c r="A5" s="9" t="s">
        <v>11</v>
      </c>
      <c r="B5" s="9">
        <v>3.15343460772445E-2</v>
      </c>
      <c r="C5" s="9">
        <v>3.6231884057971016E-2</v>
      </c>
      <c r="D5" s="9">
        <v>4.9180327868852458E-2</v>
      </c>
      <c r="E5" s="9">
        <v>5.6962025316455694E-2</v>
      </c>
      <c r="F5" s="9">
        <v>0.05</v>
      </c>
      <c r="G5" s="9">
        <v>2.8795811518324606E-2</v>
      </c>
      <c r="H5" s="9">
        <v>3.8461538461538464E-3</v>
      </c>
      <c r="I5" s="9">
        <v>0.1091840121841684</v>
      </c>
      <c r="J5" s="9">
        <f t="shared" si="1"/>
        <v>0.1091840121841684</v>
      </c>
      <c r="K5" s="9">
        <f t="shared" si="0"/>
        <v>0.24637681159420288</v>
      </c>
      <c r="L5" s="9">
        <f t="shared" si="0"/>
        <v>7.3770491803278687E-2</v>
      </c>
      <c r="M5" s="9">
        <f t="shared" si="0"/>
        <v>0.22151898734177214</v>
      </c>
      <c r="N5" s="9">
        <f t="shared" si="0"/>
        <v>0.16538461538461541</v>
      </c>
      <c r="O5" s="9">
        <f t="shared" si="0"/>
        <v>0.13612565445026178</v>
      </c>
      <c r="P5" s="9">
        <f t="shared" si="0"/>
        <v>0.10384615384615385</v>
      </c>
    </row>
    <row r="6" spans="1:16" x14ac:dyDescent="0.3">
      <c r="A6" s="9" t="s">
        <v>9</v>
      </c>
      <c r="B6" s="9">
        <v>3.2691256297106258E-2</v>
      </c>
      <c r="C6" s="9">
        <v>7.246376811594203E-3</v>
      </c>
      <c r="D6" s="9">
        <v>0</v>
      </c>
      <c r="E6" s="9">
        <v>3.1645569620253164E-3</v>
      </c>
      <c r="F6" s="9">
        <v>1.7307692307692309E-2</v>
      </c>
      <c r="G6" s="9">
        <v>2.356020942408377E-2</v>
      </c>
      <c r="H6" s="9">
        <v>3.0769230769230771E-2</v>
      </c>
      <c r="I6" s="9">
        <v>0.14187526848127466</v>
      </c>
      <c r="J6" s="9">
        <f t="shared" si="1"/>
        <v>0.14187526848127466</v>
      </c>
      <c r="K6" s="9">
        <f t="shared" si="0"/>
        <v>0.25362318840579706</v>
      </c>
      <c r="L6" s="9">
        <f t="shared" si="0"/>
        <v>7.3770491803278687E-2</v>
      </c>
      <c r="M6" s="9">
        <f t="shared" si="0"/>
        <v>0.22468354430379744</v>
      </c>
      <c r="N6" s="9">
        <f t="shared" si="0"/>
        <v>0.18269230769230771</v>
      </c>
      <c r="O6" s="9">
        <f t="shared" si="0"/>
        <v>0.15968586387434555</v>
      </c>
      <c r="P6" s="9">
        <f t="shared" si="0"/>
        <v>0.13461538461538464</v>
      </c>
    </row>
    <row r="7" spans="1:16" x14ac:dyDescent="0.3">
      <c r="A7" s="9" t="s">
        <v>3</v>
      </c>
      <c r="B7" s="9">
        <v>3.4053188581247312E-2</v>
      </c>
      <c r="C7" s="9">
        <v>3.6231884057971016E-2</v>
      </c>
      <c r="D7" s="9">
        <v>3.2786885245901641E-2</v>
      </c>
      <c r="E7" s="9">
        <v>3.1645569620253167E-2</v>
      </c>
      <c r="F7" s="9">
        <v>5.5769230769230772E-2</v>
      </c>
      <c r="G7" s="9">
        <v>3.1413612565445025E-2</v>
      </c>
      <c r="H7" s="9">
        <v>7.6923076923076927E-3</v>
      </c>
      <c r="I7" s="9">
        <v>0.17592845706252197</v>
      </c>
      <c r="J7" s="9">
        <f t="shared" si="1"/>
        <v>0.17592845706252197</v>
      </c>
      <c r="K7" s="9">
        <f t="shared" si="0"/>
        <v>0.28985507246376807</v>
      </c>
      <c r="L7" s="9">
        <f t="shared" si="0"/>
        <v>0.10655737704918034</v>
      </c>
      <c r="M7" s="9">
        <f t="shared" si="0"/>
        <v>0.25632911392405061</v>
      </c>
      <c r="N7" s="9">
        <f t="shared" si="0"/>
        <v>0.23846153846153847</v>
      </c>
      <c r="O7" s="9">
        <f t="shared" si="0"/>
        <v>0.19109947643979058</v>
      </c>
      <c r="P7" s="9">
        <f t="shared" si="0"/>
        <v>0.14230769230769233</v>
      </c>
    </row>
    <row r="8" spans="1:16" x14ac:dyDescent="0.3">
      <c r="A8" s="9" t="s">
        <v>7</v>
      </c>
      <c r="B8" s="9">
        <v>3.5742179872691064E-2</v>
      </c>
      <c r="C8" s="9">
        <v>7.246376811594203E-3</v>
      </c>
      <c r="D8" s="9">
        <v>8.1967213114754103E-3</v>
      </c>
      <c r="E8" s="9">
        <v>2.8481012658227847E-2</v>
      </c>
      <c r="F8" s="9">
        <v>3.0769230769230771E-2</v>
      </c>
      <c r="G8" s="9">
        <v>5.4973821989528798E-2</v>
      </c>
      <c r="H8" s="9">
        <v>1.9230769230769232E-2</v>
      </c>
      <c r="I8" s="9">
        <v>0.21167063693521304</v>
      </c>
      <c r="J8" s="9">
        <f t="shared" si="1"/>
        <v>0.21167063693521304</v>
      </c>
      <c r="K8" s="9">
        <f t="shared" si="0"/>
        <v>0.29710144927536225</v>
      </c>
      <c r="L8" s="9">
        <f t="shared" si="0"/>
        <v>0.11475409836065574</v>
      </c>
      <c r="M8" s="9">
        <f t="shared" si="0"/>
        <v>0.28481012658227844</v>
      </c>
      <c r="N8" s="9">
        <f t="shared" si="0"/>
        <v>0.26923076923076927</v>
      </c>
      <c r="O8" s="9">
        <f t="shared" si="0"/>
        <v>0.24607329842931938</v>
      </c>
      <c r="P8" s="9">
        <f t="shared" si="0"/>
        <v>0.16153846153846158</v>
      </c>
    </row>
    <row r="9" spans="1:16" x14ac:dyDescent="0.3">
      <c r="A9" s="9" t="s">
        <v>6</v>
      </c>
      <c r="B9" s="9">
        <v>4.0086695044323821E-2</v>
      </c>
      <c r="C9" s="9">
        <v>2.8985507246376812E-2</v>
      </c>
      <c r="D9" s="9">
        <v>4.9180327868852458E-2</v>
      </c>
      <c r="E9" s="9">
        <v>6.3291139240506333E-2</v>
      </c>
      <c r="F9" s="9">
        <v>4.0384615384615387E-2</v>
      </c>
      <c r="G9" s="9">
        <v>4.4502617801047119E-2</v>
      </c>
      <c r="H9" s="9">
        <v>4.230769230769231E-2</v>
      </c>
      <c r="I9" s="9">
        <v>0.25175733197953687</v>
      </c>
      <c r="J9" s="9">
        <f t="shared" si="1"/>
        <v>0.25175733197953687</v>
      </c>
      <c r="K9" s="9">
        <f t="shared" si="0"/>
        <v>0.32608695652173908</v>
      </c>
      <c r="L9" s="9">
        <f t="shared" si="0"/>
        <v>0.16393442622950821</v>
      </c>
      <c r="M9" s="9">
        <f t="shared" si="0"/>
        <v>0.34810126582278478</v>
      </c>
      <c r="N9" s="9">
        <f t="shared" si="0"/>
        <v>0.30961538461538468</v>
      </c>
      <c r="O9" s="9">
        <f t="shared" si="0"/>
        <v>0.29057591623036649</v>
      </c>
      <c r="P9" s="9">
        <f t="shared" si="0"/>
        <v>0.2038461538461539</v>
      </c>
    </row>
    <row r="10" spans="1:16" x14ac:dyDescent="0.3">
      <c r="A10" s="9" t="s">
        <v>5</v>
      </c>
      <c r="B10" s="9">
        <v>4.311321123130394E-2</v>
      </c>
      <c r="C10" s="9">
        <v>7.2463768115942032E-2</v>
      </c>
      <c r="D10" s="9">
        <v>1.6393442622950821E-2</v>
      </c>
      <c r="E10" s="9">
        <v>4.746835443037975E-2</v>
      </c>
      <c r="F10" s="9">
        <v>5.9615384615384619E-2</v>
      </c>
      <c r="G10" s="9">
        <v>4.712041884816754E-2</v>
      </c>
      <c r="H10" s="9">
        <v>8.461538461538462E-2</v>
      </c>
      <c r="I10" s="9">
        <v>0.29487054321084083</v>
      </c>
      <c r="J10" s="9">
        <f t="shared" si="1"/>
        <v>0.29487054321084083</v>
      </c>
      <c r="K10" s="9">
        <f t="shared" si="0"/>
        <v>0.3985507246376811</v>
      </c>
      <c r="L10" s="9">
        <f t="shared" si="0"/>
        <v>0.18032786885245902</v>
      </c>
      <c r="M10" s="9">
        <f t="shared" si="0"/>
        <v>0.39556962025316456</v>
      </c>
      <c r="N10" s="9">
        <f t="shared" si="0"/>
        <v>0.36923076923076931</v>
      </c>
      <c r="O10" s="9">
        <f t="shared" si="0"/>
        <v>0.33769633507853403</v>
      </c>
      <c r="P10" s="9">
        <f t="shared" si="0"/>
        <v>0.28846153846153855</v>
      </c>
    </row>
    <row r="11" spans="1:16" x14ac:dyDescent="0.3">
      <c r="A11" s="9" t="s">
        <v>10</v>
      </c>
      <c r="B11" s="9">
        <v>6.108681219978912E-2</v>
      </c>
      <c r="C11" s="9">
        <v>5.7971014492753624E-2</v>
      </c>
      <c r="D11" s="9">
        <v>8.1967213114754103E-3</v>
      </c>
      <c r="E11" s="9">
        <v>0.15822784810126583</v>
      </c>
      <c r="F11" s="9">
        <v>9.4230769230769229E-2</v>
      </c>
      <c r="G11" s="9">
        <v>6.2827225130890049E-2</v>
      </c>
      <c r="H11" s="9">
        <v>6.9230769230769235E-2</v>
      </c>
      <c r="I11" s="9">
        <v>0.35595735541062995</v>
      </c>
      <c r="J11" s="9">
        <f t="shared" si="1"/>
        <v>0.35595735541062995</v>
      </c>
      <c r="K11" s="9">
        <f t="shared" si="0"/>
        <v>0.4565217391304347</v>
      </c>
      <c r="L11" s="9">
        <f t="shared" si="0"/>
        <v>0.18852459016393444</v>
      </c>
      <c r="M11" s="9">
        <f t="shared" si="0"/>
        <v>0.55379746835443044</v>
      </c>
      <c r="N11" s="9">
        <f t="shared" si="0"/>
        <v>0.46346153846153854</v>
      </c>
      <c r="O11" s="9">
        <f t="shared" si="0"/>
        <v>0.40052356020942409</v>
      </c>
      <c r="P11" s="9">
        <f t="shared" si="0"/>
        <v>0.35769230769230775</v>
      </c>
    </row>
    <row r="12" spans="1:16" x14ac:dyDescent="0.3">
      <c r="A12" s="9" t="s">
        <v>1</v>
      </c>
      <c r="B12" s="9">
        <v>7.2206818448080606E-2</v>
      </c>
      <c r="C12" s="9">
        <v>5.0724637681159424E-2</v>
      </c>
      <c r="D12" s="9">
        <v>3.2786885245901641E-2</v>
      </c>
      <c r="E12" s="9">
        <v>3.1645569620253164E-3</v>
      </c>
      <c r="F12" s="9">
        <v>1.9230769230769232E-2</v>
      </c>
      <c r="G12" s="9">
        <v>7.8534031413612565E-2</v>
      </c>
      <c r="H12" s="9">
        <v>6.5384615384615388E-2</v>
      </c>
      <c r="I12" s="9">
        <v>0.42816417385871053</v>
      </c>
      <c r="J12" s="9">
        <f t="shared" si="1"/>
        <v>0.42816417385871053</v>
      </c>
      <c r="K12" s="9">
        <f t="shared" si="0"/>
        <v>0.50724637681159412</v>
      </c>
      <c r="L12" s="9">
        <f t="shared" si="0"/>
        <v>0.22131147540983609</v>
      </c>
      <c r="M12" s="9">
        <f t="shared" si="0"/>
        <v>0.55696202531645578</v>
      </c>
      <c r="N12" s="9">
        <f t="shared" si="0"/>
        <v>0.48269230769230775</v>
      </c>
      <c r="O12" s="9">
        <f t="shared" si="0"/>
        <v>0.47905759162303663</v>
      </c>
      <c r="P12" s="9">
        <f t="shared" si="0"/>
        <v>0.42307692307692313</v>
      </c>
    </row>
    <row r="13" spans="1:16" x14ac:dyDescent="0.3">
      <c r="A13" s="9" t="s">
        <v>4</v>
      </c>
      <c r="B13" s="9">
        <v>0.11725309485687507</v>
      </c>
      <c r="C13" s="9">
        <v>0.10144927536231885</v>
      </c>
      <c r="D13" s="9">
        <v>5.737704918032787E-2</v>
      </c>
      <c r="E13" s="9">
        <v>6.6455696202531639E-2</v>
      </c>
      <c r="F13" s="9">
        <v>7.8846153846153844E-2</v>
      </c>
      <c r="G13" s="9">
        <v>4.9738219895287955E-2</v>
      </c>
      <c r="H13" s="9">
        <v>0.15769230769230769</v>
      </c>
      <c r="I13" s="9">
        <v>0.5454172687155856</v>
      </c>
      <c r="J13" s="9">
        <f t="shared" si="1"/>
        <v>0.5454172687155856</v>
      </c>
      <c r="K13" s="9">
        <f t="shared" si="0"/>
        <v>0.60869565217391297</v>
      </c>
      <c r="L13" s="9">
        <f t="shared" si="0"/>
        <v>0.27868852459016397</v>
      </c>
      <c r="M13" s="9">
        <f t="shared" si="0"/>
        <v>0.62341772151898744</v>
      </c>
      <c r="N13" s="9">
        <f t="shared" si="0"/>
        <v>0.56153846153846154</v>
      </c>
      <c r="O13" s="9">
        <f t="shared" si="0"/>
        <v>0.52879581151832455</v>
      </c>
      <c r="P13" s="9">
        <f t="shared" si="0"/>
        <v>0.58076923076923082</v>
      </c>
    </row>
    <row r="14" spans="1:16" x14ac:dyDescent="0.3">
      <c r="A14" s="9" t="s">
        <v>0</v>
      </c>
      <c r="B14" s="9">
        <v>0.4545827312844144</v>
      </c>
      <c r="C14" s="9">
        <v>0.39130434782608697</v>
      </c>
      <c r="D14" s="9">
        <v>0.72131147540983609</v>
      </c>
      <c r="E14" s="9">
        <v>0.37658227848101267</v>
      </c>
      <c r="F14" s="9">
        <v>0.43846153846153846</v>
      </c>
      <c r="G14" s="9">
        <v>0.47120418848167539</v>
      </c>
      <c r="H14" s="9">
        <v>0.41923076923076924</v>
      </c>
      <c r="I14" s="9">
        <v>1</v>
      </c>
      <c r="J14" s="9">
        <f t="shared" si="1"/>
        <v>1</v>
      </c>
      <c r="K14" s="9">
        <f t="shared" si="0"/>
        <v>1</v>
      </c>
      <c r="L14" s="9">
        <f t="shared" si="0"/>
        <v>1</v>
      </c>
      <c r="M14" s="9">
        <f t="shared" si="0"/>
        <v>1</v>
      </c>
      <c r="N14" s="9">
        <f t="shared" si="0"/>
        <v>1</v>
      </c>
      <c r="O14" s="9">
        <f t="shared" si="0"/>
        <v>1</v>
      </c>
      <c r="P14" s="9">
        <f t="shared" si="0"/>
        <v>1</v>
      </c>
    </row>
    <row r="16" spans="1:16" ht="28.8" x14ac:dyDescent="0.3">
      <c r="B16" s="11" t="s">
        <v>35</v>
      </c>
      <c r="C16" s="12" t="s">
        <v>43</v>
      </c>
      <c r="D16" s="12" t="s">
        <v>44</v>
      </c>
      <c r="E16" s="12" t="s">
        <v>45</v>
      </c>
      <c r="F16" s="12" t="s">
        <v>46</v>
      </c>
      <c r="G16" s="12" t="s">
        <v>47</v>
      </c>
      <c r="H16" s="12" t="s">
        <v>48</v>
      </c>
      <c r="J16" s="8"/>
      <c r="K16" s="13" t="s">
        <v>49</v>
      </c>
      <c r="L16" s="13" t="s">
        <v>50</v>
      </c>
      <c r="M16" s="13" t="s">
        <v>51</v>
      </c>
      <c r="N16" s="13" t="s">
        <v>52</v>
      </c>
      <c r="O16" s="13" t="s">
        <v>53</v>
      </c>
      <c r="P16" s="13" t="s">
        <v>54</v>
      </c>
    </row>
    <row r="17" spans="2:16" x14ac:dyDescent="0.3">
      <c r="B17" s="9" t="s">
        <v>12</v>
      </c>
      <c r="C17" s="9">
        <f>C2-B2</f>
        <v>5.3005773443968833E-3</v>
      </c>
      <c r="D17" s="9">
        <f>D2-B2</f>
        <v>-1.5488208590504518E-2</v>
      </c>
      <c r="E17" s="9">
        <f>E2-B2</f>
        <v>3.9606209338526405E-2</v>
      </c>
      <c r="F17" s="9">
        <f>F2-B2</f>
        <v>2.6315070098020074E-2</v>
      </c>
      <c r="G17" s="9">
        <f>G2-B2</f>
        <v>1.5582085804826354E-2</v>
      </c>
      <c r="H17" s="9">
        <f>H2-B2</f>
        <v>3.2381470210969959E-3</v>
      </c>
      <c r="J17" s="9" t="s">
        <v>12</v>
      </c>
      <c r="K17" s="8">
        <f>($J2-0) * ((K2+0))</f>
        <v>6.8651970730376603E-4</v>
      </c>
      <c r="L17" s="8">
        <f t="shared" ref="L17:P17" si="2">($J2-0) * ((L2+0))</f>
        <v>1.9413876968836009E-4</v>
      </c>
      <c r="M17" s="8">
        <f t="shared" si="2"/>
        <v>1.4990461963278437E-3</v>
      </c>
      <c r="N17" s="8">
        <f t="shared" si="2"/>
        <v>1.1842464950989964E-3</v>
      </c>
      <c r="O17" s="8">
        <f t="shared" si="2"/>
        <v>9.3003651447565161E-4</v>
      </c>
      <c r="P17" s="8">
        <f t="shared" si="2"/>
        <v>6.3767118966869039E-4</v>
      </c>
    </row>
    <row r="18" spans="2:16" x14ac:dyDescent="0.3">
      <c r="B18" s="9" t="s">
        <v>2</v>
      </c>
      <c r="C18" s="9">
        <f t="shared" ref="C18:C29" si="3">C3-B3</f>
        <v>7.5172280790522072E-2</v>
      </c>
      <c r="D18" s="9">
        <f t="shared" ref="D18:D29" si="4">D3-B3</f>
        <v>-9.883551948845954E-3</v>
      </c>
      <c r="E18" s="9">
        <f t="shared" ref="E18:E29" si="5">E3-B3</f>
        <v>2.4355916820608288E-2</v>
      </c>
      <c r="F18" s="9">
        <f t="shared" ref="F18:F29" si="6">F3-B3</f>
        <v>4.4922361974339964E-3</v>
      </c>
      <c r="G18" s="9">
        <f t="shared" ref="G18:G29" si="7">G3-B3</f>
        <v>7.7544190407686717E-3</v>
      </c>
      <c r="H18" s="9">
        <f t="shared" ref="H18:H29" si="8">H3-B3</f>
        <v>2.3723005428203228E-2</v>
      </c>
      <c r="J18" s="9" t="s">
        <v>2</v>
      </c>
      <c r="K18" s="8">
        <f>($J3-$J2) * ((K3+K2))</f>
        <v>4.1890860911560071E-3</v>
      </c>
      <c r="L18" s="8">
        <f t="shared" ref="L18:P18" si="9">($J3-$J2) * ((L3+L2))</f>
        <v>8.6154080563268117E-4</v>
      </c>
      <c r="M18" s="8">
        <f t="shared" si="9"/>
        <v>4.6566825823437319E-3</v>
      </c>
      <c r="N18" s="8">
        <f t="shared" si="9"/>
        <v>3.4362223670811169E-3</v>
      </c>
      <c r="O18" s="8">
        <f t="shared" si="9"/>
        <v>2.9578815879247678E-3</v>
      </c>
      <c r="P18" s="8">
        <f t="shared" si="9"/>
        <v>2.7287648209173574E-3</v>
      </c>
    </row>
    <row r="19" spans="2:16" x14ac:dyDescent="0.3">
      <c r="B19" s="9" t="s">
        <v>8</v>
      </c>
      <c r="C19" s="9">
        <f t="shared" si="3"/>
        <v>5.2022403294389036E-2</v>
      </c>
      <c r="D19" s="9">
        <f t="shared" si="4"/>
        <v>-2.7687741633147186E-2</v>
      </c>
      <c r="E19" s="9">
        <f t="shared" si="5"/>
        <v>2.2945169759257877E-2</v>
      </c>
      <c r="F19" s="9">
        <f t="shared" si="6"/>
        <v>6.9276429822374315E-3</v>
      </c>
      <c r="G19" s="9">
        <f t="shared" si="7"/>
        <v>6.3436719794182604E-3</v>
      </c>
      <c r="H19" s="9">
        <f t="shared" si="8"/>
        <v>-4.6108185562241076E-3</v>
      </c>
      <c r="J19" s="9" t="s">
        <v>8</v>
      </c>
      <c r="K19" s="8">
        <f t="shared" ref="K19:P29" si="10">($J4-$J3) * ((K4+K3))</f>
        <v>9.4298830199849113E-3</v>
      </c>
      <c r="L19" s="8">
        <f t="shared" si="10"/>
        <v>1.3616922114662552E-3</v>
      </c>
      <c r="M19" s="8">
        <f t="shared" si="10"/>
        <v>7.7105103282182046E-3</v>
      </c>
      <c r="N19" s="8">
        <f t="shared" si="10"/>
        <v>5.4310570126557952E-3</v>
      </c>
      <c r="O19" s="8">
        <f t="shared" si="10"/>
        <v>5.0011889337360105E-3</v>
      </c>
      <c r="P19" s="8">
        <f t="shared" si="10"/>
        <v>4.8986004427875795E-3</v>
      </c>
    </row>
    <row r="20" spans="2:16" x14ac:dyDescent="0.3">
      <c r="B20" s="9" t="s">
        <v>11</v>
      </c>
      <c r="C20" s="9">
        <f t="shared" si="3"/>
        <v>4.6975379807265155E-3</v>
      </c>
      <c r="D20" s="9">
        <f t="shared" si="4"/>
        <v>1.7645981791607958E-2</v>
      </c>
      <c r="E20" s="9">
        <f t="shared" si="5"/>
        <v>2.5427679239211194E-2</v>
      </c>
      <c r="F20" s="9">
        <f t="shared" si="6"/>
        <v>1.8465653922755502E-2</v>
      </c>
      <c r="G20" s="9">
        <f t="shared" si="7"/>
        <v>-2.7385345589198938E-3</v>
      </c>
      <c r="H20" s="9">
        <f t="shared" si="8"/>
        <v>-2.7688192231090654E-2</v>
      </c>
      <c r="J20" s="9" t="s">
        <v>11</v>
      </c>
      <c r="K20" s="8">
        <f t="shared" si="10"/>
        <v>1.4396114513524665E-2</v>
      </c>
      <c r="L20" s="8">
        <f t="shared" si="10"/>
        <v>3.1017389584174927E-3</v>
      </c>
      <c r="M20" s="8">
        <f t="shared" si="10"/>
        <v>1.2174652599442498E-2</v>
      </c>
      <c r="N20" s="8">
        <f t="shared" si="10"/>
        <v>8.8538740909186505E-3</v>
      </c>
      <c r="O20" s="8">
        <f t="shared" si="10"/>
        <v>7.6772099088579559E-3</v>
      </c>
      <c r="P20" s="8">
        <f t="shared" si="10"/>
        <v>6.4281551618998421E-3</v>
      </c>
    </row>
    <row r="21" spans="2:16" x14ac:dyDescent="0.3">
      <c r="B21" s="9" t="s">
        <v>9</v>
      </c>
      <c r="C21" s="9">
        <f t="shared" si="3"/>
        <v>-2.5444879485512054E-2</v>
      </c>
      <c r="D21" s="9">
        <f t="shared" si="4"/>
        <v>-3.2691256297106258E-2</v>
      </c>
      <c r="E21" s="9">
        <f t="shared" si="5"/>
        <v>-2.9526699335080942E-2</v>
      </c>
      <c r="F21" s="9">
        <f t="shared" si="6"/>
        <v>-1.5383563989413949E-2</v>
      </c>
      <c r="G21" s="9">
        <f t="shared" si="7"/>
        <v>-9.1310468730224879E-3</v>
      </c>
      <c r="H21" s="9">
        <f t="shared" si="8"/>
        <v>-1.9220255278754872E-3</v>
      </c>
      <c r="J21" s="9" t="s">
        <v>9</v>
      </c>
      <c r="K21" s="8">
        <f t="shared" si="10"/>
        <v>1.6345628148553126E-2</v>
      </c>
      <c r="L21" s="8">
        <f t="shared" si="10"/>
        <v>4.8233001094091198E-3</v>
      </c>
      <c r="M21" s="8">
        <f t="shared" si="10"/>
        <v>1.458692132244298E-2</v>
      </c>
      <c r="N21" s="8">
        <f t="shared" si="10"/>
        <v>1.1379071903415833E-2</v>
      </c>
      <c r="O21" s="8">
        <f t="shared" si="10"/>
        <v>9.6704501611858829E-3</v>
      </c>
      <c r="P21" s="8">
        <f t="shared" si="10"/>
        <v>7.795607270848417E-3</v>
      </c>
    </row>
    <row r="22" spans="2:16" x14ac:dyDescent="0.3">
      <c r="B22" s="9" t="s">
        <v>3</v>
      </c>
      <c r="C22" s="9">
        <f t="shared" si="3"/>
        <v>2.1786954767237035E-3</v>
      </c>
      <c r="D22" s="9">
        <f t="shared" si="4"/>
        <v>-1.2663033353456712E-3</v>
      </c>
      <c r="E22" s="9">
        <f t="shared" si="5"/>
        <v>-2.4076189609941456E-3</v>
      </c>
      <c r="F22" s="9">
        <f t="shared" si="6"/>
        <v>2.171604218798346E-2</v>
      </c>
      <c r="G22" s="9">
        <f t="shared" si="7"/>
        <v>-2.6395760158022877E-3</v>
      </c>
      <c r="H22" s="9">
        <f t="shared" si="8"/>
        <v>-2.636088088893962E-2</v>
      </c>
      <c r="J22" s="9" t="s">
        <v>3</v>
      </c>
      <c r="K22" s="8">
        <f t="shared" si="10"/>
        <v>1.8507167707199627E-2</v>
      </c>
      <c r="L22" s="8">
        <f t="shared" si="10"/>
        <v>6.14073892448722E-3</v>
      </c>
      <c r="M22" s="8">
        <f t="shared" si="10"/>
        <v>1.638001476059997E-2</v>
      </c>
      <c r="N22" s="8">
        <f t="shared" si="10"/>
        <v>1.4341631344794542E-2</v>
      </c>
      <c r="O22" s="8">
        <f t="shared" si="10"/>
        <v>1.1945359345254291E-2</v>
      </c>
      <c r="P22" s="8">
        <f t="shared" si="10"/>
        <v>9.4301137609607948E-3</v>
      </c>
    </row>
    <row r="23" spans="2:16" x14ac:dyDescent="0.3">
      <c r="B23" s="9" t="s">
        <v>7</v>
      </c>
      <c r="C23" s="9">
        <f t="shared" si="3"/>
        <v>-2.849580306109686E-2</v>
      </c>
      <c r="D23" s="9">
        <f t="shared" si="4"/>
        <v>-2.7545458561215652E-2</v>
      </c>
      <c r="E23" s="9">
        <f t="shared" si="5"/>
        <v>-7.2611672144632169E-3</v>
      </c>
      <c r="F23" s="9">
        <f t="shared" si="6"/>
        <v>-4.9729491034602932E-3</v>
      </c>
      <c r="G23" s="9">
        <f t="shared" si="7"/>
        <v>1.9231642116837734E-2</v>
      </c>
      <c r="H23" s="9">
        <f t="shared" si="8"/>
        <v>-1.6511410641921832E-2</v>
      </c>
      <c r="J23" s="9" t="s">
        <v>7</v>
      </c>
      <c r="K23" s="8">
        <f t="shared" si="10"/>
        <v>2.0979105577449104E-2</v>
      </c>
      <c r="L23" s="8">
        <f t="shared" si="10"/>
        <v>7.9101545619890083E-3</v>
      </c>
      <c r="M23" s="8">
        <f t="shared" si="10"/>
        <v>1.934149607034865E-2</v>
      </c>
      <c r="N23" s="8">
        <f t="shared" si="10"/>
        <v>1.8146029781520086E-2</v>
      </c>
      <c r="O23" s="8">
        <f t="shared" si="10"/>
        <v>1.5625507954815206E-2</v>
      </c>
      <c r="P23" s="8">
        <f t="shared" si="10"/>
        <v>1.0860123884394595E-2</v>
      </c>
    </row>
    <row r="24" spans="2:16" x14ac:dyDescent="0.3">
      <c r="B24" s="9" t="s">
        <v>6</v>
      </c>
      <c r="C24" s="9">
        <f t="shared" si="3"/>
        <v>-1.1101187797947009E-2</v>
      </c>
      <c r="D24" s="9">
        <f t="shared" si="4"/>
        <v>9.0936328245286371E-3</v>
      </c>
      <c r="E24" s="9">
        <f t="shared" si="5"/>
        <v>2.3204444196182512E-2</v>
      </c>
      <c r="F24" s="9">
        <f t="shared" si="6"/>
        <v>2.9792034029156589E-4</v>
      </c>
      <c r="G24" s="9">
        <f t="shared" si="7"/>
        <v>4.4159227567232978E-3</v>
      </c>
      <c r="H24" s="9">
        <f t="shared" si="8"/>
        <v>2.2209972633684891E-3</v>
      </c>
      <c r="J24" s="9" t="s">
        <v>6</v>
      </c>
      <c r="K24" s="8">
        <f t="shared" si="10"/>
        <v>2.498156357834673E-2</v>
      </c>
      <c r="L24" s="8">
        <f t="shared" si="10"/>
        <v>1.1171701897598444E-2</v>
      </c>
      <c r="M24" s="8">
        <f t="shared" si="10"/>
        <v>2.5371325977420141E-2</v>
      </c>
      <c r="N24" s="8">
        <f t="shared" si="10"/>
        <v>2.3204029246810531E-2</v>
      </c>
      <c r="O24" s="8">
        <f t="shared" si="10"/>
        <v>2.1512493413838703E-2</v>
      </c>
      <c r="P24" s="8">
        <f t="shared" si="10"/>
        <v>1.4647061650810632E-2</v>
      </c>
    </row>
    <row r="25" spans="2:16" x14ac:dyDescent="0.3">
      <c r="B25" s="9" t="s">
        <v>5</v>
      </c>
      <c r="C25" s="9">
        <f t="shared" si="3"/>
        <v>2.9350556884638092E-2</v>
      </c>
      <c r="D25" s="9">
        <f t="shared" si="4"/>
        <v>-2.6719768608353119E-2</v>
      </c>
      <c r="E25" s="9">
        <f t="shared" si="5"/>
        <v>4.3551431990758102E-3</v>
      </c>
      <c r="F25" s="9">
        <f t="shared" si="6"/>
        <v>1.6502173384080679E-2</v>
      </c>
      <c r="G25" s="9">
        <f t="shared" si="7"/>
        <v>4.0072076168636006E-3</v>
      </c>
      <c r="H25" s="9">
        <f t="shared" si="8"/>
        <v>4.150217338408068E-2</v>
      </c>
      <c r="J25" s="9" t="s">
        <v>5</v>
      </c>
      <c r="K25" s="8">
        <f t="shared" si="10"/>
        <v>3.1241457413988372E-2</v>
      </c>
      <c r="L25" s="8">
        <f t="shared" si="10"/>
        <v>1.4842253046842349E-2</v>
      </c>
      <c r="M25" s="8">
        <f t="shared" si="10"/>
        <v>3.2062039997963386E-2</v>
      </c>
      <c r="N25" s="8">
        <f t="shared" si="10"/>
        <v>2.9267237624327501E-2</v>
      </c>
      <c r="O25" s="8">
        <f t="shared" si="10"/>
        <v>2.7086834281447515E-2</v>
      </c>
      <c r="P25" s="8">
        <f t="shared" si="10"/>
        <v>2.1224965529257341E-2</v>
      </c>
    </row>
    <row r="26" spans="2:16" x14ac:dyDescent="0.3">
      <c r="B26" s="9" t="s">
        <v>10</v>
      </c>
      <c r="C26" s="9">
        <f t="shared" si="3"/>
        <v>-3.1157977070354961E-3</v>
      </c>
      <c r="D26" s="9">
        <f t="shared" si="4"/>
        <v>-5.2890090888313708E-2</v>
      </c>
      <c r="E26" s="9">
        <f t="shared" si="5"/>
        <v>9.7141035901476713E-2</v>
      </c>
      <c r="F26" s="9">
        <f t="shared" si="6"/>
        <v>3.3143957030980109E-2</v>
      </c>
      <c r="G26" s="9">
        <f t="shared" si="7"/>
        <v>1.7404129311009292E-3</v>
      </c>
      <c r="H26" s="9">
        <f t="shared" si="8"/>
        <v>8.1439570309801146E-3</v>
      </c>
      <c r="J26" s="9" t="s">
        <v>10</v>
      </c>
      <c r="K26" s="8">
        <f t="shared" si="10"/>
        <v>5.2233651011413876E-2</v>
      </c>
      <c r="L26" s="8">
        <f t="shared" si="10"/>
        <v>2.253202089336484E-2</v>
      </c>
      <c r="M26" s="8">
        <f t="shared" si="10"/>
        <v>5.7993809050432714E-2</v>
      </c>
      <c r="N26" s="8">
        <f t="shared" si="10"/>
        <v>5.0866518620209029E-2</v>
      </c>
      <c r="O26" s="8">
        <f t="shared" si="10"/>
        <v>4.5095500105603488E-2</v>
      </c>
      <c r="P26" s="8">
        <f t="shared" si="10"/>
        <v>3.9471478652171439E-2</v>
      </c>
    </row>
    <row r="27" spans="2:16" x14ac:dyDescent="0.3">
      <c r="B27" s="9" t="s">
        <v>1</v>
      </c>
      <c r="C27" s="9">
        <f t="shared" si="3"/>
        <v>-2.1482180766921183E-2</v>
      </c>
      <c r="D27" s="9">
        <f t="shared" si="4"/>
        <v>-3.9419933202178965E-2</v>
      </c>
      <c r="E27" s="9">
        <f t="shared" si="5"/>
        <v>-6.9042261486055287E-2</v>
      </c>
      <c r="F27" s="9">
        <f t="shared" si="6"/>
        <v>-5.2976049217311375E-2</v>
      </c>
      <c r="G27" s="9">
        <f t="shared" si="7"/>
        <v>6.3272129655319587E-3</v>
      </c>
      <c r="H27" s="9">
        <f t="shared" si="8"/>
        <v>-6.8222030634652181E-3</v>
      </c>
      <c r="J27" s="9" t="s">
        <v>1</v>
      </c>
      <c r="K27" s="8">
        <f t="shared" si="10"/>
        <v>6.9590629373874752E-2</v>
      </c>
      <c r="L27" s="8">
        <f t="shared" si="10"/>
        <v>2.9592958380360895E-2</v>
      </c>
      <c r="M27" s="8">
        <f t="shared" si="10"/>
        <v>8.0204409098975596E-2</v>
      </c>
      <c r="N27" s="8">
        <f t="shared" si="10"/>
        <v>6.8318758993183945E-2</v>
      </c>
      <c r="O27" s="8">
        <f t="shared" si="10"/>
        <v>6.3511756540720096E-2</v>
      </c>
      <c r="P27" s="8">
        <f t="shared" si="10"/>
        <v>5.637686209600138E-2</v>
      </c>
    </row>
    <row r="28" spans="2:16" x14ac:dyDescent="0.3">
      <c r="B28" s="9" t="s">
        <v>4</v>
      </c>
      <c r="C28" s="9">
        <f t="shared" si="3"/>
        <v>-1.5803819494556226E-2</v>
      </c>
      <c r="D28" s="9">
        <f t="shared" si="4"/>
        <v>-5.9876045676547203E-2</v>
      </c>
      <c r="E28" s="9">
        <f t="shared" si="5"/>
        <v>-5.0797398654343434E-2</v>
      </c>
      <c r="F28" s="9">
        <f t="shared" si="6"/>
        <v>-3.8406941010721229E-2</v>
      </c>
      <c r="G28" s="9">
        <f t="shared" si="7"/>
        <v>-6.7514874961587118E-2</v>
      </c>
      <c r="H28" s="9">
        <f t="shared" si="8"/>
        <v>4.0439212835432614E-2</v>
      </c>
      <c r="J28" s="9" t="s">
        <v>4</v>
      </c>
      <c r="K28" s="8">
        <f t="shared" si="10"/>
        <v>0.1308476565794113</v>
      </c>
      <c r="L28" s="8">
        <f t="shared" si="10"/>
        <v>5.8626547428437537E-2</v>
      </c>
      <c r="M28" s="8">
        <f t="shared" si="10"/>
        <v>0.1384031784228304</v>
      </c>
      <c r="N28" s="8">
        <f t="shared" si="10"/>
        <v>0.12243928943708302</v>
      </c>
      <c r="O28" s="8">
        <f t="shared" si="10"/>
        <v>0.11817393068035836</v>
      </c>
      <c r="P28" s="8">
        <f t="shared" si="10"/>
        <v>0.11770406829863228</v>
      </c>
    </row>
    <row r="29" spans="2:16" x14ac:dyDescent="0.3">
      <c r="B29" s="9" t="s">
        <v>0</v>
      </c>
      <c r="C29" s="9">
        <f t="shared" si="3"/>
        <v>-6.3278383458327425E-2</v>
      </c>
      <c r="D29" s="9">
        <f t="shared" si="4"/>
        <v>0.26672874412542169</v>
      </c>
      <c r="E29" s="9">
        <f t="shared" si="5"/>
        <v>-7.8000452803401732E-2</v>
      </c>
      <c r="F29" s="9">
        <f t="shared" si="6"/>
        <v>-1.612119282287594E-2</v>
      </c>
      <c r="G29" s="9">
        <f t="shared" si="7"/>
        <v>1.6621457197260991E-2</v>
      </c>
      <c r="H29" s="9">
        <f t="shared" si="8"/>
        <v>-3.5351962053645158E-2</v>
      </c>
      <c r="J29" s="9" t="s">
        <v>0</v>
      </c>
      <c r="K29" s="8">
        <f t="shared" si="10"/>
        <v>0.73128526337057975</v>
      </c>
      <c r="L29" s="8">
        <f t="shared" si="10"/>
        <v>0.58126972197023485</v>
      </c>
      <c r="M29" s="8">
        <f t="shared" si="10"/>
        <v>0.73797766186362224</v>
      </c>
      <c r="N29" s="8">
        <f t="shared" si="10"/>
        <v>0.70984841885181638</v>
      </c>
      <c r="O29" s="8">
        <f t="shared" si="10"/>
        <v>0.69496417557617285</v>
      </c>
      <c r="P29" s="8">
        <f t="shared" si="10"/>
        <v>0.71859039445343975</v>
      </c>
    </row>
    <row r="30" spans="2:16" x14ac:dyDescent="0.3">
      <c r="J30" s="15" t="s">
        <v>55</v>
      </c>
      <c r="K30" s="13">
        <f>SUM(K17:K29)</f>
        <v>1.124713726092786</v>
      </c>
      <c r="L30" s="13">
        <f t="shared" ref="L30:P30" si="11">SUM(L17:L29)</f>
        <v>0.74242850795792914</v>
      </c>
      <c r="M30" s="13">
        <f t="shared" si="11"/>
        <v>1.1483617482709683</v>
      </c>
      <c r="N30" s="13">
        <f t="shared" si="11"/>
        <v>1.0667163857689155</v>
      </c>
      <c r="O30" s="13">
        <f t="shared" si="11"/>
        <v>1.0241523250043909</v>
      </c>
      <c r="P30" s="13">
        <f t="shared" si="11"/>
        <v>1.01079386721179</v>
      </c>
    </row>
    <row r="31" spans="2:16" x14ac:dyDescent="0.3">
      <c r="J31" s="16" t="s">
        <v>56</v>
      </c>
      <c r="K31" s="14">
        <f>1-K30</f>
        <v>-0.12471372609278597</v>
      </c>
      <c r="L31" s="14">
        <f t="shared" ref="L31:P31" si="12">1-L30</f>
        <v>0.25757149204207086</v>
      </c>
      <c r="M31" s="14">
        <f t="shared" si="12"/>
        <v>-0.14836174827096826</v>
      </c>
      <c r="N31" s="14">
        <f t="shared" si="12"/>
        <v>-6.6716385768915476E-2</v>
      </c>
      <c r="O31" s="14">
        <f t="shared" si="12"/>
        <v>-2.4152325004390907E-2</v>
      </c>
      <c r="P31" s="14">
        <f t="shared" si="12"/>
        <v>-1.0793867211789987E-2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937-283D-4B0A-9EF6-FF5197E3048E}">
  <dimension ref="A1:P21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15</v>
      </c>
      <c r="B2" s="9">
        <v>1.1506800056506608E-2</v>
      </c>
      <c r="C2" s="9">
        <v>1.1494252873563218E-2</v>
      </c>
      <c r="D2" s="9">
        <v>1.7857142857142856E-2</v>
      </c>
      <c r="E2" s="9">
        <v>2.4096385542168676E-2</v>
      </c>
      <c r="F2" s="9">
        <v>1.1111111111111112E-2</v>
      </c>
      <c r="G2" s="9">
        <v>4.0229885057471264E-2</v>
      </c>
      <c r="H2" s="9">
        <v>8.59375E-2</v>
      </c>
      <c r="I2" s="9">
        <v>1.1506800056506608E-2</v>
      </c>
      <c r="J2" s="9">
        <v>1.1506800056506608E-2</v>
      </c>
      <c r="K2" s="9">
        <v>1.1494252873563218E-2</v>
      </c>
      <c r="L2" s="9">
        <v>1.7857142857142856E-2</v>
      </c>
      <c r="M2" s="9">
        <v>2.4096385542168676E-2</v>
      </c>
      <c r="N2" s="9">
        <v>1.1111111111111112E-2</v>
      </c>
      <c r="O2" s="9">
        <v>4.0229885057471264E-2</v>
      </c>
      <c r="P2" s="9">
        <v>8.59375E-2</v>
      </c>
    </row>
    <row r="3" spans="1:16" x14ac:dyDescent="0.3">
      <c r="A3" s="9" t="s">
        <v>17</v>
      </c>
      <c r="B3" s="9">
        <v>1.3488812119811131E-2</v>
      </c>
      <c r="C3" s="9">
        <v>1.7241379310344827E-2</v>
      </c>
      <c r="D3" s="9">
        <v>5.3571428571428568E-2</v>
      </c>
      <c r="E3" s="9">
        <v>0</v>
      </c>
      <c r="F3" s="9">
        <v>0.14444444444444443</v>
      </c>
      <c r="G3" s="9">
        <v>2.2988505747126436E-2</v>
      </c>
      <c r="H3" s="9">
        <v>2.34375E-2</v>
      </c>
      <c r="I3" s="9">
        <v>2.4995612176317739E-2</v>
      </c>
      <c r="J3" s="9">
        <f t="shared" ref="J3:P9" si="0">J2+B3</f>
        <v>2.4995612176317739E-2</v>
      </c>
      <c r="K3" s="9">
        <f t="shared" si="0"/>
        <v>2.8735632183908046E-2</v>
      </c>
      <c r="L3" s="10">
        <f t="shared" si="0"/>
        <v>7.1428571428571425E-2</v>
      </c>
      <c r="M3" s="9">
        <f t="shared" si="0"/>
        <v>2.4096385542168676E-2</v>
      </c>
      <c r="N3" s="9">
        <f t="shared" si="0"/>
        <v>0.15555555555555553</v>
      </c>
      <c r="O3" s="9">
        <f t="shared" si="0"/>
        <v>6.3218390804597707E-2</v>
      </c>
      <c r="P3" s="9">
        <f t="shared" si="0"/>
        <v>0.109375</v>
      </c>
    </row>
    <row r="4" spans="1:16" x14ac:dyDescent="0.3">
      <c r="A4" s="9" t="s">
        <v>18</v>
      </c>
      <c r="B4" s="9">
        <v>1.725163847757501E-2</v>
      </c>
      <c r="C4" s="9">
        <v>3.4482758620689655E-2</v>
      </c>
      <c r="D4" s="9">
        <v>3.5714285714285712E-2</v>
      </c>
      <c r="E4" s="9">
        <v>6.0240963855421686E-2</v>
      </c>
      <c r="F4" s="9">
        <v>0.16111111111111112</v>
      </c>
      <c r="G4" s="9">
        <v>9.7701149425287362E-2</v>
      </c>
      <c r="H4" s="9">
        <v>2.34375E-2</v>
      </c>
      <c r="I4" s="9">
        <v>4.2247250653892746E-2</v>
      </c>
      <c r="J4" s="9">
        <f t="shared" si="0"/>
        <v>4.2247250653892746E-2</v>
      </c>
      <c r="K4" s="9">
        <f t="shared" si="0"/>
        <v>6.3218390804597707E-2</v>
      </c>
      <c r="L4" s="10">
        <f t="shared" si="0"/>
        <v>0.10714285714285714</v>
      </c>
      <c r="M4" s="9">
        <f t="shared" si="0"/>
        <v>8.4337349397590355E-2</v>
      </c>
      <c r="N4" s="9">
        <f t="shared" si="0"/>
        <v>0.31666666666666665</v>
      </c>
      <c r="O4" s="9">
        <f t="shared" si="0"/>
        <v>0.16091954022988508</v>
      </c>
      <c r="P4" s="9">
        <f t="shared" si="0"/>
        <v>0.1328125</v>
      </c>
    </row>
    <row r="5" spans="1:16" x14ac:dyDescent="0.3">
      <c r="A5" s="9" t="s">
        <v>19</v>
      </c>
      <c r="B5" s="9">
        <v>2.1528161266432935E-2</v>
      </c>
      <c r="C5" s="9">
        <v>3.4482758620689655E-2</v>
      </c>
      <c r="D5" s="9">
        <v>3.5714285714285712E-2</v>
      </c>
      <c r="E5" s="9">
        <v>2.4096385542168676E-2</v>
      </c>
      <c r="F5" s="9">
        <v>5.5555555555555558E-3</v>
      </c>
      <c r="G5" s="9">
        <v>1.7241379310344827E-2</v>
      </c>
      <c r="H5" s="9">
        <v>2.34375E-2</v>
      </c>
      <c r="I5" s="9">
        <v>6.3775411920325681E-2</v>
      </c>
      <c r="J5" s="9">
        <f t="shared" si="0"/>
        <v>6.3775411920325681E-2</v>
      </c>
      <c r="K5" s="9">
        <f t="shared" si="0"/>
        <v>9.7701149425287362E-2</v>
      </c>
      <c r="L5" s="10">
        <f t="shared" si="0"/>
        <v>0.14285714285714285</v>
      </c>
      <c r="M5" s="9">
        <f t="shared" si="0"/>
        <v>0.10843373493975902</v>
      </c>
      <c r="N5" s="9">
        <f t="shared" si="0"/>
        <v>0.32222222222222219</v>
      </c>
      <c r="O5" s="9">
        <f t="shared" si="0"/>
        <v>0.17816091954022992</v>
      </c>
      <c r="P5" s="9">
        <f t="shared" si="0"/>
        <v>0.15625</v>
      </c>
    </row>
    <row r="6" spans="1:16" x14ac:dyDescent="0.3">
      <c r="A6" s="9" t="s">
        <v>16</v>
      </c>
      <c r="B6" s="9">
        <v>3.207606131823066E-2</v>
      </c>
      <c r="C6" s="9">
        <v>4.5977011494252873E-2</v>
      </c>
      <c r="D6" s="9">
        <v>3.5714285714285712E-2</v>
      </c>
      <c r="E6" s="9">
        <v>0</v>
      </c>
      <c r="F6" s="9">
        <v>2.2222222222222223E-2</v>
      </c>
      <c r="G6" s="9">
        <v>2.8735632183908046E-2</v>
      </c>
      <c r="H6" s="9">
        <v>5.46875E-2</v>
      </c>
      <c r="I6" s="9">
        <v>9.5851473238556334E-2</v>
      </c>
      <c r="J6" s="9">
        <f t="shared" si="0"/>
        <v>9.5851473238556334E-2</v>
      </c>
      <c r="K6" s="9">
        <f t="shared" si="0"/>
        <v>0.14367816091954022</v>
      </c>
      <c r="L6" s="10">
        <f t="shared" si="0"/>
        <v>0.17857142857142855</v>
      </c>
      <c r="M6" s="9">
        <f t="shared" si="0"/>
        <v>0.10843373493975902</v>
      </c>
      <c r="N6" s="9">
        <f t="shared" si="0"/>
        <v>0.34444444444444439</v>
      </c>
      <c r="O6" s="9">
        <f t="shared" si="0"/>
        <v>0.20689655172413796</v>
      </c>
      <c r="P6" s="9">
        <f t="shared" si="0"/>
        <v>0.2109375</v>
      </c>
    </row>
    <row r="7" spans="1:16" x14ac:dyDescent="0.3">
      <c r="A7" s="9" t="s">
        <v>13</v>
      </c>
      <c r="B7" s="9">
        <v>3.952465956909431E-2</v>
      </c>
      <c r="C7" s="9">
        <v>6.3218390804597707E-2</v>
      </c>
      <c r="D7" s="9">
        <v>0</v>
      </c>
      <c r="E7" s="9">
        <v>3.614457831325301E-2</v>
      </c>
      <c r="F7" s="9">
        <v>5.5555555555555552E-2</v>
      </c>
      <c r="G7" s="9">
        <v>0.13218390804597702</v>
      </c>
      <c r="H7" s="9">
        <v>9.375E-2</v>
      </c>
      <c r="I7" s="9">
        <v>0.13537613280765065</v>
      </c>
      <c r="J7" s="9">
        <f t="shared" si="0"/>
        <v>0.13537613280765065</v>
      </c>
      <c r="K7" s="9">
        <f t="shared" si="0"/>
        <v>0.20689655172413793</v>
      </c>
      <c r="L7" s="10">
        <f t="shared" si="0"/>
        <v>0.17857142857142855</v>
      </c>
      <c r="M7" s="9">
        <f t="shared" si="0"/>
        <v>0.14457831325301204</v>
      </c>
      <c r="N7" s="9">
        <f t="shared" si="0"/>
        <v>0.39999999999999991</v>
      </c>
      <c r="O7" s="9">
        <f t="shared" si="0"/>
        <v>0.33908045977011497</v>
      </c>
      <c r="P7" s="9">
        <f t="shared" si="0"/>
        <v>0.3046875</v>
      </c>
    </row>
    <row r="8" spans="1:16" x14ac:dyDescent="0.3">
      <c r="A8" s="9" t="s">
        <v>20</v>
      </c>
      <c r="B8" s="9">
        <v>0.39070038227576082</v>
      </c>
      <c r="C8" s="9">
        <v>0.44827586206896552</v>
      </c>
      <c r="D8" s="9">
        <v>0.32142857142857145</v>
      </c>
      <c r="E8" s="9">
        <v>0.42168674698795183</v>
      </c>
      <c r="F8" s="9">
        <v>0.3</v>
      </c>
      <c r="G8" s="9">
        <v>0.25862068965517243</v>
      </c>
      <c r="H8" s="9">
        <v>0.3046875</v>
      </c>
      <c r="I8" s="9">
        <v>0.52607651508341147</v>
      </c>
      <c r="J8" s="9">
        <f t="shared" si="0"/>
        <v>0.52607651508341147</v>
      </c>
      <c r="K8" s="9">
        <f t="shared" si="0"/>
        <v>0.65517241379310343</v>
      </c>
      <c r="L8" s="10">
        <f t="shared" si="0"/>
        <v>0.5</v>
      </c>
      <c r="M8" s="9">
        <f t="shared" si="0"/>
        <v>0.5662650602409639</v>
      </c>
      <c r="N8" s="9">
        <f t="shared" si="0"/>
        <v>0.7</v>
      </c>
      <c r="O8" s="9">
        <f t="shared" si="0"/>
        <v>0.5977011494252874</v>
      </c>
      <c r="P8" s="9">
        <f t="shared" si="0"/>
        <v>0.609375</v>
      </c>
    </row>
    <row r="9" spans="1:16" x14ac:dyDescent="0.3">
      <c r="A9" s="9" t="s">
        <v>14</v>
      </c>
      <c r="B9" s="9">
        <v>0.47392348491658853</v>
      </c>
      <c r="C9" s="9">
        <v>0.34482758620689657</v>
      </c>
      <c r="D9" s="9">
        <v>0.5</v>
      </c>
      <c r="E9" s="9">
        <v>0.43373493975903615</v>
      </c>
      <c r="F9" s="9">
        <v>0.3</v>
      </c>
      <c r="G9" s="9">
        <v>0.40229885057471265</v>
      </c>
      <c r="H9" s="9">
        <v>0.390625</v>
      </c>
      <c r="I9" s="9"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1" t="s">
        <v>35</v>
      </c>
      <c r="C11" s="12" t="s">
        <v>43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J11" s="8"/>
      <c r="K11" s="13" t="s">
        <v>49</v>
      </c>
      <c r="L11" s="13" t="s">
        <v>50</v>
      </c>
      <c r="M11" s="13" t="s">
        <v>51</v>
      </c>
      <c r="N11" s="13" t="s">
        <v>52</v>
      </c>
      <c r="O11" s="13" t="s">
        <v>53</v>
      </c>
      <c r="P11" s="13" t="s">
        <v>54</v>
      </c>
    </row>
    <row r="12" spans="1:16" x14ac:dyDescent="0.3">
      <c r="B12" s="9" t="s">
        <v>15</v>
      </c>
      <c r="C12" s="9">
        <f>C2-B2</f>
        <v>-1.2547182943389509E-5</v>
      </c>
      <c r="D12" s="9">
        <f>D2-B2</f>
        <v>6.3503428006362484E-3</v>
      </c>
      <c r="E12" s="9">
        <f>E2-B2</f>
        <v>1.2589585485662068E-2</v>
      </c>
      <c r="F12" s="9">
        <f>F2-B2</f>
        <v>-3.9568894539549621E-4</v>
      </c>
      <c r="G12" s="9">
        <f>G2-B2</f>
        <v>2.8723085000964654E-2</v>
      </c>
      <c r="H12" s="9">
        <f>H2-B2</f>
        <v>7.4430699943493397E-2</v>
      </c>
      <c r="J12" s="9" t="s">
        <v>15</v>
      </c>
      <c r="K12" s="8">
        <f>(J2-0) * (K2+0)</f>
        <v>1.3226206961501849E-4</v>
      </c>
      <c r="L12" s="8">
        <f t="shared" ref="L12" si="1">(K2-0) * (L2+0)</f>
        <v>2.0525451559934318E-4</v>
      </c>
      <c r="M12" s="8">
        <f>(J2-0) * (M2+0)</f>
        <v>2.7727229051823155E-4</v>
      </c>
      <c r="N12" s="8">
        <f>(J2-0) * (N2+0)</f>
        <v>1.2785333396118454E-4</v>
      </c>
      <c r="O12" s="8">
        <f>(J2-0) * (O2+0)</f>
        <v>4.6291724365256468E-4</v>
      </c>
      <c r="P12" s="8">
        <f>(J2-0) * (P2+0)</f>
        <v>9.888656298560367E-4</v>
      </c>
    </row>
    <row r="13" spans="1:16" x14ac:dyDescent="0.3">
      <c r="B13" s="9" t="s">
        <v>17</v>
      </c>
      <c r="C13" s="9">
        <f t="shared" ref="C13:C19" si="2">C3-B3</f>
        <v>3.7525671905336965E-3</v>
      </c>
      <c r="D13" s="9">
        <f t="shared" ref="D13:D19" si="3">D3-B3</f>
        <v>4.0082616451617439E-2</v>
      </c>
      <c r="E13" s="9">
        <f t="shared" ref="E13:E19" si="4">E3-B3</f>
        <v>-1.3488812119811131E-2</v>
      </c>
      <c r="F13" s="9">
        <f t="shared" ref="F13:F19" si="5">F3-B3</f>
        <v>0.13095563232463331</v>
      </c>
      <c r="G13" s="9">
        <f t="shared" ref="G13:G19" si="6">G3-B3</f>
        <v>9.4996936273153056E-3</v>
      </c>
      <c r="H13" s="9">
        <f t="shared" ref="H13:H19" si="7">H3-B3</f>
        <v>9.9486878801888692E-3</v>
      </c>
      <c r="J13" s="9" t="s">
        <v>17</v>
      </c>
      <c r="K13" s="8">
        <f>(J3-J2) * (K3+K2)</f>
        <v>5.4265336114182709E-4</v>
      </c>
      <c r="L13" s="8">
        <f>(J3-J2) * (L3+L2)</f>
        <v>1.2043582249831365E-3</v>
      </c>
      <c r="M13" s="8">
        <f>(J3-J2) * (M3+M2)</f>
        <v>6.5006323468969312E-4</v>
      </c>
      <c r="N13" s="8">
        <f>(J3-J2) * (N3+N2)</f>
        <v>2.2481353533018548E-3</v>
      </c>
      <c r="O13" s="8">
        <f>(J3-J2) * (O3+O2)</f>
        <v>1.3953943572218412E-3</v>
      </c>
      <c r="P13" s="8">
        <f>(J3-J2) * (P3+P2)</f>
        <v>2.6345336171506115E-3</v>
      </c>
    </row>
    <row r="14" spans="1:16" x14ac:dyDescent="0.3">
      <c r="B14" s="9" t="s">
        <v>18</v>
      </c>
      <c r="C14" s="9">
        <f t="shared" si="2"/>
        <v>1.7231120143114644E-2</v>
      </c>
      <c r="D14" s="9">
        <f t="shared" si="3"/>
        <v>1.8462647236710702E-2</v>
      </c>
      <c r="E14" s="9">
        <f t="shared" si="4"/>
        <v>4.2989325377846679E-2</v>
      </c>
      <c r="F14" s="9">
        <f t="shared" si="5"/>
        <v>0.1438594726335361</v>
      </c>
      <c r="G14" s="9">
        <f t="shared" si="6"/>
        <v>8.0449510947712355E-2</v>
      </c>
      <c r="H14" s="9">
        <f t="shared" si="7"/>
        <v>6.1858615224249895E-3</v>
      </c>
      <c r="J14" s="9" t="s">
        <v>18</v>
      </c>
      <c r="K14" s="8">
        <f t="shared" ref="K14:K19" si="8">(J4-J3) * (K4+K3)</f>
        <v>1.5863575611563224E-3</v>
      </c>
      <c r="L14" s="8">
        <f t="shared" ref="L14:L19" si="9">(J4-J3) * (L4+L3)</f>
        <v>3.0806497281383937E-3</v>
      </c>
      <c r="M14" s="8">
        <f t="shared" ref="M14:M19" si="10">(J4-J3) * (M4+M3)</f>
        <v>1.8706595939539162E-3</v>
      </c>
      <c r="N14" s="8">
        <f t="shared" ref="N14:N19" si="11">(J4-J3) * (N4+N3)</f>
        <v>8.1466070588548638E-3</v>
      </c>
      <c r="O14" s="8">
        <f t="shared" ref="O14:O19" si="12">(J4-J3) * (O4+O3)</f>
        <v>3.8667465553185367E-3</v>
      </c>
      <c r="P14" s="8">
        <f t="shared" ref="P14:P19" si="13">(J4-J3) * (P4+P3)</f>
        <v>4.1781311937876967E-3</v>
      </c>
    </row>
    <row r="15" spans="1:16" x14ac:dyDescent="0.3">
      <c r="B15" s="9" t="s">
        <v>19</v>
      </c>
      <c r="C15" s="9">
        <f t="shared" si="2"/>
        <v>1.2954597354256719E-2</v>
      </c>
      <c r="D15" s="9">
        <f t="shared" si="3"/>
        <v>1.4186124447852777E-2</v>
      </c>
      <c r="E15" s="9">
        <f t="shared" si="4"/>
        <v>2.5682242757357407E-3</v>
      </c>
      <c r="F15" s="9">
        <f t="shared" si="5"/>
        <v>-1.5972605710877379E-2</v>
      </c>
      <c r="G15" s="9">
        <f t="shared" si="6"/>
        <v>-4.2867819560881079E-3</v>
      </c>
      <c r="H15" s="9">
        <f t="shared" si="7"/>
        <v>1.9093387335670647E-3</v>
      </c>
      <c r="J15" s="9" t="s">
        <v>19</v>
      </c>
      <c r="K15" s="8">
        <f t="shared" si="8"/>
        <v>3.4643018129892084E-3</v>
      </c>
      <c r="L15" s="8">
        <f t="shared" si="9"/>
        <v>5.3820403166082338E-3</v>
      </c>
      <c r="M15" s="8">
        <f t="shared" si="10"/>
        <v>4.1500069911196017E-3</v>
      </c>
      <c r="N15" s="8">
        <f t="shared" si="11"/>
        <v>1.3754103031332152E-2</v>
      </c>
      <c r="O15" s="8">
        <f t="shared" si="12"/>
        <v>7.2997788202272618E-3</v>
      </c>
      <c r="P15" s="8">
        <f t="shared" si="13"/>
        <v>6.2229841160782702E-3</v>
      </c>
    </row>
    <row r="16" spans="1:16" x14ac:dyDescent="0.3">
      <c r="B16" s="9" t="s">
        <v>16</v>
      </c>
      <c r="C16" s="9">
        <f t="shared" si="2"/>
        <v>1.3900950176022213E-2</v>
      </c>
      <c r="D16" s="9">
        <f t="shared" si="3"/>
        <v>3.6382243960550523E-3</v>
      </c>
      <c r="E16" s="9">
        <f t="shared" si="4"/>
        <v>-3.207606131823066E-2</v>
      </c>
      <c r="F16" s="9">
        <f t="shared" si="5"/>
        <v>-9.853839096008437E-3</v>
      </c>
      <c r="G16" s="9">
        <f t="shared" si="6"/>
        <v>-3.3404291343226145E-3</v>
      </c>
      <c r="H16" s="9">
        <f t="shared" si="7"/>
        <v>2.261143868176934E-2</v>
      </c>
      <c r="J16" s="9" t="s">
        <v>16</v>
      </c>
      <c r="K16" s="8">
        <f t="shared" si="8"/>
        <v>7.7424975595729159E-3</v>
      </c>
      <c r="L16" s="8">
        <f t="shared" si="9"/>
        <v>1.0310162566574138E-2</v>
      </c>
      <c r="M16" s="8">
        <f t="shared" si="10"/>
        <v>6.9562542617849603E-3</v>
      </c>
      <c r="N16" s="8">
        <f t="shared" si="11"/>
        <v>2.138404087882043E-2</v>
      </c>
      <c r="O16" s="8">
        <f t="shared" si="12"/>
        <v>1.2351127059318701E-2</v>
      </c>
      <c r="P16" s="8">
        <f t="shared" si="13"/>
        <v>1.1777928765287818E-2</v>
      </c>
    </row>
    <row r="17" spans="2:16" x14ac:dyDescent="0.3">
      <c r="B17" s="9" t="s">
        <v>13</v>
      </c>
      <c r="C17" s="9">
        <f t="shared" si="2"/>
        <v>2.3693731235503397E-2</v>
      </c>
      <c r="D17" s="9">
        <f t="shared" si="3"/>
        <v>-3.952465956909431E-2</v>
      </c>
      <c r="E17" s="9">
        <f t="shared" si="4"/>
        <v>-3.3800812558412996E-3</v>
      </c>
      <c r="F17" s="9">
        <f t="shared" si="5"/>
        <v>1.6030895986461242E-2</v>
      </c>
      <c r="G17" s="9">
        <f t="shared" si="6"/>
        <v>9.26592484768827E-2</v>
      </c>
      <c r="H17" s="9">
        <f t="shared" si="7"/>
        <v>5.422534043090569E-2</v>
      </c>
      <c r="J17" s="9" t="s">
        <v>13</v>
      </c>
      <c r="K17" s="8">
        <f t="shared" si="8"/>
        <v>1.3856346170774443E-2</v>
      </c>
      <c r="L17" s="8">
        <f t="shared" si="9"/>
        <v>1.411594984610511E-2</v>
      </c>
      <c r="M17" s="8">
        <f t="shared" si="10"/>
        <v>1.0000215071698562E-2</v>
      </c>
      <c r="N17" s="8">
        <f t="shared" si="11"/>
        <v>2.9423913234770206E-2</v>
      </c>
      <c r="O17" s="8">
        <f t="shared" si="12"/>
        <v>2.1579555511861841E-2</v>
      </c>
      <c r="P17" s="8">
        <f t="shared" si="13"/>
        <v>2.0379902590314258E-2</v>
      </c>
    </row>
    <row r="18" spans="2:16" x14ac:dyDescent="0.3">
      <c r="B18" s="9" t="s">
        <v>20</v>
      </c>
      <c r="C18" s="9">
        <f t="shared" si="2"/>
        <v>5.7575479793204709E-2</v>
      </c>
      <c r="D18" s="9">
        <f t="shared" si="3"/>
        <v>-6.9271810847189363E-2</v>
      </c>
      <c r="E18" s="9">
        <f t="shared" si="4"/>
        <v>3.0986364712191017E-2</v>
      </c>
      <c r="F18" s="9">
        <f t="shared" si="5"/>
        <v>-9.0700382275760827E-2</v>
      </c>
      <c r="G18" s="9">
        <f t="shared" si="6"/>
        <v>-0.13207969262058838</v>
      </c>
      <c r="H18" s="9">
        <f t="shared" si="7"/>
        <v>-8.6012882275760816E-2</v>
      </c>
      <c r="J18" s="9" t="s">
        <v>20</v>
      </c>
      <c r="K18" s="8">
        <f t="shared" si="8"/>
        <v>0.33681067437565587</v>
      </c>
      <c r="L18" s="8">
        <f t="shared" si="9"/>
        <v>0.26511811654426626</v>
      </c>
      <c r="M18" s="8">
        <f t="shared" si="10"/>
        <v>0.27772677776228782</v>
      </c>
      <c r="N18" s="8">
        <f t="shared" si="11"/>
        <v>0.42977042050333686</v>
      </c>
      <c r="O18" s="8">
        <f t="shared" si="12"/>
        <v>0.36600093282154611</v>
      </c>
      <c r="P18" s="8">
        <f t="shared" si="13"/>
        <v>0.35712456817393762</v>
      </c>
    </row>
    <row r="19" spans="2:16" x14ac:dyDescent="0.3">
      <c r="B19" s="9" t="s">
        <v>14</v>
      </c>
      <c r="C19" s="9">
        <f t="shared" si="2"/>
        <v>-0.12909589870969196</v>
      </c>
      <c r="D19" s="9">
        <f t="shared" si="3"/>
        <v>2.6076515083411467E-2</v>
      </c>
      <c r="E19" s="9">
        <f t="shared" si="4"/>
        <v>-4.018854515755238E-2</v>
      </c>
      <c r="F19" s="9">
        <f t="shared" si="5"/>
        <v>-0.17392348491658854</v>
      </c>
      <c r="G19" s="9">
        <f t="shared" si="6"/>
        <v>-7.1624634341875881E-2</v>
      </c>
      <c r="H19" s="9">
        <f t="shared" si="7"/>
        <v>-8.3298484916588533E-2</v>
      </c>
      <c r="J19" s="9" t="s">
        <v>14</v>
      </c>
      <c r="K19" s="8">
        <f t="shared" si="8"/>
        <v>0.78442507848262932</v>
      </c>
      <c r="L19" s="8">
        <f t="shared" si="9"/>
        <v>0.7108852273748828</v>
      </c>
      <c r="M19" s="8">
        <f t="shared" si="10"/>
        <v>0.74228979565248798</v>
      </c>
      <c r="N19" s="8">
        <f t="shared" si="11"/>
        <v>0.80566992435820051</v>
      </c>
      <c r="O19" s="8">
        <f t="shared" si="12"/>
        <v>0.75718809659087138</v>
      </c>
      <c r="P19" s="8">
        <f t="shared" si="13"/>
        <v>0.76272060853763468</v>
      </c>
    </row>
    <row r="20" spans="2:16" x14ac:dyDescent="0.3">
      <c r="J20" s="13" t="s">
        <v>55</v>
      </c>
      <c r="K20" s="13">
        <f>SUM(K12:K19)</f>
        <v>1.1485601713935349</v>
      </c>
      <c r="L20" s="13">
        <f t="shared" ref="L20:P20" si="14">SUM(L12:L19)</f>
        <v>1.0103017591171575</v>
      </c>
      <c r="M20" s="13">
        <f t="shared" si="14"/>
        <v>1.0439210448585408</v>
      </c>
      <c r="N20" s="13">
        <f t="shared" si="14"/>
        <v>1.3105249977525779</v>
      </c>
      <c r="O20" s="13">
        <f t="shared" si="14"/>
        <v>1.1701445489600182</v>
      </c>
      <c r="P20" s="13">
        <f t="shared" si="14"/>
        <v>1.1660275226240469</v>
      </c>
    </row>
    <row r="21" spans="2:16" x14ac:dyDescent="0.3">
      <c r="J21" s="14" t="s">
        <v>56</v>
      </c>
      <c r="K21" s="14">
        <f>1-K20</f>
        <v>-0.14856017139353495</v>
      </c>
      <c r="L21" s="14">
        <f t="shared" ref="L21:P21" si="15">1-L20</f>
        <v>-1.0301759117157472E-2</v>
      </c>
      <c r="M21" s="14">
        <f t="shared" si="15"/>
        <v>-4.3921044858540759E-2</v>
      </c>
      <c r="N21" s="14">
        <f t="shared" si="15"/>
        <v>-0.31052499775257791</v>
      </c>
      <c r="O21" s="14">
        <f t="shared" si="15"/>
        <v>-0.17014454896001818</v>
      </c>
      <c r="P21" s="14">
        <f t="shared" si="15"/>
        <v>-0.16602752262404685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BEDD-EB24-4442-B8F4-801A8ABB2675}">
  <dimension ref="A1:P33"/>
  <sheetViews>
    <sheetView tabSelected="1" workbookViewId="0">
      <selection activeCell="J2" sqref="J2:P2"/>
    </sheetView>
  </sheetViews>
  <sheetFormatPr defaultRowHeight="14.4" x14ac:dyDescent="0.3"/>
  <cols>
    <col min="13" max="14" width="12" bestFit="1" customWidth="1"/>
    <col min="16" max="16" width="12" bestFit="1" customWidth="1"/>
  </cols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25</v>
      </c>
      <c r="B2" s="9">
        <v>9.6048371348462242E-3</v>
      </c>
      <c r="C2" s="9">
        <v>2.0689655172413793E-2</v>
      </c>
      <c r="D2" s="9">
        <v>0</v>
      </c>
      <c r="E2" s="9">
        <v>3.1007751937984496E-2</v>
      </c>
      <c r="F2" s="9">
        <v>1.0869565217391304E-2</v>
      </c>
      <c r="G2" s="9">
        <v>1.1627906976744186E-2</v>
      </c>
      <c r="H2" s="9">
        <v>4.2372881355932203E-3</v>
      </c>
      <c r="I2" s="9">
        <v>9.6048371348462242E-3</v>
      </c>
      <c r="J2" s="9">
        <v>9.6048371348462242E-3</v>
      </c>
      <c r="K2" s="9">
        <v>2.0689655172413793E-2</v>
      </c>
      <c r="L2" s="9">
        <v>0</v>
      </c>
      <c r="M2" s="9">
        <v>3.1007751937984496E-2</v>
      </c>
      <c r="N2" s="9">
        <v>1.0869565217391304E-2</v>
      </c>
      <c r="O2" s="9">
        <v>1.1627906976744186E-2</v>
      </c>
      <c r="P2" s="9">
        <v>4.2372881355932203E-3</v>
      </c>
    </row>
    <row r="3" spans="1:16" x14ac:dyDescent="0.3">
      <c r="A3" s="9" t="s">
        <v>29</v>
      </c>
      <c r="B3" s="9">
        <v>1.0564356507253051E-2</v>
      </c>
      <c r="C3" s="9">
        <v>5.1724137931034482E-2</v>
      </c>
      <c r="D3" s="9">
        <v>0</v>
      </c>
      <c r="E3" s="9">
        <v>7.7519379844961239E-3</v>
      </c>
      <c r="F3" s="9">
        <v>7.246376811594203E-3</v>
      </c>
      <c r="G3" s="9">
        <v>1.7441860465116279E-2</v>
      </c>
      <c r="H3" s="9">
        <v>1.6949152542372881E-2</v>
      </c>
      <c r="I3" s="9">
        <v>2.0169193642099275E-2</v>
      </c>
      <c r="J3" s="9">
        <f>J2+B3</f>
        <v>2.0169193642099275E-2</v>
      </c>
      <c r="K3" s="9">
        <f t="shared" ref="K3:P14" si="0">K2+C3</f>
        <v>7.2413793103448282E-2</v>
      </c>
      <c r="L3" s="9">
        <f t="shared" si="0"/>
        <v>0</v>
      </c>
      <c r="M3" s="9">
        <f t="shared" si="0"/>
        <v>3.875968992248062E-2</v>
      </c>
      <c r="N3" s="9">
        <f t="shared" si="0"/>
        <v>1.8115942028985508E-2</v>
      </c>
      <c r="O3" s="9">
        <f t="shared" si="0"/>
        <v>2.9069767441860465E-2</v>
      </c>
      <c r="P3" s="9">
        <f t="shared" si="0"/>
        <v>2.1186440677966101E-2</v>
      </c>
    </row>
    <row r="4" spans="1:16" x14ac:dyDescent="0.3">
      <c r="A4" s="9" t="s">
        <v>24</v>
      </c>
      <c r="B4" s="9">
        <v>1.1420209213796828E-2</v>
      </c>
      <c r="C4" s="9">
        <v>1.3793103448275862E-2</v>
      </c>
      <c r="D4" s="9">
        <v>7.5187969924812026E-3</v>
      </c>
      <c r="E4" s="9">
        <v>1.5503875968992248E-2</v>
      </c>
      <c r="F4" s="9">
        <v>2.1739130434782608E-2</v>
      </c>
      <c r="G4" s="9">
        <v>2.9069767441860465E-2</v>
      </c>
      <c r="H4" s="9">
        <v>5.0847457627118647E-2</v>
      </c>
      <c r="I4" s="9">
        <v>3.1589402855896107E-2</v>
      </c>
      <c r="J4" s="9">
        <f t="shared" ref="J4:J14" si="1">J3+B4</f>
        <v>3.1589402855896107E-2</v>
      </c>
      <c r="K4" s="9">
        <f t="shared" si="0"/>
        <v>8.6206896551724144E-2</v>
      </c>
      <c r="L4" s="9">
        <f t="shared" si="0"/>
        <v>7.5187969924812026E-3</v>
      </c>
      <c r="M4" s="9">
        <f t="shared" si="0"/>
        <v>5.4263565891472867E-2</v>
      </c>
      <c r="N4" s="9">
        <f t="shared" si="0"/>
        <v>3.9855072463768113E-2</v>
      </c>
      <c r="O4" s="9">
        <f t="shared" si="0"/>
        <v>5.8139534883720929E-2</v>
      </c>
      <c r="P4" s="9">
        <f t="shared" si="0"/>
        <v>7.2033898305084748E-2</v>
      </c>
    </row>
    <row r="5" spans="1:16" x14ac:dyDescent="0.3">
      <c r="A5" s="9" t="s">
        <v>26</v>
      </c>
      <c r="B5" s="9">
        <v>1.2114534789809808E-2</v>
      </c>
      <c r="C5" s="9">
        <v>6.8965517241379309E-3</v>
      </c>
      <c r="D5" s="9">
        <v>7.5187969924812026E-3</v>
      </c>
      <c r="E5" s="9">
        <v>0</v>
      </c>
      <c r="F5" s="9">
        <v>7.246376811594203E-3</v>
      </c>
      <c r="G5" s="9">
        <v>1.1627906976744186E-2</v>
      </c>
      <c r="H5" s="9">
        <v>4.2372881355932203E-3</v>
      </c>
      <c r="I5" s="9">
        <v>4.3703937645705918E-2</v>
      </c>
      <c r="J5" s="9">
        <f t="shared" si="1"/>
        <v>4.3703937645705918E-2</v>
      </c>
      <c r="K5" s="9">
        <f t="shared" si="0"/>
        <v>9.3103448275862075E-2</v>
      </c>
      <c r="L5" s="9">
        <f t="shared" si="0"/>
        <v>1.5037593984962405E-2</v>
      </c>
      <c r="M5" s="9">
        <f t="shared" si="0"/>
        <v>5.4263565891472867E-2</v>
      </c>
      <c r="N5" s="9">
        <f t="shared" si="0"/>
        <v>4.7101449275362313E-2</v>
      </c>
      <c r="O5" s="9">
        <f t="shared" si="0"/>
        <v>6.9767441860465115E-2</v>
      </c>
      <c r="P5" s="9">
        <f t="shared" si="0"/>
        <v>7.6271186440677971E-2</v>
      </c>
    </row>
    <row r="6" spans="1:16" x14ac:dyDescent="0.3">
      <c r="A6" s="9" t="s">
        <v>30</v>
      </c>
      <c r="B6" s="9">
        <v>1.3233170440052943E-2</v>
      </c>
      <c r="C6" s="9">
        <v>1.3793103448275862E-2</v>
      </c>
      <c r="D6" s="9">
        <v>4.5112781954887216E-2</v>
      </c>
      <c r="E6" s="9">
        <v>5.4263565891472867E-2</v>
      </c>
      <c r="F6" s="9">
        <v>3.2608695652173912E-2</v>
      </c>
      <c r="G6" s="9">
        <v>5.8139534883720929E-3</v>
      </c>
      <c r="H6" s="9">
        <v>8.4745762711864406E-3</v>
      </c>
      <c r="I6" s="9">
        <v>5.6937108085758859E-2</v>
      </c>
      <c r="J6" s="9">
        <f t="shared" si="1"/>
        <v>5.6937108085758859E-2</v>
      </c>
      <c r="K6" s="9">
        <f t="shared" si="0"/>
        <v>0.10689655172413794</v>
      </c>
      <c r="L6" s="9">
        <f t="shared" si="0"/>
        <v>6.0150375939849621E-2</v>
      </c>
      <c r="M6" s="9">
        <f t="shared" si="0"/>
        <v>0.10852713178294573</v>
      </c>
      <c r="N6" s="9">
        <f t="shared" si="0"/>
        <v>7.9710144927536225E-2</v>
      </c>
      <c r="O6" s="9">
        <f t="shared" si="0"/>
        <v>7.5581395348837205E-2</v>
      </c>
      <c r="P6" s="9">
        <f t="shared" si="0"/>
        <v>8.4745762711864417E-2</v>
      </c>
    </row>
    <row r="7" spans="1:16" x14ac:dyDescent="0.3">
      <c r="A7" s="9" t="s">
        <v>32</v>
      </c>
      <c r="B7" s="9">
        <v>1.6244325455470346E-2</v>
      </c>
      <c r="C7" s="9">
        <v>3.4482758620689655E-3</v>
      </c>
      <c r="D7" s="9">
        <v>7.5187969924812026E-3</v>
      </c>
      <c r="E7" s="9">
        <v>1.5503875968992248E-2</v>
      </c>
      <c r="F7" s="9">
        <v>1.8115942028985508E-2</v>
      </c>
      <c r="G7" s="9">
        <v>8.7209302325581394E-3</v>
      </c>
      <c r="H7" s="9">
        <v>1.2711864406779662E-2</v>
      </c>
      <c r="I7" s="9">
        <v>7.3181433541229204E-2</v>
      </c>
      <c r="J7" s="9">
        <f t="shared" si="1"/>
        <v>7.3181433541229204E-2</v>
      </c>
      <c r="K7" s="9">
        <f t="shared" si="0"/>
        <v>0.1103448275862069</v>
      </c>
      <c r="L7" s="9">
        <f t="shared" si="0"/>
        <v>6.7669172932330823E-2</v>
      </c>
      <c r="M7" s="9">
        <f t="shared" si="0"/>
        <v>0.12403100775193798</v>
      </c>
      <c r="N7" s="9">
        <f t="shared" si="0"/>
        <v>9.7826086956521729E-2</v>
      </c>
      <c r="O7" s="9">
        <f t="shared" si="0"/>
        <v>8.4302325581395346E-2</v>
      </c>
      <c r="P7" s="9">
        <f t="shared" si="0"/>
        <v>9.7457627118644086E-2</v>
      </c>
    </row>
    <row r="8" spans="1:16" x14ac:dyDescent="0.3">
      <c r="A8" s="9" t="s">
        <v>31</v>
      </c>
      <c r="B8" s="9">
        <v>1.7126697541653507E-2</v>
      </c>
      <c r="C8" s="9">
        <v>2.0689655172413793E-2</v>
      </c>
      <c r="D8" s="9">
        <v>2.2556390977443608E-2</v>
      </c>
      <c r="E8" s="9">
        <v>2.3255813953488372E-2</v>
      </c>
      <c r="F8" s="9">
        <v>1.8115942028985508E-2</v>
      </c>
      <c r="G8" s="9">
        <v>6.3953488372093026E-2</v>
      </c>
      <c r="H8" s="9">
        <v>8.4745762711864406E-3</v>
      </c>
      <c r="I8" s="9">
        <v>9.0308131082882714E-2</v>
      </c>
      <c r="J8" s="9">
        <f t="shared" si="1"/>
        <v>9.0308131082882714E-2</v>
      </c>
      <c r="K8" s="9">
        <f t="shared" si="0"/>
        <v>0.13103448275862067</v>
      </c>
      <c r="L8" s="9">
        <f t="shared" si="0"/>
        <v>9.0225563909774431E-2</v>
      </c>
      <c r="M8" s="9">
        <f t="shared" si="0"/>
        <v>0.14728682170542634</v>
      </c>
      <c r="N8" s="9">
        <f t="shared" si="0"/>
        <v>0.11594202898550723</v>
      </c>
      <c r="O8" s="9">
        <f t="shared" si="0"/>
        <v>0.14825581395348836</v>
      </c>
      <c r="P8" s="9">
        <f t="shared" si="0"/>
        <v>0.10593220338983053</v>
      </c>
    </row>
    <row r="9" spans="1:16" x14ac:dyDescent="0.3">
      <c r="A9" s="9" t="s">
        <v>34</v>
      </c>
      <c r="B9" s="9">
        <v>1.7823433970360979E-2</v>
      </c>
      <c r="C9" s="9">
        <v>1.0344827586206896E-2</v>
      </c>
      <c r="D9" s="9">
        <v>7.5187969924812026E-3</v>
      </c>
      <c r="E9" s="9">
        <v>2.3255813953488372E-2</v>
      </c>
      <c r="F9" s="9">
        <v>4.710144927536232E-2</v>
      </c>
      <c r="G9" s="9">
        <v>3.1976744186046513E-2</v>
      </c>
      <c r="H9" s="9">
        <v>4.2372881355932203E-3</v>
      </c>
      <c r="I9" s="9">
        <v>0.1081315650532437</v>
      </c>
      <c r="J9" s="9">
        <f t="shared" si="1"/>
        <v>0.1081315650532437</v>
      </c>
      <c r="K9" s="9">
        <f t="shared" si="0"/>
        <v>0.14137931034482756</v>
      </c>
      <c r="L9" s="9">
        <f t="shared" si="0"/>
        <v>9.7744360902255634E-2</v>
      </c>
      <c r="M9" s="9">
        <f t="shared" si="0"/>
        <v>0.1705426356589147</v>
      </c>
      <c r="N9" s="9">
        <f t="shared" si="0"/>
        <v>0.16304347826086957</v>
      </c>
      <c r="O9" s="9">
        <f t="shared" si="0"/>
        <v>0.18023255813953487</v>
      </c>
      <c r="P9" s="9">
        <f t="shared" si="0"/>
        <v>0.11016949152542375</v>
      </c>
    </row>
    <row r="10" spans="1:16" x14ac:dyDescent="0.3">
      <c r="A10" s="9" t="s">
        <v>22</v>
      </c>
      <c r="B10" s="9">
        <v>2.2348604477917793E-2</v>
      </c>
      <c r="C10" s="9">
        <v>1.7241379310344827E-2</v>
      </c>
      <c r="D10" s="9">
        <v>4.5112781954887216E-2</v>
      </c>
      <c r="E10" s="9">
        <v>3.1007751937984496E-2</v>
      </c>
      <c r="F10" s="9">
        <v>3.6231884057971016E-2</v>
      </c>
      <c r="G10" s="9">
        <v>3.7790697674418602E-2</v>
      </c>
      <c r="H10" s="9">
        <v>2.5423728813559324E-2</v>
      </c>
      <c r="I10" s="9">
        <v>0.13048016953116148</v>
      </c>
      <c r="J10" s="9">
        <f t="shared" si="1"/>
        <v>0.13048016953116148</v>
      </c>
      <c r="K10" s="9">
        <f t="shared" si="0"/>
        <v>0.1586206896551724</v>
      </c>
      <c r="L10" s="9">
        <f t="shared" si="0"/>
        <v>0.14285714285714285</v>
      </c>
      <c r="M10" s="9">
        <f t="shared" si="0"/>
        <v>0.20155038759689919</v>
      </c>
      <c r="N10" s="9">
        <f t="shared" si="0"/>
        <v>0.19927536231884058</v>
      </c>
      <c r="O10" s="9">
        <f t="shared" si="0"/>
        <v>0.21802325581395349</v>
      </c>
      <c r="P10" s="9">
        <f t="shared" si="0"/>
        <v>0.13559322033898308</v>
      </c>
    </row>
    <row r="11" spans="1:16" x14ac:dyDescent="0.3">
      <c r="A11" s="9" t="s">
        <v>27</v>
      </c>
      <c r="B11" s="9">
        <v>2.6724302118416261E-2</v>
      </c>
      <c r="C11" s="9">
        <v>1.7241379310344827E-2</v>
      </c>
      <c r="D11" s="9">
        <v>2.2556390977443608E-2</v>
      </c>
      <c r="E11" s="9">
        <v>7.7519379844961239E-3</v>
      </c>
      <c r="F11" s="9">
        <v>1.0869565217391304E-2</v>
      </c>
      <c r="G11" s="9">
        <v>8.7209302325581394E-3</v>
      </c>
      <c r="H11" s="9">
        <v>2.1186440677966101E-2</v>
      </c>
      <c r="I11" s="9">
        <v>0.15720447164957774</v>
      </c>
      <c r="J11" s="9">
        <f t="shared" si="1"/>
        <v>0.15720447164957774</v>
      </c>
      <c r="K11" s="9">
        <f t="shared" si="0"/>
        <v>0.17586206896551723</v>
      </c>
      <c r="L11" s="9">
        <f t="shared" si="0"/>
        <v>0.16541353383458646</v>
      </c>
      <c r="M11" s="9">
        <f t="shared" si="0"/>
        <v>0.20930232558139533</v>
      </c>
      <c r="N11" s="9">
        <f t="shared" si="0"/>
        <v>0.21014492753623187</v>
      </c>
      <c r="O11" s="9">
        <f t="shared" si="0"/>
        <v>0.22674418604651161</v>
      </c>
      <c r="P11" s="9">
        <f t="shared" si="0"/>
        <v>0.15677966101694918</v>
      </c>
    </row>
    <row r="12" spans="1:16" x14ac:dyDescent="0.3">
      <c r="A12" s="9" t="s">
        <v>28</v>
      </c>
      <c r="B12" s="9">
        <v>4.5627798095908542E-2</v>
      </c>
      <c r="C12" s="9">
        <v>7.9310344827586213E-2</v>
      </c>
      <c r="D12" s="9">
        <v>4.5112781954887216E-2</v>
      </c>
      <c r="E12" s="9">
        <v>5.4263565891472867E-2</v>
      </c>
      <c r="F12" s="9">
        <v>9.7826086956521743E-2</v>
      </c>
      <c r="G12" s="9">
        <v>6.3953488372093026E-2</v>
      </c>
      <c r="H12" s="9">
        <v>0.1059322033898305</v>
      </c>
      <c r="I12" s="9">
        <v>0.20283226974548629</v>
      </c>
      <c r="J12" s="9">
        <f t="shared" si="1"/>
        <v>0.20283226974548629</v>
      </c>
      <c r="K12" s="9">
        <f t="shared" si="0"/>
        <v>0.25517241379310346</v>
      </c>
      <c r="L12" s="9">
        <f t="shared" si="0"/>
        <v>0.21052631578947367</v>
      </c>
      <c r="M12" s="9">
        <f t="shared" si="0"/>
        <v>0.26356589147286819</v>
      </c>
      <c r="N12" s="9">
        <f t="shared" si="0"/>
        <v>0.3079710144927536</v>
      </c>
      <c r="O12" s="9">
        <f t="shared" si="0"/>
        <v>0.29069767441860461</v>
      </c>
      <c r="P12" s="9">
        <f t="shared" si="0"/>
        <v>0.26271186440677968</v>
      </c>
    </row>
    <row r="13" spans="1:16" x14ac:dyDescent="0.3">
      <c r="A13" s="9" t="s">
        <v>23</v>
      </c>
      <c r="B13" s="9">
        <v>6.5760828947590472E-2</v>
      </c>
      <c r="C13" s="9">
        <v>4.8275862068965517E-2</v>
      </c>
      <c r="D13" s="9">
        <v>2.2556390977443608E-2</v>
      </c>
      <c r="E13" s="9">
        <v>8.5271317829457363E-2</v>
      </c>
      <c r="F13" s="9">
        <v>3.2608695652173912E-2</v>
      </c>
      <c r="G13" s="9">
        <v>0.15116279069767441</v>
      </c>
      <c r="H13" s="9">
        <v>0.18220338983050846</v>
      </c>
      <c r="I13" s="9">
        <v>0.26859309869307679</v>
      </c>
      <c r="J13" s="9">
        <f t="shared" si="1"/>
        <v>0.26859309869307679</v>
      </c>
      <c r="K13" s="9">
        <f t="shared" si="0"/>
        <v>0.30344827586206896</v>
      </c>
      <c r="L13" s="9">
        <f t="shared" si="0"/>
        <v>0.23308270676691728</v>
      </c>
      <c r="M13" s="9">
        <f t="shared" si="0"/>
        <v>0.34883720930232553</v>
      </c>
      <c r="N13" s="9">
        <f t="shared" si="0"/>
        <v>0.34057971014492749</v>
      </c>
      <c r="O13" s="9">
        <f t="shared" si="0"/>
        <v>0.44186046511627902</v>
      </c>
      <c r="P13" s="9">
        <f t="shared" si="0"/>
        <v>0.44491525423728817</v>
      </c>
    </row>
    <row r="14" spans="1:16" x14ac:dyDescent="0.3">
      <c r="A14" s="9" t="s">
        <v>33</v>
      </c>
      <c r="B14" s="9">
        <v>8.6906417930958005E-2</v>
      </c>
      <c r="C14" s="9">
        <v>4.8275862068965517E-2</v>
      </c>
      <c r="D14" s="9">
        <v>0.13533834586466165</v>
      </c>
      <c r="E14" s="9">
        <v>0.12403100775193798</v>
      </c>
      <c r="F14" s="9">
        <v>8.6956521739130432E-2</v>
      </c>
      <c r="G14" s="9">
        <v>0.13953488372093023</v>
      </c>
      <c r="H14" s="9">
        <v>0.19491525423728814</v>
      </c>
      <c r="I14" s="9">
        <v>0.35549951662403478</v>
      </c>
      <c r="J14" s="9">
        <f t="shared" si="1"/>
        <v>0.35549951662403478</v>
      </c>
      <c r="K14" s="9">
        <f t="shared" si="0"/>
        <v>0.35172413793103446</v>
      </c>
      <c r="L14" s="9">
        <f t="shared" si="0"/>
        <v>0.36842105263157893</v>
      </c>
      <c r="M14" s="9">
        <f t="shared" si="0"/>
        <v>0.47286821705426352</v>
      </c>
      <c r="N14" s="9">
        <f t="shared" si="0"/>
        <v>0.42753623188405793</v>
      </c>
      <c r="O14" s="9">
        <f t="shared" si="0"/>
        <v>0.58139534883720922</v>
      </c>
      <c r="P14" s="9">
        <f t="shared" si="0"/>
        <v>0.63983050847457634</v>
      </c>
    </row>
    <row r="15" spans="1:16" x14ac:dyDescent="0.3">
      <c r="A15" s="9" t="s">
        <v>21</v>
      </c>
      <c r="B15" s="9">
        <v>0.64450048337596522</v>
      </c>
      <c r="C15" s="9">
        <v>0.64827586206896548</v>
      </c>
      <c r="D15" s="9">
        <v>0.63157894736842102</v>
      </c>
      <c r="E15" s="9">
        <v>0.52713178294573648</v>
      </c>
      <c r="F15" s="9">
        <v>0.57246376811594202</v>
      </c>
      <c r="G15" s="9">
        <v>0.41860465116279072</v>
      </c>
      <c r="H15" s="9">
        <v>0.36016949152542371</v>
      </c>
      <c r="I15" s="9">
        <v>1</v>
      </c>
      <c r="J15" s="9">
        <f t="shared" ref="J15" si="2">J14+B15</f>
        <v>1</v>
      </c>
      <c r="K15" s="9">
        <f t="shared" ref="K15" si="3">K14+C15</f>
        <v>1</v>
      </c>
      <c r="L15" s="9">
        <f t="shared" ref="L15" si="4">L14+D15</f>
        <v>1</v>
      </c>
      <c r="M15" s="9">
        <f t="shared" ref="M15" si="5">M14+E15</f>
        <v>1</v>
      </c>
      <c r="N15" s="9">
        <f t="shared" ref="N15" si="6">N14+F15</f>
        <v>1</v>
      </c>
      <c r="O15" s="9">
        <f t="shared" ref="O15" si="7">O14+G15</f>
        <v>1</v>
      </c>
      <c r="P15" s="9">
        <f t="shared" ref="P15" si="8">P14+H15</f>
        <v>1</v>
      </c>
    </row>
    <row r="17" spans="2:16" ht="28.8" x14ac:dyDescent="0.3">
      <c r="B17" s="11" t="s">
        <v>35</v>
      </c>
      <c r="C17" s="12" t="s">
        <v>43</v>
      </c>
      <c r="D17" s="12" t="s">
        <v>44</v>
      </c>
      <c r="E17" s="12" t="s">
        <v>45</v>
      </c>
      <c r="F17" s="12" t="s">
        <v>46</v>
      </c>
      <c r="G17" s="12" t="s">
        <v>47</v>
      </c>
      <c r="H17" s="12" t="s">
        <v>48</v>
      </c>
      <c r="J17" s="8"/>
      <c r="K17" s="13" t="s">
        <v>49</v>
      </c>
      <c r="L17" s="13" t="s">
        <v>50</v>
      </c>
      <c r="M17" s="13" t="s">
        <v>51</v>
      </c>
      <c r="N17" s="13" t="s">
        <v>52</v>
      </c>
      <c r="O17" s="13" t="s">
        <v>53</v>
      </c>
      <c r="P17" s="13" t="s">
        <v>54</v>
      </c>
    </row>
    <row r="18" spans="2:16" x14ac:dyDescent="0.3">
      <c r="B18" s="9" t="s">
        <v>25</v>
      </c>
      <c r="C18" s="9">
        <f>C2-B2</f>
        <v>1.1084818037567569E-2</v>
      </c>
      <c r="D18" s="9">
        <f>D2-B2</f>
        <v>-9.6048371348462242E-3</v>
      </c>
      <c r="E18" s="9">
        <f>E2-B2</f>
        <v>2.1402914803138273E-2</v>
      </c>
      <c r="F18" s="9">
        <f>F2-B2</f>
        <v>1.2647280825450798E-3</v>
      </c>
      <c r="G18" s="9">
        <f>G2-B2</f>
        <v>2.0230698418979617E-3</v>
      </c>
      <c r="H18" s="9">
        <f>H2-B2</f>
        <v>-5.3675489992530039E-3</v>
      </c>
      <c r="J18" s="9" t="s">
        <v>25</v>
      </c>
      <c r="K18" s="8">
        <f>(J2-0) * (K2+0)</f>
        <v>1.9872076830716325E-4</v>
      </c>
      <c r="L18" s="8">
        <f>(J2-0) * (L2+0)</f>
        <v>0</v>
      </c>
      <c r="M18" s="8">
        <f>(J2-0) * (M2+0)</f>
        <v>2.9782440728205343E-4</v>
      </c>
      <c r="N18" s="8">
        <f>(J2-0) * (N2+0)</f>
        <v>1.0440040363963287E-4</v>
      </c>
      <c r="O18" s="8">
        <f>(J2-0) * (O2+0)</f>
        <v>1.1168415273077004E-4</v>
      </c>
      <c r="P18" s="8">
        <f>(J2-0) * (P2+0)</f>
        <v>4.0698462435789086E-5</v>
      </c>
    </row>
    <row r="19" spans="2:16" x14ac:dyDescent="0.3">
      <c r="B19" s="9" t="s">
        <v>29</v>
      </c>
      <c r="C19" s="9">
        <f t="shared" ref="C19:C31" si="9">C3-B3</f>
        <v>4.1159781423781433E-2</v>
      </c>
      <c r="D19" s="9">
        <f t="shared" ref="D19:D31" si="10">D3-B3</f>
        <v>-1.0564356507253051E-2</v>
      </c>
      <c r="E19" s="9">
        <f t="shared" ref="E19:E31" si="11">E3-B3</f>
        <v>-2.8124185227569268E-3</v>
      </c>
      <c r="F19" s="9">
        <f t="shared" ref="F19:F31" si="12">F3-B3</f>
        <v>-3.3179796956588478E-3</v>
      </c>
      <c r="G19" s="9">
        <f t="shared" ref="G19:G31" si="13">G3-B3</f>
        <v>6.8775039578632281E-3</v>
      </c>
      <c r="H19" s="9">
        <f t="shared" ref="H19:H31" si="14">H3-B3</f>
        <v>6.3847960351198305E-3</v>
      </c>
      <c r="J19" s="9" t="s">
        <v>29</v>
      </c>
      <c r="K19" s="8">
        <f>(J3-J2) * (K3+K2)</f>
        <v>9.8357801964080128E-4</v>
      </c>
      <c r="L19" s="8">
        <f>(J3-J2) * (L3+L2)</f>
        <v>0</v>
      </c>
      <c r="M19" s="8">
        <f>(J3-J2) * (M3+M2)</f>
        <v>7.3704812841300356E-4</v>
      </c>
      <c r="N19" s="8">
        <f>(J3-J2) * (N3+N2)</f>
        <v>3.0621323209429133E-4</v>
      </c>
      <c r="O19" s="8">
        <f>(J3-J2) * (O3+O2)</f>
        <v>4.2994474157425212E-4</v>
      </c>
      <c r="P19" s="8">
        <f>(J3-J2) * (P3+P2)</f>
        <v>2.6858533493016228E-4</v>
      </c>
    </row>
    <row r="20" spans="2:16" x14ac:dyDescent="0.3">
      <c r="B20" s="9" t="s">
        <v>24</v>
      </c>
      <c r="C20" s="9">
        <f t="shared" si="9"/>
        <v>2.3728942344790338E-3</v>
      </c>
      <c r="D20" s="9">
        <f t="shared" si="10"/>
        <v>-3.9014122213156255E-3</v>
      </c>
      <c r="E20" s="9">
        <f t="shared" si="11"/>
        <v>4.0836667551954198E-3</v>
      </c>
      <c r="F20" s="9">
        <f t="shared" si="12"/>
        <v>1.031892122098578E-2</v>
      </c>
      <c r="G20" s="9">
        <f t="shared" si="13"/>
        <v>1.7649558228063637E-2</v>
      </c>
      <c r="H20" s="9">
        <f t="shared" si="14"/>
        <v>3.9427248413321819E-2</v>
      </c>
      <c r="J20" s="9" t="s">
        <v>24</v>
      </c>
      <c r="K20" s="8">
        <f t="shared" ref="K20:K31" si="15">(J4-J3) * (K4+K3)</f>
        <v>1.8114814614988079E-3</v>
      </c>
      <c r="L20" s="8">
        <f t="shared" ref="L20:L31" si="16">(J4-J3) * (L4+L3)</f>
        <v>8.5866234690201742E-5</v>
      </c>
      <c r="M20" s="8">
        <f t="shared" ref="M20:M31" si="17">(J4-J3) * (M4+M3)</f>
        <v>1.0623450431438914E-3</v>
      </c>
      <c r="N20" s="8">
        <f t="shared" ref="N20:N31" si="18">(J4-J3) * (N4+N3)</f>
        <v>6.6204111384329453E-4</v>
      </c>
      <c r="O20" s="8">
        <f t="shared" ref="O20:O31" si="19">(J4-J3) * (O4+O3)</f>
        <v>9.9594847794739821E-4</v>
      </c>
      <c r="P20" s="8">
        <f t="shared" ref="P20:P31" si="20">(J4-J3) * (P4+P3)</f>
        <v>1.0645957741675014E-3</v>
      </c>
    </row>
    <row r="21" spans="2:16" x14ac:dyDescent="0.3">
      <c r="B21" s="9" t="s">
        <v>26</v>
      </c>
      <c r="C21" s="9">
        <f t="shared" si="9"/>
        <v>-5.2179830656718766E-3</v>
      </c>
      <c r="D21" s="9">
        <f t="shared" si="10"/>
        <v>-4.595737797328605E-3</v>
      </c>
      <c r="E21" s="9">
        <f t="shared" si="11"/>
        <v>-1.2114534789809808E-2</v>
      </c>
      <c r="F21" s="9">
        <f t="shared" si="12"/>
        <v>-4.8681579782156046E-3</v>
      </c>
      <c r="G21" s="9">
        <f t="shared" si="13"/>
        <v>-4.8662781306562167E-4</v>
      </c>
      <c r="H21" s="9">
        <f t="shared" si="14"/>
        <v>-7.8772466542165881E-3</v>
      </c>
      <c r="J21" s="9" t="s">
        <v>26</v>
      </c>
      <c r="K21" s="8">
        <f t="shared" si="15"/>
        <v>2.1722614105865873E-3</v>
      </c>
      <c r="L21" s="8">
        <f t="shared" si="16"/>
        <v>2.732601832287927E-4</v>
      </c>
      <c r="M21" s="8">
        <f t="shared" si="17"/>
        <v>1.3147557136227702E-3</v>
      </c>
      <c r="N21" s="8">
        <f t="shared" si="18"/>
        <v>1.0534378078095488E-3</v>
      </c>
      <c r="O21" s="8">
        <f t="shared" si="19"/>
        <v>1.5495335196268364E-3</v>
      </c>
      <c r="P21" s="8">
        <f t="shared" si="20"/>
        <v>1.7966471086582347E-3</v>
      </c>
    </row>
    <row r="22" spans="2:16" x14ac:dyDescent="0.3">
      <c r="B22" s="9" t="s">
        <v>30</v>
      </c>
      <c r="C22" s="9">
        <f t="shared" si="9"/>
        <v>5.5993300822291918E-4</v>
      </c>
      <c r="D22" s="9">
        <f t="shared" si="10"/>
        <v>3.1879611514834275E-2</v>
      </c>
      <c r="E22" s="9">
        <f t="shared" si="11"/>
        <v>4.1030395451419927E-2</v>
      </c>
      <c r="F22" s="9">
        <f t="shared" si="12"/>
        <v>1.9375525212120971E-2</v>
      </c>
      <c r="G22" s="9">
        <f t="shared" si="13"/>
        <v>-7.4192169516808498E-3</v>
      </c>
      <c r="H22" s="9">
        <f t="shared" si="14"/>
        <v>-4.758594168866502E-3</v>
      </c>
      <c r="J22" s="9" t="s">
        <v>30</v>
      </c>
      <c r="K22" s="8">
        <f t="shared" si="15"/>
        <v>2.6466340880105885E-3</v>
      </c>
      <c r="L22" s="8">
        <f t="shared" si="16"/>
        <v>9.9497522105661197E-4</v>
      </c>
      <c r="M22" s="8">
        <f t="shared" si="17"/>
        <v>2.1542370483807116E-3</v>
      </c>
      <c r="N22" s="8">
        <f t="shared" si="18"/>
        <v>1.6781194398617857E-3</v>
      </c>
      <c r="O22" s="8">
        <f t="shared" si="19"/>
        <v>1.9234259360542062E-3</v>
      </c>
      <c r="P22" s="8">
        <f t="shared" si="20"/>
        <v>2.1307647318729315E-3</v>
      </c>
    </row>
    <row r="23" spans="2:16" x14ac:dyDescent="0.3">
      <c r="B23" s="9" t="s">
        <v>32</v>
      </c>
      <c r="C23" s="9">
        <f t="shared" si="9"/>
        <v>-1.279604959340138E-2</v>
      </c>
      <c r="D23" s="9">
        <f t="shared" si="10"/>
        <v>-8.7255284629891433E-3</v>
      </c>
      <c r="E23" s="9">
        <f t="shared" si="11"/>
        <v>-7.4044948647809805E-4</v>
      </c>
      <c r="F23" s="9">
        <f t="shared" si="12"/>
        <v>1.871616573515162E-3</v>
      </c>
      <c r="G23" s="9">
        <f t="shared" si="13"/>
        <v>-7.5233952229122065E-3</v>
      </c>
      <c r="H23" s="9">
        <f t="shared" si="14"/>
        <v>-3.5324610486906841E-3</v>
      </c>
      <c r="J23" s="9" t="s">
        <v>32</v>
      </c>
      <c r="K23" s="8">
        <f t="shared" si="15"/>
        <v>3.5289396679125231E-3</v>
      </c>
      <c r="L23" s="8">
        <f t="shared" si="16"/>
        <v>2.0763423514510966E-3</v>
      </c>
      <c r="M23" s="8">
        <f t="shared" si="17"/>
        <v>3.7777501059233364E-3</v>
      </c>
      <c r="N23" s="8">
        <f t="shared" si="18"/>
        <v>2.8839563308624885E-3</v>
      </c>
      <c r="O23" s="8">
        <f t="shared" si="19"/>
        <v>2.5972031978222939E-3</v>
      </c>
      <c r="P23" s="8">
        <f t="shared" si="20"/>
        <v>2.9597711634967157E-3</v>
      </c>
    </row>
    <row r="24" spans="2:16" x14ac:dyDescent="0.3">
      <c r="B24" s="9" t="s">
        <v>31</v>
      </c>
      <c r="C24" s="9">
        <f t="shared" si="9"/>
        <v>3.5629576307602863E-3</v>
      </c>
      <c r="D24" s="9">
        <f t="shared" si="10"/>
        <v>5.4296934357901012E-3</v>
      </c>
      <c r="E24" s="9">
        <f t="shared" si="11"/>
        <v>6.1291164118348652E-3</v>
      </c>
      <c r="F24" s="9">
        <f t="shared" si="12"/>
        <v>9.8924448733200138E-4</v>
      </c>
      <c r="G24" s="9">
        <f t="shared" si="13"/>
        <v>4.6826790830439516E-2</v>
      </c>
      <c r="H24" s="9">
        <f t="shared" si="14"/>
        <v>-8.6521212704670659E-3</v>
      </c>
      <c r="J24" s="9" t="s">
        <v>31</v>
      </c>
      <c r="K24" s="8">
        <f t="shared" si="15"/>
        <v>4.1340304410887778E-3</v>
      </c>
      <c r="L24" s="8">
        <f t="shared" si="16"/>
        <v>2.7042154013137121E-3</v>
      </c>
      <c r="M24" s="8">
        <f t="shared" si="17"/>
        <v>4.6467784027742079E-3</v>
      </c>
      <c r="N24" s="8">
        <f t="shared" si="18"/>
        <v>3.6611418657882498E-3</v>
      </c>
      <c r="O24" s="8">
        <f t="shared" si="19"/>
        <v>3.9829529166636067E-3</v>
      </c>
      <c r="P24" s="8">
        <f t="shared" si="20"/>
        <v>3.4833961101668164E-3</v>
      </c>
    </row>
    <row r="25" spans="2:16" x14ac:dyDescent="0.3">
      <c r="B25" s="9" t="s">
        <v>34</v>
      </c>
      <c r="C25" s="9">
        <f t="shared" si="9"/>
        <v>-7.4786063841540823E-3</v>
      </c>
      <c r="D25" s="9">
        <f t="shared" si="10"/>
        <v>-1.0304636977879776E-2</v>
      </c>
      <c r="E25" s="9">
        <f t="shared" si="11"/>
        <v>5.4323799831273931E-3</v>
      </c>
      <c r="F25" s="9">
        <f t="shared" si="12"/>
        <v>2.9278015305001341E-2</v>
      </c>
      <c r="G25" s="9">
        <f t="shared" si="13"/>
        <v>1.4153310215685534E-2</v>
      </c>
      <c r="H25" s="9">
        <f t="shared" si="14"/>
        <v>-1.3586145834767759E-2</v>
      </c>
      <c r="J25" s="9" t="s">
        <v>34</v>
      </c>
      <c r="K25" s="8">
        <f t="shared" si="15"/>
        <v>4.8553492539948886E-3</v>
      </c>
      <c r="L25" s="8">
        <f t="shared" si="16"/>
        <v>3.3502695433009371E-3</v>
      </c>
      <c r="M25" s="8">
        <f t="shared" si="17"/>
        <v>5.6648123471689949E-3</v>
      </c>
      <c r="N25" s="8">
        <f t="shared" si="18"/>
        <v>4.9724797670934635E-3</v>
      </c>
      <c r="O25" s="8">
        <f t="shared" si="19"/>
        <v>5.8547908100313696E-3</v>
      </c>
      <c r="P25" s="8">
        <f t="shared" si="20"/>
        <v>3.8516742902051288E-3</v>
      </c>
    </row>
    <row r="26" spans="2:16" x14ac:dyDescent="0.3">
      <c r="B26" s="9" t="s">
        <v>22</v>
      </c>
      <c r="C26" s="9">
        <f t="shared" si="9"/>
        <v>-5.1072251675729659E-3</v>
      </c>
      <c r="D26" s="9">
        <f t="shared" si="10"/>
        <v>2.2764177476969422E-2</v>
      </c>
      <c r="E26" s="9">
        <f t="shared" si="11"/>
        <v>8.6591474600667025E-3</v>
      </c>
      <c r="F26" s="9">
        <f t="shared" si="12"/>
        <v>1.3883279580053223E-2</v>
      </c>
      <c r="G26" s="9">
        <f t="shared" si="13"/>
        <v>1.5442093196500809E-2</v>
      </c>
      <c r="H26" s="9">
        <f t="shared" si="14"/>
        <v>3.0751243356415305E-3</v>
      </c>
      <c r="J26" s="9" t="s">
        <v>22</v>
      </c>
      <c r="K26" s="8">
        <f t="shared" si="15"/>
        <v>6.7045813433753336E-3</v>
      </c>
      <c r="L26" s="8">
        <f t="shared" si="16"/>
        <v>5.3771078443110455E-3</v>
      </c>
      <c r="M26" s="8">
        <f t="shared" si="17"/>
        <v>8.3157598057368477E-3</v>
      </c>
      <c r="N26" s="8">
        <f t="shared" si="18"/>
        <v>8.0973204630136898E-3</v>
      </c>
      <c r="O26" s="8">
        <f t="shared" si="19"/>
        <v>8.9004616670777213E-3</v>
      </c>
      <c r="P26" s="8">
        <f t="shared" si="20"/>
        <v>5.492453642878101E-3</v>
      </c>
    </row>
    <row r="27" spans="2:16" x14ac:dyDescent="0.3">
      <c r="B27" s="9" t="s">
        <v>27</v>
      </c>
      <c r="C27" s="9">
        <f t="shared" si="9"/>
        <v>-9.482922808071434E-3</v>
      </c>
      <c r="D27" s="9">
        <f t="shared" si="10"/>
        <v>-4.1679111409726535E-3</v>
      </c>
      <c r="E27" s="9">
        <f t="shared" si="11"/>
        <v>-1.8972364133920137E-2</v>
      </c>
      <c r="F27" s="9">
        <f t="shared" si="12"/>
        <v>-1.5854736901024957E-2</v>
      </c>
      <c r="G27" s="9">
        <f t="shared" si="13"/>
        <v>-1.800337188585812E-2</v>
      </c>
      <c r="H27" s="9">
        <f t="shared" si="14"/>
        <v>-5.5378614404501605E-3</v>
      </c>
      <c r="J27" s="9" t="s">
        <v>27</v>
      </c>
      <c r="K27" s="8">
        <f t="shared" si="15"/>
        <v>8.9388182947806091E-3</v>
      </c>
      <c r="L27" s="8">
        <f t="shared" si="16"/>
        <v>8.2383186981583936E-3</v>
      </c>
      <c r="M27" s="8">
        <f t="shared" si="17"/>
        <v>1.0979752033147763E-2</v>
      </c>
      <c r="N27" s="8">
        <f t="shared" si="18"/>
        <v>1.094147151949651E-2</v>
      </c>
      <c r="O27" s="8">
        <f t="shared" si="19"/>
        <v>1.1886099488714207E-2</v>
      </c>
      <c r="P27" s="8">
        <f t="shared" si="20"/>
        <v>7.813461212587804E-3</v>
      </c>
    </row>
    <row r="28" spans="2:16" x14ac:dyDescent="0.3">
      <c r="B28" s="9" t="s">
        <v>28</v>
      </c>
      <c r="C28" s="9">
        <f t="shared" si="9"/>
        <v>3.3682546731677671E-2</v>
      </c>
      <c r="D28" s="9">
        <f t="shared" si="10"/>
        <v>-5.1501614102132665E-4</v>
      </c>
      <c r="E28" s="9">
        <f t="shared" si="11"/>
        <v>8.6357677955643253E-3</v>
      </c>
      <c r="F28" s="9">
        <f t="shared" si="12"/>
        <v>5.2198288860613201E-2</v>
      </c>
      <c r="G28" s="9">
        <f t="shared" si="13"/>
        <v>1.8325690276184484E-2</v>
      </c>
      <c r="H28" s="9">
        <f t="shared" si="14"/>
        <v>6.0304405293921962E-2</v>
      </c>
      <c r="J28" s="9" t="s">
        <v>28</v>
      </c>
      <c r="K28" s="8">
        <f t="shared" si="15"/>
        <v>1.9667154351684722E-2</v>
      </c>
      <c r="L28" s="8">
        <f t="shared" si="16"/>
        <v>1.715330755485284E-2</v>
      </c>
      <c r="M28" s="8">
        <f t="shared" si="17"/>
        <v>2.1575935533724198E-2</v>
      </c>
      <c r="N28" s="8">
        <f t="shared" si="18"/>
        <v>2.364048959317001E-2</v>
      </c>
      <c r="O28" s="8">
        <f t="shared" si="19"/>
        <v>2.360973273567361E-2</v>
      </c>
      <c r="P28" s="8">
        <f t="shared" si="20"/>
        <v>1.9140474624978591E-2</v>
      </c>
    </row>
    <row r="29" spans="2:16" x14ac:dyDescent="0.3">
      <c r="B29" s="9" t="s">
        <v>23</v>
      </c>
      <c r="C29" s="9">
        <f t="shared" si="9"/>
        <v>-1.7484966878624955E-2</v>
      </c>
      <c r="D29" s="9">
        <f t="shared" si="10"/>
        <v>-4.3204437970146864E-2</v>
      </c>
      <c r="E29" s="9">
        <f t="shared" si="11"/>
        <v>1.9510488881866891E-2</v>
      </c>
      <c r="F29" s="9">
        <f t="shared" si="12"/>
        <v>-3.315213329541656E-2</v>
      </c>
      <c r="G29" s="9">
        <f t="shared" si="13"/>
        <v>8.5401961750083938E-2</v>
      </c>
      <c r="H29" s="9">
        <f t="shared" si="14"/>
        <v>0.11644256088291799</v>
      </c>
      <c r="J29" s="9" t="s">
        <v>23</v>
      </c>
      <c r="K29" s="8">
        <f t="shared" si="15"/>
        <v>3.6735359618998834E-2</v>
      </c>
      <c r="L29" s="8">
        <f t="shared" si="16"/>
        <v>2.9172097051938642E-2</v>
      </c>
      <c r="M29" s="8">
        <f t="shared" si="17"/>
        <v>4.0272135557051544E-2</v>
      </c>
      <c r="N29" s="8">
        <f t="shared" si="18"/>
        <v>4.2649233266734421E-2</v>
      </c>
      <c r="O29" s="8">
        <f t="shared" si="19"/>
        <v>4.8173630508118619E-2</v>
      </c>
      <c r="P29" s="8">
        <f t="shared" si="20"/>
        <v>4.653414590782888E-2</v>
      </c>
    </row>
    <row r="30" spans="2:16" x14ac:dyDescent="0.3">
      <c r="B30" s="9" t="s">
        <v>33</v>
      </c>
      <c r="C30" s="9">
        <f t="shared" si="9"/>
        <v>-3.8630555861992488E-2</v>
      </c>
      <c r="D30" s="9">
        <f t="shared" si="10"/>
        <v>4.8431927933703642E-2</v>
      </c>
      <c r="E30" s="9">
        <f t="shared" si="11"/>
        <v>3.7124589820979978E-2</v>
      </c>
      <c r="F30" s="9">
        <f t="shared" si="12"/>
        <v>5.0103808172427544E-5</v>
      </c>
      <c r="G30" s="9">
        <f t="shared" si="13"/>
        <v>5.2628465789972226E-2</v>
      </c>
      <c r="H30" s="9">
        <f t="shared" si="14"/>
        <v>0.10800883630633014</v>
      </c>
      <c r="J30" s="9" t="s">
        <v>33</v>
      </c>
      <c r="K30" s="8">
        <f t="shared" si="15"/>
        <v>5.6938687609937991E-2</v>
      </c>
      <c r="L30" s="8">
        <f t="shared" si="16"/>
        <v>5.2274537101328108E-2</v>
      </c>
      <c r="M30" s="8">
        <f t="shared" si="17"/>
        <v>7.1411475199081753E-2</v>
      </c>
      <c r="N30" s="8">
        <f t="shared" si="18"/>
        <v>6.6754205077402498E-2</v>
      </c>
      <c r="O30" s="8">
        <f t="shared" si="19"/>
        <v>8.8927497417724446E-2</v>
      </c>
      <c r="P30" s="8">
        <f t="shared" si="20"/>
        <v>9.42713686030731E-2</v>
      </c>
    </row>
    <row r="31" spans="2:16" x14ac:dyDescent="0.3">
      <c r="B31" s="9" t="s">
        <v>21</v>
      </c>
      <c r="C31" s="9">
        <f t="shared" si="9"/>
        <v>3.7753786930002642E-3</v>
      </c>
      <c r="D31" s="9">
        <f t="shared" si="10"/>
        <v>-1.2921536007544199E-2</v>
      </c>
      <c r="E31" s="9">
        <f t="shared" si="11"/>
        <v>-0.11736870043022873</v>
      </c>
      <c r="F31" s="9">
        <f t="shared" si="12"/>
        <v>-7.2036715260023199E-2</v>
      </c>
      <c r="G31" s="9">
        <f t="shared" si="13"/>
        <v>-0.2258958322131745</v>
      </c>
      <c r="H31" s="9">
        <f t="shared" si="14"/>
        <v>-0.2843309918505415</v>
      </c>
      <c r="J31" s="9" t="s">
        <v>21</v>
      </c>
      <c r="K31" s="8">
        <f t="shared" si="15"/>
        <v>0.87118686028751158</v>
      </c>
      <c r="L31" s="8">
        <f t="shared" si="16"/>
        <v>0.88194802988289978</v>
      </c>
      <c r="M31" s="8">
        <f t="shared" si="17"/>
        <v>0.94926427784056888</v>
      </c>
      <c r="N31" s="8">
        <f t="shared" si="18"/>
        <v>0.92004779148597926</v>
      </c>
      <c r="O31" s="8">
        <f t="shared" si="19"/>
        <v>1.0192100667340844</v>
      </c>
      <c r="P31" s="8">
        <f t="shared" si="20"/>
        <v>1.0568715553665193</v>
      </c>
    </row>
    <row r="32" spans="2:16" x14ac:dyDescent="0.3">
      <c r="J32" s="13" t="s">
        <v>55</v>
      </c>
      <c r="K32" s="13">
        <f>SUM(K18:K31)</f>
        <v>1.0205024566173293</v>
      </c>
      <c r="L32" s="13">
        <f t="shared" ref="L32:P32" si="21">SUM(L18:L31)</f>
        <v>1.0036483270685301</v>
      </c>
      <c r="M32" s="13">
        <f t="shared" si="21"/>
        <v>1.1214748871660198</v>
      </c>
      <c r="N32" s="13">
        <f t="shared" si="21"/>
        <v>1.0874523013667892</v>
      </c>
      <c r="O32" s="13">
        <f t="shared" si="21"/>
        <v>1.2181529723038438</v>
      </c>
      <c r="P32" s="13">
        <f t="shared" si="21"/>
        <v>1.2457195923337991</v>
      </c>
    </row>
    <row r="33" spans="10:16" x14ac:dyDescent="0.3">
      <c r="J33" s="14" t="s">
        <v>56</v>
      </c>
      <c r="K33" s="14">
        <f>1-K32</f>
        <v>-2.0502456617329301E-2</v>
      </c>
      <c r="L33" s="14">
        <f t="shared" ref="L33:P33" si="22">1-L32</f>
        <v>-3.6483270685301328E-3</v>
      </c>
      <c r="M33" s="14">
        <f t="shared" si="22"/>
        <v>-0.12147488716601984</v>
      </c>
      <c r="N33" s="14">
        <f t="shared" si="22"/>
        <v>-8.7452301366789165E-2</v>
      </c>
      <c r="O33" s="14">
        <f t="shared" si="22"/>
        <v>-0.21815297230384378</v>
      </c>
      <c r="P33" s="14">
        <f t="shared" si="22"/>
        <v>-0.24571959233379914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CARATINGA</vt:lpstr>
      <vt:lpstr>CORONEL FABRICIANO - TIMÓTEO</vt:lpstr>
      <vt:lpstr>IPATINGA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2025-04-26T00:29:35Z</dcterms:created>
  <dcterms:modified xsi:type="dcterms:W3CDTF">2025-08-24T20:56:53Z</dcterms:modified>
</cp:coreProperties>
</file>