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consolidado/"/>
    </mc:Choice>
  </mc:AlternateContent>
  <xr:revisionPtr revIDLastSave="58" documentId="8_{BEBC3372-B5F5-421E-BB6E-A2DABAB66FBA}" xr6:coauthVersionLast="47" xr6:coauthVersionMax="47" xr10:uidLastSave="{84643739-FE7A-4E11-BF6D-0A8DDBE9B4D0}"/>
  <bookViews>
    <workbookView xWindow="-108" yWindow="-108" windowWidth="23256" windowHeight="12456" firstSheet="6" activeTab="7" xr2:uid="{D318FE62-00D7-4282-9E1B-3102D8F9EFA8}"/>
  </bookViews>
  <sheets>
    <sheet name="BOM DESPACHO" sheetId="1" r:id="rId1"/>
    <sheet name="CAMPO BELO" sheetId="2" r:id="rId2"/>
    <sheet name="DIVINÓPOLIS" sheetId="3" r:id="rId3"/>
    <sheet name="FORMIGA" sheetId="4" r:id="rId4"/>
    <sheet name="ITAÚNA" sheetId="5" r:id="rId5"/>
    <sheet name="LAGOA DA PRATA - STO ANT MONTE" sheetId="6" r:id="rId6"/>
    <sheet name="OLIVEIRA - STO ANT DO AMPARO" sheetId="7" r:id="rId7"/>
    <sheet name="PARÁ DE MINA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8" l="1"/>
  <c r="O12" i="8"/>
  <c r="N12" i="8"/>
  <c r="M12" i="8"/>
  <c r="L12" i="8"/>
  <c r="K12" i="8"/>
  <c r="P10" i="7"/>
  <c r="O10" i="7"/>
  <c r="N10" i="7"/>
  <c r="M10" i="7"/>
  <c r="L10" i="7"/>
  <c r="K10" i="7"/>
  <c r="P9" i="6"/>
  <c r="O9" i="6"/>
  <c r="N9" i="6"/>
  <c r="M9" i="6"/>
  <c r="L9" i="6"/>
  <c r="K9" i="6"/>
  <c r="P8" i="5"/>
  <c r="O8" i="5"/>
  <c r="N8" i="5"/>
  <c r="M8" i="5"/>
  <c r="L8" i="5"/>
  <c r="K8" i="5"/>
  <c r="K15" i="4"/>
  <c r="P12" i="4"/>
  <c r="O12" i="4"/>
  <c r="N12" i="4"/>
  <c r="M12" i="4"/>
  <c r="L12" i="4"/>
  <c r="K12" i="4"/>
  <c r="P12" i="3"/>
  <c r="O12" i="3"/>
  <c r="N12" i="3"/>
  <c r="M12" i="3"/>
  <c r="L12" i="3"/>
  <c r="K12" i="3"/>
  <c r="P11" i="2"/>
  <c r="O11" i="2"/>
  <c r="N11" i="2"/>
  <c r="M11" i="2"/>
  <c r="L11" i="2"/>
  <c r="K11" i="2"/>
  <c r="P11" i="1"/>
  <c r="O11" i="1"/>
  <c r="N11" i="1"/>
  <c r="M11" i="1"/>
  <c r="L11" i="1"/>
  <c r="K11" i="1"/>
  <c r="H19" i="8"/>
  <c r="G19" i="8"/>
  <c r="F19" i="8"/>
  <c r="E19" i="8"/>
  <c r="D19" i="8"/>
  <c r="C19" i="8"/>
  <c r="H18" i="8"/>
  <c r="G18" i="8"/>
  <c r="F18" i="8"/>
  <c r="E18" i="8"/>
  <c r="D18" i="8"/>
  <c r="C18" i="8"/>
  <c r="H17" i="8"/>
  <c r="G17" i="8"/>
  <c r="F17" i="8"/>
  <c r="E17" i="8"/>
  <c r="D17" i="8"/>
  <c r="C17" i="8"/>
  <c r="H16" i="8"/>
  <c r="G16" i="8"/>
  <c r="F16" i="8"/>
  <c r="E16" i="8"/>
  <c r="D16" i="8"/>
  <c r="C16" i="8"/>
  <c r="H15" i="8"/>
  <c r="G15" i="8"/>
  <c r="F15" i="8"/>
  <c r="E15" i="8"/>
  <c r="D15" i="8"/>
  <c r="C15" i="8"/>
  <c r="H14" i="8"/>
  <c r="G14" i="8"/>
  <c r="F14" i="8"/>
  <c r="E14" i="8"/>
  <c r="D14" i="8"/>
  <c r="C14" i="8"/>
  <c r="H13" i="8"/>
  <c r="G13" i="8"/>
  <c r="F13" i="8"/>
  <c r="E13" i="8"/>
  <c r="D13" i="8"/>
  <c r="C13" i="8"/>
  <c r="H12" i="8"/>
  <c r="G12" i="8"/>
  <c r="F12" i="8"/>
  <c r="E12" i="8"/>
  <c r="D12" i="8"/>
  <c r="C12" i="8"/>
  <c r="P3" i="8"/>
  <c r="P4" i="8" s="1"/>
  <c r="P5" i="8" s="1"/>
  <c r="P6" i="8" s="1"/>
  <c r="P7" i="8" s="1"/>
  <c r="P8" i="8" s="1"/>
  <c r="P9" i="8" s="1"/>
  <c r="O3" i="8"/>
  <c r="O4" i="8" s="1"/>
  <c r="O5" i="8" s="1"/>
  <c r="O6" i="8" s="1"/>
  <c r="O7" i="8" s="1"/>
  <c r="O8" i="8" s="1"/>
  <c r="O9" i="8" s="1"/>
  <c r="N3" i="8"/>
  <c r="N4" i="8" s="1"/>
  <c r="N5" i="8" s="1"/>
  <c r="N6" i="8" s="1"/>
  <c r="N7" i="8" s="1"/>
  <c r="N8" i="8" s="1"/>
  <c r="N9" i="8" s="1"/>
  <c r="M3" i="8"/>
  <c r="M4" i="8" s="1"/>
  <c r="M5" i="8" s="1"/>
  <c r="M6" i="8" s="1"/>
  <c r="M7" i="8" s="1"/>
  <c r="M8" i="8" s="1"/>
  <c r="M9" i="8" s="1"/>
  <c r="L3" i="8"/>
  <c r="L4" i="8" s="1"/>
  <c r="L5" i="8" s="1"/>
  <c r="L6" i="8" s="1"/>
  <c r="L7" i="8" s="1"/>
  <c r="L8" i="8" s="1"/>
  <c r="L9" i="8" s="1"/>
  <c r="K3" i="8"/>
  <c r="K4" i="8" s="1"/>
  <c r="K5" i="8" s="1"/>
  <c r="K6" i="8" s="1"/>
  <c r="K7" i="8" s="1"/>
  <c r="K8" i="8" s="1"/>
  <c r="K9" i="8" s="1"/>
  <c r="J3" i="8"/>
  <c r="J4" i="8" s="1"/>
  <c r="J5" i="8" s="1"/>
  <c r="J6" i="8" s="1"/>
  <c r="J7" i="8" s="1"/>
  <c r="J8" i="8" s="1"/>
  <c r="J9" i="8" s="1"/>
  <c r="H15" i="7"/>
  <c r="G15" i="7"/>
  <c r="F15" i="7"/>
  <c r="E15" i="7"/>
  <c r="D15" i="7"/>
  <c r="C15" i="7"/>
  <c r="H14" i="7"/>
  <c r="G14" i="7"/>
  <c r="F14" i="7"/>
  <c r="E14" i="7"/>
  <c r="D14" i="7"/>
  <c r="C14" i="7"/>
  <c r="H13" i="7"/>
  <c r="G13" i="7"/>
  <c r="F13" i="7"/>
  <c r="E13" i="7"/>
  <c r="D13" i="7"/>
  <c r="C13" i="7"/>
  <c r="H12" i="7"/>
  <c r="G12" i="7"/>
  <c r="F12" i="7"/>
  <c r="E12" i="7"/>
  <c r="D12" i="7"/>
  <c r="C12" i="7"/>
  <c r="H11" i="7"/>
  <c r="G11" i="7"/>
  <c r="F11" i="7"/>
  <c r="E11" i="7"/>
  <c r="D11" i="7"/>
  <c r="C11" i="7"/>
  <c r="H10" i="7"/>
  <c r="G10" i="7"/>
  <c r="F10" i="7"/>
  <c r="E10" i="7"/>
  <c r="D10" i="7"/>
  <c r="C10" i="7"/>
  <c r="P3" i="7"/>
  <c r="P4" i="7" s="1"/>
  <c r="P5" i="7" s="1"/>
  <c r="P6" i="7" s="1"/>
  <c r="P7" i="7" s="1"/>
  <c r="O3" i="7"/>
  <c r="O4" i="7" s="1"/>
  <c r="O5" i="7" s="1"/>
  <c r="O6" i="7" s="1"/>
  <c r="O7" i="7" s="1"/>
  <c r="N3" i="7"/>
  <c r="N4" i="7" s="1"/>
  <c r="N5" i="7" s="1"/>
  <c r="N6" i="7" s="1"/>
  <c r="N7" i="7" s="1"/>
  <c r="M3" i="7"/>
  <c r="M4" i="7" s="1"/>
  <c r="M5" i="7" s="1"/>
  <c r="M6" i="7" s="1"/>
  <c r="M7" i="7" s="1"/>
  <c r="M15" i="7" s="1"/>
  <c r="L3" i="7"/>
  <c r="L4" i="7" s="1"/>
  <c r="L5" i="7" s="1"/>
  <c r="L6" i="7" s="1"/>
  <c r="L7" i="7" s="1"/>
  <c r="K3" i="7"/>
  <c r="K4" i="7" s="1"/>
  <c r="K5" i="7" s="1"/>
  <c r="K6" i="7" s="1"/>
  <c r="K7" i="7" s="1"/>
  <c r="J3" i="7"/>
  <c r="J4" i="7" s="1"/>
  <c r="J5" i="7" s="1"/>
  <c r="J6" i="7" s="1"/>
  <c r="J7" i="7" s="1"/>
  <c r="P15" i="7" s="1"/>
  <c r="H13" i="6"/>
  <c r="G13" i="6"/>
  <c r="F13" i="6"/>
  <c r="E13" i="6"/>
  <c r="D13" i="6"/>
  <c r="C13" i="6"/>
  <c r="H12" i="6"/>
  <c r="G12" i="6"/>
  <c r="F12" i="6"/>
  <c r="E12" i="6"/>
  <c r="D12" i="6"/>
  <c r="C12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P3" i="6"/>
  <c r="P4" i="6" s="1"/>
  <c r="P5" i="6" s="1"/>
  <c r="P6" i="6" s="1"/>
  <c r="O3" i="6"/>
  <c r="O4" i="6" s="1"/>
  <c r="O5" i="6" s="1"/>
  <c r="O6" i="6" s="1"/>
  <c r="N3" i="6"/>
  <c r="N4" i="6" s="1"/>
  <c r="N5" i="6" s="1"/>
  <c r="N6" i="6" s="1"/>
  <c r="M3" i="6"/>
  <c r="M4" i="6" s="1"/>
  <c r="M5" i="6" s="1"/>
  <c r="M6" i="6" s="1"/>
  <c r="L3" i="6"/>
  <c r="L4" i="6" s="1"/>
  <c r="L5" i="6" s="1"/>
  <c r="L6" i="6" s="1"/>
  <c r="K3" i="6"/>
  <c r="K4" i="6" s="1"/>
  <c r="K5" i="6" s="1"/>
  <c r="K6" i="6" s="1"/>
  <c r="J3" i="6"/>
  <c r="J4" i="6" s="1"/>
  <c r="J5" i="6" s="1"/>
  <c r="J6" i="6" s="1"/>
  <c r="P13" i="6" s="1"/>
  <c r="H11" i="5"/>
  <c r="G11" i="5"/>
  <c r="F11" i="5"/>
  <c r="E11" i="5"/>
  <c r="D11" i="5"/>
  <c r="C11" i="5"/>
  <c r="H10" i="5"/>
  <c r="G10" i="5"/>
  <c r="F10" i="5"/>
  <c r="E10" i="5"/>
  <c r="D10" i="5"/>
  <c r="C10" i="5"/>
  <c r="H9" i="5"/>
  <c r="G9" i="5"/>
  <c r="F9" i="5"/>
  <c r="E9" i="5"/>
  <c r="D9" i="5"/>
  <c r="C9" i="5"/>
  <c r="H8" i="5"/>
  <c r="G8" i="5"/>
  <c r="F8" i="5"/>
  <c r="E8" i="5"/>
  <c r="D8" i="5"/>
  <c r="C8" i="5"/>
  <c r="P3" i="5"/>
  <c r="P4" i="5" s="1"/>
  <c r="P5" i="5" s="1"/>
  <c r="O3" i="5"/>
  <c r="O4" i="5" s="1"/>
  <c r="O5" i="5" s="1"/>
  <c r="N3" i="5"/>
  <c r="N4" i="5" s="1"/>
  <c r="M3" i="5"/>
  <c r="M4" i="5" s="1"/>
  <c r="M5" i="5" s="1"/>
  <c r="L3" i="5"/>
  <c r="L4" i="5" s="1"/>
  <c r="L5" i="5" s="1"/>
  <c r="L11" i="5" s="1"/>
  <c r="K3" i="5"/>
  <c r="K4" i="5" s="1"/>
  <c r="K5" i="5" s="1"/>
  <c r="J3" i="5"/>
  <c r="J4" i="5" s="1"/>
  <c r="J5" i="5" s="1"/>
  <c r="O11" i="5" s="1"/>
  <c r="H19" i="4"/>
  <c r="G19" i="4"/>
  <c r="F19" i="4"/>
  <c r="E19" i="4"/>
  <c r="D19" i="4"/>
  <c r="C19" i="4"/>
  <c r="H18" i="4"/>
  <c r="G18" i="4"/>
  <c r="F18" i="4"/>
  <c r="E18" i="4"/>
  <c r="D18" i="4"/>
  <c r="C18" i="4"/>
  <c r="H17" i="4"/>
  <c r="G17" i="4"/>
  <c r="F17" i="4"/>
  <c r="E17" i="4"/>
  <c r="D17" i="4"/>
  <c r="C17" i="4"/>
  <c r="H16" i="4"/>
  <c r="G16" i="4"/>
  <c r="F16" i="4"/>
  <c r="E16" i="4"/>
  <c r="D16" i="4"/>
  <c r="C16" i="4"/>
  <c r="H15" i="4"/>
  <c r="G15" i="4"/>
  <c r="F15" i="4"/>
  <c r="E15" i="4"/>
  <c r="D15" i="4"/>
  <c r="C15" i="4"/>
  <c r="H14" i="4"/>
  <c r="G14" i="4"/>
  <c r="F14" i="4"/>
  <c r="E14" i="4"/>
  <c r="D14" i="4"/>
  <c r="C14" i="4"/>
  <c r="H13" i="4"/>
  <c r="G13" i="4"/>
  <c r="F13" i="4"/>
  <c r="E13" i="4"/>
  <c r="D13" i="4"/>
  <c r="C13" i="4"/>
  <c r="H12" i="4"/>
  <c r="G12" i="4"/>
  <c r="F12" i="4"/>
  <c r="E12" i="4"/>
  <c r="D12" i="4"/>
  <c r="C12" i="4"/>
  <c r="P3" i="4"/>
  <c r="P4" i="4" s="1"/>
  <c r="P5" i="4" s="1"/>
  <c r="P6" i="4" s="1"/>
  <c r="P7" i="4" s="1"/>
  <c r="P8" i="4" s="1"/>
  <c r="P9" i="4" s="1"/>
  <c r="O3" i="4"/>
  <c r="O4" i="4" s="1"/>
  <c r="O5" i="4" s="1"/>
  <c r="O6" i="4" s="1"/>
  <c r="O7" i="4" s="1"/>
  <c r="O8" i="4" s="1"/>
  <c r="O9" i="4" s="1"/>
  <c r="N3" i="4"/>
  <c r="N4" i="4" s="1"/>
  <c r="N5" i="4" s="1"/>
  <c r="N6" i="4" s="1"/>
  <c r="N7" i="4" s="1"/>
  <c r="N8" i="4" s="1"/>
  <c r="N9" i="4" s="1"/>
  <c r="M3" i="4"/>
  <c r="M4" i="4" s="1"/>
  <c r="M5" i="4" s="1"/>
  <c r="M6" i="4" s="1"/>
  <c r="M7" i="4" s="1"/>
  <c r="M8" i="4" s="1"/>
  <c r="M9" i="4" s="1"/>
  <c r="L3" i="4"/>
  <c r="L4" i="4" s="1"/>
  <c r="L5" i="4" s="1"/>
  <c r="L6" i="4" s="1"/>
  <c r="L7" i="4" s="1"/>
  <c r="L8" i="4" s="1"/>
  <c r="L9" i="4" s="1"/>
  <c r="K3" i="4"/>
  <c r="K4" i="4" s="1"/>
  <c r="K5" i="4" s="1"/>
  <c r="K6" i="4" s="1"/>
  <c r="K7" i="4" s="1"/>
  <c r="K8" i="4" s="1"/>
  <c r="K9" i="4" s="1"/>
  <c r="J3" i="4"/>
  <c r="J4" i="4" s="1"/>
  <c r="J5" i="4" s="1"/>
  <c r="J6" i="4" s="1"/>
  <c r="J7" i="4" s="1"/>
  <c r="J8" i="4" s="1"/>
  <c r="J9" i="4" s="1"/>
  <c r="P19" i="4" s="1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P3" i="3"/>
  <c r="P4" i="3" s="1"/>
  <c r="P5" i="3" s="1"/>
  <c r="P6" i="3" s="1"/>
  <c r="P7" i="3" s="1"/>
  <c r="P8" i="3" s="1"/>
  <c r="P9" i="3" s="1"/>
  <c r="O3" i="3"/>
  <c r="O4" i="3" s="1"/>
  <c r="O5" i="3" s="1"/>
  <c r="O6" i="3" s="1"/>
  <c r="O7" i="3" s="1"/>
  <c r="O8" i="3" s="1"/>
  <c r="O9" i="3" s="1"/>
  <c r="N3" i="3"/>
  <c r="N4" i="3" s="1"/>
  <c r="N5" i="3" s="1"/>
  <c r="N6" i="3" s="1"/>
  <c r="N7" i="3" s="1"/>
  <c r="N8" i="3" s="1"/>
  <c r="N9" i="3" s="1"/>
  <c r="M3" i="3"/>
  <c r="M4" i="3" s="1"/>
  <c r="M5" i="3" s="1"/>
  <c r="M6" i="3" s="1"/>
  <c r="M7" i="3" s="1"/>
  <c r="M8" i="3" s="1"/>
  <c r="M9" i="3" s="1"/>
  <c r="L3" i="3"/>
  <c r="L4" i="3" s="1"/>
  <c r="L5" i="3" s="1"/>
  <c r="L6" i="3" s="1"/>
  <c r="L7" i="3" s="1"/>
  <c r="L8" i="3" s="1"/>
  <c r="L9" i="3" s="1"/>
  <c r="K3" i="3"/>
  <c r="K4" i="3" s="1"/>
  <c r="K5" i="3" s="1"/>
  <c r="K6" i="3" s="1"/>
  <c r="K7" i="3" s="1"/>
  <c r="K8" i="3" s="1"/>
  <c r="K9" i="3" s="1"/>
  <c r="J3" i="3"/>
  <c r="J4" i="3" s="1"/>
  <c r="J5" i="3" s="1"/>
  <c r="J6" i="3" s="1"/>
  <c r="J7" i="3" s="1"/>
  <c r="J8" i="3" s="1"/>
  <c r="J9" i="3" s="1"/>
  <c r="M17" i="8" l="1"/>
  <c r="P19" i="8"/>
  <c r="O14" i="8"/>
  <c r="M13" i="8"/>
  <c r="K16" i="8"/>
  <c r="O18" i="8"/>
  <c r="O12" i="7"/>
  <c r="L12" i="7"/>
  <c r="K14" i="7"/>
  <c r="O14" i="7"/>
  <c r="P14" i="7"/>
  <c r="K12" i="7"/>
  <c r="K10" i="6"/>
  <c r="O12" i="6"/>
  <c r="P11" i="5"/>
  <c r="L9" i="5"/>
  <c r="M9" i="5"/>
  <c r="N9" i="5"/>
  <c r="O9" i="5"/>
  <c r="O12" i="5" s="1"/>
  <c r="O13" i="5" s="1"/>
  <c r="K11" i="5"/>
  <c r="P9" i="5"/>
  <c r="P12" i="5" s="1"/>
  <c r="P13" i="5" s="1"/>
  <c r="O10" i="5"/>
  <c r="P10" i="5"/>
  <c r="K19" i="4"/>
  <c r="L19" i="4"/>
  <c r="N16" i="4"/>
  <c r="L15" i="4"/>
  <c r="K16" i="4"/>
  <c r="P19" i="3"/>
  <c r="L19" i="3"/>
  <c r="O19" i="3"/>
  <c r="O14" i="3"/>
  <c r="K16" i="3"/>
  <c r="K17" i="3"/>
  <c r="M17" i="3"/>
  <c r="K13" i="3"/>
  <c r="P17" i="3"/>
  <c r="M13" i="3"/>
  <c r="M18" i="3"/>
  <c r="P13" i="3"/>
  <c r="O18" i="3"/>
  <c r="M14" i="3"/>
  <c r="N5" i="5"/>
  <c r="N11" i="5" s="1"/>
  <c r="N10" i="5"/>
  <c r="K10" i="5"/>
  <c r="M11" i="5"/>
  <c r="L10" i="5"/>
  <c r="K9" i="5"/>
  <c r="M10" i="5"/>
  <c r="N13" i="8"/>
  <c r="P14" i="8"/>
  <c r="L16" i="8"/>
  <c r="N17" i="8"/>
  <c r="P18" i="8"/>
  <c r="O13" i="8"/>
  <c r="K15" i="8"/>
  <c r="M16" i="8"/>
  <c r="O17" i="8"/>
  <c r="K19" i="8"/>
  <c r="P13" i="8"/>
  <c r="L15" i="8"/>
  <c r="N16" i="8"/>
  <c r="P17" i="8"/>
  <c r="L19" i="8"/>
  <c r="K14" i="8"/>
  <c r="M15" i="8"/>
  <c r="O16" i="8"/>
  <c r="K18" i="8"/>
  <c r="M19" i="8"/>
  <c r="L14" i="8"/>
  <c r="N15" i="8"/>
  <c r="P16" i="8"/>
  <c r="L18" i="8"/>
  <c r="N19" i="8"/>
  <c r="K13" i="8"/>
  <c r="M14" i="8"/>
  <c r="O15" i="8"/>
  <c r="K17" i="8"/>
  <c r="M18" i="8"/>
  <c r="O19" i="8"/>
  <c r="L13" i="8"/>
  <c r="N14" i="8"/>
  <c r="P15" i="8"/>
  <c r="L17" i="8"/>
  <c r="N18" i="8"/>
  <c r="K11" i="7"/>
  <c r="M12" i="7"/>
  <c r="O13" i="7"/>
  <c r="K15" i="7"/>
  <c r="N13" i="7"/>
  <c r="L11" i="7"/>
  <c r="N12" i="7"/>
  <c r="P13" i="7"/>
  <c r="L15" i="7"/>
  <c r="M13" i="7"/>
  <c r="M11" i="7"/>
  <c r="N11" i="7"/>
  <c r="P12" i="7"/>
  <c r="L14" i="7"/>
  <c r="N15" i="7"/>
  <c r="O11" i="7"/>
  <c r="K13" i="7"/>
  <c r="K16" i="7" s="1"/>
  <c r="K17" i="7" s="1"/>
  <c r="M14" i="7"/>
  <c r="O15" i="7"/>
  <c r="P11" i="7"/>
  <c r="L13" i="7"/>
  <c r="N14" i="7"/>
  <c r="M11" i="6"/>
  <c r="L10" i="6"/>
  <c r="N11" i="6"/>
  <c r="P12" i="6"/>
  <c r="M10" i="6"/>
  <c r="O11" i="6"/>
  <c r="O14" i="6" s="1"/>
  <c r="O15" i="6" s="1"/>
  <c r="K13" i="6"/>
  <c r="N10" i="6"/>
  <c r="P11" i="6"/>
  <c r="L13" i="6"/>
  <c r="O10" i="6"/>
  <c r="K12" i="6"/>
  <c r="M13" i="6"/>
  <c r="P10" i="6"/>
  <c r="L12" i="6"/>
  <c r="N13" i="6"/>
  <c r="K11" i="6"/>
  <c r="M12" i="6"/>
  <c r="O13" i="6"/>
  <c r="L11" i="6"/>
  <c r="N12" i="6"/>
  <c r="M13" i="4"/>
  <c r="O14" i="4"/>
  <c r="M17" i="4"/>
  <c r="O18" i="4"/>
  <c r="N13" i="4"/>
  <c r="P14" i="4"/>
  <c r="L16" i="4"/>
  <c r="N17" i="4"/>
  <c r="P18" i="4"/>
  <c r="O17" i="4"/>
  <c r="P17" i="4"/>
  <c r="K14" i="4"/>
  <c r="M15" i="4"/>
  <c r="O16" i="4"/>
  <c r="K18" i="4"/>
  <c r="M19" i="4"/>
  <c r="O13" i="4"/>
  <c r="L14" i="4"/>
  <c r="N15" i="4"/>
  <c r="P16" i="4"/>
  <c r="L18" i="4"/>
  <c r="N19" i="4"/>
  <c r="K13" i="4"/>
  <c r="M14" i="4"/>
  <c r="O15" i="4"/>
  <c r="K17" i="4"/>
  <c r="M18" i="4"/>
  <c r="O19" i="4"/>
  <c r="M16" i="4"/>
  <c r="P13" i="4"/>
  <c r="L13" i="4"/>
  <c r="N14" i="4"/>
  <c r="P15" i="4"/>
  <c r="L17" i="4"/>
  <c r="N18" i="4"/>
  <c r="N13" i="3"/>
  <c r="P14" i="3"/>
  <c r="L16" i="3"/>
  <c r="N17" i="3"/>
  <c r="P18" i="3"/>
  <c r="O13" i="3"/>
  <c r="K15" i="3"/>
  <c r="M16" i="3"/>
  <c r="O17" i="3"/>
  <c r="K19" i="3"/>
  <c r="K14" i="3"/>
  <c r="M15" i="3"/>
  <c r="M20" i="3" s="1"/>
  <c r="M21" i="3" s="1"/>
  <c r="O16" i="3"/>
  <c r="K18" i="3"/>
  <c r="M19" i="3"/>
  <c r="L15" i="3"/>
  <c r="N16" i="3"/>
  <c r="L14" i="3"/>
  <c r="N15" i="3"/>
  <c r="P16" i="3"/>
  <c r="L18" i="3"/>
  <c r="N19" i="3"/>
  <c r="O15" i="3"/>
  <c r="L13" i="3"/>
  <c r="N14" i="3"/>
  <c r="P15" i="3"/>
  <c r="L17" i="3"/>
  <c r="N18" i="3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12" i="2"/>
  <c r="G12" i="2"/>
  <c r="F12" i="2"/>
  <c r="E12" i="2"/>
  <c r="D12" i="2"/>
  <c r="C12" i="2"/>
  <c r="H11" i="2"/>
  <c r="G11" i="2"/>
  <c r="F11" i="2"/>
  <c r="E11" i="2"/>
  <c r="D11" i="2"/>
  <c r="C11" i="2"/>
  <c r="P3" i="2"/>
  <c r="P4" i="2" s="1"/>
  <c r="P5" i="2" s="1"/>
  <c r="P6" i="2" s="1"/>
  <c r="P7" i="2" s="1"/>
  <c r="P8" i="2" s="1"/>
  <c r="O3" i="2"/>
  <c r="O4" i="2" s="1"/>
  <c r="O5" i="2" s="1"/>
  <c r="O6" i="2" s="1"/>
  <c r="O7" i="2" s="1"/>
  <c r="O8" i="2" s="1"/>
  <c r="N3" i="2"/>
  <c r="N4" i="2" s="1"/>
  <c r="N5" i="2" s="1"/>
  <c r="N6" i="2" s="1"/>
  <c r="N7" i="2" s="1"/>
  <c r="N8" i="2" s="1"/>
  <c r="M3" i="2"/>
  <c r="M4" i="2" s="1"/>
  <c r="M5" i="2" s="1"/>
  <c r="M6" i="2" s="1"/>
  <c r="M7" i="2" s="1"/>
  <c r="M8" i="2" s="1"/>
  <c r="L3" i="2"/>
  <c r="L4" i="2" s="1"/>
  <c r="L5" i="2" s="1"/>
  <c r="L6" i="2" s="1"/>
  <c r="L7" i="2" s="1"/>
  <c r="L8" i="2" s="1"/>
  <c r="K3" i="2"/>
  <c r="K4" i="2" s="1"/>
  <c r="K5" i="2" s="1"/>
  <c r="K6" i="2" s="1"/>
  <c r="K7" i="2" s="1"/>
  <c r="K8" i="2" s="1"/>
  <c r="J3" i="2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P3" i="1"/>
  <c r="P4" i="1" s="1"/>
  <c r="P5" i="1" s="1"/>
  <c r="P6" i="1" s="1"/>
  <c r="P7" i="1" s="1"/>
  <c r="P8" i="1" s="1"/>
  <c r="O3" i="1"/>
  <c r="O4" i="1" s="1"/>
  <c r="O5" i="1" s="1"/>
  <c r="O6" i="1" s="1"/>
  <c r="O7" i="1" s="1"/>
  <c r="O8" i="1" s="1"/>
  <c r="N3" i="1"/>
  <c r="N4" i="1" s="1"/>
  <c r="N5" i="1" s="1"/>
  <c r="N6" i="1" s="1"/>
  <c r="N7" i="1" s="1"/>
  <c r="N8" i="1" s="1"/>
  <c r="M3" i="1"/>
  <c r="M4" i="1" s="1"/>
  <c r="M5" i="1" s="1"/>
  <c r="M6" i="1" s="1"/>
  <c r="M7" i="1" s="1"/>
  <c r="M8" i="1" s="1"/>
  <c r="L3" i="1"/>
  <c r="L4" i="1" s="1"/>
  <c r="L5" i="1" s="1"/>
  <c r="L6" i="1" s="1"/>
  <c r="L7" i="1" s="1"/>
  <c r="L8" i="1" s="1"/>
  <c r="K3" i="1"/>
  <c r="K4" i="1" s="1"/>
  <c r="K5" i="1" s="1"/>
  <c r="K6" i="1" s="1"/>
  <c r="K7" i="1" s="1"/>
  <c r="K8" i="1" s="1"/>
  <c r="J3" i="1"/>
  <c r="O20" i="8" l="1"/>
  <c r="O21" i="8" s="1"/>
  <c r="M20" i="8"/>
  <c r="M21" i="8" s="1"/>
  <c r="P20" i="8"/>
  <c r="P21" i="8" s="1"/>
  <c r="K20" i="8"/>
  <c r="K21" i="8" s="1"/>
  <c r="N16" i="7"/>
  <c r="N17" i="7" s="1"/>
  <c r="M16" i="7"/>
  <c r="M17" i="7" s="1"/>
  <c r="P14" i="6"/>
  <c r="P15" i="6" s="1"/>
  <c r="K14" i="6"/>
  <c r="K15" i="6" s="1"/>
  <c r="N12" i="5"/>
  <c r="N13" i="5" s="1"/>
  <c r="K12" i="5"/>
  <c r="K13" i="5" s="1"/>
  <c r="L12" i="5"/>
  <c r="L13" i="5" s="1"/>
  <c r="M20" i="4"/>
  <c r="M21" i="4" s="1"/>
  <c r="K20" i="4"/>
  <c r="K21" i="4" s="1"/>
  <c r="P20" i="4"/>
  <c r="P21" i="4" s="1"/>
  <c r="O20" i="3"/>
  <c r="O21" i="3" s="1"/>
  <c r="K20" i="3"/>
  <c r="K21" i="3" s="1"/>
  <c r="P20" i="3"/>
  <c r="P21" i="3" s="1"/>
  <c r="M12" i="5"/>
  <c r="M13" i="5" s="1"/>
  <c r="N20" i="8"/>
  <c r="N21" i="8" s="1"/>
  <c r="L20" i="8"/>
  <c r="L21" i="8" s="1"/>
  <c r="L16" i="7"/>
  <c r="L17" i="7" s="1"/>
  <c r="P16" i="7"/>
  <c r="P17" i="7" s="1"/>
  <c r="O16" i="7"/>
  <c r="O17" i="7" s="1"/>
  <c r="M14" i="6"/>
  <c r="M15" i="6" s="1"/>
  <c r="L14" i="6"/>
  <c r="L15" i="6" s="1"/>
  <c r="N14" i="6"/>
  <c r="N15" i="6" s="1"/>
  <c r="N20" i="4"/>
  <c r="N21" i="4" s="1"/>
  <c r="O20" i="4"/>
  <c r="O21" i="4" s="1"/>
  <c r="L20" i="4"/>
  <c r="L21" i="4" s="1"/>
  <c r="L20" i="3"/>
  <c r="L21" i="3" s="1"/>
  <c r="N20" i="3"/>
  <c r="N21" i="3" s="1"/>
  <c r="J4" i="2"/>
  <c r="N12" i="2"/>
  <c r="M12" i="2"/>
  <c r="L12" i="2"/>
  <c r="K12" i="2"/>
  <c r="O12" i="2"/>
  <c r="P12" i="2"/>
  <c r="J4" i="1"/>
  <c r="N12" i="1"/>
  <c r="M12" i="1"/>
  <c r="L12" i="1"/>
  <c r="K12" i="1"/>
  <c r="P12" i="1"/>
  <c r="O12" i="1"/>
  <c r="J5" i="2" l="1"/>
  <c r="P13" i="2"/>
  <c r="O13" i="2"/>
  <c r="N13" i="2"/>
  <c r="M13" i="2"/>
  <c r="L13" i="2"/>
  <c r="K13" i="2"/>
  <c r="J5" i="1"/>
  <c r="P13" i="1"/>
  <c r="O13" i="1"/>
  <c r="N13" i="1"/>
  <c r="M13" i="1"/>
  <c r="L13" i="1"/>
  <c r="K13" i="1"/>
  <c r="J6" i="2" l="1"/>
  <c r="K14" i="2"/>
  <c r="P14" i="2"/>
  <c r="O14" i="2"/>
  <c r="N14" i="2"/>
  <c r="M14" i="2"/>
  <c r="L14" i="2"/>
  <c r="J6" i="1"/>
  <c r="M14" i="1"/>
  <c r="P14" i="1"/>
  <c r="N14" i="1"/>
  <c r="O14" i="1"/>
  <c r="L14" i="1"/>
  <c r="K14" i="1"/>
  <c r="J7" i="2" l="1"/>
  <c r="L15" i="2"/>
  <c r="K15" i="2"/>
  <c r="M15" i="2"/>
  <c r="P15" i="2"/>
  <c r="O15" i="2"/>
  <c r="N15" i="2"/>
  <c r="J7" i="1"/>
  <c r="L15" i="1"/>
  <c r="O15" i="1"/>
  <c r="K15" i="1"/>
  <c r="P15" i="1"/>
  <c r="N15" i="1"/>
  <c r="M15" i="1"/>
  <c r="J8" i="2" l="1"/>
  <c r="N16" i="2"/>
  <c r="M16" i="2"/>
  <c r="L16" i="2"/>
  <c r="K16" i="2"/>
  <c r="P16" i="2"/>
  <c r="O16" i="2"/>
  <c r="J8" i="1"/>
  <c r="N16" i="1"/>
  <c r="M16" i="1"/>
  <c r="L16" i="1"/>
  <c r="K16" i="1"/>
  <c r="P16" i="1"/>
  <c r="O16" i="1"/>
  <c r="P17" i="2" l="1"/>
  <c r="P18" i="2" s="1"/>
  <c r="P19" i="2" s="1"/>
  <c r="O17" i="2"/>
  <c r="O18" i="2" s="1"/>
  <c r="O19" i="2" s="1"/>
  <c r="N17" i="2"/>
  <c r="N18" i="2" s="1"/>
  <c r="N19" i="2" s="1"/>
  <c r="M17" i="2"/>
  <c r="M18" i="2" s="1"/>
  <c r="M19" i="2" s="1"/>
  <c r="L17" i="2"/>
  <c r="L18" i="2" s="1"/>
  <c r="L19" i="2" s="1"/>
  <c r="K17" i="2"/>
  <c r="K18" i="2" s="1"/>
  <c r="K19" i="2" s="1"/>
  <c r="P17" i="1"/>
  <c r="P18" i="1" s="1"/>
  <c r="P19" i="1" s="1"/>
  <c r="L17" i="1"/>
  <c r="L18" i="1" s="1"/>
  <c r="L19" i="1" s="1"/>
  <c r="O17" i="1"/>
  <c r="O18" i="1" s="1"/>
  <c r="O19" i="1" s="1"/>
  <c r="N17" i="1"/>
  <c r="N18" i="1" s="1"/>
  <c r="N19" i="1" s="1"/>
  <c r="K17" i="1"/>
  <c r="K18" i="1" s="1"/>
  <c r="K19" i="1" s="1"/>
  <c r="M17" i="1"/>
  <c r="M18" i="1" s="1"/>
  <c r="M19" i="1" s="1"/>
</calcChain>
</file>

<file path=xl/sharedStrings.xml><?xml version="1.0" encoding="utf-8"?>
<sst xmlns="http://schemas.openxmlformats.org/spreadsheetml/2006/main" count="408" uniqueCount="75">
  <si>
    <t>BOM DESPACHO</t>
  </si>
  <si>
    <t>DORES DO INDAIÁ</t>
  </si>
  <si>
    <t>ESTRELA DO INDAIÁ</t>
  </si>
  <si>
    <t>LUZ</t>
  </si>
  <si>
    <t>MARTINHO CAMPOS</t>
  </si>
  <si>
    <t>MOEMA</t>
  </si>
  <si>
    <t>SERRA DA SAUDADE</t>
  </si>
  <si>
    <t>CAMPO BELO</t>
  </si>
  <si>
    <t>AGUANIL</t>
  </si>
  <si>
    <t>CAMACHO</t>
  </si>
  <si>
    <t>CANA VERDE</t>
  </si>
  <si>
    <t>CANDEIAS</t>
  </si>
  <si>
    <t>CRISTAIS</t>
  </si>
  <si>
    <t>SANTANA DO JACARÉ</t>
  </si>
  <si>
    <t>DIVINÓPOLIS</t>
  </si>
  <si>
    <t>ARAÚJOS</t>
  </si>
  <si>
    <t>CARMO DO CAJURU</t>
  </si>
  <si>
    <t>CLÁUDIO</t>
  </si>
  <si>
    <t>ITAPECERICA</t>
  </si>
  <si>
    <t>PERDIGÃO</t>
  </si>
  <si>
    <t>SÃO GONÇALO DO PARÁ</t>
  </si>
  <si>
    <t>SÃO SEBASTIÃO DO OESTE</t>
  </si>
  <si>
    <t>FORMIGA</t>
  </si>
  <si>
    <t>BAMBUÍ</t>
  </si>
  <si>
    <t>CÓRREGO DANTA</t>
  </si>
  <si>
    <t>CÓRREGO FUNDO</t>
  </si>
  <si>
    <t>IGUATAMA</t>
  </si>
  <si>
    <t>MEDEIROS</t>
  </si>
  <si>
    <t>PAINS</t>
  </si>
  <si>
    <t>TAPIRAÍ</t>
  </si>
  <si>
    <t>ITAÚNA</t>
  </si>
  <si>
    <t>ITAGUARA</t>
  </si>
  <si>
    <t>ITATIAIUÇU</t>
  </si>
  <si>
    <t>PIRACEMA</t>
  </si>
  <si>
    <t>ARCOS</t>
  </si>
  <si>
    <t>JAPARAÍBA</t>
  </si>
  <si>
    <t>LAGOA DA PRATA</t>
  </si>
  <si>
    <t>PEDRA DO INDAIÁ</t>
  </si>
  <si>
    <t>SANTO ANTÔNIO DO MONTE</t>
  </si>
  <si>
    <t>CARMO DA MATA</t>
  </si>
  <si>
    <t>CARMÓPOLIS DE MINAS</t>
  </si>
  <si>
    <t>OLIVEIRA</t>
  </si>
  <si>
    <t>PASSA TEMPO</t>
  </si>
  <si>
    <t>SANTO ANTÔNIO DO AMPARO</t>
  </si>
  <si>
    <t>SÃO FRANCISCO DE PAULA</t>
  </si>
  <si>
    <t>PARÁ DE MINAS</t>
  </si>
  <si>
    <t>CONCEIÇÃO DO PARÁ</t>
  </si>
  <si>
    <t>IGARATINGA</t>
  </si>
  <si>
    <t>LEANDRO FERREIRA</t>
  </si>
  <si>
    <t>NOVA SERRANA</t>
  </si>
  <si>
    <t>ONÇA DE PITANGUI</t>
  </si>
  <si>
    <t>PITANGUI</t>
  </si>
  <si>
    <t>SÃO JOSÉ DA VARGINHA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</si>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</sst>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'BOM DESPACHO'!$J$1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DESPACHO'!$J$2:$J$8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74-4148-BE7C-F3E22262EEFD}"/>
            </c:ext>
          </c:extLst>
        </c:ser>
        <c:ser>
          <c:idx val="1"/>
          <c:order val="1"/>
          <c:tx>
            <c:strRef>
              <c:f>'BOM DESPACHO'!$K$1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DESPACHO'!$K$2:$K$8</c:f>
              <c:numCache>
                <c:formatCode>0.00</c:formatCode>
                <c:ptCount val="7"/>
                <c:pt idx="0">
                  <c:v>8.8495575221238937E-3</c:v>
                </c:pt>
                <c:pt idx="1">
                  <c:v>2.6548672566371681E-2</c:v>
                </c:pt>
                <c:pt idx="2">
                  <c:v>8.8495575221238937E-2</c:v>
                </c:pt>
                <c:pt idx="3">
                  <c:v>0.21238938053097345</c:v>
                </c:pt>
                <c:pt idx="4">
                  <c:v>0.33628318584070793</c:v>
                </c:pt>
                <c:pt idx="5">
                  <c:v>0.44247787610619466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74-4148-BE7C-F3E22262EEFD}"/>
            </c:ext>
          </c:extLst>
        </c:ser>
        <c:ser>
          <c:idx val="2"/>
          <c:order val="2"/>
          <c:tx>
            <c:strRef>
              <c:f>'BOM DESPACHO'!$L$1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DESPACHO'!$L$2:$L$8</c:f>
              <c:numCache>
                <c:formatCode>0.00</c:formatCode>
                <c:ptCount val="7"/>
                <c:pt idx="0">
                  <c:v>0</c:v>
                </c:pt>
                <c:pt idx="1">
                  <c:v>3.125E-2</c:v>
                </c:pt>
                <c:pt idx="2">
                  <c:v>0.109375</c:v>
                </c:pt>
                <c:pt idx="3">
                  <c:v>0.1875</c:v>
                </c:pt>
                <c:pt idx="4">
                  <c:v>0.296875</c:v>
                </c:pt>
                <c:pt idx="5">
                  <c:v>0.53125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74-4148-BE7C-F3E22262EEFD}"/>
            </c:ext>
          </c:extLst>
        </c:ser>
        <c:ser>
          <c:idx val="3"/>
          <c:order val="3"/>
          <c:tx>
            <c:strRef>
              <c:f>'BOM DESPACHO'!$M$1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DESPACHO'!$M$2:$M$8</c:f>
              <c:numCache>
                <c:formatCode>0.00</c:formatCode>
                <c:ptCount val="7"/>
                <c:pt idx="0">
                  <c:v>0</c:v>
                </c:pt>
                <c:pt idx="1">
                  <c:v>2.7027027027027029E-2</c:v>
                </c:pt>
                <c:pt idx="2">
                  <c:v>9.45945945945946E-2</c:v>
                </c:pt>
                <c:pt idx="3">
                  <c:v>0.21621621621621623</c:v>
                </c:pt>
                <c:pt idx="4">
                  <c:v>0.33783783783783783</c:v>
                </c:pt>
                <c:pt idx="5">
                  <c:v>0.54054054054054057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74-4148-BE7C-F3E22262E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063024"/>
        <c:axId val="366063984"/>
      </c:scatterChart>
      <c:valAx>
        <c:axId val="36606302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63984"/>
        <c:crosses val="autoZero"/>
        <c:crossBetween val="midCat"/>
      </c:valAx>
      <c:valAx>
        <c:axId val="3660639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63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'BOM DESPACHO'!$J$1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DESPACHO'!$J$2:$J$8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4C-48E0-AE7B-DDB2BDEA85AC}"/>
            </c:ext>
          </c:extLst>
        </c:ser>
        <c:ser>
          <c:idx val="1"/>
          <c:order val="1"/>
          <c:tx>
            <c:strRef>
              <c:f>'BOM DESPACHO'!$N$1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DESPACHO'!$N$2:$N$8</c:f>
              <c:numCache>
                <c:formatCode>0.00</c:formatCode>
                <c:ptCount val="7"/>
                <c:pt idx="0">
                  <c:v>0</c:v>
                </c:pt>
                <c:pt idx="1">
                  <c:v>2.3809523809523808E-2</c:v>
                </c:pt>
                <c:pt idx="2">
                  <c:v>6.1224489795918366E-2</c:v>
                </c:pt>
                <c:pt idx="3">
                  <c:v>0.17687074829931973</c:v>
                </c:pt>
                <c:pt idx="4">
                  <c:v>0.21768707482993196</c:v>
                </c:pt>
                <c:pt idx="5">
                  <c:v>0.34353741496598639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4C-48E0-AE7B-DDB2BDEA85AC}"/>
            </c:ext>
          </c:extLst>
        </c:ser>
        <c:ser>
          <c:idx val="2"/>
          <c:order val="2"/>
          <c:tx>
            <c:strRef>
              <c:f>'BOM DESPACHO'!$O$1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DESPACHO'!$O$2:$O$8</c:f>
              <c:numCache>
                <c:formatCode>0.00</c:formatCode>
                <c:ptCount val="7"/>
                <c:pt idx="0">
                  <c:v>0</c:v>
                </c:pt>
                <c:pt idx="1">
                  <c:v>1.0582010582010581E-2</c:v>
                </c:pt>
                <c:pt idx="2">
                  <c:v>8.4656084656084651E-2</c:v>
                </c:pt>
                <c:pt idx="3">
                  <c:v>0.21693121693121692</c:v>
                </c:pt>
                <c:pt idx="4">
                  <c:v>0.33862433862433861</c:v>
                </c:pt>
                <c:pt idx="5">
                  <c:v>0.47619047619047616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4C-48E0-AE7B-DDB2BDEA85AC}"/>
            </c:ext>
          </c:extLst>
        </c:ser>
        <c:ser>
          <c:idx val="3"/>
          <c:order val="3"/>
          <c:tx>
            <c:strRef>
              <c:f>'BOM DESPACHO'!$P$1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'BOM DESPACHO'!$I$2:$I$8</c:f>
              <c:numCache>
                <c:formatCode>0.00</c:formatCode>
                <c:ptCount val="7"/>
                <c:pt idx="0">
                  <c:v>7.1095291665898234E-3</c:v>
                </c:pt>
                <c:pt idx="1">
                  <c:v>3.9226896335503379E-2</c:v>
                </c:pt>
                <c:pt idx="2">
                  <c:v>0.10920642531766961</c:v>
                </c:pt>
                <c:pt idx="3">
                  <c:v>0.23252125481806613</c:v>
                </c:pt>
                <c:pt idx="4">
                  <c:v>0.35697951053980781</c:v>
                </c:pt>
                <c:pt idx="5">
                  <c:v>0.52569942644265344</c:v>
                </c:pt>
                <c:pt idx="6">
                  <c:v>1</c:v>
                </c:pt>
              </c:numCache>
            </c:numRef>
          </c:xVal>
          <c:yVal>
            <c:numRef>
              <c:f>'BOM DESPACHO'!$P$2:$P$8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7.5581395348837205E-2</c:v>
                </c:pt>
                <c:pt idx="3">
                  <c:v>0.16279069767441862</c:v>
                </c:pt>
                <c:pt idx="4">
                  <c:v>0.23255813953488375</c:v>
                </c:pt>
                <c:pt idx="5">
                  <c:v>0.36627906976744184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4C-48E0-AE7B-DDB2BDEA8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538064"/>
        <c:axId val="655540464"/>
      </c:scatterChart>
      <c:valAx>
        <c:axId val="6555380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40464"/>
        <c:crosses val="autoZero"/>
        <c:crossBetween val="midCat"/>
      </c:valAx>
      <c:valAx>
        <c:axId val="6555404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538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'CAMPO BELO'!$J$1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BELO'!$J$2:$J$8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A2-403B-AD89-3232E8763555}"/>
            </c:ext>
          </c:extLst>
        </c:ser>
        <c:ser>
          <c:idx val="1"/>
          <c:order val="1"/>
          <c:tx>
            <c:strRef>
              <c:f>'CAMPO BELO'!$K$1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BELO'!$K$2:$K$8</c:f>
              <c:numCache>
                <c:formatCode>0.00</c:formatCode>
                <c:ptCount val="7"/>
                <c:pt idx="0">
                  <c:v>3.4246575342465752E-2</c:v>
                </c:pt>
                <c:pt idx="1">
                  <c:v>7.5342465753424653E-2</c:v>
                </c:pt>
                <c:pt idx="2">
                  <c:v>0.12328767123287671</c:v>
                </c:pt>
                <c:pt idx="3">
                  <c:v>0.22602739726027396</c:v>
                </c:pt>
                <c:pt idx="4">
                  <c:v>0.28767123287671231</c:v>
                </c:pt>
                <c:pt idx="5">
                  <c:v>0.37671232876712324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A2-403B-AD89-3232E8763555}"/>
            </c:ext>
          </c:extLst>
        </c:ser>
        <c:ser>
          <c:idx val="2"/>
          <c:order val="2"/>
          <c:tx>
            <c:strRef>
              <c:f>'CAMPO BELO'!$L$1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BELO'!$L$2:$L$8</c:f>
              <c:numCache>
                <c:formatCode>0.00</c:formatCode>
                <c:ptCount val="7"/>
                <c:pt idx="0">
                  <c:v>5.6338028169014086E-2</c:v>
                </c:pt>
                <c:pt idx="1">
                  <c:v>5.6338028169014086E-2</c:v>
                </c:pt>
                <c:pt idx="2">
                  <c:v>0.15492957746478872</c:v>
                </c:pt>
                <c:pt idx="3">
                  <c:v>0.15492957746478872</c:v>
                </c:pt>
                <c:pt idx="4">
                  <c:v>0.22535211267605632</c:v>
                </c:pt>
                <c:pt idx="5">
                  <c:v>0.29577464788732394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A2-403B-AD89-3232E8763555}"/>
            </c:ext>
          </c:extLst>
        </c:ser>
        <c:ser>
          <c:idx val="3"/>
          <c:order val="3"/>
          <c:tx>
            <c:strRef>
              <c:f>'CAMPO BELO'!$M$1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BELO'!$M$2:$M$8</c:f>
              <c:numCache>
                <c:formatCode>0.00</c:formatCode>
                <c:ptCount val="7"/>
                <c:pt idx="0">
                  <c:v>2.564102564102564E-2</c:v>
                </c:pt>
                <c:pt idx="1">
                  <c:v>8.974358974358973E-2</c:v>
                </c:pt>
                <c:pt idx="2">
                  <c:v>0.16666666666666666</c:v>
                </c:pt>
                <c:pt idx="3">
                  <c:v>0.28205128205128205</c:v>
                </c:pt>
                <c:pt idx="4">
                  <c:v>0.38461538461538458</c:v>
                </c:pt>
                <c:pt idx="5">
                  <c:v>0.46153846153846151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A2-403B-AD89-3232E8763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30704"/>
        <c:axId val="639332144"/>
      </c:scatterChart>
      <c:valAx>
        <c:axId val="63933070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2144"/>
        <c:crosses val="autoZero"/>
        <c:crossBetween val="midCat"/>
      </c:valAx>
      <c:valAx>
        <c:axId val="63933214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'CAMPO BELO'!$J$1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BELO'!$J$2:$J$8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21-4D1A-B69E-CC1B752E2871}"/>
            </c:ext>
          </c:extLst>
        </c:ser>
        <c:ser>
          <c:idx val="1"/>
          <c:order val="1"/>
          <c:tx>
            <c:strRef>
              <c:f>'CAMPO BELO'!$N$1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BELO'!$N$2:$N$8</c:f>
              <c:numCache>
                <c:formatCode>0.00</c:formatCode>
                <c:ptCount val="7"/>
                <c:pt idx="0">
                  <c:v>3.1690140845070422E-2</c:v>
                </c:pt>
                <c:pt idx="1">
                  <c:v>9.5070422535211266E-2</c:v>
                </c:pt>
                <c:pt idx="2">
                  <c:v>0.1619718309859155</c:v>
                </c:pt>
                <c:pt idx="3">
                  <c:v>0.21478873239436619</c:v>
                </c:pt>
                <c:pt idx="4">
                  <c:v>0.31690140845070425</c:v>
                </c:pt>
                <c:pt idx="5">
                  <c:v>0.48943661971830987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21-4D1A-B69E-CC1B752E2871}"/>
            </c:ext>
          </c:extLst>
        </c:ser>
        <c:ser>
          <c:idx val="2"/>
          <c:order val="2"/>
          <c:tx>
            <c:strRef>
              <c:f>'CAMPO BELO'!$O$1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BELO'!$O$2:$O$8</c:f>
              <c:numCache>
                <c:formatCode>0.00</c:formatCode>
                <c:ptCount val="7"/>
                <c:pt idx="0">
                  <c:v>3.9408866995073892E-2</c:v>
                </c:pt>
                <c:pt idx="1">
                  <c:v>0.1231527093596059</c:v>
                </c:pt>
                <c:pt idx="2">
                  <c:v>0.2068965517241379</c:v>
                </c:pt>
                <c:pt idx="3">
                  <c:v>0.24137931034482757</c:v>
                </c:pt>
                <c:pt idx="4">
                  <c:v>0.37438423645320196</c:v>
                </c:pt>
                <c:pt idx="5">
                  <c:v>0.53694581280788178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21-4D1A-B69E-CC1B752E2871}"/>
            </c:ext>
          </c:extLst>
        </c:ser>
        <c:ser>
          <c:idx val="3"/>
          <c:order val="3"/>
          <c:tx>
            <c:strRef>
              <c:f>'CAMPO BELO'!$P$1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'CAMPO BELO'!$I$2:$I$8</c:f>
              <c:numCache>
                <c:formatCode>0.00</c:formatCode>
                <c:ptCount val="7"/>
                <c:pt idx="0">
                  <c:v>2.8357105757321508E-2</c:v>
                </c:pt>
                <c:pt idx="1">
                  <c:v>7.3874305805265897E-2</c:v>
                </c:pt>
                <c:pt idx="2">
                  <c:v>0.12228814575092893</c:v>
                </c:pt>
                <c:pt idx="3">
                  <c:v>0.17807343481561388</c:v>
                </c:pt>
                <c:pt idx="4">
                  <c:v>0.3085221143473571</c:v>
                </c:pt>
                <c:pt idx="5">
                  <c:v>0.45724959047504898</c:v>
                </c:pt>
                <c:pt idx="6">
                  <c:v>1</c:v>
                </c:pt>
              </c:numCache>
            </c:numRef>
          </c:xVal>
          <c:yVal>
            <c:numRef>
              <c:f>'CAMPO BELO'!$P$2:$P$8</c:f>
              <c:numCache>
                <c:formatCode>0.00</c:formatCode>
                <c:ptCount val="7"/>
                <c:pt idx="0">
                  <c:v>2.8301886792452831E-2</c:v>
                </c:pt>
                <c:pt idx="1">
                  <c:v>0.13207547169811321</c:v>
                </c:pt>
                <c:pt idx="2">
                  <c:v>0.15094339622641509</c:v>
                </c:pt>
                <c:pt idx="3">
                  <c:v>0.26415094339622641</c:v>
                </c:pt>
                <c:pt idx="4">
                  <c:v>0.36792452830188682</c:v>
                </c:pt>
                <c:pt idx="5">
                  <c:v>0.48113207547169812</c:v>
                </c:pt>
                <c:pt idx="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21-4D1A-B69E-CC1B752E2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326864"/>
        <c:axId val="639331664"/>
      </c:scatterChart>
      <c:valAx>
        <c:axId val="6393268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31664"/>
        <c:crosses val="autoZero"/>
        <c:crossBetween val="midCat"/>
      </c:valAx>
      <c:valAx>
        <c:axId val="6393316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932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DIVINÓPOLIS!$J$1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DIVINÓPOLIS!$J$2:$J$9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E1-4AF5-9967-45D9EF0FB267}"/>
            </c:ext>
          </c:extLst>
        </c:ser>
        <c:ser>
          <c:idx val="1"/>
          <c:order val="1"/>
          <c:tx>
            <c:strRef>
              <c:f>DIVINÓPOLIS!$K$1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DIVINÓPOLIS!$K$2:$K$9</c:f>
              <c:numCache>
                <c:formatCode>0.00</c:formatCode>
                <c:ptCount val="8"/>
                <c:pt idx="0">
                  <c:v>2.34375E-2</c:v>
                </c:pt>
                <c:pt idx="1">
                  <c:v>3.90625E-2</c:v>
                </c:pt>
                <c:pt idx="2">
                  <c:v>9.765625E-2</c:v>
                </c:pt>
                <c:pt idx="3">
                  <c:v>0.140625</c:v>
                </c:pt>
                <c:pt idx="4">
                  <c:v>0.22265625</c:v>
                </c:pt>
                <c:pt idx="5">
                  <c:v>0.26171875</c:v>
                </c:pt>
                <c:pt idx="6">
                  <c:v>0.328125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E1-4AF5-9967-45D9EF0FB267}"/>
            </c:ext>
          </c:extLst>
        </c:ser>
        <c:ser>
          <c:idx val="2"/>
          <c:order val="2"/>
          <c:tx>
            <c:strRef>
              <c:f>DIVINÓPOLIS!$L$1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DIVINÓPOLIS!$L$2:$L$9</c:f>
              <c:numCache>
                <c:formatCode>0.00</c:formatCode>
                <c:ptCount val="8"/>
                <c:pt idx="0">
                  <c:v>2.4242424242424242E-2</c:v>
                </c:pt>
                <c:pt idx="1">
                  <c:v>5.454545454545455E-2</c:v>
                </c:pt>
                <c:pt idx="2">
                  <c:v>7.8787878787878796E-2</c:v>
                </c:pt>
                <c:pt idx="3">
                  <c:v>0.11515151515151516</c:v>
                </c:pt>
                <c:pt idx="4">
                  <c:v>0.22424242424242424</c:v>
                </c:pt>
                <c:pt idx="5">
                  <c:v>0.26060606060606062</c:v>
                </c:pt>
                <c:pt idx="6">
                  <c:v>0.4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E1-4AF5-9967-45D9EF0FB267}"/>
            </c:ext>
          </c:extLst>
        </c:ser>
        <c:ser>
          <c:idx val="3"/>
          <c:order val="3"/>
          <c:tx>
            <c:strRef>
              <c:f>DIVINÓPOLIS!$M$1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DIVINÓPOLIS!$M$2:$M$9</c:f>
              <c:numCache>
                <c:formatCode>0.00</c:formatCode>
                <c:ptCount val="8"/>
                <c:pt idx="0">
                  <c:v>4.9751243781094526E-3</c:v>
                </c:pt>
                <c:pt idx="1">
                  <c:v>2.9850746268656719E-2</c:v>
                </c:pt>
                <c:pt idx="2">
                  <c:v>5.4726368159203981E-2</c:v>
                </c:pt>
                <c:pt idx="3">
                  <c:v>7.9601990049751242E-2</c:v>
                </c:pt>
                <c:pt idx="4">
                  <c:v>0.14925373134328357</c:v>
                </c:pt>
                <c:pt idx="5">
                  <c:v>0.18407960199004975</c:v>
                </c:pt>
                <c:pt idx="6">
                  <c:v>0.51741293532338306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E1-4AF5-9967-45D9EF0FB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790192"/>
        <c:axId val="363137952"/>
      </c:scatterChart>
      <c:valAx>
        <c:axId val="2487901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137952"/>
        <c:crosses val="autoZero"/>
        <c:crossBetween val="midCat"/>
      </c:valAx>
      <c:valAx>
        <c:axId val="363137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879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DIVINÓPOLIS!$J$1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DIVINÓPOLIS!$J$2:$J$9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81-4B87-A830-2C73DB3EE69A}"/>
            </c:ext>
          </c:extLst>
        </c:ser>
        <c:ser>
          <c:idx val="1"/>
          <c:order val="1"/>
          <c:tx>
            <c:strRef>
              <c:f>DIVINÓPOLIS!$N$1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DIVINÓPOLIS!$N$2:$N$9</c:f>
              <c:numCache>
                <c:formatCode>0.00</c:formatCode>
                <c:ptCount val="8"/>
                <c:pt idx="0">
                  <c:v>2.7322404371584699E-2</c:v>
                </c:pt>
                <c:pt idx="1">
                  <c:v>5.4644808743169397E-2</c:v>
                </c:pt>
                <c:pt idx="2">
                  <c:v>8.4699453551912565E-2</c:v>
                </c:pt>
                <c:pt idx="3">
                  <c:v>0.11202185792349727</c:v>
                </c:pt>
                <c:pt idx="4">
                  <c:v>0.24043715846994534</c:v>
                </c:pt>
                <c:pt idx="5">
                  <c:v>0.29781420765027322</c:v>
                </c:pt>
                <c:pt idx="6">
                  <c:v>0.42076502732240439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81-4B87-A830-2C73DB3EE69A}"/>
            </c:ext>
          </c:extLst>
        </c:ser>
        <c:ser>
          <c:idx val="2"/>
          <c:order val="2"/>
          <c:tx>
            <c:strRef>
              <c:f>DIVINÓPOLIS!$O$1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DIVINÓPOLIS!$O$2:$O$9</c:f>
              <c:numCache>
                <c:formatCode>0.00</c:formatCode>
                <c:ptCount val="8"/>
                <c:pt idx="0">
                  <c:v>8.7412587412587409E-2</c:v>
                </c:pt>
                <c:pt idx="1">
                  <c:v>0.11538461538461538</c:v>
                </c:pt>
                <c:pt idx="2">
                  <c:v>0.16433566433566432</c:v>
                </c:pt>
                <c:pt idx="3">
                  <c:v>0.18531468531468531</c:v>
                </c:pt>
                <c:pt idx="4">
                  <c:v>0.29720279720279719</c:v>
                </c:pt>
                <c:pt idx="5">
                  <c:v>0.40559440559440557</c:v>
                </c:pt>
                <c:pt idx="6">
                  <c:v>0.50349650349650343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81-4B87-A830-2C73DB3EE69A}"/>
            </c:ext>
          </c:extLst>
        </c:ser>
        <c:ser>
          <c:idx val="3"/>
          <c:order val="3"/>
          <c:tx>
            <c:strRef>
              <c:f>DIVINÓPOLIS!$P$1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DIVINÓPOLIS!$I$2:$I$9</c:f>
              <c:numCache>
                <c:formatCode>0.00</c:formatCode>
                <c:ptCount val="8"/>
                <c:pt idx="0">
                  <c:v>1.9435019398655662E-2</c:v>
                </c:pt>
                <c:pt idx="1">
                  <c:v>4.6072856147849367E-2</c:v>
                </c:pt>
                <c:pt idx="2">
                  <c:v>7.9622600342938027E-2</c:v>
                </c:pt>
                <c:pt idx="3">
                  <c:v>0.115359763244093</c:v>
                </c:pt>
                <c:pt idx="4">
                  <c:v>0.17622706636941643</c:v>
                </c:pt>
                <c:pt idx="5">
                  <c:v>0.24028318960332756</c:v>
                </c:pt>
                <c:pt idx="6">
                  <c:v>0.32166243821661039</c:v>
                </c:pt>
                <c:pt idx="7">
                  <c:v>1</c:v>
                </c:pt>
              </c:numCache>
            </c:numRef>
          </c:xVal>
          <c:yVal>
            <c:numRef>
              <c:f>DIVINÓPOLIS!$P$2:$P$9</c:f>
              <c:numCache>
                <c:formatCode>0.00</c:formatCode>
                <c:ptCount val="8"/>
                <c:pt idx="0">
                  <c:v>8.7431693989071038E-2</c:v>
                </c:pt>
                <c:pt idx="1">
                  <c:v>0.12568306010928962</c:v>
                </c:pt>
                <c:pt idx="2">
                  <c:v>0.20218579234972678</c:v>
                </c:pt>
                <c:pt idx="3">
                  <c:v>0.22404371584699453</c:v>
                </c:pt>
                <c:pt idx="4">
                  <c:v>0.29508196721311475</c:v>
                </c:pt>
                <c:pt idx="5">
                  <c:v>0.47540983606557374</c:v>
                </c:pt>
                <c:pt idx="6">
                  <c:v>0.66120218579234968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81-4B87-A830-2C73DB3EE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740992"/>
        <c:axId val="388741952"/>
      </c:scatterChart>
      <c:valAx>
        <c:axId val="3887409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741952"/>
        <c:crosses val="autoZero"/>
        <c:crossBetween val="midCat"/>
      </c:valAx>
      <c:valAx>
        <c:axId val="388741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874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FORMIGA!$J$1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FORMIGA!$J$2:$J$9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50-426C-A36A-7C50C443394A}"/>
            </c:ext>
          </c:extLst>
        </c:ser>
        <c:ser>
          <c:idx val="1"/>
          <c:order val="1"/>
          <c:tx>
            <c:strRef>
              <c:f>FORMIGA!$K$1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FORMIGA!$K$2:$K$9</c:f>
              <c:numCache>
                <c:formatCode>0.00</c:formatCode>
                <c:ptCount val="8"/>
                <c:pt idx="0">
                  <c:v>0</c:v>
                </c:pt>
                <c:pt idx="1">
                  <c:v>4.49438202247191E-2</c:v>
                </c:pt>
                <c:pt idx="2">
                  <c:v>6.741573033707865E-2</c:v>
                </c:pt>
                <c:pt idx="3">
                  <c:v>0.21348314606741572</c:v>
                </c:pt>
                <c:pt idx="4">
                  <c:v>0.2696629213483146</c:v>
                </c:pt>
                <c:pt idx="5">
                  <c:v>0.33707865168539325</c:v>
                </c:pt>
                <c:pt idx="6">
                  <c:v>0.4606741573033708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50-426C-A36A-7C50C443394A}"/>
            </c:ext>
          </c:extLst>
        </c:ser>
        <c:ser>
          <c:idx val="2"/>
          <c:order val="2"/>
          <c:tx>
            <c:strRef>
              <c:f>FORMIGA!$L$1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FORMIGA!$L$2:$L$9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8.1632653061224483E-2</c:v>
                </c:pt>
                <c:pt idx="3">
                  <c:v>0.1020408163265306</c:v>
                </c:pt>
                <c:pt idx="4">
                  <c:v>0.12244897959183672</c:v>
                </c:pt>
                <c:pt idx="5">
                  <c:v>0.12244897959183672</c:v>
                </c:pt>
                <c:pt idx="6">
                  <c:v>0.24489795918367346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50-426C-A36A-7C50C443394A}"/>
            </c:ext>
          </c:extLst>
        </c:ser>
        <c:ser>
          <c:idx val="3"/>
          <c:order val="3"/>
          <c:tx>
            <c:strRef>
              <c:f>FORMIGA!$M$1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FORMIGA!$M$2:$M$9</c:f>
              <c:numCache>
                <c:formatCode>0.00</c:formatCode>
                <c:ptCount val="8"/>
                <c:pt idx="0">
                  <c:v>3.5087719298245612E-2</c:v>
                </c:pt>
                <c:pt idx="1">
                  <c:v>7.0175438596491224E-2</c:v>
                </c:pt>
                <c:pt idx="2">
                  <c:v>0.12280701754385964</c:v>
                </c:pt>
                <c:pt idx="3">
                  <c:v>0.17543859649122806</c:v>
                </c:pt>
                <c:pt idx="4">
                  <c:v>0.21052631578947367</c:v>
                </c:pt>
                <c:pt idx="5">
                  <c:v>0.26315789473684209</c:v>
                </c:pt>
                <c:pt idx="6">
                  <c:v>0.36842105263157893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750-426C-A36A-7C50C4433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00336"/>
        <c:axId val="309818576"/>
      </c:scatterChart>
      <c:valAx>
        <c:axId val="3098003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18576"/>
        <c:crosses val="autoZero"/>
        <c:crossBetween val="midCat"/>
      </c:valAx>
      <c:valAx>
        <c:axId val="3098185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00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FORMIGA!$J$1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FORMIGA!$J$2:$J$9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6C-43AC-8330-E08CCC3B1A5D}"/>
            </c:ext>
          </c:extLst>
        </c:ser>
        <c:ser>
          <c:idx val="1"/>
          <c:order val="1"/>
          <c:tx>
            <c:strRef>
              <c:f>FORMIGA!$N$1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FORMIGA!$N$2:$N$9</c:f>
              <c:numCache>
                <c:formatCode>0.00</c:formatCode>
                <c:ptCount val="8"/>
                <c:pt idx="0">
                  <c:v>1.7094017094017096E-2</c:v>
                </c:pt>
                <c:pt idx="1">
                  <c:v>2.5641025641025644E-2</c:v>
                </c:pt>
                <c:pt idx="2">
                  <c:v>7.6923076923076927E-2</c:v>
                </c:pt>
                <c:pt idx="3">
                  <c:v>0.13675213675213677</c:v>
                </c:pt>
                <c:pt idx="4">
                  <c:v>0.22222222222222224</c:v>
                </c:pt>
                <c:pt idx="5">
                  <c:v>0.28205128205128205</c:v>
                </c:pt>
                <c:pt idx="6">
                  <c:v>0.40170940170940173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6C-43AC-8330-E08CCC3B1A5D}"/>
            </c:ext>
          </c:extLst>
        </c:ser>
        <c:ser>
          <c:idx val="2"/>
          <c:order val="2"/>
          <c:tx>
            <c:strRef>
              <c:f>FORMIGA!$O$1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FORMIGA!$O$2:$O$9</c:f>
              <c:numCache>
                <c:formatCode>0.00</c:formatCode>
                <c:ptCount val="8"/>
                <c:pt idx="0">
                  <c:v>2.2222222222222223E-2</c:v>
                </c:pt>
                <c:pt idx="1">
                  <c:v>5.5555555555555552E-2</c:v>
                </c:pt>
                <c:pt idx="2">
                  <c:v>0.12222222222222222</c:v>
                </c:pt>
                <c:pt idx="3">
                  <c:v>0.17777777777777776</c:v>
                </c:pt>
                <c:pt idx="4">
                  <c:v>0.19999999999999998</c:v>
                </c:pt>
                <c:pt idx="5">
                  <c:v>0.19999999999999998</c:v>
                </c:pt>
                <c:pt idx="6">
                  <c:v>0.31111111111111112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6C-43AC-8330-E08CCC3B1A5D}"/>
            </c:ext>
          </c:extLst>
        </c:ser>
        <c:ser>
          <c:idx val="3"/>
          <c:order val="3"/>
          <c:tx>
            <c:strRef>
              <c:f>FORMIGA!$P$1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FORMIGA!$I$2:$I$9</c:f>
              <c:numCache>
                <c:formatCode>0.00</c:formatCode>
                <c:ptCount val="8"/>
                <c:pt idx="0">
                  <c:v>1.513948741211159E-2</c:v>
                </c:pt>
                <c:pt idx="1">
                  <c:v>4.0801283089783882E-2</c:v>
                </c:pt>
                <c:pt idx="2">
                  <c:v>7.2076596571946983E-2</c:v>
                </c:pt>
                <c:pt idx="3">
                  <c:v>0.12412111589929689</c:v>
                </c:pt>
                <c:pt idx="4">
                  <c:v>0.18812169912192594</c:v>
                </c:pt>
                <c:pt idx="5">
                  <c:v>0.25541911026147818</c:v>
                </c:pt>
                <c:pt idx="6">
                  <c:v>0.44953504195962807</c:v>
                </c:pt>
                <c:pt idx="7">
                  <c:v>1</c:v>
                </c:pt>
              </c:numCache>
            </c:numRef>
          </c:xVal>
          <c:yVal>
            <c:numRef>
              <c:f>FORMIGA!$P$2:$P$9</c:f>
              <c:numCache>
                <c:formatCode>0.00</c:formatCode>
                <c:ptCount val="8"/>
                <c:pt idx="0">
                  <c:v>0</c:v>
                </c:pt>
                <c:pt idx="1">
                  <c:v>1.5625E-2</c:v>
                </c:pt>
                <c:pt idx="2">
                  <c:v>7.8125E-2</c:v>
                </c:pt>
                <c:pt idx="3">
                  <c:v>0.21875</c:v>
                </c:pt>
                <c:pt idx="4">
                  <c:v>0.21875</c:v>
                </c:pt>
                <c:pt idx="5">
                  <c:v>0.21875</c:v>
                </c:pt>
                <c:pt idx="6">
                  <c:v>0.375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6C-43AC-8330-E08CCC3B1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69888"/>
        <c:axId val="562875648"/>
      </c:scatterChart>
      <c:valAx>
        <c:axId val="5628698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5648"/>
        <c:crosses val="autoZero"/>
        <c:crossBetween val="midCat"/>
      </c:valAx>
      <c:valAx>
        <c:axId val="5628756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69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ITAÚNA!$J$1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ITAÚNA!$J$2:$J$5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E3-4635-A70D-6DCCE1D12B98}"/>
            </c:ext>
          </c:extLst>
        </c:ser>
        <c:ser>
          <c:idx val="1"/>
          <c:order val="1"/>
          <c:tx>
            <c:strRef>
              <c:f>ITAÚNA!$K$1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ITAÚNA!$K$2:$K$5</c:f>
              <c:numCache>
                <c:formatCode>0.00</c:formatCode>
                <c:ptCount val="4"/>
                <c:pt idx="0">
                  <c:v>2.197802197802198E-2</c:v>
                </c:pt>
                <c:pt idx="1">
                  <c:v>0.1098901098901099</c:v>
                </c:pt>
                <c:pt idx="2">
                  <c:v>0.25274725274725274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E3-4635-A70D-6DCCE1D12B98}"/>
            </c:ext>
          </c:extLst>
        </c:ser>
        <c:ser>
          <c:idx val="2"/>
          <c:order val="2"/>
          <c:tx>
            <c:strRef>
              <c:f>ITAÚNA!$L$1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ITAÚNA!$L$2:$L$5</c:f>
              <c:numCache>
                <c:formatCode>0.00</c:formatCode>
                <c:ptCount val="4"/>
                <c:pt idx="0">
                  <c:v>3.0303030303030304E-2</c:v>
                </c:pt>
                <c:pt idx="1">
                  <c:v>0.13636363636363635</c:v>
                </c:pt>
                <c:pt idx="2">
                  <c:v>0.34848484848484851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E3-4635-A70D-6DCCE1D12B98}"/>
            </c:ext>
          </c:extLst>
        </c:ser>
        <c:ser>
          <c:idx val="3"/>
          <c:order val="3"/>
          <c:tx>
            <c:strRef>
              <c:f>ITAÚNA!$M$1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ITAÚNA!$M$2:$M$5</c:f>
              <c:numCache>
                <c:formatCode>0.00</c:formatCode>
                <c:ptCount val="4"/>
                <c:pt idx="0">
                  <c:v>1.3698630136986301E-2</c:v>
                </c:pt>
                <c:pt idx="1">
                  <c:v>0.12328767123287671</c:v>
                </c:pt>
                <c:pt idx="2">
                  <c:v>0.30136986301369861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E3-4635-A70D-6DCCE1D12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059664"/>
        <c:axId val="366051984"/>
      </c:scatterChart>
      <c:valAx>
        <c:axId val="3660596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51984"/>
        <c:crosses val="autoZero"/>
        <c:crossBetween val="midCat"/>
      </c:valAx>
      <c:valAx>
        <c:axId val="3660519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6059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ITAÚNA!$J$1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ITAÚNA!$J$2:$J$5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BD-4005-B8E0-19547202F67A}"/>
            </c:ext>
          </c:extLst>
        </c:ser>
        <c:ser>
          <c:idx val="1"/>
          <c:order val="1"/>
          <c:tx>
            <c:strRef>
              <c:f>ITAÚNA!$N$1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ITAÚNA!$N$2:$N$5</c:f>
              <c:numCache>
                <c:formatCode>0.00</c:formatCode>
                <c:ptCount val="4"/>
                <c:pt idx="0">
                  <c:v>0.10317460317460317</c:v>
                </c:pt>
                <c:pt idx="1">
                  <c:v>0.1984126984126984</c:v>
                </c:pt>
                <c:pt idx="2">
                  <c:v>0.40476190476190477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6BD-4005-B8E0-19547202F67A}"/>
            </c:ext>
          </c:extLst>
        </c:ser>
        <c:ser>
          <c:idx val="2"/>
          <c:order val="2"/>
          <c:tx>
            <c:strRef>
              <c:f>ITAÚNA!$O$1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ITAÚNA!$O$2:$O$5</c:f>
              <c:numCache>
                <c:formatCode>0.00</c:formatCode>
                <c:ptCount val="4"/>
                <c:pt idx="0">
                  <c:v>9.3333333333333338E-2</c:v>
                </c:pt>
                <c:pt idx="1">
                  <c:v>0.13333333333333333</c:v>
                </c:pt>
                <c:pt idx="2">
                  <c:v>0.50666666666666671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BD-4005-B8E0-19547202F67A}"/>
            </c:ext>
          </c:extLst>
        </c:ser>
        <c:ser>
          <c:idx val="3"/>
          <c:order val="3"/>
          <c:tx>
            <c:strRef>
              <c:f>ITAÚNA!$P$1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ITAÚNA!$I$2:$I$5</c:f>
              <c:numCache>
                <c:formatCode>0.00</c:formatCode>
                <c:ptCount val="4"/>
                <c:pt idx="0">
                  <c:v>5.0801479654747225E-2</c:v>
                </c:pt>
                <c:pt idx="1">
                  <c:v>0.14112406029990851</c:v>
                </c:pt>
                <c:pt idx="2">
                  <c:v>0.24859790780000796</c:v>
                </c:pt>
                <c:pt idx="3">
                  <c:v>1</c:v>
                </c:pt>
              </c:numCache>
            </c:numRef>
          </c:xVal>
          <c:yVal>
            <c:numRef>
              <c:f>ITAÚNA!$P$2:$P$5</c:f>
              <c:numCache>
                <c:formatCode>0.00</c:formatCode>
                <c:ptCount val="4"/>
                <c:pt idx="0">
                  <c:v>0.11</c:v>
                </c:pt>
                <c:pt idx="1">
                  <c:v>0.24</c:v>
                </c:pt>
                <c:pt idx="2">
                  <c:v>0.45999999999999996</c:v>
                </c:pt>
                <c:pt idx="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BD-4005-B8E0-19547202F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014000"/>
        <c:axId val="2001012080"/>
      </c:scatterChart>
      <c:valAx>
        <c:axId val="20010140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1012080"/>
        <c:crosses val="autoZero"/>
        <c:crossBetween val="midCat"/>
      </c:valAx>
      <c:valAx>
        <c:axId val="200101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101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'LAGOA DA PRATA - STO ANT MONTE'!$J$1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MONTE'!$J$2:$J$6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DB-4FA9-BE4A-7E71780DB94C}"/>
            </c:ext>
          </c:extLst>
        </c:ser>
        <c:ser>
          <c:idx val="1"/>
          <c:order val="1"/>
          <c:tx>
            <c:strRef>
              <c:f>'LAGOA DA PRATA - STO ANT MONTE'!$K$1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MONTE'!$K$2:$K$6</c:f>
              <c:numCache>
                <c:formatCode>0.00</c:formatCode>
                <c:ptCount val="5"/>
                <c:pt idx="0">
                  <c:v>5.4054054054054057E-2</c:v>
                </c:pt>
                <c:pt idx="1">
                  <c:v>5.4054054054054057E-2</c:v>
                </c:pt>
                <c:pt idx="2">
                  <c:v>0.2567567567567568</c:v>
                </c:pt>
                <c:pt idx="3">
                  <c:v>0.55405405405405417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DB-4FA9-BE4A-7E71780DB94C}"/>
            </c:ext>
          </c:extLst>
        </c:ser>
        <c:ser>
          <c:idx val="2"/>
          <c:order val="2"/>
          <c:tx>
            <c:strRef>
              <c:f>'LAGOA DA PRATA - STO ANT MONTE'!$L$1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MONTE'!$L$2:$L$6</c:f>
              <c:numCache>
                <c:formatCode>0.00</c:formatCode>
                <c:ptCount val="5"/>
                <c:pt idx="0">
                  <c:v>0</c:v>
                </c:pt>
                <c:pt idx="1">
                  <c:v>1.6666666666666666E-2</c:v>
                </c:pt>
                <c:pt idx="2">
                  <c:v>0.15</c:v>
                </c:pt>
                <c:pt idx="3">
                  <c:v>0.43333333333333335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DB-4FA9-BE4A-7E71780DB94C}"/>
            </c:ext>
          </c:extLst>
        </c:ser>
        <c:ser>
          <c:idx val="3"/>
          <c:order val="3"/>
          <c:tx>
            <c:strRef>
              <c:f>'LAGOA DA PRATA - STO ANT MONTE'!$M$1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MONTE'!$M$2:$M$6</c:f>
              <c:numCache>
                <c:formatCode>0.00</c:formatCode>
                <c:ptCount val="5"/>
                <c:pt idx="0">
                  <c:v>0</c:v>
                </c:pt>
                <c:pt idx="1">
                  <c:v>2.9411764705882353E-2</c:v>
                </c:pt>
                <c:pt idx="2">
                  <c:v>0.20588235294117649</c:v>
                </c:pt>
                <c:pt idx="3">
                  <c:v>0.5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3DB-4FA9-BE4A-7E71780DB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746080"/>
        <c:axId val="624743680"/>
      </c:scatterChart>
      <c:valAx>
        <c:axId val="6247460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743680"/>
        <c:crosses val="autoZero"/>
        <c:crossBetween val="midCat"/>
      </c:valAx>
      <c:valAx>
        <c:axId val="62474368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746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'LAGOA DA PRATA - STO ANT MONTE'!$J$1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MONTE'!$J$2:$J$6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30-43AA-8939-98C1CACD6CF4}"/>
            </c:ext>
          </c:extLst>
        </c:ser>
        <c:ser>
          <c:idx val="1"/>
          <c:order val="1"/>
          <c:tx>
            <c:strRef>
              <c:f>'LAGOA DA PRATA - STO ANT MONTE'!$N$1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MONTE'!$N$2:$N$6</c:f>
              <c:numCache>
                <c:formatCode>0.00</c:formatCode>
                <c:ptCount val="5"/>
                <c:pt idx="0">
                  <c:v>1.9417475728155338E-2</c:v>
                </c:pt>
                <c:pt idx="1">
                  <c:v>9.7087378640776684E-2</c:v>
                </c:pt>
                <c:pt idx="2">
                  <c:v>0.31067961165048541</c:v>
                </c:pt>
                <c:pt idx="3">
                  <c:v>0.52427184466019416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30-43AA-8939-98C1CACD6CF4}"/>
            </c:ext>
          </c:extLst>
        </c:ser>
        <c:ser>
          <c:idx val="2"/>
          <c:order val="2"/>
          <c:tx>
            <c:strRef>
              <c:f>'LAGOA DA PRATA - STO ANT MONTE'!$O$1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MONTE'!$O$2:$O$6</c:f>
              <c:numCache>
                <c:formatCode>0.00</c:formatCode>
                <c:ptCount val="5"/>
                <c:pt idx="0">
                  <c:v>4.807692307692308E-3</c:v>
                </c:pt>
                <c:pt idx="1">
                  <c:v>8.6538461538461536E-2</c:v>
                </c:pt>
                <c:pt idx="2">
                  <c:v>0.20673076923076922</c:v>
                </c:pt>
                <c:pt idx="3">
                  <c:v>0.40384615384615385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30-43AA-8939-98C1CACD6CF4}"/>
            </c:ext>
          </c:extLst>
        </c:ser>
        <c:ser>
          <c:idx val="3"/>
          <c:order val="3"/>
          <c:tx>
            <c:strRef>
              <c:f>'LAGOA DA PRATA - STO ANT MONTE'!$P$1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'LAGOA DA PRATA - STO ANT MONTE'!$I$2:$I$6</c:f>
              <c:numCache>
                <c:formatCode>0.00</c:formatCode>
                <c:ptCount val="5"/>
                <c:pt idx="0">
                  <c:v>3.0383827888641017E-2</c:v>
                </c:pt>
                <c:pt idx="1">
                  <c:v>6.4136845643736812E-2</c:v>
                </c:pt>
                <c:pt idx="2">
                  <c:v>0.28266051401155151</c:v>
                </c:pt>
                <c:pt idx="3">
                  <c:v>0.59328301194878219</c:v>
                </c:pt>
                <c:pt idx="4">
                  <c:v>1</c:v>
                </c:pt>
              </c:numCache>
            </c:numRef>
          </c:xVal>
          <c:yVal>
            <c:numRef>
              <c:f>'LAGOA DA PRATA - STO ANT MONTE'!$P$2:$P$6</c:f>
              <c:numCache>
                <c:formatCode>0.00</c:formatCode>
                <c:ptCount val="5"/>
                <c:pt idx="0">
                  <c:v>7.9365079365079361E-3</c:v>
                </c:pt>
                <c:pt idx="1">
                  <c:v>2.3809523809523808E-2</c:v>
                </c:pt>
                <c:pt idx="2">
                  <c:v>0.2857142857142857</c:v>
                </c:pt>
                <c:pt idx="3">
                  <c:v>0.57936507936507931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30-43AA-8939-98C1CACD6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87168"/>
        <c:axId val="562890528"/>
      </c:scatterChart>
      <c:valAx>
        <c:axId val="5628871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90528"/>
        <c:crosses val="autoZero"/>
        <c:crossBetween val="midCat"/>
      </c:valAx>
      <c:valAx>
        <c:axId val="56289052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87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'OLIVEIRA - STO ANT DO AMPARO'!$J$1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AMPARO'!$J$2:$J$7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06-4A3A-A953-C2342C1A056A}"/>
            </c:ext>
          </c:extLst>
        </c:ser>
        <c:ser>
          <c:idx val="1"/>
          <c:order val="1"/>
          <c:tx>
            <c:strRef>
              <c:f>'OLIVEIRA - STO ANT DO AMPARO'!$K$1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AMPARO'!$K$2:$K$7</c:f>
              <c:numCache>
                <c:formatCode>0.00</c:formatCode>
                <c:ptCount val="6"/>
                <c:pt idx="0">
                  <c:v>0.08</c:v>
                </c:pt>
                <c:pt idx="1">
                  <c:v>0.12</c:v>
                </c:pt>
                <c:pt idx="2">
                  <c:v>0.25600000000000001</c:v>
                </c:pt>
                <c:pt idx="3">
                  <c:v>0.44</c:v>
                </c:pt>
                <c:pt idx="4">
                  <c:v>0.61599999999999999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06-4A3A-A953-C2342C1A056A}"/>
            </c:ext>
          </c:extLst>
        </c:ser>
        <c:ser>
          <c:idx val="2"/>
          <c:order val="2"/>
          <c:tx>
            <c:strRef>
              <c:f>'OLIVEIRA - STO ANT DO AMPARO'!$L$1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AMPARO'!$L$2:$L$7</c:f>
              <c:numCache>
                <c:formatCode>0.00</c:formatCode>
                <c:ptCount val="6"/>
                <c:pt idx="0">
                  <c:v>6.25E-2</c:v>
                </c:pt>
                <c:pt idx="1">
                  <c:v>0.16250000000000001</c:v>
                </c:pt>
                <c:pt idx="2">
                  <c:v>0.23749999999999999</c:v>
                </c:pt>
                <c:pt idx="3">
                  <c:v>0.47499999999999998</c:v>
                </c:pt>
                <c:pt idx="4">
                  <c:v>0.625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06-4A3A-A953-C2342C1A056A}"/>
            </c:ext>
          </c:extLst>
        </c:ser>
        <c:ser>
          <c:idx val="3"/>
          <c:order val="3"/>
          <c:tx>
            <c:strRef>
              <c:f>'OLIVEIRA - STO ANT DO AMPARO'!$M$1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AMPARO'!$M$2:$M$7</c:f>
              <c:numCache>
                <c:formatCode>0.00</c:formatCode>
                <c:ptCount val="6"/>
                <c:pt idx="0">
                  <c:v>8.2191780821917804E-2</c:v>
                </c:pt>
                <c:pt idx="1">
                  <c:v>0.16438356164383561</c:v>
                </c:pt>
                <c:pt idx="2">
                  <c:v>0.27397260273972601</c:v>
                </c:pt>
                <c:pt idx="3">
                  <c:v>0.50684931506849318</c:v>
                </c:pt>
                <c:pt idx="4">
                  <c:v>0.73972602739726034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06-4A3A-A953-C2342C1A0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72768"/>
        <c:axId val="562867488"/>
      </c:scatterChart>
      <c:valAx>
        <c:axId val="5628727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67488"/>
        <c:crosses val="autoZero"/>
        <c:crossBetween val="midCat"/>
      </c:valAx>
      <c:valAx>
        <c:axId val="5628674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72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'OLIVEIRA - STO ANT DO AMPARO'!$J$1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AMPARO'!$J$2:$J$7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C7-40A1-B45C-690E34D504A4}"/>
            </c:ext>
          </c:extLst>
        </c:ser>
        <c:ser>
          <c:idx val="1"/>
          <c:order val="1"/>
          <c:tx>
            <c:strRef>
              <c:f>'OLIVEIRA - STO ANT DO AMPARO'!$N$1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AMPARO'!$N$2:$N$7</c:f>
              <c:numCache>
                <c:formatCode>0.00</c:formatCode>
                <c:ptCount val="6"/>
                <c:pt idx="0">
                  <c:v>5.921052631578947E-2</c:v>
                </c:pt>
                <c:pt idx="1">
                  <c:v>0.13157894736842105</c:v>
                </c:pt>
                <c:pt idx="2">
                  <c:v>0.19736842105263158</c:v>
                </c:pt>
                <c:pt idx="3">
                  <c:v>0.72368421052631571</c:v>
                </c:pt>
                <c:pt idx="4">
                  <c:v>0.8157894736842104</c:v>
                </c:pt>
                <c:pt idx="5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C7-40A1-B45C-690E34D504A4}"/>
            </c:ext>
          </c:extLst>
        </c:ser>
        <c:ser>
          <c:idx val="2"/>
          <c:order val="2"/>
          <c:tx>
            <c:strRef>
              <c:f>'OLIVEIRA - STO ANT DO AMPARO'!$O$1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AMPARO'!$O$2:$O$7</c:f>
              <c:numCache>
                <c:formatCode>0.00</c:formatCode>
                <c:ptCount val="6"/>
                <c:pt idx="0">
                  <c:v>5.6910569105691054E-2</c:v>
                </c:pt>
                <c:pt idx="1">
                  <c:v>7.3170731707317069E-2</c:v>
                </c:pt>
                <c:pt idx="2">
                  <c:v>0.16260162601626016</c:v>
                </c:pt>
                <c:pt idx="3">
                  <c:v>0.50406504065040658</c:v>
                </c:pt>
                <c:pt idx="4">
                  <c:v>0.63414634146341475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DC7-40A1-B45C-690E34D504A4}"/>
            </c:ext>
          </c:extLst>
        </c:ser>
        <c:ser>
          <c:idx val="3"/>
          <c:order val="3"/>
          <c:tx>
            <c:strRef>
              <c:f>'OLIVEIRA - STO ANT DO AMPARO'!$P$1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'OLIVEIRA - STO ANT DO AMPARO'!$I$2:$I$7</c:f>
              <c:numCache>
                <c:formatCode>0.00</c:formatCode>
                <c:ptCount val="6"/>
                <c:pt idx="0">
                  <c:v>6.1128894479437527E-2</c:v>
                </c:pt>
                <c:pt idx="1">
                  <c:v>0.13651681701696253</c:v>
                </c:pt>
                <c:pt idx="2">
                  <c:v>0.24490044964282026</c:v>
                </c:pt>
                <c:pt idx="3">
                  <c:v>0.42041134339006281</c:v>
                </c:pt>
                <c:pt idx="4">
                  <c:v>0.60586319218241047</c:v>
                </c:pt>
                <c:pt idx="5">
                  <c:v>1</c:v>
                </c:pt>
              </c:numCache>
            </c:numRef>
          </c:xVal>
          <c:yVal>
            <c:numRef>
              <c:f>'OLIVEIRA - STO ANT DO AMPARO'!$P$2:$P$7</c:f>
              <c:numCache>
                <c:formatCode>0.00</c:formatCode>
                <c:ptCount val="6"/>
                <c:pt idx="0">
                  <c:v>7.9365079365079361E-2</c:v>
                </c:pt>
                <c:pt idx="1">
                  <c:v>9.5238095238095233E-2</c:v>
                </c:pt>
                <c:pt idx="2">
                  <c:v>0.23809523809523808</c:v>
                </c:pt>
                <c:pt idx="3">
                  <c:v>0.47619047619047616</c:v>
                </c:pt>
                <c:pt idx="4">
                  <c:v>0.55555555555555558</c:v>
                </c:pt>
                <c:pt idx="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DC7-40A1-B45C-690E34D50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837296"/>
        <c:axId val="309834416"/>
      </c:scatterChart>
      <c:valAx>
        <c:axId val="3098372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34416"/>
        <c:crosses val="autoZero"/>
        <c:crossBetween val="midCat"/>
      </c:valAx>
      <c:valAx>
        <c:axId val="3098344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9837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'PARÁ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MINAS'!$J$2:$J$9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80-46CE-AABA-1A8E0CDEDAEB}"/>
            </c:ext>
          </c:extLst>
        </c:ser>
        <c:ser>
          <c:idx val="1"/>
          <c:order val="1"/>
          <c:tx>
            <c:strRef>
              <c:f>'PARÁ DE MINAS'!$K$1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MINAS'!$K$2:$K$9</c:f>
              <c:numCache>
                <c:formatCode>0.00</c:formatCode>
                <c:ptCount val="8"/>
                <c:pt idx="0">
                  <c:v>1.5789473684210527E-2</c:v>
                </c:pt>
                <c:pt idx="1">
                  <c:v>2.368421052631579E-2</c:v>
                </c:pt>
                <c:pt idx="2">
                  <c:v>3.1578947368421054E-2</c:v>
                </c:pt>
                <c:pt idx="3">
                  <c:v>3.9473684210526314E-2</c:v>
                </c:pt>
                <c:pt idx="4">
                  <c:v>7.1052631578947367E-2</c:v>
                </c:pt>
                <c:pt idx="5">
                  <c:v>0.13157894736842105</c:v>
                </c:pt>
                <c:pt idx="6">
                  <c:v>0.88947368421052631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80-46CE-AABA-1A8E0CDEDAEB}"/>
            </c:ext>
          </c:extLst>
        </c:ser>
        <c:ser>
          <c:idx val="2"/>
          <c:order val="2"/>
          <c:tx>
            <c:strRef>
              <c:f>'PARÁ DE MINAS'!$L$1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MINAS'!$L$2:$L$9</c:f>
              <c:numCache>
                <c:formatCode>0.00</c:formatCode>
                <c:ptCount val="8"/>
                <c:pt idx="0">
                  <c:v>1.5503875968992248E-2</c:v>
                </c:pt>
                <c:pt idx="1">
                  <c:v>1.5503875968992248E-2</c:v>
                </c:pt>
                <c:pt idx="2">
                  <c:v>1.5503875968992248E-2</c:v>
                </c:pt>
                <c:pt idx="3">
                  <c:v>6.2015503875968991E-2</c:v>
                </c:pt>
                <c:pt idx="4">
                  <c:v>0.12403100775193798</c:v>
                </c:pt>
                <c:pt idx="5">
                  <c:v>0.20155038759689922</c:v>
                </c:pt>
                <c:pt idx="6">
                  <c:v>0.86821705426356588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80-46CE-AABA-1A8E0CDEDAEB}"/>
            </c:ext>
          </c:extLst>
        </c:ser>
        <c:ser>
          <c:idx val="3"/>
          <c:order val="3"/>
          <c:tx>
            <c:strRef>
              <c:f>'PARÁ DE MINAS'!$M$1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MINAS'!$M$2:$M$9</c:f>
              <c:numCache>
                <c:formatCode>0.00</c:formatCode>
                <c:ptCount val="8"/>
                <c:pt idx="0">
                  <c:v>3.6842105263157891E-2</c:v>
                </c:pt>
                <c:pt idx="1">
                  <c:v>4.2105263157894736E-2</c:v>
                </c:pt>
                <c:pt idx="2">
                  <c:v>0.10526315789473684</c:v>
                </c:pt>
                <c:pt idx="3">
                  <c:v>0.12105263157894736</c:v>
                </c:pt>
                <c:pt idx="4">
                  <c:v>0.14736842105263157</c:v>
                </c:pt>
                <c:pt idx="5">
                  <c:v>0.19473684210526315</c:v>
                </c:pt>
                <c:pt idx="6">
                  <c:v>0.74210526315789482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80-46CE-AABA-1A8E0CDED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2883328"/>
        <c:axId val="562891008"/>
      </c:scatterChart>
      <c:valAx>
        <c:axId val="5628833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91008"/>
        <c:crosses val="autoZero"/>
        <c:crossBetween val="midCat"/>
      </c:valAx>
      <c:valAx>
        <c:axId val="562891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2883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'PARÁ DE MINAS'!$J$1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MINAS'!$J$2:$J$9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BD-43A6-9C30-D27A759CA6D5}"/>
            </c:ext>
          </c:extLst>
        </c:ser>
        <c:ser>
          <c:idx val="1"/>
          <c:order val="1"/>
          <c:tx>
            <c:strRef>
              <c:f>'PARÁ DE MINAS'!$N$1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MINAS'!$N$2:$N$9</c:f>
              <c:numCache>
                <c:formatCode>0.00</c:formatCode>
                <c:ptCount val="8"/>
                <c:pt idx="0">
                  <c:v>1.1627906976744186E-2</c:v>
                </c:pt>
                <c:pt idx="1">
                  <c:v>1.4950166112956811E-2</c:v>
                </c:pt>
                <c:pt idx="2">
                  <c:v>2.6578073089700997E-2</c:v>
                </c:pt>
                <c:pt idx="3">
                  <c:v>3.4883720930232558E-2</c:v>
                </c:pt>
                <c:pt idx="4">
                  <c:v>5.3156146179401995E-2</c:v>
                </c:pt>
                <c:pt idx="5">
                  <c:v>0.11295681063122924</c:v>
                </c:pt>
                <c:pt idx="6">
                  <c:v>0.654485049833887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BD-43A6-9C30-D27A759CA6D5}"/>
            </c:ext>
          </c:extLst>
        </c:ser>
        <c:ser>
          <c:idx val="2"/>
          <c:order val="2"/>
          <c:tx>
            <c:strRef>
              <c:f>'PARÁ DE MINAS'!$O$1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MINAS'!$O$2:$O$9</c:f>
              <c:numCache>
                <c:formatCode>0.00</c:formatCode>
                <c:ptCount val="8"/>
                <c:pt idx="0">
                  <c:v>2.0618556701030928E-3</c:v>
                </c:pt>
                <c:pt idx="1">
                  <c:v>8.2474226804123713E-3</c:v>
                </c:pt>
                <c:pt idx="2">
                  <c:v>1.8556701030927835E-2</c:v>
                </c:pt>
                <c:pt idx="3">
                  <c:v>2.88659793814433E-2</c:v>
                </c:pt>
                <c:pt idx="4">
                  <c:v>4.7422680412371132E-2</c:v>
                </c:pt>
                <c:pt idx="5">
                  <c:v>9.4845360824742264E-2</c:v>
                </c:pt>
                <c:pt idx="6">
                  <c:v>0.60618556701030923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EBD-43A6-9C30-D27A759CA6D5}"/>
            </c:ext>
          </c:extLst>
        </c:ser>
        <c:ser>
          <c:idx val="3"/>
          <c:order val="3"/>
          <c:tx>
            <c:strRef>
              <c:f>'PARÁ DE MINAS'!$P$1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'PARÁ DE MINAS'!$I$2:$I$9</c:f>
              <c:numCache>
                <c:formatCode>0.00</c:formatCode>
                <c:ptCount val="8"/>
                <c:pt idx="0">
                  <c:v>1.211030162519864E-2</c:v>
                </c:pt>
                <c:pt idx="1">
                  <c:v>2.4477779227857918E-2</c:v>
                </c:pt>
                <c:pt idx="2">
                  <c:v>4.4249621912928659E-2</c:v>
                </c:pt>
                <c:pt idx="3">
                  <c:v>6.5583712699887151E-2</c:v>
                </c:pt>
                <c:pt idx="4">
                  <c:v>0.1083670476965477</c:v>
                </c:pt>
                <c:pt idx="5">
                  <c:v>0.21750562332547729</c:v>
                </c:pt>
                <c:pt idx="6">
                  <c:v>0.58452261229377944</c:v>
                </c:pt>
                <c:pt idx="7">
                  <c:v>1</c:v>
                </c:pt>
              </c:numCache>
            </c:numRef>
          </c:xVal>
          <c:yVal>
            <c:numRef>
              <c:f>'PARÁ DE MINAS'!$P$2:$P$9</c:f>
              <c:numCache>
                <c:formatCode>0.00</c:formatCode>
                <c:ptCount val="8"/>
                <c:pt idx="0">
                  <c:v>1.6597510373443983E-2</c:v>
                </c:pt>
                <c:pt idx="1">
                  <c:v>2.4896265560165977E-2</c:v>
                </c:pt>
                <c:pt idx="2">
                  <c:v>4.1493775933609964E-2</c:v>
                </c:pt>
                <c:pt idx="3">
                  <c:v>5.3941908713692949E-2</c:v>
                </c:pt>
                <c:pt idx="4">
                  <c:v>7.0539419087136929E-2</c:v>
                </c:pt>
                <c:pt idx="5">
                  <c:v>0.16597510373443983</c:v>
                </c:pt>
                <c:pt idx="6">
                  <c:v>0.73858921161825719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BD-43A6-9C30-D27A759CA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630240"/>
        <c:axId val="1918631200"/>
      </c:scatterChart>
      <c:valAx>
        <c:axId val="19186302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31200"/>
        <c:crosses val="autoZero"/>
        <c:crossBetween val="midCat"/>
      </c:valAx>
      <c:valAx>
        <c:axId val="19186312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8630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251460</xdr:colOff>
      <xdr:row>0</xdr:row>
      <xdr:rowOff>163830</xdr:rowOff>
    </xdr:from>
    <xdr:to>
      <xdr:col>23</xdr:col>
      <xdr:colOff>556260</xdr:colOff>
      <xdr:row>13</xdr:row>
      <xdr:rowOff>64770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35C110C-045D-F200-510A-FAC5E9D76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266700</xdr:colOff>
      <xdr:row>13</xdr:row>
      <xdr:rowOff>140970</xdr:rowOff>
    </xdr:from>
    <xdr:to>
      <xdr:col>23</xdr:col>
      <xdr:colOff>571500</xdr:colOff>
      <xdr:row>28</xdr:row>
      <xdr:rowOff>140970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1568632-3E60-A22C-553D-EA6976951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0</xdr:row>
      <xdr:rowOff>49530</xdr:rowOff>
    </xdr:from>
    <xdr:to>
      <xdr:col>23</xdr:col>
      <xdr:colOff>388620</xdr:colOff>
      <xdr:row>12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8CFD48B-ED60-24AB-FD34-76B334E0C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13</xdr:row>
      <xdr:rowOff>26670</xdr:rowOff>
    </xdr:from>
    <xdr:to>
      <xdr:col>23</xdr:col>
      <xdr:colOff>396240</xdr:colOff>
      <xdr:row>28</xdr:row>
      <xdr:rowOff>26670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25A9DD3-BFAD-882B-5201-B97127239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60960</xdr:colOff>
      <xdr:row>0</xdr:row>
      <xdr:rowOff>3810</xdr:rowOff>
    </xdr:from>
    <xdr:to>
      <xdr:col>23</xdr:col>
      <xdr:colOff>365760</xdr:colOff>
      <xdr:row>12</xdr:row>
      <xdr:rowOff>87630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E88D4A7-3739-63D2-3101-32F1D535C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68580</xdr:colOff>
      <xdr:row>12</xdr:row>
      <xdr:rowOff>110490</xdr:rowOff>
    </xdr:from>
    <xdr:to>
      <xdr:col>23</xdr:col>
      <xdr:colOff>373380</xdr:colOff>
      <xdr:row>27</xdr:row>
      <xdr:rowOff>110490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2811F68-A070-BED7-15A8-ECAAE71106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30480</xdr:colOff>
      <xdr:row>0</xdr:row>
      <xdr:rowOff>34290</xdr:rowOff>
    </xdr:from>
    <xdr:to>
      <xdr:col>23</xdr:col>
      <xdr:colOff>335280</xdr:colOff>
      <xdr:row>12</xdr:row>
      <xdr:rowOff>118110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0CD71DC-8F1B-187C-8567-31F80EBC3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22860</xdr:colOff>
      <xdr:row>12</xdr:row>
      <xdr:rowOff>163830</xdr:rowOff>
    </xdr:from>
    <xdr:to>
      <xdr:col>23</xdr:col>
      <xdr:colOff>327660</xdr:colOff>
      <xdr:row>27</xdr:row>
      <xdr:rowOff>163830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3707EB5-2527-F4AD-2AB2-0571D48C0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26670</xdr:rowOff>
    </xdr:from>
    <xdr:to>
      <xdr:col>23</xdr:col>
      <xdr:colOff>381000</xdr:colOff>
      <xdr:row>12</xdr:row>
      <xdr:rowOff>110490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857B5AA-13C6-58CB-6D08-5ADDCB16F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12</xdr:row>
      <xdr:rowOff>118110</xdr:rowOff>
    </xdr:from>
    <xdr:to>
      <xdr:col>23</xdr:col>
      <xdr:colOff>365760</xdr:colOff>
      <xdr:row>27</xdr:row>
      <xdr:rowOff>118110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7E0BEFA-4206-D613-BEC4-1BF146095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53340</xdr:colOff>
      <xdr:row>0</xdr:row>
      <xdr:rowOff>57150</xdr:rowOff>
    </xdr:from>
    <xdr:to>
      <xdr:col>23</xdr:col>
      <xdr:colOff>358140</xdr:colOff>
      <xdr:row>12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8CC25B-B2CE-E240-54CE-A3AD6F99A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53340</xdr:colOff>
      <xdr:row>12</xdr:row>
      <xdr:rowOff>163830</xdr:rowOff>
    </xdr:from>
    <xdr:to>
      <xdr:col>23</xdr:col>
      <xdr:colOff>358140</xdr:colOff>
      <xdr:row>27</xdr:row>
      <xdr:rowOff>163830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61DF764-5F5C-1EEA-4418-572D845F1F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41910</xdr:rowOff>
    </xdr:from>
    <xdr:to>
      <xdr:col>23</xdr:col>
      <xdr:colOff>381000</xdr:colOff>
      <xdr:row>12</xdr:row>
      <xdr:rowOff>125730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FDFDC0B-BDEF-1BBF-3A69-F56B1A5AF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91440</xdr:colOff>
      <xdr:row>12</xdr:row>
      <xdr:rowOff>148590</xdr:rowOff>
    </xdr:from>
    <xdr:to>
      <xdr:col>23</xdr:col>
      <xdr:colOff>396240</xdr:colOff>
      <xdr:row>27</xdr:row>
      <xdr:rowOff>148590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FF21071-0E62-EAD7-508E-A914EDE39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49530</xdr:rowOff>
    </xdr:from>
    <xdr:to>
      <xdr:col>23</xdr:col>
      <xdr:colOff>381000</xdr:colOff>
      <xdr:row>12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64D0CF0-73AD-A624-AE83-AE4C2C849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60960</xdr:colOff>
      <xdr:row>12</xdr:row>
      <xdr:rowOff>148590</xdr:rowOff>
    </xdr:from>
    <xdr:to>
      <xdr:col>23</xdr:col>
      <xdr:colOff>365760</xdr:colOff>
      <xdr:row>27</xdr:row>
      <xdr:rowOff>148590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1EF6823-A361-6C12-1BEB-82016C214B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A832-1F05-4FB0-A63E-5A831ED95D63}">
  <dimension ref="A1:P19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6</v>
      </c>
      <c r="B2" s="8">
        <v>7.1095291665898234E-3</v>
      </c>
      <c r="C2" s="8">
        <v>8.8495575221238937E-3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7.1095291665898234E-3</v>
      </c>
      <c r="J2" s="8">
        <v>7.1095291665898234E-3</v>
      </c>
      <c r="K2" s="8">
        <v>8.8495575221238937E-3</v>
      </c>
      <c r="L2" s="8">
        <v>0</v>
      </c>
      <c r="M2" s="8">
        <v>0</v>
      </c>
      <c r="N2" s="8">
        <v>0</v>
      </c>
      <c r="O2" s="8">
        <v>0</v>
      </c>
      <c r="P2" s="8">
        <v>0</v>
      </c>
    </row>
    <row r="3" spans="1:16" x14ac:dyDescent="0.3">
      <c r="A3" s="8" t="s">
        <v>2</v>
      </c>
      <c r="B3" s="8">
        <v>3.2117367168913558E-2</v>
      </c>
      <c r="C3" s="8">
        <v>1.7699115044247787E-2</v>
      </c>
      <c r="D3" s="8">
        <v>3.125E-2</v>
      </c>
      <c r="E3" s="8">
        <v>2.7027027027027029E-2</v>
      </c>
      <c r="F3" s="8">
        <v>2.3809523809523808E-2</v>
      </c>
      <c r="G3" s="8">
        <v>1.0582010582010581E-2</v>
      </c>
      <c r="H3" s="8">
        <v>0</v>
      </c>
      <c r="I3" s="8">
        <v>3.9226896335503379E-2</v>
      </c>
      <c r="J3" s="8">
        <f>J2+B3</f>
        <v>3.9226896335503379E-2</v>
      </c>
      <c r="K3" s="8">
        <f t="shared" ref="K3:P8" si="0">K2+C3</f>
        <v>2.6548672566371681E-2</v>
      </c>
      <c r="L3" s="8">
        <f t="shared" si="0"/>
        <v>3.125E-2</v>
      </c>
      <c r="M3" s="8">
        <f t="shared" si="0"/>
        <v>2.7027027027027029E-2</v>
      </c>
      <c r="N3" s="8">
        <f t="shared" si="0"/>
        <v>2.3809523809523808E-2</v>
      </c>
      <c r="O3" s="8">
        <f t="shared" si="0"/>
        <v>1.0582010582010581E-2</v>
      </c>
      <c r="P3" s="8">
        <f t="shared" si="0"/>
        <v>0</v>
      </c>
    </row>
    <row r="4" spans="1:16" x14ac:dyDescent="0.3">
      <c r="A4" s="8" t="s">
        <v>5</v>
      </c>
      <c r="B4" s="8">
        <v>6.9979528982166236E-2</v>
      </c>
      <c r="C4" s="8">
        <v>6.1946902654867256E-2</v>
      </c>
      <c r="D4" s="8">
        <v>7.8125E-2</v>
      </c>
      <c r="E4" s="8">
        <v>6.7567567567567571E-2</v>
      </c>
      <c r="F4" s="8">
        <v>3.7414965986394558E-2</v>
      </c>
      <c r="G4" s="8">
        <v>7.407407407407407E-2</v>
      </c>
      <c r="H4" s="8">
        <v>7.5581395348837205E-2</v>
      </c>
      <c r="I4" s="8">
        <v>0.10920642531766961</v>
      </c>
      <c r="J4" s="8">
        <f t="shared" ref="J4:J8" si="1">J3+B4</f>
        <v>0.10920642531766961</v>
      </c>
      <c r="K4" s="8">
        <f t="shared" si="0"/>
        <v>8.8495575221238937E-2</v>
      </c>
      <c r="L4" s="8">
        <f t="shared" si="0"/>
        <v>0.109375</v>
      </c>
      <c r="M4" s="8">
        <f t="shared" si="0"/>
        <v>9.45945945945946E-2</v>
      </c>
      <c r="N4" s="8">
        <f t="shared" si="0"/>
        <v>6.1224489795918366E-2</v>
      </c>
      <c r="O4" s="8">
        <f t="shared" si="0"/>
        <v>8.4656084656084651E-2</v>
      </c>
      <c r="P4" s="8">
        <f t="shared" si="0"/>
        <v>7.5581395348837205E-2</v>
      </c>
    </row>
    <row r="5" spans="1:16" x14ac:dyDescent="0.3">
      <c r="A5" s="8" t="s">
        <v>1</v>
      </c>
      <c r="B5" s="8">
        <v>0.12331482950039652</v>
      </c>
      <c r="C5" s="8">
        <v>0.12389380530973451</v>
      </c>
      <c r="D5" s="8">
        <v>7.8125E-2</v>
      </c>
      <c r="E5" s="8">
        <v>0.12162162162162163</v>
      </c>
      <c r="F5" s="8">
        <v>0.11564625850340136</v>
      </c>
      <c r="G5" s="8">
        <v>0.13227513227513227</v>
      </c>
      <c r="H5" s="8">
        <v>8.7209302325581398E-2</v>
      </c>
      <c r="I5" s="8">
        <v>0.23252125481806613</v>
      </c>
      <c r="J5" s="8">
        <f t="shared" si="1"/>
        <v>0.23252125481806613</v>
      </c>
      <c r="K5" s="8">
        <f t="shared" si="0"/>
        <v>0.21238938053097345</v>
      </c>
      <c r="L5" s="8">
        <f t="shared" si="0"/>
        <v>0.1875</v>
      </c>
      <c r="M5" s="8">
        <f t="shared" si="0"/>
        <v>0.21621621621621623</v>
      </c>
      <c r="N5" s="8">
        <f t="shared" si="0"/>
        <v>0.17687074829931973</v>
      </c>
      <c r="O5" s="8">
        <f t="shared" si="0"/>
        <v>0.21693121693121692</v>
      </c>
      <c r="P5" s="8">
        <f t="shared" si="0"/>
        <v>0.16279069767441862</v>
      </c>
    </row>
    <row r="6" spans="1:16" x14ac:dyDescent="0.3">
      <c r="A6" s="8" t="s">
        <v>4</v>
      </c>
      <c r="B6" s="8">
        <v>0.1244582557217417</v>
      </c>
      <c r="C6" s="8">
        <v>0.12389380530973451</v>
      </c>
      <c r="D6" s="8">
        <v>0.109375</v>
      </c>
      <c r="E6" s="8">
        <v>0.12162162162162163</v>
      </c>
      <c r="F6" s="8">
        <v>4.0816326530612242E-2</v>
      </c>
      <c r="G6" s="8">
        <v>0.12169312169312169</v>
      </c>
      <c r="H6" s="8">
        <v>6.9767441860465115E-2</v>
      </c>
      <c r="I6" s="8">
        <v>0.35697951053980781</v>
      </c>
      <c r="J6" s="8">
        <f t="shared" si="1"/>
        <v>0.35697951053980781</v>
      </c>
      <c r="K6" s="8">
        <f t="shared" si="0"/>
        <v>0.33628318584070793</v>
      </c>
      <c r="L6" s="8">
        <f t="shared" si="0"/>
        <v>0.296875</v>
      </c>
      <c r="M6" s="8">
        <f t="shared" si="0"/>
        <v>0.33783783783783783</v>
      </c>
      <c r="N6" s="8">
        <f t="shared" si="0"/>
        <v>0.21768707482993196</v>
      </c>
      <c r="O6" s="8">
        <f t="shared" si="0"/>
        <v>0.33862433862433861</v>
      </c>
      <c r="P6" s="8">
        <f t="shared" si="0"/>
        <v>0.23255813953488375</v>
      </c>
    </row>
    <row r="7" spans="1:16" x14ac:dyDescent="0.3">
      <c r="A7" s="8" t="s">
        <v>3</v>
      </c>
      <c r="B7" s="8">
        <v>0.16871991590284566</v>
      </c>
      <c r="C7" s="8">
        <v>0.10619469026548672</v>
      </c>
      <c r="D7" s="8">
        <v>0.234375</v>
      </c>
      <c r="E7" s="8">
        <v>0.20270270270270271</v>
      </c>
      <c r="F7" s="8">
        <v>0.12585034013605442</v>
      </c>
      <c r="G7" s="8">
        <v>0.13756613756613756</v>
      </c>
      <c r="H7" s="8">
        <v>0.13372093023255813</v>
      </c>
      <c r="I7" s="8">
        <v>0.52569942644265344</v>
      </c>
      <c r="J7" s="8">
        <f t="shared" si="1"/>
        <v>0.52569942644265344</v>
      </c>
      <c r="K7" s="8">
        <f t="shared" si="0"/>
        <v>0.44247787610619466</v>
      </c>
      <c r="L7" s="8">
        <f t="shared" si="0"/>
        <v>0.53125</v>
      </c>
      <c r="M7" s="8">
        <f t="shared" si="0"/>
        <v>0.54054054054054057</v>
      </c>
      <c r="N7" s="8">
        <f t="shared" si="0"/>
        <v>0.34353741496598639</v>
      </c>
      <c r="O7" s="8">
        <f t="shared" si="0"/>
        <v>0.47619047619047616</v>
      </c>
      <c r="P7" s="8">
        <f t="shared" si="0"/>
        <v>0.36627906976744184</v>
      </c>
    </row>
    <row r="8" spans="1:16" x14ac:dyDescent="0.3">
      <c r="A8" s="8" t="s">
        <v>0</v>
      </c>
      <c r="B8" s="8">
        <v>0.47430057355734651</v>
      </c>
      <c r="C8" s="8">
        <v>0.55752212389380529</v>
      </c>
      <c r="D8" s="8">
        <v>0.46875</v>
      </c>
      <c r="E8" s="8">
        <v>0.45945945945945948</v>
      </c>
      <c r="F8" s="8">
        <v>0.65646258503401356</v>
      </c>
      <c r="G8" s="8">
        <v>0.52380952380952384</v>
      </c>
      <c r="H8" s="8">
        <v>0.63372093023255816</v>
      </c>
      <c r="I8" s="8">
        <v>1</v>
      </c>
      <c r="J8" s="8">
        <f t="shared" si="1"/>
        <v>1</v>
      </c>
      <c r="K8" s="8">
        <f t="shared" si="0"/>
        <v>1</v>
      </c>
      <c r="L8" s="8">
        <f t="shared" si="0"/>
        <v>1</v>
      </c>
      <c r="M8" s="8">
        <f t="shared" si="0"/>
        <v>1</v>
      </c>
      <c r="N8" s="8">
        <f t="shared" si="0"/>
        <v>1</v>
      </c>
      <c r="O8" s="8">
        <f t="shared" si="0"/>
        <v>1</v>
      </c>
      <c r="P8" s="8">
        <f t="shared" si="0"/>
        <v>1</v>
      </c>
    </row>
    <row r="10" spans="1:16" ht="28.8" x14ac:dyDescent="0.3">
      <c r="B10" s="1" t="s">
        <v>53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66</v>
      </c>
      <c r="J10" s="7"/>
      <c r="K10" s="9" t="s">
        <v>67</v>
      </c>
      <c r="L10" s="9" t="s">
        <v>68</v>
      </c>
      <c r="M10" s="9" t="s">
        <v>69</v>
      </c>
      <c r="N10" s="9" t="s">
        <v>70</v>
      </c>
      <c r="O10" s="9" t="s">
        <v>71</v>
      </c>
      <c r="P10" s="9" t="s">
        <v>72</v>
      </c>
    </row>
    <row r="11" spans="1:16" x14ac:dyDescent="0.3">
      <c r="B11" s="8" t="s">
        <v>6</v>
      </c>
      <c r="C11" s="8">
        <f>C2-B2</f>
        <v>1.7400283555340703E-3</v>
      </c>
      <c r="D11" s="8">
        <f>D2-B2</f>
        <v>-7.1095291665898234E-3</v>
      </c>
      <c r="E11" s="8">
        <f>E2-B2</f>
        <v>-7.1095291665898234E-3</v>
      </c>
      <c r="F11" s="8">
        <f>F2-B2</f>
        <v>-7.1095291665898234E-3</v>
      </c>
      <c r="G11" s="8">
        <f>G2-B2</f>
        <v>-7.1095291665898234E-3</v>
      </c>
      <c r="H11" s="8">
        <f>H2-B2</f>
        <v>-7.1095291665898234E-3</v>
      </c>
      <c r="J11" s="8" t="s">
        <v>6</v>
      </c>
      <c r="K11" s="7">
        <f>(J2-0) * ((K2+0))</f>
        <v>6.2916187314954189E-5</v>
      </c>
      <c r="L11" s="7">
        <f>(J2-0) * ((L2+0))</f>
        <v>0</v>
      </c>
      <c r="M11" s="7">
        <f>(J2-0) * ((M2+0))</f>
        <v>0</v>
      </c>
      <c r="N11" s="7">
        <f>(J2-0) * ((N2+0))</f>
        <v>0</v>
      </c>
      <c r="O11" s="7">
        <f>(J2-0) * ((O2+0))</f>
        <v>0</v>
      </c>
      <c r="P11" s="7">
        <f>(J2-0) * ((P2+0))</f>
        <v>0</v>
      </c>
    </row>
    <row r="12" spans="1:16" x14ac:dyDescent="0.3">
      <c r="B12" s="8" t="s">
        <v>2</v>
      </c>
      <c r="C12" s="8">
        <f t="shared" ref="C12:C17" si="2">C3-B3</f>
        <v>-1.441825212466577E-2</v>
      </c>
      <c r="D12" s="8">
        <f t="shared" ref="D12:D17" si="3">D3-B3</f>
        <v>-8.6736716891355758E-4</v>
      </c>
      <c r="E12" s="8">
        <f t="shared" ref="E12:E17" si="4">E3-B3</f>
        <v>-5.0903401418865291E-3</v>
      </c>
      <c r="F12" s="8">
        <f t="shared" ref="F12:F17" si="5">F3-B3</f>
        <v>-8.3078433593897494E-3</v>
      </c>
      <c r="G12" s="8">
        <f t="shared" ref="G12:G17" si="6">G3-B3</f>
        <v>-2.1535356586902976E-2</v>
      </c>
      <c r="H12" s="8">
        <f t="shared" ref="H12:H17" si="7">H3-B3</f>
        <v>-3.2117367168913558E-2</v>
      </c>
      <c r="J12" s="8" t="s">
        <v>2</v>
      </c>
      <c r="K12" s="7">
        <f>(J3-J2) * ((K3+K2))</f>
        <v>1.1368979528818958E-3</v>
      </c>
      <c r="L12" s="7">
        <f>(J3-J2) * ((L3+L2))</f>
        <v>1.0036677240285487E-3</v>
      </c>
      <c r="M12" s="7">
        <f>(J3-J2) * ((M3+M2))</f>
        <v>8.6803695051117723E-4</v>
      </c>
      <c r="N12" s="7">
        <f>(J3-J2) * ((N3+N2))</f>
        <v>7.6469921830746562E-4</v>
      </c>
      <c r="O12" s="7">
        <f>(J3-J2) * ((O3+O2))</f>
        <v>3.3986631924776248E-4</v>
      </c>
      <c r="P12" s="7">
        <f>(J3-J2) * ((P3+P2))</f>
        <v>0</v>
      </c>
    </row>
    <row r="13" spans="1:16" x14ac:dyDescent="0.3">
      <c r="B13" s="8" t="s">
        <v>5</v>
      </c>
      <c r="C13" s="8">
        <f t="shared" si="2"/>
        <v>-8.0326263272989806E-3</v>
      </c>
      <c r="D13" s="8">
        <f t="shared" si="3"/>
        <v>8.1454710178337636E-3</v>
      </c>
      <c r="E13" s="8">
        <f t="shared" si="4"/>
        <v>-2.4119614145986651E-3</v>
      </c>
      <c r="F13" s="8">
        <f t="shared" si="5"/>
        <v>-3.2564562995771679E-2</v>
      </c>
      <c r="G13" s="8">
        <f t="shared" si="6"/>
        <v>4.0945450919078336E-3</v>
      </c>
      <c r="H13" s="8">
        <f t="shared" si="7"/>
        <v>5.6018663666709684E-3</v>
      </c>
      <c r="J13" s="8" t="s">
        <v>5</v>
      </c>
      <c r="K13" s="7">
        <f t="shared" ref="K13:K17" si="8">(J4-J3) * ((K4+K3))</f>
        <v>8.0507422722846094E-3</v>
      </c>
      <c r="L13" s="7">
        <f t="shared" ref="L13:L17" si="9">(J4-J3) * ((L4+L3))</f>
        <v>9.8408712631171246E-3</v>
      </c>
      <c r="M13" s="7">
        <f t="shared" ref="M13:M17" si="10">(J4-J3) * ((M4+M3))</f>
        <v>8.5110237951283255E-3</v>
      </c>
      <c r="N13" s="7">
        <f t="shared" ref="N13:N17" si="11">(J4-J3) * ((N4+N3))</f>
        <v>5.9506402195719579E-3</v>
      </c>
      <c r="O13" s="7">
        <f t="shared" ref="O13:O17" si="12">(J4-J3) * ((O4+O3))</f>
        <v>6.6647170459205925E-3</v>
      </c>
      <c r="P13" s="7">
        <f t="shared" ref="P13:P17" si="13">(J4-J3) * ((P4+P3))</f>
        <v>5.2891504463265168E-3</v>
      </c>
    </row>
    <row r="14" spans="1:16" x14ac:dyDescent="0.3">
      <c r="B14" s="8" t="s">
        <v>1</v>
      </c>
      <c r="C14" s="8">
        <f t="shared" si="2"/>
        <v>5.7897580933799486E-4</v>
      </c>
      <c r="D14" s="8">
        <f t="shared" si="3"/>
        <v>-4.5189829500396517E-2</v>
      </c>
      <c r="E14" s="8">
        <f t="shared" si="4"/>
        <v>-1.6932078787748883E-3</v>
      </c>
      <c r="F14" s="8">
        <f t="shared" si="5"/>
        <v>-7.6685709969951527E-3</v>
      </c>
      <c r="G14" s="8">
        <f t="shared" si="6"/>
        <v>8.9603027747357511E-3</v>
      </c>
      <c r="H14" s="8">
        <f t="shared" si="7"/>
        <v>-3.6105527174815119E-2</v>
      </c>
      <c r="J14" s="8" t="s">
        <v>1</v>
      </c>
      <c r="K14" s="7">
        <f t="shared" si="8"/>
        <v>3.7103577017818426E-2</v>
      </c>
      <c r="L14" s="7">
        <f t="shared" si="9"/>
        <v>3.6609090007930216E-2</v>
      </c>
      <c r="M14" s="7">
        <f t="shared" si="10"/>
        <v>3.8327582142015142E-2</v>
      </c>
      <c r="N14" s="7">
        <f t="shared" si="11"/>
        <v>2.9360673690570598E-2</v>
      </c>
      <c r="O14" s="7">
        <f t="shared" si="12"/>
        <v>3.7190186674722757E-2</v>
      </c>
      <c r="P14" s="7">
        <f t="shared" si="13"/>
        <v>2.939481400881545E-2</v>
      </c>
    </row>
    <row r="15" spans="1:16" x14ac:dyDescent="0.3">
      <c r="B15" s="8" t="s">
        <v>4</v>
      </c>
      <c r="C15" s="8">
        <f t="shared" si="2"/>
        <v>-5.6445041200718638E-4</v>
      </c>
      <c r="D15" s="8">
        <f t="shared" si="3"/>
        <v>-1.5083255721741698E-2</v>
      </c>
      <c r="E15" s="8">
        <f t="shared" si="4"/>
        <v>-2.8366341001200696E-3</v>
      </c>
      <c r="F15" s="8">
        <f t="shared" si="5"/>
        <v>-8.3641929191129449E-2</v>
      </c>
      <c r="G15" s="8">
        <f t="shared" si="6"/>
        <v>-2.7651340286200116E-3</v>
      </c>
      <c r="H15" s="8">
        <f t="shared" si="7"/>
        <v>-5.4690813861276583E-2</v>
      </c>
      <c r="J15" s="8" t="s">
        <v>4</v>
      </c>
      <c r="K15" s="7">
        <f t="shared" si="8"/>
        <v>6.8286830572991009E-2</v>
      </c>
      <c r="L15" s="7">
        <f t="shared" si="9"/>
        <v>6.0284467615218627E-2</v>
      </c>
      <c r="M15" s="7">
        <f t="shared" si="10"/>
        <v>6.8956601143127155E-2</v>
      </c>
      <c r="N15" s="7">
        <f t="shared" si="11"/>
        <v>4.9105978448034132E-2</v>
      </c>
      <c r="O15" s="7">
        <f t="shared" si="12"/>
        <v>6.9143475400967602E-2</v>
      </c>
      <c r="P15" s="7">
        <f t="shared" si="13"/>
        <v>4.9204426680688577E-2</v>
      </c>
    </row>
    <row r="16" spans="1:16" x14ac:dyDescent="0.3">
      <c r="B16" s="8" t="s">
        <v>3</v>
      </c>
      <c r="C16" s="8">
        <f t="shared" si="2"/>
        <v>-6.2525225637358933E-2</v>
      </c>
      <c r="D16" s="8">
        <f t="shared" si="3"/>
        <v>6.5655084097154343E-2</v>
      </c>
      <c r="E16" s="8">
        <f t="shared" si="4"/>
        <v>3.3982786799857057E-2</v>
      </c>
      <c r="F16" s="8">
        <f t="shared" si="5"/>
        <v>-4.2869575766791235E-2</v>
      </c>
      <c r="G16" s="8">
        <f t="shared" si="6"/>
        <v>-3.1153778336708099E-2</v>
      </c>
      <c r="H16" s="8">
        <f t="shared" si="7"/>
        <v>-3.499898567028753E-2</v>
      </c>
      <c r="J16" s="8" t="s">
        <v>3</v>
      </c>
      <c r="K16" s="7">
        <f t="shared" si="8"/>
        <v>0.13139250088009216</v>
      </c>
      <c r="L16" s="7">
        <f t="shared" si="9"/>
        <v>0.13972118035704403</v>
      </c>
      <c r="M16" s="7">
        <f t="shared" si="10"/>
        <v>0.14819992613087793</v>
      </c>
      <c r="N16" s="7">
        <f t="shared" si="11"/>
        <v>9.468974872098479E-2</v>
      </c>
      <c r="O16" s="7">
        <f t="shared" si="12"/>
        <v>0.13747548703194828</v>
      </c>
      <c r="P16" s="7">
        <f t="shared" si="13"/>
        <v>0.10103576359298314</v>
      </c>
    </row>
    <row r="17" spans="2:16" x14ac:dyDescent="0.3">
      <c r="B17" s="8" t="s">
        <v>0</v>
      </c>
      <c r="C17" s="8">
        <f t="shared" si="2"/>
        <v>8.3221550336458783E-2</v>
      </c>
      <c r="D17" s="8">
        <f t="shared" si="3"/>
        <v>-5.5505735573465054E-3</v>
      </c>
      <c r="E17" s="8">
        <f t="shared" si="4"/>
        <v>-1.484111409788702E-2</v>
      </c>
      <c r="F17" s="8">
        <f t="shared" si="5"/>
        <v>0.18216201147666705</v>
      </c>
      <c r="G17" s="8">
        <f t="shared" si="6"/>
        <v>4.9508950252177331E-2</v>
      </c>
      <c r="H17" s="8">
        <f t="shared" si="7"/>
        <v>0.15942035667521165</v>
      </c>
      <c r="J17" s="8" t="s">
        <v>0</v>
      </c>
      <c r="K17" s="7">
        <f t="shared" si="8"/>
        <v>0.68416808398095119</v>
      </c>
      <c r="L17" s="7">
        <f t="shared" si="9"/>
        <v>0.72627275325968688</v>
      </c>
      <c r="M17" s="7">
        <f t="shared" si="10"/>
        <v>0.73067926196672306</v>
      </c>
      <c r="N17" s="7">
        <f t="shared" si="11"/>
        <v>0.63724056651412209</v>
      </c>
      <c r="O17" s="7">
        <f t="shared" si="12"/>
        <v>0.70015798953703545</v>
      </c>
      <c r="P17" s="7">
        <f t="shared" si="13"/>
        <v>0.64802694643009562</v>
      </c>
    </row>
    <row r="18" spans="2:16" x14ac:dyDescent="0.3">
      <c r="J18" s="10" t="s">
        <v>73</v>
      </c>
      <c r="K18" s="9">
        <f>SUM(K11:K17)</f>
        <v>0.93020154886433426</v>
      </c>
      <c r="L18" s="9">
        <f t="shared" ref="L18:P18" si="14">SUM(L11:L17)</f>
        <v>0.97373203022702537</v>
      </c>
      <c r="M18" s="9">
        <f t="shared" si="14"/>
        <v>0.99554243212838278</v>
      </c>
      <c r="N18" s="9">
        <f t="shared" si="14"/>
        <v>0.81711230681159108</v>
      </c>
      <c r="O18" s="9">
        <f t="shared" si="14"/>
        <v>0.95097172200984248</v>
      </c>
      <c r="P18" s="9">
        <f t="shared" si="14"/>
        <v>0.83295110115890925</v>
      </c>
    </row>
    <row r="19" spans="2:16" x14ac:dyDescent="0.3">
      <c r="J19" s="11" t="s">
        <v>74</v>
      </c>
      <c r="K19" s="12">
        <f>1-K18</f>
        <v>6.979845113566574E-2</v>
      </c>
      <c r="L19" s="12">
        <f t="shared" ref="L19:P19" si="15">1-L18</f>
        <v>2.6267969772974631E-2</v>
      </c>
      <c r="M19" s="12">
        <f t="shared" si="15"/>
        <v>4.4575678716172185E-3</v>
      </c>
      <c r="N19" s="12">
        <f t="shared" si="15"/>
        <v>0.18288769318840892</v>
      </c>
      <c r="O19" s="12">
        <f t="shared" si="15"/>
        <v>4.9028277990157521E-2</v>
      </c>
      <c r="P19" s="12">
        <f t="shared" si="15"/>
        <v>0.16704889884109075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BFAB-7BE8-48D2-82E9-74A905705DE0}">
  <dimension ref="A1:P19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9</v>
      </c>
      <c r="B2" s="8">
        <v>2.8357105757321508E-2</v>
      </c>
      <c r="C2" s="8">
        <v>3.4246575342465752E-2</v>
      </c>
      <c r="D2" s="8">
        <v>5.6338028169014086E-2</v>
      </c>
      <c r="E2" s="8">
        <v>2.564102564102564E-2</v>
      </c>
      <c r="F2" s="8">
        <v>3.1690140845070422E-2</v>
      </c>
      <c r="G2" s="8">
        <v>3.9408866995073892E-2</v>
      </c>
      <c r="H2" s="8">
        <v>2.8301886792452831E-2</v>
      </c>
      <c r="I2" s="8">
        <v>2.8357105757321508E-2</v>
      </c>
      <c r="J2" s="8">
        <v>2.8357105757321508E-2</v>
      </c>
      <c r="K2" s="8">
        <v>3.4246575342465752E-2</v>
      </c>
      <c r="L2" s="8">
        <v>5.6338028169014086E-2</v>
      </c>
      <c r="M2" s="8">
        <v>2.564102564102564E-2</v>
      </c>
      <c r="N2" s="8">
        <v>3.1690140845070422E-2</v>
      </c>
      <c r="O2" s="8">
        <v>3.9408866995073892E-2</v>
      </c>
      <c r="P2" s="8">
        <v>2.8301886792452831E-2</v>
      </c>
    </row>
    <row r="3" spans="1:16" x14ac:dyDescent="0.3">
      <c r="A3" s="8" t="s">
        <v>8</v>
      </c>
      <c r="B3" s="8">
        <v>4.5517200047944385E-2</v>
      </c>
      <c r="C3" s="8">
        <v>4.1095890410958902E-2</v>
      </c>
      <c r="D3" s="8">
        <v>0</v>
      </c>
      <c r="E3" s="8">
        <v>6.4102564102564097E-2</v>
      </c>
      <c r="F3" s="8">
        <v>6.3380281690140844E-2</v>
      </c>
      <c r="G3" s="8">
        <v>8.3743842364532015E-2</v>
      </c>
      <c r="H3" s="8">
        <v>0.10377358490566038</v>
      </c>
      <c r="I3" s="8">
        <v>7.3874305805265897E-2</v>
      </c>
      <c r="J3" s="8">
        <f>J2+B3</f>
        <v>7.3874305805265897E-2</v>
      </c>
      <c r="K3" s="8">
        <f t="shared" ref="K3:P8" si="0">K2+C3</f>
        <v>7.5342465753424653E-2</v>
      </c>
      <c r="L3" s="8">
        <f t="shared" si="0"/>
        <v>5.6338028169014086E-2</v>
      </c>
      <c r="M3" s="8">
        <f t="shared" si="0"/>
        <v>8.974358974358973E-2</v>
      </c>
      <c r="N3" s="8">
        <f t="shared" si="0"/>
        <v>9.5070422535211266E-2</v>
      </c>
      <c r="O3" s="8">
        <f t="shared" si="0"/>
        <v>0.1231527093596059</v>
      </c>
      <c r="P3" s="8">
        <f t="shared" si="0"/>
        <v>0.13207547169811321</v>
      </c>
    </row>
    <row r="4" spans="1:16" x14ac:dyDescent="0.3">
      <c r="A4" s="8" t="s">
        <v>13</v>
      </c>
      <c r="B4" s="8">
        <v>4.8413839945663034E-2</v>
      </c>
      <c r="C4" s="8">
        <v>4.7945205479452052E-2</v>
      </c>
      <c r="D4" s="8">
        <v>9.8591549295774641E-2</v>
      </c>
      <c r="E4" s="8">
        <v>7.6923076923076927E-2</v>
      </c>
      <c r="F4" s="8">
        <v>6.6901408450704219E-2</v>
      </c>
      <c r="G4" s="8">
        <v>8.3743842364532015E-2</v>
      </c>
      <c r="H4" s="8">
        <v>1.8867924528301886E-2</v>
      </c>
      <c r="I4" s="8">
        <v>0.12228814575092893</v>
      </c>
      <c r="J4" s="8">
        <f t="shared" ref="J4:J8" si="1">J3+B4</f>
        <v>0.12228814575092893</v>
      </c>
      <c r="K4" s="8">
        <f t="shared" si="0"/>
        <v>0.12328767123287671</v>
      </c>
      <c r="L4" s="8">
        <f t="shared" si="0"/>
        <v>0.15492957746478872</v>
      </c>
      <c r="M4" s="8">
        <f t="shared" si="0"/>
        <v>0.16666666666666666</v>
      </c>
      <c r="N4" s="8">
        <f t="shared" si="0"/>
        <v>0.1619718309859155</v>
      </c>
      <c r="O4" s="8">
        <f t="shared" si="0"/>
        <v>0.2068965517241379</v>
      </c>
      <c r="P4" s="8">
        <f t="shared" si="0"/>
        <v>0.15094339622641509</v>
      </c>
    </row>
    <row r="5" spans="1:16" x14ac:dyDescent="0.3">
      <c r="A5" s="8" t="s">
        <v>10</v>
      </c>
      <c r="B5" s="8">
        <v>5.5785289064684968E-2</v>
      </c>
      <c r="C5" s="8">
        <v>0.10273972602739725</v>
      </c>
      <c r="D5" s="8">
        <v>0</v>
      </c>
      <c r="E5" s="8">
        <v>0.11538461538461539</v>
      </c>
      <c r="F5" s="8">
        <v>5.2816901408450703E-2</v>
      </c>
      <c r="G5" s="8">
        <v>3.4482758620689655E-2</v>
      </c>
      <c r="H5" s="8">
        <v>0.11320754716981132</v>
      </c>
      <c r="I5" s="8">
        <v>0.17807343481561388</v>
      </c>
      <c r="J5" s="8">
        <f t="shared" si="1"/>
        <v>0.17807343481561388</v>
      </c>
      <c r="K5" s="8">
        <f t="shared" si="0"/>
        <v>0.22602739726027396</v>
      </c>
      <c r="L5" s="8">
        <f t="shared" si="0"/>
        <v>0.15492957746478872</v>
      </c>
      <c r="M5" s="8">
        <f t="shared" si="0"/>
        <v>0.28205128205128205</v>
      </c>
      <c r="N5" s="8">
        <f t="shared" si="0"/>
        <v>0.21478873239436619</v>
      </c>
      <c r="O5" s="8">
        <f t="shared" si="0"/>
        <v>0.24137931034482757</v>
      </c>
      <c r="P5" s="8">
        <f t="shared" si="0"/>
        <v>0.26415094339622641</v>
      </c>
    </row>
    <row r="6" spans="1:16" x14ac:dyDescent="0.3">
      <c r="A6" s="8" t="s">
        <v>12</v>
      </c>
      <c r="B6" s="8">
        <v>0.13044867953174319</v>
      </c>
      <c r="C6" s="8">
        <v>6.1643835616438353E-2</v>
      </c>
      <c r="D6" s="8">
        <v>7.0422535211267609E-2</v>
      </c>
      <c r="E6" s="8">
        <v>0.10256410256410256</v>
      </c>
      <c r="F6" s="8">
        <v>0.10211267605633803</v>
      </c>
      <c r="G6" s="8">
        <v>0.13300492610837439</v>
      </c>
      <c r="H6" s="8">
        <v>0.10377358490566038</v>
      </c>
      <c r="I6" s="8">
        <v>0.3085221143473571</v>
      </c>
      <c r="J6" s="8">
        <f t="shared" si="1"/>
        <v>0.3085221143473571</v>
      </c>
      <c r="K6" s="8">
        <f t="shared" si="0"/>
        <v>0.28767123287671231</v>
      </c>
      <c r="L6" s="8">
        <f t="shared" si="0"/>
        <v>0.22535211267605632</v>
      </c>
      <c r="M6" s="8">
        <f t="shared" si="0"/>
        <v>0.38461538461538458</v>
      </c>
      <c r="N6" s="8">
        <f t="shared" si="0"/>
        <v>0.31690140845070425</v>
      </c>
      <c r="O6" s="8">
        <f t="shared" si="0"/>
        <v>0.37438423645320196</v>
      </c>
      <c r="P6" s="8">
        <f t="shared" si="0"/>
        <v>0.36792452830188682</v>
      </c>
    </row>
    <row r="7" spans="1:16" x14ac:dyDescent="0.3">
      <c r="A7" s="8" t="s">
        <v>11</v>
      </c>
      <c r="B7" s="8">
        <v>0.14872747612769188</v>
      </c>
      <c r="C7" s="8">
        <v>8.9041095890410954E-2</v>
      </c>
      <c r="D7" s="8">
        <v>7.0422535211267609E-2</v>
      </c>
      <c r="E7" s="8">
        <v>7.6923076923076927E-2</v>
      </c>
      <c r="F7" s="8">
        <v>0.17253521126760563</v>
      </c>
      <c r="G7" s="8">
        <v>0.1625615763546798</v>
      </c>
      <c r="H7" s="8">
        <v>0.11320754716981132</v>
      </c>
      <c r="I7" s="8">
        <v>0.45724959047504898</v>
      </c>
      <c r="J7" s="8">
        <f t="shared" si="1"/>
        <v>0.45724959047504898</v>
      </c>
      <c r="K7" s="8">
        <f t="shared" si="0"/>
        <v>0.37671232876712324</v>
      </c>
      <c r="L7" s="8">
        <f t="shared" si="0"/>
        <v>0.29577464788732394</v>
      </c>
      <c r="M7" s="8">
        <f t="shared" si="0"/>
        <v>0.46153846153846151</v>
      </c>
      <c r="N7" s="8">
        <f t="shared" si="0"/>
        <v>0.48943661971830987</v>
      </c>
      <c r="O7" s="8">
        <f t="shared" si="0"/>
        <v>0.53694581280788178</v>
      </c>
      <c r="P7" s="8">
        <f t="shared" si="0"/>
        <v>0.48113207547169812</v>
      </c>
    </row>
    <row r="8" spans="1:16" x14ac:dyDescent="0.3">
      <c r="A8" s="8" t="s">
        <v>7</v>
      </c>
      <c r="B8" s="8">
        <v>0.54275040952495102</v>
      </c>
      <c r="C8" s="8">
        <v>0.62328767123287676</v>
      </c>
      <c r="D8" s="8">
        <v>0.70422535211267601</v>
      </c>
      <c r="E8" s="8">
        <v>0.53846153846153844</v>
      </c>
      <c r="F8" s="8">
        <v>0.51056338028169013</v>
      </c>
      <c r="G8" s="8">
        <v>0.46305418719211822</v>
      </c>
      <c r="H8" s="8">
        <v>0.51886792452830188</v>
      </c>
      <c r="I8" s="8">
        <v>1</v>
      </c>
      <c r="J8" s="8">
        <f t="shared" si="1"/>
        <v>1</v>
      </c>
      <c r="K8" s="8">
        <f t="shared" si="0"/>
        <v>1</v>
      </c>
      <c r="L8" s="8">
        <f t="shared" si="0"/>
        <v>1</v>
      </c>
      <c r="M8" s="8">
        <f t="shared" si="0"/>
        <v>1</v>
      </c>
      <c r="N8" s="8">
        <f t="shared" si="0"/>
        <v>1</v>
      </c>
      <c r="O8" s="8">
        <f t="shared" si="0"/>
        <v>1</v>
      </c>
      <c r="P8" s="8">
        <f t="shared" si="0"/>
        <v>1</v>
      </c>
    </row>
    <row r="10" spans="1:16" ht="28.8" x14ac:dyDescent="0.3">
      <c r="B10" s="1" t="s">
        <v>53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66</v>
      </c>
      <c r="J10" s="7"/>
      <c r="K10" s="9" t="s">
        <v>67</v>
      </c>
      <c r="L10" s="9" t="s">
        <v>68</v>
      </c>
      <c r="M10" s="9" t="s">
        <v>69</v>
      </c>
      <c r="N10" s="9" t="s">
        <v>70</v>
      </c>
      <c r="O10" s="9" t="s">
        <v>71</v>
      </c>
      <c r="P10" s="9" t="s">
        <v>72</v>
      </c>
    </row>
    <row r="11" spans="1:16" x14ac:dyDescent="0.3">
      <c r="B11" s="8" t="s">
        <v>9</v>
      </c>
      <c r="C11" s="8">
        <f>C2-B2</f>
        <v>5.8894695851442434E-3</v>
      </c>
      <c r="D11" s="8">
        <f>D2-B2</f>
        <v>2.7980922411692578E-2</v>
      </c>
      <c r="E11" s="8">
        <f>E2-B2</f>
        <v>-2.716080116295868E-3</v>
      </c>
      <c r="F11" s="8">
        <f>F2-B2</f>
        <v>3.3330350877489139E-3</v>
      </c>
      <c r="G11" s="8">
        <f>G2-B2</f>
        <v>1.1051761237752384E-2</v>
      </c>
      <c r="H11" s="8">
        <f>H2-B2</f>
        <v>-5.5218964868677251E-5</v>
      </c>
      <c r="J11" s="8" t="s">
        <v>9</v>
      </c>
      <c r="K11" s="7">
        <f>(J2-0) * ((K2+0))</f>
        <v>9.7113375881238034E-4</v>
      </c>
      <c r="L11" s="7">
        <f>(J2-0) * ((L2+0))</f>
        <v>1.5975834229476906E-3</v>
      </c>
      <c r="M11" s="7">
        <f>(J2-0) * ((M2+0))</f>
        <v>7.2710527582875656E-4</v>
      </c>
      <c r="N11" s="7">
        <f>(J2-0) * ((N2+0))</f>
        <v>8.9864067540807596E-4</v>
      </c>
      <c r="O11" s="7">
        <f>(J2-0) * ((O2+0))</f>
        <v>1.1175214091555274E-3</v>
      </c>
      <c r="P11" s="7">
        <f>(J2-0) * ((P2+0))</f>
        <v>8.0255959690532573E-4</v>
      </c>
    </row>
    <row r="12" spans="1:16" x14ac:dyDescent="0.3">
      <c r="B12" s="8" t="s">
        <v>8</v>
      </c>
      <c r="C12" s="8">
        <f t="shared" ref="C12:C17" si="2">C3-B3</f>
        <v>-4.4213096369854835E-3</v>
      </c>
      <c r="D12" s="8">
        <f t="shared" ref="D12:D17" si="3">D3-B3</f>
        <v>-4.5517200047944385E-2</v>
      </c>
      <c r="E12" s="8">
        <f t="shared" ref="E12:E17" si="4">E3-B3</f>
        <v>1.8585364054619712E-2</v>
      </c>
      <c r="F12" s="8">
        <f t="shared" ref="F12:F17" si="5">F3-B3</f>
        <v>1.7863081642196459E-2</v>
      </c>
      <c r="G12" s="8">
        <f t="shared" ref="G12:G17" si="6">G3-B3</f>
        <v>3.8226642316587629E-2</v>
      </c>
      <c r="H12" s="8">
        <f t="shared" ref="H12:H17" si="7">H3-B3</f>
        <v>5.8256384857715997E-2</v>
      </c>
      <c r="J12" s="8" t="s">
        <v>8</v>
      </c>
      <c r="K12" s="7">
        <f>(J3-J2) * ((K3+K2))</f>
        <v>4.9881863066240425E-3</v>
      </c>
      <c r="L12" s="7">
        <f>(J3-J2) * ((L3+L2))</f>
        <v>5.1286985969514805E-3</v>
      </c>
      <c r="M12" s="7">
        <f>(J3-J2) * ((M3+M2))</f>
        <v>5.2519846209166596E-3</v>
      </c>
      <c r="N12" s="7">
        <f>(J3-J2) * ((N3+N2))</f>
        <v>5.7697859215704158E-3</v>
      </c>
      <c r="O12" s="7">
        <f>(J3-J2) * ((O3+O2))</f>
        <v>7.3993477910451475E-3</v>
      </c>
      <c r="P12" s="7">
        <f>(J3-J2) * ((P3+P2))</f>
        <v>7.299928309575987E-3</v>
      </c>
    </row>
    <row r="13" spans="1:16" x14ac:dyDescent="0.3">
      <c r="B13" s="8" t="s">
        <v>13</v>
      </c>
      <c r="C13" s="8">
        <f t="shared" si="2"/>
        <v>-4.6863446621098204E-4</v>
      </c>
      <c r="D13" s="8">
        <f t="shared" si="3"/>
        <v>5.0177709350111607E-2</v>
      </c>
      <c r="E13" s="8">
        <f t="shared" si="4"/>
        <v>2.8509236977413893E-2</v>
      </c>
      <c r="F13" s="8">
        <f t="shared" si="5"/>
        <v>1.8487568505041185E-2</v>
      </c>
      <c r="G13" s="8">
        <f t="shared" si="6"/>
        <v>3.533000241886898E-2</v>
      </c>
      <c r="H13" s="8">
        <f t="shared" si="7"/>
        <v>-2.9545915417361148E-2</v>
      </c>
      <c r="J13" s="8" t="s">
        <v>13</v>
      </c>
      <c r="K13" s="7">
        <f t="shared" ref="K13:K17" si="8">(J4-J3) * ((K4+K3))</f>
        <v>9.6164476604399165E-3</v>
      </c>
      <c r="L13" s="7">
        <f t="shared" ref="L13:L17" si="9">(J4-J3) * ((L4+L3))</f>
        <v>1.0228276044858388E-2</v>
      </c>
      <c r="M13" s="7">
        <f t="shared" ref="M13:M17" si="10">(J4-J3) * ((M4+M3))</f>
        <v>1.2413805114272572E-2</v>
      </c>
      <c r="N13" s="7">
        <f t="shared" ref="N13:N17" si="11">(J4-J3) * ((N4+N3))</f>
        <v>1.2444402521244371E-2</v>
      </c>
      <c r="O13" s="7">
        <f t="shared" ref="O13:O17" si="12">(J4-J3) * ((O4+O3))</f>
        <v>1.5978952100292723E-2</v>
      </c>
      <c r="P13" s="7">
        <f t="shared" ref="P13:P17" si="13">(J4-J3) * ((P4+P3))</f>
        <v>1.3702030173300858E-2</v>
      </c>
    </row>
    <row r="14" spans="1:16" x14ac:dyDescent="0.3">
      <c r="B14" s="8" t="s">
        <v>10</v>
      </c>
      <c r="C14" s="8">
        <f t="shared" si="2"/>
        <v>4.6954436962712287E-2</v>
      </c>
      <c r="D14" s="8">
        <f t="shared" si="3"/>
        <v>-5.5785289064684968E-2</v>
      </c>
      <c r="E14" s="8">
        <f t="shared" si="4"/>
        <v>5.9599326319930424E-2</v>
      </c>
      <c r="F14" s="8">
        <f t="shared" si="5"/>
        <v>-2.9683876562342643E-3</v>
      </c>
      <c r="G14" s="8">
        <f t="shared" si="6"/>
        <v>-2.1302530443995313E-2</v>
      </c>
      <c r="H14" s="8">
        <f t="shared" si="7"/>
        <v>5.7422258105126356E-2</v>
      </c>
      <c r="J14" s="8" t="s">
        <v>10</v>
      </c>
      <c r="K14" s="7">
        <f t="shared" si="8"/>
        <v>1.9486642070540631E-2</v>
      </c>
      <c r="L14" s="7">
        <f t="shared" si="9"/>
        <v>1.7285582527085477E-2</v>
      </c>
      <c r="M14" s="7">
        <f t="shared" si="10"/>
        <v>2.5031860477743247E-2</v>
      </c>
      <c r="N14" s="7">
        <f t="shared" si="11"/>
        <v>2.1017696936342572E-2</v>
      </c>
      <c r="O14" s="7">
        <f t="shared" si="12"/>
        <v>2.500719854623808E-2</v>
      </c>
      <c r="P14" s="7">
        <f t="shared" si="13"/>
        <v>2.3156157724963565E-2</v>
      </c>
    </row>
    <row r="15" spans="1:16" x14ac:dyDescent="0.3">
      <c r="B15" s="8" t="s">
        <v>12</v>
      </c>
      <c r="C15" s="8">
        <f t="shared" si="2"/>
        <v>-6.8804843915304836E-2</v>
      </c>
      <c r="D15" s="8">
        <f t="shared" si="3"/>
        <v>-6.002614432047558E-2</v>
      </c>
      <c r="E15" s="8">
        <f t="shared" si="4"/>
        <v>-2.7884576967640629E-2</v>
      </c>
      <c r="F15" s="8">
        <f t="shared" si="5"/>
        <v>-2.8336003475405158E-2</v>
      </c>
      <c r="G15" s="8">
        <f t="shared" si="6"/>
        <v>2.5562465766311993E-3</v>
      </c>
      <c r="H15" s="8">
        <f t="shared" si="7"/>
        <v>-2.6675094626082807E-2</v>
      </c>
      <c r="J15" s="8" t="s">
        <v>12</v>
      </c>
      <c r="K15" s="7">
        <f t="shared" si="8"/>
        <v>6.7011307978635207E-2</v>
      </c>
      <c r="L15" s="7">
        <f t="shared" si="9"/>
        <v>4.9607244328972767E-2</v>
      </c>
      <c r="M15" s="7">
        <f t="shared" si="10"/>
        <v>8.6965786354495478E-2</v>
      </c>
      <c r="N15" s="7">
        <f t="shared" si="11"/>
        <v>6.9358276793286017E-2</v>
      </c>
      <c r="O15" s="7">
        <f t="shared" si="12"/>
        <v>8.0325541583585722E-2</v>
      </c>
      <c r="P15" s="7">
        <f t="shared" si="13"/>
        <v>8.2453410647422593E-2</v>
      </c>
    </row>
    <row r="16" spans="1:16" x14ac:dyDescent="0.3">
      <c r="B16" s="8" t="s">
        <v>11</v>
      </c>
      <c r="C16" s="8">
        <f t="shared" si="2"/>
        <v>-5.9686380237280928E-2</v>
      </c>
      <c r="D16" s="8">
        <f t="shared" si="3"/>
        <v>-7.8304940916424273E-2</v>
      </c>
      <c r="E16" s="8">
        <f t="shared" si="4"/>
        <v>-7.1804399204614955E-2</v>
      </c>
      <c r="F16" s="8">
        <f t="shared" si="5"/>
        <v>2.3807735139913744E-2</v>
      </c>
      <c r="G16" s="8">
        <f t="shared" si="6"/>
        <v>1.3834100226987917E-2</v>
      </c>
      <c r="H16" s="8">
        <f t="shared" si="7"/>
        <v>-3.5519928957880559E-2</v>
      </c>
      <c r="J16" s="8" t="s">
        <v>11</v>
      </c>
      <c r="K16" s="7">
        <f t="shared" si="8"/>
        <v>9.8812090304014472E-2</v>
      </c>
      <c r="L16" s="7">
        <f t="shared" si="9"/>
        <v>7.7505867841191539E-2</v>
      </c>
      <c r="M16" s="7">
        <f t="shared" si="10"/>
        <v>0.12584632595420081</v>
      </c>
      <c r="N16" s="7">
        <f t="shared" si="11"/>
        <v>0.1199246198353572</v>
      </c>
      <c r="O16" s="7">
        <f t="shared" si="12"/>
        <v>0.13553981814592611</v>
      </c>
      <c r="P16" s="7">
        <f t="shared" si="13"/>
        <v>0.12627804576879501</v>
      </c>
    </row>
    <row r="17" spans="2:16" x14ac:dyDescent="0.3">
      <c r="B17" s="8" t="s">
        <v>7</v>
      </c>
      <c r="C17" s="8">
        <f t="shared" si="2"/>
        <v>8.0537261707925745E-2</v>
      </c>
      <c r="D17" s="8">
        <f t="shared" si="3"/>
        <v>0.16147494258772499</v>
      </c>
      <c r="E17" s="8">
        <f t="shared" si="4"/>
        <v>-4.2888710634125804E-3</v>
      </c>
      <c r="F17" s="8">
        <f t="shared" si="5"/>
        <v>-3.218702924326089E-2</v>
      </c>
      <c r="G17" s="8">
        <f t="shared" si="6"/>
        <v>-7.96962223328328E-2</v>
      </c>
      <c r="H17" s="8">
        <f t="shared" si="7"/>
        <v>-2.3882484996649134E-2</v>
      </c>
      <c r="J17" s="8" t="s">
        <v>7</v>
      </c>
      <c r="K17" s="7">
        <f t="shared" si="8"/>
        <v>0.74721118023640509</v>
      </c>
      <c r="L17" s="7">
        <f t="shared" si="9"/>
        <v>0.70328222079289426</v>
      </c>
      <c r="M17" s="7">
        <f t="shared" si="10"/>
        <v>0.79325059853646684</v>
      </c>
      <c r="N17" s="7">
        <f t="shared" si="11"/>
        <v>0.80839233531357146</v>
      </c>
      <c r="O17" s="7">
        <f t="shared" si="12"/>
        <v>0.83417796931913646</v>
      </c>
      <c r="P17" s="7">
        <f t="shared" si="13"/>
        <v>0.80388504052280485</v>
      </c>
    </row>
    <row r="18" spans="2:16" x14ac:dyDescent="0.3">
      <c r="J18" s="10" t="s">
        <v>73</v>
      </c>
      <c r="K18" s="9">
        <f>SUM(K11:K17)</f>
        <v>0.94809698831547173</v>
      </c>
      <c r="L18" s="9">
        <f t="shared" ref="L18:P18" si="14">SUM(L11:L17)</f>
        <v>0.86463547355490156</v>
      </c>
      <c r="M18" s="9">
        <f t="shared" si="14"/>
        <v>1.0494874663339244</v>
      </c>
      <c r="N18" s="9">
        <f t="shared" si="14"/>
        <v>1.0378057579967801</v>
      </c>
      <c r="O18" s="9">
        <f t="shared" si="14"/>
        <v>1.0995463488953798</v>
      </c>
      <c r="P18" s="9">
        <f t="shared" si="14"/>
        <v>1.0575771727437682</v>
      </c>
    </row>
    <row r="19" spans="2:16" x14ac:dyDescent="0.3">
      <c r="J19" s="11" t="s">
        <v>74</v>
      </c>
      <c r="K19" s="12">
        <f>1-K18</f>
        <v>5.1903011684528266E-2</v>
      </c>
      <c r="L19" s="12">
        <f t="shared" ref="L19:P19" si="15">1-L18</f>
        <v>0.13536452644509844</v>
      </c>
      <c r="M19" s="12">
        <f t="shared" si="15"/>
        <v>-4.9487466333924424E-2</v>
      </c>
      <c r="N19" s="12">
        <f t="shared" si="15"/>
        <v>-3.7805757996780098E-2</v>
      </c>
      <c r="O19" s="12">
        <f t="shared" si="15"/>
        <v>-9.9546348895379833E-2</v>
      </c>
      <c r="P19" s="12">
        <f t="shared" si="15"/>
        <v>-5.7577172743768168E-2</v>
      </c>
    </row>
  </sheetData>
  <sortState xmlns:xlrd2="http://schemas.microsoft.com/office/spreadsheetml/2017/richdata2" ref="A2:P9">
    <sortCondition ref="B1:B9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6DDE-2264-46B2-A362-B04A250929B2}">
  <dimension ref="A1:P21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21</v>
      </c>
      <c r="B2" s="8">
        <v>1.9435019398655662E-2</v>
      </c>
      <c r="C2" s="8">
        <v>2.34375E-2</v>
      </c>
      <c r="D2" s="8">
        <v>2.4242424242424242E-2</v>
      </c>
      <c r="E2" s="8">
        <v>4.9751243781094526E-3</v>
      </c>
      <c r="F2" s="8">
        <v>2.7322404371584699E-2</v>
      </c>
      <c r="G2" s="8">
        <v>8.7412587412587409E-2</v>
      </c>
      <c r="H2" s="8">
        <v>8.7431693989071038E-2</v>
      </c>
      <c r="I2" s="8">
        <v>1.9435019398655662E-2</v>
      </c>
      <c r="J2" s="8">
        <v>1.9435019398655662E-2</v>
      </c>
      <c r="K2" s="8">
        <v>2.34375E-2</v>
      </c>
      <c r="L2" s="8">
        <v>2.4242424242424242E-2</v>
      </c>
      <c r="M2" s="8">
        <v>4.9751243781094526E-3</v>
      </c>
      <c r="N2" s="8">
        <v>2.7322404371584699E-2</v>
      </c>
      <c r="O2" s="8">
        <v>8.7412587412587409E-2</v>
      </c>
      <c r="P2" s="8">
        <v>8.7431693989071038E-2</v>
      </c>
    </row>
    <row r="3" spans="1:16" x14ac:dyDescent="0.3">
      <c r="A3" s="8" t="s">
        <v>15</v>
      </c>
      <c r="B3" s="8">
        <v>2.6637836749193705E-2</v>
      </c>
      <c r="C3" s="8">
        <v>1.5625E-2</v>
      </c>
      <c r="D3" s="8">
        <v>3.0303030303030304E-2</v>
      </c>
      <c r="E3" s="8">
        <v>2.4875621890547265E-2</v>
      </c>
      <c r="F3" s="8">
        <v>2.7322404371584699E-2</v>
      </c>
      <c r="G3" s="8">
        <v>2.7972027972027972E-2</v>
      </c>
      <c r="H3" s="8">
        <v>3.825136612021858E-2</v>
      </c>
      <c r="I3" s="8">
        <v>4.6072856147849367E-2</v>
      </c>
      <c r="J3" s="8">
        <f t="shared" ref="J3:P9" si="0">J2+B3</f>
        <v>4.6072856147849367E-2</v>
      </c>
      <c r="K3" s="8">
        <f t="shared" si="0"/>
        <v>3.90625E-2</v>
      </c>
      <c r="L3" s="13">
        <f t="shared" si="0"/>
        <v>5.454545454545455E-2</v>
      </c>
      <c r="M3" s="8">
        <f t="shared" si="0"/>
        <v>2.9850746268656719E-2</v>
      </c>
      <c r="N3" s="8">
        <f t="shared" si="0"/>
        <v>5.4644808743169397E-2</v>
      </c>
      <c r="O3" s="8">
        <f t="shared" si="0"/>
        <v>0.11538461538461538</v>
      </c>
      <c r="P3" s="8">
        <f t="shared" si="0"/>
        <v>0.12568306010928962</v>
      </c>
    </row>
    <row r="4" spans="1:16" x14ac:dyDescent="0.3">
      <c r="A4" s="8" t="s">
        <v>19</v>
      </c>
      <c r="B4" s="8">
        <v>3.354974419508866E-2</v>
      </c>
      <c r="C4" s="8">
        <v>5.859375E-2</v>
      </c>
      <c r="D4" s="8">
        <v>2.4242424242424242E-2</v>
      </c>
      <c r="E4" s="8">
        <v>2.4875621890547265E-2</v>
      </c>
      <c r="F4" s="8">
        <v>3.0054644808743168E-2</v>
      </c>
      <c r="G4" s="8">
        <v>4.8951048951048952E-2</v>
      </c>
      <c r="H4" s="8">
        <v>7.650273224043716E-2</v>
      </c>
      <c r="I4" s="8">
        <v>7.9622600342938027E-2</v>
      </c>
      <c r="J4" s="8">
        <f t="shared" si="0"/>
        <v>7.9622600342938027E-2</v>
      </c>
      <c r="K4" s="8">
        <f t="shared" si="0"/>
        <v>9.765625E-2</v>
      </c>
      <c r="L4" s="13">
        <f t="shared" si="0"/>
        <v>7.8787878787878796E-2</v>
      </c>
      <c r="M4" s="8">
        <f t="shared" si="0"/>
        <v>5.4726368159203981E-2</v>
      </c>
      <c r="N4" s="8">
        <f t="shared" si="0"/>
        <v>8.4699453551912565E-2</v>
      </c>
      <c r="O4" s="8">
        <f t="shared" si="0"/>
        <v>0.16433566433566432</v>
      </c>
      <c r="P4" s="8">
        <f t="shared" si="0"/>
        <v>0.20218579234972678</v>
      </c>
    </row>
    <row r="5" spans="1:16" x14ac:dyDescent="0.3">
      <c r="A5" s="8" t="s">
        <v>20</v>
      </c>
      <c r="B5" s="8">
        <v>3.5737162901154966E-2</v>
      </c>
      <c r="C5" s="8">
        <v>4.296875E-2</v>
      </c>
      <c r="D5" s="8">
        <v>3.6363636363636362E-2</v>
      </c>
      <c r="E5" s="8">
        <v>2.4875621890547265E-2</v>
      </c>
      <c r="F5" s="8">
        <v>2.7322404371584699E-2</v>
      </c>
      <c r="G5" s="8">
        <v>2.097902097902098E-2</v>
      </c>
      <c r="H5" s="8">
        <v>2.185792349726776E-2</v>
      </c>
      <c r="I5" s="8">
        <v>0.115359763244093</v>
      </c>
      <c r="J5" s="8">
        <f t="shared" si="0"/>
        <v>0.115359763244093</v>
      </c>
      <c r="K5" s="8">
        <f t="shared" si="0"/>
        <v>0.140625</v>
      </c>
      <c r="L5" s="13">
        <f t="shared" si="0"/>
        <v>0.11515151515151516</v>
      </c>
      <c r="M5" s="8">
        <f t="shared" si="0"/>
        <v>7.9601990049751242E-2</v>
      </c>
      <c r="N5" s="8">
        <f t="shared" si="0"/>
        <v>0.11202185792349727</v>
      </c>
      <c r="O5" s="8">
        <f t="shared" si="0"/>
        <v>0.18531468531468531</v>
      </c>
      <c r="P5" s="8">
        <f t="shared" si="0"/>
        <v>0.22404371584699453</v>
      </c>
    </row>
    <row r="6" spans="1:16" x14ac:dyDescent="0.3">
      <c r="A6" s="8" t="s">
        <v>18</v>
      </c>
      <c r="B6" s="8">
        <v>6.086730312532343E-2</v>
      </c>
      <c r="C6" s="8">
        <v>8.203125E-2</v>
      </c>
      <c r="D6" s="8">
        <v>0.10909090909090909</v>
      </c>
      <c r="E6" s="8">
        <v>6.965174129353234E-2</v>
      </c>
      <c r="F6" s="8">
        <v>0.12841530054644809</v>
      </c>
      <c r="G6" s="8">
        <v>0.11188811188811189</v>
      </c>
      <c r="H6" s="8">
        <v>7.1038251366120214E-2</v>
      </c>
      <c r="I6" s="8">
        <v>0.17622706636941643</v>
      </c>
      <c r="J6" s="8">
        <f t="shared" si="0"/>
        <v>0.17622706636941643</v>
      </c>
      <c r="K6" s="8">
        <f t="shared" si="0"/>
        <v>0.22265625</v>
      </c>
      <c r="L6" s="13">
        <f t="shared" si="0"/>
        <v>0.22424242424242424</v>
      </c>
      <c r="M6" s="8">
        <f t="shared" si="0"/>
        <v>0.14925373134328357</v>
      </c>
      <c r="N6" s="8">
        <f t="shared" si="0"/>
        <v>0.24043715846994534</v>
      </c>
      <c r="O6" s="8">
        <f t="shared" si="0"/>
        <v>0.29720279720279719</v>
      </c>
      <c r="P6" s="8">
        <f t="shared" si="0"/>
        <v>0.29508196721311475</v>
      </c>
    </row>
    <row r="7" spans="1:16" x14ac:dyDescent="0.3">
      <c r="A7" s="8" t="s">
        <v>16</v>
      </c>
      <c r="B7" s="8">
        <v>6.4056123233911147E-2</v>
      </c>
      <c r="C7" s="8">
        <v>3.90625E-2</v>
      </c>
      <c r="D7" s="8">
        <v>3.6363636363636362E-2</v>
      </c>
      <c r="E7" s="8">
        <v>3.482587064676617E-2</v>
      </c>
      <c r="F7" s="8">
        <v>5.737704918032787E-2</v>
      </c>
      <c r="G7" s="8">
        <v>0.10839160839160839</v>
      </c>
      <c r="H7" s="8">
        <v>0.18032786885245902</v>
      </c>
      <c r="I7" s="8">
        <v>0.24028318960332756</v>
      </c>
      <c r="J7" s="8">
        <f t="shared" si="0"/>
        <v>0.24028318960332756</v>
      </c>
      <c r="K7" s="8">
        <f t="shared" si="0"/>
        <v>0.26171875</v>
      </c>
      <c r="L7" s="13">
        <f t="shared" si="0"/>
        <v>0.26060606060606062</v>
      </c>
      <c r="M7" s="8">
        <f t="shared" si="0"/>
        <v>0.18407960199004975</v>
      </c>
      <c r="N7" s="8">
        <f t="shared" si="0"/>
        <v>0.29781420765027322</v>
      </c>
      <c r="O7" s="8">
        <f t="shared" si="0"/>
        <v>0.40559440559440557</v>
      </c>
      <c r="P7" s="8">
        <f t="shared" si="0"/>
        <v>0.47540983606557374</v>
      </c>
    </row>
    <row r="8" spans="1:16" x14ac:dyDescent="0.3">
      <c r="A8" s="8" t="s">
        <v>17</v>
      </c>
      <c r="B8" s="8">
        <v>8.1379248613282829E-2</v>
      </c>
      <c r="C8" s="8">
        <v>6.640625E-2</v>
      </c>
      <c r="D8" s="8">
        <v>0.1393939393939394</v>
      </c>
      <c r="E8" s="8">
        <v>0.33333333333333331</v>
      </c>
      <c r="F8" s="8">
        <v>0.12295081967213115</v>
      </c>
      <c r="G8" s="8">
        <v>9.7902097902097904E-2</v>
      </c>
      <c r="H8" s="8">
        <v>0.18579234972677597</v>
      </c>
      <c r="I8" s="8">
        <v>0.32166243821661039</v>
      </c>
      <c r="J8" s="8">
        <f t="shared" si="0"/>
        <v>0.32166243821661039</v>
      </c>
      <c r="K8" s="8">
        <f t="shared" si="0"/>
        <v>0.328125</v>
      </c>
      <c r="L8" s="13">
        <f t="shared" si="0"/>
        <v>0.4</v>
      </c>
      <c r="M8" s="8">
        <f t="shared" si="0"/>
        <v>0.51741293532338306</v>
      </c>
      <c r="N8" s="8">
        <f t="shared" si="0"/>
        <v>0.42076502732240439</v>
      </c>
      <c r="O8" s="8">
        <f t="shared" si="0"/>
        <v>0.50349650349650343</v>
      </c>
      <c r="P8" s="8">
        <f t="shared" si="0"/>
        <v>0.66120218579234968</v>
      </c>
    </row>
    <row r="9" spans="1:16" x14ac:dyDescent="0.3">
      <c r="A9" s="8" t="s">
        <v>14</v>
      </c>
      <c r="B9" s="8">
        <v>0.67833756178338955</v>
      </c>
      <c r="C9" s="8">
        <v>0.671875</v>
      </c>
      <c r="D9" s="8">
        <v>0.6</v>
      </c>
      <c r="E9" s="8">
        <v>0.48258706467661694</v>
      </c>
      <c r="F9" s="8">
        <v>0.57923497267759561</v>
      </c>
      <c r="G9" s="8">
        <v>0.49650349650349651</v>
      </c>
      <c r="H9" s="8">
        <v>0.33879781420765026</v>
      </c>
      <c r="I9" s="8">
        <v>1</v>
      </c>
      <c r="J9" s="8">
        <f t="shared" si="0"/>
        <v>1</v>
      </c>
      <c r="K9" s="8">
        <f t="shared" si="0"/>
        <v>1</v>
      </c>
      <c r="L9" s="13">
        <f t="shared" si="0"/>
        <v>1</v>
      </c>
      <c r="M9" s="8">
        <f t="shared" si="0"/>
        <v>1</v>
      </c>
      <c r="N9" s="8">
        <f t="shared" si="0"/>
        <v>1</v>
      </c>
      <c r="O9" s="8">
        <f t="shared" si="0"/>
        <v>1</v>
      </c>
      <c r="P9" s="8">
        <f t="shared" si="0"/>
        <v>1</v>
      </c>
    </row>
    <row r="11" spans="1:16" ht="28.8" x14ac:dyDescent="0.3">
      <c r="B11" s="1" t="s">
        <v>53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  <c r="J11" s="7"/>
      <c r="K11" s="9" t="s">
        <v>67</v>
      </c>
      <c r="L11" s="9" t="s">
        <v>68</v>
      </c>
      <c r="M11" s="9" t="s">
        <v>69</v>
      </c>
      <c r="N11" s="9" t="s">
        <v>70</v>
      </c>
      <c r="O11" s="9" t="s">
        <v>71</v>
      </c>
      <c r="P11" s="9" t="s">
        <v>72</v>
      </c>
    </row>
    <row r="12" spans="1:16" x14ac:dyDescent="0.3">
      <c r="B12" s="8" t="s">
        <v>21</v>
      </c>
      <c r="C12" s="8">
        <f>C2-B2</f>
        <v>4.0024806013443381E-3</v>
      </c>
      <c r="D12" s="8">
        <f>D2-B2</f>
        <v>4.8074048437685805E-3</v>
      </c>
      <c r="E12" s="8">
        <f>E2-B2</f>
        <v>-1.4459895020546209E-2</v>
      </c>
      <c r="F12" s="8">
        <f>F2-B2</f>
        <v>7.8873849729290367E-3</v>
      </c>
      <c r="G12" s="8">
        <f>G2-B2</f>
        <v>6.7977568013931747E-2</v>
      </c>
      <c r="H12" s="8">
        <f>H2-B2</f>
        <v>6.7996674590415376E-2</v>
      </c>
      <c r="J12" s="8" t="s">
        <v>21</v>
      </c>
      <c r="K12" s="7">
        <f>(J2-0) * (K2+0)</f>
        <v>4.5550826715599207E-4</v>
      </c>
      <c r="L12" s="7">
        <f t="shared" ref="L12" si="1">(K2-0) * (L2+0)</f>
        <v>5.6818181818181815E-4</v>
      </c>
      <c r="M12" s="7">
        <f>(J2-0) * (M2+0)</f>
        <v>9.6691638799281904E-5</v>
      </c>
      <c r="N12" s="7">
        <f>(J2-0) * (N2+0)</f>
        <v>5.3101145897966283E-4</v>
      </c>
      <c r="O12" s="7">
        <f>(J2-0) * (O2+0)</f>
        <v>1.6988653320503201E-3</v>
      </c>
      <c r="P12" s="7">
        <f>(J2-0) * (P2+0)</f>
        <v>1.6992366687349212E-3</v>
      </c>
    </row>
    <row r="13" spans="1:16" x14ac:dyDescent="0.3">
      <c r="B13" s="8" t="s">
        <v>15</v>
      </c>
      <c r="C13" s="8">
        <f t="shared" ref="C13:C19" si="2">C3-B3</f>
        <v>-1.1012836749193705E-2</v>
      </c>
      <c r="D13" s="8">
        <f t="shared" ref="D13:D19" si="3">D3-B3</f>
        <v>3.6651935538365987E-3</v>
      </c>
      <c r="E13" s="8">
        <f t="shared" ref="E13:E19" si="4">E3-B3</f>
        <v>-1.7622148586464402E-3</v>
      </c>
      <c r="F13" s="8">
        <f t="shared" ref="F13:F19" si="5">F3-B3</f>
        <v>6.8456762239099342E-4</v>
      </c>
      <c r="G13" s="8">
        <f t="shared" ref="G13:G19" si="6">G3-B3</f>
        <v>1.3341912228342669E-3</v>
      </c>
      <c r="H13" s="8">
        <f t="shared" ref="H13:H19" si="7">H3-B3</f>
        <v>1.1613529371024875E-2</v>
      </c>
      <c r="J13" s="8" t="s">
        <v>15</v>
      </c>
      <c r="K13" s="7">
        <f>(J3-J2) * (K3+K2)</f>
        <v>1.6648647968246066E-3</v>
      </c>
      <c r="L13" s="7">
        <f>(J3-J2) * (L3+L2)</f>
        <v>2.0987386529667772E-3</v>
      </c>
      <c r="M13" s="7">
        <f>(J3-J2) * (M3+M2)</f>
        <v>9.2768585693709423E-4</v>
      </c>
      <c r="N13" s="7">
        <f>(J3-J2) * (N3+N2)</f>
        <v>2.1834292417371886E-3</v>
      </c>
      <c r="O13" s="7">
        <f>(J3-J2) * (O3+O2)</f>
        <v>5.4020787813050166E-3</v>
      </c>
      <c r="P13" s="7">
        <f>(J3-J2) * (P3+P2)</f>
        <v>5.6769160285166913E-3</v>
      </c>
    </row>
    <row r="14" spans="1:16" x14ac:dyDescent="0.3">
      <c r="B14" s="8" t="s">
        <v>19</v>
      </c>
      <c r="C14" s="8">
        <f t="shared" si="2"/>
        <v>2.504400580491134E-2</v>
      </c>
      <c r="D14" s="8">
        <f t="shared" si="3"/>
        <v>-9.3073199526644175E-3</v>
      </c>
      <c r="E14" s="8">
        <f t="shared" si="4"/>
        <v>-8.674122304541395E-3</v>
      </c>
      <c r="F14" s="8">
        <f t="shared" si="5"/>
        <v>-3.4950993863454918E-3</v>
      </c>
      <c r="G14" s="8">
        <f t="shared" si="6"/>
        <v>1.5401304755960292E-2</v>
      </c>
      <c r="H14" s="8">
        <f t="shared" si="7"/>
        <v>4.29529880453485E-2</v>
      </c>
      <c r="J14" s="8" t="s">
        <v>19</v>
      </c>
      <c r="K14" s="7">
        <f t="shared" ref="K14:K19" si="8">(J4-J3) * (K4+K3)</f>
        <v>4.5868790891722775E-3</v>
      </c>
      <c r="L14" s="7">
        <f t="shared" ref="L14:L19" si="9">(J4-J3) * (L4+L3)</f>
        <v>4.4732992260118221E-3</v>
      </c>
      <c r="M14" s="7">
        <f t="shared" ref="M14:M19" si="10">(J4-J3) * (M4+M3)</f>
        <v>2.837540553813469E-3</v>
      </c>
      <c r="N14" s="7">
        <f t="shared" ref="N14:N19" si="11">(J4-J3) * (N4+N3)</f>
        <v>4.6749643550533376E-3</v>
      </c>
      <c r="O14" s="7">
        <f t="shared" ref="O14:O19" si="12">(J4-J3) * (O4+O3)</f>
        <v>9.3845438307940295E-3</v>
      </c>
      <c r="P14" s="7">
        <f t="shared" ref="P14:P19" si="13">(J4-J3) * (P4+P3)</f>
        <v>1.0999916129537267E-2</v>
      </c>
    </row>
    <row r="15" spans="1:16" x14ac:dyDescent="0.3">
      <c r="B15" s="8" t="s">
        <v>20</v>
      </c>
      <c r="C15" s="8">
        <f t="shared" si="2"/>
        <v>7.231587098845034E-3</v>
      </c>
      <c r="D15" s="8">
        <f t="shared" si="3"/>
        <v>6.2647346248139585E-4</v>
      </c>
      <c r="E15" s="8">
        <f t="shared" si="4"/>
        <v>-1.0861541010607701E-2</v>
      </c>
      <c r="F15" s="8">
        <f t="shared" si="5"/>
        <v>-8.4147585295702675E-3</v>
      </c>
      <c r="G15" s="8">
        <f t="shared" si="6"/>
        <v>-1.4758141922133986E-2</v>
      </c>
      <c r="H15" s="8">
        <f t="shared" si="7"/>
        <v>-1.3879239403887206E-2</v>
      </c>
      <c r="J15" s="8" t="s">
        <v>20</v>
      </c>
      <c r="K15" s="7">
        <f t="shared" si="8"/>
        <v>8.5154958475408341E-3</v>
      </c>
      <c r="L15" s="7">
        <f t="shared" si="9"/>
        <v>6.9308437141633898E-3</v>
      </c>
      <c r="M15" s="7">
        <f t="shared" si="10"/>
        <v>4.8005144195581309E-3</v>
      </c>
      <c r="N15" s="7">
        <f t="shared" si="11"/>
        <v>7.0302615543255684E-3</v>
      </c>
      <c r="O15" s="7">
        <f t="shared" si="12"/>
        <v>1.2495511503900339E-2</v>
      </c>
      <c r="P15" s="7">
        <f t="shared" si="13"/>
        <v>1.5232233367705399E-2</v>
      </c>
    </row>
    <row r="16" spans="1:16" x14ac:dyDescent="0.3">
      <c r="B16" s="8" t="s">
        <v>18</v>
      </c>
      <c r="C16" s="8">
        <f t="shared" si="2"/>
        <v>2.116394687467657E-2</v>
      </c>
      <c r="D16" s="8">
        <f t="shared" si="3"/>
        <v>4.8223605965585656E-2</v>
      </c>
      <c r="E16" s="8">
        <f t="shared" si="4"/>
        <v>8.7844381682089107E-3</v>
      </c>
      <c r="F16" s="8">
        <f t="shared" si="5"/>
        <v>6.7547997421124661E-2</v>
      </c>
      <c r="G16" s="8">
        <f t="shared" si="6"/>
        <v>5.1020808762788458E-2</v>
      </c>
      <c r="H16" s="8">
        <f t="shared" si="7"/>
        <v>1.0170948240796784E-2</v>
      </c>
      <c r="J16" s="8" t="s">
        <v>18</v>
      </c>
      <c r="K16" s="7">
        <f t="shared" si="8"/>
        <v>2.2111949963496403E-2</v>
      </c>
      <c r="L16" s="7">
        <f t="shared" si="9"/>
        <v>2.0657993787988559E-2</v>
      </c>
      <c r="M16" s="7">
        <f t="shared" si="10"/>
        <v>1.3929830565994415E-2</v>
      </c>
      <c r="N16" s="7">
        <f t="shared" si="11"/>
        <v>2.1453229790073011E-2</v>
      </c>
      <c r="O16" s="7">
        <f t="shared" si="12"/>
        <v>2.9369537871659555E-2</v>
      </c>
      <c r="P16" s="7">
        <f t="shared" si="13"/>
        <v>3.159778031096025E-2</v>
      </c>
    </row>
    <row r="17" spans="2:16" x14ac:dyDescent="0.3">
      <c r="B17" s="8" t="s">
        <v>16</v>
      </c>
      <c r="C17" s="8">
        <f t="shared" si="2"/>
        <v>-2.4993623233911147E-2</v>
      </c>
      <c r="D17" s="8">
        <f t="shared" si="3"/>
        <v>-2.7692486870274785E-2</v>
      </c>
      <c r="E17" s="8">
        <f t="shared" si="4"/>
        <v>-2.9230252587144977E-2</v>
      </c>
      <c r="F17" s="8">
        <f t="shared" si="5"/>
        <v>-6.6790740535832768E-3</v>
      </c>
      <c r="G17" s="8">
        <f t="shared" si="6"/>
        <v>4.4335485157697238E-2</v>
      </c>
      <c r="H17" s="8">
        <f t="shared" si="7"/>
        <v>0.11627174561854788</v>
      </c>
      <c r="J17" s="8" t="s">
        <v>16</v>
      </c>
      <c r="K17" s="7">
        <f t="shared" si="8"/>
        <v>3.1027184691425704E-2</v>
      </c>
      <c r="L17" s="7">
        <f t="shared" si="9"/>
        <v>3.1057514295229641E-2</v>
      </c>
      <c r="M17" s="7">
        <f t="shared" si="10"/>
        <v>2.1352041077970375E-2</v>
      </c>
      <c r="N17" s="7">
        <f t="shared" si="11"/>
        <v>3.4478295839017743E-2</v>
      </c>
      <c r="O17" s="7">
        <f t="shared" si="12"/>
        <v>4.5018464230825651E-2</v>
      </c>
      <c r="P17" s="7">
        <f t="shared" si="13"/>
        <v>4.9354717901538087E-2</v>
      </c>
    </row>
    <row r="18" spans="2:16" x14ac:dyDescent="0.3">
      <c r="B18" s="8" t="s">
        <v>17</v>
      </c>
      <c r="C18" s="8">
        <f t="shared" si="2"/>
        <v>-1.4972998613282829E-2</v>
      </c>
      <c r="D18" s="8">
        <f t="shared" si="3"/>
        <v>5.8014690780656575E-2</v>
      </c>
      <c r="E18" s="8">
        <f t="shared" si="4"/>
        <v>0.25195408472005049</v>
      </c>
      <c r="F18" s="8">
        <f t="shared" si="5"/>
        <v>4.1571571058848317E-2</v>
      </c>
      <c r="G18" s="8">
        <f t="shared" si="6"/>
        <v>1.6522849288815075E-2</v>
      </c>
      <c r="H18" s="8">
        <f t="shared" si="7"/>
        <v>0.10441310111349314</v>
      </c>
      <c r="J18" s="8" t="s">
        <v>17</v>
      </c>
      <c r="K18" s="7">
        <f t="shared" si="8"/>
        <v>4.8001041174241046E-2</v>
      </c>
      <c r="L18" s="7">
        <f t="shared" si="9"/>
        <v>5.3759624841501992E-2</v>
      </c>
      <c r="M18" s="7">
        <f t="shared" si="10"/>
        <v>5.7086935594392436E-2</v>
      </c>
      <c r="N18" s="7">
        <f t="shared" si="11"/>
        <v>5.8477438211184112E-2</v>
      </c>
      <c r="O18" s="7">
        <f t="shared" si="12"/>
        <v>7.3981135102984374E-2</v>
      </c>
      <c r="P18" s="7">
        <f t="shared" si="13"/>
        <v>9.2496632303622012E-2</v>
      </c>
    </row>
    <row r="19" spans="2:16" x14ac:dyDescent="0.3">
      <c r="B19" s="8" t="s">
        <v>14</v>
      </c>
      <c r="C19" s="8">
        <f t="shared" si="2"/>
        <v>-6.4625617833895532E-3</v>
      </c>
      <c r="D19" s="8">
        <f t="shared" si="3"/>
        <v>-7.8337561783389575E-2</v>
      </c>
      <c r="E19" s="8">
        <f t="shared" si="4"/>
        <v>-0.19575049710677261</v>
      </c>
      <c r="F19" s="8">
        <f t="shared" si="5"/>
        <v>-9.9102589105793948E-2</v>
      </c>
      <c r="G19" s="8">
        <f t="shared" si="6"/>
        <v>-0.18183406527989304</v>
      </c>
      <c r="H19" s="8">
        <f t="shared" si="7"/>
        <v>-0.33953974757573929</v>
      </c>
      <c r="J19" s="8" t="s">
        <v>14</v>
      </c>
      <c r="K19" s="7">
        <f t="shared" si="8"/>
        <v>0.90091707424356426</v>
      </c>
      <c r="L19" s="7">
        <f t="shared" si="9"/>
        <v>0.94967258649674535</v>
      </c>
      <c r="M19" s="7">
        <f t="shared" si="10"/>
        <v>1.0293181907658397</v>
      </c>
      <c r="N19" s="7">
        <f t="shared" si="11"/>
        <v>0.96375828450099066</v>
      </c>
      <c r="O19" s="7">
        <f t="shared" si="12"/>
        <v>1.0198781523316696</v>
      </c>
      <c r="P19" s="7">
        <f t="shared" si="13"/>
        <v>1.1268558403396198</v>
      </c>
    </row>
    <row r="20" spans="2:16" x14ac:dyDescent="0.3">
      <c r="J20" s="9" t="s">
        <v>73</v>
      </c>
      <c r="K20" s="9">
        <f>SUM(K12:K19)</f>
        <v>1.0172799980734211</v>
      </c>
      <c r="L20" s="9">
        <f t="shared" ref="L20:P20" si="14">SUM(L12:L19)</f>
        <v>1.0692187828327893</v>
      </c>
      <c r="M20" s="9">
        <f t="shared" si="14"/>
        <v>1.1303494304733048</v>
      </c>
      <c r="N20" s="9">
        <f t="shared" si="14"/>
        <v>1.0925869149513612</v>
      </c>
      <c r="O20" s="9">
        <f t="shared" si="14"/>
        <v>1.1972282889851888</v>
      </c>
      <c r="P20" s="9">
        <f t="shared" si="14"/>
        <v>1.3339132730502343</v>
      </c>
    </row>
    <row r="21" spans="2:16" x14ac:dyDescent="0.3">
      <c r="J21" s="12" t="s">
        <v>74</v>
      </c>
      <c r="K21" s="12">
        <f>1-K20</f>
        <v>-1.7279998073421066E-2</v>
      </c>
      <c r="L21" s="12">
        <f t="shared" ref="L21:P21" si="15">1-L20</f>
        <v>-6.9218782832789261E-2</v>
      </c>
      <c r="M21" s="12">
        <f t="shared" si="15"/>
        <v>-0.13034943047330483</v>
      </c>
      <c r="N21" s="12">
        <f t="shared" si="15"/>
        <v>-9.2586914951361177E-2</v>
      </c>
      <c r="O21" s="12">
        <f t="shared" si="15"/>
        <v>-0.19722828898518885</v>
      </c>
      <c r="P21" s="12">
        <f t="shared" si="15"/>
        <v>-0.33391327305023433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8659C-EEDA-4856-AA2B-C6AE53CF6745}">
  <dimension ref="A1:P21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29</v>
      </c>
      <c r="B2" s="8">
        <v>1.513948741211159E-2</v>
      </c>
      <c r="C2" s="8">
        <v>0</v>
      </c>
      <c r="D2" s="8">
        <v>0</v>
      </c>
      <c r="E2" s="8">
        <v>3.5087719298245612E-2</v>
      </c>
      <c r="F2" s="8">
        <v>1.7094017094017096E-2</v>
      </c>
      <c r="G2" s="8">
        <v>2.2222222222222223E-2</v>
      </c>
      <c r="H2" s="8">
        <v>0</v>
      </c>
      <c r="I2" s="8">
        <v>1.513948741211159E-2</v>
      </c>
      <c r="J2" s="8">
        <v>1.513948741211159E-2</v>
      </c>
      <c r="K2" s="8">
        <v>0</v>
      </c>
      <c r="L2" s="8">
        <v>0</v>
      </c>
      <c r="M2" s="8">
        <v>3.5087719298245612E-2</v>
      </c>
      <c r="N2" s="8">
        <v>1.7094017094017096E-2</v>
      </c>
      <c r="O2" s="8">
        <v>2.2222222222222223E-2</v>
      </c>
      <c r="P2" s="8">
        <v>0</v>
      </c>
    </row>
    <row r="3" spans="1:16" x14ac:dyDescent="0.3">
      <c r="A3" s="8" t="s">
        <v>24</v>
      </c>
      <c r="B3" s="8">
        <v>2.5661795677672294E-2</v>
      </c>
      <c r="C3" s="8">
        <v>4.49438202247191E-2</v>
      </c>
      <c r="D3" s="8">
        <v>0</v>
      </c>
      <c r="E3" s="8">
        <v>3.5087719298245612E-2</v>
      </c>
      <c r="F3" s="8">
        <v>8.5470085470085479E-3</v>
      </c>
      <c r="G3" s="8">
        <v>3.3333333333333333E-2</v>
      </c>
      <c r="H3" s="8">
        <v>1.5625E-2</v>
      </c>
      <c r="I3" s="8">
        <v>4.0801283089783882E-2</v>
      </c>
      <c r="J3" s="8">
        <f t="shared" ref="J3:P9" si="0">J2+B3</f>
        <v>4.0801283089783882E-2</v>
      </c>
      <c r="K3" s="8">
        <f t="shared" si="0"/>
        <v>4.49438202247191E-2</v>
      </c>
      <c r="L3" s="13">
        <f t="shared" si="0"/>
        <v>0</v>
      </c>
      <c r="M3" s="8">
        <f t="shared" si="0"/>
        <v>7.0175438596491224E-2</v>
      </c>
      <c r="N3" s="8">
        <f t="shared" si="0"/>
        <v>2.5641025641025644E-2</v>
      </c>
      <c r="O3" s="8">
        <f t="shared" si="0"/>
        <v>5.5555555555555552E-2</v>
      </c>
      <c r="P3" s="8">
        <f t="shared" si="0"/>
        <v>1.5625E-2</v>
      </c>
    </row>
    <row r="4" spans="1:16" x14ac:dyDescent="0.3">
      <c r="A4" s="8" t="s">
        <v>27</v>
      </c>
      <c r="B4" s="8">
        <v>3.1275313482163107E-2</v>
      </c>
      <c r="C4" s="8">
        <v>2.247191011235955E-2</v>
      </c>
      <c r="D4" s="8">
        <v>8.1632653061224483E-2</v>
      </c>
      <c r="E4" s="8">
        <v>5.2631578947368418E-2</v>
      </c>
      <c r="F4" s="8">
        <v>5.128205128205128E-2</v>
      </c>
      <c r="G4" s="8">
        <v>6.6666666666666666E-2</v>
      </c>
      <c r="H4" s="8">
        <v>6.25E-2</v>
      </c>
      <c r="I4" s="8">
        <v>7.2076596571946983E-2</v>
      </c>
      <c r="J4" s="8">
        <f t="shared" si="0"/>
        <v>7.2076596571946983E-2</v>
      </c>
      <c r="K4" s="8">
        <f t="shared" si="0"/>
        <v>6.741573033707865E-2</v>
      </c>
      <c r="L4" s="13">
        <f t="shared" si="0"/>
        <v>8.1632653061224483E-2</v>
      </c>
      <c r="M4" s="8">
        <f t="shared" si="0"/>
        <v>0.12280701754385964</v>
      </c>
      <c r="N4" s="8">
        <f t="shared" si="0"/>
        <v>7.6923076923076927E-2</v>
      </c>
      <c r="O4" s="8">
        <f t="shared" si="0"/>
        <v>0.12222222222222222</v>
      </c>
      <c r="P4" s="8">
        <f t="shared" si="0"/>
        <v>7.8125E-2</v>
      </c>
    </row>
    <row r="5" spans="1:16" x14ac:dyDescent="0.3">
      <c r="A5" s="8" t="s">
        <v>25</v>
      </c>
      <c r="B5" s="8">
        <v>5.2044519327349902E-2</v>
      </c>
      <c r="C5" s="8">
        <v>0.14606741573033707</v>
      </c>
      <c r="D5" s="8">
        <v>2.0408163265306121E-2</v>
      </c>
      <c r="E5" s="8">
        <v>5.2631578947368418E-2</v>
      </c>
      <c r="F5" s="8">
        <v>5.9829059829059832E-2</v>
      </c>
      <c r="G5" s="8">
        <v>5.5555555555555552E-2</v>
      </c>
      <c r="H5" s="8">
        <v>0.140625</v>
      </c>
      <c r="I5" s="8">
        <v>0.12412111589929689</v>
      </c>
      <c r="J5" s="8">
        <f t="shared" si="0"/>
        <v>0.12412111589929689</v>
      </c>
      <c r="K5" s="8">
        <f t="shared" si="0"/>
        <v>0.21348314606741572</v>
      </c>
      <c r="L5" s="13">
        <f t="shared" si="0"/>
        <v>0.1020408163265306</v>
      </c>
      <c r="M5" s="8">
        <f t="shared" si="0"/>
        <v>0.17543859649122806</v>
      </c>
      <c r="N5" s="8">
        <f t="shared" si="0"/>
        <v>0.13675213675213677</v>
      </c>
      <c r="O5" s="8">
        <f t="shared" si="0"/>
        <v>0.17777777777777776</v>
      </c>
      <c r="P5" s="8">
        <f t="shared" si="0"/>
        <v>0.21875</v>
      </c>
    </row>
    <row r="6" spans="1:16" x14ac:dyDescent="0.3">
      <c r="A6" s="8" t="s">
        <v>26</v>
      </c>
      <c r="B6" s="8">
        <v>6.400058322262904E-2</v>
      </c>
      <c r="C6" s="8">
        <v>5.6179775280898875E-2</v>
      </c>
      <c r="D6" s="8">
        <v>2.0408163265306121E-2</v>
      </c>
      <c r="E6" s="8">
        <v>3.5087719298245612E-2</v>
      </c>
      <c r="F6" s="8">
        <v>8.5470085470085472E-2</v>
      </c>
      <c r="G6" s="8">
        <v>2.2222222222222223E-2</v>
      </c>
      <c r="H6" s="8">
        <v>0</v>
      </c>
      <c r="I6" s="8">
        <v>0.18812169912192594</v>
      </c>
      <c r="J6" s="8">
        <f t="shared" si="0"/>
        <v>0.18812169912192594</v>
      </c>
      <c r="K6" s="8">
        <f t="shared" si="0"/>
        <v>0.2696629213483146</v>
      </c>
      <c r="L6" s="13">
        <f t="shared" si="0"/>
        <v>0.12244897959183672</v>
      </c>
      <c r="M6" s="8">
        <f t="shared" si="0"/>
        <v>0.21052631578947367</v>
      </c>
      <c r="N6" s="8">
        <f t="shared" si="0"/>
        <v>0.22222222222222224</v>
      </c>
      <c r="O6" s="8">
        <f t="shared" si="0"/>
        <v>0.19999999999999998</v>
      </c>
      <c r="P6" s="8">
        <f t="shared" si="0"/>
        <v>0.21875</v>
      </c>
    </row>
    <row r="7" spans="1:16" x14ac:dyDescent="0.3">
      <c r="A7" s="8" t="s">
        <v>28</v>
      </c>
      <c r="B7" s="8">
        <v>6.7297411139552218E-2</v>
      </c>
      <c r="C7" s="8">
        <v>6.741573033707865E-2</v>
      </c>
      <c r="D7" s="8">
        <v>0</v>
      </c>
      <c r="E7" s="8">
        <v>5.2631578947368418E-2</v>
      </c>
      <c r="F7" s="8">
        <v>5.9829059829059832E-2</v>
      </c>
      <c r="G7" s="8">
        <v>0</v>
      </c>
      <c r="H7" s="8">
        <v>0</v>
      </c>
      <c r="I7" s="8">
        <v>0.25541911026147818</v>
      </c>
      <c r="J7" s="8">
        <f t="shared" si="0"/>
        <v>0.25541911026147818</v>
      </c>
      <c r="K7" s="8">
        <f t="shared" si="0"/>
        <v>0.33707865168539325</v>
      </c>
      <c r="L7" s="13">
        <f t="shared" si="0"/>
        <v>0.12244897959183672</v>
      </c>
      <c r="M7" s="8">
        <f t="shared" si="0"/>
        <v>0.26315789473684209</v>
      </c>
      <c r="N7" s="8">
        <f t="shared" si="0"/>
        <v>0.28205128205128205</v>
      </c>
      <c r="O7" s="8">
        <f t="shared" si="0"/>
        <v>0.19999999999999998</v>
      </c>
      <c r="P7" s="8">
        <f t="shared" si="0"/>
        <v>0.21875</v>
      </c>
    </row>
    <row r="8" spans="1:16" x14ac:dyDescent="0.3">
      <c r="A8" s="8" t="s">
        <v>23</v>
      </c>
      <c r="B8" s="8">
        <v>0.19411593169814989</v>
      </c>
      <c r="C8" s="8">
        <v>0.12359550561797752</v>
      </c>
      <c r="D8" s="8">
        <v>0.12244897959183673</v>
      </c>
      <c r="E8" s="8">
        <v>0.10526315789473684</v>
      </c>
      <c r="F8" s="8">
        <v>0.11965811965811966</v>
      </c>
      <c r="G8" s="8">
        <v>0.1111111111111111</v>
      </c>
      <c r="H8" s="8">
        <v>0.15625</v>
      </c>
      <c r="I8" s="8">
        <v>0.44953504195962807</v>
      </c>
      <c r="J8" s="8">
        <f t="shared" si="0"/>
        <v>0.44953504195962807</v>
      </c>
      <c r="K8" s="8">
        <f t="shared" si="0"/>
        <v>0.4606741573033708</v>
      </c>
      <c r="L8" s="13">
        <f t="shared" si="0"/>
        <v>0.24489795918367346</v>
      </c>
      <c r="M8" s="8">
        <f t="shared" si="0"/>
        <v>0.36842105263157893</v>
      </c>
      <c r="N8" s="8">
        <f t="shared" si="0"/>
        <v>0.40170940170940173</v>
      </c>
      <c r="O8" s="8">
        <f t="shared" si="0"/>
        <v>0.31111111111111112</v>
      </c>
      <c r="P8" s="8">
        <f t="shared" si="0"/>
        <v>0.375</v>
      </c>
    </row>
    <row r="9" spans="1:16" x14ac:dyDescent="0.3">
      <c r="A9" s="8" t="s">
        <v>22</v>
      </c>
      <c r="B9" s="8">
        <v>0.55046495804037199</v>
      </c>
      <c r="C9" s="8">
        <v>0.5393258426966292</v>
      </c>
      <c r="D9" s="8">
        <v>0.75510204081632648</v>
      </c>
      <c r="E9" s="8">
        <v>0.63157894736842102</v>
      </c>
      <c r="F9" s="8">
        <v>0.59829059829059827</v>
      </c>
      <c r="G9" s="8">
        <v>0.68888888888888888</v>
      </c>
      <c r="H9" s="8">
        <v>0.625</v>
      </c>
      <c r="I9" s="8">
        <v>1</v>
      </c>
      <c r="J9" s="8">
        <f t="shared" si="0"/>
        <v>1</v>
      </c>
      <c r="K9" s="8">
        <f t="shared" si="0"/>
        <v>1</v>
      </c>
      <c r="L9" s="13">
        <f t="shared" si="0"/>
        <v>1</v>
      </c>
      <c r="M9" s="8">
        <f t="shared" si="0"/>
        <v>1</v>
      </c>
      <c r="N9" s="8">
        <f t="shared" si="0"/>
        <v>1</v>
      </c>
      <c r="O9" s="8">
        <f t="shared" si="0"/>
        <v>1</v>
      </c>
      <c r="P9" s="8">
        <f t="shared" si="0"/>
        <v>1</v>
      </c>
    </row>
    <row r="11" spans="1:16" ht="28.8" x14ac:dyDescent="0.3">
      <c r="B11" s="1" t="s">
        <v>53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  <c r="J11" s="7"/>
      <c r="K11" s="9" t="s">
        <v>67</v>
      </c>
      <c r="L11" s="9" t="s">
        <v>68</v>
      </c>
      <c r="M11" s="9" t="s">
        <v>69</v>
      </c>
      <c r="N11" s="9" t="s">
        <v>70</v>
      </c>
      <c r="O11" s="9" t="s">
        <v>71</v>
      </c>
      <c r="P11" s="9" t="s">
        <v>72</v>
      </c>
    </row>
    <row r="12" spans="1:16" x14ac:dyDescent="0.3">
      <c r="B12" s="8" t="s">
        <v>29</v>
      </c>
      <c r="C12" s="8">
        <f>C2-B2</f>
        <v>-1.513948741211159E-2</v>
      </c>
      <c r="D12" s="8">
        <f>D2-B2</f>
        <v>-1.513948741211159E-2</v>
      </c>
      <c r="E12" s="8">
        <f>E2-B2</f>
        <v>1.9948231886134024E-2</v>
      </c>
      <c r="F12" s="8">
        <f>F2-B2</f>
        <v>1.954529681905506E-3</v>
      </c>
      <c r="G12" s="8">
        <f>G2-B2</f>
        <v>7.0827348101106333E-3</v>
      </c>
      <c r="H12" s="8">
        <f>H2-B2</f>
        <v>-1.513948741211159E-2</v>
      </c>
      <c r="J12" s="8" t="s">
        <v>29</v>
      </c>
      <c r="K12" s="7">
        <f>(J2-0) * (K2+0)</f>
        <v>0</v>
      </c>
      <c r="L12" s="7">
        <f t="shared" ref="L12" si="1">(K2-0) * (L2+0)</f>
        <v>0</v>
      </c>
      <c r="M12" s="7">
        <f>(J2-0) * (M2+0)</f>
        <v>5.3121008463549431E-4</v>
      </c>
      <c r="N12" s="7">
        <f>(J2-0) * (N2+0)</f>
        <v>2.5879465661729218E-4</v>
      </c>
      <c r="O12" s="7">
        <f>(J2-0) * (O2+0)</f>
        <v>3.3643305360247979E-4</v>
      </c>
      <c r="P12" s="7">
        <f>(J2-0) * (P2+0)</f>
        <v>0</v>
      </c>
    </row>
    <row r="13" spans="1:16" x14ac:dyDescent="0.3">
      <c r="B13" s="8" t="s">
        <v>24</v>
      </c>
      <c r="C13" s="8">
        <f t="shared" ref="C13:C19" si="2">C3-B3</f>
        <v>1.9282024547046805E-2</v>
      </c>
      <c r="D13" s="8">
        <f t="shared" ref="D13:D19" si="3">D3-B3</f>
        <v>-2.5661795677672294E-2</v>
      </c>
      <c r="E13" s="8">
        <f t="shared" ref="E13:E19" si="4">E3-B3</f>
        <v>9.4259236205733177E-3</v>
      </c>
      <c r="F13" s="8">
        <f t="shared" ref="F13:F19" si="5">F3-B3</f>
        <v>-1.7114787130663747E-2</v>
      </c>
      <c r="G13" s="8">
        <f t="shared" ref="G13:G19" si="6">G3-B3</f>
        <v>7.6715376556610385E-3</v>
      </c>
      <c r="H13" s="8">
        <f t="shared" ref="H13:H19" si="7">H3-B3</f>
        <v>-1.0036795677672294E-2</v>
      </c>
      <c r="J13" s="8" t="s">
        <v>24</v>
      </c>
      <c r="K13" s="7">
        <f>(J3-J2) * (K3+K2)</f>
        <v>1.1533391315807773E-3</v>
      </c>
      <c r="L13" s="7">
        <f>(J3-J2) * (L3+L2)</f>
        <v>0</v>
      </c>
      <c r="M13" s="7">
        <f>(J3-J2) * (M3+M2)</f>
        <v>2.7012416502812941E-3</v>
      </c>
      <c r="N13" s="7">
        <f>(J3-J2) * (N3+N2)</f>
        <v>1.0966579349432604E-3</v>
      </c>
      <c r="O13" s="7">
        <f>(J3-J2) * (O3+O2)</f>
        <v>1.9959174415967338E-3</v>
      </c>
      <c r="P13" s="7">
        <f>(J3-J2) * (P3+P2)</f>
        <v>4.009655574636296E-4</v>
      </c>
    </row>
    <row r="14" spans="1:16" x14ac:dyDescent="0.3">
      <c r="B14" s="8" t="s">
        <v>27</v>
      </c>
      <c r="C14" s="8">
        <f t="shared" si="2"/>
        <v>-8.8034033698035571E-3</v>
      </c>
      <c r="D14" s="8">
        <f t="shared" si="3"/>
        <v>5.0357339579061376E-2</v>
      </c>
      <c r="E14" s="8">
        <f t="shared" si="4"/>
        <v>2.1356265465205311E-2</v>
      </c>
      <c r="F14" s="8">
        <f t="shared" si="5"/>
        <v>2.0006737799888173E-2</v>
      </c>
      <c r="G14" s="8">
        <f t="shared" si="6"/>
        <v>3.5391353184503559E-2</v>
      </c>
      <c r="H14" s="8">
        <f t="shared" si="7"/>
        <v>3.1224686517836893E-2</v>
      </c>
      <c r="J14" s="8" t="s">
        <v>27</v>
      </c>
      <c r="K14" s="7">
        <f t="shared" ref="K14:K19" si="8">(J4-J3) * (K4+K3)</f>
        <v>3.5140801665351799E-3</v>
      </c>
      <c r="L14" s="7">
        <f t="shared" ref="L14:L19" si="9">(J4-J3) * (L4+L3)</f>
        <v>2.5530868148704571E-3</v>
      </c>
      <c r="M14" s="7">
        <f t="shared" ref="M14:M19" si="10">(J4-J3) * (M4+M3)</f>
        <v>6.0355868123472649E-3</v>
      </c>
      <c r="N14" s="7">
        <f t="shared" ref="N14:N19" si="11">(J4-J3) * (N4+N3)</f>
        <v>3.2077244597090364E-3</v>
      </c>
      <c r="O14" s="7">
        <f t="shared" ref="O14:O19" si="12">(J4-J3) * (O4+O3)</f>
        <v>5.5600557301623285E-3</v>
      </c>
      <c r="P14" s="7">
        <f t="shared" ref="P14:P19" si="13">(J4-J3) * (P4+P3)</f>
        <v>2.9320606389527906E-3</v>
      </c>
    </row>
    <row r="15" spans="1:16" x14ac:dyDescent="0.3">
      <c r="B15" s="8" t="s">
        <v>25</v>
      </c>
      <c r="C15" s="8">
        <f t="shared" si="2"/>
        <v>9.4022896402987166E-2</v>
      </c>
      <c r="D15" s="8">
        <f t="shared" si="3"/>
        <v>-3.1636356062043777E-2</v>
      </c>
      <c r="E15" s="8">
        <f t="shared" si="4"/>
        <v>5.8705962001851658E-4</v>
      </c>
      <c r="F15" s="8">
        <f t="shared" si="5"/>
        <v>7.7845405017099301E-3</v>
      </c>
      <c r="G15" s="8">
        <f t="shared" si="6"/>
        <v>3.5110362282056509E-3</v>
      </c>
      <c r="H15" s="8">
        <f t="shared" si="7"/>
        <v>8.8580480672650092E-2</v>
      </c>
      <c r="J15" s="8" t="s">
        <v>25</v>
      </c>
      <c r="K15" s="7">
        <f t="shared" si="8"/>
        <v>1.4619247002064581E-2</v>
      </c>
      <c r="L15" s="7">
        <f t="shared" si="9"/>
        <v>9.5591974274724309E-3</v>
      </c>
      <c r="M15" s="7">
        <f t="shared" si="10"/>
        <v>1.5522049623946464E-2</v>
      </c>
      <c r="N15" s="7">
        <f t="shared" si="11"/>
        <v>1.112062378789528E-2</v>
      </c>
      <c r="O15" s="7">
        <f t="shared" si="12"/>
        <v>1.5613355798204972E-2</v>
      </c>
      <c r="P15" s="7">
        <f t="shared" si="13"/>
        <v>1.5450716675307005E-2</v>
      </c>
    </row>
    <row r="16" spans="1:16" x14ac:dyDescent="0.3">
      <c r="B16" s="8" t="s">
        <v>26</v>
      </c>
      <c r="C16" s="8">
        <f t="shared" si="2"/>
        <v>-7.8208079417301651E-3</v>
      </c>
      <c r="D16" s="8">
        <f t="shared" si="3"/>
        <v>-4.3592419957322923E-2</v>
      </c>
      <c r="E16" s="8">
        <f t="shared" si="4"/>
        <v>-2.8912863924383428E-2</v>
      </c>
      <c r="F16" s="8">
        <f t="shared" si="5"/>
        <v>2.1469502247456432E-2</v>
      </c>
      <c r="G16" s="8">
        <f t="shared" si="6"/>
        <v>-4.1778361000406813E-2</v>
      </c>
      <c r="H16" s="8">
        <f t="shared" si="7"/>
        <v>-6.400058322262904E-2</v>
      </c>
      <c r="J16" s="8" t="s">
        <v>26</v>
      </c>
      <c r="K16" s="7">
        <f t="shared" si="8"/>
        <v>3.0921630096326393E-2</v>
      </c>
      <c r="L16" s="7">
        <f t="shared" si="9"/>
        <v>1.436747786630448E-2</v>
      </c>
      <c r="M16" s="7">
        <f t="shared" si="10"/>
        <v>2.4701979489435772E-2</v>
      </c>
      <c r="N16" s="7">
        <f t="shared" si="11"/>
        <v>2.2974568336328383E-2</v>
      </c>
      <c r="O16" s="7">
        <f t="shared" si="12"/>
        <v>2.417799810632653E-2</v>
      </c>
      <c r="P16" s="7">
        <f t="shared" si="13"/>
        <v>2.8000255159900213E-2</v>
      </c>
    </row>
    <row r="17" spans="2:16" x14ac:dyDescent="0.3">
      <c r="B17" s="8" t="s">
        <v>28</v>
      </c>
      <c r="C17" s="8">
        <f t="shared" si="2"/>
        <v>1.1831919752643139E-4</v>
      </c>
      <c r="D17" s="8">
        <f t="shared" si="3"/>
        <v>-6.7297411139552218E-2</v>
      </c>
      <c r="E17" s="8">
        <f t="shared" si="4"/>
        <v>-1.46658321921838E-2</v>
      </c>
      <c r="F17" s="8">
        <f t="shared" si="5"/>
        <v>-7.4683513104923868E-3</v>
      </c>
      <c r="G17" s="8">
        <f t="shared" si="6"/>
        <v>-6.7297411139552218E-2</v>
      </c>
      <c r="H17" s="8">
        <f t="shared" si="7"/>
        <v>-6.7297411139552218E-2</v>
      </c>
      <c r="J17" s="8" t="s">
        <v>28</v>
      </c>
      <c r="K17" s="7">
        <f t="shared" si="8"/>
        <v>4.0832137095908091E-2</v>
      </c>
      <c r="L17" s="7">
        <f t="shared" si="9"/>
        <v>1.6480998646420952E-2</v>
      </c>
      <c r="M17" s="7">
        <f t="shared" si="10"/>
        <v>3.187772106610369E-2</v>
      </c>
      <c r="N17" s="7">
        <f t="shared" si="11"/>
        <v>3.3936301343876762E-2</v>
      </c>
      <c r="O17" s="7">
        <f t="shared" si="12"/>
        <v>2.6918964455820892E-2</v>
      </c>
      <c r="P17" s="7">
        <f t="shared" si="13"/>
        <v>2.9442617373554102E-2</v>
      </c>
    </row>
    <row r="18" spans="2:16" x14ac:dyDescent="0.3">
      <c r="B18" s="8" t="s">
        <v>23</v>
      </c>
      <c r="C18" s="8">
        <f t="shared" si="2"/>
        <v>-7.0520426080172366E-2</v>
      </c>
      <c r="D18" s="8">
        <f t="shared" si="3"/>
        <v>-7.1666952106313159E-2</v>
      </c>
      <c r="E18" s="8">
        <f t="shared" si="4"/>
        <v>-8.8852773803413054E-2</v>
      </c>
      <c r="F18" s="8">
        <f t="shared" si="5"/>
        <v>-7.4457812040030227E-2</v>
      </c>
      <c r="G18" s="8">
        <f t="shared" si="6"/>
        <v>-8.3004820587038786E-2</v>
      </c>
      <c r="H18" s="8">
        <f t="shared" si="7"/>
        <v>-3.7865931698149891E-2</v>
      </c>
      <c r="J18" s="8" t="s">
        <v>23</v>
      </c>
      <c r="K18" s="7">
        <f t="shared" si="8"/>
        <v>0.15485652978167014</v>
      </c>
      <c r="L18" s="7">
        <f t="shared" si="9"/>
        <v>7.1307893276871384E-2</v>
      </c>
      <c r="M18" s="7">
        <f t="shared" si="10"/>
        <v>0.12259953580935781</v>
      </c>
      <c r="N18" s="7">
        <f t="shared" si="11"/>
        <v>0.13272884218676917</v>
      </c>
      <c r="O18" s="7">
        <f t="shared" si="12"/>
        <v>9.9214809534609941E-2</v>
      </c>
      <c r="P18" s="7">
        <f t="shared" si="13"/>
        <v>0.1152563344457765</v>
      </c>
    </row>
    <row r="19" spans="2:16" x14ac:dyDescent="0.3">
      <c r="B19" s="8" t="s">
        <v>22</v>
      </c>
      <c r="C19" s="8">
        <f t="shared" si="2"/>
        <v>-1.1139115343742789E-2</v>
      </c>
      <c r="D19" s="8">
        <f t="shared" si="3"/>
        <v>0.20463708277595449</v>
      </c>
      <c r="E19" s="8">
        <f t="shared" si="4"/>
        <v>8.111398932804903E-2</v>
      </c>
      <c r="F19" s="8">
        <f t="shared" si="5"/>
        <v>4.7825640250226287E-2</v>
      </c>
      <c r="G19" s="8">
        <f t="shared" si="6"/>
        <v>0.1384239308485169</v>
      </c>
      <c r="H19" s="8">
        <f t="shared" si="7"/>
        <v>7.4535041959628012E-2</v>
      </c>
      <c r="J19" s="8" t="s">
        <v>22</v>
      </c>
      <c r="K19" s="7">
        <f t="shared" si="8"/>
        <v>0.80404993871065578</v>
      </c>
      <c r="L19" s="7">
        <f t="shared" si="9"/>
        <v>0.68527270286658559</v>
      </c>
      <c r="M19" s="7">
        <f t="shared" si="10"/>
        <v>0.75326783731840374</v>
      </c>
      <c r="N19" s="7">
        <f t="shared" si="11"/>
        <v>0.77159190699676072</v>
      </c>
      <c r="O19" s="7">
        <f t="shared" si="12"/>
        <v>0.72172072276404331</v>
      </c>
      <c r="P19" s="7">
        <f t="shared" si="13"/>
        <v>0.75688931730551146</v>
      </c>
    </row>
    <row r="20" spans="2:16" x14ac:dyDescent="0.3">
      <c r="J20" s="9" t="s">
        <v>73</v>
      </c>
      <c r="K20" s="9">
        <f>SUM(K12:K19)</f>
        <v>1.0499469019847409</v>
      </c>
      <c r="L20" s="9">
        <f t="shared" ref="L20:P20" si="14">SUM(L12:L19)</f>
        <v>0.79954135689852524</v>
      </c>
      <c r="M20" s="9">
        <f t="shared" si="14"/>
        <v>0.95723716185451146</v>
      </c>
      <c r="N20" s="9">
        <f t="shared" si="14"/>
        <v>0.97691541970289997</v>
      </c>
      <c r="O20" s="9">
        <f t="shared" si="14"/>
        <v>0.89553825688436717</v>
      </c>
      <c r="P20" s="9">
        <f t="shared" si="14"/>
        <v>0.94837226715646572</v>
      </c>
    </row>
    <row r="21" spans="2:16" x14ac:dyDescent="0.3">
      <c r="J21" s="12" t="s">
        <v>74</v>
      </c>
      <c r="K21" s="12">
        <f>1-K20</f>
        <v>-4.9946901984740943E-2</v>
      </c>
      <c r="L21" s="12">
        <f t="shared" ref="L21:P21" si="15">1-L20</f>
        <v>0.20045864310147476</v>
      </c>
      <c r="M21" s="12">
        <f t="shared" si="15"/>
        <v>4.2762838145488535E-2</v>
      </c>
      <c r="N21" s="12">
        <f t="shared" si="15"/>
        <v>2.3084580297100032E-2</v>
      </c>
      <c r="O21" s="12">
        <f t="shared" si="15"/>
        <v>0.10446174311563283</v>
      </c>
      <c r="P21" s="12">
        <f t="shared" si="15"/>
        <v>5.162773284353428E-2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C52B7-ACE2-4808-AE5C-45093B690730}">
  <dimension ref="A1:P13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33</v>
      </c>
      <c r="B2" s="8">
        <v>5.0801479654747225E-2</v>
      </c>
      <c r="C2" s="8">
        <v>2.197802197802198E-2</v>
      </c>
      <c r="D2" s="8">
        <v>3.0303030303030304E-2</v>
      </c>
      <c r="E2" s="8">
        <v>1.3698630136986301E-2</v>
      </c>
      <c r="F2" s="8">
        <v>0.10317460317460317</v>
      </c>
      <c r="G2" s="8">
        <v>9.3333333333333338E-2</v>
      </c>
      <c r="H2" s="8">
        <v>0.11</v>
      </c>
      <c r="I2" s="8">
        <v>5.0801479654747225E-2</v>
      </c>
      <c r="J2" s="8">
        <v>5.0801479654747225E-2</v>
      </c>
      <c r="K2" s="8">
        <v>2.197802197802198E-2</v>
      </c>
      <c r="L2" s="8">
        <v>3.0303030303030304E-2</v>
      </c>
      <c r="M2" s="8">
        <v>1.3698630136986301E-2</v>
      </c>
      <c r="N2" s="8">
        <v>0.10317460317460317</v>
      </c>
      <c r="O2" s="8">
        <v>9.3333333333333338E-2</v>
      </c>
      <c r="P2" s="8">
        <v>0.11</v>
      </c>
    </row>
    <row r="3" spans="1:16" x14ac:dyDescent="0.3">
      <c r="A3" s="8" t="s">
        <v>32</v>
      </c>
      <c r="B3" s="8">
        <v>9.0322580645161285E-2</v>
      </c>
      <c r="C3" s="8">
        <v>8.7912087912087919E-2</v>
      </c>
      <c r="D3" s="8">
        <v>0.10606060606060606</v>
      </c>
      <c r="E3" s="8">
        <v>0.1095890410958904</v>
      </c>
      <c r="F3" s="8">
        <v>9.5238095238095233E-2</v>
      </c>
      <c r="G3" s="8">
        <v>0.04</v>
      </c>
      <c r="H3" s="8">
        <v>0.13</v>
      </c>
      <c r="I3" s="8">
        <v>0.14112406029990851</v>
      </c>
      <c r="J3" s="8">
        <f>J2+B3</f>
        <v>0.14112406029990851</v>
      </c>
      <c r="K3" s="8">
        <f t="shared" ref="K3:P5" si="0">K2+C3</f>
        <v>0.1098901098901099</v>
      </c>
      <c r="L3" s="8">
        <f t="shared" si="0"/>
        <v>0.13636363636363635</v>
      </c>
      <c r="M3" s="8">
        <f t="shared" si="0"/>
        <v>0.12328767123287671</v>
      </c>
      <c r="N3" s="8">
        <f t="shared" si="0"/>
        <v>0.1984126984126984</v>
      </c>
      <c r="O3" s="8">
        <f t="shared" si="0"/>
        <v>0.13333333333333333</v>
      </c>
      <c r="P3" s="8">
        <f t="shared" si="0"/>
        <v>0.24</v>
      </c>
    </row>
    <row r="4" spans="1:16" x14ac:dyDescent="0.3">
      <c r="A4" s="8" t="s">
        <v>31</v>
      </c>
      <c r="B4" s="8">
        <v>0.10747384750009945</v>
      </c>
      <c r="C4" s="8">
        <v>0.14285714285714285</v>
      </c>
      <c r="D4" s="8">
        <v>0.21212121212121213</v>
      </c>
      <c r="E4" s="8">
        <v>0.17808219178082191</v>
      </c>
      <c r="F4" s="8">
        <v>0.20634920634920634</v>
      </c>
      <c r="G4" s="8">
        <v>0.37333333333333335</v>
      </c>
      <c r="H4" s="8">
        <v>0.22</v>
      </c>
      <c r="I4" s="8">
        <v>0.24859790780000796</v>
      </c>
      <c r="J4" s="8">
        <f t="shared" ref="J4:J5" si="1">J3+B4</f>
        <v>0.24859790780000796</v>
      </c>
      <c r="K4" s="8">
        <f t="shared" si="0"/>
        <v>0.25274725274725274</v>
      </c>
      <c r="L4" s="8">
        <f t="shared" si="0"/>
        <v>0.34848484848484851</v>
      </c>
      <c r="M4" s="8">
        <f t="shared" si="0"/>
        <v>0.30136986301369861</v>
      </c>
      <c r="N4" s="8">
        <f t="shared" si="0"/>
        <v>0.40476190476190477</v>
      </c>
      <c r="O4" s="8">
        <f t="shared" si="0"/>
        <v>0.50666666666666671</v>
      </c>
      <c r="P4" s="8">
        <f t="shared" si="0"/>
        <v>0.45999999999999996</v>
      </c>
    </row>
    <row r="5" spans="1:16" x14ac:dyDescent="0.3">
      <c r="A5" s="8" t="s">
        <v>30</v>
      </c>
      <c r="B5" s="8">
        <v>0.7514020921999921</v>
      </c>
      <c r="C5" s="8">
        <v>0.74725274725274726</v>
      </c>
      <c r="D5" s="8">
        <v>0.65151515151515149</v>
      </c>
      <c r="E5" s="8">
        <v>0.69863013698630139</v>
      </c>
      <c r="F5" s="8">
        <v>0.59523809523809523</v>
      </c>
      <c r="G5" s="8">
        <v>0.49333333333333335</v>
      </c>
      <c r="H5" s="8">
        <v>0.54</v>
      </c>
      <c r="I5" s="8">
        <v>1</v>
      </c>
      <c r="J5" s="8">
        <f t="shared" si="1"/>
        <v>1</v>
      </c>
      <c r="K5" s="8">
        <f t="shared" si="0"/>
        <v>1</v>
      </c>
      <c r="L5" s="8">
        <f t="shared" si="0"/>
        <v>1</v>
      </c>
      <c r="M5" s="8">
        <f t="shared" si="0"/>
        <v>1</v>
      </c>
      <c r="N5" s="8">
        <f t="shared" si="0"/>
        <v>1</v>
      </c>
      <c r="O5" s="8">
        <f t="shared" si="0"/>
        <v>1</v>
      </c>
      <c r="P5" s="8">
        <f t="shared" si="0"/>
        <v>1</v>
      </c>
    </row>
    <row r="7" spans="1:16" ht="28.8" x14ac:dyDescent="0.3">
      <c r="B7" s="1" t="s">
        <v>53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66</v>
      </c>
      <c r="J7" s="7"/>
      <c r="K7" s="9" t="s">
        <v>67</v>
      </c>
      <c r="L7" s="9" t="s">
        <v>68</v>
      </c>
      <c r="M7" s="9" t="s">
        <v>69</v>
      </c>
      <c r="N7" s="9" t="s">
        <v>70</v>
      </c>
      <c r="O7" s="9" t="s">
        <v>71</v>
      </c>
      <c r="P7" s="9" t="s">
        <v>72</v>
      </c>
    </row>
    <row r="8" spans="1:16" x14ac:dyDescent="0.3">
      <c r="B8" s="8" t="s">
        <v>33</v>
      </c>
      <c r="C8" s="8">
        <f>C2-B2</f>
        <v>-2.8823457676725246E-2</v>
      </c>
      <c r="D8" s="8">
        <f>D2-B2</f>
        <v>-2.0498449351716921E-2</v>
      </c>
      <c r="E8" s="8">
        <f>E2-B2</f>
        <v>-3.7102849517760925E-2</v>
      </c>
      <c r="F8" s="8">
        <f>F2-B2</f>
        <v>5.2373123519855944E-2</v>
      </c>
      <c r="G8" s="8">
        <f>G2-B2</f>
        <v>4.2531853678586112E-2</v>
      </c>
      <c r="H8" s="8">
        <f>H2-B2</f>
        <v>5.9198520345252775E-2</v>
      </c>
      <c r="J8" s="8" t="s">
        <v>33</v>
      </c>
      <c r="K8" s="7">
        <f>($J2-0) * ((K2+0))</f>
        <v>1.116516036368071E-3</v>
      </c>
      <c r="L8" s="7">
        <f t="shared" ref="L8:P8" si="2">($J2-0) * ((L2+0))</f>
        <v>1.5394387774165827E-3</v>
      </c>
      <c r="M8" s="7">
        <f t="shared" si="2"/>
        <v>6.9591068020201678E-4</v>
      </c>
      <c r="N8" s="7">
        <f t="shared" si="2"/>
        <v>5.2414225040612215E-3</v>
      </c>
      <c r="O8" s="7">
        <f t="shared" si="2"/>
        <v>4.741471434443075E-3</v>
      </c>
      <c r="P8" s="7">
        <f t="shared" si="2"/>
        <v>5.5881627620221952E-3</v>
      </c>
    </row>
    <row r="9" spans="1:16" x14ac:dyDescent="0.3">
      <c r="B9" s="8" t="s">
        <v>32</v>
      </c>
      <c r="C9" s="8">
        <f t="shared" ref="C9:C11" si="3">C3-B3</f>
        <v>-2.4104927330733661E-3</v>
      </c>
      <c r="D9" s="8">
        <f t="shared" ref="D9:D11" si="4">D3-B3</f>
        <v>1.5738025415444779E-2</v>
      </c>
      <c r="E9" s="8">
        <f t="shared" ref="E9:E11" si="5">E3-B3</f>
        <v>1.926646045072912E-2</v>
      </c>
      <c r="F9" s="8">
        <f t="shared" ref="F9:F11" si="6">F3-B3</f>
        <v>4.9155145929339478E-3</v>
      </c>
      <c r="G9" s="8">
        <f t="shared" ref="G9:G11" si="7">G3-B3</f>
        <v>-5.0322580645161284E-2</v>
      </c>
      <c r="H9" s="8">
        <f t="shared" ref="H9:H11" si="8">H3-B3</f>
        <v>3.9677419354838719E-2</v>
      </c>
      <c r="J9" s="8" t="s">
        <v>32</v>
      </c>
      <c r="K9" s="7">
        <f>($J3-$J2) * ((K3+K2))</f>
        <v>1.1910669975186104E-2</v>
      </c>
      <c r="L9" s="7">
        <f t="shared" ref="L9:P9" si="9">($J3-$J2) * ((L3+L2))</f>
        <v>1.5053763440860214E-2</v>
      </c>
      <c r="M9" s="7">
        <f t="shared" si="9"/>
        <v>1.2372956252761819E-2</v>
      </c>
      <c r="N9" s="7">
        <f t="shared" si="9"/>
        <v>2.7240143369175625E-2</v>
      </c>
      <c r="O9" s="7">
        <f t="shared" si="9"/>
        <v>2.0473118279569893E-2</v>
      </c>
      <c r="P9" s="7">
        <f t="shared" si="9"/>
        <v>3.1612903225806448E-2</v>
      </c>
    </row>
    <row r="10" spans="1:16" x14ac:dyDescent="0.3">
      <c r="B10" s="8" t="s">
        <v>31</v>
      </c>
      <c r="C10" s="8">
        <f t="shared" si="3"/>
        <v>3.5383295357043404E-2</v>
      </c>
      <c r="D10" s="8">
        <f t="shared" si="4"/>
        <v>0.10464736462111268</v>
      </c>
      <c r="E10" s="8">
        <f t="shared" si="5"/>
        <v>7.0608344280722463E-2</v>
      </c>
      <c r="F10" s="8">
        <f t="shared" si="6"/>
        <v>9.8875358849106892E-2</v>
      </c>
      <c r="G10" s="8">
        <f t="shared" si="7"/>
        <v>0.26585948583323393</v>
      </c>
      <c r="H10" s="8">
        <f t="shared" si="8"/>
        <v>0.11252615249990056</v>
      </c>
      <c r="J10" s="8" t="s">
        <v>31</v>
      </c>
      <c r="K10" s="7">
        <f t="shared" ref="K10:P11" si="10">($J4-$J3) * ((K4+K3))</f>
        <v>3.8974032609926171E-2</v>
      </c>
      <c r="L10" s="7">
        <f t="shared" si="10"/>
        <v>5.2108532121260341E-2</v>
      </c>
      <c r="M10" s="7">
        <f t="shared" si="10"/>
        <v>4.5639579075384691E-2</v>
      </c>
      <c r="N10" s="7">
        <f t="shared" si="10"/>
        <v>6.4825495317520299E-2</v>
      </c>
      <c r="O10" s="7">
        <f t="shared" si="10"/>
        <v>6.8783262400063647E-2</v>
      </c>
      <c r="P10" s="7">
        <f t="shared" si="10"/>
        <v>7.5231693250069606E-2</v>
      </c>
    </row>
    <row r="11" spans="1:16" x14ac:dyDescent="0.3">
      <c r="B11" s="8" t="s">
        <v>30</v>
      </c>
      <c r="C11" s="8">
        <f t="shared" si="3"/>
        <v>-4.1493449472448374E-3</v>
      </c>
      <c r="D11" s="8">
        <f t="shared" si="4"/>
        <v>-9.9886940684840608E-2</v>
      </c>
      <c r="E11" s="8">
        <f t="shared" si="5"/>
        <v>-5.2771955213690713E-2</v>
      </c>
      <c r="F11" s="8">
        <f t="shared" si="6"/>
        <v>-0.15616399696189687</v>
      </c>
      <c r="G11" s="8">
        <f t="shared" si="7"/>
        <v>-0.25806875886665875</v>
      </c>
      <c r="H11" s="8">
        <f t="shared" si="8"/>
        <v>-0.21140209219999206</v>
      </c>
      <c r="J11" s="8" t="s">
        <v>30</v>
      </c>
      <c r="K11" s="7">
        <f t="shared" si="10"/>
        <v>0.94131690671207791</v>
      </c>
      <c r="L11" s="7">
        <f t="shared" si="10"/>
        <v>1.0132543364515045</v>
      </c>
      <c r="M11" s="7">
        <f t="shared" si="10"/>
        <v>0.97785203779451002</v>
      </c>
      <c r="N11" s="7">
        <f t="shared" si="10"/>
        <v>1.055541034280941</v>
      </c>
      <c r="O11" s="7">
        <f t="shared" si="10"/>
        <v>1.1321124855813214</v>
      </c>
      <c r="P11" s="7">
        <f t="shared" si="10"/>
        <v>1.0970470546119884</v>
      </c>
    </row>
    <row r="12" spans="1:16" x14ac:dyDescent="0.3">
      <c r="J12" s="10" t="s">
        <v>73</v>
      </c>
      <c r="K12" s="9">
        <f>SUM(K8:K11)</f>
        <v>0.99331812533355823</v>
      </c>
      <c r="L12" s="9">
        <f t="shared" ref="L12:P12" si="11">SUM(L8:L11)</f>
        <v>1.0819560707910416</v>
      </c>
      <c r="M12" s="9">
        <f t="shared" si="11"/>
        <v>1.0365604838028586</v>
      </c>
      <c r="N12" s="9">
        <f t="shared" si="11"/>
        <v>1.1528480954716982</v>
      </c>
      <c r="O12" s="9">
        <f t="shared" si="11"/>
        <v>1.2261103376953979</v>
      </c>
      <c r="P12" s="9">
        <f t="shared" si="11"/>
        <v>1.2094798138498866</v>
      </c>
    </row>
    <row r="13" spans="1:16" x14ac:dyDescent="0.3">
      <c r="J13" s="11" t="s">
        <v>74</v>
      </c>
      <c r="K13" s="12">
        <f>1-K12</f>
        <v>6.6818746664417672E-3</v>
      </c>
      <c r="L13" s="12">
        <f t="shared" ref="L13:P13" si="12">1-L12</f>
        <v>-8.1956070791041613E-2</v>
      </c>
      <c r="M13" s="12">
        <f t="shared" si="12"/>
        <v>-3.656048380285859E-2</v>
      </c>
      <c r="N13" s="12">
        <f t="shared" si="12"/>
        <v>-0.1528480954716982</v>
      </c>
      <c r="O13" s="12">
        <f t="shared" si="12"/>
        <v>-0.2261103376953979</v>
      </c>
      <c r="P13" s="12">
        <f t="shared" si="12"/>
        <v>-0.20947981384988656</v>
      </c>
    </row>
  </sheetData>
  <sortState xmlns:xlrd2="http://schemas.microsoft.com/office/spreadsheetml/2017/richdata2" ref="A2:P6">
    <sortCondition ref="B1:B6"/>
  </sortState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8412-A7B6-4057-ADFD-C3BB5239B5F9}">
  <dimension ref="A1:P15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37</v>
      </c>
      <c r="B2" s="8">
        <v>3.0383827888641017E-2</v>
      </c>
      <c r="C2" s="8">
        <v>5.4054054054054057E-2</v>
      </c>
      <c r="D2" s="8">
        <v>0</v>
      </c>
      <c r="E2" s="8">
        <v>0</v>
      </c>
      <c r="F2" s="8">
        <v>1.9417475728155338E-2</v>
      </c>
      <c r="G2" s="8">
        <v>4.807692307692308E-3</v>
      </c>
      <c r="H2" s="8">
        <v>7.9365079365079361E-3</v>
      </c>
      <c r="I2" s="8">
        <v>3.0383827888641017E-2</v>
      </c>
      <c r="J2" s="8">
        <v>3.0383827888641017E-2</v>
      </c>
      <c r="K2" s="8">
        <v>5.4054054054054057E-2</v>
      </c>
      <c r="L2" s="8">
        <v>0</v>
      </c>
      <c r="M2" s="8">
        <v>0</v>
      </c>
      <c r="N2" s="8">
        <v>1.9417475728155338E-2</v>
      </c>
      <c r="O2" s="8">
        <v>4.807692307692308E-3</v>
      </c>
      <c r="P2" s="8">
        <v>7.9365079365079361E-3</v>
      </c>
    </row>
    <row r="3" spans="1:16" x14ac:dyDescent="0.3">
      <c r="A3" s="8" t="s">
        <v>35</v>
      </c>
      <c r="B3" s="8">
        <v>3.3753017755095802E-2</v>
      </c>
      <c r="C3" s="8">
        <v>0</v>
      </c>
      <c r="D3" s="8">
        <v>1.6666666666666666E-2</v>
      </c>
      <c r="E3" s="8">
        <v>2.9411764705882353E-2</v>
      </c>
      <c r="F3" s="8">
        <v>7.7669902912621352E-2</v>
      </c>
      <c r="G3" s="8">
        <v>8.1730769230769232E-2</v>
      </c>
      <c r="H3" s="8">
        <v>1.5873015873015872E-2</v>
      </c>
      <c r="I3" s="8">
        <v>6.4136845643736812E-2</v>
      </c>
      <c r="J3" s="8">
        <f t="shared" ref="J3:P6" si="0">J2+B3</f>
        <v>6.4136845643736812E-2</v>
      </c>
      <c r="K3" s="8">
        <f t="shared" si="0"/>
        <v>5.4054054054054057E-2</v>
      </c>
      <c r="L3" s="8">
        <f t="shared" si="0"/>
        <v>1.6666666666666666E-2</v>
      </c>
      <c r="M3" s="8">
        <f t="shared" si="0"/>
        <v>2.9411764705882353E-2</v>
      </c>
      <c r="N3" s="8">
        <f t="shared" si="0"/>
        <v>9.7087378640776684E-2</v>
      </c>
      <c r="O3" s="8">
        <f t="shared" si="0"/>
        <v>8.6538461538461536E-2</v>
      </c>
      <c r="P3" s="8">
        <f t="shared" si="0"/>
        <v>2.3809523809523808E-2</v>
      </c>
    </row>
    <row r="4" spans="1:16" x14ac:dyDescent="0.3">
      <c r="A4" s="8" t="s">
        <v>38</v>
      </c>
      <c r="B4" s="8">
        <v>0.2185236683678147</v>
      </c>
      <c r="C4" s="8">
        <v>0.20270270270270271</v>
      </c>
      <c r="D4" s="8">
        <v>0.13333333333333333</v>
      </c>
      <c r="E4" s="8">
        <v>0.17647058823529413</v>
      </c>
      <c r="F4" s="8">
        <v>0.21359223300970873</v>
      </c>
      <c r="G4" s="8">
        <v>0.1201923076923077</v>
      </c>
      <c r="H4" s="8">
        <v>0.26190476190476192</v>
      </c>
      <c r="I4" s="8">
        <v>0.28266051401155151</v>
      </c>
      <c r="J4" s="8">
        <f t="shared" si="0"/>
        <v>0.28266051401155151</v>
      </c>
      <c r="K4" s="8">
        <f t="shared" si="0"/>
        <v>0.2567567567567568</v>
      </c>
      <c r="L4" s="8">
        <f t="shared" si="0"/>
        <v>0.15</v>
      </c>
      <c r="M4" s="8">
        <f t="shared" si="0"/>
        <v>0.20588235294117649</v>
      </c>
      <c r="N4" s="8">
        <f t="shared" si="0"/>
        <v>0.31067961165048541</v>
      </c>
      <c r="O4" s="8">
        <f t="shared" si="0"/>
        <v>0.20673076923076922</v>
      </c>
      <c r="P4" s="8">
        <f t="shared" si="0"/>
        <v>0.2857142857142857</v>
      </c>
    </row>
    <row r="5" spans="1:16" x14ac:dyDescent="0.3">
      <c r="A5" s="8" t="s">
        <v>34</v>
      </c>
      <c r="B5" s="8">
        <v>0.31062249793723068</v>
      </c>
      <c r="C5" s="8">
        <v>0.29729729729729731</v>
      </c>
      <c r="D5" s="8">
        <v>0.28333333333333333</v>
      </c>
      <c r="E5" s="8">
        <v>0.29411764705882354</v>
      </c>
      <c r="F5" s="8">
        <v>0.21359223300970873</v>
      </c>
      <c r="G5" s="8">
        <v>0.19711538461538461</v>
      </c>
      <c r="H5" s="8">
        <v>0.29365079365079366</v>
      </c>
      <c r="I5" s="8">
        <v>0.59328301194878219</v>
      </c>
      <c r="J5" s="8">
        <f t="shared" si="0"/>
        <v>0.59328301194878219</v>
      </c>
      <c r="K5" s="8">
        <f t="shared" si="0"/>
        <v>0.55405405405405417</v>
      </c>
      <c r="L5" s="8">
        <f t="shared" si="0"/>
        <v>0.43333333333333335</v>
      </c>
      <c r="M5" s="8">
        <f t="shared" si="0"/>
        <v>0.5</v>
      </c>
      <c r="N5" s="8">
        <f t="shared" si="0"/>
        <v>0.52427184466019416</v>
      </c>
      <c r="O5" s="8">
        <f t="shared" si="0"/>
        <v>0.40384615384615385</v>
      </c>
      <c r="P5" s="8">
        <f t="shared" si="0"/>
        <v>0.57936507936507931</v>
      </c>
    </row>
    <row r="6" spans="1:16" x14ac:dyDescent="0.3">
      <c r="A6" s="8" t="s">
        <v>36</v>
      </c>
      <c r="B6" s="8">
        <v>0.40671698805121781</v>
      </c>
      <c r="C6" s="8">
        <v>0.44594594594594594</v>
      </c>
      <c r="D6" s="8">
        <v>0.56666666666666665</v>
      </c>
      <c r="E6" s="8">
        <v>0.5</v>
      </c>
      <c r="F6" s="8">
        <v>0.47572815533980584</v>
      </c>
      <c r="G6" s="8">
        <v>0.59615384615384615</v>
      </c>
      <c r="H6" s="8">
        <v>0.42063492063492064</v>
      </c>
      <c r="I6" s="8">
        <v>1</v>
      </c>
      <c r="J6" s="8">
        <f t="shared" si="0"/>
        <v>1</v>
      </c>
      <c r="K6" s="8">
        <f t="shared" si="0"/>
        <v>1</v>
      </c>
      <c r="L6" s="8">
        <f t="shared" si="0"/>
        <v>1</v>
      </c>
      <c r="M6" s="8">
        <f t="shared" si="0"/>
        <v>1</v>
      </c>
      <c r="N6" s="8">
        <f t="shared" si="0"/>
        <v>1</v>
      </c>
      <c r="O6" s="8">
        <f t="shared" si="0"/>
        <v>1</v>
      </c>
      <c r="P6" s="8">
        <f t="shared" si="0"/>
        <v>1</v>
      </c>
    </row>
    <row r="8" spans="1:16" ht="28.8" x14ac:dyDescent="0.3">
      <c r="B8" s="1" t="s">
        <v>53</v>
      </c>
      <c r="C8" s="3" t="s">
        <v>61</v>
      </c>
      <c r="D8" s="3" t="s">
        <v>62</v>
      </c>
      <c r="E8" s="3" t="s">
        <v>63</v>
      </c>
      <c r="F8" s="3" t="s">
        <v>64</v>
      </c>
      <c r="G8" s="3" t="s">
        <v>65</v>
      </c>
      <c r="H8" s="3" t="s">
        <v>66</v>
      </c>
      <c r="J8" s="7"/>
      <c r="K8" s="9" t="s">
        <v>67</v>
      </c>
      <c r="L8" s="9" t="s">
        <v>68</v>
      </c>
      <c r="M8" s="9" t="s">
        <v>69</v>
      </c>
      <c r="N8" s="9" t="s">
        <v>70</v>
      </c>
      <c r="O8" s="9" t="s">
        <v>71</v>
      </c>
      <c r="P8" s="9" t="s">
        <v>72</v>
      </c>
    </row>
    <row r="9" spans="1:16" x14ac:dyDescent="0.3">
      <c r="B9" s="8" t="s">
        <v>37</v>
      </c>
      <c r="C9" s="8">
        <f>C2-B2</f>
        <v>2.367022616541304E-2</v>
      </c>
      <c r="D9" s="8">
        <f>D2-B2</f>
        <v>-3.0383827888641017E-2</v>
      </c>
      <c r="E9" s="8">
        <f>E2-B2</f>
        <v>-3.0383827888641017E-2</v>
      </c>
      <c r="F9" s="8">
        <f>F2-B2</f>
        <v>-1.0966352160485679E-2</v>
      </c>
      <c r="G9" s="8">
        <f>G2-B2</f>
        <v>-2.5576135580948709E-2</v>
      </c>
      <c r="H9" s="8">
        <f>H2-B2</f>
        <v>-2.2447319952133081E-2</v>
      </c>
      <c r="J9" s="8" t="s">
        <v>37</v>
      </c>
      <c r="K9" s="7">
        <f>(J2-0) * ((K2+0))</f>
        <v>1.6423690750616768E-3</v>
      </c>
      <c r="L9" s="7">
        <f>(J2-0) * ((L2+0))</f>
        <v>0</v>
      </c>
      <c r="M9" s="7">
        <f>(J2-0) * ((M2+0))</f>
        <v>0</v>
      </c>
      <c r="N9" s="7">
        <f>(J2-0) * ((N2+0))</f>
        <v>5.899772405561362E-4</v>
      </c>
      <c r="O9" s="7">
        <f>(J2-0) * ((O2+0))</f>
        <v>1.4607609561846643E-4</v>
      </c>
      <c r="P9" s="7">
        <f>(J2-0) * ((P2+0))</f>
        <v>2.4114149117969059E-4</v>
      </c>
    </row>
    <row r="10" spans="1:16" x14ac:dyDescent="0.3">
      <c r="B10" s="8" t="s">
        <v>35</v>
      </c>
      <c r="C10" s="8">
        <f t="shared" ref="C10:C13" si="1">C3-B3</f>
        <v>-3.3753017755095802E-2</v>
      </c>
      <c r="D10" s="8">
        <f t="shared" ref="D10:D13" si="2">D3-B3</f>
        <v>-1.7086351088429135E-2</v>
      </c>
      <c r="E10" s="8">
        <f t="shared" ref="E10:E13" si="3">E3-B3</f>
        <v>-4.3412530492134491E-3</v>
      </c>
      <c r="F10" s="8">
        <f t="shared" ref="F10:F13" si="4">F3-B3</f>
        <v>4.3916885157525551E-2</v>
      </c>
      <c r="G10" s="8">
        <f t="shared" ref="G10:G13" si="5">G3-B3</f>
        <v>4.797775147567343E-2</v>
      </c>
      <c r="H10" s="8">
        <f t="shared" ref="H10:H13" si="6">H3-B3</f>
        <v>-1.7880001882079929E-2</v>
      </c>
      <c r="J10" s="8" t="s">
        <v>35</v>
      </c>
      <c r="K10" s="7">
        <f>(J3-J2) * ((K3+K2))</f>
        <v>3.6489748924427886E-3</v>
      </c>
      <c r="L10" s="7">
        <f>(J3-J2) * ((L3+L2))</f>
        <v>5.6255029591826319E-4</v>
      </c>
      <c r="M10" s="7">
        <f>(J3-J2) * ((M3+M2))</f>
        <v>9.9273581632634681E-4</v>
      </c>
      <c r="N10" s="7">
        <f>(J3-J2) * ((N3+N2))</f>
        <v>3.9323904180694124E-3</v>
      </c>
      <c r="O10" s="7">
        <f>(J3-J2) * ((O3+O2))</f>
        <v>3.0832083526289426E-3</v>
      </c>
      <c r="P10" s="7">
        <f>(J3-J2) * ((P3+P2))</f>
        <v>1.0715243731776443E-3</v>
      </c>
    </row>
    <row r="11" spans="1:16" x14ac:dyDescent="0.3">
      <c r="B11" s="8" t="s">
        <v>38</v>
      </c>
      <c r="C11" s="8">
        <f t="shared" si="1"/>
        <v>-1.5820965665111986E-2</v>
      </c>
      <c r="D11" s="8">
        <f t="shared" si="2"/>
        <v>-8.5190335034481368E-2</v>
      </c>
      <c r="E11" s="8">
        <f t="shared" si="3"/>
        <v>-4.2053080132520571E-2</v>
      </c>
      <c r="F11" s="8">
        <f t="shared" si="4"/>
        <v>-4.9314353581059733E-3</v>
      </c>
      <c r="G11" s="8">
        <f t="shared" si="5"/>
        <v>-9.8331360675507004E-2</v>
      </c>
      <c r="H11" s="8">
        <f t="shared" si="6"/>
        <v>4.3381093536947218E-2</v>
      </c>
      <c r="J11" s="8" t="s">
        <v>38</v>
      </c>
      <c r="K11" s="7">
        <f t="shared" ref="K11:K13" si="7">(J4-J3) * ((K4+K3))</f>
        <v>6.7919518546753224E-2</v>
      </c>
      <c r="L11" s="7">
        <f t="shared" ref="L11:L13" si="8">(J4-J3) * ((L4+L3))</f>
        <v>3.6420611394635781E-2</v>
      </c>
      <c r="M11" s="7">
        <f t="shared" ref="M11:M13" si="9">(J4-J3) * ((M4+M3))</f>
        <v>5.1417333733603465E-2</v>
      </c>
      <c r="N11" s="7">
        <f t="shared" ref="N11:N13" si="10">(J4-J3) * ((N4+N3))</f>
        <v>8.9106738557749671E-2</v>
      </c>
      <c r="O11" s="7">
        <f t="shared" ref="O11:O13" si="11">(J4-J3) * ((O4+O3))</f>
        <v>6.4086268127099499E-2</v>
      </c>
      <c r="P11" s="7">
        <f t="shared" ref="P11:P13" si="12">(J4-J3) * ((P4+P3))</f>
        <v>6.7638278304323604E-2</v>
      </c>
    </row>
    <row r="12" spans="1:16" x14ac:dyDescent="0.3">
      <c r="B12" s="8" t="s">
        <v>34</v>
      </c>
      <c r="C12" s="8">
        <f t="shared" si="1"/>
        <v>-1.3325200639933366E-2</v>
      </c>
      <c r="D12" s="8">
        <f t="shared" si="2"/>
        <v>-2.7289164603897353E-2</v>
      </c>
      <c r="E12" s="8">
        <f t="shared" si="3"/>
        <v>-1.650485087840714E-2</v>
      </c>
      <c r="F12" s="8">
        <f t="shared" si="4"/>
        <v>-9.7030264927521953E-2</v>
      </c>
      <c r="G12" s="8">
        <f t="shared" si="5"/>
        <v>-0.11350711332184607</v>
      </c>
      <c r="H12" s="8">
        <f t="shared" si="6"/>
        <v>-1.6971704286437017E-2</v>
      </c>
      <c r="J12" s="8" t="s">
        <v>34</v>
      </c>
      <c r="K12" s="7">
        <f t="shared" si="7"/>
        <v>0.25185607940856547</v>
      </c>
      <c r="L12" s="7">
        <f t="shared" si="8"/>
        <v>0.18119645713005125</v>
      </c>
      <c r="M12" s="7">
        <f t="shared" si="9"/>
        <v>0.21926293972039815</v>
      </c>
      <c r="N12" s="7">
        <f t="shared" si="10"/>
        <v>0.2593547070155518</v>
      </c>
      <c r="O12" s="7">
        <f t="shared" si="11"/>
        <v>0.18965892902898221</v>
      </c>
      <c r="P12" s="7">
        <f t="shared" si="12"/>
        <v>0.26871311329490588</v>
      </c>
    </row>
    <row r="13" spans="1:16" x14ac:dyDescent="0.3">
      <c r="B13" s="8" t="s">
        <v>36</v>
      </c>
      <c r="C13" s="8">
        <f t="shared" si="1"/>
        <v>3.9228957894728134E-2</v>
      </c>
      <c r="D13" s="8">
        <f t="shared" si="2"/>
        <v>0.15994967861544884</v>
      </c>
      <c r="E13" s="8">
        <f t="shared" si="3"/>
        <v>9.3283011948782191E-2</v>
      </c>
      <c r="F13" s="8">
        <f t="shared" si="4"/>
        <v>6.9011167288588027E-2</v>
      </c>
      <c r="G13" s="8">
        <f t="shared" si="5"/>
        <v>0.18943685810262834</v>
      </c>
      <c r="H13" s="8">
        <f t="shared" si="6"/>
        <v>1.391793258370283E-2</v>
      </c>
      <c r="J13" s="8" t="s">
        <v>36</v>
      </c>
      <c r="K13" s="7">
        <f t="shared" si="7"/>
        <v>0.63206018413364939</v>
      </c>
      <c r="L13" s="7">
        <f t="shared" si="8"/>
        <v>0.58296101620674556</v>
      </c>
      <c r="M13" s="7">
        <f t="shared" si="9"/>
        <v>0.61007548207682671</v>
      </c>
      <c r="N13" s="7">
        <f t="shared" si="10"/>
        <v>0.61994725363146796</v>
      </c>
      <c r="O13" s="7">
        <f t="shared" si="11"/>
        <v>0.57096807937959415</v>
      </c>
      <c r="P13" s="7">
        <f t="shared" si="12"/>
        <v>0.64235460811263767</v>
      </c>
    </row>
    <row r="14" spans="1:16" x14ac:dyDescent="0.3">
      <c r="J14" s="9" t="s">
        <v>73</v>
      </c>
      <c r="K14" s="9">
        <f>SUM(K9:K13)</f>
        <v>0.95712712605647254</v>
      </c>
      <c r="L14" s="9">
        <f t="shared" ref="L14:P14" si="13">SUM(L9:L13)</f>
        <v>0.80114063502735089</v>
      </c>
      <c r="M14" s="9">
        <f t="shared" si="13"/>
        <v>0.88174849134715472</v>
      </c>
      <c r="N14" s="9">
        <f t="shared" si="13"/>
        <v>0.97293106686339503</v>
      </c>
      <c r="O14" s="9">
        <f t="shared" si="13"/>
        <v>0.82794256098392327</v>
      </c>
      <c r="P14" s="9">
        <f t="shared" si="13"/>
        <v>0.98001866557622452</v>
      </c>
    </row>
    <row r="15" spans="1:16" x14ac:dyDescent="0.3">
      <c r="J15" s="12" t="s">
        <v>74</v>
      </c>
      <c r="K15" s="12">
        <f>1-K14</f>
        <v>4.2872873943527456E-2</v>
      </c>
      <c r="L15" s="12">
        <f t="shared" ref="L15:P15" si="14">1-L14</f>
        <v>0.19885936497264911</v>
      </c>
      <c r="M15" s="12">
        <f t="shared" si="14"/>
        <v>0.11825150865284528</v>
      </c>
      <c r="N15" s="12">
        <f t="shared" si="14"/>
        <v>2.7068933136604967E-2</v>
      </c>
      <c r="O15" s="12">
        <f t="shared" si="14"/>
        <v>0.17205743901607673</v>
      </c>
      <c r="P15" s="12">
        <f t="shared" si="14"/>
        <v>1.9981334423775476E-2</v>
      </c>
    </row>
  </sheetData>
  <sortState xmlns:xlrd2="http://schemas.microsoft.com/office/spreadsheetml/2017/richdata2" ref="A2:P7">
    <sortCondition ref="B1:B7"/>
  </sortState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4563F-6F4F-4146-A752-3F596C4A9F5C}">
  <dimension ref="A1:P17"/>
  <sheetViews>
    <sheetView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44</v>
      </c>
      <c r="B2" s="8">
        <v>6.1128894479437527E-2</v>
      </c>
      <c r="C2" s="8">
        <v>0.08</v>
      </c>
      <c r="D2" s="8">
        <v>6.25E-2</v>
      </c>
      <c r="E2" s="8">
        <v>8.2191780821917804E-2</v>
      </c>
      <c r="F2" s="8">
        <v>5.921052631578947E-2</v>
      </c>
      <c r="G2" s="8">
        <v>5.6910569105691054E-2</v>
      </c>
      <c r="H2" s="8">
        <v>7.9365079365079361E-2</v>
      </c>
      <c r="I2" s="8">
        <v>6.1128894479437527E-2</v>
      </c>
      <c r="J2" s="8">
        <v>6.1128894479437527E-2</v>
      </c>
      <c r="K2" s="8">
        <v>0.08</v>
      </c>
      <c r="L2" s="8">
        <v>6.25E-2</v>
      </c>
      <c r="M2" s="8">
        <v>8.2191780821917804E-2</v>
      </c>
      <c r="N2" s="8">
        <v>5.921052631578947E-2</v>
      </c>
      <c r="O2" s="8">
        <v>5.6910569105691054E-2</v>
      </c>
      <c r="P2" s="8">
        <v>7.9365079365079361E-2</v>
      </c>
    </row>
    <row r="3" spans="1:16" x14ac:dyDescent="0.3">
      <c r="A3" s="8" t="s">
        <v>42</v>
      </c>
      <c r="B3" s="8">
        <v>7.5387922537524993E-2</v>
      </c>
      <c r="C3" s="8">
        <v>0.04</v>
      </c>
      <c r="D3" s="8">
        <v>0.1</v>
      </c>
      <c r="E3" s="8">
        <v>8.2191780821917804E-2</v>
      </c>
      <c r="F3" s="8">
        <v>7.2368421052631582E-2</v>
      </c>
      <c r="G3" s="8">
        <v>1.6260162601626018E-2</v>
      </c>
      <c r="H3" s="8">
        <v>1.5873015873015872E-2</v>
      </c>
      <c r="I3" s="8">
        <v>0.13651681701696253</v>
      </c>
      <c r="J3" s="8">
        <f t="shared" ref="J3:P7" si="0">J2+B3</f>
        <v>0.13651681701696253</v>
      </c>
      <c r="K3" s="8">
        <f t="shared" si="0"/>
        <v>0.12</v>
      </c>
      <c r="L3" s="8">
        <f t="shared" si="0"/>
        <v>0.16250000000000001</v>
      </c>
      <c r="M3" s="8">
        <f t="shared" si="0"/>
        <v>0.16438356164383561</v>
      </c>
      <c r="N3" s="8">
        <f t="shared" si="0"/>
        <v>0.13157894736842105</v>
      </c>
      <c r="O3" s="8">
        <f t="shared" si="0"/>
        <v>7.3170731707317069E-2</v>
      </c>
      <c r="P3" s="8">
        <f t="shared" si="0"/>
        <v>9.5238095238095233E-2</v>
      </c>
    </row>
    <row r="4" spans="1:16" x14ac:dyDescent="0.3">
      <c r="A4" s="8" t="s">
        <v>39</v>
      </c>
      <c r="B4" s="8">
        <v>0.10838363262585775</v>
      </c>
      <c r="C4" s="8">
        <v>0.13600000000000001</v>
      </c>
      <c r="D4" s="8">
        <v>7.4999999999999997E-2</v>
      </c>
      <c r="E4" s="8">
        <v>0.1095890410958904</v>
      </c>
      <c r="F4" s="8">
        <v>6.5789473684210523E-2</v>
      </c>
      <c r="G4" s="8">
        <v>8.943089430894309E-2</v>
      </c>
      <c r="H4" s="8">
        <v>0.14285714285714285</v>
      </c>
      <c r="I4" s="8">
        <v>0.24490044964282026</v>
      </c>
      <c r="J4" s="8">
        <f t="shared" si="0"/>
        <v>0.24490044964282026</v>
      </c>
      <c r="K4" s="8">
        <f t="shared" si="0"/>
        <v>0.25600000000000001</v>
      </c>
      <c r="L4" s="8">
        <f t="shared" si="0"/>
        <v>0.23749999999999999</v>
      </c>
      <c r="M4" s="8">
        <f t="shared" si="0"/>
        <v>0.27397260273972601</v>
      </c>
      <c r="N4" s="8">
        <f t="shared" si="0"/>
        <v>0.19736842105263158</v>
      </c>
      <c r="O4" s="8">
        <f t="shared" si="0"/>
        <v>0.16260162601626016</v>
      </c>
      <c r="P4" s="8">
        <f t="shared" si="0"/>
        <v>0.23809523809523808</v>
      </c>
    </row>
    <row r="5" spans="1:16" x14ac:dyDescent="0.3">
      <c r="A5" s="8" t="s">
        <v>43</v>
      </c>
      <c r="B5" s="8">
        <v>0.17551089374724255</v>
      </c>
      <c r="C5" s="8">
        <v>0.184</v>
      </c>
      <c r="D5" s="8">
        <v>0.23749999999999999</v>
      </c>
      <c r="E5" s="8">
        <v>0.23287671232876711</v>
      </c>
      <c r="F5" s="8">
        <v>0.52631578947368418</v>
      </c>
      <c r="G5" s="8">
        <v>0.34146341463414637</v>
      </c>
      <c r="H5" s="8">
        <v>0.23809523809523808</v>
      </c>
      <c r="I5" s="8">
        <v>0.42041134339006281</v>
      </c>
      <c r="J5" s="8">
        <f t="shared" si="0"/>
        <v>0.42041134339006281</v>
      </c>
      <c r="K5" s="8">
        <f t="shared" si="0"/>
        <v>0.44</v>
      </c>
      <c r="L5" s="8">
        <f t="shared" si="0"/>
        <v>0.47499999999999998</v>
      </c>
      <c r="M5" s="8">
        <f t="shared" si="0"/>
        <v>0.50684931506849318</v>
      </c>
      <c r="N5" s="8">
        <f t="shared" si="0"/>
        <v>0.72368421052631571</v>
      </c>
      <c r="O5" s="8">
        <f t="shared" si="0"/>
        <v>0.50406504065040658</v>
      </c>
      <c r="P5" s="8">
        <f t="shared" si="0"/>
        <v>0.47619047619047616</v>
      </c>
    </row>
    <row r="6" spans="1:16" x14ac:dyDescent="0.3">
      <c r="A6" s="8" t="s">
        <v>40</v>
      </c>
      <c r="B6" s="8">
        <v>0.18545184879234763</v>
      </c>
      <c r="C6" s="8">
        <v>0.17599999999999999</v>
      </c>
      <c r="D6" s="8">
        <v>0.15</v>
      </c>
      <c r="E6" s="8">
        <v>0.23287671232876711</v>
      </c>
      <c r="F6" s="8">
        <v>9.2105263157894732E-2</v>
      </c>
      <c r="G6" s="8">
        <v>0.13008130081300814</v>
      </c>
      <c r="H6" s="8">
        <v>7.9365079365079361E-2</v>
      </c>
      <c r="I6" s="8">
        <v>0.60586319218241047</v>
      </c>
      <c r="J6" s="8">
        <f t="shared" si="0"/>
        <v>0.60586319218241047</v>
      </c>
      <c r="K6" s="8">
        <f t="shared" si="0"/>
        <v>0.61599999999999999</v>
      </c>
      <c r="L6" s="8">
        <f t="shared" si="0"/>
        <v>0.625</v>
      </c>
      <c r="M6" s="8">
        <f t="shared" si="0"/>
        <v>0.73972602739726034</v>
      </c>
      <c r="N6" s="8">
        <f t="shared" si="0"/>
        <v>0.8157894736842104</v>
      </c>
      <c r="O6" s="8">
        <f t="shared" si="0"/>
        <v>0.63414634146341475</v>
      </c>
      <c r="P6" s="8">
        <f t="shared" si="0"/>
        <v>0.55555555555555558</v>
      </c>
    </row>
    <row r="7" spans="1:16" x14ac:dyDescent="0.3">
      <c r="A7" s="8" t="s">
        <v>41</v>
      </c>
      <c r="B7" s="8">
        <v>0.39413680781758959</v>
      </c>
      <c r="C7" s="8">
        <v>0.38400000000000001</v>
      </c>
      <c r="D7" s="8">
        <v>0.375</v>
      </c>
      <c r="E7" s="8">
        <v>0.26027397260273971</v>
      </c>
      <c r="F7" s="8">
        <v>0.18421052631578946</v>
      </c>
      <c r="G7" s="8">
        <v>0.36585365853658536</v>
      </c>
      <c r="H7" s="8">
        <v>0.44444444444444442</v>
      </c>
      <c r="I7" s="8">
        <v>1</v>
      </c>
      <c r="J7" s="8">
        <f t="shared" si="0"/>
        <v>1</v>
      </c>
      <c r="K7" s="8">
        <f t="shared" si="0"/>
        <v>1</v>
      </c>
      <c r="L7" s="8">
        <f t="shared" si="0"/>
        <v>1</v>
      </c>
      <c r="M7" s="8">
        <f t="shared" si="0"/>
        <v>1</v>
      </c>
      <c r="N7" s="8">
        <f t="shared" si="0"/>
        <v>0.99999999999999989</v>
      </c>
      <c r="O7" s="8">
        <f t="shared" si="0"/>
        <v>1</v>
      </c>
      <c r="P7" s="8">
        <f t="shared" si="0"/>
        <v>1</v>
      </c>
    </row>
    <row r="9" spans="1:16" ht="28.8" x14ac:dyDescent="0.3">
      <c r="B9" s="1" t="s">
        <v>53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66</v>
      </c>
      <c r="J9" s="1" t="s">
        <v>53</v>
      </c>
      <c r="K9" s="9" t="s">
        <v>67</v>
      </c>
      <c r="L9" s="9" t="s">
        <v>68</v>
      </c>
      <c r="M9" s="9" t="s">
        <v>69</v>
      </c>
      <c r="N9" s="9" t="s">
        <v>70</v>
      </c>
      <c r="O9" s="9" t="s">
        <v>71</v>
      </c>
      <c r="P9" s="9" t="s">
        <v>72</v>
      </c>
    </row>
    <row r="10" spans="1:16" x14ac:dyDescent="0.3">
      <c r="B10" s="8" t="s">
        <v>44</v>
      </c>
      <c r="C10" s="8">
        <f>C2-B2</f>
        <v>1.8871105520562474E-2</v>
      </c>
      <c r="D10" s="8">
        <f>D2-B2</f>
        <v>1.3711055205624725E-3</v>
      </c>
      <c r="E10" s="8">
        <f>E2-B2</f>
        <v>2.1062886342480276E-2</v>
      </c>
      <c r="F10" s="8">
        <f>F2-B2</f>
        <v>-1.9183681636480571E-3</v>
      </c>
      <c r="G10" s="8">
        <f>G2-B2</f>
        <v>-4.2183253737464732E-3</v>
      </c>
      <c r="H10" s="8">
        <f>H2-B2</f>
        <v>1.8236184885641833E-2</v>
      </c>
      <c r="J10" s="8" t="s">
        <v>44</v>
      </c>
      <c r="K10" s="7">
        <f>(J2-0) * ((K2+0))</f>
        <v>4.8903115583550025E-3</v>
      </c>
      <c r="L10" s="7">
        <f>(J2-0) * ((L2+0))</f>
        <v>3.8205559049648455E-3</v>
      </c>
      <c r="M10" s="7">
        <f>(J2-0) * ((M2+0))</f>
        <v>5.0242926969400704E-3</v>
      </c>
      <c r="N10" s="7">
        <f>(J2-0) * ((N2+0))</f>
        <v>3.6194740152298535E-3</v>
      </c>
      <c r="O10" s="7">
        <f>(J2-0) * ((O2+0))</f>
        <v>3.4788801736265257E-3</v>
      </c>
      <c r="P10" s="7">
        <f>(J2-0) * ((P2+0))</f>
        <v>4.8514995618601214E-3</v>
      </c>
    </row>
    <row r="11" spans="1:16" x14ac:dyDescent="0.3">
      <c r="B11" s="8" t="s">
        <v>42</v>
      </c>
      <c r="C11" s="8">
        <f t="shared" ref="C11:C15" si="1">C3-B3</f>
        <v>-3.5387922537524992E-2</v>
      </c>
      <c r="D11" s="8">
        <f t="shared" ref="D11:D15" si="2">D3-B3</f>
        <v>2.4612077462475013E-2</v>
      </c>
      <c r="E11" s="8">
        <f t="shared" ref="E11:E15" si="3">E3-B3</f>
        <v>6.8038582843928108E-3</v>
      </c>
      <c r="F11" s="8">
        <f t="shared" ref="F11:F15" si="4">F3-B3</f>
        <v>-3.019501484893411E-3</v>
      </c>
      <c r="G11" s="8">
        <f t="shared" ref="G11:G15" si="5">G3-B3</f>
        <v>-5.9127759935898971E-2</v>
      </c>
      <c r="H11" s="8">
        <f t="shared" ref="H11:H15" si="6">H3-B3</f>
        <v>-5.9514906664509121E-2</v>
      </c>
      <c r="J11" s="8" t="s">
        <v>42</v>
      </c>
      <c r="K11" s="7">
        <f>(J3-J2) * ((K3+K2))</f>
        <v>1.5077584507505E-2</v>
      </c>
      <c r="L11" s="7">
        <f>(J3-J2) * ((L3+L2))</f>
        <v>1.6962282570943125E-2</v>
      </c>
      <c r="M11" s="7">
        <f>(J3-J2) * ((M3+M2))</f>
        <v>1.8588802817471915E-2</v>
      </c>
      <c r="N11" s="7">
        <f>(J3-J2) * ((N3+N2))</f>
        <v>1.4383222063080426E-2</v>
      </c>
      <c r="O11" s="7">
        <f>(J3-J2) * ((O3+O2))</f>
        <v>9.8065590292715429E-3</v>
      </c>
      <c r="P11" s="7">
        <f>(J3-J2) * ((P3+P2))</f>
        <v>1.3162970601790077E-2</v>
      </c>
    </row>
    <row r="12" spans="1:16" x14ac:dyDescent="0.3">
      <c r="B12" s="8" t="s">
        <v>39</v>
      </c>
      <c r="C12" s="8">
        <f t="shared" si="1"/>
        <v>2.7616367374142262E-2</v>
      </c>
      <c r="D12" s="8">
        <f t="shared" si="2"/>
        <v>-3.3383632625857751E-2</v>
      </c>
      <c r="E12" s="8">
        <f t="shared" si="3"/>
        <v>1.2054084700326567E-3</v>
      </c>
      <c r="F12" s="8">
        <f t="shared" si="4"/>
        <v>-4.2594158941647225E-2</v>
      </c>
      <c r="G12" s="8">
        <f t="shared" si="5"/>
        <v>-1.8952738316914658E-2</v>
      </c>
      <c r="H12" s="8">
        <f t="shared" si="6"/>
        <v>3.4473510231285101E-2</v>
      </c>
      <c r="J12" s="8" t="s">
        <v>39</v>
      </c>
      <c r="K12" s="7">
        <f t="shared" ref="K12:K15" si="7">(J4-J3) * ((K4+K3))</f>
        <v>4.0752245867322505E-2</v>
      </c>
      <c r="L12" s="7">
        <f t="shared" ref="L12:L15" si="8">(J4-J3) * ((L4+L3))</f>
        <v>4.3353453050343098E-2</v>
      </c>
      <c r="M12" s="7">
        <f t="shared" ref="M12:M15" si="9">(J4-J3) * ((M4+M3))</f>
        <v>4.7510633479828042E-2</v>
      </c>
      <c r="N12" s="7">
        <f t="shared" ref="N12:N15" si="10">(J4-J3) * ((N4+N3))</f>
        <v>3.565251073219005E-2</v>
      </c>
      <c r="O12" s="7">
        <f t="shared" ref="O12:O15" si="11">(J4-J3) * ((O4+O3))</f>
        <v>2.5553864602844506E-2</v>
      </c>
      <c r="P12" s="7">
        <f t="shared" ref="P12:P15" si="12">(J4-J3) * ((P4+P3))</f>
        <v>3.6127877541952576E-2</v>
      </c>
    </row>
    <row r="13" spans="1:16" x14ac:dyDescent="0.3">
      <c r="B13" s="8" t="s">
        <v>43</v>
      </c>
      <c r="C13" s="8">
        <f t="shared" si="1"/>
        <v>8.4891062527574501E-3</v>
      </c>
      <c r="D13" s="8">
        <f t="shared" si="2"/>
        <v>6.1989106252757442E-2</v>
      </c>
      <c r="E13" s="8">
        <f t="shared" si="3"/>
        <v>5.7365818581524564E-2</v>
      </c>
      <c r="F13" s="8">
        <f t="shared" si="4"/>
        <v>0.35080489572644163</v>
      </c>
      <c r="G13" s="8">
        <f t="shared" si="5"/>
        <v>0.16595252088690382</v>
      </c>
      <c r="H13" s="8">
        <f t="shared" si="6"/>
        <v>6.2584344347995535E-2</v>
      </c>
      <c r="J13" s="8" t="s">
        <v>43</v>
      </c>
      <c r="K13" s="7">
        <f t="shared" si="7"/>
        <v>0.1221555820480808</v>
      </c>
      <c r="L13" s="7">
        <f t="shared" si="8"/>
        <v>0.12505151179491031</v>
      </c>
      <c r="M13" s="7">
        <f t="shared" si="9"/>
        <v>0.13704275265195651</v>
      </c>
      <c r="N13" s="7">
        <f t="shared" si="10"/>
        <v>0.16165477055667077</v>
      </c>
      <c r="O13" s="7">
        <f t="shared" si="11"/>
        <v>0.11700726249816171</v>
      </c>
      <c r="P13" s="7">
        <f t="shared" si="12"/>
        <v>0.12536492410517322</v>
      </c>
    </row>
    <row r="14" spans="1:16" x14ac:dyDescent="0.3">
      <c r="B14" s="8" t="s">
        <v>40</v>
      </c>
      <c r="C14" s="8">
        <f t="shared" si="1"/>
        <v>-9.4518487923476446E-3</v>
      </c>
      <c r="D14" s="8">
        <f t="shared" si="2"/>
        <v>-3.545184879234764E-2</v>
      </c>
      <c r="E14" s="8">
        <f t="shared" si="3"/>
        <v>4.7424863536419476E-2</v>
      </c>
      <c r="F14" s="8">
        <f t="shared" si="4"/>
        <v>-9.3346585634452903E-2</v>
      </c>
      <c r="G14" s="8">
        <f t="shared" si="5"/>
        <v>-5.5370547979339491E-2</v>
      </c>
      <c r="H14" s="8">
        <f t="shared" si="6"/>
        <v>-0.10608676942726827</v>
      </c>
      <c r="J14" s="8" t="s">
        <v>40</v>
      </c>
      <c r="K14" s="7">
        <f t="shared" si="7"/>
        <v>0.19583715232471913</v>
      </c>
      <c r="L14" s="7">
        <f t="shared" si="8"/>
        <v>0.20399703367158245</v>
      </c>
      <c r="M14" s="7">
        <f t="shared" si="9"/>
        <v>0.23117970191922793</v>
      </c>
      <c r="N14" s="7">
        <f t="shared" si="10"/>
        <v>0.28549824090400888</v>
      </c>
      <c r="O14" s="7">
        <f t="shared" si="11"/>
        <v>0.21108340512950144</v>
      </c>
      <c r="P14" s="7">
        <f t="shared" si="12"/>
        <v>0.19133920907146978</v>
      </c>
    </row>
    <row r="15" spans="1:16" x14ac:dyDescent="0.3">
      <c r="B15" s="8" t="s">
        <v>41</v>
      </c>
      <c r="C15" s="8">
        <f t="shared" si="1"/>
        <v>-1.0136807817589577E-2</v>
      </c>
      <c r="D15" s="8">
        <f t="shared" si="2"/>
        <v>-1.9136807817589585E-2</v>
      </c>
      <c r="E15" s="8">
        <f t="shared" si="3"/>
        <v>-0.13386283521484987</v>
      </c>
      <c r="F15" s="8">
        <f t="shared" si="4"/>
        <v>-0.20992628150180012</v>
      </c>
      <c r="G15" s="8">
        <f t="shared" si="5"/>
        <v>-2.8283149281004227E-2</v>
      </c>
      <c r="H15" s="8">
        <f t="shared" si="6"/>
        <v>5.0307636626854835E-2</v>
      </c>
      <c r="J15" s="8" t="s">
        <v>41</v>
      </c>
      <c r="K15" s="7">
        <f t="shared" si="7"/>
        <v>0.63692508143322468</v>
      </c>
      <c r="L15" s="7">
        <f t="shared" si="8"/>
        <v>0.64047231270358296</v>
      </c>
      <c r="M15" s="7">
        <f t="shared" si="9"/>
        <v>0.68569006291553247</v>
      </c>
      <c r="N15" s="7">
        <f t="shared" si="10"/>
        <v>0.71566946682667554</v>
      </c>
      <c r="O15" s="7">
        <f t="shared" si="11"/>
        <v>0.64407722253118294</v>
      </c>
      <c r="P15" s="7">
        <f t="shared" si="12"/>
        <v>0.61310170104958372</v>
      </c>
    </row>
    <row r="16" spans="1:16" x14ac:dyDescent="0.3">
      <c r="J16" s="10" t="s">
        <v>73</v>
      </c>
      <c r="K16" s="9">
        <f>SUM(K10:K15)</f>
        <v>1.0156379577392072</v>
      </c>
      <c r="L16" s="9">
        <f t="shared" ref="L16:P16" si="13">SUM(L10:L15)</f>
        <v>1.0336571496963267</v>
      </c>
      <c r="M16" s="9">
        <f t="shared" si="13"/>
        <v>1.1250362464809569</v>
      </c>
      <c r="N16" s="9">
        <f t="shared" si="13"/>
        <v>1.2164776850978556</v>
      </c>
      <c r="O16" s="9">
        <f t="shared" si="13"/>
        <v>1.0110071939645886</v>
      </c>
      <c r="P16" s="9">
        <f t="shared" si="13"/>
        <v>0.98394818193182954</v>
      </c>
    </row>
    <row r="17" spans="10:16" x14ac:dyDescent="0.3">
      <c r="J17" s="11" t="s">
        <v>74</v>
      </c>
      <c r="K17" s="12">
        <f>1-K16</f>
        <v>-1.5637957739207176E-2</v>
      </c>
      <c r="L17" s="12">
        <f t="shared" ref="L17:P17" si="14">1-L16</f>
        <v>-3.3657149696326716E-2</v>
      </c>
      <c r="M17" s="12">
        <f t="shared" si="14"/>
        <v>-0.1250362464809569</v>
      </c>
      <c r="N17" s="12">
        <f t="shared" si="14"/>
        <v>-0.21647768509785559</v>
      </c>
      <c r="O17" s="12">
        <f t="shared" si="14"/>
        <v>-1.1007193964588602E-2</v>
      </c>
      <c r="P17" s="12">
        <f t="shared" si="14"/>
        <v>1.6051818068170465E-2</v>
      </c>
    </row>
  </sheetData>
  <sortState xmlns:xlrd2="http://schemas.microsoft.com/office/spreadsheetml/2017/richdata2" ref="A2:P8">
    <sortCondition ref="B1:B8"/>
  </sortState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FB57-3C55-456A-8F23-EF48DE100C9E}">
  <dimension ref="A1:P21"/>
  <sheetViews>
    <sheetView tabSelected="1" workbookViewId="0">
      <selection activeCell="J2" sqref="J2:P2"/>
    </sheetView>
  </sheetViews>
  <sheetFormatPr defaultRowHeight="14.4" x14ac:dyDescent="0.3"/>
  <sheetData>
    <row r="1" spans="1:16" ht="36.6" customHeight="1" x14ac:dyDescent="0.3">
      <c r="A1" s="1" t="s">
        <v>53</v>
      </c>
      <c r="B1" s="2" t="s">
        <v>54</v>
      </c>
      <c r="C1" s="3" t="s">
        <v>55</v>
      </c>
      <c r="D1" s="3" t="s">
        <v>56</v>
      </c>
      <c r="E1" s="3" t="s">
        <v>57</v>
      </c>
      <c r="F1" s="2" t="s">
        <v>58</v>
      </c>
      <c r="G1" s="3" t="s">
        <v>59</v>
      </c>
      <c r="H1" s="3" t="s">
        <v>60</v>
      </c>
      <c r="I1" s="4" t="s">
        <v>54</v>
      </c>
      <c r="J1" s="5" t="s">
        <v>54</v>
      </c>
      <c r="K1" s="6" t="s">
        <v>55</v>
      </c>
      <c r="L1" s="6" t="s">
        <v>56</v>
      </c>
      <c r="M1" s="6" t="s">
        <v>57</v>
      </c>
      <c r="N1" s="5" t="s">
        <v>58</v>
      </c>
      <c r="O1" s="6" t="s">
        <v>59</v>
      </c>
      <c r="P1" s="6" t="s">
        <v>60</v>
      </c>
    </row>
    <row r="2" spans="1:16" x14ac:dyDescent="0.3">
      <c r="A2" s="8" t="s">
        <v>50</v>
      </c>
      <c r="B2" s="8">
        <v>1.211030162519864E-2</v>
      </c>
      <c r="C2" s="8">
        <v>1.5789473684210527E-2</v>
      </c>
      <c r="D2" s="8">
        <v>1.5503875968992248E-2</v>
      </c>
      <c r="E2" s="8">
        <v>3.6842105263157891E-2</v>
      </c>
      <c r="F2" s="8">
        <v>1.1627906976744186E-2</v>
      </c>
      <c r="G2" s="8">
        <v>2.0618556701030928E-3</v>
      </c>
      <c r="H2" s="8">
        <v>1.6597510373443983E-2</v>
      </c>
      <c r="I2" s="8">
        <v>1.211030162519864E-2</v>
      </c>
      <c r="J2" s="8">
        <v>1.211030162519864E-2</v>
      </c>
      <c r="K2" s="8">
        <v>1.5789473684210527E-2</v>
      </c>
      <c r="L2" s="8">
        <v>1.5503875968992248E-2</v>
      </c>
      <c r="M2" s="8">
        <v>3.6842105263157891E-2</v>
      </c>
      <c r="N2" s="8">
        <v>1.1627906976744186E-2</v>
      </c>
      <c r="O2" s="8">
        <v>2.0618556701030928E-3</v>
      </c>
      <c r="P2" s="8">
        <v>1.6597510373443983E-2</v>
      </c>
    </row>
    <row r="3" spans="1:16" x14ac:dyDescent="0.3">
      <c r="A3" s="8" t="s">
        <v>48</v>
      </c>
      <c r="B3" s="8">
        <v>1.2367477602659277E-2</v>
      </c>
      <c r="C3" s="8">
        <v>7.8947368421052634E-3</v>
      </c>
      <c r="D3" s="8">
        <v>0</v>
      </c>
      <c r="E3" s="8">
        <v>5.263157894736842E-3</v>
      </c>
      <c r="F3" s="8">
        <v>3.3222591362126247E-3</v>
      </c>
      <c r="G3" s="8">
        <v>6.1855670103092781E-3</v>
      </c>
      <c r="H3" s="8">
        <v>8.2987551867219917E-3</v>
      </c>
      <c r="I3" s="8">
        <v>2.4477779227857918E-2</v>
      </c>
      <c r="J3" s="8">
        <f t="shared" ref="J3:P9" si="0">J2+B3</f>
        <v>2.4477779227857918E-2</v>
      </c>
      <c r="K3" s="8">
        <f t="shared" si="0"/>
        <v>2.368421052631579E-2</v>
      </c>
      <c r="L3" s="13">
        <f t="shared" si="0"/>
        <v>1.5503875968992248E-2</v>
      </c>
      <c r="M3" s="8">
        <f t="shared" si="0"/>
        <v>4.2105263157894736E-2</v>
      </c>
      <c r="N3" s="8">
        <f t="shared" si="0"/>
        <v>1.4950166112956811E-2</v>
      </c>
      <c r="O3" s="8">
        <f t="shared" si="0"/>
        <v>8.2474226804123713E-3</v>
      </c>
      <c r="P3" s="8">
        <f t="shared" si="0"/>
        <v>2.4896265560165977E-2</v>
      </c>
    </row>
    <row r="4" spans="1:16" x14ac:dyDescent="0.3">
      <c r="A4" s="8" t="s">
        <v>52</v>
      </c>
      <c r="B4" s="8">
        <v>1.9771842685070741E-2</v>
      </c>
      <c r="C4" s="8">
        <v>7.8947368421052634E-3</v>
      </c>
      <c r="D4" s="8">
        <v>0</v>
      </c>
      <c r="E4" s="8">
        <v>6.3157894736842107E-2</v>
      </c>
      <c r="F4" s="8">
        <v>1.1627906976744186E-2</v>
      </c>
      <c r="G4" s="8">
        <v>1.0309278350515464E-2</v>
      </c>
      <c r="H4" s="8">
        <v>1.6597510373443983E-2</v>
      </c>
      <c r="I4" s="8">
        <v>4.4249621912928659E-2</v>
      </c>
      <c r="J4" s="8">
        <f t="shared" si="0"/>
        <v>4.4249621912928659E-2</v>
      </c>
      <c r="K4" s="8">
        <f t="shared" si="0"/>
        <v>3.1578947368421054E-2</v>
      </c>
      <c r="L4" s="13">
        <f t="shared" si="0"/>
        <v>1.5503875968992248E-2</v>
      </c>
      <c r="M4" s="8">
        <f t="shared" si="0"/>
        <v>0.10526315789473684</v>
      </c>
      <c r="N4" s="8">
        <f t="shared" si="0"/>
        <v>2.6578073089700997E-2</v>
      </c>
      <c r="O4" s="8">
        <f t="shared" si="0"/>
        <v>1.8556701030927835E-2</v>
      </c>
      <c r="P4" s="8">
        <f t="shared" si="0"/>
        <v>4.1493775933609964E-2</v>
      </c>
    </row>
    <row r="5" spans="1:16" x14ac:dyDescent="0.3">
      <c r="A5" s="8" t="s">
        <v>46</v>
      </c>
      <c r="B5" s="8">
        <v>2.1334090786958491E-2</v>
      </c>
      <c r="C5" s="8">
        <v>7.8947368421052634E-3</v>
      </c>
      <c r="D5" s="8">
        <v>4.6511627906976744E-2</v>
      </c>
      <c r="E5" s="8">
        <v>1.5789473684210527E-2</v>
      </c>
      <c r="F5" s="8">
        <v>8.3056478405315621E-3</v>
      </c>
      <c r="G5" s="8">
        <v>1.0309278350515464E-2</v>
      </c>
      <c r="H5" s="8">
        <v>1.2448132780082987E-2</v>
      </c>
      <c r="I5" s="8">
        <v>6.5583712699887151E-2</v>
      </c>
      <c r="J5" s="8">
        <f t="shared" si="0"/>
        <v>6.5583712699887151E-2</v>
      </c>
      <c r="K5" s="8">
        <f t="shared" si="0"/>
        <v>3.9473684210526314E-2</v>
      </c>
      <c r="L5" s="13">
        <f t="shared" si="0"/>
        <v>6.2015503875968991E-2</v>
      </c>
      <c r="M5" s="8">
        <f t="shared" si="0"/>
        <v>0.12105263157894736</v>
      </c>
      <c r="N5" s="8">
        <f t="shared" si="0"/>
        <v>3.4883720930232558E-2</v>
      </c>
      <c r="O5" s="8">
        <f t="shared" si="0"/>
        <v>2.88659793814433E-2</v>
      </c>
      <c r="P5" s="8">
        <f t="shared" si="0"/>
        <v>5.3941908713692949E-2</v>
      </c>
    </row>
    <row r="6" spans="1:16" x14ac:dyDescent="0.3">
      <c r="A6" s="8" t="s">
        <v>47</v>
      </c>
      <c r="B6" s="8">
        <v>4.2783334996660552E-2</v>
      </c>
      <c r="C6" s="8">
        <v>3.1578947368421054E-2</v>
      </c>
      <c r="D6" s="8">
        <v>6.2015503875968991E-2</v>
      </c>
      <c r="E6" s="8">
        <v>2.6315789473684209E-2</v>
      </c>
      <c r="F6" s="8">
        <v>1.8272425249169437E-2</v>
      </c>
      <c r="G6" s="8">
        <v>1.8556701030927835E-2</v>
      </c>
      <c r="H6" s="8">
        <v>1.6597510373443983E-2</v>
      </c>
      <c r="I6" s="8">
        <v>0.1083670476965477</v>
      </c>
      <c r="J6" s="8">
        <f t="shared" si="0"/>
        <v>0.1083670476965477</v>
      </c>
      <c r="K6" s="8">
        <f t="shared" si="0"/>
        <v>7.1052631578947367E-2</v>
      </c>
      <c r="L6" s="13">
        <f t="shared" si="0"/>
        <v>0.12403100775193798</v>
      </c>
      <c r="M6" s="8">
        <f t="shared" si="0"/>
        <v>0.14736842105263157</v>
      </c>
      <c r="N6" s="8">
        <f t="shared" si="0"/>
        <v>5.3156146179401995E-2</v>
      </c>
      <c r="O6" s="8">
        <f t="shared" si="0"/>
        <v>4.7422680412371132E-2</v>
      </c>
      <c r="P6" s="8">
        <f t="shared" si="0"/>
        <v>7.0539419087136929E-2</v>
      </c>
    </row>
    <row r="7" spans="1:16" x14ac:dyDescent="0.3">
      <c r="A7" s="8" t="s">
        <v>51</v>
      </c>
      <c r="B7" s="8">
        <v>0.1091385756289296</v>
      </c>
      <c r="C7" s="8">
        <v>6.0526315789473685E-2</v>
      </c>
      <c r="D7" s="8">
        <v>7.7519379844961239E-2</v>
      </c>
      <c r="E7" s="8">
        <v>4.736842105263158E-2</v>
      </c>
      <c r="F7" s="8">
        <v>5.9800664451827246E-2</v>
      </c>
      <c r="G7" s="8">
        <v>4.7422680412371132E-2</v>
      </c>
      <c r="H7" s="8">
        <v>9.5435684647302899E-2</v>
      </c>
      <c r="I7" s="8">
        <v>0.21750562332547729</v>
      </c>
      <c r="J7" s="8">
        <f t="shared" si="0"/>
        <v>0.21750562332547729</v>
      </c>
      <c r="K7" s="8">
        <f t="shared" si="0"/>
        <v>0.13157894736842105</v>
      </c>
      <c r="L7" s="13">
        <f t="shared" si="0"/>
        <v>0.20155038759689922</v>
      </c>
      <c r="M7" s="8">
        <f t="shared" si="0"/>
        <v>0.19473684210526315</v>
      </c>
      <c r="N7" s="8">
        <f t="shared" si="0"/>
        <v>0.11295681063122924</v>
      </c>
      <c r="O7" s="8">
        <f t="shared" si="0"/>
        <v>9.4845360824742264E-2</v>
      </c>
      <c r="P7" s="8">
        <f t="shared" si="0"/>
        <v>0.16597510373443983</v>
      </c>
    </row>
    <row r="8" spans="1:16" x14ac:dyDescent="0.3">
      <c r="A8" s="8" t="s">
        <v>45</v>
      </c>
      <c r="B8" s="8">
        <v>0.36701698896830209</v>
      </c>
      <c r="C8" s="8">
        <v>0.75789473684210529</v>
      </c>
      <c r="D8" s="8">
        <v>0.66666666666666663</v>
      </c>
      <c r="E8" s="8">
        <v>0.54736842105263162</v>
      </c>
      <c r="F8" s="8">
        <v>0.5415282392026578</v>
      </c>
      <c r="G8" s="8">
        <v>0.51134020618556697</v>
      </c>
      <c r="H8" s="8">
        <v>0.57261410788381739</v>
      </c>
      <c r="I8" s="8">
        <v>0.58452261229377944</v>
      </c>
      <c r="J8" s="8">
        <f t="shared" si="0"/>
        <v>0.58452261229377944</v>
      </c>
      <c r="K8" s="8">
        <f t="shared" si="0"/>
        <v>0.88947368421052631</v>
      </c>
      <c r="L8" s="13">
        <f t="shared" si="0"/>
        <v>0.86821705426356588</v>
      </c>
      <c r="M8" s="8">
        <f t="shared" si="0"/>
        <v>0.74210526315789482</v>
      </c>
      <c r="N8" s="8">
        <f t="shared" si="0"/>
        <v>0.654485049833887</v>
      </c>
      <c r="O8" s="8">
        <f t="shared" si="0"/>
        <v>0.60618556701030923</v>
      </c>
      <c r="P8" s="8">
        <f t="shared" si="0"/>
        <v>0.73858921161825719</v>
      </c>
    </row>
    <row r="9" spans="1:16" x14ac:dyDescent="0.3">
      <c r="A9" s="8" t="s">
        <v>49</v>
      </c>
      <c r="B9" s="8">
        <v>0.41547738770622061</v>
      </c>
      <c r="C9" s="8">
        <v>0.11052631578947368</v>
      </c>
      <c r="D9" s="8">
        <v>0.13178294573643412</v>
      </c>
      <c r="E9" s="8">
        <v>0.25789473684210529</v>
      </c>
      <c r="F9" s="8">
        <v>0.34551495016611294</v>
      </c>
      <c r="G9" s="8">
        <v>0.39381443298969071</v>
      </c>
      <c r="H9" s="8">
        <v>0.26141078838174275</v>
      </c>
      <c r="I9" s="8">
        <v>1</v>
      </c>
      <c r="J9" s="8">
        <f t="shared" si="0"/>
        <v>1</v>
      </c>
      <c r="K9" s="8">
        <f t="shared" si="0"/>
        <v>1</v>
      </c>
      <c r="L9" s="13">
        <f t="shared" si="0"/>
        <v>1</v>
      </c>
      <c r="M9" s="8">
        <f t="shared" si="0"/>
        <v>1</v>
      </c>
      <c r="N9" s="8">
        <f t="shared" si="0"/>
        <v>1</v>
      </c>
      <c r="O9" s="8">
        <f t="shared" si="0"/>
        <v>1</v>
      </c>
      <c r="P9" s="8">
        <f t="shared" si="0"/>
        <v>1</v>
      </c>
    </row>
    <row r="11" spans="1:16" ht="28.8" x14ac:dyDescent="0.3">
      <c r="B11" s="1" t="s">
        <v>53</v>
      </c>
      <c r="C11" s="3" t="s">
        <v>61</v>
      </c>
      <c r="D11" s="3" t="s">
        <v>62</v>
      </c>
      <c r="E11" s="3" t="s">
        <v>63</v>
      </c>
      <c r="F11" s="3" t="s">
        <v>64</v>
      </c>
      <c r="G11" s="3" t="s">
        <v>65</v>
      </c>
      <c r="H11" s="3" t="s">
        <v>66</v>
      </c>
      <c r="J11" s="7"/>
      <c r="K11" s="9" t="s">
        <v>67</v>
      </c>
      <c r="L11" s="9" t="s">
        <v>68</v>
      </c>
      <c r="M11" s="9" t="s">
        <v>69</v>
      </c>
      <c r="N11" s="9" t="s">
        <v>70</v>
      </c>
      <c r="O11" s="9" t="s">
        <v>71</v>
      </c>
      <c r="P11" s="9" t="s">
        <v>72</v>
      </c>
    </row>
    <row r="12" spans="1:16" x14ac:dyDescent="0.3">
      <c r="B12" s="8" t="s">
        <v>50</v>
      </c>
      <c r="C12" s="8">
        <f>C2-B2</f>
        <v>3.679172059011887E-3</v>
      </c>
      <c r="D12" s="8">
        <f>D2-B2</f>
        <v>3.3935743437936081E-3</v>
      </c>
      <c r="E12" s="8">
        <f>E2-B2</f>
        <v>2.4731803637959252E-2</v>
      </c>
      <c r="F12" s="8">
        <f>F2-B2</f>
        <v>-4.823946484544539E-4</v>
      </c>
      <c r="G12" s="8">
        <f>G2-B2</f>
        <v>-1.0048445955095547E-2</v>
      </c>
      <c r="H12" s="8">
        <f>H2-B2</f>
        <v>4.4872087482453436E-3</v>
      </c>
      <c r="J12" s="8" t="s">
        <v>50</v>
      </c>
      <c r="K12" s="7">
        <f>(J2-0) * (K2+0)</f>
        <v>1.9121528881892589E-4</v>
      </c>
      <c r="L12" s="7">
        <f t="shared" ref="L12" si="1">(K2-0) * (L2+0)</f>
        <v>2.4479804161566709E-4</v>
      </c>
      <c r="M12" s="7">
        <f>(J2-0) * (M2+0)</f>
        <v>4.4616900724416035E-4</v>
      </c>
      <c r="N12" s="7">
        <f>(J2-0) * (N2+0)</f>
        <v>1.4081746075812372E-4</v>
      </c>
      <c r="O12" s="7">
        <f>(J2-0) * (O2+0)</f>
        <v>2.4969694072574514E-5</v>
      </c>
      <c r="P12" s="7">
        <f>(J2-0) * (P2+0)</f>
        <v>2.0100085684976996E-4</v>
      </c>
    </row>
    <row r="13" spans="1:16" x14ac:dyDescent="0.3">
      <c r="B13" s="8" t="s">
        <v>48</v>
      </c>
      <c r="C13" s="8">
        <f t="shared" ref="C13:C19" si="2">C3-B3</f>
        <v>-4.4727407605540132E-3</v>
      </c>
      <c r="D13" s="8">
        <f t="shared" ref="D13:D19" si="3">D3-B3</f>
        <v>-1.2367477602659277E-2</v>
      </c>
      <c r="E13" s="8">
        <f t="shared" ref="E13:E19" si="4">E3-B3</f>
        <v>-7.1043197079224346E-3</v>
      </c>
      <c r="F13" s="8">
        <f t="shared" ref="F13:F19" si="5">F3-B3</f>
        <v>-9.0452184664466528E-3</v>
      </c>
      <c r="G13" s="8">
        <f t="shared" ref="G13:G19" si="6">G3-B3</f>
        <v>-6.1819105923499986E-3</v>
      </c>
      <c r="H13" s="8">
        <f t="shared" ref="H13:H19" si="7">H3-B3</f>
        <v>-4.0687224159372849E-3</v>
      </c>
      <c r="J13" s="8" t="s">
        <v>48</v>
      </c>
      <c r="K13" s="7">
        <f>(J3-J2) * (K3+K2)</f>
        <v>4.8818990536812941E-4</v>
      </c>
      <c r="L13" s="7">
        <f>(J3-J2) * (L3+L2)</f>
        <v>3.8348767760183809E-4</v>
      </c>
      <c r="M13" s="7">
        <f>(J3-J2) * (M3+M2)</f>
        <v>9.7637981073625882E-4</v>
      </c>
      <c r="N13" s="7">
        <f>(J3-J2) * (N3+N2)</f>
        <v>3.2870372365871836E-4</v>
      </c>
      <c r="O13" s="7">
        <f>(J3-J2) * (O3+O2)</f>
        <v>1.2749976909958019E-4</v>
      </c>
      <c r="P13" s="7">
        <f>(J3-J2) * (P3+P2)</f>
        <v>5.1317334450868386E-4</v>
      </c>
    </row>
    <row r="14" spans="1:16" x14ac:dyDescent="0.3">
      <c r="B14" s="8" t="s">
        <v>52</v>
      </c>
      <c r="C14" s="8">
        <f t="shared" si="2"/>
        <v>-1.1877105842965478E-2</v>
      </c>
      <c r="D14" s="8">
        <f t="shared" si="3"/>
        <v>-1.9771842685070741E-2</v>
      </c>
      <c r="E14" s="8">
        <f t="shared" si="4"/>
        <v>4.3386052051771366E-2</v>
      </c>
      <c r="F14" s="8">
        <f t="shared" si="5"/>
        <v>-8.1439357083265551E-3</v>
      </c>
      <c r="G14" s="8">
        <f t="shared" si="6"/>
        <v>-9.4625643345552773E-3</v>
      </c>
      <c r="H14" s="8">
        <f t="shared" si="7"/>
        <v>-3.1743323116267576E-3</v>
      </c>
      <c r="J14" s="8" t="s">
        <v>52</v>
      </c>
      <c r="K14" s="7">
        <f t="shared" ref="K14:K19" si="8">(J4-J3) * (K4+K3)</f>
        <v>1.0926544641749621E-3</v>
      </c>
      <c r="L14" s="7">
        <f t="shared" ref="L14:L19" si="9">(J4-J3) * (L4+L3)</f>
        <v>6.1308039333552681E-4</v>
      </c>
      <c r="M14" s="7">
        <f t="shared" ref="M14:M19" si="10">(J4-J3) * (M4+M3)</f>
        <v>2.9137452377998984E-3</v>
      </c>
      <c r="N14" s="7">
        <f t="shared" ref="N14:N19" si="11">(J4-J3) * (N4+N3)</f>
        <v>8.2108981250293776E-4</v>
      </c>
      <c r="O14" s="7">
        <f t="shared" ref="O14:O19" si="12">(J4-J3) * (O4+O3)</f>
        <v>5.2996691733179309E-4</v>
      </c>
      <c r="P14" s="7">
        <f t="shared" ref="P14:P19" si="13">(J4-J3) * (P4+P3)</f>
        <v>1.312653456270257E-3</v>
      </c>
    </row>
    <row r="15" spans="1:16" x14ac:dyDescent="0.3">
      <c r="B15" s="8" t="s">
        <v>46</v>
      </c>
      <c r="C15" s="8">
        <f t="shared" si="2"/>
        <v>-1.3439353944853228E-2</v>
      </c>
      <c r="D15" s="8">
        <f t="shared" si="3"/>
        <v>2.5177537120018252E-2</v>
      </c>
      <c r="E15" s="8">
        <f t="shared" si="4"/>
        <v>-5.5446171027479646E-3</v>
      </c>
      <c r="F15" s="8">
        <f t="shared" si="5"/>
        <v>-1.3028442946426929E-2</v>
      </c>
      <c r="G15" s="8">
        <f t="shared" si="6"/>
        <v>-1.1024812436443028E-2</v>
      </c>
      <c r="H15" s="8">
        <f t="shared" si="7"/>
        <v>-8.8859580068755047E-3</v>
      </c>
      <c r="J15" s="8" t="s">
        <v>46</v>
      </c>
      <c r="K15" s="7">
        <f t="shared" si="8"/>
        <v>1.5158432927575771E-3</v>
      </c>
      <c r="L15" s="7">
        <f t="shared" si="9"/>
        <v>1.6538054873611234E-3</v>
      </c>
      <c r="M15" s="7">
        <f t="shared" si="10"/>
        <v>4.8282415991537635E-3</v>
      </c>
      <c r="N15" s="7">
        <f t="shared" si="11"/>
        <v>1.3112314935506051E-3</v>
      </c>
      <c r="O15" s="7">
        <f t="shared" si="12"/>
        <v>1.0117197692784438E-3</v>
      </c>
      <c r="P15" s="7">
        <f t="shared" si="13"/>
        <v>2.0360335605811011E-3</v>
      </c>
    </row>
    <row r="16" spans="1:16" x14ac:dyDescent="0.3">
      <c r="B16" s="8" t="s">
        <v>47</v>
      </c>
      <c r="C16" s="8">
        <f t="shared" si="2"/>
        <v>-1.1204387628239498E-2</v>
      </c>
      <c r="D16" s="8">
        <f t="shared" si="3"/>
        <v>1.9232168879308439E-2</v>
      </c>
      <c r="E16" s="8">
        <f t="shared" si="4"/>
        <v>-1.6467545522976343E-2</v>
      </c>
      <c r="F16" s="8">
        <f t="shared" si="5"/>
        <v>-2.4510909747491115E-2</v>
      </c>
      <c r="G16" s="8">
        <f t="shared" si="6"/>
        <v>-2.4226633965732717E-2</v>
      </c>
      <c r="H16" s="8">
        <f t="shared" si="7"/>
        <v>-2.6185824623216569E-2</v>
      </c>
      <c r="J16" s="8" t="s">
        <v>47</v>
      </c>
      <c r="K16" s="7">
        <f t="shared" si="8"/>
        <v>4.7286843943677454E-3</v>
      </c>
      <c r="L16" s="7">
        <f t="shared" si="9"/>
        <v>7.9596902319368466E-3</v>
      </c>
      <c r="M16" s="7">
        <f t="shared" si="10"/>
        <v>1.1483947814893094E-2</v>
      </c>
      <c r="N16" s="7">
        <f t="shared" si="11"/>
        <v>3.7666391276129719E-3</v>
      </c>
      <c r="O16" s="7">
        <f t="shared" si="12"/>
        <v>3.263883288405032E-3</v>
      </c>
      <c r="P16" s="7">
        <f t="shared" si="13"/>
        <v>5.3257263481320191E-3</v>
      </c>
    </row>
    <row r="17" spans="2:16" x14ac:dyDescent="0.3">
      <c r="B17" s="8" t="s">
        <v>51</v>
      </c>
      <c r="C17" s="8">
        <f t="shared" si="2"/>
        <v>-4.8612259839455919E-2</v>
      </c>
      <c r="D17" s="8">
        <f t="shared" si="3"/>
        <v>-3.1619195783968365E-2</v>
      </c>
      <c r="E17" s="8">
        <f t="shared" si="4"/>
        <v>-6.1770154576298024E-2</v>
      </c>
      <c r="F17" s="8">
        <f t="shared" si="5"/>
        <v>-4.9337911177102359E-2</v>
      </c>
      <c r="G17" s="8">
        <f t="shared" si="6"/>
        <v>-6.1715895216558472E-2</v>
      </c>
      <c r="H17" s="8">
        <f t="shared" si="7"/>
        <v>-1.3702890981626706E-2</v>
      </c>
      <c r="J17" s="8" t="s">
        <v>51</v>
      </c>
      <c r="K17" s="7">
        <f t="shared" si="8"/>
        <v>2.2114921903756784E-2</v>
      </c>
      <c r="L17" s="7">
        <f t="shared" si="9"/>
        <v>3.5533489739651494E-2</v>
      </c>
      <c r="M17" s="7">
        <f t="shared" si="10"/>
        <v>3.7336881136212752E-2</v>
      </c>
      <c r="N17" s="7">
        <f t="shared" si="11"/>
        <v>1.8129331499822193E-2</v>
      </c>
      <c r="O17" s="7">
        <f t="shared" si="12"/>
        <v>1.5526931378136374E-2</v>
      </c>
      <c r="P17" s="7">
        <f t="shared" si="13"/>
        <v>2.5812858136302849E-2</v>
      </c>
    </row>
    <row r="18" spans="2:16" x14ac:dyDescent="0.3">
      <c r="B18" s="8" t="s">
        <v>45</v>
      </c>
      <c r="C18" s="8">
        <f t="shared" si="2"/>
        <v>0.39087774787380319</v>
      </c>
      <c r="D18" s="8">
        <f t="shared" si="3"/>
        <v>0.29964967769836454</v>
      </c>
      <c r="E18" s="8">
        <f t="shared" si="4"/>
        <v>0.18035143208432952</v>
      </c>
      <c r="F18" s="8">
        <f t="shared" si="5"/>
        <v>0.17451125023435571</v>
      </c>
      <c r="G18" s="8">
        <f t="shared" si="6"/>
        <v>0.14432321721726488</v>
      </c>
      <c r="H18" s="8">
        <f t="shared" si="7"/>
        <v>0.2055971189155153</v>
      </c>
      <c r="J18" s="8" t="s">
        <v>45</v>
      </c>
      <c r="K18" s="7">
        <f t="shared" si="8"/>
        <v>0.37474366242026641</v>
      </c>
      <c r="L18" s="7">
        <f t="shared" si="9"/>
        <v>0.39262282540795113</v>
      </c>
      <c r="M18" s="7">
        <f t="shared" si="10"/>
        <v>0.34383696861240937</v>
      </c>
      <c r="N18" s="7">
        <f t="shared" si="11"/>
        <v>0.28166420083613886</v>
      </c>
      <c r="O18" s="7">
        <f t="shared" si="12"/>
        <v>0.25729026030767571</v>
      </c>
      <c r="P18" s="7">
        <f t="shared" si="13"/>
        <v>0.33199047134892057</v>
      </c>
    </row>
    <row r="19" spans="2:16" x14ac:dyDescent="0.3">
      <c r="B19" s="8" t="s">
        <v>49</v>
      </c>
      <c r="C19" s="8">
        <f t="shared" si="2"/>
        <v>-0.30495107191674692</v>
      </c>
      <c r="D19" s="8">
        <f t="shared" si="3"/>
        <v>-0.28369444196978649</v>
      </c>
      <c r="E19" s="8">
        <f t="shared" si="4"/>
        <v>-0.15758265086411533</v>
      </c>
      <c r="F19" s="8">
        <f t="shared" si="5"/>
        <v>-6.9962437540107669E-2</v>
      </c>
      <c r="G19" s="8">
        <f t="shared" si="6"/>
        <v>-2.1662954716529903E-2</v>
      </c>
      <c r="H19" s="8">
        <f t="shared" si="7"/>
        <v>-0.15406659932447786</v>
      </c>
      <c r="J19" s="8" t="s">
        <v>49</v>
      </c>
      <c r="K19" s="7">
        <f t="shared" si="8"/>
        <v>0.78503359045543775</v>
      </c>
      <c r="L19" s="7">
        <f t="shared" si="9"/>
        <v>0.77620194137363685</v>
      </c>
      <c r="M19" s="7">
        <f t="shared" si="10"/>
        <v>0.72380534384610007</v>
      </c>
      <c r="N19" s="7">
        <f t="shared" si="11"/>
        <v>0.68740112650397955</v>
      </c>
      <c r="O19" s="7">
        <f t="shared" si="12"/>
        <v>0.66733378355287798</v>
      </c>
      <c r="P19" s="7">
        <f t="shared" si="13"/>
        <v>0.72234450393737104</v>
      </c>
    </row>
    <row r="20" spans="2:16" x14ac:dyDescent="0.3">
      <c r="J20" s="9" t="s">
        <v>73</v>
      </c>
      <c r="K20" s="9">
        <f>SUM(K12:K19)</f>
        <v>1.1899087621249482</v>
      </c>
      <c r="L20" s="9">
        <f t="shared" ref="L20:P20" si="14">SUM(L12:L19)</f>
        <v>1.2152131183530905</v>
      </c>
      <c r="M20" s="9">
        <f t="shared" si="14"/>
        <v>1.1256276770645495</v>
      </c>
      <c r="N20" s="9">
        <f t="shared" si="14"/>
        <v>0.99356314045802396</v>
      </c>
      <c r="O20" s="9">
        <f t="shared" si="14"/>
        <v>0.94510901467687747</v>
      </c>
      <c r="P20" s="9">
        <f t="shared" si="14"/>
        <v>1.0895364209889362</v>
      </c>
    </row>
    <row r="21" spans="2:16" x14ac:dyDescent="0.3">
      <c r="J21" s="12" t="s">
        <v>74</v>
      </c>
      <c r="K21" s="12">
        <f>1-K20</f>
        <v>-0.18990876212494823</v>
      </c>
      <c r="L21" s="12">
        <f t="shared" ref="L21:P21" si="15">1-L20</f>
        <v>-0.21521311835309054</v>
      </c>
      <c r="M21" s="12">
        <f t="shared" si="15"/>
        <v>-0.12562767706454947</v>
      </c>
      <c r="N21" s="12">
        <f t="shared" si="15"/>
        <v>6.4368595419760366E-3</v>
      </c>
      <c r="O21" s="12">
        <f t="shared" si="15"/>
        <v>5.4890985323122532E-2</v>
      </c>
      <c r="P21" s="12">
        <f t="shared" si="15"/>
        <v>-8.9536420988936216E-2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BOM DESPACHO</vt:lpstr>
      <vt:lpstr>CAMPO BELO</vt:lpstr>
      <vt:lpstr>DIVINÓPOLIS</vt:lpstr>
      <vt:lpstr>FORMIGA</vt:lpstr>
      <vt:lpstr>ITAÚNA</vt:lpstr>
      <vt:lpstr>LAGOA DA PRATA - STO ANT MONTE</vt:lpstr>
      <vt:lpstr>OLIVEIRA - STO ANT DO AMPARO</vt:lpstr>
      <vt:lpstr>PARÁ DE MINAS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2025-04-21T02:11:29Z</dcterms:created>
  <dcterms:modified xsi:type="dcterms:W3CDTF">2025-08-24T19:42:43Z</dcterms:modified>
</cp:coreProperties>
</file>