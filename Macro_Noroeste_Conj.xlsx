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30" documentId="8_{3C8B18BF-0EB6-45E0-8D41-9DEA64F2CC33}" xr6:coauthVersionLast="47" xr6:coauthVersionMax="47" xr10:uidLastSave="{D09C0D7F-97BB-4C29-B4C3-ED40543514B5}"/>
  <bookViews>
    <workbookView xWindow="-108" yWindow="-108" windowWidth="23256" windowHeight="12456" activeTab="3" xr2:uid="{7DD56485-5B71-45FA-AAAE-40CF2292DA53}"/>
  </bookViews>
  <sheets>
    <sheet name="JOÃO PINHEIRO" sheetId="1" r:id="rId1"/>
    <sheet name="PATOS DE MINAS" sheetId="2" r:id="rId2"/>
    <sheet name="SÃO GOTARDO" sheetId="3" r:id="rId3"/>
    <sheet name="UNA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4" l="1"/>
  <c r="O16" i="4"/>
  <c r="N16" i="4"/>
  <c r="M16" i="4"/>
  <c r="L16" i="4"/>
  <c r="K16" i="4"/>
  <c r="P11" i="3"/>
  <c r="O11" i="3"/>
  <c r="N11" i="3"/>
  <c r="M11" i="3"/>
  <c r="L11" i="3"/>
  <c r="K11" i="3"/>
  <c r="K16" i="2"/>
  <c r="P16" i="2"/>
  <c r="O16" i="2"/>
  <c r="N16" i="2"/>
  <c r="M16" i="2"/>
  <c r="L16" i="2"/>
  <c r="P8" i="1"/>
  <c r="O8" i="1"/>
  <c r="N8" i="1"/>
  <c r="M8" i="1"/>
  <c r="L8" i="1"/>
  <c r="K8" i="1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J3" i="3"/>
  <c r="J4" i="3" s="1"/>
  <c r="J5" i="3" s="1"/>
  <c r="J6" i="3" s="1"/>
  <c r="J7" i="3" s="1"/>
  <c r="J8" i="3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P3" i="1"/>
  <c r="P4" i="1" s="1"/>
  <c r="O3" i="1"/>
  <c r="O4" i="1" s="1"/>
  <c r="N3" i="1"/>
  <c r="N4" i="1" s="1"/>
  <c r="M3" i="1"/>
  <c r="M4" i="1" s="1"/>
  <c r="L3" i="1"/>
  <c r="L4" i="1" s="1"/>
  <c r="K3" i="1"/>
  <c r="K4" i="1" s="1"/>
  <c r="J3" i="1"/>
  <c r="J4" i="1" s="1"/>
  <c r="P27" i="4" l="1"/>
  <c r="P17" i="3"/>
  <c r="N15" i="3"/>
  <c r="O16" i="3"/>
  <c r="K17" i="3"/>
  <c r="P16" i="3"/>
  <c r="O12" i="3"/>
  <c r="P12" i="3"/>
  <c r="M15" i="3"/>
  <c r="O15" i="3"/>
  <c r="K17" i="2"/>
  <c r="K18" i="2"/>
  <c r="N20" i="2"/>
  <c r="P24" i="2"/>
  <c r="L26" i="2"/>
  <c r="O20" i="2"/>
  <c r="K25" i="2"/>
  <c r="P26" i="2"/>
  <c r="M26" i="2"/>
  <c r="P20" i="2"/>
  <c r="P25" i="2"/>
  <c r="N26" i="2"/>
  <c r="K21" i="2"/>
  <c r="K26" i="2"/>
  <c r="P21" i="2"/>
  <c r="K22" i="2"/>
  <c r="P17" i="2"/>
  <c r="N24" i="2"/>
  <c r="O24" i="2"/>
  <c r="P10" i="1"/>
  <c r="O9" i="1"/>
  <c r="M17" i="4"/>
  <c r="K20" i="4"/>
  <c r="O22" i="4"/>
  <c r="M25" i="4"/>
  <c r="P18" i="4"/>
  <c r="N21" i="4"/>
  <c r="L24" i="4"/>
  <c r="P26" i="4"/>
  <c r="O17" i="4"/>
  <c r="M20" i="4"/>
  <c r="O25" i="4"/>
  <c r="L19" i="4"/>
  <c r="N20" i="4"/>
  <c r="P21" i="4"/>
  <c r="L23" i="4"/>
  <c r="N24" i="4"/>
  <c r="L27" i="4"/>
  <c r="K18" i="4"/>
  <c r="O20" i="4"/>
  <c r="M23" i="4"/>
  <c r="M27" i="4"/>
  <c r="N19" i="4"/>
  <c r="L22" i="4"/>
  <c r="P24" i="4"/>
  <c r="N27" i="4"/>
  <c r="K17" i="4"/>
  <c r="M18" i="4"/>
  <c r="O19" i="4"/>
  <c r="K21" i="4"/>
  <c r="M22" i="4"/>
  <c r="O23" i="4"/>
  <c r="K25" i="4"/>
  <c r="M26" i="4"/>
  <c r="O27" i="4"/>
  <c r="O18" i="4"/>
  <c r="M21" i="4"/>
  <c r="K24" i="4"/>
  <c r="O26" i="4"/>
  <c r="N17" i="4"/>
  <c r="L20" i="4"/>
  <c r="P22" i="4"/>
  <c r="N25" i="4"/>
  <c r="K19" i="4"/>
  <c r="O21" i="4"/>
  <c r="K23" i="4"/>
  <c r="M24" i="4"/>
  <c r="K27" i="4"/>
  <c r="P17" i="4"/>
  <c r="P25" i="4"/>
  <c r="M19" i="4"/>
  <c r="K22" i="4"/>
  <c r="O24" i="4"/>
  <c r="K26" i="4"/>
  <c r="L18" i="4"/>
  <c r="P20" i="4"/>
  <c r="N23" i="4"/>
  <c r="L26" i="4"/>
  <c r="L17" i="4"/>
  <c r="N18" i="4"/>
  <c r="P19" i="4"/>
  <c r="L21" i="4"/>
  <c r="N22" i="4"/>
  <c r="P23" i="4"/>
  <c r="L25" i="4"/>
  <c r="N26" i="4"/>
  <c r="K14" i="3"/>
  <c r="M14" i="3"/>
  <c r="L13" i="3"/>
  <c r="N14" i="3"/>
  <c r="P15" i="3"/>
  <c r="L17" i="3"/>
  <c r="K12" i="3"/>
  <c r="M13" i="3"/>
  <c r="O14" i="3"/>
  <c r="K16" i="3"/>
  <c r="M17" i="3"/>
  <c r="L14" i="3"/>
  <c r="L12" i="3"/>
  <c r="N13" i="3"/>
  <c r="P14" i="3"/>
  <c r="L16" i="3"/>
  <c r="N17" i="3"/>
  <c r="M12" i="3"/>
  <c r="O13" i="3"/>
  <c r="K15" i="3"/>
  <c r="M16" i="3"/>
  <c r="O17" i="3"/>
  <c r="K13" i="3"/>
  <c r="N12" i="3"/>
  <c r="P13" i="3"/>
  <c r="L15" i="3"/>
  <c r="N16" i="3"/>
  <c r="M23" i="2"/>
  <c r="N23" i="2"/>
  <c r="P23" i="2"/>
  <c r="M17" i="2"/>
  <c r="O18" i="2"/>
  <c r="K20" i="2"/>
  <c r="M21" i="2"/>
  <c r="O22" i="2"/>
  <c r="K24" i="2"/>
  <c r="M25" i="2"/>
  <c r="O26" i="2"/>
  <c r="L19" i="2"/>
  <c r="L18" i="2"/>
  <c r="O19" i="2"/>
  <c r="M22" i="2"/>
  <c r="O23" i="2"/>
  <c r="P19" i="2"/>
  <c r="L25" i="2"/>
  <c r="N17" i="2"/>
  <c r="P18" i="2"/>
  <c r="L20" i="2"/>
  <c r="N21" i="2"/>
  <c r="P22" i="2"/>
  <c r="L24" i="2"/>
  <c r="N25" i="2"/>
  <c r="L23" i="2"/>
  <c r="M19" i="2"/>
  <c r="N19" i="2"/>
  <c r="L22" i="2"/>
  <c r="M18" i="2"/>
  <c r="L17" i="2"/>
  <c r="N18" i="2"/>
  <c r="L21" i="2"/>
  <c r="N22" i="2"/>
  <c r="O17" i="2"/>
  <c r="K19" i="2"/>
  <c r="M20" i="2"/>
  <c r="O21" i="2"/>
  <c r="K23" i="2"/>
  <c r="M24" i="2"/>
  <c r="O25" i="2"/>
  <c r="P9" i="1"/>
  <c r="K10" i="1"/>
  <c r="P11" i="1"/>
  <c r="P12" i="1" s="1"/>
  <c r="M10" i="1"/>
  <c r="N10" i="1"/>
  <c r="M9" i="1"/>
  <c r="M11" i="1" s="1"/>
  <c r="M12" i="1" s="1"/>
  <c r="O10" i="1"/>
  <c r="L10" i="1"/>
  <c r="K9" i="1"/>
  <c r="L9" i="1"/>
  <c r="L11" i="1"/>
  <c r="L12" i="1" s="1"/>
  <c r="N9" i="1"/>
  <c r="P28" i="4" l="1"/>
  <c r="P29" i="4" s="1"/>
  <c r="K28" i="4"/>
  <c r="K29" i="4" s="1"/>
  <c r="N28" i="4"/>
  <c r="N29" i="4" s="1"/>
  <c r="L28" i="4"/>
  <c r="L29" i="4" s="1"/>
  <c r="P18" i="3"/>
  <c r="P19" i="3" s="1"/>
  <c r="O18" i="3"/>
  <c r="O19" i="3" s="1"/>
  <c r="N18" i="3"/>
  <c r="N19" i="3" s="1"/>
  <c r="L18" i="3"/>
  <c r="L19" i="3" s="1"/>
  <c r="M27" i="2"/>
  <c r="M28" i="2" s="1"/>
  <c r="P27" i="2"/>
  <c r="P28" i="2" s="1"/>
  <c r="K27" i="2"/>
  <c r="K28" i="2" s="1"/>
  <c r="O27" i="2"/>
  <c r="O28" i="2" s="1"/>
  <c r="N27" i="2"/>
  <c r="N28" i="2" s="1"/>
  <c r="N11" i="1"/>
  <c r="N12" i="1" s="1"/>
  <c r="K11" i="1"/>
  <c r="K12" i="1" s="1"/>
  <c r="O11" i="1"/>
  <c r="O12" i="1" s="1"/>
  <c r="O28" i="4"/>
  <c r="O29" i="4" s="1"/>
  <c r="M28" i="4"/>
  <c r="M29" i="4" s="1"/>
  <c r="M18" i="3"/>
  <c r="M19" i="3" s="1"/>
  <c r="K18" i="3"/>
  <c r="K19" i="3" s="1"/>
  <c r="L27" i="2"/>
  <c r="L28" i="2" s="1"/>
</calcChain>
</file>

<file path=xl/sharedStrings.xml><?xml version="1.0" encoding="utf-8"?>
<sst xmlns="http://schemas.openxmlformats.org/spreadsheetml/2006/main" count="223" uniqueCount="55">
  <si>
    <t>JOÃO PINHEIRO</t>
  </si>
  <si>
    <t>BRASILÂNDIA DE MINAS</t>
  </si>
  <si>
    <t>LAGOA GRANDE</t>
  </si>
  <si>
    <t>PATOS DE MINAS</t>
  </si>
  <si>
    <t>CRUZEIRO DA FORTALEZA</t>
  </si>
  <si>
    <t>GUARDA-MOR</t>
  </si>
  <si>
    <t>GUIMARÂNIA</t>
  </si>
  <si>
    <t>LAGAMAR</t>
  </si>
  <si>
    <t>LAGOA FORMOSA</t>
  </si>
  <si>
    <t>PRESIDENTE OLEGÁRIO</t>
  </si>
  <si>
    <t>SÃO GONÇALO DO ABAETÉ</t>
  </si>
  <si>
    <t>SERRA DO SALITRE</t>
  </si>
  <si>
    <t>VARJÃO DE MINAS</t>
  </si>
  <si>
    <t>VAZANTE</t>
  </si>
  <si>
    <t>SÃO GOTARDO</t>
  </si>
  <si>
    <t>ARAPUÁ</t>
  </si>
  <si>
    <t>CARMO DO PARANAÍBA</t>
  </si>
  <si>
    <t>MATUTINA</t>
  </si>
  <si>
    <t>RIO PARANAÍBA</t>
  </si>
  <si>
    <t>SANTA ROSA DA SERRA</t>
  </si>
  <si>
    <t>TIROS</t>
  </si>
  <si>
    <t>UNAÍ</t>
  </si>
  <si>
    <t>ARINOS</t>
  </si>
  <si>
    <t>BONFINÓPOLIS DE MINAS</t>
  </si>
  <si>
    <t>BURITIS</t>
  </si>
  <si>
    <t>CABECEIRA GRANDE</t>
  </si>
  <si>
    <t>CHAPADA GAÚCHA</t>
  </si>
  <si>
    <t>DOM BOSCO</t>
  </si>
  <si>
    <t>FORMOSO</t>
  </si>
  <si>
    <t>NATALÂNDIA</t>
  </si>
  <si>
    <t>PARACATU</t>
  </si>
  <si>
    <t>RIACHINHO</t>
  </si>
  <si>
    <t>URUANA DE MINAS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</si>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</sst>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/>
    <xf numFmtId="2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0.12973559721794134</c:v>
                </c:pt>
                <c:pt idx="1">
                  <c:v>0.35688345103925168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56-42F1-8B34-B172ADC71535}"/>
            </c:ext>
          </c:extLst>
        </c:ser>
        <c:ser>
          <c:idx val="1"/>
          <c:order val="1"/>
          <c:tx>
            <c:strRef>
              <c:f>'JOÃO PINHEIRO'!$K$1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PINHEIRO'!$K$2:$K$4</c:f>
              <c:numCache>
                <c:formatCode>0.00</c:formatCode>
                <c:ptCount val="3"/>
                <c:pt idx="0">
                  <c:v>3.8216560509554139E-2</c:v>
                </c:pt>
                <c:pt idx="1">
                  <c:v>8.2802547770700632E-2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56-42F1-8B34-B172ADC71535}"/>
            </c:ext>
          </c:extLst>
        </c:ser>
        <c:ser>
          <c:idx val="2"/>
          <c:order val="2"/>
          <c:tx>
            <c:strRef>
              <c:f>'JOÃO PINHEIRO'!$L$1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PINHEIRO'!$L$2:$L$4</c:f>
              <c:numCache>
                <c:formatCode>0.00</c:formatCode>
                <c:ptCount val="3"/>
                <c:pt idx="0">
                  <c:v>9.9009900990099011E-3</c:v>
                </c:pt>
                <c:pt idx="1">
                  <c:v>4.9504950495049507E-2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56-42F1-8B34-B172ADC71535}"/>
            </c:ext>
          </c:extLst>
        </c:ser>
        <c:ser>
          <c:idx val="3"/>
          <c:order val="3"/>
          <c:tx>
            <c:strRef>
              <c:f>'JOÃO PINHEIRO'!$M$1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PINHEIRO'!$M$2:$M$4</c:f>
              <c:numCache>
                <c:formatCode>0.00</c:formatCode>
                <c:ptCount val="3"/>
                <c:pt idx="0">
                  <c:v>6.9444444444444448E-2</c:v>
                </c:pt>
                <c:pt idx="1">
                  <c:v>0.1111111111111111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56-42F1-8B34-B172ADC71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0528"/>
        <c:axId val="296721488"/>
      </c:scatterChart>
      <c:valAx>
        <c:axId val="296720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valAx>
        <c:axId val="296721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0.12973559721794134</c:v>
                </c:pt>
                <c:pt idx="1">
                  <c:v>0.35688345103925168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14-4B61-8BBC-2C079B83B0A6}"/>
            </c:ext>
          </c:extLst>
        </c:ser>
        <c:ser>
          <c:idx val="1"/>
          <c:order val="1"/>
          <c:tx>
            <c:strRef>
              <c:f>'JOÃO PINHEIRO'!$N$1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PINHEIRO'!$N$2:$N$4</c:f>
              <c:numCache>
                <c:formatCode>0.00</c:formatCode>
                <c:ptCount val="3"/>
                <c:pt idx="0">
                  <c:v>7.6335877862595422E-2</c:v>
                </c:pt>
                <c:pt idx="1">
                  <c:v>0.11450381679389313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14-4B61-8BBC-2C079B83B0A6}"/>
            </c:ext>
          </c:extLst>
        </c:ser>
        <c:ser>
          <c:idx val="2"/>
          <c:order val="2"/>
          <c:tx>
            <c:strRef>
              <c:f>'JOÃO PINHEIRO'!$O$1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PINHEIRO'!$O$2:$O$4</c:f>
              <c:numCache>
                <c:formatCode>0.00</c:formatCode>
                <c:ptCount val="3"/>
                <c:pt idx="0">
                  <c:v>4.8387096774193547E-2</c:v>
                </c:pt>
                <c:pt idx="1">
                  <c:v>8.6021505376344093E-2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14-4B61-8BBC-2C079B83B0A6}"/>
            </c:ext>
          </c:extLst>
        </c:ser>
        <c:ser>
          <c:idx val="3"/>
          <c:order val="3"/>
          <c:tx>
            <c:strRef>
              <c:f>'JOÃO PINHEIRO'!$P$1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PINHEIRO'!$P$2:$P$4</c:f>
              <c:numCache>
                <c:formatCode>0.00</c:formatCode>
                <c:ptCount val="3"/>
                <c:pt idx="0">
                  <c:v>2.564102564102564E-2</c:v>
                </c:pt>
                <c:pt idx="1">
                  <c:v>0.1111111111111111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14-4B61-8BBC-2C079B83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63440"/>
        <c:axId val="1420455280"/>
      </c:scatterChart>
      <c:valAx>
        <c:axId val="1420463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5280"/>
        <c:crosses val="autoZero"/>
        <c:crossBetween val="midCat"/>
      </c:valAx>
      <c:valAx>
        <c:axId val="1420455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6-4028-B656-3880AF968DD8}"/>
            </c:ext>
          </c:extLst>
        </c:ser>
        <c:ser>
          <c:idx val="1"/>
          <c:order val="1"/>
          <c:tx>
            <c:strRef>
              <c:f>'PATOS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MINAS'!$K$2:$K$12</c:f>
              <c:numCache>
                <c:formatCode>0.00</c:formatCode>
                <c:ptCount val="11"/>
                <c:pt idx="0">
                  <c:v>1.8264840182648401E-2</c:v>
                </c:pt>
                <c:pt idx="1">
                  <c:v>3.6529680365296802E-2</c:v>
                </c:pt>
                <c:pt idx="2">
                  <c:v>5.0228310502283102E-2</c:v>
                </c:pt>
                <c:pt idx="3">
                  <c:v>7.3059360730593603E-2</c:v>
                </c:pt>
                <c:pt idx="4">
                  <c:v>9.1324200913242004E-2</c:v>
                </c:pt>
                <c:pt idx="5">
                  <c:v>0.12328767123287671</c:v>
                </c:pt>
                <c:pt idx="6">
                  <c:v>0.15068493150684931</c:v>
                </c:pt>
                <c:pt idx="7">
                  <c:v>0.25114155251141551</c:v>
                </c:pt>
                <c:pt idx="8">
                  <c:v>0.31506849315068491</c:v>
                </c:pt>
                <c:pt idx="9">
                  <c:v>0.49315068493150682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6-4028-B656-3880AF968DD8}"/>
            </c:ext>
          </c:extLst>
        </c:ser>
        <c:ser>
          <c:idx val="2"/>
          <c:order val="2"/>
          <c:tx>
            <c:strRef>
              <c:f>'PATOS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MINAS'!$L$2:$L$12</c:f>
              <c:numCache>
                <c:formatCode>0.00</c:formatCode>
                <c:ptCount val="11"/>
                <c:pt idx="0">
                  <c:v>0</c:v>
                </c:pt>
                <c:pt idx="1">
                  <c:v>5.1546391752577317E-2</c:v>
                </c:pt>
                <c:pt idx="2">
                  <c:v>6.1855670103092779E-2</c:v>
                </c:pt>
                <c:pt idx="3">
                  <c:v>6.1855670103092779E-2</c:v>
                </c:pt>
                <c:pt idx="4">
                  <c:v>6.1855670103092779E-2</c:v>
                </c:pt>
                <c:pt idx="5">
                  <c:v>8.247422680412371E-2</c:v>
                </c:pt>
                <c:pt idx="6">
                  <c:v>0.14432989690721648</c:v>
                </c:pt>
                <c:pt idx="7">
                  <c:v>0.31958762886597936</c:v>
                </c:pt>
                <c:pt idx="8">
                  <c:v>0.41237113402061853</c:v>
                </c:pt>
                <c:pt idx="9">
                  <c:v>0.58762886597938135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6-4028-B656-3880AF968DD8}"/>
            </c:ext>
          </c:extLst>
        </c:ser>
        <c:ser>
          <c:idx val="3"/>
          <c:order val="3"/>
          <c:tx>
            <c:strRef>
              <c:f>'PATOS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MINAS'!$M$2:$M$12</c:f>
              <c:numCache>
                <c:formatCode>0.00</c:formatCode>
                <c:ptCount val="11"/>
                <c:pt idx="0">
                  <c:v>0</c:v>
                </c:pt>
                <c:pt idx="1">
                  <c:v>4.6153846153846156E-2</c:v>
                </c:pt>
                <c:pt idx="2">
                  <c:v>6.1538461538461542E-2</c:v>
                </c:pt>
                <c:pt idx="3">
                  <c:v>0.1076923076923077</c:v>
                </c:pt>
                <c:pt idx="4">
                  <c:v>0.1076923076923077</c:v>
                </c:pt>
                <c:pt idx="5">
                  <c:v>0.15384615384615385</c:v>
                </c:pt>
                <c:pt idx="6">
                  <c:v>0.46923076923076923</c:v>
                </c:pt>
                <c:pt idx="7">
                  <c:v>0.55384615384615388</c:v>
                </c:pt>
                <c:pt idx="8">
                  <c:v>0.62307692307692308</c:v>
                </c:pt>
                <c:pt idx="9">
                  <c:v>0.7153846153846154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6-4028-B656-3880AF968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1872"/>
        <c:axId val="424086592"/>
      </c:scatterChart>
      <c:valAx>
        <c:axId val="4240918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592"/>
        <c:crosses val="autoZero"/>
        <c:crossBetween val="midCat"/>
      </c:valAx>
      <c:valAx>
        <c:axId val="4240865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C-4C5D-9648-D20AE02F4049}"/>
            </c:ext>
          </c:extLst>
        </c:ser>
        <c:ser>
          <c:idx val="1"/>
          <c:order val="1"/>
          <c:tx>
            <c:strRef>
              <c:f>'PATOS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MINAS'!$N$2:$N$12</c:f>
              <c:numCache>
                <c:formatCode>0.00</c:formatCode>
                <c:ptCount val="11"/>
                <c:pt idx="0">
                  <c:v>1.3761467889908258E-2</c:v>
                </c:pt>
                <c:pt idx="1">
                  <c:v>4.5871559633027525E-2</c:v>
                </c:pt>
                <c:pt idx="2">
                  <c:v>5.0458715596330278E-2</c:v>
                </c:pt>
                <c:pt idx="3">
                  <c:v>7.3394495412844041E-2</c:v>
                </c:pt>
                <c:pt idx="4">
                  <c:v>0.11467889908256881</c:v>
                </c:pt>
                <c:pt idx="5">
                  <c:v>0.12844036697247707</c:v>
                </c:pt>
                <c:pt idx="6">
                  <c:v>0.44036697247706424</c:v>
                </c:pt>
                <c:pt idx="7">
                  <c:v>0.49082568807339455</c:v>
                </c:pt>
                <c:pt idx="8">
                  <c:v>0.58715596330275233</c:v>
                </c:pt>
                <c:pt idx="9">
                  <c:v>0.7660550458715597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CC-4C5D-9648-D20AE02F4049}"/>
            </c:ext>
          </c:extLst>
        </c:ser>
        <c:ser>
          <c:idx val="2"/>
          <c:order val="2"/>
          <c:tx>
            <c:strRef>
              <c:f>'PATOS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MINAS'!$O$2:$O$12</c:f>
              <c:numCache>
                <c:formatCode>0.00</c:formatCode>
                <c:ptCount val="11"/>
                <c:pt idx="0">
                  <c:v>9.1743119266055051E-3</c:v>
                </c:pt>
                <c:pt idx="1">
                  <c:v>3.669724770642202E-2</c:v>
                </c:pt>
                <c:pt idx="2">
                  <c:v>5.0458715596330278E-2</c:v>
                </c:pt>
                <c:pt idx="3">
                  <c:v>7.3394495412844041E-2</c:v>
                </c:pt>
                <c:pt idx="4">
                  <c:v>0.10091743119266056</c:v>
                </c:pt>
                <c:pt idx="5">
                  <c:v>0.10550458715596331</c:v>
                </c:pt>
                <c:pt idx="6">
                  <c:v>0.55963302752293576</c:v>
                </c:pt>
                <c:pt idx="7">
                  <c:v>0.62844036697247707</c:v>
                </c:pt>
                <c:pt idx="8">
                  <c:v>0.74770642201834869</c:v>
                </c:pt>
                <c:pt idx="9">
                  <c:v>0.89449541284403677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CC-4C5D-9648-D20AE02F4049}"/>
            </c:ext>
          </c:extLst>
        </c:ser>
        <c:ser>
          <c:idx val="3"/>
          <c:order val="3"/>
          <c:tx>
            <c:strRef>
              <c:f>'PATOS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MINAS'!$P$2:$P$12</c:f>
              <c:numCache>
                <c:formatCode>0.00</c:formatCode>
                <c:ptCount val="11"/>
                <c:pt idx="0">
                  <c:v>5.9523809523809521E-3</c:v>
                </c:pt>
                <c:pt idx="1">
                  <c:v>3.5714285714285712E-2</c:v>
                </c:pt>
                <c:pt idx="2">
                  <c:v>4.7619047619047616E-2</c:v>
                </c:pt>
                <c:pt idx="3">
                  <c:v>5.3571428571428568E-2</c:v>
                </c:pt>
                <c:pt idx="4">
                  <c:v>7.7380952380952384E-2</c:v>
                </c:pt>
                <c:pt idx="5">
                  <c:v>9.5238095238095233E-2</c:v>
                </c:pt>
                <c:pt idx="6">
                  <c:v>0.69047619047619047</c:v>
                </c:pt>
                <c:pt idx="7">
                  <c:v>0.7142857142857143</c:v>
                </c:pt>
                <c:pt idx="8">
                  <c:v>0.72619047619047616</c:v>
                </c:pt>
                <c:pt idx="9">
                  <c:v>0.88690476190476186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CC-4C5D-9648-D20AE02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57440"/>
        <c:axId val="368945920"/>
      </c:scatterChart>
      <c:valAx>
        <c:axId val="368957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45920"/>
        <c:crosses val="autoZero"/>
        <c:crossBetween val="midCat"/>
      </c:valAx>
      <c:valAx>
        <c:axId val="368945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E-4E5F-BA41-70109544464F}"/>
            </c:ext>
          </c:extLst>
        </c:ser>
        <c:ser>
          <c:idx val="1"/>
          <c:order val="1"/>
          <c:tx>
            <c:strRef>
              <c:f>'SÃO GOTARDO'!$K$1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GOTARDO'!$K$2:$K$8</c:f>
              <c:numCache>
                <c:formatCode>0.00</c:formatCode>
                <c:ptCount val="7"/>
                <c:pt idx="0">
                  <c:v>0</c:v>
                </c:pt>
                <c:pt idx="1">
                  <c:v>2.8985507246376812E-2</c:v>
                </c:pt>
                <c:pt idx="2">
                  <c:v>2.8985507246376812E-2</c:v>
                </c:pt>
                <c:pt idx="3">
                  <c:v>5.7971014492753624E-2</c:v>
                </c:pt>
                <c:pt idx="4">
                  <c:v>0.10144927536231885</c:v>
                </c:pt>
                <c:pt idx="5">
                  <c:v>0.60869565217391308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E-4E5F-BA41-70109544464F}"/>
            </c:ext>
          </c:extLst>
        </c:ser>
        <c:ser>
          <c:idx val="2"/>
          <c:order val="2"/>
          <c:tx>
            <c:strRef>
              <c:f>'SÃO GOTARDO'!$L$1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GOTARDO'!$L$2:$L$8</c:f>
              <c:numCache>
                <c:formatCode>0.00</c:formatCode>
                <c:ptCount val="7"/>
                <c:pt idx="0">
                  <c:v>0</c:v>
                </c:pt>
                <c:pt idx="1">
                  <c:v>3.4883720930232558E-2</c:v>
                </c:pt>
                <c:pt idx="2">
                  <c:v>4.6511627906976744E-2</c:v>
                </c:pt>
                <c:pt idx="3">
                  <c:v>0.10465116279069767</c:v>
                </c:pt>
                <c:pt idx="4">
                  <c:v>0.15116279069767441</c:v>
                </c:pt>
                <c:pt idx="5">
                  <c:v>0.41860465116279066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E-4E5F-BA41-70109544464F}"/>
            </c:ext>
          </c:extLst>
        </c:ser>
        <c:ser>
          <c:idx val="3"/>
          <c:order val="3"/>
          <c:tx>
            <c:strRef>
              <c:f>'SÃO GOTARDO'!$M$1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GOTARDO'!$M$2:$M$8</c:f>
              <c:numCache>
                <c:formatCode>0.00</c:formatCode>
                <c:ptCount val="7"/>
                <c:pt idx="0">
                  <c:v>0</c:v>
                </c:pt>
                <c:pt idx="1">
                  <c:v>2.0833333333333332E-2</c:v>
                </c:pt>
                <c:pt idx="2">
                  <c:v>2.0833333333333332E-2</c:v>
                </c:pt>
                <c:pt idx="3">
                  <c:v>0.16666666666666669</c:v>
                </c:pt>
                <c:pt idx="4">
                  <c:v>0.20833333333333334</c:v>
                </c:pt>
                <c:pt idx="5">
                  <c:v>0.375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3E-4E5F-BA41-70109544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3264"/>
        <c:axId val="1914723744"/>
      </c:scatterChart>
      <c:valAx>
        <c:axId val="191472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744"/>
        <c:crosses val="autoZero"/>
        <c:crossBetween val="midCat"/>
      </c:valAx>
      <c:valAx>
        <c:axId val="19147237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C-4E80-909D-8B93D4BC38EC}"/>
            </c:ext>
          </c:extLst>
        </c:ser>
        <c:ser>
          <c:idx val="1"/>
          <c:order val="1"/>
          <c:tx>
            <c:strRef>
              <c:f>'SÃO GOTARDO'!$N$1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GOTARDO'!$N$2:$N$8</c:f>
              <c:numCache>
                <c:formatCode>0.00</c:formatCode>
                <c:ptCount val="7"/>
                <c:pt idx="0">
                  <c:v>0</c:v>
                </c:pt>
                <c:pt idx="1">
                  <c:v>1.6393442622950821E-2</c:v>
                </c:pt>
                <c:pt idx="2">
                  <c:v>3.2786885245901641E-2</c:v>
                </c:pt>
                <c:pt idx="3">
                  <c:v>9.0163934426229511E-2</c:v>
                </c:pt>
                <c:pt idx="4">
                  <c:v>0.12295081967213115</c:v>
                </c:pt>
                <c:pt idx="5">
                  <c:v>0.5901639344262295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5C-4E80-909D-8B93D4BC38EC}"/>
            </c:ext>
          </c:extLst>
        </c:ser>
        <c:ser>
          <c:idx val="2"/>
          <c:order val="2"/>
          <c:tx>
            <c:strRef>
              <c:f>'SÃO GOTARDO'!$O$1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GOTARDO'!$O$2:$O$8</c:f>
              <c:numCache>
                <c:formatCode>0.00</c:formatCode>
                <c:ptCount val="7"/>
                <c:pt idx="0">
                  <c:v>0</c:v>
                </c:pt>
                <c:pt idx="1">
                  <c:v>6.0606060606060608E-2</c:v>
                </c:pt>
                <c:pt idx="2">
                  <c:v>0.10606060606060606</c:v>
                </c:pt>
                <c:pt idx="3">
                  <c:v>0.16666666666666669</c:v>
                </c:pt>
                <c:pt idx="4">
                  <c:v>0.22727272727272729</c:v>
                </c:pt>
                <c:pt idx="5">
                  <c:v>0.5757575757575758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5C-4E80-909D-8B93D4BC38EC}"/>
            </c:ext>
          </c:extLst>
        </c:ser>
        <c:ser>
          <c:idx val="3"/>
          <c:order val="3"/>
          <c:tx>
            <c:strRef>
              <c:f>'SÃO GOTARDO'!$P$1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GOTARDO'!$P$2:$P$8</c:f>
              <c:numCache>
                <c:formatCode>0.00</c:formatCode>
                <c:ptCount val="7"/>
                <c:pt idx="0">
                  <c:v>0</c:v>
                </c:pt>
                <c:pt idx="1">
                  <c:v>2.5000000000000001E-2</c:v>
                </c:pt>
                <c:pt idx="2">
                  <c:v>0.1</c:v>
                </c:pt>
                <c:pt idx="3">
                  <c:v>0.15000000000000002</c:v>
                </c:pt>
                <c:pt idx="4">
                  <c:v>0.15000000000000002</c:v>
                </c:pt>
                <c:pt idx="5">
                  <c:v>0.67500000000000004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5C-4E80-909D-8B93D4BC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5440"/>
        <c:axId val="2001010160"/>
      </c:scatterChart>
      <c:valAx>
        <c:axId val="2001015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0160"/>
        <c:crosses val="autoZero"/>
        <c:crossBetween val="midCat"/>
      </c:valAx>
      <c:valAx>
        <c:axId val="2001010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C-4FBB-B8E8-039848A0C6DC}"/>
            </c:ext>
          </c:extLst>
        </c:ser>
        <c:ser>
          <c:idx val="1"/>
          <c:order val="1"/>
          <c:tx>
            <c:strRef>
              <c:f>UNAÍ!$K$1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UNAÍ!$K$2:$K$13</c:f>
              <c:numCache>
                <c:formatCode>0.00</c:formatCode>
                <c:ptCount val="12"/>
                <c:pt idx="0">
                  <c:v>1.0186757215619695E-2</c:v>
                </c:pt>
                <c:pt idx="1">
                  <c:v>1.8675721561969442E-2</c:v>
                </c:pt>
                <c:pt idx="2">
                  <c:v>2.8862478777589136E-2</c:v>
                </c:pt>
                <c:pt idx="3">
                  <c:v>4.4142614601018676E-2</c:v>
                </c:pt>
                <c:pt idx="4">
                  <c:v>4.7538200339558571E-2</c:v>
                </c:pt>
                <c:pt idx="5">
                  <c:v>5.4329371816638369E-2</c:v>
                </c:pt>
                <c:pt idx="6">
                  <c:v>7.3005093378607805E-2</c:v>
                </c:pt>
                <c:pt idx="7">
                  <c:v>8.3191850594227498E-2</c:v>
                </c:pt>
                <c:pt idx="8">
                  <c:v>0.10356536502546689</c:v>
                </c:pt>
                <c:pt idx="9">
                  <c:v>0.13412563667232597</c:v>
                </c:pt>
                <c:pt idx="10">
                  <c:v>0.57555178268251272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C-4FBB-B8E8-039848A0C6DC}"/>
            </c:ext>
          </c:extLst>
        </c:ser>
        <c:ser>
          <c:idx val="2"/>
          <c:order val="2"/>
          <c:tx>
            <c:strRef>
              <c:f>UNAÍ!$L$1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UNAÍ!$L$2:$L$13</c:f>
              <c:numCache>
                <c:formatCode>0.00</c:formatCode>
                <c:ptCount val="12"/>
                <c:pt idx="0">
                  <c:v>4.4247787610619468E-3</c:v>
                </c:pt>
                <c:pt idx="1">
                  <c:v>6.6371681415929203E-3</c:v>
                </c:pt>
                <c:pt idx="2">
                  <c:v>8.8495575221238937E-3</c:v>
                </c:pt>
                <c:pt idx="3">
                  <c:v>1.5486725663716814E-2</c:v>
                </c:pt>
                <c:pt idx="4">
                  <c:v>2.4336283185840708E-2</c:v>
                </c:pt>
                <c:pt idx="5">
                  <c:v>2.6548672566371681E-2</c:v>
                </c:pt>
                <c:pt idx="6">
                  <c:v>3.3185840707964598E-2</c:v>
                </c:pt>
                <c:pt idx="7">
                  <c:v>3.7610619469026545E-2</c:v>
                </c:pt>
                <c:pt idx="8">
                  <c:v>5.9734513274336279E-2</c:v>
                </c:pt>
                <c:pt idx="9">
                  <c:v>8.8495575221238937E-2</c:v>
                </c:pt>
                <c:pt idx="10">
                  <c:v>0.87389380530973459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C-4FBB-B8E8-039848A0C6DC}"/>
            </c:ext>
          </c:extLst>
        </c:ser>
        <c:ser>
          <c:idx val="3"/>
          <c:order val="3"/>
          <c:tx>
            <c:strRef>
              <c:f>UNAÍ!$M$1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UNAÍ!$M$2:$M$13</c:f>
              <c:numCache>
                <c:formatCode>0.00</c:formatCode>
                <c:ptCount val="12"/>
                <c:pt idx="0">
                  <c:v>0</c:v>
                </c:pt>
                <c:pt idx="1">
                  <c:v>1.2269938650306749E-2</c:v>
                </c:pt>
                <c:pt idx="2">
                  <c:v>3.0674846625766874E-2</c:v>
                </c:pt>
                <c:pt idx="3">
                  <c:v>3.0674846625766874E-2</c:v>
                </c:pt>
                <c:pt idx="4">
                  <c:v>4.2944785276073622E-2</c:v>
                </c:pt>
                <c:pt idx="5">
                  <c:v>4.2944785276073622E-2</c:v>
                </c:pt>
                <c:pt idx="6">
                  <c:v>4.9079754601226995E-2</c:v>
                </c:pt>
                <c:pt idx="7">
                  <c:v>7.3619631901840496E-2</c:v>
                </c:pt>
                <c:pt idx="8">
                  <c:v>8.5889570552147243E-2</c:v>
                </c:pt>
                <c:pt idx="9">
                  <c:v>0.19018404907975461</c:v>
                </c:pt>
                <c:pt idx="10">
                  <c:v>0.81595092024539884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C-4FBB-B8E8-039848A0C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6192"/>
        <c:axId val="424091392"/>
      </c:scatterChart>
      <c:valAx>
        <c:axId val="424096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392"/>
        <c:crosses val="autoZero"/>
        <c:crossBetween val="midCat"/>
      </c:valAx>
      <c:valAx>
        <c:axId val="424091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3-4D50-9B97-762F064A4352}"/>
            </c:ext>
          </c:extLst>
        </c:ser>
        <c:ser>
          <c:idx val="1"/>
          <c:order val="1"/>
          <c:tx>
            <c:strRef>
              <c:f>UNAÍ!$N$1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UNAÍ!$N$2:$N$13</c:f>
              <c:numCache>
                <c:formatCode>0.00</c:formatCode>
                <c:ptCount val="12"/>
                <c:pt idx="0">
                  <c:v>1.4492753623188406E-2</c:v>
                </c:pt>
                <c:pt idx="1">
                  <c:v>2.4154589371980676E-2</c:v>
                </c:pt>
                <c:pt idx="2">
                  <c:v>3.864734299516908E-2</c:v>
                </c:pt>
                <c:pt idx="3">
                  <c:v>4.5893719806763281E-2</c:v>
                </c:pt>
                <c:pt idx="4">
                  <c:v>5.5555555555555552E-2</c:v>
                </c:pt>
                <c:pt idx="5">
                  <c:v>6.7632850241545889E-2</c:v>
                </c:pt>
                <c:pt idx="6">
                  <c:v>7.2463768115942018E-2</c:v>
                </c:pt>
                <c:pt idx="7">
                  <c:v>8.212560386473429E-2</c:v>
                </c:pt>
                <c:pt idx="8">
                  <c:v>9.9033816425120769E-2</c:v>
                </c:pt>
                <c:pt idx="9">
                  <c:v>0.1328502415458937</c:v>
                </c:pt>
                <c:pt idx="10">
                  <c:v>0.78260869565217384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3-4D50-9B97-762F064A4352}"/>
            </c:ext>
          </c:extLst>
        </c:ser>
        <c:ser>
          <c:idx val="2"/>
          <c:order val="2"/>
          <c:tx>
            <c:strRef>
              <c:f>UNAÍ!$O$1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UNAÍ!$O$2:$O$13</c:f>
              <c:numCache>
                <c:formatCode>0.00</c:formatCode>
                <c:ptCount val="12"/>
                <c:pt idx="0">
                  <c:v>5.8309037900874635E-3</c:v>
                </c:pt>
                <c:pt idx="1">
                  <c:v>1.4577259475218658E-2</c:v>
                </c:pt>
                <c:pt idx="2">
                  <c:v>2.6239067055393583E-2</c:v>
                </c:pt>
                <c:pt idx="3">
                  <c:v>3.7900874635568509E-2</c:v>
                </c:pt>
                <c:pt idx="4">
                  <c:v>4.3731778425655975E-2</c:v>
                </c:pt>
                <c:pt idx="5">
                  <c:v>5.2478134110787167E-2</c:v>
                </c:pt>
                <c:pt idx="6">
                  <c:v>6.7055393586005818E-2</c:v>
                </c:pt>
                <c:pt idx="7">
                  <c:v>8.4548104956268216E-2</c:v>
                </c:pt>
                <c:pt idx="8">
                  <c:v>9.9125364431486868E-2</c:v>
                </c:pt>
                <c:pt idx="9">
                  <c:v>0.1399416909620991</c:v>
                </c:pt>
                <c:pt idx="10">
                  <c:v>0.65306122448979587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3-4D50-9B97-762F064A4352}"/>
            </c:ext>
          </c:extLst>
        </c:ser>
        <c:ser>
          <c:idx val="3"/>
          <c:order val="3"/>
          <c:tx>
            <c:strRef>
              <c:f>UNAÍ!$P$1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UNAÍ!$P$2:$P$13</c:f>
              <c:numCache>
                <c:formatCode>0.00</c:formatCode>
                <c:ptCount val="12"/>
                <c:pt idx="0">
                  <c:v>3.663003663003663E-3</c:v>
                </c:pt>
                <c:pt idx="1">
                  <c:v>1.0989010989010988E-2</c:v>
                </c:pt>
                <c:pt idx="2">
                  <c:v>2.564102564102564E-2</c:v>
                </c:pt>
                <c:pt idx="3">
                  <c:v>3.2967032967032968E-2</c:v>
                </c:pt>
                <c:pt idx="4">
                  <c:v>3.6630036630036632E-2</c:v>
                </c:pt>
                <c:pt idx="5">
                  <c:v>4.3956043956043959E-2</c:v>
                </c:pt>
                <c:pt idx="6">
                  <c:v>6.2271062271062272E-2</c:v>
                </c:pt>
                <c:pt idx="7">
                  <c:v>6.2271062271062272E-2</c:v>
                </c:pt>
                <c:pt idx="8">
                  <c:v>7.3260073260073263E-2</c:v>
                </c:pt>
                <c:pt idx="9">
                  <c:v>9.1575091575091583E-2</c:v>
                </c:pt>
                <c:pt idx="10">
                  <c:v>0.64102564102564108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33-4D50-9B97-762F064A4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86112"/>
        <c:axId val="424083712"/>
      </c:scatterChart>
      <c:valAx>
        <c:axId val="42408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3712"/>
        <c:crosses val="autoZero"/>
        <c:crossBetween val="midCat"/>
      </c:valAx>
      <c:valAx>
        <c:axId val="424083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349250</xdr:colOff>
      <xdr:row>0</xdr:row>
      <xdr:rowOff>0</xdr:rowOff>
    </xdr:from>
    <xdr:to>
      <xdr:col>24</xdr:col>
      <xdr:colOff>31750</xdr:colOff>
      <xdr:row>12</xdr:row>
      <xdr:rowOff>84137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3613DB9-AFD8-8EB4-DB79-1822372C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341313</xdr:colOff>
      <xdr:row>12</xdr:row>
      <xdr:rowOff>148430</xdr:rowOff>
    </xdr:from>
    <xdr:to>
      <xdr:col>24</xdr:col>
      <xdr:colOff>23813</xdr:colOff>
      <xdr:row>27</xdr:row>
      <xdr:rowOff>153193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4845F2-8098-0CD4-A53F-971A8FB3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72887</xdr:colOff>
      <xdr:row>0</xdr:row>
      <xdr:rowOff>49695</xdr:rowOff>
    </xdr:from>
    <xdr:to>
      <xdr:col>23</xdr:col>
      <xdr:colOff>377687</xdr:colOff>
      <xdr:row>13</xdr:row>
      <xdr:rowOff>102704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10ABCEF-AAF3-969F-6088-4C18132A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79512</xdr:colOff>
      <xdr:row>13</xdr:row>
      <xdr:rowOff>135835</xdr:rowOff>
    </xdr:from>
    <xdr:to>
      <xdr:col>23</xdr:col>
      <xdr:colOff>384312</xdr:colOff>
      <xdr:row>27</xdr:row>
      <xdr:rowOff>102704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140E03-1FBC-BFBD-2A1F-D03EBEDCE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154556</xdr:colOff>
      <xdr:row>0</xdr:row>
      <xdr:rowOff>51758</xdr:rowOff>
    </xdr:from>
    <xdr:to>
      <xdr:col>23</xdr:col>
      <xdr:colOff>449292</xdr:colOff>
      <xdr:row>12</xdr:row>
      <xdr:rowOff>163901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44AAFC5-79A8-151C-8D8C-22037644F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176122</xdr:colOff>
      <xdr:row>13</xdr:row>
      <xdr:rowOff>58946</xdr:rowOff>
    </xdr:from>
    <xdr:to>
      <xdr:col>23</xdr:col>
      <xdr:colOff>470858</xdr:colOff>
      <xdr:row>28</xdr:row>
      <xdr:rowOff>106392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82AD03-F3BD-E173-2256-65CA383ED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41910</xdr:rowOff>
    </xdr:from>
    <xdr:to>
      <xdr:col>23</xdr:col>
      <xdr:colOff>502920</xdr:colOff>
      <xdr:row>13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0A3B84-C15E-81D1-D7C8-00CAF950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14</xdr:row>
      <xdr:rowOff>41910</xdr:rowOff>
    </xdr:from>
    <xdr:to>
      <xdr:col>23</xdr:col>
      <xdr:colOff>487680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7A0F3C-07C4-B2B9-FB64-8D9B42AEA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533A-7520-450E-9A57-AC90476C8EE2}">
  <dimension ref="A1:P12"/>
  <sheetViews>
    <sheetView zoomScale="96" workbookViewId="0">
      <selection activeCell="J2" sqref="J2:P2"/>
    </sheetView>
  </sheetViews>
  <sheetFormatPr defaultRowHeight="14.4" x14ac:dyDescent="0.3"/>
  <cols>
    <col min="1" max="1" width="17.6640625" customWidth="1"/>
  </cols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2</v>
      </c>
      <c r="B2" s="12">
        <v>0.12973559721794134</v>
      </c>
      <c r="C2" s="12">
        <v>3.8216560509554139E-2</v>
      </c>
      <c r="D2" s="12">
        <v>9.9009900990099011E-3</v>
      </c>
      <c r="E2" s="12">
        <v>6.9444444444444448E-2</v>
      </c>
      <c r="F2" s="12">
        <v>7.6335877862595422E-2</v>
      </c>
      <c r="G2" s="12">
        <v>4.8387096774193547E-2</v>
      </c>
      <c r="H2" s="12">
        <v>2.564102564102564E-2</v>
      </c>
      <c r="I2" s="12">
        <v>0.12973559721794101</v>
      </c>
      <c r="J2" s="12">
        <v>0.12973559721794134</v>
      </c>
      <c r="K2" s="12">
        <v>3.8216560509554139E-2</v>
      </c>
      <c r="L2" s="12">
        <v>9.9009900990099011E-3</v>
      </c>
      <c r="M2" s="12">
        <v>6.9444444444444448E-2</v>
      </c>
      <c r="N2" s="12">
        <v>7.6335877862595422E-2</v>
      </c>
      <c r="O2" s="12">
        <v>4.8387096774193547E-2</v>
      </c>
      <c r="P2" s="12">
        <v>2.564102564102564E-2</v>
      </c>
    </row>
    <row r="3" spans="1:16" x14ac:dyDescent="0.3">
      <c r="A3" s="12" t="s">
        <v>1</v>
      </c>
      <c r="B3" s="12">
        <v>0.22714785382131036</v>
      </c>
      <c r="C3" s="12">
        <v>4.4585987261146494E-2</v>
      </c>
      <c r="D3" s="12">
        <v>3.9603960396039604E-2</v>
      </c>
      <c r="E3" s="12">
        <v>4.1666666666666664E-2</v>
      </c>
      <c r="F3" s="12">
        <v>3.8167938931297711E-2</v>
      </c>
      <c r="G3" s="12">
        <v>3.7634408602150539E-2</v>
      </c>
      <c r="H3" s="12">
        <v>8.5470085470085472E-2</v>
      </c>
      <c r="I3" s="12">
        <v>0.35688345103925134</v>
      </c>
      <c r="J3" s="12">
        <f t="shared" ref="J3:P4" si="0">J2+B3</f>
        <v>0.35688345103925168</v>
      </c>
      <c r="K3" s="12">
        <f t="shared" si="0"/>
        <v>8.2802547770700632E-2</v>
      </c>
      <c r="L3" s="12">
        <f t="shared" si="0"/>
        <v>4.9504950495049507E-2</v>
      </c>
      <c r="M3" s="12">
        <f t="shared" si="0"/>
        <v>0.1111111111111111</v>
      </c>
      <c r="N3" s="12">
        <f t="shared" si="0"/>
        <v>0.11450381679389313</v>
      </c>
      <c r="O3" s="12">
        <f t="shared" si="0"/>
        <v>8.6021505376344093E-2</v>
      </c>
      <c r="P3" s="12">
        <f t="shared" si="0"/>
        <v>0.1111111111111111</v>
      </c>
    </row>
    <row r="4" spans="1:16" x14ac:dyDescent="0.3">
      <c r="A4" s="12" t="s">
        <v>0</v>
      </c>
      <c r="B4" s="12">
        <v>0.64311654896074832</v>
      </c>
      <c r="C4" s="12">
        <v>0.91719745222929938</v>
      </c>
      <c r="D4" s="12">
        <v>0.95049504950495045</v>
      </c>
      <c r="E4" s="12">
        <v>0.88888888888888884</v>
      </c>
      <c r="F4" s="12">
        <v>0.8854961832061069</v>
      </c>
      <c r="G4" s="12">
        <v>0.91397849462365588</v>
      </c>
      <c r="H4" s="12">
        <v>0.88888888888888884</v>
      </c>
      <c r="I4" s="12">
        <v>0.99999999999999967</v>
      </c>
      <c r="J4" s="12">
        <f t="shared" si="0"/>
        <v>1</v>
      </c>
      <c r="K4" s="12">
        <f t="shared" si="0"/>
        <v>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</row>
    <row r="7" spans="1:16" ht="28.8" x14ac:dyDescent="0.3">
      <c r="B7" s="1" t="s">
        <v>33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J7" s="11"/>
      <c r="K7" s="21" t="s">
        <v>47</v>
      </c>
      <c r="L7" s="21" t="s">
        <v>48</v>
      </c>
      <c r="M7" s="21" t="s">
        <v>49</v>
      </c>
      <c r="N7" s="21" t="s">
        <v>50</v>
      </c>
      <c r="O7" s="21" t="s">
        <v>51</v>
      </c>
      <c r="P7" s="21" t="s">
        <v>52</v>
      </c>
    </row>
    <row r="8" spans="1:16" x14ac:dyDescent="0.3">
      <c r="B8" s="12" t="s">
        <v>2</v>
      </c>
      <c r="C8" s="12">
        <f>C2-B2</f>
        <v>-9.1519036708387208E-2</v>
      </c>
      <c r="D8" s="12">
        <f>D2-B2</f>
        <v>-0.11983460711893144</v>
      </c>
      <c r="E8" s="12">
        <f>E2-B2</f>
        <v>-6.0291152773496892E-2</v>
      </c>
      <c r="F8" s="12">
        <f>F2-B2</f>
        <v>-5.3399719355345918E-2</v>
      </c>
      <c r="G8" s="12">
        <f>G2-B2</f>
        <v>-8.1348500443747793E-2</v>
      </c>
      <c r="H8" s="12">
        <f>H2-B2</f>
        <v>-0.10409457157691571</v>
      </c>
      <c r="J8" s="12" t="s">
        <v>2</v>
      </c>
      <c r="K8" s="11">
        <f>($J2-0) * ((K2+0))</f>
        <v>4.9580483013225984E-3</v>
      </c>
      <c r="L8" s="11">
        <f t="shared" ref="L8:P8" si="1">($J2-0) * ((L2+0))</f>
        <v>1.2845108635439737E-3</v>
      </c>
      <c r="M8" s="11">
        <f t="shared" si="1"/>
        <v>9.0094164734681494E-3</v>
      </c>
      <c r="N8" s="11">
        <f t="shared" si="1"/>
        <v>9.9034807036596454E-3</v>
      </c>
      <c r="O8" s="11">
        <f t="shared" si="1"/>
        <v>6.2775288976423226E-3</v>
      </c>
      <c r="P8" s="11">
        <f t="shared" si="1"/>
        <v>3.3265537748190088E-3</v>
      </c>
    </row>
    <row r="9" spans="1:16" x14ac:dyDescent="0.3">
      <c r="B9" s="12" t="s">
        <v>1</v>
      </c>
      <c r="C9" s="12">
        <f t="shared" ref="C9:C10" si="2">C3-B3</f>
        <v>-0.18256186656016388</v>
      </c>
      <c r="D9" s="12">
        <f t="shared" ref="D9:D10" si="3">D3-B3</f>
        <v>-0.18754389342527075</v>
      </c>
      <c r="E9" s="12">
        <f t="shared" ref="E9:E10" si="4">E3-B3</f>
        <v>-0.18548118715464371</v>
      </c>
      <c r="F9" s="12">
        <f t="shared" ref="F9:F10" si="5">F3-B3</f>
        <v>-0.18897991489001265</v>
      </c>
      <c r="G9" s="12">
        <f t="shared" ref="G9:G10" si="6">G3-B3</f>
        <v>-0.18951344521915983</v>
      </c>
      <c r="H9" s="12">
        <f t="shared" ref="H9:H10" si="7">H3-B3</f>
        <v>-0.14167776835122489</v>
      </c>
      <c r="J9" s="12" t="s">
        <v>1</v>
      </c>
      <c r="K9" s="11">
        <f>($J3-$J2) * ((K3+K2))</f>
        <v>2.7489230717228641E-2</v>
      </c>
      <c r="L9" s="11">
        <f t="shared" ref="L9:P10" si="8">($J3-$J2) * ((L3+L2))</f>
        <v>1.3493931910176853E-2</v>
      </c>
      <c r="M9" s="11">
        <f t="shared" si="8"/>
        <v>4.1012806939958811E-2</v>
      </c>
      <c r="N9" s="11">
        <f t="shared" si="8"/>
        <v>4.3348827065135556E-2</v>
      </c>
      <c r="O9" s="11">
        <f t="shared" si="8"/>
        <v>3.0530625513616978E-2</v>
      </c>
      <c r="P9" s="11">
        <f t="shared" si="8"/>
        <v>3.1062954368726196E-2</v>
      </c>
    </row>
    <row r="10" spans="1:16" x14ac:dyDescent="0.3">
      <c r="B10" s="12" t="s">
        <v>0</v>
      </c>
      <c r="C10" s="12">
        <f t="shared" si="2"/>
        <v>0.27408090326855106</v>
      </c>
      <c r="D10" s="12">
        <f t="shared" si="3"/>
        <v>0.30737850054420213</v>
      </c>
      <c r="E10" s="12">
        <f t="shared" si="4"/>
        <v>0.24577233992814052</v>
      </c>
      <c r="F10" s="12">
        <f t="shared" si="5"/>
        <v>0.24237963424535858</v>
      </c>
      <c r="G10" s="12">
        <f t="shared" si="6"/>
        <v>0.27086194566290756</v>
      </c>
      <c r="H10" s="12">
        <f t="shared" si="7"/>
        <v>0.24577233992814052</v>
      </c>
      <c r="J10" s="12" t="s">
        <v>0</v>
      </c>
      <c r="K10" s="11">
        <f>($J4-$J3) * ((K4+K3))</f>
        <v>0.69636823772819878</v>
      </c>
      <c r="L10" s="11">
        <f t="shared" si="8"/>
        <v>0.67495400187959731</v>
      </c>
      <c r="M10" s="11">
        <f t="shared" si="8"/>
        <v>0.71457394328972035</v>
      </c>
      <c r="N10" s="11">
        <f t="shared" si="8"/>
        <v>0.71675584846007068</v>
      </c>
      <c r="O10" s="11">
        <f t="shared" si="8"/>
        <v>0.69843840263479118</v>
      </c>
      <c r="P10" s="11">
        <f t="shared" si="8"/>
        <v>0.71457394328972035</v>
      </c>
    </row>
    <row r="11" spans="1:16" x14ac:dyDescent="0.3">
      <c r="J11" s="22" t="s">
        <v>53</v>
      </c>
      <c r="K11" s="21">
        <f>SUM(K8:K10)</f>
        <v>0.72881551674675005</v>
      </c>
      <c r="L11" s="21">
        <f t="shared" ref="L11:P11" si="9">SUM(L8:L10)</f>
        <v>0.68973244465331818</v>
      </c>
      <c r="M11" s="21">
        <f t="shared" si="9"/>
        <v>0.76459616670314734</v>
      </c>
      <c r="N11" s="21">
        <f t="shared" si="9"/>
        <v>0.77000815622886587</v>
      </c>
      <c r="O11" s="21">
        <f t="shared" si="9"/>
        <v>0.73524655704605046</v>
      </c>
      <c r="P11" s="21">
        <f t="shared" si="9"/>
        <v>0.74896345143326559</v>
      </c>
    </row>
    <row r="12" spans="1:16" x14ac:dyDescent="0.3">
      <c r="J12" s="23" t="s">
        <v>54</v>
      </c>
      <c r="K12" s="24">
        <f>1-K11</f>
        <v>0.27118448325324995</v>
      </c>
      <c r="L12" s="24">
        <f t="shared" ref="L12:P12" si="10">1-L11</f>
        <v>0.31026755534668182</v>
      </c>
      <c r="M12" s="24">
        <f t="shared" si="10"/>
        <v>0.23540383329685266</v>
      </c>
      <c r="N12" s="24">
        <f t="shared" si="10"/>
        <v>0.22999184377113413</v>
      </c>
      <c r="O12" s="24">
        <f t="shared" si="10"/>
        <v>0.26475344295394954</v>
      </c>
      <c r="P12" s="24">
        <f t="shared" si="10"/>
        <v>0.25103654856673441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22BA-3EA3-441A-BAF3-96E916A94EFE}">
  <dimension ref="A1:P28"/>
  <sheetViews>
    <sheetView zoomScale="95" zoomScaleNormal="115" workbookViewId="0">
      <selection activeCell="J2" sqref="J2:P2"/>
    </sheetView>
  </sheetViews>
  <sheetFormatPr defaultRowHeight="14.4" x14ac:dyDescent="0.3"/>
  <cols>
    <col min="1" max="1" width="15.21875" customWidth="1"/>
    <col min="6" max="10" width="9" bestFit="1" customWidth="1"/>
    <col min="11" max="12" width="12.6640625" bestFit="1" customWidth="1"/>
    <col min="13" max="13" width="9" bestFit="1" customWidth="1"/>
    <col min="14" max="15" width="12.6640625" bestFit="1" customWidth="1"/>
  </cols>
  <sheetData>
    <row r="1" spans="1:16" ht="36.6" customHeight="1" x14ac:dyDescent="0.3">
      <c r="A1" s="13" t="s">
        <v>33</v>
      </c>
      <c r="B1" s="14" t="s">
        <v>34</v>
      </c>
      <c r="C1" s="15" t="s">
        <v>35</v>
      </c>
      <c r="D1" s="15" t="s">
        <v>36</v>
      </c>
      <c r="E1" s="15" t="s">
        <v>37</v>
      </c>
      <c r="F1" s="14" t="s">
        <v>38</v>
      </c>
      <c r="G1" s="15" t="s">
        <v>39</v>
      </c>
      <c r="H1" s="15" t="s">
        <v>40</v>
      </c>
      <c r="I1" s="16" t="s">
        <v>34</v>
      </c>
      <c r="J1" s="17" t="s">
        <v>34</v>
      </c>
      <c r="K1" s="18" t="s">
        <v>35</v>
      </c>
      <c r="L1" s="18" t="s">
        <v>36</v>
      </c>
      <c r="M1" s="18" t="s">
        <v>37</v>
      </c>
      <c r="N1" s="19" t="s">
        <v>38</v>
      </c>
      <c r="O1" s="18" t="s">
        <v>39</v>
      </c>
      <c r="P1" s="18" t="s">
        <v>40</v>
      </c>
    </row>
    <row r="2" spans="1:16" x14ac:dyDescent="0.3">
      <c r="A2" s="12" t="s">
        <v>4</v>
      </c>
      <c r="B2" s="12">
        <v>1.3691694980086853E-2</v>
      </c>
      <c r="C2" s="12">
        <v>1.8264840182648401E-2</v>
      </c>
      <c r="D2" s="12">
        <v>0</v>
      </c>
      <c r="E2" s="12">
        <v>0</v>
      </c>
      <c r="F2" s="12">
        <v>1.3761467889908258E-2</v>
      </c>
      <c r="G2" s="12">
        <v>9.1743119266055051E-3</v>
      </c>
      <c r="H2" s="12">
        <v>5.9523809523809521E-3</v>
      </c>
      <c r="I2" s="12">
        <v>1.3691694980086853E-2</v>
      </c>
      <c r="J2" s="12">
        <v>1.3691694980086853E-2</v>
      </c>
      <c r="K2" s="12">
        <v>1.8264840182648401E-2</v>
      </c>
      <c r="L2" s="12">
        <v>0</v>
      </c>
      <c r="M2" s="12">
        <v>0</v>
      </c>
      <c r="N2" s="12">
        <v>1.3761467889908258E-2</v>
      </c>
      <c r="O2" s="12">
        <v>9.1743119266055051E-3</v>
      </c>
      <c r="P2" s="12">
        <v>5.9523809523809521E-3</v>
      </c>
    </row>
    <row r="3" spans="1:16" x14ac:dyDescent="0.3">
      <c r="A3" s="12" t="s">
        <v>5</v>
      </c>
      <c r="B3" s="12">
        <v>2.4593299282226672E-2</v>
      </c>
      <c r="C3" s="12">
        <v>1.8264840182648401E-2</v>
      </c>
      <c r="D3" s="12">
        <v>5.1546391752577317E-2</v>
      </c>
      <c r="E3" s="12">
        <v>4.6153846153846156E-2</v>
      </c>
      <c r="F3" s="12">
        <v>3.2110091743119268E-2</v>
      </c>
      <c r="G3" s="12">
        <v>2.7522935779816515E-2</v>
      </c>
      <c r="H3" s="12">
        <v>2.976190476190476E-2</v>
      </c>
      <c r="I3" s="12">
        <v>3.8284994262313521E-2</v>
      </c>
      <c r="J3" s="12">
        <f>J2+B3</f>
        <v>3.8284994262313521E-2</v>
      </c>
      <c r="K3" s="12">
        <f>K2+C3</f>
        <v>3.6529680365296802E-2</v>
      </c>
      <c r="L3" s="12">
        <f t="shared" ref="L3:P12" si="0">L2+D3</f>
        <v>5.1546391752577317E-2</v>
      </c>
      <c r="M3" s="12">
        <f t="shared" si="0"/>
        <v>4.6153846153846156E-2</v>
      </c>
      <c r="N3" s="12">
        <f t="shared" si="0"/>
        <v>4.5871559633027525E-2</v>
      </c>
      <c r="O3" s="12">
        <f t="shared" si="0"/>
        <v>3.669724770642202E-2</v>
      </c>
      <c r="P3" s="12">
        <f t="shared" si="0"/>
        <v>3.5714285714285712E-2</v>
      </c>
    </row>
    <row r="4" spans="1:16" x14ac:dyDescent="0.3">
      <c r="A4" s="12" t="s">
        <v>12</v>
      </c>
      <c r="B4" s="12">
        <v>2.7132131794283313E-2</v>
      </c>
      <c r="C4" s="12">
        <v>1.3698630136986301E-2</v>
      </c>
      <c r="D4" s="12">
        <v>1.0309278350515464E-2</v>
      </c>
      <c r="E4" s="12">
        <v>1.5384615384615385E-2</v>
      </c>
      <c r="F4" s="12">
        <v>4.5871559633027525E-3</v>
      </c>
      <c r="G4" s="12">
        <v>1.3761467889908258E-2</v>
      </c>
      <c r="H4" s="12">
        <v>1.1904761904761904E-2</v>
      </c>
      <c r="I4" s="12">
        <v>6.541712605659683E-2</v>
      </c>
      <c r="J4" s="12">
        <f t="shared" ref="J4:K12" si="1">J3+B4</f>
        <v>6.541712605659683E-2</v>
      </c>
      <c r="K4" s="12">
        <f t="shared" si="1"/>
        <v>5.0228310502283102E-2</v>
      </c>
      <c r="L4" s="12">
        <f t="shared" si="0"/>
        <v>6.1855670103092779E-2</v>
      </c>
      <c r="M4" s="12">
        <f t="shared" si="0"/>
        <v>6.1538461538461542E-2</v>
      </c>
      <c r="N4" s="12">
        <f t="shared" si="0"/>
        <v>5.0458715596330278E-2</v>
      </c>
      <c r="O4" s="12">
        <f t="shared" si="0"/>
        <v>5.0458715596330278E-2</v>
      </c>
      <c r="P4" s="12">
        <f t="shared" si="0"/>
        <v>4.7619047619047616E-2</v>
      </c>
    </row>
    <row r="5" spans="1:16" x14ac:dyDescent="0.3">
      <c r="A5" s="12" t="s">
        <v>7</v>
      </c>
      <c r="B5" s="12">
        <v>2.8455924817556572E-2</v>
      </c>
      <c r="C5" s="12">
        <v>2.2831050228310501E-2</v>
      </c>
      <c r="D5" s="12">
        <v>0</v>
      </c>
      <c r="E5" s="12">
        <v>4.6153846153846156E-2</v>
      </c>
      <c r="F5" s="12">
        <v>2.2935779816513763E-2</v>
      </c>
      <c r="G5" s="12">
        <v>2.2935779816513763E-2</v>
      </c>
      <c r="H5" s="12">
        <v>5.9523809523809521E-3</v>
      </c>
      <c r="I5" s="12">
        <v>9.3873050874153402E-2</v>
      </c>
      <c r="J5" s="12">
        <f t="shared" si="1"/>
        <v>9.3873050874153402E-2</v>
      </c>
      <c r="K5" s="12">
        <f t="shared" si="1"/>
        <v>7.3059360730593603E-2</v>
      </c>
      <c r="L5" s="12">
        <f t="shared" si="0"/>
        <v>6.1855670103092779E-2</v>
      </c>
      <c r="M5" s="12">
        <f t="shared" si="0"/>
        <v>0.1076923076923077</v>
      </c>
      <c r="N5" s="12">
        <f t="shared" si="0"/>
        <v>7.3394495412844041E-2</v>
      </c>
      <c r="O5" s="12">
        <f t="shared" si="0"/>
        <v>7.3394495412844041E-2</v>
      </c>
      <c r="P5" s="12">
        <f t="shared" si="0"/>
        <v>5.3571428571428568E-2</v>
      </c>
    </row>
    <row r="6" spans="1:16" x14ac:dyDescent="0.3">
      <c r="A6" s="12" t="s">
        <v>6</v>
      </c>
      <c r="B6" s="12">
        <v>3.063099550735399E-2</v>
      </c>
      <c r="C6" s="12">
        <v>1.8264840182648401E-2</v>
      </c>
      <c r="D6" s="12">
        <v>0</v>
      </c>
      <c r="E6" s="12">
        <v>0</v>
      </c>
      <c r="F6" s="12">
        <v>4.1284403669724773E-2</v>
      </c>
      <c r="G6" s="12">
        <v>2.7522935779816515E-2</v>
      </c>
      <c r="H6" s="12">
        <v>2.3809523809523808E-2</v>
      </c>
      <c r="I6" s="12">
        <v>0.12450404638150739</v>
      </c>
      <c r="J6" s="12">
        <f t="shared" si="1"/>
        <v>0.12450404638150739</v>
      </c>
      <c r="K6" s="12">
        <f t="shared" si="1"/>
        <v>9.1324200913242004E-2</v>
      </c>
      <c r="L6" s="12">
        <f t="shared" si="0"/>
        <v>6.1855670103092779E-2</v>
      </c>
      <c r="M6" s="12">
        <f t="shared" si="0"/>
        <v>0.1076923076923077</v>
      </c>
      <c r="N6" s="12">
        <f t="shared" si="0"/>
        <v>0.11467889908256881</v>
      </c>
      <c r="O6" s="12">
        <f t="shared" si="0"/>
        <v>0.10091743119266056</v>
      </c>
      <c r="P6" s="12">
        <f t="shared" si="0"/>
        <v>7.7380952380952384E-2</v>
      </c>
    </row>
    <row r="7" spans="1:16" x14ac:dyDescent="0.3">
      <c r="A7" s="12" t="s">
        <v>10</v>
      </c>
      <c r="B7" s="12">
        <v>3.1977289261901014E-2</v>
      </c>
      <c r="C7" s="12">
        <v>3.1963470319634701E-2</v>
      </c>
      <c r="D7" s="12">
        <v>2.0618556701030927E-2</v>
      </c>
      <c r="E7" s="12">
        <v>4.6153846153846156E-2</v>
      </c>
      <c r="F7" s="12">
        <v>1.3761467889908258E-2</v>
      </c>
      <c r="G7" s="12">
        <v>4.5871559633027525E-3</v>
      </c>
      <c r="H7" s="12">
        <v>1.7857142857142856E-2</v>
      </c>
      <c r="I7" s="12">
        <v>0.15648133564340841</v>
      </c>
      <c r="J7" s="12">
        <f t="shared" si="1"/>
        <v>0.15648133564340841</v>
      </c>
      <c r="K7" s="12">
        <f t="shared" si="1"/>
        <v>0.12328767123287671</v>
      </c>
      <c r="L7" s="12">
        <f t="shared" si="0"/>
        <v>8.247422680412371E-2</v>
      </c>
      <c r="M7" s="12">
        <f t="shared" si="0"/>
        <v>0.15384615384615385</v>
      </c>
      <c r="N7" s="12">
        <f t="shared" si="0"/>
        <v>0.12844036697247707</v>
      </c>
      <c r="O7" s="12">
        <f t="shared" si="0"/>
        <v>0.10550458715596331</v>
      </c>
      <c r="P7" s="12">
        <f t="shared" si="0"/>
        <v>9.5238095238095233E-2</v>
      </c>
    </row>
    <row r="8" spans="1:16" x14ac:dyDescent="0.3">
      <c r="A8" s="12" t="s">
        <v>11</v>
      </c>
      <c r="B8" s="12">
        <v>4.4063932077792529E-2</v>
      </c>
      <c r="C8" s="12">
        <v>2.7397260273972601E-2</v>
      </c>
      <c r="D8" s="12">
        <v>6.1855670103092786E-2</v>
      </c>
      <c r="E8" s="12">
        <v>0.31538461538461537</v>
      </c>
      <c r="F8" s="12">
        <v>0.31192660550458717</v>
      </c>
      <c r="G8" s="12">
        <v>0.45412844036697247</v>
      </c>
      <c r="H8" s="12">
        <v>0.59523809523809523</v>
      </c>
      <c r="I8" s="12">
        <v>0.20054526772120093</v>
      </c>
      <c r="J8" s="12">
        <f t="shared" si="1"/>
        <v>0.20054526772120093</v>
      </c>
      <c r="K8" s="12">
        <f t="shared" si="1"/>
        <v>0.15068493150684931</v>
      </c>
      <c r="L8" s="12">
        <f t="shared" si="0"/>
        <v>0.14432989690721648</v>
      </c>
      <c r="M8" s="12">
        <f t="shared" si="0"/>
        <v>0.46923076923076923</v>
      </c>
      <c r="N8" s="12">
        <f t="shared" si="0"/>
        <v>0.44036697247706424</v>
      </c>
      <c r="O8" s="12">
        <f t="shared" si="0"/>
        <v>0.55963302752293576</v>
      </c>
      <c r="P8" s="12">
        <f t="shared" si="0"/>
        <v>0.69047619047619047</v>
      </c>
    </row>
    <row r="9" spans="1:16" x14ac:dyDescent="0.3">
      <c r="A9" s="12" t="s">
        <v>8</v>
      </c>
      <c r="B9" s="12">
        <v>6.8132214296964658E-2</v>
      </c>
      <c r="C9" s="12">
        <v>0.1004566210045662</v>
      </c>
      <c r="D9" s="12">
        <v>0.17525773195876287</v>
      </c>
      <c r="E9" s="12">
        <v>8.461538461538462E-2</v>
      </c>
      <c r="F9" s="12">
        <v>5.0458715596330278E-2</v>
      </c>
      <c r="G9" s="12">
        <v>6.8807339449541288E-2</v>
      </c>
      <c r="H9" s="12">
        <v>2.3809523809523808E-2</v>
      </c>
      <c r="I9" s="12">
        <v>0.2686774820181656</v>
      </c>
      <c r="J9" s="12">
        <f t="shared" si="1"/>
        <v>0.2686774820181656</v>
      </c>
      <c r="K9" s="12">
        <f t="shared" si="1"/>
        <v>0.25114155251141551</v>
      </c>
      <c r="L9" s="12">
        <f t="shared" si="0"/>
        <v>0.31958762886597936</v>
      </c>
      <c r="M9" s="12">
        <f t="shared" si="0"/>
        <v>0.55384615384615388</v>
      </c>
      <c r="N9" s="12">
        <f t="shared" si="0"/>
        <v>0.49082568807339455</v>
      </c>
      <c r="O9" s="12">
        <f t="shared" si="0"/>
        <v>0.62844036697247707</v>
      </c>
      <c r="P9" s="12">
        <f t="shared" si="0"/>
        <v>0.7142857142857143</v>
      </c>
    </row>
    <row r="10" spans="1:16" x14ac:dyDescent="0.3">
      <c r="A10" s="12" t="s">
        <v>9</v>
      </c>
      <c r="B10" s="12">
        <v>7.3802398577953787E-2</v>
      </c>
      <c r="C10" s="12">
        <v>6.3926940639269403E-2</v>
      </c>
      <c r="D10" s="12">
        <v>9.2783505154639179E-2</v>
      </c>
      <c r="E10" s="12">
        <v>6.9230769230769235E-2</v>
      </c>
      <c r="F10" s="12">
        <v>9.6330275229357804E-2</v>
      </c>
      <c r="G10" s="12">
        <v>0.11926605504587157</v>
      </c>
      <c r="H10" s="12">
        <v>1.1904761904761904E-2</v>
      </c>
      <c r="I10" s="12">
        <v>0.34247988059611939</v>
      </c>
      <c r="J10" s="12">
        <f t="shared" si="1"/>
        <v>0.34247988059611939</v>
      </c>
      <c r="K10" s="12">
        <f t="shared" si="1"/>
        <v>0.31506849315068491</v>
      </c>
      <c r="L10" s="12">
        <f t="shared" si="0"/>
        <v>0.41237113402061853</v>
      </c>
      <c r="M10" s="12">
        <f t="shared" si="0"/>
        <v>0.62307692307692308</v>
      </c>
      <c r="N10" s="12">
        <f t="shared" si="0"/>
        <v>0.58715596330275233</v>
      </c>
      <c r="O10" s="12">
        <f t="shared" si="0"/>
        <v>0.74770642201834869</v>
      </c>
      <c r="P10" s="12">
        <f t="shared" si="0"/>
        <v>0.72619047619047616</v>
      </c>
    </row>
    <row r="11" spans="1:16" x14ac:dyDescent="0.3">
      <c r="A11" s="12" t="s">
        <v>13</v>
      </c>
      <c r="B11" s="12">
        <v>7.7597521919462384E-2</v>
      </c>
      <c r="C11" s="12">
        <v>0.17808219178082191</v>
      </c>
      <c r="D11" s="12">
        <v>0.17525773195876287</v>
      </c>
      <c r="E11" s="12">
        <v>9.2307692307692313E-2</v>
      </c>
      <c r="F11" s="12">
        <v>0.17889908256880735</v>
      </c>
      <c r="G11" s="12">
        <v>0.14678899082568808</v>
      </c>
      <c r="H11" s="12">
        <v>0.16071428571428573</v>
      </c>
      <c r="I11" s="12">
        <v>0.42007740251558179</v>
      </c>
      <c r="J11" s="12">
        <f t="shared" si="1"/>
        <v>0.42007740251558179</v>
      </c>
      <c r="K11" s="12">
        <f t="shared" si="1"/>
        <v>0.49315068493150682</v>
      </c>
      <c r="L11" s="12">
        <f t="shared" si="0"/>
        <v>0.58762886597938135</v>
      </c>
      <c r="M11" s="12">
        <f t="shared" si="0"/>
        <v>0.7153846153846154</v>
      </c>
      <c r="N11" s="12">
        <f t="shared" si="0"/>
        <v>0.7660550458715597</v>
      </c>
      <c r="O11" s="12">
        <f t="shared" si="0"/>
        <v>0.89449541284403677</v>
      </c>
      <c r="P11" s="12">
        <f t="shared" si="0"/>
        <v>0.88690476190476186</v>
      </c>
    </row>
    <row r="12" spans="1:16" x14ac:dyDescent="0.3">
      <c r="A12" s="12" t="s">
        <v>3</v>
      </c>
      <c r="B12" s="12">
        <v>0.57992259748441821</v>
      </c>
      <c r="C12" s="12">
        <v>0.50684931506849318</v>
      </c>
      <c r="D12" s="12">
        <v>0.41237113402061853</v>
      </c>
      <c r="E12" s="12">
        <v>0.2846153846153846</v>
      </c>
      <c r="F12" s="12">
        <v>0.23394495412844038</v>
      </c>
      <c r="G12" s="12">
        <v>0.10550458715596331</v>
      </c>
      <c r="H12" s="12">
        <v>0.1130952380952381</v>
      </c>
      <c r="I12" s="12">
        <v>1</v>
      </c>
      <c r="J12" s="12">
        <f t="shared" si="1"/>
        <v>1</v>
      </c>
      <c r="K12" s="12">
        <f t="shared" si="1"/>
        <v>1</v>
      </c>
      <c r="L12" s="12">
        <f t="shared" si="0"/>
        <v>0.99999999999999989</v>
      </c>
      <c r="M12" s="12">
        <f t="shared" si="0"/>
        <v>1</v>
      </c>
      <c r="N12" s="12">
        <f t="shared" si="0"/>
        <v>1</v>
      </c>
      <c r="O12" s="12">
        <f t="shared" si="0"/>
        <v>1</v>
      </c>
      <c r="P12" s="12">
        <f t="shared" si="0"/>
        <v>1</v>
      </c>
    </row>
    <row r="14" spans="1:16" x14ac:dyDescent="0.3">
      <c r="P14">
        <v>9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1" t="s">
        <v>47</v>
      </c>
      <c r="L15" s="21" t="s">
        <v>48</v>
      </c>
      <c r="M15" s="21" t="s">
        <v>49</v>
      </c>
      <c r="N15" s="21" t="s">
        <v>50</v>
      </c>
      <c r="O15" s="21" t="s">
        <v>51</v>
      </c>
      <c r="P15" s="21" t="s">
        <v>52</v>
      </c>
    </row>
    <row r="16" spans="1:16" x14ac:dyDescent="0.3">
      <c r="B16" s="12" t="s">
        <v>4</v>
      </c>
      <c r="C16" s="12">
        <f>C2-B2</f>
        <v>4.5731452025615481E-3</v>
      </c>
      <c r="D16" s="12">
        <f>D2-B2</f>
        <v>-1.3691694980086853E-2</v>
      </c>
      <c r="E16" s="12">
        <f>E2-B2</f>
        <v>-1.3691694980086853E-2</v>
      </c>
      <c r="F16" s="12">
        <f>F2-B2</f>
        <v>6.977290982140491E-5</v>
      </c>
      <c r="G16" s="12">
        <f>G2-B2</f>
        <v>-4.5173830534813476E-3</v>
      </c>
      <c r="H16" s="12">
        <f>H2-B2</f>
        <v>-7.7393140277059007E-3</v>
      </c>
      <c r="J16" s="12" t="s">
        <v>4</v>
      </c>
      <c r="K16" s="11">
        <f>($J2-0) * ((K2+0))</f>
        <v>2.5007662064085572E-4</v>
      </c>
      <c r="L16" s="11">
        <f t="shared" ref="L16:P16" si="2">($J2-0) * ((L2+0))</f>
        <v>0</v>
      </c>
      <c r="M16" s="11">
        <f t="shared" si="2"/>
        <v>0</v>
      </c>
      <c r="N16" s="11">
        <f t="shared" si="2"/>
        <v>1.8841782082688329E-4</v>
      </c>
      <c r="O16" s="11">
        <f t="shared" si="2"/>
        <v>1.2561188055125553E-4</v>
      </c>
      <c r="P16" s="11">
        <f t="shared" si="2"/>
        <v>8.1498184405278887E-5</v>
      </c>
    </row>
    <row r="17" spans="2:16" x14ac:dyDescent="0.3">
      <c r="B17" s="12" t="s">
        <v>5</v>
      </c>
      <c r="C17" s="12">
        <f t="shared" ref="C17:C26" si="3">C3-B3</f>
        <v>-6.3284590995782708E-3</v>
      </c>
      <c r="D17" s="12">
        <f t="shared" ref="D17:D26" si="4">D3-B3</f>
        <v>2.6953092470350645E-2</v>
      </c>
      <c r="E17" s="12">
        <f t="shared" ref="E17:E26" si="5">E3-B3</f>
        <v>2.1560546871619485E-2</v>
      </c>
      <c r="F17" s="12">
        <f t="shared" ref="F17:F26" si="6">F3-B3</f>
        <v>7.5167924608925962E-3</v>
      </c>
      <c r="G17" s="12">
        <f t="shared" ref="G17:G26" si="7">G3-B3</f>
        <v>2.9296364975898437E-3</v>
      </c>
      <c r="H17" s="12">
        <f t="shared" ref="H17:H26" si="8">H3-B3</f>
        <v>5.1686054796780886E-3</v>
      </c>
      <c r="J17" s="12" t="s">
        <v>5</v>
      </c>
      <c r="K17" s="11">
        <f>($J3-$J2) * ((K3+K2))</f>
        <v>1.3475780428617351E-3</v>
      </c>
      <c r="L17" s="11">
        <f t="shared" ref="L17:P17" si="9">($J3-$J2) * ((L3+L2))</f>
        <v>1.2676958392900343E-3</v>
      </c>
      <c r="M17" s="11">
        <f t="shared" si="9"/>
        <v>1.1350753514873847E-3</v>
      </c>
      <c r="N17" s="11">
        <f t="shared" si="9"/>
        <v>1.4665728929768198E-3</v>
      </c>
      <c r="O17" s="11">
        <f t="shared" si="9"/>
        <v>1.1281329945975536E-3</v>
      </c>
      <c r="P17" s="11">
        <f t="shared" si="9"/>
        <v>1.024720803426111E-3</v>
      </c>
    </row>
    <row r="18" spans="2:16" x14ac:dyDescent="0.3">
      <c r="B18" s="12" t="s">
        <v>12</v>
      </c>
      <c r="C18" s="12">
        <f t="shared" si="3"/>
        <v>-1.3433501657297012E-2</v>
      </c>
      <c r="D18" s="12">
        <f t="shared" si="4"/>
        <v>-1.6822853443767848E-2</v>
      </c>
      <c r="E18" s="12">
        <f t="shared" si="5"/>
        <v>-1.1747516409667928E-2</v>
      </c>
      <c r="F18" s="12">
        <f t="shared" si="6"/>
        <v>-2.254497583098056E-2</v>
      </c>
      <c r="G18" s="12">
        <f t="shared" si="7"/>
        <v>-1.3370663904375055E-2</v>
      </c>
      <c r="H18" s="12">
        <f t="shared" si="8"/>
        <v>-1.5227369889521409E-2</v>
      </c>
      <c r="J18" s="12" t="s">
        <v>12</v>
      </c>
      <c r="K18" s="11">
        <f t="shared" ref="K18:P26" si="10">($J4-$J3) * ((K4+K3))</f>
        <v>2.3539292424264056E-3</v>
      </c>
      <c r="L18" s="11">
        <f t="shared" si="10"/>
        <v>3.0768396880115089E-3</v>
      </c>
      <c r="M18" s="11">
        <f t="shared" si="10"/>
        <v>2.9219218855382027E-3</v>
      </c>
      <c r="N18" s="11">
        <f t="shared" si="10"/>
        <v>2.6136457233025207E-3</v>
      </c>
      <c r="O18" s="11">
        <f t="shared" si="10"/>
        <v>2.364727082987995E-3</v>
      </c>
      <c r="P18" s="11">
        <f t="shared" si="10"/>
        <v>2.2610109828569425E-3</v>
      </c>
    </row>
    <row r="19" spans="2:16" x14ac:dyDescent="0.3">
      <c r="B19" s="12" t="s">
        <v>7</v>
      </c>
      <c r="C19" s="12">
        <f t="shared" si="3"/>
        <v>-5.6248745892460705E-3</v>
      </c>
      <c r="D19" s="12">
        <f t="shared" si="4"/>
        <v>-2.8455924817556572E-2</v>
      </c>
      <c r="E19" s="12">
        <f t="shared" si="5"/>
        <v>1.7697921336289585E-2</v>
      </c>
      <c r="F19" s="12">
        <f t="shared" si="6"/>
        <v>-5.5201450010428088E-3</v>
      </c>
      <c r="G19" s="12">
        <f t="shared" si="7"/>
        <v>-5.5201450010428088E-3</v>
      </c>
      <c r="H19" s="12">
        <f t="shared" si="8"/>
        <v>-2.2503543865175619E-2</v>
      </c>
      <c r="J19" s="12" t="s">
        <v>7</v>
      </c>
      <c r="K19" s="11">
        <f t="shared" si="10"/>
        <v>3.5082647035343715E-3</v>
      </c>
      <c r="L19" s="11">
        <f t="shared" si="10"/>
        <v>3.5203205959863796E-3</v>
      </c>
      <c r="M19" s="11">
        <f t="shared" si="10"/>
        <v>4.8156180460480359E-3</v>
      </c>
      <c r="N19" s="11">
        <f t="shared" si="10"/>
        <v>3.5243576608900342E-3</v>
      </c>
      <c r="O19" s="11">
        <f t="shared" si="10"/>
        <v>3.5243576608900342E-3</v>
      </c>
      <c r="P19" s="11">
        <f t="shared" si="10"/>
        <v>2.8794685827289389E-3</v>
      </c>
    </row>
    <row r="20" spans="2:16" x14ac:dyDescent="0.3">
      <c r="B20" s="12" t="s">
        <v>6</v>
      </c>
      <c r="C20" s="12">
        <f t="shared" si="3"/>
        <v>-1.2366155324705589E-2</v>
      </c>
      <c r="D20" s="12">
        <f t="shared" si="4"/>
        <v>-3.063099550735399E-2</v>
      </c>
      <c r="E20" s="12">
        <f t="shared" si="5"/>
        <v>-3.063099550735399E-2</v>
      </c>
      <c r="F20" s="12">
        <f t="shared" si="6"/>
        <v>1.0653408162370783E-2</v>
      </c>
      <c r="G20" s="12">
        <f t="shared" si="7"/>
        <v>-3.1080597275374745E-3</v>
      </c>
      <c r="H20" s="12">
        <f t="shared" si="8"/>
        <v>-6.8214716978301816E-3</v>
      </c>
      <c r="J20" s="12" t="s">
        <v>6</v>
      </c>
      <c r="K20" s="11">
        <f t="shared" si="10"/>
        <v>5.0352321381951755E-3</v>
      </c>
      <c r="L20" s="11">
        <f t="shared" si="10"/>
        <v>3.7894015060644104E-3</v>
      </c>
      <c r="M20" s="11">
        <f t="shared" si="10"/>
        <v>6.5974451861993202E-3</v>
      </c>
      <c r="N20" s="11">
        <f t="shared" si="10"/>
        <v>5.7608753018418054E-3</v>
      </c>
      <c r="O20" s="11">
        <f t="shared" si="10"/>
        <v>5.3393478407314293E-3</v>
      </c>
      <c r="P20" s="11">
        <f t="shared" si="10"/>
        <v>4.0112017926296891E-3</v>
      </c>
    </row>
    <row r="21" spans="2:16" x14ac:dyDescent="0.3">
      <c r="B21" s="12" t="s">
        <v>10</v>
      </c>
      <c r="C21" s="12">
        <f t="shared" si="3"/>
        <v>-1.3818942266312362E-5</v>
      </c>
      <c r="D21" s="12">
        <f t="shared" si="4"/>
        <v>-1.1358732560870086E-2</v>
      </c>
      <c r="E21" s="12">
        <f t="shared" si="5"/>
        <v>1.4176556891945143E-2</v>
      </c>
      <c r="F21" s="12">
        <f t="shared" si="6"/>
        <v>-1.8215821371992756E-2</v>
      </c>
      <c r="G21" s="12">
        <f t="shared" si="7"/>
        <v>-2.7390133298598261E-2</v>
      </c>
      <c r="H21" s="12">
        <f t="shared" si="8"/>
        <v>-1.4120146404758158E-2</v>
      </c>
      <c r="J21" s="12" t="s">
        <v>10</v>
      </c>
      <c r="K21" s="11">
        <f t="shared" si="10"/>
        <v>6.8627059146545563E-3</v>
      </c>
      <c r="L21" s="11">
        <f t="shared" si="10"/>
        <v>4.6152788625424147E-3</v>
      </c>
      <c r="M21" s="11">
        <f t="shared" si="10"/>
        <v>8.3632910377279598E-3</v>
      </c>
      <c r="N21" s="11">
        <f t="shared" si="10"/>
        <v>7.7742950957832759E-3</v>
      </c>
      <c r="O21" s="11">
        <f t="shared" si="10"/>
        <v>6.6008165907593857E-3</v>
      </c>
      <c r="P21" s="11">
        <f t="shared" si="10"/>
        <v>5.5198892178281523E-3</v>
      </c>
    </row>
    <row r="22" spans="2:16" x14ac:dyDescent="0.3">
      <c r="B22" s="12" t="s">
        <v>11</v>
      </c>
      <c r="C22" s="12">
        <f t="shared" si="3"/>
        <v>-1.6666671803819928E-2</v>
      </c>
      <c r="D22" s="12">
        <f t="shared" si="4"/>
        <v>1.7791738025300256E-2</v>
      </c>
      <c r="E22" s="12">
        <f t="shared" si="5"/>
        <v>0.27132068330682285</v>
      </c>
      <c r="F22" s="12">
        <f t="shared" si="6"/>
        <v>0.26786267342679465</v>
      </c>
      <c r="G22" s="12">
        <f t="shared" si="7"/>
        <v>0.41006450828917995</v>
      </c>
      <c r="H22" s="12">
        <f t="shared" si="8"/>
        <v>0.55117416316030265</v>
      </c>
      <c r="J22" s="12" t="s">
        <v>11</v>
      </c>
      <c r="K22" s="11">
        <f t="shared" si="10"/>
        <v>1.2072310158299321E-2</v>
      </c>
      <c r="L22" s="11">
        <f t="shared" si="10"/>
        <v>9.9938815021797453E-3</v>
      </c>
      <c r="M22" s="11">
        <f t="shared" si="10"/>
        <v>2.7455219217701495E-2</v>
      </c>
      <c r="N22" s="11">
        <f t="shared" si="10"/>
        <v>2.5063887970854463E-2</v>
      </c>
      <c r="O22" s="11">
        <f t="shared" si="10"/>
        <v>2.9308578675595946E-2</v>
      </c>
      <c r="P22" s="11">
        <f t="shared" si="10"/>
        <v>3.4621660918265552E-2</v>
      </c>
    </row>
    <row r="23" spans="2:16" x14ac:dyDescent="0.3">
      <c r="B23" s="12" t="s">
        <v>8</v>
      </c>
      <c r="C23" s="12">
        <f t="shared" si="3"/>
        <v>3.2324406707601547E-2</v>
      </c>
      <c r="D23" s="12">
        <f t="shared" si="4"/>
        <v>0.10712551766179822</v>
      </c>
      <c r="E23" s="12">
        <f t="shared" si="5"/>
        <v>1.6483170318419962E-2</v>
      </c>
      <c r="F23" s="12">
        <f t="shared" si="6"/>
        <v>-1.767349870063438E-2</v>
      </c>
      <c r="G23" s="12">
        <f t="shared" si="7"/>
        <v>6.7512515257663053E-4</v>
      </c>
      <c r="H23" s="12">
        <f t="shared" si="8"/>
        <v>-4.4322690487440849E-2</v>
      </c>
      <c r="J23" s="12" t="s">
        <v>8</v>
      </c>
      <c r="K23" s="11">
        <f t="shared" si="10"/>
        <v>2.7377328119328269E-2</v>
      </c>
      <c r="L23" s="11">
        <f t="shared" si="10"/>
        <v>3.1607728282097007E-2</v>
      </c>
      <c r="M23" s="11">
        <f t="shared" si="10"/>
        <v>6.9704496165356164E-2</v>
      </c>
      <c r="N23" s="11">
        <f t="shared" si="10"/>
        <v>6.3444217900384542E-2</v>
      </c>
      <c r="O23" s="11">
        <f t="shared" si="10"/>
        <v>8.0946071114283716E-2</v>
      </c>
      <c r="P23" s="11">
        <f t="shared" si="10"/>
        <v>9.5709539131450361E-2</v>
      </c>
    </row>
    <row r="24" spans="2:16" x14ac:dyDescent="0.3">
      <c r="B24" s="12" t="s">
        <v>9</v>
      </c>
      <c r="C24" s="12">
        <f t="shared" si="3"/>
        <v>-9.8754579386843844E-3</v>
      </c>
      <c r="D24" s="12">
        <f t="shared" si="4"/>
        <v>1.8981106576685391E-2</v>
      </c>
      <c r="E24" s="12">
        <f t="shared" si="5"/>
        <v>-4.5716293471845526E-3</v>
      </c>
      <c r="F24" s="12">
        <f t="shared" si="6"/>
        <v>2.2527876651404016E-2</v>
      </c>
      <c r="G24" s="12">
        <f t="shared" si="7"/>
        <v>4.5463656467917779E-2</v>
      </c>
      <c r="H24" s="12">
        <f t="shared" si="8"/>
        <v>-6.1897636673191883E-2</v>
      </c>
      <c r="J24" s="12" t="s">
        <v>9</v>
      </c>
      <c r="K24" s="11">
        <f t="shared" si="10"/>
        <v>4.178765946879575E-2</v>
      </c>
      <c r="L24" s="11">
        <f t="shared" si="10"/>
        <v>5.4020312361182668E-2</v>
      </c>
      <c r="M24" s="11">
        <f t="shared" si="10"/>
        <v>8.6859746018668693E-2</v>
      </c>
      <c r="N24" s="11">
        <f t="shared" si="10"/>
        <v>7.9557631494583211E-2</v>
      </c>
      <c r="O24" s="11">
        <f t="shared" si="10"/>
        <v>0.1015629338228722</v>
      </c>
      <c r="P24" s="11">
        <f t="shared" si="10"/>
        <v>0.10631059795157628</v>
      </c>
    </row>
    <row r="25" spans="2:16" x14ac:dyDescent="0.3">
      <c r="B25" s="12" t="s">
        <v>13</v>
      </c>
      <c r="C25" s="12">
        <f t="shared" si="3"/>
        <v>0.10048466986135952</v>
      </c>
      <c r="D25" s="12">
        <f t="shared" si="4"/>
        <v>9.7660210039300491E-2</v>
      </c>
      <c r="E25" s="12">
        <f t="shared" si="5"/>
        <v>1.4710170388229929E-2</v>
      </c>
      <c r="F25" s="12">
        <f t="shared" si="6"/>
        <v>0.10130156064934497</v>
      </c>
      <c r="G25" s="12">
        <f t="shared" si="7"/>
        <v>6.9191468906225698E-2</v>
      </c>
      <c r="H25" s="12">
        <f t="shared" si="8"/>
        <v>8.3116763794823342E-2</v>
      </c>
      <c r="J25" s="12" t="s">
        <v>13</v>
      </c>
      <c r="K25" s="11">
        <f t="shared" si="10"/>
        <v>6.2715805386962753E-2</v>
      </c>
      <c r="L25" s="11">
        <f t="shared" si="10"/>
        <v>7.7597521919462384E-2</v>
      </c>
      <c r="M25" s="11">
        <f t="shared" si="10"/>
        <v>0.1038612985691266</v>
      </c>
      <c r="N25" s="11">
        <f t="shared" si="10"/>
        <v>0.10500582094606151</v>
      </c>
      <c r="O25" s="11">
        <f t="shared" si="10"/>
        <v>0.12743079287691533</v>
      </c>
      <c r="P25" s="11">
        <f t="shared" si="10"/>
        <v>0.12517219309627567</v>
      </c>
    </row>
    <row r="26" spans="2:16" x14ac:dyDescent="0.3">
      <c r="B26" s="12" t="s">
        <v>3</v>
      </c>
      <c r="C26" s="12">
        <f t="shared" si="3"/>
        <v>-7.3073282415925034E-2</v>
      </c>
      <c r="D26" s="12">
        <f t="shared" si="4"/>
        <v>-0.16755146346379968</v>
      </c>
      <c r="E26" s="12">
        <f t="shared" si="5"/>
        <v>-0.29530721286903361</v>
      </c>
      <c r="F26" s="12">
        <f t="shared" si="6"/>
        <v>-0.3459776433559778</v>
      </c>
      <c r="G26" s="12">
        <f t="shared" si="7"/>
        <v>-0.47441801032845488</v>
      </c>
      <c r="H26" s="12">
        <f t="shared" si="8"/>
        <v>-0.46682735938918013</v>
      </c>
      <c r="J26" s="12" t="s">
        <v>3</v>
      </c>
      <c r="K26" s="11">
        <f t="shared" si="10"/>
        <v>0.86591182364111763</v>
      </c>
      <c r="L26" s="11">
        <f t="shared" si="10"/>
        <v>0.92070185580000397</v>
      </c>
      <c r="M26" s="11">
        <f t="shared" si="10"/>
        <v>0.99479030183865591</v>
      </c>
      <c r="N26" s="11">
        <f t="shared" si="10"/>
        <v>1.0241752295022981</v>
      </c>
      <c r="O26" s="11">
        <f t="shared" si="10"/>
        <v>1.0986607007388289</v>
      </c>
      <c r="P26" s="11">
        <f t="shared" si="10"/>
        <v>1.0942587107295272</v>
      </c>
    </row>
    <row r="27" spans="2:16" x14ac:dyDescent="0.3">
      <c r="J27" s="22" t="s">
        <v>53</v>
      </c>
      <c r="K27" s="21">
        <f>SUM(K16:K26)</f>
        <v>1.0292227134368168</v>
      </c>
      <c r="L27" s="21">
        <f t="shared" ref="L27:P27" si="11">SUM(L16:L26)</f>
        <v>1.1101908363568205</v>
      </c>
      <c r="M27" s="21">
        <f t="shared" si="11"/>
        <v>1.3065044133165098</v>
      </c>
      <c r="N27" s="21">
        <f t="shared" si="11"/>
        <v>1.3185749523098031</v>
      </c>
      <c r="O27" s="21">
        <f t="shared" si="11"/>
        <v>1.4569920712790139</v>
      </c>
      <c r="P27" s="21">
        <f t="shared" si="11"/>
        <v>1.47185049139097</v>
      </c>
    </row>
    <row r="28" spans="2:16" x14ac:dyDescent="0.3">
      <c r="J28" s="23" t="s">
        <v>54</v>
      </c>
      <c r="K28" s="24">
        <f>1-K27</f>
        <v>-2.9222713436816816E-2</v>
      </c>
      <c r="L28" s="24">
        <f t="shared" ref="L28:P28" si="12">1-L27</f>
        <v>-0.11019083635682048</v>
      </c>
      <c r="M28" s="24">
        <f t="shared" si="12"/>
        <v>-0.30650441331650979</v>
      </c>
      <c r="N28" s="24">
        <f t="shared" si="12"/>
        <v>-0.31857495230980315</v>
      </c>
      <c r="O28" s="24">
        <f t="shared" si="12"/>
        <v>-0.45699207127901387</v>
      </c>
      <c r="P28" s="24">
        <f t="shared" si="12"/>
        <v>-0.47185049139097002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A0E0-4AC6-4485-B08F-ABB0F87DBF1A}">
  <dimension ref="A1:P19"/>
  <sheetViews>
    <sheetView zoomScale="106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15</v>
      </c>
      <c r="B2" s="12">
        <v>2.9827199966344486E-2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2.9827199966344486E-2</v>
      </c>
      <c r="J2" s="12">
        <v>2.9827199966344486E-2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x14ac:dyDescent="0.3">
      <c r="A3" s="12" t="s">
        <v>19</v>
      </c>
      <c r="B3" s="12">
        <v>3.5380359903661091E-2</v>
      </c>
      <c r="C3" s="12">
        <v>2.8985507246376812E-2</v>
      </c>
      <c r="D3" s="12">
        <v>3.4883720930232558E-2</v>
      </c>
      <c r="E3" s="12">
        <v>2.0833333333333332E-2</v>
      </c>
      <c r="F3" s="12">
        <v>1.6393442622950821E-2</v>
      </c>
      <c r="G3" s="12">
        <v>6.0606060606060608E-2</v>
      </c>
      <c r="H3" s="12">
        <v>2.5000000000000001E-2</v>
      </c>
      <c r="I3" s="12">
        <v>6.520755987000558E-2</v>
      </c>
      <c r="J3" s="12">
        <f>J2+B3</f>
        <v>6.520755987000558E-2</v>
      </c>
      <c r="K3" s="12">
        <f t="shared" ref="K3:P8" si="0">K2+C3</f>
        <v>2.8985507246376812E-2</v>
      </c>
      <c r="L3" s="12">
        <f t="shared" si="0"/>
        <v>3.4883720930232558E-2</v>
      </c>
      <c r="M3" s="12">
        <f t="shared" si="0"/>
        <v>2.0833333333333332E-2</v>
      </c>
      <c r="N3" s="12">
        <f t="shared" si="0"/>
        <v>1.6393442622950821E-2</v>
      </c>
      <c r="O3" s="12">
        <f t="shared" si="0"/>
        <v>6.0606060606060608E-2</v>
      </c>
      <c r="P3" s="12">
        <f t="shared" si="0"/>
        <v>2.5000000000000001E-2</v>
      </c>
    </row>
    <row r="4" spans="1:16" x14ac:dyDescent="0.3">
      <c r="A4" s="12" t="s">
        <v>17</v>
      </c>
      <c r="B4" s="12">
        <v>3.9261261450763037E-2</v>
      </c>
      <c r="C4" s="12">
        <v>0</v>
      </c>
      <c r="D4" s="12">
        <v>1.1627906976744186E-2</v>
      </c>
      <c r="E4" s="12">
        <v>0</v>
      </c>
      <c r="F4" s="12">
        <v>1.6393442622950821E-2</v>
      </c>
      <c r="G4" s="12">
        <v>4.5454545454545456E-2</v>
      </c>
      <c r="H4" s="12">
        <v>7.4999999999999997E-2</v>
      </c>
      <c r="I4" s="12">
        <v>0.10446882132076862</v>
      </c>
      <c r="J4" s="12">
        <f t="shared" ref="J4:J8" si="1">J3+B4</f>
        <v>0.10446882132076862</v>
      </c>
      <c r="K4" s="12">
        <f t="shared" si="0"/>
        <v>2.8985507246376812E-2</v>
      </c>
      <c r="L4" s="12">
        <f t="shared" si="0"/>
        <v>4.6511627906976744E-2</v>
      </c>
      <c r="M4" s="12">
        <f t="shared" si="0"/>
        <v>2.0833333333333332E-2</v>
      </c>
      <c r="N4" s="12">
        <f t="shared" si="0"/>
        <v>3.2786885245901641E-2</v>
      </c>
      <c r="O4" s="12">
        <f t="shared" si="0"/>
        <v>0.10606060606060606</v>
      </c>
      <c r="P4" s="12">
        <f t="shared" si="0"/>
        <v>0.1</v>
      </c>
    </row>
    <row r="5" spans="1:16" x14ac:dyDescent="0.3">
      <c r="A5" s="12" t="s">
        <v>20</v>
      </c>
      <c r="B5" s="12">
        <v>6.6984991743881533E-2</v>
      </c>
      <c r="C5" s="12">
        <v>2.8985507246376812E-2</v>
      </c>
      <c r="D5" s="12">
        <v>5.8139534883720929E-2</v>
      </c>
      <c r="E5" s="12">
        <v>0.14583333333333334</v>
      </c>
      <c r="F5" s="12">
        <v>5.737704918032787E-2</v>
      </c>
      <c r="G5" s="12">
        <v>6.0606060606060608E-2</v>
      </c>
      <c r="H5" s="12">
        <v>0.05</v>
      </c>
      <c r="I5" s="12">
        <v>0.17145381306465016</v>
      </c>
      <c r="J5" s="12">
        <f t="shared" si="1"/>
        <v>0.17145381306465016</v>
      </c>
      <c r="K5" s="12">
        <f t="shared" si="0"/>
        <v>5.7971014492753624E-2</v>
      </c>
      <c r="L5" s="12">
        <f t="shared" si="0"/>
        <v>0.10465116279069767</v>
      </c>
      <c r="M5" s="12">
        <f t="shared" si="0"/>
        <v>0.16666666666666669</v>
      </c>
      <c r="N5" s="12">
        <f t="shared" si="0"/>
        <v>9.0163934426229511E-2</v>
      </c>
      <c r="O5" s="12">
        <f t="shared" si="0"/>
        <v>0.16666666666666669</v>
      </c>
      <c r="P5" s="12">
        <f t="shared" si="0"/>
        <v>0.15000000000000002</v>
      </c>
    </row>
    <row r="6" spans="1:16" x14ac:dyDescent="0.3">
      <c r="A6" s="12" t="s">
        <v>18</v>
      </c>
      <c r="B6" s="12">
        <v>0.12995235641190142</v>
      </c>
      <c r="C6" s="12">
        <v>4.3478260869565216E-2</v>
      </c>
      <c r="D6" s="12">
        <v>4.6511627906976744E-2</v>
      </c>
      <c r="E6" s="12">
        <v>4.1666666666666664E-2</v>
      </c>
      <c r="F6" s="12">
        <v>3.2786885245901641E-2</v>
      </c>
      <c r="G6" s="12">
        <v>6.0606060606060608E-2</v>
      </c>
      <c r="H6" s="12">
        <v>0</v>
      </c>
      <c r="I6" s="12">
        <v>0.30140616947655158</v>
      </c>
      <c r="J6" s="12">
        <f t="shared" si="1"/>
        <v>0.30140616947655158</v>
      </c>
      <c r="K6" s="12">
        <f t="shared" si="0"/>
        <v>0.10144927536231885</v>
      </c>
      <c r="L6" s="12">
        <f t="shared" si="0"/>
        <v>0.15116279069767441</v>
      </c>
      <c r="M6" s="12">
        <f t="shared" si="0"/>
        <v>0.20833333333333334</v>
      </c>
      <c r="N6" s="12">
        <f t="shared" si="0"/>
        <v>0.12295081967213115</v>
      </c>
      <c r="O6" s="12">
        <f t="shared" si="0"/>
        <v>0.22727272727272729</v>
      </c>
      <c r="P6" s="12">
        <f t="shared" si="0"/>
        <v>0.15000000000000002</v>
      </c>
    </row>
    <row r="7" spans="1:16" x14ac:dyDescent="0.3">
      <c r="A7" s="12" t="s">
        <v>16</v>
      </c>
      <c r="B7" s="12">
        <v>0.31908583208001601</v>
      </c>
      <c r="C7" s="12">
        <v>0.50724637681159424</v>
      </c>
      <c r="D7" s="12">
        <v>0.26744186046511625</v>
      </c>
      <c r="E7" s="12">
        <v>0.16666666666666666</v>
      </c>
      <c r="F7" s="12">
        <v>0.46721311475409838</v>
      </c>
      <c r="G7" s="12">
        <v>0.34848484848484851</v>
      </c>
      <c r="H7" s="12">
        <v>0.52500000000000002</v>
      </c>
      <c r="I7" s="12">
        <v>0.62049200155656759</v>
      </c>
      <c r="J7" s="12">
        <f t="shared" si="1"/>
        <v>0.62049200155656759</v>
      </c>
      <c r="K7" s="12">
        <f t="shared" si="0"/>
        <v>0.60869565217391308</v>
      </c>
      <c r="L7" s="12">
        <f t="shared" si="0"/>
        <v>0.41860465116279066</v>
      </c>
      <c r="M7" s="12">
        <f t="shared" si="0"/>
        <v>0.375</v>
      </c>
      <c r="N7" s="12">
        <f t="shared" si="0"/>
        <v>0.5901639344262295</v>
      </c>
      <c r="O7" s="12">
        <f t="shared" si="0"/>
        <v>0.5757575757575758</v>
      </c>
      <c r="P7" s="12">
        <f t="shared" si="0"/>
        <v>0.67500000000000004</v>
      </c>
    </row>
    <row r="8" spans="1:16" x14ac:dyDescent="0.3">
      <c r="A8" s="12" t="s">
        <v>14</v>
      </c>
      <c r="B8" s="12">
        <v>0.37950799844343241</v>
      </c>
      <c r="C8" s="12">
        <v>0.39130434782608697</v>
      </c>
      <c r="D8" s="12">
        <v>0.58139534883720934</v>
      </c>
      <c r="E8" s="12">
        <v>0.625</v>
      </c>
      <c r="F8" s="12">
        <v>0.4098360655737705</v>
      </c>
      <c r="G8" s="12">
        <v>0.42424242424242425</v>
      </c>
      <c r="H8" s="12">
        <v>0.32500000000000001</v>
      </c>
      <c r="I8" s="12">
        <v>1</v>
      </c>
      <c r="J8" s="12">
        <f t="shared" si="1"/>
        <v>1</v>
      </c>
      <c r="K8" s="12">
        <f t="shared" si="0"/>
        <v>1</v>
      </c>
      <c r="L8" s="12">
        <f t="shared" si="0"/>
        <v>1</v>
      </c>
      <c r="M8" s="12">
        <f t="shared" si="0"/>
        <v>1</v>
      </c>
      <c r="N8" s="12">
        <f t="shared" si="0"/>
        <v>1</v>
      </c>
      <c r="O8" s="12">
        <f t="shared" si="0"/>
        <v>1</v>
      </c>
      <c r="P8" s="12">
        <f t="shared" si="0"/>
        <v>1</v>
      </c>
    </row>
    <row r="10" spans="1:16" ht="28.8" x14ac:dyDescent="0.3">
      <c r="B10" s="1" t="s">
        <v>33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J10" s="11"/>
      <c r="K10" s="21" t="s">
        <v>47</v>
      </c>
      <c r="L10" s="21" t="s">
        <v>48</v>
      </c>
      <c r="M10" s="21" t="s">
        <v>49</v>
      </c>
      <c r="N10" s="21" t="s">
        <v>50</v>
      </c>
      <c r="O10" s="21" t="s">
        <v>51</v>
      </c>
      <c r="P10" s="21" t="s">
        <v>52</v>
      </c>
    </row>
    <row r="11" spans="1:16" x14ac:dyDescent="0.3">
      <c r="B11" s="12" t="s">
        <v>15</v>
      </c>
      <c r="C11" s="12">
        <f>C2-B2</f>
        <v>-2.9827199966344486E-2</v>
      </c>
      <c r="D11" s="12">
        <f>D2-B2</f>
        <v>-2.9827199966344486E-2</v>
      </c>
      <c r="E11" s="12">
        <f>E2-B2</f>
        <v>-2.9827199966344486E-2</v>
      </c>
      <c r="F11" s="12">
        <f>F2-B2</f>
        <v>-2.9827199966344486E-2</v>
      </c>
      <c r="G11" s="12">
        <f>G2-B2</f>
        <v>-2.9827199966344486E-2</v>
      </c>
      <c r="H11" s="12">
        <f>H2-B2</f>
        <v>-2.9827199966344486E-2</v>
      </c>
      <c r="J11" s="12" t="s">
        <v>15</v>
      </c>
      <c r="K11" s="11">
        <f>(J2-0) * ((K2+0))</f>
        <v>0</v>
      </c>
      <c r="L11" s="11">
        <f>(J2-0) * ((L2+0))</f>
        <v>0</v>
      </c>
      <c r="M11" s="11">
        <f>(J2-0) * ((M2+0))</f>
        <v>0</v>
      </c>
      <c r="N11" s="11">
        <f>(J2-0) * ((N2+0))</f>
        <v>0</v>
      </c>
      <c r="O11" s="11">
        <f>(J2-0) * ((O2+0))</f>
        <v>0</v>
      </c>
      <c r="P11" s="11">
        <f>(J2-0) * ((P2+0))</f>
        <v>0</v>
      </c>
    </row>
    <row r="12" spans="1:16" x14ac:dyDescent="0.3">
      <c r="B12" s="12" t="s">
        <v>19</v>
      </c>
      <c r="C12" s="12">
        <f t="shared" ref="C12:C17" si="2">C3-B3</f>
        <v>-6.3948526572842786E-3</v>
      </c>
      <c r="D12" s="12">
        <f t="shared" ref="D12:D17" si="3">D3-B3</f>
        <v>-4.9663897342853286E-4</v>
      </c>
      <c r="E12" s="12">
        <f t="shared" ref="E12:E17" si="4">E3-B3</f>
        <v>-1.4547026570327758E-2</v>
      </c>
      <c r="F12" s="12">
        <f t="shared" ref="F12:F17" si="5">F3-B3</f>
        <v>-1.898691728071027E-2</v>
      </c>
      <c r="G12" s="12">
        <f t="shared" ref="G12:G17" si="6">G3-B3</f>
        <v>2.5225700702399517E-2</v>
      </c>
      <c r="H12" s="12">
        <f t="shared" ref="H12:H17" si="7">H3-B3</f>
        <v>-1.0380359903661089E-2</v>
      </c>
      <c r="J12" s="12" t="s">
        <v>19</v>
      </c>
      <c r="K12" s="11">
        <f>(J3-J2) * ((K3+K2))</f>
        <v>1.0255176783669881E-3</v>
      </c>
      <c r="L12" s="11">
        <f>(J3-J2) * ((L3+L2))</f>
        <v>1.2341986012905032E-3</v>
      </c>
      <c r="M12" s="11">
        <f>(J3-J2) * ((M3+M2))</f>
        <v>7.3709083132627272E-4</v>
      </c>
      <c r="N12" s="11">
        <f>(J3-J2) * ((N3+N2))</f>
        <v>5.8000590006001792E-4</v>
      </c>
      <c r="O12" s="11">
        <f>(J3-J2) * ((O3+O2))</f>
        <v>2.1442642365855206E-3</v>
      </c>
      <c r="P12" s="11">
        <f>(J3-J2) * ((P3+P2))</f>
        <v>8.8450899759152728E-4</v>
      </c>
    </row>
    <row r="13" spans="1:16" x14ac:dyDescent="0.3">
      <c r="B13" s="12" t="s">
        <v>17</v>
      </c>
      <c r="C13" s="12">
        <f t="shared" si="2"/>
        <v>-3.9261261450763037E-2</v>
      </c>
      <c r="D13" s="12">
        <f t="shared" si="3"/>
        <v>-2.7633354474018851E-2</v>
      </c>
      <c r="E13" s="12">
        <f t="shared" si="4"/>
        <v>-3.9261261450763037E-2</v>
      </c>
      <c r="F13" s="12">
        <f t="shared" si="5"/>
        <v>-2.2867818827812216E-2</v>
      </c>
      <c r="G13" s="12">
        <f t="shared" si="6"/>
        <v>6.1932840037824191E-3</v>
      </c>
      <c r="H13" s="12">
        <f t="shared" si="7"/>
        <v>3.5738738549236961E-2</v>
      </c>
      <c r="J13" s="12" t="s">
        <v>17</v>
      </c>
      <c r="K13" s="11">
        <f t="shared" ref="K13:K17" si="8">(J4-J3) * ((K4+K3))</f>
        <v>2.2760151565659734E-3</v>
      </c>
      <c r="L13" s="11">
        <f t="shared" ref="L13:L17" si="9">(J4-J3) * ((L4+L3))</f>
        <v>3.1956840715737364E-3</v>
      </c>
      <c r="M13" s="11">
        <f t="shared" ref="M13:M17" si="10">(J4-J3) * ((M4+M3))</f>
        <v>1.6358858937817935E-3</v>
      </c>
      <c r="N13" s="11">
        <f t="shared" ref="N13:N17" si="11">(J4-J3) * ((N4+N3))</f>
        <v>1.9308817106932644E-3</v>
      </c>
      <c r="O13" s="11">
        <f t="shared" ref="O13:O17" si="12">(J4-J3) * ((O4+O3))</f>
        <v>6.5435435751271748E-3</v>
      </c>
      <c r="P13" s="11">
        <f t="shared" ref="P13:P17" si="13">(J4-J3) * ((P4+P3))</f>
        <v>4.9076576813453805E-3</v>
      </c>
    </row>
    <row r="14" spans="1:16" x14ac:dyDescent="0.3">
      <c r="B14" s="12" t="s">
        <v>20</v>
      </c>
      <c r="C14" s="12">
        <f t="shared" si="2"/>
        <v>-3.7999484497504718E-2</v>
      </c>
      <c r="D14" s="12">
        <f t="shared" si="3"/>
        <v>-8.845456860160604E-3</v>
      </c>
      <c r="E14" s="12">
        <f t="shared" si="4"/>
        <v>7.8848341589451809E-2</v>
      </c>
      <c r="F14" s="12">
        <f t="shared" si="5"/>
        <v>-9.6079425635536633E-3</v>
      </c>
      <c r="G14" s="12">
        <f t="shared" si="6"/>
        <v>-6.3789311378209257E-3</v>
      </c>
      <c r="H14" s="12">
        <f t="shared" si="7"/>
        <v>-1.6984991743881531E-2</v>
      </c>
      <c r="J14" s="12" t="s">
        <v>20</v>
      </c>
      <c r="K14" s="11">
        <f t="shared" si="8"/>
        <v>5.8247818907723068E-3</v>
      </c>
      <c r="L14" s="11">
        <f t="shared" si="9"/>
        <v>1.0125638286865813E-2</v>
      </c>
      <c r="M14" s="11">
        <f t="shared" si="10"/>
        <v>1.2559685951977789E-2</v>
      </c>
      <c r="N14" s="11">
        <f t="shared" si="11"/>
        <v>8.2358596406411719E-3</v>
      </c>
      <c r="O14" s="11">
        <f t="shared" si="12"/>
        <v>1.8268634111967694E-2</v>
      </c>
      <c r="P14" s="11">
        <f t="shared" si="13"/>
        <v>1.6746247935970383E-2</v>
      </c>
    </row>
    <row r="15" spans="1:16" x14ac:dyDescent="0.3">
      <c r="B15" s="12" t="s">
        <v>18</v>
      </c>
      <c r="C15" s="12">
        <f t="shared" si="2"/>
        <v>-8.6474095542336205E-2</v>
      </c>
      <c r="D15" s="12">
        <f t="shared" si="3"/>
        <v>-8.3440728504924677E-2</v>
      </c>
      <c r="E15" s="12">
        <f t="shared" si="4"/>
        <v>-8.8285689745234763E-2</v>
      </c>
      <c r="F15" s="12">
        <f t="shared" si="5"/>
        <v>-9.7165471165999773E-2</v>
      </c>
      <c r="G15" s="12">
        <f t="shared" si="6"/>
        <v>-6.9346295805840813E-2</v>
      </c>
      <c r="H15" s="12">
        <f t="shared" si="7"/>
        <v>-0.12995235641190142</v>
      </c>
      <c r="J15" s="12" t="s">
        <v>18</v>
      </c>
      <c r="K15" s="11">
        <f t="shared" si="8"/>
        <v>2.0717042326535012E-2</v>
      </c>
      <c r="L15" s="11">
        <f t="shared" si="9"/>
        <v>3.3243626058858507E-2</v>
      </c>
      <c r="M15" s="11">
        <f t="shared" si="10"/>
        <v>4.8732133654463036E-2</v>
      </c>
      <c r="N15" s="11">
        <f t="shared" si="11"/>
        <v>2.7694764481224893E-2</v>
      </c>
      <c r="O15" s="11">
        <f t="shared" si="12"/>
        <v>5.1193352525900564E-2</v>
      </c>
      <c r="P15" s="11">
        <f t="shared" si="13"/>
        <v>3.898570692357043E-2</v>
      </c>
    </row>
    <row r="16" spans="1:16" x14ac:dyDescent="0.3">
      <c r="B16" s="12" t="s">
        <v>16</v>
      </c>
      <c r="C16" s="12">
        <f t="shared" si="2"/>
        <v>0.18816054473157823</v>
      </c>
      <c r="D16" s="12">
        <f t="shared" si="3"/>
        <v>-5.1643971614899753E-2</v>
      </c>
      <c r="E16" s="12">
        <f t="shared" si="4"/>
        <v>-0.15241916541334935</v>
      </c>
      <c r="F16" s="12">
        <f t="shared" si="5"/>
        <v>0.14812728267408237</v>
      </c>
      <c r="G16" s="12">
        <f t="shared" si="6"/>
        <v>2.9399016404832501E-2</v>
      </c>
      <c r="H16" s="12">
        <f t="shared" si="7"/>
        <v>0.20591416791998401</v>
      </c>
      <c r="J16" s="12" t="s">
        <v>16</v>
      </c>
      <c r="K16" s="11">
        <f t="shared" si="8"/>
        <v>0.22659718510030125</v>
      </c>
      <c r="L16" s="11">
        <f t="shared" si="9"/>
        <v>0.18180471827814862</v>
      </c>
      <c r="M16" s="11">
        <f t="shared" si="10"/>
        <v>0.18613340204667603</v>
      </c>
      <c r="N16" s="11">
        <f t="shared" si="11"/>
        <v>0.22754481468001142</v>
      </c>
      <c r="O16" s="11">
        <f t="shared" si="12"/>
        <v>0.25623559242789168</v>
      </c>
      <c r="P16" s="11">
        <f t="shared" si="13"/>
        <v>0.26324581146601322</v>
      </c>
    </row>
    <row r="17" spans="2:16" x14ac:dyDescent="0.3">
      <c r="B17" s="12" t="s">
        <v>14</v>
      </c>
      <c r="C17" s="12">
        <f t="shared" si="2"/>
        <v>1.1796349382654558E-2</v>
      </c>
      <c r="D17" s="12">
        <f t="shared" si="3"/>
        <v>0.20188735039377692</v>
      </c>
      <c r="E17" s="12">
        <f t="shared" si="4"/>
        <v>0.24549200155656759</v>
      </c>
      <c r="F17" s="12">
        <f t="shared" si="5"/>
        <v>3.0328067130338088E-2</v>
      </c>
      <c r="G17" s="12">
        <f t="shared" si="6"/>
        <v>4.4734425798991839E-2</v>
      </c>
      <c r="H17" s="12">
        <f t="shared" si="7"/>
        <v>-5.4507998443432404E-2</v>
      </c>
      <c r="J17" s="12" t="s">
        <v>14</v>
      </c>
      <c r="K17" s="11">
        <f t="shared" si="8"/>
        <v>0.61051286706117391</v>
      </c>
      <c r="L17" s="11">
        <f t="shared" si="9"/>
        <v>0.53837181174533433</v>
      </c>
      <c r="M17" s="11">
        <f t="shared" si="10"/>
        <v>0.5218234978597196</v>
      </c>
      <c r="N17" s="11">
        <f t="shared" si="11"/>
        <v>0.60347993195103189</v>
      </c>
      <c r="O17" s="11">
        <f t="shared" si="12"/>
        <v>0.59801260360783282</v>
      </c>
      <c r="P17" s="11">
        <f t="shared" si="13"/>
        <v>0.63567589739274932</v>
      </c>
    </row>
    <row r="18" spans="2:16" x14ac:dyDescent="0.3">
      <c r="J18" s="22" t="s">
        <v>53</v>
      </c>
      <c r="K18" s="21">
        <f>SUM(K11:K17)</f>
        <v>0.86695340921371544</v>
      </c>
      <c r="L18" s="21">
        <f t="shared" ref="L18:P18" si="14">SUM(L11:L17)</f>
        <v>0.76797567704207148</v>
      </c>
      <c r="M18" s="21">
        <f t="shared" si="14"/>
        <v>0.77162169623794452</v>
      </c>
      <c r="N18" s="21">
        <f t="shared" si="14"/>
        <v>0.86946625836366265</v>
      </c>
      <c r="O18" s="21">
        <f t="shared" si="14"/>
        <v>0.93239799048530547</v>
      </c>
      <c r="P18" s="21">
        <f t="shared" si="14"/>
        <v>0.9604458303972403</v>
      </c>
    </row>
    <row r="19" spans="2:16" x14ac:dyDescent="0.3">
      <c r="J19" s="23" t="s">
        <v>54</v>
      </c>
      <c r="K19" s="24">
        <f>1-K18</f>
        <v>0.13304659078628456</v>
      </c>
      <c r="L19" s="24">
        <f t="shared" ref="L19:P19" si="15">1-L18</f>
        <v>0.23202432295792852</v>
      </c>
      <c r="M19" s="24">
        <f t="shared" si="15"/>
        <v>0.22837830376205548</v>
      </c>
      <c r="N19" s="24">
        <f t="shared" si="15"/>
        <v>0.13053374163633735</v>
      </c>
      <c r="O19" s="24">
        <f t="shared" si="15"/>
        <v>6.7602009514694528E-2</v>
      </c>
      <c r="P19" s="24">
        <f t="shared" si="15"/>
        <v>3.9554169602759703E-2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BF14-BB5D-47C4-8598-9C2AF1D92B45}">
  <dimension ref="A1:P29"/>
  <sheetViews>
    <sheetView tabSelected="1" workbookViewId="0">
      <selection activeCell="J15" sqref="J15"/>
    </sheetView>
  </sheetViews>
  <sheetFormatPr defaultRowHeight="14.4" x14ac:dyDescent="0.3"/>
  <cols>
    <col min="1" max="1" width="8.88671875" style="10"/>
  </cols>
  <sheetData>
    <row r="1" spans="1:16" ht="36.6" customHeight="1" x14ac:dyDescent="0.3">
      <c r="A1" s="9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20" t="s">
        <v>32</v>
      </c>
      <c r="B2" s="12">
        <v>1.1720367017389771E-2</v>
      </c>
      <c r="C2" s="12">
        <v>1.0186757215619695E-2</v>
      </c>
      <c r="D2" s="12">
        <v>4.4247787610619468E-3</v>
      </c>
      <c r="E2" s="12">
        <v>0</v>
      </c>
      <c r="F2" s="12">
        <v>1.4492753623188406E-2</v>
      </c>
      <c r="G2" s="12">
        <v>5.8309037900874635E-3</v>
      </c>
      <c r="H2" s="12">
        <v>3.663003663003663E-3</v>
      </c>
      <c r="I2" s="12">
        <v>1.1720367017389771E-2</v>
      </c>
      <c r="J2" s="12">
        <v>1.1720367017389771E-2</v>
      </c>
      <c r="K2" s="12">
        <v>1.0186757215619695E-2</v>
      </c>
      <c r="L2" s="12">
        <v>4.4247787610619468E-3</v>
      </c>
      <c r="M2" s="12">
        <v>0</v>
      </c>
      <c r="N2" s="12">
        <v>1.4492753623188406E-2</v>
      </c>
      <c r="O2" s="12">
        <v>5.8309037900874635E-3</v>
      </c>
      <c r="P2" s="12">
        <v>3.663003663003663E-3</v>
      </c>
    </row>
    <row r="3" spans="1:16" x14ac:dyDescent="0.3">
      <c r="A3" s="20" t="s">
        <v>29</v>
      </c>
      <c r="B3" s="12">
        <v>1.1900348083381628E-2</v>
      </c>
      <c r="C3" s="12">
        <v>8.4889643463497456E-3</v>
      </c>
      <c r="D3" s="12">
        <v>2.2123893805309734E-3</v>
      </c>
      <c r="E3" s="12">
        <v>1.2269938650306749E-2</v>
      </c>
      <c r="F3" s="12">
        <v>9.6618357487922701E-3</v>
      </c>
      <c r="G3" s="12">
        <v>8.7463556851311956E-3</v>
      </c>
      <c r="H3" s="12">
        <v>7.326007326007326E-3</v>
      </c>
      <c r="I3" s="12">
        <v>2.3620715100771399E-2</v>
      </c>
      <c r="J3" s="12">
        <f t="shared" ref="J3:P13" si="0">J2+B3</f>
        <v>2.3620715100771399E-2</v>
      </c>
      <c r="K3" s="12">
        <f t="shared" si="0"/>
        <v>1.8675721561969442E-2</v>
      </c>
      <c r="L3" s="25">
        <f t="shared" si="0"/>
        <v>6.6371681415929203E-3</v>
      </c>
      <c r="M3" s="12">
        <f t="shared" si="0"/>
        <v>1.2269938650306749E-2</v>
      </c>
      <c r="N3" s="12">
        <f t="shared" si="0"/>
        <v>2.4154589371980676E-2</v>
      </c>
      <c r="O3" s="12">
        <f t="shared" si="0"/>
        <v>1.4577259475218658E-2</v>
      </c>
      <c r="P3" s="12">
        <f t="shared" si="0"/>
        <v>1.0989010989010988E-2</v>
      </c>
    </row>
    <row r="4" spans="1:16" x14ac:dyDescent="0.3">
      <c r="A4" s="20" t="s">
        <v>27</v>
      </c>
      <c r="B4" s="12">
        <v>1.3084623497608052E-2</v>
      </c>
      <c r="C4" s="12">
        <v>1.0186757215619695E-2</v>
      </c>
      <c r="D4" s="12">
        <v>2.2123893805309734E-3</v>
      </c>
      <c r="E4" s="12">
        <v>1.8404907975460124E-2</v>
      </c>
      <c r="F4" s="12">
        <v>1.4492753623188406E-2</v>
      </c>
      <c r="G4" s="12">
        <v>1.1661807580174927E-2</v>
      </c>
      <c r="H4" s="12">
        <v>1.4652014652014652E-2</v>
      </c>
      <c r="I4" s="12">
        <v>3.6705338598379447E-2</v>
      </c>
      <c r="J4" s="12">
        <f t="shared" si="0"/>
        <v>3.6705338598379447E-2</v>
      </c>
      <c r="K4" s="12">
        <f t="shared" si="0"/>
        <v>2.8862478777589136E-2</v>
      </c>
      <c r="L4" s="25">
        <f t="shared" si="0"/>
        <v>8.8495575221238937E-3</v>
      </c>
      <c r="M4" s="12">
        <f t="shared" si="0"/>
        <v>3.0674846625766874E-2</v>
      </c>
      <c r="N4" s="12">
        <f t="shared" si="0"/>
        <v>3.864734299516908E-2</v>
      </c>
      <c r="O4" s="12">
        <f t="shared" si="0"/>
        <v>2.6239067055393583E-2</v>
      </c>
      <c r="P4" s="12">
        <f t="shared" si="0"/>
        <v>2.564102564102564E-2</v>
      </c>
    </row>
    <row r="5" spans="1:16" x14ac:dyDescent="0.3">
      <c r="A5" s="20" t="s">
        <v>23</v>
      </c>
      <c r="B5" s="12">
        <v>1.9427156263161115E-2</v>
      </c>
      <c r="C5" s="12">
        <v>1.5280135823429542E-2</v>
      </c>
      <c r="D5" s="12">
        <v>6.6371681415929203E-3</v>
      </c>
      <c r="E5" s="12">
        <v>0</v>
      </c>
      <c r="F5" s="12">
        <v>7.246376811594203E-3</v>
      </c>
      <c r="G5" s="12">
        <v>1.1661807580174927E-2</v>
      </c>
      <c r="H5" s="12">
        <v>7.326007326007326E-3</v>
      </c>
      <c r="I5" s="12">
        <v>5.6132494861540566E-2</v>
      </c>
      <c r="J5" s="12">
        <f t="shared" si="0"/>
        <v>5.6132494861540566E-2</v>
      </c>
      <c r="K5" s="12">
        <f t="shared" si="0"/>
        <v>4.4142614601018676E-2</v>
      </c>
      <c r="L5" s="25">
        <f t="shared" si="0"/>
        <v>1.5486725663716814E-2</v>
      </c>
      <c r="M5" s="12">
        <f t="shared" si="0"/>
        <v>3.0674846625766874E-2</v>
      </c>
      <c r="N5" s="12">
        <f t="shared" si="0"/>
        <v>4.5893719806763281E-2</v>
      </c>
      <c r="O5" s="12">
        <f t="shared" si="0"/>
        <v>3.7900874635568509E-2</v>
      </c>
      <c r="P5" s="12">
        <f t="shared" si="0"/>
        <v>3.2967032967032968E-2</v>
      </c>
    </row>
    <row r="6" spans="1:16" x14ac:dyDescent="0.3">
      <c r="A6" s="20" t="s">
        <v>25</v>
      </c>
      <c r="B6" s="12">
        <v>2.5287339771856002E-2</v>
      </c>
      <c r="C6" s="12">
        <v>3.3955857385398981E-3</v>
      </c>
      <c r="D6" s="12">
        <v>8.8495575221238937E-3</v>
      </c>
      <c r="E6" s="12">
        <v>1.2269938650306749E-2</v>
      </c>
      <c r="F6" s="12">
        <v>9.6618357487922701E-3</v>
      </c>
      <c r="G6" s="12">
        <v>5.8309037900874635E-3</v>
      </c>
      <c r="H6" s="12">
        <v>3.663003663003663E-3</v>
      </c>
      <c r="I6" s="12">
        <v>8.1419834633396568E-2</v>
      </c>
      <c r="J6" s="12">
        <f t="shared" si="0"/>
        <v>8.1419834633396568E-2</v>
      </c>
      <c r="K6" s="12">
        <f t="shared" si="0"/>
        <v>4.7538200339558571E-2</v>
      </c>
      <c r="L6" s="25">
        <f t="shared" si="0"/>
        <v>2.4336283185840708E-2</v>
      </c>
      <c r="M6" s="12">
        <f t="shared" si="0"/>
        <v>4.2944785276073622E-2</v>
      </c>
      <c r="N6" s="12">
        <f t="shared" si="0"/>
        <v>5.5555555555555552E-2</v>
      </c>
      <c r="O6" s="12">
        <f t="shared" si="0"/>
        <v>4.3731778425655975E-2</v>
      </c>
      <c r="P6" s="12">
        <f t="shared" si="0"/>
        <v>3.6630036630036632E-2</v>
      </c>
    </row>
    <row r="7" spans="1:16" x14ac:dyDescent="0.3">
      <c r="A7" s="20" t="s">
        <v>31</v>
      </c>
      <c r="B7" s="12">
        <v>2.9272120572915731E-2</v>
      </c>
      <c r="C7" s="12">
        <v>6.7911714770797962E-3</v>
      </c>
      <c r="D7" s="12">
        <v>2.2123893805309734E-3</v>
      </c>
      <c r="E7" s="12">
        <v>0</v>
      </c>
      <c r="F7" s="12">
        <v>1.2077294685990338E-2</v>
      </c>
      <c r="G7" s="12">
        <v>8.7463556851311956E-3</v>
      </c>
      <c r="H7" s="12">
        <v>7.326007326007326E-3</v>
      </c>
      <c r="I7" s="12">
        <v>0.1106919552063123</v>
      </c>
      <c r="J7" s="12">
        <f t="shared" si="0"/>
        <v>0.1106919552063123</v>
      </c>
      <c r="K7" s="12">
        <f t="shared" si="0"/>
        <v>5.4329371816638369E-2</v>
      </c>
      <c r="L7" s="25">
        <f t="shared" si="0"/>
        <v>2.6548672566371681E-2</v>
      </c>
      <c r="M7" s="12">
        <f t="shared" si="0"/>
        <v>4.2944785276073622E-2</v>
      </c>
      <c r="N7" s="12">
        <f t="shared" si="0"/>
        <v>6.7632850241545889E-2</v>
      </c>
      <c r="O7" s="12">
        <f t="shared" si="0"/>
        <v>5.2478134110787167E-2</v>
      </c>
      <c r="P7" s="12">
        <f t="shared" si="0"/>
        <v>4.3956043956043959E-2</v>
      </c>
    </row>
    <row r="8" spans="1:16" x14ac:dyDescent="0.3">
      <c r="A8" s="20" t="s">
        <v>28</v>
      </c>
      <c r="B8" s="12">
        <v>3.5312285147602471E-2</v>
      </c>
      <c r="C8" s="12">
        <v>1.8675721561969439E-2</v>
      </c>
      <c r="D8" s="12">
        <v>6.6371681415929203E-3</v>
      </c>
      <c r="E8" s="12">
        <v>6.1349693251533744E-3</v>
      </c>
      <c r="F8" s="12">
        <v>4.830917874396135E-3</v>
      </c>
      <c r="G8" s="12">
        <v>1.4577259475218658E-2</v>
      </c>
      <c r="H8" s="12">
        <v>1.8315018315018316E-2</v>
      </c>
      <c r="I8" s="12">
        <v>0.14600424035391477</v>
      </c>
      <c r="J8" s="12">
        <f t="shared" si="0"/>
        <v>0.14600424035391477</v>
      </c>
      <c r="K8" s="12">
        <f t="shared" si="0"/>
        <v>7.3005093378607805E-2</v>
      </c>
      <c r="L8" s="25">
        <f t="shared" si="0"/>
        <v>3.3185840707964598E-2</v>
      </c>
      <c r="M8" s="12">
        <f t="shared" si="0"/>
        <v>4.9079754601226995E-2</v>
      </c>
      <c r="N8" s="12">
        <f t="shared" si="0"/>
        <v>7.2463768115942018E-2</v>
      </c>
      <c r="O8" s="12">
        <f t="shared" si="0"/>
        <v>6.7055393586005818E-2</v>
      </c>
      <c r="P8" s="12">
        <f t="shared" si="0"/>
        <v>6.2271062271062272E-2</v>
      </c>
    </row>
    <row r="9" spans="1:16" x14ac:dyDescent="0.3">
      <c r="A9" s="20" t="s">
        <v>26</v>
      </c>
      <c r="B9" s="12">
        <v>5.1175816304124808E-2</v>
      </c>
      <c r="C9" s="12">
        <v>1.0186757215619695E-2</v>
      </c>
      <c r="D9" s="12">
        <v>4.4247787610619468E-3</v>
      </c>
      <c r="E9" s="12">
        <v>2.4539877300613498E-2</v>
      </c>
      <c r="F9" s="12">
        <v>9.6618357487922701E-3</v>
      </c>
      <c r="G9" s="12">
        <v>1.7492711370262391E-2</v>
      </c>
      <c r="H9" s="12">
        <v>0</v>
      </c>
      <c r="I9" s="12">
        <v>0.19718005665803956</v>
      </c>
      <c r="J9" s="12">
        <f t="shared" si="0"/>
        <v>0.19718005665803956</v>
      </c>
      <c r="K9" s="12">
        <f t="shared" si="0"/>
        <v>8.3191850594227498E-2</v>
      </c>
      <c r="L9" s="25">
        <f t="shared" si="0"/>
        <v>3.7610619469026545E-2</v>
      </c>
      <c r="M9" s="12">
        <f t="shared" si="0"/>
        <v>7.3619631901840496E-2</v>
      </c>
      <c r="N9" s="12">
        <f t="shared" si="0"/>
        <v>8.212560386473429E-2</v>
      </c>
      <c r="O9" s="12">
        <f t="shared" si="0"/>
        <v>8.4548104956268216E-2</v>
      </c>
      <c r="P9" s="12">
        <f t="shared" si="0"/>
        <v>6.2271062271062272E-2</v>
      </c>
    </row>
    <row r="10" spans="1:16" x14ac:dyDescent="0.3">
      <c r="A10" s="20" t="s">
        <v>22</v>
      </c>
      <c r="B10" s="12">
        <v>6.4253240559093178E-2</v>
      </c>
      <c r="C10" s="12">
        <v>2.037351443123939E-2</v>
      </c>
      <c r="D10" s="12">
        <v>2.2123893805309734E-2</v>
      </c>
      <c r="E10" s="12">
        <v>1.2269938650306749E-2</v>
      </c>
      <c r="F10" s="12">
        <v>1.6908212560386472E-2</v>
      </c>
      <c r="G10" s="12">
        <v>1.4577259475218658E-2</v>
      </c>
      <c r="H10" s="12">
        <v>1.098901098901099E-2</v>
      </c>
      <c r="I10" s="12">
        <v>0.26143329721713271</v>
      </c>
      <c r="J10" s="12">
        <f t="shared" si="0"/>
        <v>0.26143329721713271</v>
      </c>
      <c r="K10" s="12">
        <f t="shared" si="0"/>
        <v>0.10356536502546689</v>
      </c>
      <c r="L10" s="25">
        <f t="shared" si="0"/>
        <v>5.9734513274336279E-2</v>
      </c>
      <c r="M10" s="12">
        <f t="shared" si="0"/>
        <v>8.5889570552147243E-2</v>
      </c>
      <c r="N10" s="12">
        <f t="shared" si="0"/>
        <v>9.9033816425120769E-2</v>
      </c>
      <c r="O10" s="12">
        <f t="shared" si="0"/>
        <v>9.9125364431486868E-2</v>
      </c>
      <c r="P10" s="12">
        <f t="shared" si="0"/>
        <v>7.3260073260073263E-2</v>
      </c>
    </row>
    <row r="11" spans="1:16" x14ac:dyDescent="0.3">
      <c r="A11" s="20" t="s">
        <v>24</v>
      </c>
      <c r="B11" s="12">
        <v>9.0634865212179686E-2</v>
      </c>
      <c r="C11" s="12">
        <v>3.0560271646859084E-2</v>
      </c>
      <c r="D11" s="12">
        <v>2.8761061946902654E-2</v>
      </c>
      <c r="E11" s="12">
        <v>0.10429447852760736</v>
      </c>
      <c r="F11" s="12">
        <v>3.3816425120772944E-2</v>
      </c>
      <c r="G11" s="12">
        <v>4.0816326530612242E-2</v>
      </c>
      <c r="H11" s="12">
        <v>1.8315018315018316E-2</v>
      </c>
      <c r="I11" s="12">
        <v>0.35206816242931238</v>
      </c>
      <c r="J11" s="12">
        <f t="shared" si="0"/>
        <v>0.35206816242931238</v>
      </c>
      <c r="K11" s="12">
        <f t="shared" si="0"/>
        <v>0.13412563667232597</v>
      </c>
      <c r="L11" s="25">
        <f t="shared" si="0"/>
        <v>8.8495575221238937E-2</v>
      </c>
      <c r="M11" s="12">
        <f t="shared" si="0"/>
        <v>0.19018404907975461</v>
      </c>
      <c r="N11" s="12">
        <f t="shared" si="0"/>
        <v>0.1328502415458937</v>
      </c>
      <c r="O11" s="12">
        <f t="shared" si="0"/>
        <v>0.1399416909620991</v>
      </c>
      <c r="P11" s="12">
        <f t="shared" si="0"/>
        <v>9.1575091575091583E-2</v>
      </c>
    </row>
    <row r="12" spans="1:16" x14ac:dyDescent="0.3">
      <c r="A12" s="20" t="s">
        <v>21</v>
      </c>
      <c r="B12" s="12">
        <v>0.30762723761460292</v>
      </c>
      <c r="C12" s="12">
        <v>0.44142614601018676</v>
      </c>
      <c r="D12" s="12">
        <v>0.78539823008849563</v>
      </c>
      <c r="E12" s="12">
        <v>0.62576687116564422</v>
      </c>
      <c r="F12" s="12">
        <v>0.64975845410628019</v>
      </c>
      <c r="G12" s="12">
        <v>0.51311953352769679</v>
      </c>
      <c r="H12" s="12">
        <v>0.5494505494505495</v>
      </c>
      <c r="I12" s="12">
        <v>0.65969540004391525</v>
      </c>
      <c r="J12" s="12">
        <f t="shared" si="0"/>
        <v>0.65969540004391525</v>
      </c>
      <c r="K12" s="12">
        <f t="shared" si="0"/>
        <v>0.57555178268251272</v>
      </c>
      <c r="L12" s="25">
        <f t="shared" si="0"/>
        <v>0.87389380530973459</v>
      </c>
      <c r="M12" s="12">
        <f t="shared" si="0"/>
        <v>0.81595092024539884</v>
      </c>
      <c r="N12" s="12">
        <f t="shared" si="0"/>
        <v>0.78260869565217384</v>
      </c>
      <c r="O12" s="12">
        <f t="shared" si="0"/>
        <v>0.65306122448979587</v>
      </c>
      <c r="P12" s="12">
        <f t="shared" si="0"/>
        <v>0.64102564102564108</v>
      </c>
    </row>
    <row r="13" spans="1:16" x14ac:dyDescent="0.3">
      <c r="A13" s="20" t="s">
        <v>30</v>
      </c>
      <c r="B13" s="12">
        <v>0.34030459995608464</v>
      </c>
      <c r="C13" s="12">
        <v>0.42444821731748728</v>
      </c>
      <c r="D13" s="12">
        <v>0.12610619469026549</v>
      </c>
      <c r="E13" s="12">
        <v>0.18404907975460122</v>
      </c>
      <c r="F13" s="12">
        <v>0.21739130434782608</v>
      </c>
      <c r="G13" s="12">
        <v>0.34693877551020408</v>
      </c>
      <c r="H13" s="12">
        <v>0.35897435897435898</v>
      </c>
      <c r="I13" s="12">
        <v>0.99999999999999989</v>
      </c>
      <c r="J13" s="12">
        <f t="shared" si="0"/>
        <v>0.99999999999999989</v>
      </c>
      <c r="K13" s="12">
        <f t="shared" si="0"/>
        <v>1</v>
      </c>
      <c r="L13" s="25">
        <f t="shared" si="0"/>
        <v>1</v>
      </c>
      <c r="M13" s="12">
        <f t="shared" si="0"/>
        <v>1</v>
      </c>
      <c r="N13" s="12">
        <f t="shared" si="0"/>
        <v>0.99999999999999989</v>
      </c>
      <c r="O13" s="12">
        <f t="shared" si="0"/>
        <v>1</v>
      </c>
      <c r="P13" s="12">
        <f t="shared" si="0"/>
        <v>1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1" t="s">
        <v>47</v>
      </c>
      <c r="L15" s="21" t="s">
        <v>48</v>
      </c>
      <c r="M15" s="21" t="s">
        <v>49</v>
      </c>
      <c r="N15" s="21" t="s">
        <v>50</v>
      </c>
      <c r="O15" s="21" t="s">
        <v>51</v>
      </c>
      <c r="P15" s="21" t="s">
        <v>52</v>
      </c>
    </row>
    <row r="16" spans="1:16" x14ac:dyDescent="0.3">
      <c r="B16" s="20" t="s">
        <v>32</v>
      </c>
      <c r="C16" s="12">
        <f>C2-B2</f>
        <v>-1.5336098017700757E-3</v>
      </c>
      <c r="D16" s="12">
        <f>D2-B2</f>
        <v>-7.295588256327824E-3</v>
      </c>
      <c r="E16" s="12">
        <f>E2-B2</f>
        <v>-1.1720367017389771E-2</v>
      </c>
      <c r="F16" s="12">
        <f>F2-B2</f>
        <v>2.7723866057986352E-3</v>
      </c>
      <c r="G16" s="12">
        <f>G2-B2</f>
        <v>-5.8894632273023073E-3</v>
      </c>
      <c r="H16" s="12">
        <f>H2-B2</f>
        <v>-8.0573633543861087E-3</v>
      </c>
      <c r="J16" s="20" t="s">
        <v>32</v>
      </c>
      <c r="K16" s="11">
        <f>($J2-0) * ((K2+0))</f>
        <v>1.1939253328410634E-4</v>
      </c>
      <c r="L16" s="11">
        <f t="shared" ref="L16:P16" si="1">($J2-0) * ((L2+0))</f>
        <v>5.1860031050397213E-5</v>
      </c>
      <c r="M16" s="11">
        <f t="shared" si="1"/>
        <v>0</v>
      </c>
      <c r="N16" s="11">
        <f t="shared" si="1"/>
        <v>1.6986039155637348E-4</v>
      </c>
      <c r="O16" s="11">
        <f t="shared" si="1"/>
        <v>6.8340332462914118E-5</v>
      </c>
      <c r="P16" s="11">
        <f t="shared" si="1"/>
        <v>4.2931747316446044E-5</v>
      </c>
    </row>
    <row r="17" spans="2:16" x14ac:dyDescent="0.3">
      <c r="B17" s="20" t="s">
        <v>29</v>
      </c>
      <c r="C17" s="12">
        <f t="shared" ref="C17:C27" si="2">C3-B3</f>
        <v>-3.4113837370318822E-3</v>
      </c>
      <c r="D17" s="12">
        <f t="shared" ref="D17:D27" si="3">D3-B3</f>
        <v>-9.6879587028506544E-3</v>
      </c>
      <c r="E17" s="12">
        <f t="shared" ref="E17:E27" si="4">E3-B3</f>
        <v>3.6959056692512093E-4</v>
      </c>
      <c r="F17" s="12">
        <f t="shared" ref="F17:F27" si="5">F3-B3</f>
        <v>-2.2385123345893577E-3</v>
      </c>
      <c r="G17" s="12">
        <f t="shared" ref="G17:G27" si="6">G3-B3</f>
        <v>-3.1539923982504322E-3</v>
      </c>
      <c r="H17" s="12">
        <f t="shared" ref="H17:H27" si="7">H3-B3</f>
        <v>-4.5743407573743018E-3</v>
      </c>
      <c r="J17" s="20" t="s">
        <v>29</v>
      </c>
      <c r="K17" s="11">
        <f>($J3-$J2) * ((K3+K2))</f>
        <v>3.4347354400252576E-4</v>
      </c>
      <c r="L17" s="11">
        <f t="shared" ref="L17:P17" si="8">($J3-$J2) * ((L3+L2))</f>
        <v>1.3164101862147819E-4</v>
      </c>
      <c r="M17" s="11">
        <f t="shared" si="8"/>
        <v>1.4601654090038807E-4</v>
      </c>
      <c r="N17" s="11">
        <f t="shared" si="8"/>
        <v>4.5991683414035276E-4</v>
      </c>
      <c r="O17" s="11">
        <f t="shared" si="8"/>
        <v>2.4286424659962505E-4</v>
      </c>
      <c r="P17" s="11">
        <f t="shared" si="8"/>
        <v>1.7436407448178208E-4</v>
      </c>
    </row>
    <row r="18" spans="2:16" x14ac:dyDescent="0.3">
      <c r="B18" s="20" t="s">
        <v>27</v>
      </c>
      <c r="C18" s="12">
        <f t="shared" si="2"/>
        <v>-2.897866281988357E-3</v>
      </c>
      <c r="D18" s="12">
        <f t="shared" si="3"/>
        <v>-1.0872234117077079E-2</v>
      </c>
      <c r="E18" s="12">
        <f t="shared" si="4"/>
        <v>5.3202844778520719E-3</v>
      </c>
      <c r="F18" s="12">
        <f t="shared" si="5"/>
        <v>1.4081301255803539E-3</v>
      </c>
      <c r="G18" s="12">
        <f t="shared" si="6"/>
        <v>-1.4228159174331251E-3</v>
      </c>
      <c r="H18" s="12">
        <f t="shared" si="7"/>
        <v>1.5673911544065999E-3</v>
      </c>
      <c r="J18" s="20" t="s">
        <v>27</v>
      </c>
      <c r="K18" s="11">
        <f t="shared" ref="K18:P27" si="9">($J4-$J3) * ((K4+K3))</f>
        <v>6.2201945319698712E-4</v>
      </c>
      <c r="L18" s="11">
        <f t="shared" si="9"/>
        <v>2.0263797452047861E-4</v>
      </c>
      <c r="M18" s="11">
        <f t="shared" si="9"/>
        <v>5.6191634652304505E-4</v>
      </c>
      <c r="N18" s="11">
        <f t="shared" si="9"/>
        <v>8.2173963994639919E-4</v>
      </c>
      <c r="O18" s="11">
        <f t="shared" si="9"/>
        <v>5.340662652084917E-4</v>
      </c>
      <c r="P18" s="11">
        <f t="shared" si="9"/>
        <v>4.7929023800762077E-4</v>
      </c>
    </row>
    <row r="19" spans="2:16" x14ac:dyDescent="0.3">
      <c r="B19" s="20" t="s">
        <v>23</v>
      </c>
      <c r="C19" s="12">
        <f t="shared" si="2"/>
        <v>-4.1470204397315736E-3</v>
      </c>
      <c r="D19" s="12">
        <f t="shared" si="3"/>
        <v>-1.2789988121568195E-2</v>
      </c>
      <c r="E19" s="12">
        <f t="shared" si="4"/>
        <v>-1.9427156263161115E-2</v>
      </c>
      <c r="F19" s="12">
        <f t="shared" si="5"/>
        <v>-1.2180779451566912E-2</v>
      </c>
      <c r="G19" s="12">
        <f t="shared" si="6"/>
        <v>-7.7653486829861885E-3</v>
      </c>
      <c r="H19" s="12">
        <f t="shared" si="7"/>
        <v>-1.2101148937153789E-2</v>
      </c>
      <c r="J19" s="20" t="s">
        <v>23</v>
      </c>
      <c r="K19" s="11">
        <f t="shared" si="9"/>
        <v>1.4182813570728829E-3</v>
      </c>
      <c r="L19" s="11">
        <f t="shared" si="9"/>
        <v>4.7278477631586795E-4</v>
      </c>
      <c r="M19" s="11">
        <f t="shared" si="9"/>
        <v>1.1918500774945474E-3</v>
      </c>
      <c r="N19" s="11">
        <f t="shared" si="9"/>
        <v>1.6423924377068576E-3</v>
      </c>
      <c r="O19" s="11">
        <f t="shared" si="9"/>
        <v>1.2460566699403633E-3</v>
      </c>
      <c r="P19" s="11">
        <f t="shared" si="9"/>
        <v>1.1385879128592597E-3</v>
      </c>
    </row>
    <row r="20" spans="2:16" x14ac:dyDescent="0.3">
      <c r="B20" s="20" t="s">
        <v>25</v>
      </c>
      <c r="C20" s="12">
        <f t="shared" si="2"/>
        <v>-2.1891754033316103E-2</v>
      </c>
      <c r="D20" s="12">
        <f t="shared" si="3"/>
        <v>-1.6437782249732108E-2</v>
      </c>
      <c r="E20" s="12">
        <f t="shared" si="4"/>
        <v>-1.3017401121549253E-2</v>
      </c>
      <c r="F20" s="12">
        <f t="shared" si="5"/>
        <v>-1.562550402306373E-2</v>
      </c>
      <c r="G20" s="12">
        <f t="shared" si="6"/>
        <v>-1.9456435981768539E-2</v>
      </c>
      <c r="H20" s="12">
        <f t="shared" si="7"/>
        <v>-2.1624336108852338E-2</v>
      </c>
      <c r="J20" s="20" t="s">
        <v>25</v>
      </c>
      <c r="K20" s="11">
        <f t="shared" si="9"/>
        <v>2.3183639179630293E-3</v>
      </c>
      <c r="L20" s="11">
        <f t="shared" si="9"/>
        <v>1.0070179555163893E-3</v>
      </c>
      <c r="M20" s="11">
        <f t="shared" si="9"/>
        <v>1.8616446457808101E-3</v>
      </c>
      <c r="N20" s="11">
        <f t="shared" si="9"/>
        <v>2.5653822956955364E-3</v>
      </c>
      <c r="O20" s="11">
        <f t="shared" si="9"/>
        <v>2.0642726344372244E-3</v>
      </c>
      <c r="P20" s="11">
        <f t="shared" si="9"/>
        <v>1.7599247460266083E-3</v>
      </c>
    </row>
    <row r="21" spans="2:16" x14ac:dyDescent="0.3">
      <c r="B21" s="20" t="s">
        <v>31</v>
      </c>
      <c r="C21" s="12">
        <f t="shared" si="2"/>
        <v>-2.2480949095835936E-2</v>
      </c>
      <c r="D21" s="12">
        <f t="shared" si="3"/>
        <v>-2.7059731192384757E-2</v>
      </c>
      <c r="E21" s="12">
        <f t="shared" si="4"/>
        <v>-2.9272120572915731E-2</v>
      </c>
      <c r="F21" s="12">
        <f t="shared" si="5"/>
        <v>-1.7194825886925391E-2</v>
      </c>
      <c r="G21" s="12">
        <f t="shared" si="6"/>
        <v>-2.0525764887784535E-2</v>
      </c>
      <c r="H21" s="12">
        <f t="shared" si="7"/>
        <v>-2.1946113246908407E-2</v>
      </c>
      <c r="J21" s="20" t="s">
        <v>31</v>
      </c>
      <c r="K21" s="11">
        <f t="shared" si="9"/>
        <v>2.9818798546263894E-3</v>
      </c>
      <c r="L21" s="11">
        <f t="shared" si="9"/>
        <v>1.4895105601262426E-3</v>
      </c>
      <c r="M21" s="11">
        <f t="shared" si="9"/>
        <v>2.514169865158406E-3</v>
      </c>
      <c r="N21" s="11">
        <f t="shared" si="9"/>
        <v>3.605985867678024E-3</v>
      </c>
      <c r="O21" s="11">
        <f t="shared" si="9"/>
        <v>2.8162681600764402E-3</v>
      </c>
      <c r="P21" s="11">
        <f t="shared" si="9"/>
        <v>2.3589254674144544E-3</v>
      </c>
    </row>
    <row r="22" spans="2:16" x14ac:dyDescent="0.3">
      <c r="B22" s="20" t="s">
        <v>28</v>
      </c>
      <c r="C22" s="12">
        <f t="shared" si="2"/>
        <v>-1.6636563585633032E-2</v>
      </c>
      <c r="D22" s="12">
        <f t="shared" si="3"/>
        <v>-2.867511700600955E-2</v>
      </c>
      <c r="E22" s="12">
        <f t="shared" si="4"/>
        <v>-2.9177315822449097E-2</v>
      </c>
      <c r="F22" s="12">
        <f t="shared" si="5"/>
        <v>-3.0481367273206335E-2</v>
      </c>
      <c r="G22" s="12">
        <f t="shared" si="6"/>
        <v>-2.0735025672383813E-2</v>
      </c>
      <c r="H22" s="12">
        <f t="shared" si="7"/>
        <v>-1.6997266832584155E-2</v>
      </c>
      <c r="J22" s="20" t="s">
        <v>28</v>
      </c>
      <c r="K22" s="11">
        <f t="shared" si="9"/>
        <v>4.4964709440919945E-3</v>
      </c>
      <c r="L22" s="11">
        <f t="shared" si="9"/>
        <v>2.1093621658966077E-3</v>
      </c>
      <c r="M22" s="11">
        <f t="shared" si="9"/>
        <v>3.2495967927241537E-3</v>
      </c>
      <c r="N22" s="11">
        <f t="shared" si="9"/>
        <v>4.9471317356544519E-3</v>
      </c>
      <c r="O22" s="11">
        <f t="shared" si="9"/>
        <v>4.2210020147279911E-3</v>
      </c>
      <c r="P22" s="11">
        <f t="shared" si="9"/>
        <v>3.7511218654962338E-3</v>
      </c>
    </row>
    <row r="23" spans="2:16" x14ac:dyDescent="0.3">
      <c r="B23" s="20" t="s">
        <v>26</v>
      </c>
      <c r="C23" s="12">
        <f t="shared" si="2"/>
        <v>-4.0989059088505114E-2</v>
      </c>
      <c r="D23" s="12">
        <f t="shared" si="3"/>
        <v>-4.6751037543062861E-2</v>
      </c>
      <c r="E23" s="12">
        <f t="shared" si="4"/>
        <v>-2.663593900351131E-2</v>
      </c>
      <c r="F23" s="12">
        <f t="shared" si="5"/>
        <v>-4.1513980555332536E-2</v>
      </c>
      <c r="G23" s="12">
        <f t="shared" si="6"/>
        <v>-3.3683104933862416E-2</v>
      </c>
      <c r="H23" s="12">
        <f t="shared" si="7"/>
        <v>-5.1175816304124808E-2</v>
      </c>
      <c r="J23" s="20" t="s">
        <v>26</v>
      </c>
      <c r="K23" s="11">
        <f t="shared" si="9"/>
        <v>7.9935061120194918E-3</v>
      </c>
      <c r="L23" s="11">
        <f t="shared" si="9"/>
        <v>3.6230666409999852E-3</v>
      </c>
      <c r="M23" s="11">
        <f t="shared" si="9"/>
        <v>6.2792412643097916E-3</v>
      </c>
      <c r="N23" s="11">
        <f t="shared" si="9"/>
        <v>7.9112373030531067E-3</v>
      </c>
      <c r="O23" s="11">
        <f t="shared" si="9"/>
        <v>7.7584327924620673E-3</v>
      </c>
      <c r="P23" s="11">
        <f t="shared" si="9"/>
        <v>6.3735448876931977E-3</v>
      </c>
    </row>
    <row r="24" spans="2:16" x14ac:dyDescent="0.3">
      <c r="B24" s="20" t="s">
        <v>22</v>
      </c>
      <c r="C24" s="12">
        <f t="shared" si="2"/>
        <v>-4.3879726127853791E-2</v>
      </c>
      <c r="D24" s="12">
        <f t="shared" si="3"/>
        <v>-4.2129346753783443E-2</v>
      </c>
      <c r="E24" s="12">
        <f t="shared" si="4"/>
        <v>-5.1983301908786431E-2</v>
      </c>
      <c r="F24" s="12">
        <f t="shared" si="5"/>
        <v>-4.7345027998706705E-2</v>
      </c>
      <c r="G24" s="12">
        <f t="shared" si="6"/>
        <v>-4.9675981083874519E-2</v>
      </c>
      <c r="H24" s="12">
        <f t="shared" si="7"/>
        <v>-5.3264229570082186E-2</v>
      </c>
      <c r="J24" s="20" t="s">
        <v>22</v>
      </c>
      <c r="K24" s="11">
        <f t="shared" si="9"/>
        <v>1.1999756301358652E-2</v>
      </c>
      <c r="L24" s="11">
        <f t="shared" si="9"/>
        <v>6.2547402314161466E-3</v>
      </c>
      <c r="M24" s="11">
        <f t="shared" si="9"/>
        <v>1.0248983156665167E-2</v>
      </c>
      <c r="N24" s="11">
        <f t="shared" si="9"/>
        <v>1.1640079811429917E-2</v>
      </c>
      <c r="O24" s="11">
        <f t="shared" si="9"/>
        <v>1.1801615612894658E-2</v>
      </c>
      <c r="P24" s="11">
        <f t="shared" si="9"/>
        <v>8.7083146545291097E-3</v>
      </c>
    </row>
    <row r="25" spans="2:16" x14ac:dyDescent="0.3">
      <c r="B25" s="20" t="s">
        <v>24</v>
      </c>
      <c r="C25" s="12">
        <f t="shared" si="2"/>
        <v>-6.0074593565320605E-2</v>
      </c>
      <c r="D25" s="12">
        <f t="shared" si="3"/>
        <v>-6.1873803265277028E-2</v>
      </c>
      <c r="E25" s="12">
        <f t="shared" si="4"/>
        <v>1.3659613315427671E-2</v>
      </c>
      <c r="F25" s="12">
        <f t="shared" si="5"/>
        <v>-5.6818440091406741E-2</v>
      </c>
      <c r="G25" s="12">
        <f t="shared" si="6"/>
        <v>-4.9818538681567444E-2</v>
      </c>
      <c r="H25" s="12">
        <f t="shared" si="7"/>
        <v>-7.2319846897161366E-2</v>
      </c>
      <c r="J25" s="20" t="s">
        <v>24</v>
      </c>
      <c r="K25" s="11">
        <f t="shared" si="9"/>
        <v>2.1543091901027423E-2</v>
      </c>
      <c r="L25" s="11">
        <f t="shared" si="9"/>
        <v>1.3434814091185925E-2</v>
      </c>
      <c r="M25" s="11">
        <f t="shared" si="9"/>
        <v>2.5021895303975986E-2</v>
      </c>
      <c r="N25" s="11">
        <f t="shared" si="9"/>
        <v>2.1016780339056153E-2</v>
      </c>
      <c r="O25" s="11">
        <f t="shared" si="9"/>
        <v>2.1667810342270357E-2</v>
      </c>
      <c r="P25" s="11">
        <f t="shared" si="9"/>
        <v>1.4939812947062585E-2</v>
      </c>
    </row>
    <row r="26" spans="2:16" x14ac:dyDescent="0.3">
      <c r="B26" s="20" t="s">
        <v>21</v>
      </c>
      <c r="C26" s="12">
        <f t="shared" si="2"/>
        <v>0.13379890839558384</v>
      </c>
      <c r="D26" s="12">
        <f t="shared" si="3"/>
        <v>0.47777099247389271</v>
      </c>
      <c r="E26" s="12">
        <f t="shared" si="4"/>
        <v>0.3181396335510413</v>
      </c>
      <c r="F26" s="12">
        <f t="shared" si="5"/>
        <v>0.34213121649167727</v>
      </c>
      <c r="G26" s="12">
        <f t="shared" si="6"/>
        <v>0.20549229591309387</v>
      </c>
      <c r="H26" s="12">
        <f t="shared" si="7"/>
        <v>0.24182331183594657</v>
      </c>
      <c r="J26" s="20" t="s">
        <v>21</v>
      </c>
      <c r="K26" s="11">
        <f t="shared" si="9"/>
        <v>0.21831610411358915</v>
      </c>
      <c r="L26" s="11">
        <f t="shared" si="9"/>
        <v>0.29605718664237224</v>
      </c>
      <c r="M26" s="11">
        <f t="shared" si="9"/>
        <v>0.30951452128095014</v>
      </c>
      <c r="N26" s="11">
        <f t="shared" si="9"/>
        <v>0.28162010399984172</v>
      </c>
      <c r="O26" s="11">
        <f t="shared" si="9"/>
        <v>0.2439492963007929</v>
      </c>
      <c r="P26" s="11">
        <f t="shared" si="9"/>
        <v>0.22536793964439772</v>
      </c>
    </row>
    <row r="27" spans="2:16" x14ac:dyDescent="0.3">
      <c r="B27" s="20" t="s">
        <v>30</v>
      </c>
      <c r="C27" s="12">
        <f t="shared" si="2"/>
        <v>8.4143617361402634E-2</v>
      </c>
      <c r="D27" s="12">
        <f t="shared" si="3"/>
        <v>-0.21419840526581915</v>
      </c>
      <c r="E27" s="12">
        <f t="shared" si="4"/>
        <v>-0.15625552020148342</v>
      </c>
      <c r="F27" s="12">
        <f t="shared" si="5"/>
        <v>-0.12291329560825856</v>
      </c>
      <c r="G27" s="12">
        <f t="shared" si="6"/>
        <v>6.6341755541194369E-3</v>
      </c>
      <c r="H27" s="12">
        <f t="shared" si="7"/>
        <v>1.8669759018274334E-2</v>
      </c>
      <c r="J27" s="20" t="s">
        <v>30</v>
      </c>
      <c r="K27" s="11">
        <f t="shared" si="9"/>
        <v>0.53616751911586846</v>
      </c>
      <c r="L27" s="11">
        <f t="shared" si="9"/>
        <v>0.63769468177611444</v>
      </c>
      <c r="M27" s="11">
        <f t="shared" si="9"/>
        <v>0.61797645145399427</v>
      </c>
      <c r="N27" s="11">
        <f t="shared" si="9"/>
        <v>0.6066299390521509</v>
      </c>
      <c r="O27" s="11">
        <f t="shared" si="9"/>
        <v>0.56254433870291543</v>
      </c>
      <c r="P27" s="11">
        <f t="shared" si="9"/>
        <v>0.55844857428690808</v>
      </c>
    </row>
    <row r="28" spans="2:16" x14ac:dyDescent="0.3">
      <c r="J28" s="21" t="s">
        <v>53</v>
      </c>
      <c r="K28" s="21">
        <f>SUM(K16:K27)</f>
        <v>0.80831985914810112</v>
      </c>
      <c r="L28" s="21">
        <f t="shared" ref="L28:P28" si="10">SUM(L16:L27)</f>
        <v>0.96252930386413627</v>
      </c>
      <c r="M28" s="21">
        <f t="shared" si="10"/>
        <v>0.97856628672847668</v>
      </c>
      <c r="N28" s="21">
        <f t="shared" si="10"/>
        <v>0.94303054970790978</v>
      </c>
      <c r="O28" s="21">
        <f t="shared" si="10"/>
        <v>0.85891436407478849</v>
      </c>
      <c r="P28" s="21">
        <f t="shared" si="10"/>
        <v>0.82354333247219302</v>
      </c>
    </row>
    <row r="29" spans="2:16" x14ac:dyDescent="0.3">
      <c r="J29" s="24" t="s">
        <v>54</v>
      </c>
      <c r="K29" s="24">
        <f>1-K28</f>
        <v>0.19168014085189888</v>
      </c>
      <c r="L29" s="24">
        <f t="shared" ref="L29:P29" si="11">1-L28</f>
        <v>3.7470696135863735E-2</v>
      </c>
      <c r="M29" s="24">
        <f t="shared" si="11"/>
        <v>2.1433713271523325E-2</v>
      </c>
      <c r="N29" s="24">
        <f t="shared" si="11"/>
        <v>5.6969450292090218E-2</v>
      </c>
      <c r="O29" s="24">
        <f t="shared" si="11"/>
        <v>0.14108563592521151</v>
      </c>
      <c r="P29" s="24">
        <f t="shared" si="11"/>
        <v>0.17645666752780698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JOÃO PINHEIRO</vt:lpstr>
      <vt:lpstr>PATOS DE MINAS</vt:lpstr>
      <vt:lpstr>SÃO GOTARDO</vt:lpstr>
      <vt:lpstr>UNAÍ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2025-04-20T22:36:19Z</dcterms:created>
  <dcterms:modified xsi:type="dcterms:W3CDTF">2025-08-24T19:09:05Z</dcterms:modified>
</cp:coreProperties>
</file>